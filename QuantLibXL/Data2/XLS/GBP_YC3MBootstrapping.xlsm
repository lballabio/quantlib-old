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05" windowWidth="9600" windowHeight="11490" activeTab="2"/>
  </bookViews>
  <sheets>
    <sheet name="General Settings" sheetId="6" r:id="rId1"/>
    <sheet name="RateHelpers" sheetId="4" r:id="rId2"/>
    <sheet name="Selected" sheetId="5" r:id="rId3"/>
    <sheet name="Deposits" sheetId="7" r:id="rId4"/>
    <sheet name="FRAs" sheetId="13" r:id="rId5"/>
    <sheet name="Futures" sheetId="9" r:id="rId6"/>
    <sheet name="Swaps" sheetId="15" r:id="rId7"/>
    <sheet name="SwapsFromBasis" sheetId="11" r:id="rId8"/>
    <sheet name="Monitor" sheetId="12" r:id="rId9"/>
  </sheets>
  <definedNames>
    <definedName name="_xlnm._FilterDatabase" localSheetId="8" hidden="1">Monitor!$B$17:$F$3560</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Discounting2">'General Settings'!$M$16</definedName>
    <definedName name="FamilyName">'General Settings'!$M$11</definedName>
    <definedName name="FileOverwrite">'General Settings'!$M$6</definedName>
    <definedName name="FRADates">Monitor!$O$19:$O$24</definedName>
    <definedName name="FRANull">Monitor!$Q$19:$Q$24</definedName>
    <definedName name="FRAQuotes">Monitor!$P$19:$P$24</definedName>
    <definedName name="FRASeries">IF(CheckFRA=FALSE,FRANull,FRAQuotes)</definedName>
    <definedName name="FrontFuturesRollingDays">Selected!$B$4</definedName>
    <definedName name="IborIndex">Monitor!$Z$17</definedName>
    <definedName name="IborType">'General Settings'!$D$7</definedName>
    <definedName name="IMMFutDates">Monitor!$O$27:$O$34</definedName>
    <definedName name="IMMFutNull">Monitor!$Q$27:$Q$34</definedName>
    <definedName name="IMMFutQuotes">Monitor!$P$27:$P$34</definedName>
    <definedName name="IMMFutSeries">IF(CheckIMMFut=FALSE,IMMFutNull,IMMFutQuotes)</definedName>
    <definedName name="IndexTenor">'General Settings'!$D$6</definedName>
    <definedName name="InterpolatorID">'General Settings'!$D$25</definedName>
    <definedName name="MinDistance">RateHelpers!$H$2:$H$90</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Monitor!$AA$17</definedName>
    <definedName name="Permanent">'General Settings'!$D$10</definedName>
    <definedName name="QuoteSuffix">'General Settings'!$M$12</definedName>
    <definedName name="RateHelperPrefix">'General Settings'!$D$9</definedName>
    <definedName name="RateHelpers">RateHelpers!$B$2:$B$90</definedName>
    <definedName name="RateHelpersIncluded">RateHelpers!$F$2:$F$90</definedName>
    <definedName name="RateHelpersPriority">RateHelpers!$G$2:$G$90</definedName>
    <definedName name="RateHelpersSelected">Selected!$A$7</definedName>
    <definedName name="RecalcTrigger">Monitor!$J$20</definedName>
    <definedName name="SerialFutDates">Monitor!$O$63:$O$70</definedName>
    <definedName name="SerialFutNull">Monitor!$Q$63:$Q$70</definedName>
    <definedName name="SerialFutQuotes">Monitor!$P$63:$P$70</definedName>
    <definedName name="SerialFutSeries">IF(CheckSerialFut=FALSE,SerialFutNull,SerialFutQuotes)</definedName>
    <definedName name="SerializationPath">'General Settings'!$M$5</definedName>
    <definedName name="Serialize">'General Settings'!$M$4</definedName>
    <definedName name="Swap3MConventions" localSheetId="6">Swaps!#REF!</definedName>
    <definedName name="Swap3MConventions">SwapsFromBasis!$O$6:$Q$10</definedName>
    <definedName name="SwapFixedFreq">'General Settings'!$D$8</definedName>
    <definedName name="SwapIborIndex">RateHelpers!$N$97</definedName>
    <definedName name="SwapYieldCurve">RateHelpers!$N$99</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J23" i="12" l="1"/>
  <c r="J9" i="15" l="1"/>
  <c r="J8" i="15"/>
  <c r="J7" i="15"/>
  <c r="J6" i="15"/>
  <c r="J5"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10" i="15"/>
  <c r="K2" i="15"/>
  <c r="J1" i="15"/>
  <c r="K1" i="15" s="1"/>
  <c r="K3" i="15"/>
  <c r="L2" i="15"/>
  <c r="K5" i="15"/>
  <c r="K6" i="15"/>
  <c r="K7" i="15"/>
  <c r="K8" i="15"/>
  <c r="L3" i="15"/>
  <c r="B94" i="4" l="1"/>
  <c r="B93" i="4"/>
  <c r="B92" i="4"/>
  <c r="B91" i="4"/>
  <c r="K9" i="15"/>
  <c r="E91" i="4"/>
  <c r="D91" i="4"/>
  <c r="I92" i="4"/>
  <c r="J94" i="4"/>
  <c r="L7" i="15"/>
  <c r="D92" i="4"/>
  <c r="J91" i="4"/>
  <c r="C92" i="4"/>
  <c r="E93" i="4"/>
  <c r="C93" i="4"/>
  <c r="D94" i="4"/>
  <c r="L8" i="15"/>
  <c r="E92" i="4"/>
  <c r="C94" i="4"/>
  <c r="L9" i="15"/>
  <c r="I94" i="4"/>
  <c r="J93" i="4"/>
  <c r="C91" i="4"/>
  <c r="D93" i="4"/>
  <c r="L5" i="15"/>
  <c r="J92" i="4"/>
  <c r="I91" i="4"/>
  <c r="L6" i="15"/>
  <c r="I93" i="4"/>
  <c r="E94" i="4"/>
  <c r="B95" i="4" l="1"/>
  <c r="D8" i="13"/>
  <c r="G8" i="13" s="1"/>
  <c r="B8" i="13"/>
  <c r="D7" i="13"/>
  <c r="G7" i="13" s="1"/>
  <c r="B7" i="13"/>
  <c r="D6" i="13"/>
  <c r="G6" i="13" s="1"/>
  <c r="B6" i="13"/>
  <c r="D5" i="13"/>
  <c r="G5" i="13" s="1"/>
  <c r="B5" i="13"/>
  <c r="D4" i="13"/>
  <c r="G4" i="13" s="1"/>
  <c r="B4" i="13"/>
  <c r="D3" i="13"/>
  <c r="G3" i="13" s="1"/>
  <c r="B3" i="13"/>
  <c r="H2" i="13"/>
  <c r="W539" i="12"/>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538" i="12"/>
  <c r="Q70" i="12"/>
  <c r="Q69" i="12"/>
  <c r="Q68" i="12"/>
  <c r="Q67" i="12"/>
  <c r="Q66" i="12"/>
  <c r="Q65" i="12"/>
  <c r="Q64" i="12"/>
  <c r="Q63" i="12"/>
  <c r="Q60" i="12"/>
  <c r="Q59" i="12"/>
  <c r="Q58" i="12"/>
  <c r="Q57" i="12"/>
  <c r="Q56" i="12"/>
  <c r="Q55" i="12"/>
  <c r="Q54" i="12"/>
  <c r="Q53" i="12"/>
  <c r="Q52" i="12"/>
  <c r="Q51" i="12"/>
  <c r="Q50" i="12"/>
  <c r="Q49" i="12"/>
  <c r="Q48" i="12"/>
  <c r="Q47" i="12"/>
  <c r="Q46" i="12"/>
  <c r="Q45" i="12"/>
  <c r="Q44" i="12"/>
  <c r="Q43" i="12"/>
  <c r="Q42" i="12"/>
  <c r="Q41" i="12"/>
  <c r="Q40" i="12"/>
  <c r="Q39" i="12"/>
  <c r="Q38" i="12"/>
  <c r="Q37" i="12"/>
  <c r="Q36" i="12"/>
  <c r="Q35" i="12"/>
  <c r="Q34" i="12"/>
  <c r="Q33" i="12"/>
  <c r="Q32" i="12"/>
  <c r="Q31" i="12"/>
  <c r="Q30" i="12"/>
  <c r="Q29" i="12"/>
  <c r="Q28" i="12"/>
  <c r="Q27" i="12"/>
  <c r="Q24" i="12"/>
  <c r="Q23" i="12"/>
  <c r="Q22" i="12"/>
  <c r="Q21" i="12"/>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0" i="12"/>
  <c r="Q19" i="12"/>
  <c r="F16" i="12"/>
  <c r="F15" i="12"/>
  <c r="F14" i="12"/>
  <c r="F13" i="12"/>
  <c r="F12" i="12"/>
  <c r="F11" i="12"/>
  <c r="F10" i="12"/>
  <c r="D9" i="12"/>
  <c r="F9" i="12" s="1"/>
  <c r="F8" i="12"/>
  <c r="F7" i="12"/>
  <c r="F6" i="12"/>
  <c r="F5" i="12"/>
  <c r="F4" i="12"/>
  <c r="F3" i="12"/>
  <c r="E1" i="13"/>
  <c r="B12" i="12"/>
  <c r="B11" i="12"/>
  <c r="B14" i="12"/>
  <c r="B7" i="12"/>
  <c r="B8" i="12"/>
  <c r="B5" i="12"/>
  <c r="B10" i="12"/>
  <c r="B3" i="12"/>
  <c r="B4" i="12"/>
  <c r="B13" i="12"/>
  <c r="B9" i="12"/>
  <c r="B15" i="12"/>
  <c r="B6" i="12"/>
  <c r="B16" i="12"/>
  <c r="E95" i="4"/>
  <c r="D95" i="4"/>
  <c r="C95" i="4"/>
  <c r="J95" i="4"/>
  <c r="I95" i="4"/>
  <c r="I2" i="13"/>
  <c r="E8" i="13" l="1"/>
  <c r="E4" i="13"/>
  <c r="G1" i="13"/>
  <c r="E3" i="13"/>
  <c r="E5" i="13"/>
  <c r="E7" i="13"/>
  <c r="E6" i="13"/>
  <c r="H1" i="13" l="1"/>
  <c r="D23" i="6" l="1"/>
  <c r="C5" i="12"/>
  <c r="C3" i="7"/>
  <c r="C4" i="12"/>
  <c r="H3" i="13"/>
  <c r="H5" i="13"/>
  <c r="K3" i="11"/>
  <c r="I5" i="13"/>
  <c r="H4" i="13"/>
  <c r="H7" i="13"/>
  <c r="H6" i="13"/>
  <c r="C3" i="12"/>
  <c r="H8" i="13"/>
  <c r="X19" i="12"/>
  <c r="B14" i="4" l="1"/>
  <c r="B12" i="4"/>
  <c r="B10" i="4"/>
  <c r="C11" i="12"/>
  <c r="C10" i="12"/>
  <c r="C12" i="12"/>
  <c r="C6" i="12"/>
  <c r="B11" i="4"/>
  <c r="B9" i="4"/>
  <c r="B13" i="4"/>
  <c r="D3" i="7"/>
  <c r="D5" i="7"/>
  <c r="D6" i="7"/>
  <c r="D7" i="7"/>
  <c r="D8" i="7"/>
  <c r="D9" i="7"/>
  <c r="I7" i="13"/>
  <c r="I3" i="13"/>
  <c r="I8" i="13"/>
  <c r="I6" i="13"/>
  <c r="X20" i="12"/>
  <c r="I4" i="13"/>
  <c r="C13" i="12" l="1"/>
  <c r="D22" i="6"/>
  <c r="E22" i="6"/>
  <c r="M16" i="6"/>
  <c r="M15" i="6"/>
  <c r="J1" i="11" l="1"/>
  <c r="K1" i="11" s="1"/>
  <c r="D5" i="11"/>
  <c r="J5" i="11" s="1"/>
  <c r="E5" i="11"/>
  <c r="I5" i="11" s="1"/>
  <c r="B6" i="11"/>
  <c r="G1" i="9"/>
  <c r="H1" i="9" s="1"/>
  <c r="E3" i="9"/>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D1" i="7"/>
  <c r="D4" i="7"/>
  <c r="B7" i="11" l="1"/>
  <c r="E1" i="7"/>
  <c r="H5" i="11"/>
  <c r="E6" i="11"/>
  <c r="E7" i="11" s="1"/>
  <c r="D6" i="11"/>
  <c r="E2" i="7"/>
  <c r="K30" i="15"/>
  <c r="K35" i="15"/>
  <c r="K28" i="15"/>
  <c r="K40" i="15"/>
  <c r="K11" i="15"/>
  <c r="K10" i="15"/>
  <c r="Y20" i="12"/>
  <c r="K18" i="15"/>
  <c r="K27" i="15"/>
  <c r="K29" i="15"/>
  <c r="K23" i="15"/>
  <c r="K41" i="15"/>
  <c r="C9" i="7"/>
  <c r="E9" i="7" s="1"/>
  <c r="K26" i="15"/>
  <c r="K43" i="15"/>
  <c r="K19" i="15"/>
  <c r="X21" i="12"/>
  <c r="Y21" i="12" s="1"/>
  <c r="L43" i="15"/>
  <c r="K17" i="15"/>
  <c r="K38" i="15"/>
  <c r="K20" i="15"/>
  <c r="K33" i="15"/>
  <c r="Y19" i="12"/>
  <c r="C8" i="7"/>
  <c r="K12" i="15"/>
  <c r="K25" i="15"/>
  <c r="L20" i="15"/>
  <c r="C6" i="7"/>
  <c r="E6" i="7" s="1"/>
  <c r="K16" i="15"/>
  <c r="K37" i="15"/>
  <c r="K31" i="15"/>
  <c r="C4" i="7"/>
  <c r="E4" i="7" s="1"/>
  <c r="C7" i="7"/>
  <c r="E7" i="7" s="1"/>
  <c r="L38" i="15"/>
  <c r="K21" i="15"/>
  <c r="L11" i="15"/>
  <c r="K22" i="15"/>
  <c r="K15" i="15"/>
  <c r="L30" i="15"/>
  <c r="L10" i="15"/>
  <c r="L37" i="15"/>
  <c r="K36" i="15"/>
  <c r="L35" i="15"/>
  <c r="K13" i="15"/>
  <c r="L31" i="15"/>
  <c r="K14" i="15"/>
  <c r="C5" i="7"/>
  <c r="E5" i="7" s="1"/>
  <c r="L21" i="15"/>
  <c r="K42" i="15"/>
  <c r="K34" i="15"/>
  <c r="L13" i="15"/>
  <c r="C7" i="12"/>
  <c r="L27" i="15"/>
  <c r="K32" i="15"/>
  <c r="X22" i="12"/>
  <c r="E3" i="7"/>
  <c r="L19" i="15"/>
  <c r="K39" i="15"/>
  <c r="K24" i="15"/>
  <c r="L28" i="15"/>
  <c r="E8" i="7"/>
  <c r="D3" i="9" a="1"/>
  <c r="L23" i="15"/>
  <c r="L33" i="15"/>
  <c r="L26" i="15"/>
  <c r="L17" i="15"/>
  <c r="F4" i="7"/>
  <c r="L16" i="15"/>
  <c r="L32" i="15"/>
  <c r="L25" i="15"/>
  <c r="L41" i="15"/>
  <c r="L40" i="15"/>
  <c r="L24" i="15"/>
  <c r="L18" i="15"/>
  <c r="L34" i="15"/>
  <c r="F9" i="7"/>
  <c r="L42" i="15"/>
  <c r="F7" i="7"/>
  <c r="K5" i="11"/>
  <c r="L29" i="15"/>
  <c r="L12" i="15"/>
  <c r="L22" i="15"/>
  <c r="L15" i="15"/>
  <c r="L36" i="15"/>
  <c r="L14" i="15"/>
  <c r="Y22" i="12"/>
  <c r="X23" i="12"/>
  <c r="L39" i="15"/>
  <c r="X24" i="12"/>
  <c r="Y23" i="12"/>
  <c r="X25" i="12"/>
  <c r="Y24" i="12"/>
  <c r="X26" i="12"/>
  <c r="Y25" i="12"/>
  <c r="Y26" i="12"/>
  <c r="X27" i="12"/>
  <c r="X28" i="12"/>
  <c r="Y27" i="12"/>
  <c r="Y28" i="12"/>
  <c r="X29" i="12"/>
  <c r="X30" i="12"/>
  <c r="Y29" i="12"/>
  <c r="X31" i="12"/>
  <c r="Y30" i="12"/>
  <c r="X32" i="12"/>
  <c r="Y31" i="12"/>
  <c r="Y32" i="12"/>
  <c r="X33" i="12"/>
  <c r="X34" i="12"/>
  <c r="Y33" i="12"/>
  <c r="X35" i="12"/>
  <c r="Y34" i="12"/>
  <c r="Y35" i="12"/>
  <c r="X36" i="12"/>
  <c r="Y36" i="12"/>
  <c r="X37" i="12"/>
  <c r="X38" i="12"/>
  <c r="Y37" i="12"/>
  <c r="X39" i="12"/>
  <c r="Y38" i="12"/>
  <c r="Y39" i="12"/>
  <c r="X40" i="12"/>
  <c r="Y40" i="12"/>
  <c r="X41" i="12"/>
  <c r="Y41" i="12"/>
  <c r="X42" i="12"/>
  <c r="Y42" i="12"/>
  <c r="X43" i="12"/>
  <c r="X44" i="12"/>
  <c r="Y43" i="12"/>
  <c r="Y44" i="12"/>
  <c r="X45" i="12"/>
  <c r="Y45" i="12"/>
  <c r="X46" i="12"/>
  <c r="Y46" i="12"/>
  <c r="X47" i="12"/>
  <c r="X48" i="12"/>
  <c r="Y47" i="12"/>
  <c r="Y48" i="12"/>
  <c r="X49" i="12"/>
  <c r="X50" i="12"/>
  <c r="Y49" i="12"/>
  <c r="X51" i="12"/>
  <c r="Y50" i="12"/>
  <c r="X52" i="12"/>
  <c r="Y51" i="12"/>
  <c r="Y52" i="12"/>
  <c r="X53" i="12"/>
  <c r="X54" i="12"/>
  <c r="Y53" i="12"/>
  <c r="Y54" i="12"/>
  <c r="X55" i="12"/>
  <c r="X56" i="12"/>
  <c r="Y55" i="12"/>
  <c r="X57" i="12"/>
  <c r="Y56" i="12"/>
  <c r="X58" i="12"/>
  <c r="Y57" i="12"/>
  <c r="X59" i="12"/>
  <c r="Y58" i="12"/>
  <c r="X60" i="12"/>
  <c r="Y59" i="12"/>
  <c r="X61" i="12"/>
  <c r="Y60" i="12"/>
  <c r="X62" i="12"/>
  <c r="Y61" i="12"/>
  <c r="Y62" i="12"/>
  <c r="X63" i="12"/>
  <c r="X64" i="12"/>
  <c r="Y63" i="12"/>
  <c r="X65" i="12"/>
  <c r="Y64" i="12"/>
  <c r="X66" i="12"/>
  <c r="Y65" i="12"/>
  <c r="X67" i="12"/>
  <c r="Y66" i="12"/>
  <c r="X68" i="12"/>
  <c r="Y67" i="12"/>
  <c r="Y68" i="12"/>
  <c r="X69" i="12"/>
  <c r="X70" i="12"/>
  <c r="Y69" i="12"/>
  <c r="Y70" i="12"/>
  <c r="X71" i="12"/>
  <c r="Y71" i="12"/>
  <c r="X72" i="12"/>
  <c r="X73" i="12"/>
  <c r="Y72" i="12"/>
  <c r="X74" i="12"/>
  <c r="Y73" i="12"/>
  <c r="X75" i="12"/>
  <c r="Y74" i="12"/>
  <c r="Y75" i="12"/>
  <c r="X76" i="12"/>
  <c r="Y76" i="12"/>
  <c r="X77" i="12"/>
  <c r="X78" i="12"/>
  <c r="Y77" i="12"/>
  <c r="X79" i="12"/>
  <c r="Y78" i="12"/>
  <c r="Y79" i="12"/>
  <c r="X80" i="12"/>
  <c r="Y80" i="12"/>
  <c r="X81" i="12"/>
  <c r="Y81" i="12"/>
  <c r="X82" i="12"/>
  <c r="Y82" i="12"/>
  <c r="X83" i="12"/>
  <c r="Y83" i="12"/>
  <c r="X84" i="12"/>
  <c r="Y84" i="12"/>
  <c r="X85" i="12"/>
  <c r="Y85" i="12"/>
  <c r="X86" i="12"/>
  <c r="X87" i="12"/>
  <c r="Y86" i="12"/>
  <c r="X88" i="12"/>
  <c r="Y87" i="12"/>
  <c r="Y88" i="12"/>
  <c r="X89" i="12"/>
  <c r="Y89" i="12"/>
  <c r="X90" i="12"/>
  <c r="X91" i="12"/>
  <c r="Y90" i="12"/>
  <c r="X92" i="12"/>
  <c r="Y91" i="12"/>
  <c r="X93" i="12"/>
  <c r="Y92" i="12"/>
  <c r="Y93" i="12"/>
  <c r="X94" i="12"/>
  <c r="Y94" i="12"/>
  <c r="X95" i="12"/>
  <c r="Y95" i="12"/>
  <c r="X96" i="12"/>
  <c r="Y96" i="12"/>
  <c r="X97" i="12"/>
  <c r="X98" i="12"/>
  <c r="Y97" i="12"/>
  <c r="X99" i="12"/>
  <c r="Y98" i="12"/>
  <c r="X100" i="12"/>
  <c r="Y99" i="12"/>
  <c r="X101" i="12"/>
  <c r="Y100" i="12"/>
  <c r="X102" i="12"/>
  <c r="Y101" i="12"/>
  <c r="Y102" i="12"/>
  <c r="X103" i="12"/>
  <c r="X104" i="12"/>
  <c r="Y103" i="12"/>
  <c r="X105" i="12"/>
  <c r="Y104" i="12"/>
  <c r="Y105" i="12"/>
  <c r="X106" i="12"/>
  <c r="Y106" i="12"/>
  <c r="X107" i="12"/>
  <c r="X108" i="12"/>
  <c r="Y107" i="12"/>
  <c r="Y108" i="12"/>
  <c r="X109" i="12"/>
  <c r="X110" i="12"/>
  <c r="Y109" i="12"/>
  <c r="Y110" i="12"/>
  <c r="X111" i="12"/>
  <c r="Y111" i="12"/>
  <c r="X112" i="12"/>
  <c r="X113" i="12"/>
  <c r="Y112" i="12"/>
  <c r="X114" i="12"/>
  <c r="Y113" i="12"/>
  <c r="Y114" i="12"/>
  <c r="X115" i="12"/>
  <c r="X116" i="12"/>
  <c r="Y115" i="12"/>
  <c r="X117" i="12"/>
  <c r="Y116" i="12"/>
  <c r="X118" i="12"/>
  <c r="Y117" i="12"/>
  <c r="Y118" i="12"/>
  <c r="X119" i="12"/>
  <c r="X120" i="12"/>
  <c r="Y119" i="12"/>
  <c r="Y120" i="12"/>
  <c r="X121" i="12"/>
  <c r="Y121" i="12"/>
  <c r="X122" i="12"/>
  <c r="X123" i="12"/>
  <c r="Y122" i="12"/>
  <c r="Y123" i="12"/>
  <c r="X124" i="12"/>
  <c r="X125" i="12"/>
  <c r="Y124" i="12"/>
  <c r="Y125" i="12"/>
  <c r="X126" i="12"/>
  <c r="Y126" i="12"/>
  <c r="X127" i="12"/>
  <c r="X128" i="12"/>
  <c r="Y127" i="12"/>
  <c r="X129" i="12"/>
  <c r="Y128" i="12"/>
  <c r="Y129" i="12"/>
  <c r="X130" i="12"/>
  <c r="Y130" i="12"/>
  <c r="X131" i="12"/>
  <c r="X132" i="12"/>
  <c r="Y131" i="12"/>
  <c r="Y132" i="12"/>
  <c r="X133" i="12"/>
  <c r="Y133" i="12"/>
  <c r="X134" i="12"/>
  <c r="Y134" i="12"/>
  <c r="X135" i="12"/>
  <c r="Y135" i="12"/>
  <c r="X136" i="12"/>
  <c r="X137" i="12"/>
  <c r="Y136" i="12"/>
  <c r="X138" i="12"/>
  <c r="Y137" i="12"/>
  <c r="X139" i="12"/>
  <c r="Y138" i="12"/>
  <c r="X140" i="12"/>
  <c r="Y139" i="12"/>
  <c r="X141" i="12"/>
  <c r="Y140" i="12"/>
  <c r="X142" i="12"/>
  <c r="Y141" i="12"/>
  <c r="Y142" i="12"/>
  <c r="X143" i="12"/>
  <c r="X144" i="12"/>
  <c r="Y143" i="12"/>
  <c r="X145" i="12"/>
  <c r="Y144" i="12"/>
  <c r="X146" i="12"/>
  <c r="Y145" i="12"/>
  <c r="Y146" i="12"/>
  <c r="X147" i="12"/>
  <c r="X148" i="12"/>
  <c r="Y147" i="12"/>
  <c r="Y148" i="12"/>
  <c r="X149" i="12"/>
  <c r="Y149" i="12"/>
  <c r="X150" i="12"/>
  <c r="X151" i="12"/>
  <c r="Y150" i="12"/>
  <c r="X152" i="12"/>
  <c r="Y151" i="12"/>
  <c r="Y152" i="12"/>
  <c r="X153" i="12"/>
  <c r="Y153" i="12"/>
  <c r="X154" i="12"/>
  <c r="X155" i="12"/>
  <c r="Y154" i="12"/>
  <c r="Y155" i="12"/>
  <c r="X156" i="12"/>
  <c r="X157" i="12"/>
  <c r="Y156" i="12"/>
  <c r="X158" i="12"/>
  <c r="Y157" i="12"/>
  <c r="X159" i="12"/>
  <c r="Y158" i="12"/>
  <c r="X160" i="12"/>
  <c r="Y159" i="12"/>
  <c r="Y160" i="12"/>
  <c r="X161" i="12"/>
  <c r="Y161" i="12"/>
  <c r="X162" i="12"/>
  <c r="X163" i="12"/>
  <c r="Y162" i="12"/>
  <c r="X164" i="12"/>
  <c r="Y163" i="12"/>
  <c r="Y164" i="12"/>
  <c r="X165" i="12"/>
  <c r="X166" i="12"/>
  <c r="Y165" i="12"/>
  <c r="X167" i="12"/>
  <c r="Y166" i="12"/>
  <c r="Y167" i="12"/>
  <c r="X168" i="12"/>
  <c r="X169" i="12"/>
  <c r="Y168" i="12"/>
  <c r="Y169" i="12"/>
  <c r="X170" i="12"/>
  <c r="X171" i="12"/>
  <c r="Y170" i="12"/>
  <c r="X172" i="12"/>
  <c r="Y171" i="12"/>
  <c r="Y172" i="12"/>
  <c r="X173" i="12"/>
  <c r="Y173" i="12"/>
  <c r="X174" i="12"/>
  <c r="Y174" i="12"/>
  <c r="X175" i="12"/>
  <c r="Y175" i="12"/>
  <c r="X176" i="12"/>
  <c r="X177" i="12"/>
  <c r="Y176" i="12"/>
  <c r="Y177" i="12"/>
  <c r="X178" i="12"/>
  <c r="Y178" i="12"/>
  <c r="X179" i="12"/>
  <c r="X180" i="12"/>
  <c r="Y179" i="12"/>
  <c r="X181" i="12"/>
  <c r="Y180" i="12"/>
  <c r="Y181" i="12"/>
  <c r="X182" i="12"/>
  <c r="Y182" i="12"/>
  <c r="X183" i="12"/>
  <c r="X184" i="12"/>
  <c r="Y183" i="12"/>
  <c r="Y184" i="12"/>
  <c r="X185" i="12"/>
  <c r="Y185" i="12"/>
  <c r="X186" i="12"/>
  <c r="Y186" i="12"/>
  <c r="X187" i="12"/>
  <c r="Y187" i="12"/>
  <c r="X188" i="12"/>
  <c r="X189" i="12"/>
  <c r="Y188" i="12"/>
  <c r="Y189" i="12"/>
  <c r="X190" i="12"/>
  <c r="Y190" i="12"/>
  <c r="X191" i="12"/>
  <c r="X192" i="12"/>
  <c r="Y191" i="12"/>
  <c r="X193" i="12"/>
  <c r="Y192" i="12"/>
  <c r="Y193" i="12"/>
  <c r="X194" i="12"/>
  <c r="Y194" i="12"/>
  <c r="X195" i="12"/>
  <c r="X196" i="12"/>
  <c r="Y195" i="12"/>
  <c r="Y196" i="12"/>
  <c r="X197" i="12"/>
  <c r="X198" i="12"/>
  <c r="Y197" i="12"/>
  <c r="X199" i="12"/>
  <c r="Y198" i="12"/>
  <c r="X200" i="12"/>
  <c r="Y199" i="12"/>
  <c r="X201" i="12"/>
  <c r="Y200" i="12"/>
  <c r="X202" i="12"/>
  <c r="Y201" i="12"/>
  <c r="X203" i="12"/>
  <c r="Y202" i="12"/>
  <c r="Y203" i="12"/>
  <c r="X204" i="12"/>
  <c r="Y204" i="12"/>
  <c r="X205" i="12"/>
  <c r="X206" i="12"/>
  <c r="Y205" i="12"/>
  <c r="Y206" i="12"/>
  <c r="X207" i="12"/>
  <c r="Y207" i="12"/>
  <c r="X208" i="12"/>
  <c r="X209" i="12"/>
  <c r="Y208" i="12"/>
  <c r="X210" i="12"/>
  <c r="Y209" i="12"/>
  <c r="X211" i="12"/>
  <c r="Y210" i="12"/>
  <c r="X212" i="12"/>
  <c r="Y211" i="12"/>
  <c r="Y212" i="12"/>
  <c r="X213" i="12"/>
  <c r="X214" i="12"/>
  <c r="Y213" i="12"/>
  <c r="X215" i="12"/>
  <c r="Y214" i="12"/>
  <c r="Y215" i="12"/>
  <c r="X216" i="12"/>
  <c r="X217" i="12"/>
  <c r="Y216" i="12"/>
  <c r="X218" i="12"/>
  <c r="Y217" i="12"/>
  <c r="Y218" i="12"/>
  <c r="X219" i="12"/>
  <c r="Y219" i="12"/>
  <c r="X220" i="12"/>
  <c r="Y220" i="12"/>
  <c r="X221" i="12"/>
  <c r="X222" i="12"/>
  <c r="Y221" i="12"/>
  <c r="Y222" i="12"/>
  <c r="X223" i="12"/>
  <c r="Y223" i="12"/>
  <c r="X224" i="12"/>
  <c r="X225" i="12"/>
  <c r="Y224" i="12"/>
  <c r="X226" i="12"/>
  <c r="Y225" i="12"/>
  <c r="X227" i="12"/>
  <c r="Y226" i="12"/>
  <c r="X228" i="12"/>
  <c r="Y227" i="12"/>
  <c r="Y228" i="12"/>
  <c r="X229" i="12"/>
  <c r="X230" i="12"/>
  <c r="Y229" i="12"/>
  <c r="X231" i="12"/>
  <c r="Y230" i="12"/>
  <c r="X232" i="12"/>
  <c r="Y231" i="12"/>
  <c r="X233" i="12"/>
  <c r="Y232" i="12"/>
  <c r="X234" i="12"/>
  <c r="Y233" i="12"/>
  <c r="Y234" i="12"/>
  <c r="X235" i="12"/>
  <c r="X236" i="12"/>
  <c r="Y235" i="12"/>
  <c r="X237" i="12"/>
  <c r="Y236" i="12"/>
  <c r="Y237" i="12"/>
  <c r="X238" i="12"/>
  <c r="Y238" i="12"/>
  <c r="X239" i="12"/>
  <c r="X240" i="12"/>
  <c r="Y239" i="12"/>
  <c r="Y240" i="12"/>
  <c r="X241" i="12"/>
  <c r="Y241" i="12"/>
  <c r="X242" i="12"/>
  <c r="Y242" i="12"/>
  <c r="X243" i="12"/>
  <c r="X244" i="12"/>
  <c r="Y243" i="12"/>
  <c r="Y244" i="12"/>
  <c r="X245" i="12"/>
  <c r="Y245" i="12"/>
  <c r="X246" i="12"/>
  <c r="Y246" i="12"/>
  <c r="X247" i="12"/>
  <c r="X248" i="12"/>
  <c r="Y247" i="12"/>
  <c r="Y248" i="12"/>
  <c r="X249" i="12"/>
  <c r="X250" i="12"/>
  <c r="Y249" i="12"/>
  <c r="X251" i="12"/>
  <c r="Y250" i="12"/>
  <c r="Y251" i="12"/>
  <c r="X252" i="12"/>
  <c r="X253" i="12"/>
  <c r="Y252" i="12"/>
  <c r="Y253" i="12"/>
  <c r="X254" i="12"/>
  <c r="Y254" i="12"/>
  <c r="X255" i="12"/>
  <c r="Y255" i="12"/>
  <c r="X256" i="12"/>
  <c r="X257" i="12"/>
  <c r="Y256" i="12"/>
  <c r="Y257" i="12"/>
  <c r="X258" i="12"/>
  <c r="Y258" i="12"/>
  <c r="X259" i="12"/>
  <c r="X260" i="12"/>
  <c r="Y259" i="12"/>
  <c r="Y260" i="12"/>
  <c r="X261" i="12"/>
  <c r="X262" i="12"/>
  <c r="Y261" i="12"/>
  <c r="Y262" i="12"/>
  <c r="X263" i="12"/>
  <c r="Y263" i="12"/>
  <c r="X264" i="12"/>
  <c r="X265" i="12"/>
  <c r="Y264" i="12"/>
  <c r="Y265" i="12"/>
  <c r="X266" i="12"/>
  <c r="Y266" i="12"/>
  <c r="X267" i="12"/>
  <c r="Y267" i="12"/>
  <c r="X268" i="12"/>
  <c r="Y268" i="12"/>
  <c r="X269" i="12"/>
  <c r="X270" i="12"/>
  <c r="Y269" i="12"/>
  <c r="Y270" i="12"/>
  <c r="X271" i="12"/>
  <c r="X272" i="12"/>
  <c r="Y271" i="12"/>
  <c r="X273" i="12"/>
  <c r="Y272" i="12"/>
  <c r="X274" i="12"/>
  <c r="Y273" i="12"/>
  <c r="X275" i="12"/>
  <c r="Y274" i="12"/>
  <c r="X276" i="12"/>
  <c r="Y275" i="12"/>
  <c r="X277" i="12"/>
  <c r="Y276" i="12"/>
  <c r="Y277" i="12"/>
  <c r="X278" i="12"/>
  <c r="X279" i="12"/>
  <c r="Y278" i="12"/>
  <c r="Y279" i="12"/>
  <c r="X280" i="12"/>
  <c r="X281" i="12"/>
  <c r="Y280" i="12"/>
  <c r="Y281" i="12"/>
  <c r="X282" i="12"/>
  <c r="Y282" i="12"/>
  <c r="X283" i="12"/>
  <c r="X284" i="12"/>
  <c r="Y283" i="12"/>
  <c r="Y284" i="12"/>
  <c r="X285" i="12"/>
  <c r="Y285" i="12"/>
  <c r="X286" i="12"/>
  <c r="X287" i="12"/>
  <c r="Y286" i="12"/>
  <c r="X288" i="12"/>
  <c r="Y287" i="12"/>
  <c r="X289" i="12"/>
  <c r="Y288" i="12"/>
  <c r="Y289" i="12"/>
  <c r="X290" i="12"/>
  <c r="Y290" i="12"/>
  <c r="X291" i="12"/>
  <c r="X292" i="12"/>
  <c r="Y291" i="12"/>
  <c r="X293" i="12"/>
  <c r="Y292" i="12"/>
  <c r="Y293" i="12"/>
  <c r="X294" i="12"/>
  <c r="Y294" i="12"/>
  <c r="X295" i="12"/>
  <c r="Y295" i="12"/>
  <c r="X296" i="12"/>
  <c r="X297" i="12"/>
  <c r="Y296" i="12"/>
  <c r="Y297" i="12"/>
  <c r="X298" i="12"/>
  <c r="Y298" i="12"/>
  <c r="X299" i="12"/>
  <c r="X300" i="12"/>
  <c r="Y299" i="12"/>
  <c r="X301" i="12"/>
  <c r="Y300" i="12"/>
  <c r="X302" i="12"/>
  <c r="Y301" i="12"/>
  <c r="Y302" i="12"/>
  <c r="X303" i="12"/>
  <c r="X304" i="12"/>
  <c r="Y303" i="12"/>
  <c r="X305" i="12"/>
  <c r="Y304" i="12"/>
  <c r="Y305" i="12"/>
  <c r="X306" i="12"/>
  <c r="X307" i="12"/>
  <c r="Y306" i="12"/>
  <c r="X308" i="12"/>
  <c r="Y307" i="12"/>
  <c r="Y308" i="12"/>
  <c r="X309" i="12"/>
  <c r="Y309" i="12"/>
  <c r="X310" i="12"/>
  <c r="Y310" i="12"/>
  <c r="X311" i="12"/>
  <c r="Y311" i="12"/>
  <c r="X312" i="12"/>
  <c r="Y312" i="12"/>
  <c r="X313" i="12"/>
  <c r="Y313" i="12"/>
  <c r="X314" i="12"/>
  <c r="Y314" i="12"/>
  <c r="X315" i="12"/>
  <c r="X316" i="12"/>
  <c r="Y315" i="12"/>
  <c r="Y316" i="12"/>
  <c r="X317" i="12"/>
  <c r="X318" i="12"/>
  <c r="Y317" i="12"/>
  <c r="Y318" i="12"/>
  <c r="X319" i="12"/>
  <c r="X320" i="12"/>
  <c r="Y319" i="12"/>
  <c r="Y320" i="12"/>
  <c r="X321" i="12"/>
  <c r="X322" i="12"/>
  <c r="Y321" i="12"/>
  <c r="Y322" i="12"/>
  <c r="X323" i="12"/>
  <c r="Y323" i="12"/>
  <c r="X324" i="12"/>
  <c r="X325" i="12"/>
  <c r="Y324" i="12"/>
  <c r="X326" i="12"/>
  <c r="Y325" i="12"/>
  <c r="Y326" i="12"/>
  <c r="X327" i="12"/>
  <c r="X328" i="12"/>
  <c r="Y327" i="12"/>
  <c r="X329" i="12"/>
  <c r="Y328" i="12"/>
  <c r="X330" i="12"/>
  <c r="Y329" i="12"/>
  <c r="X331" i="12"/>
  <c r="Y330" i="12"/>
  <c r="X332" i="12"/>
  <c r="Y331" i="12"/>
  <c r="Y332" i="12"/>
  <c r="X333" i="12"/>
  <c r="X334" i="12"/>
  <c r="Y333" i="12"/>
  <c r="Y334" i="12"/>
  <c r="X335" i="12"/>
  <c r="X336" i="12"/>
  <c r="Y335" i="12"/>
  <c r="Y336" i="12"/>
  <c r="X337" i="12"/>
  <c r="Y337" i="12"/>
  <c r="X338" i="12"/>
  <c r="Y338" i="12"/>
  <c r="X339" i="12"/>
  <c r="X340" i="12"/>
  <c r="Y339" i="12"/>
  <c r="X341" i="12"/>
  <c r="Y340" i="12"/>
  <c r="Y341" i="12"/>
  <c r="X342" i="12"/>
  <c r="X343" i="12"/>
  <c r="Y342" i="12"/>
  <c r="Y343" i="12"/>
  <c r="X344" i="12"/>
  <c r="Y344" i="12"/>
  <c r="X345" i="12"/>
  <c r="Y345" i="12"/>
  <c r="X346" i="12"/>
  <c r="Y346" i="12"/>
  <c r="X347" i="12"/>
  <c r="X348" i="12"/>
  <c r="Y347" i="12"/>
  <c r="Y348" i="12"/>
  <c r="X349" i="12"/>
  <c r="X350" i="12"/>
  <c r="Y349" i="12"/>
  <c r="X351" i="12"/>
  <c r="Y350" i="12"/>
  <c r="Y351" i="12"/>
  <c r="X352" i="12"/>
  <c r="X353" i="12"/>
  <c r="Y352" i="12"/>
  <c r="X354" i="12"/>
  <c r="Y353" i="12"/>
  <c r="X355" i="12"/>
  <c r="Y354" i="12"/>
  <c r="X356" i="12"/>
  <c r="Y355" i="12"/>
  <c r="Y356" i="12"/>
  <c r="X357" i="12"/>
  <c r="X358" i="12"/>
  <c r="Y357" i="12"/>
  <c r="Y358" i="12"/>
  <c r="X359" i="12"/>
  <c r="Y359" i="12"/>
  <c r="X360" i="12"/>
  <c r="Y360" i="12"/>
  <c r="X361" i="12"/>
  <c r="Y361" i="12"/>
  <c r="X362" i="12"/>
  <c r="X363" i="12"/>
  <c r="Y362" i="12"/>
  <c r="X364" i="12"/>
  <c r="Y363" i="12"/>
  <c r="Y364" i="12"/>
  <c r="X365" i="12"/>
  <c r="Y365" i="12"/>
  <c r="X366" i="12"/>
  <c r="Y366" i="12"/>
  <c r="X367" i="12"/>
  <c r="Y367" i="12"/>
  <c r="X368" i="12"/>
  <c r="X369" i="12"/>
  <c r="Y368" i="12"/>
  <c r="X370" i="12"/>
  <c r="Y369" i="12"/>
  <c r="Y370" i="12"/>
  <c r="X371" i="12"/>
  <c r="Y371" i="12"/>
  <c r="X372" i="12"/>
  <c r="X373" i="12"/>
  <c r="Y372" i="12"/>
  <c r="Y373" i="12"/>
  <c r="X374" i="12"/>
  <c r="X375" i="12"/>
  <c r="Y374" i="12"/>
  <c r="Y375" i="12"/>
  <c r="X376" i="12"/>
  <c r="X377" i="12"/>
  <c r="Y376" i="12"/>
  <c r="Y377" i="12"/>
  <c r="X378" i="12"/>
  <c r="X379" i="12"/>
  <c r="Y378" i="12"/>
  <c r="X380" i="12"/>
  <c r="Y379" i="12"/>
  <c r="Y380" i="12"/>
  <c r="X381" i="12"/>
  <c r="Y381" i="12"/>
  <c r="X382" i="12"/>
  <c r="Y382" i="12"/>
  <c r="X383" i="12"/>
  <c r="X384" i="12"/>
  <c r="Y383" i="12"/>
  <c r="X385" i="12"/>
  <c r="Y384" i="12"/>
  <c r="Y385" i="12"/>
  <c r="X386" i="12"/>
  <c r="X387" i="12"/>
  <c r="Y386" i="12"/>
  <c r="Y387" i="12"/>
  <c r="X388" i="12"/>
  <c r="X389" i="12"/>
  <c r="Y388" i="12"/>
  <c r="X390" i="12"/>
  <c r="Y389" i="12"/>
  <c r="Y390" i="12"/>
  <c r="X391" i="12"/>
  <c r="X392" i="12"/>
  <c r="Y391" i="12"/>
  <c r="Y392" i="12"/>
  <c r="X393" i="12"/>
  <c r="Y393" i="12"/>
  <c r="X394" i="12"/>
  <c r="Y394" i="12"/>
  <c r="X395" i="12"/>
  <c r="Y395" i="12"/>
  <c r="X396" i="12"/>
  <c r="Y396" i="12"/>
  <c r="X397" i="12"/>
  <c r="Y397" i="12"/>
  <c r="X398" i="12"/>
  <c r="X399" i="12"/>
  <c r="Y398" i="12"/>
  <c r="Y399" i="12"/>
  <c r="X400" i="12"/>
  <c r="X401" i="12"/>
  <c r="Y400" i="12"/>
  <c r="Y401" i="12"/>
  <c r="X402" i="12"/>
  <c r="Y402" i="12"/>
  <c r="X403" i="12"/>
  <c r="Y403" i="12"/>
  <c r="X404" i="12"/>
  <c r="X405" i="12"/>
  <c r="Y404" i="12"/>
  <c r="Y405" i="12"/>
  <c r="X406" i="12"/>
  <c r="Y406" i="12"/>
  <c r="X407" i="12"/>
  <c r="Y407" i="12"/>
  <c r="X408" i="12"/>
  <c r="X409" i="12"/>
  <c r="Y408" i="12"/>
  <c r="X410" i="12"/>
  <c r="Y409" i="12"/>
  <c r="Y410" i="12"/>
  <c r="X411" i="12"/>
  <c r="X412" i="12"/>
  <c r="Y411" i="12"/>
  <c r="X413" i="12"/>
  <c r="Y412" i="12"/>
  <c r="Y413" i="12"/>
  <c r="X414" i="12"/>
  <c r="X415" i="12"/>
  <c r="Y414" i="12"/>
  <c r="X416" i="12"/>
  <c r="Y415" i="12"/>
  <c r="Y416" i="12"/>
  <c r="X417" i="12"/>
  <c r="X418" i="12"/>
  <c r="Y417" i="12"/>
  <c r="Y418" i="12"/>
  <c r="X419" i="12"/>
  <c r="X420" i="12"/>
  <c r="Y419" i="12"/>
  <c r="Y420" i="12"/>
  <c r="X421" i="12"/>
  <c r="Y421" i="12"/>
  <c r="X422" i="12"/>
  <c r="Y422" i="12"/>
  <c r="X423" i="12"/>
  <c r="X424" i="12"/>
  <c r="Y423" i="12"/>
  <c r="X425" i="12"/>
  <c r="Y424" i="12"/>
  <c r="X426" i="12"/>
  <c r="Y425" i="12"/>
  <c r="Y426" i="12"/>
  <c r="X427" i="12"/>
  <c r="X428" i="12"/>
  <c r="Y427" i="12"/>
  <c r="Y428" i="12"/>
  <c r="X429" i="12"/>
  <c r="X430" i="12"/>
  <c r="Y429" i="12"/>
  <c r="X431" i="12"/>
  <c r="Y430" i="12"/>
  <c r="Y431" i="12"/>
  <c r="X432" i="12"/>
  <c r="X433" i="12"/>
  <c r="Y432" i="12"/>
  <c r="X434" i="12"/>
  <c r="Y433" i="12"/>
  <c r="X435" i="12"/>
  <c r="Y434" i="12"/>
  <c r="Y435" i="12"/>
  <c r="X436" i="12"/>
  <c r="Y436" i="12"/>
  <c r="X437" i="12"/>
  <c r="Y437" i="12"/>
  <c r="X438" i="12"/>
  <c r="X439" i="12"/>
  <c r="Y438" i="12"/>
  <c r="X440" i="12"/>
  <c r="Y439" i="12"/>
  <c r="Y440" i="12"/>
  <c r="X441" i="12"/>
  <c r="Y441" i="12"/>
  <c r="X442" i="12"/>
  <c r="Y442" i="12"/>
  <c r="X443" i="12"/>
  <c r="X444" i="12"/>
  <c r="Y443" i="12"/>
  <c r="Y444" i="12"/>
  <c r="X445" i="12"/>
  <c r="Y445" i="12"/>
  <c r="X446" i="12"/>
  <c r="X447" i="12"/>
  <c r="Y446" i="12"/>
  <c r="X448" i="12"/>
  <c r="Y447" i="12"/>
  <c r="X449" i="12"/>
  <c r="Y448" i="12"/>
  <c r="Y449" i="12"/>
  <c r="X450" i="12"/>
  <c r="X451" i="12"/>
  <c r="Y450" i="12"/>
  <c r="Y451" i="12"/>
  <c r="X452" i="12"/>
  <c r="X453" i="12"/>
  <c r="Y452" i="12"/>
  <c r="X454" i="12"/>
  <c r="Y453" i="12"/>
  <c r="X455" i="12"/>
  <c r="Y454" i="12"/>
  <c r="Y455" i="12"/>
  <c r="X456" i="12"/>
  <c r="Y456" i="12"/>
  <c r="X457" i="12"/>
  <c r="X458" i="12"/>
  <c r="Y457" i="12"/>
  <c r="Y458" i="12"/>
  <c r="X459" i="12"/>
  <c r="Y459" i="12"/>
  <c r="X460" i="12"/>
  <c r="X461" i="12"/>
  <c r="Y460" i="12"/>
  <c r="X462" i="12"/>
  <c r="Y461" i="12"/>
  <c r="X463" i="12"/>
  <c r="Y462" i="12"/>
  <c r="Y463" i="12"/>
  <c r="X464" i="12"/>
  <c r="Y464" i="12"/>
  <c r="X465" i="12"/>
  <c r="Y465" i="12"/>
  <c r="X466" i="12"/>
  <c r="X467" i="12"/>
  <c r="Y466" i="12"/>
  <c r="X468" i="12"/>
  <c r="Y467" i="12"/>
  <c r="Y468" i="12"/>
  <c r="X469" i="12"/>
  <c r="X470" i="12"/>
  <c r="Y469" i="12"/>
  <c r="Y470" i="12"/>
  <c r="X471" i="12"/>
  <c r="Y471" i="12"/>
  <c r="X472" i="12"/>
  <c r="Y472" i="12"/>
  <c r="X473" i="12"/>
  <c r="Y473" i="12"/>
  <c r="X474" i="12"/>
  <c r="Y474" i="12"/>
  <c r="X475" i="12"/>
  <c r="X476" i="12"/>
  <c r="Y475" i="12"/>
  <c r="X477" i="12"/>
  <c r="Y476" i="12"/>
  <c r="X478" i="12"/>
  <c r="Y477" i="12"/>
  <c r="X479" i="12"/>
  <c r="Y478" i="12"/>
  <c r="X480" i="12"/>
  <c r="Y479" i="12"/>
  <c r="Y480" i="12"/>
  <c r="X481" i="12"/>
  <c r="Y481" i="12"/>
  <c r="X482" i="12"/>
  <c r="Y482" i="12"/>
  <c r="X483" i="12"/>
  <c r="Y483" i="12"/>
  <c r="X484" i="12"/>
  <c r="X485" i="12"/>
  <c r="Y484" i="12"/>
  <c r="X486" i="12"/>
  <c r="Y485" i="12"/>
  <c r="X487" i="12"/>
  <c r="Y486" i="12"/>
  <c r="Y487" i="12"/>
  <c r="X488" i="12"/>
  <c r="Y488" i="12"/>
  <c r="X489" i="12"/>
  <c r="Y489" i="12"/>
  <c r="X490" i="12"/>
  <c r="X491" i="12"/>
  <c r="Y490" i="12"/>
  <c r="Y491" i="12"/>
  <c r="X492" i="12"/>
  <c r="Y492" i="12"/>
  <c r="X493" i="12"/>
  <c r="X494" i="12"/>
  <c r="Y493" i="12"/>
  <c r="Y494" i="12"/>
  <c r="X495" i="12"/>
  <c r="X496" i="12"/>
  <c r="Y495" i="12"/>
  <c r="X497" i="12"/>
  <c r="Y496" i="12"/>
  <c r="X498" i="12"/>
  <c r="Y497" i="12"/>
  <c r="Y498" i="12"/>
  <c r="X499" i="12"/>
  <c r="X500" i="12"/>
  <c r="Y499" i="12"/>
  <c r="X501" i="12"/>
  <c r="Y500" i="12"/>
  <c r="X502" i="12"/>
  <c r="Y501" i="12"/>
  <c r="Y502" i="12"/>
  <c r="X503" i="12"/>
  <c r="X504" i="12"/>
  <c r="Y503" i="12"/>
  <c r="X505" i="12"/>
  <c r="Y504" i="12"/>
  <c r="Y505" i="12"/>
  <c r="X506" i="12"/>
  <c r="X507" i="12"/>
  <c r="Y506" i="12"/>
  <c r="X508" i="12"/>
  <c r="Y507" i="12"/>
  <c r="Y508" i="12"/>
  <c r="X509" i="12"/>
  <c r="X510" i="12"/>
  <c r="Y509" i="12"/>
  <c r="X511" i="12"/>
  <c r="Y510" i="12"/>
  <c r="X512" i="12"/>
  <c r="Y511" i="12"/>
  <c r="Y512" i="12"/>
  <c r="X513" i="12"/>
  <c r="X514" i="12"/>
  <c r="Y513" i="12"/>
  <c r="Y514" i="12"/>
  <c r="X515" i="12"/>
  <c r="X516" i="12"/>
  <c r="Y515" i="12"/>
  <c r="Y516" i="12"/>
  <c r="X517" i="12"/>
  <c r="X518" i="12"/>
  <c r="Y517" i="12"/>
  <c r="Y518" i="12"/>
  <c r="X519" i="12"/>
  <c r="Y519" i="12"/>
  <c r="X520" i="12"/>
  <c r="X521" i="12"/>
  <c r="Y520" i="12"/>
  <c r="X522" i="12"/>
  <c r="Y521" i="12"/>
  <c r="Y522" i="12"/>
  <c r="X523" i="12"/>
  <c r="X524" i="12"/>
  <c r="Y523" i="12"/>
  <c r="Y524" i="12"/>
  <c r="X525" i="12"/>
  <c r="X526" i="12"/>
  <c r="Y525" i="12"/>
  <c r="X527" i="12"/>
  <c r="Y526" i="12"/>
  <c r="X528" i="12"/>
  <c r="Y527" i="12"/>
  <c r="X529" i="12"/>
  <c r="Y528" i="12"/>
  <c r="Y529" i="12"/>
  <c r="X530" i="12"/>
  <c r="Y530" i="12"/>
  <c r="X531" i="12"/>
  <c r="Y531" i="12"/>
  <c r="X532" i="12"/>
  <c r="X533" i="12"/>
  <c r="Y532" i="12"/>
  <c r="Y533" i="12"/>
  <c r="X534" i="12"/>
  <c r="X535" i="12"/>
  <c r="Y534" i="12"/>
  <c r="Y535" i="12"/>
  <c r="X536" i="12"/>
  <c r="Y536" i="12"/>
  <c r="X537" i="12"/>
  <c r="Y537" i="12"/>
  <c r="X538" i="12"/>
  <c r="Y538" i="12"/>
  <c r="X539" i="12"/>
  <c r="Y539" i="12"/>
  <c r="X540" i="12"/>
  <c r="Y540" i="12"/>
  <c r="X541" i="12"/>
  <c r="X542" i="12"/>
  <c r="Y541" i="12"/>
  <c r="Y542" i="12"/>
  <c r="X543" i="12"/>
  <c r="Y543" i="12"/>
  <c r="X544" i="12"/>
  <c r="X545" i="12"/>
  <c r="Y544" i="12"/>
  <c r="Y545" i="12"/>
  <c r="X546" i="12"/>
  <c r="X547" i="12"/>
  <c r="Y546" i="12"/>
  <c r="X548" i="12"/>
  <c r="Y547" i="12"/>
  <c r="X549" i="12"/>
  <c r="Y548" i="12"/>
  <c r="X550" i="12"/>
  <c r="Y549" i="12"/>
  <c r="Y550" i="12"/>
  <c r="X551" i="12"/>
  <c r="X552" i="12"/>
  <c r="Y551" i="12"/>
  <c r="Y552" i="12"/>
  <c r="X553" i="12"/>
  <c r="Y553" i="12"/>
  <c r="X554" i="12"/>
  <c r="X555" i="12"/>
  <c r="Y554" i="12"/>
  <c r="X556" i="12"/>
  <c r="Y555" i="12"/>
  <c r="Y556" i="12"/>
  <c r="X557" i="12"/>
  <c r="X558" i="12"/>
  <c r="Y557" i="12"/>
  <c r="X559" i="12"/>
  <c r="Y558" i="12"/>
  <c r="Y559" i="12"/>
  <c r="X560" i="12"/>
  <c r="Y560" i="12"/>
  <c r="X561" i="12"/>
  <c r="X562" i="12"/>
  <c r="Y561" i="12"/>
  <c r="Y562" i="12"/>
  <c r="X563" i="12"/>
  <c r="X564" i="12"/>
  <c r="Y563" i="12"/>
  <c r="X565" i="12"/>
  <c r="Y564" i="12"/>
  <c r="X566" i="12"/>
  <c r="Y565" i="12"/>
  <c r="Y566" i="12"/>
  <c r="X567" i="12"/>
  <c r="X568" i="12"/>
  <c r="Y567" i="12"/>
  <c r="Y568" i="12"/>
  <c r="X569" i="12"/>
  <c r="X570" i="12"/>
  <c r="Y569" i="12"/>
  <c r="Y570" i="12"/>
  <c r="X571" i="12"/>
  <c r="Y571" i="12"/>
  <c r="X572" i="12"/>
  <c r="X573" i="12"/>
  <c r="Y572" i="12"/>
  <c r="X574" i="12"/>
  <c r="Y573" i="12"/>
  <c r="X575" i="12"/>
  <c r="Y574" i="12"/>
  <c r="Y575" i="12"/>
  <c r="X576" i="12"/>
  <c r="X577" i="12"/>
  <c r="Y576" i="12"/>
  <c r="X578" i="12"/>
  <c r="Y577" i="12"/>
  <c r="Y578" i="12"/>
  <c r="X579" i="12"/>
  <c r="Y579" i="12"/>
  <c r="X580" i="12"/>
  <c r="Y580" i="12"/>
  <c r="X581" i="12"/>
  <c r="Y581" i="12"/>
  <c r="X582" i="12"/>
  <c r="Y582" i="12"/>
  <c r="X583" i="12"/>
  <c r="X584" i="12"/>
  <c r="Y583" i="12"/>
  <c r="X585" i="12"/>
  <c r="Y584" i="12"/>
  <c r="X586" i="12"/>
  <c r="Y585" i="12"/>
  <c r="Y586" i="12"/>
  <c r="X587" i="12"/>
  <c r="Y587" i="12"/>
  <c r="X588" i="12"/>
  <c r="X589" i="12"/>
  <c r="Y588" i="12"/>
  <c r="X590" i="12"/>
  <c r="Y589" i="12"/>
  <c r="X591" i="12"/>
  <c r="Y590" i="12"/>
  <c r="Y591" i="12"/>
  <c r="X592" i="12"/>
  <c r="Y592" i="12"/>
  <c r="X593" i="12"/>
  <c r="X594" i="12"/>
  <c r="Y593" i="12"/>
  <c r="Y594" i="12"/>
  <c r="X595" i="12"/>
  <c r="X596" i="12"/>
  <c r="Y595" i="12"/>
  <c r="Y596" i="12"/>
  <c r="X597" i="12"/>
  <c r="X598" i="12"/>
  <c r="Y597" i="12"/>
  <c r="X599" i="12"/>
  <c r="Y598" i="12"/>
  <c r="Y599" i="12"/>
  <c r="X600" i="12"/>
  <c r="Y600" i="12"/>
  <c r="X601" i="12"/>
  <c r="X602" i="12"/>
  <c r="Y601" i="12"/>
  <c r="X603" i="12"/>
  <c r="Y602" i="12"/>
  <c r="X604" i="12"/>
  <c r="Y603" i="12"/>
  <c r="Y604" i="12"/>
  <c r="X605" i="12"/>
  <c r="X606" i="12"/>
  <c r="Y605" i="12"/>
  <c r="Y606" i="12"/>
  <c r="X607" i="12"/>
  <c r="X608" i="12"/>
  <c r="Y607" i="12"/>
  <c r="X609" i="12"/>
  <c r="Y608" i="12"/>
  <c r="X610" i="12"/>
  <c r="Y609" i="12"/>
  <c r="Y610" i="12"/>
  <c r="X611" i="12"/>
  <c r="Y611" i="12"/>
  <c r="X612" i="12"/>
  <c r="X613" i="12"/>
  <c r="Y612" i="12"/>
  <c r="Y613" i="12"/>
  <c r="X614" i="12"/>
  <c r="Y614" i="12"/>
  <c r="X615" i="12"/>
  <c r="Y615" i="12"/>
  <c r="X616" i="12"/>
  <c r="Y616" i="12"/>
  <c r="X617" i="12"/>
  <c r="X618" i="12"/>
  <c r="Y617" i="12"/>
  <c r="Y618" i="12"/>
  <c r="X619" i="12"/>
  <c r="Y619" i="12"/>
  <c r="X620" i="12"/>
  <c r="X621" i="12"/>
  <c r="Y620" i="12"/>
  <c r="X622" i="12"/>
  <c r="Y621" i="12"/>
  <c r="X623" i="12"/>
  <c r="Y622" i="12"/>
  <c r="X624" i="12"/>
  <c r="Y623" i="12"/>
  <c r="Y624" i="12"/>
  <c r="X625" i="12"/>
  <c r="Y625" i="12"/>
  <c r="X626" i="12"/>
  <c r="X627" i="12"/>
  <c r="Y626" i="12"/>
  <c r="X628" i="12"/>
  <c r="Y627" i="12"/>
  <c r="Y628" i="12"/>
  <c r="X629" i="12"/>
  <c r="Y629" i="12"/>
  <c r="X630" i="12"/>
  <c r="Y630" i="12"/>
  <c r="X631" i="12"/>
  <c r="Y631" i="12"/>
  <c r="X632" i="12"/>
  <c r="Y632" i="12"/>
  <c r="X633" i="12"/>
  <c r="Y633" i="12"/>
  <c r="X634" i="12"/>
  <c r="Y634" i="12"/>
  <c r="X635" i="12"/>
  <c r="Y635" i="12"/>
  <c r="X636" i="12"/>
  <c r="Y636" i="12"/>
  <c r="X637" i="12"/>
  <c r="X638" i="12"/>
  <c r="Y637" i="12"/>
  <c r="Y638" i="12"/>
  <c r="X639" i="12"/>
  <c r="X640" i="12"/>
  <c r="Y639" i="12"/>
  <c r="Y640" i="12"/>
  <c r="X641" i="12"/>
  <c r="Y641" i="12"/>
  <c r="X642" i="12"/>
  <c r="Y642" i="12"/>
  <c r="X643" i="12"/>
  <c r="Y643" i="12"/>
  <c r="X644" i="12"/>
  <c r="Y644" i="12"/>
  <c r="X645" i="12"/>
  <c r="Y645" i="12"/>
  <c r="X646" i="12"/>
  <c r="Y646" i="12"/>
  <c r="X647" i="12"/>
  <c r="X648" i="12"/>
  <c r="Y647" i="12"/>
  <c r="X649" i="12"/>
  <c r="Y648" i="12"/>
  <c r="X650" i="12"/>
  <c r="Y649" i="12"/>
  <c r="Y650" i="12"/>
  <c r="X651" i="12"/>
  <c r="Y651" i="12"/>
  <c r="X652" i="12"/>
  <c r="X653" i="12"/>
  <c r="Y652" i="12"/>
  <c r="Y653" i="12"/>
  <c r="X654" i="12"/>
  <c r="Y654" i="12"/>
  <c r="X655" i="12"/>
  <c r="Y655" i="12"/>
  <c r="X656" i="12"/>
  <c r="Y656" i="12"/>
  <c r="X657" i="12"/>
  <c r="Y657" i="12"/>
  <c r="X658" i="12"/>
  <c r="X659" i="12"/>
  <c r="Y658" i="12"/>
  <c r="X660" i="12"/>
  <c r="Y659" i="12"/>
  <c r="X661" i="12"/>
  <c r="Y660" i="12"/>
  <c r="Y661" i="12"/>
  <c r="X662" i="12"/>
  <c r="Y662" i="12"/>
  <c r="X663" i="12"/>
  <c r="X664" i="12"/>
  <c r="Y663" i="12"/>
  <c r="Y664" i="12"/>
  <c r="X665" i="12"/>
  <c r="Y665" i="12"/>
  <c r="X666" i="12"/>
  <c r="Y666" i="12"/>
  <c r="X667" i="12"/>
  <c r="Y667" i="12"/>
  <c r="X668" i="12"/>
  <c r="Y668" i="12"/>
  <c r="X669" i="12"/>
  <c r="Y669" i="12"/>
  <c r="X670" i="12"/>
  <c r="X671" i="12"/>
  <c r="Y670" i="12"/>
  <c r="Y671" i="12"/>
  <c r="X672" i="12"/>
  <c r="X673" i="12"/>
  <c r="Y672" i="12"/>
  <c r="Y673" i="12"/>
  <c r="X674" i="12"/>
  <c r="Y674" i="12"/>
  <c r="X675" i="12"/>
  <c r="X676" i="12"/>
  <c r="Y675" i="12"/>
  <c r="Y676" i="12"/>
  <c r="X677" i="12"/>
  <c r="Y677" i="12"/>
  <c r="X678" i="12"/>
  <c r="X679" i="12"/>
  <c r="Y678" i="12"/>
  <c r="X680" i="12"/>
  <c r="Y679" i="12"/>
  <c r="Y680" i="12"/>
  <c r="X681" i="12"/>
  <c r="X682" i="12"/>
  <c r="Y681" i="12"/>
  <c r="X683" i="12"/>
  <c r="Y682" i="12"/>
  <c r="Y683" i="12"/>
  <c r="X684" i="12"/>
  <c r="X685" i="12"/>
  <c r="Y684" i="12"/>
  <c r="Y685" i="12"/>
  <c r="X686" i="12"/>
  <c r="Y686" i="12"/>
  <c r="X687" i="12"/>
  <c r="Y687" i="12"/>
  <c r="X688" i="12"/>
  <c r="X689" i="12"/>
  <c r="Y688" i="12"/>
  <c r="Y689" i="12"/>
  <c r="X690" i="12"/>
  <c r="X691" i="12"/>
  <c r="Y690" i="12"/>
  <c r="Y691" i="12"/>
  <c r="X692" i="12"/>
  <c r="Y692" i="12"/>
  <c r="X693" i="12"/>
  <c r="Y693" i="12"/>
  <c r="X694" i="12"/>
  <c r="X695" i="12"/>
  <c r="Y694" i="12"/>
  <c r="X696" i="12"/>
  <c r="Y695" i="12"/>
  <c r="Y696" i="12"/>
  <c r="X697" i="12"/>
  <c r="Y697" i="12"/>
  <c r="X698" i="12"/>
  <c r="X699" i="12"/>
  <c r="Y698" i="12"/>
  <c r="X700" i="12"/>
  <c r="Y699" i="12"/>
  <c r="Y700" i="12"/>
  <c r="X701" i="12"/>
  <c r="Y701" i="12"/>
  <c r="X702" i="12"/>
  <c r="X703" i="12"/>
  <c r="Y702" i="12"/>
  <c r="Y703" i="12"/>
  <c r="X704" i="12"/>
  <c r="Y704" i="12"/>
  <c r="X705" i="12"/>
  <c r="Y705" i="12"/>
  <c r="X706" i="12"/>
  <c r="X707" i="12"/>
  <c r="Y706" i="12"/>
  <c r="Y707" i="12"/>
  <c r="X708" i="12"/>
  <c r="Y708" i="12"/>
  <c r="X709" i="12"/>
  <c r="X710" i="12"/>
  <c r="Y709" i="12"/>
  <c r="X711" i="12"/>
  <c r="Y710" i="12"/>
  <c r="X712" i="12"/>
  <c r="Y711" i="12"/>
  <c r="Y712" i="12"/>
  <c r="X713" i="12"/>
  <c r="X714" i="12"/>
  <c r="Y713" i="12"/>
  <c r="X715" i="12"/>
  <c r="Y714" i="12"/>
  <c r="Y715" i="12"/>
  <c r="X716" i="12"/>
  <c r="Y716" i="12"/>
  <c r="X717" i="12"/>
  <c r="X718" i="12"/>
  <c r="Y717" i="12"/>
  <c r="Y718" i="12"/>
  <c r="X719" i="12"/>
  <c r="Y719" i="12"/>
  <c r="X720" i="12"/>
  <c r="Y720" i="12"/>
  <c r="X721" i="12"/>
  <c r="Y721" i="12"/>
  <c r="X722" i="12"/>
  <c r="X723" i="12"/>
  <c r="Y722" i="12"/>
  <c r="Y723" i="12"/>
  <c r="X724" i="12"/>
  <c r="Y724" i="12"/>
  <c r="X725" i="12"/>
  <c r="Y725" i="12"/>
  <c r="X726" i="12"/>
  <c r="Y726" i="12"/>
  <c r="X727" i="12"/>
  <c r="Y727" i="12"/>
  <c r="X728" i="12"/>
  <c r="Y728" i="12"/>
  <c r="X729" i="12"/>
  <c r="Y729" i="12"/>
  <c r="X730" i="12"/>
  <c r="X731" i="12"/>
  <c r="Y730" i="12"/>
  <c r="Y731" i="12"/>
  <c r="X732" i="12"/>
  <c r="X733" i="12"/>
  <c r="Y732" i="12"/>
  <c r="Y733" i="12"/>
  <c r="X734" i="12"/>
  <c r="Y734" i="12"/>
  <c r="X735" i="12"/>
  <c r="Y735" i="12"/>
  <c r="X736" i="12"/>
  <c r="X737" i="12"/>
  <c r="Y736" i="12"/>
  <c r="X738" i="12"/>
  <c r="Y737" i="12"/>
  <c r="X739" i="12"/>
  <c r="Y738" i="12"/>
  <c r="Y739" i="12"/>
  <c r="X740" i="12"/>
  <c r="X741" i="12"/>
  <c r="Y740" i="12"/>
  <c r="Y741" i="12"/>
  <c r="X742" i="12"/>
  <c r="X743" i="12"/>
  <c r="Y742" i="12"/>
  <c r="Y743" i="12"/>
  <c r="X744" i="12"/>
  <c r="X745" i="12"/>
  <c r="Y744" i="12"/>
  <c r="Y745" i="12"/>
  <c r="X746" i="12"/>
  <c r="Y746" i="12"/>
  <c r="X747" i="12"/>
  <c r="X748" i="12"/>
  <c r="Y747" i="12"/>
  <c r="Y748" i="12"/>
  <c r="X749" i="12"/>
  <c r="Y749" i="12"/>
  <c r="X750" i="12"/>
  <c r="X751" i="12"/>
  <c r="Y750" i="12"/>
  <c r="X752" i="12"/>
  <c r="Y751" i="12"/>
  <c r="X753" i="12"/>
  <c r="Y752" i="12"/>
  <c r="Y753" i="12"/>
  <c r="X754" i="12"/>
  <c r="X755" i="12"/>
  <c r="Y754" i="12"/>
  <c r="Y755" i="12"/>
  <c r="X756" i="12"/>
  <c r="Y756" i="12"/>
  <c r="X757" i="12"/>
  <c r="X758" i="12"/>
  <c r="Y757" i="12"/>
  <c r="X759" i="12"/>
  <c r="Y758" i="12"/>
  <c r="Y759" i="12"/>
  <c r="X760" i="12"/>
  <c r="Y760" i="12"/>
  <c r="X761" i="12"/>
  <c r="Y761" i="12"/>
  <c r="X762" i="12"/>
  <c r="X763" i="12"/>
  <c r="Y762" i="12"/>
  <c r="X764" i="12"/>
  <c r="Y763" i="12"/>
  <c r="X765" i="12"/>
  <c r="Y764" i="12"/>
  <c r="X766" i="12"/>
  <c r="Y765" i="12"/>
  <c r="Y766" i="12"/>
  <c r="X767" i="12"/>
  <c r="X768" i="12"/>
  <c r="Y767" i="12"/>
  <c r="Y768" i="12"/>
  <c r="X769" i="12"/>
  <c r="Y769" i="12"/>
  <c r="X770" i="12"/>
  <c r="Y770" i="12"/>
  <c r="X771" i="12"/>
  <c r="Y771" i="12"/>
  <c r="X772" i="12"/>
  <c r="Y772" i="12"/>
  <c r="X773" i="12"/>
  <c r="Y773" i="12"/>
  <c r="X774" i="12"/>
  <c r="Y774" i="12"/>
  <c r="X775" i="12"/>
  <c r="Y775" i="12"/>
  <c r="X776" i="12"/>
  <c r="X777" i="12"/>
  <c r="Y776" i="12"/>
  <c r="Y777" i="12"/>
  <c r="X778" i="12"/>
  <c r="X779" i="12"/>
  <c r="Y778" i="12"/>
  <c r="Y779" i="12"/>
  <c r="X780" i="12"/>
  <c r="X781" i="12"/>
  <c r="Y780" i="12"/>
  <c r="Y781" i="12"/>
  <c r="X782" i="12"/>
  <c r="Y782" i="12"/>
  <c r="X783" i="12"/>
  <c r="Y783" i="12"/>
  <c r="X784" i="12"/>
  <c r="X785" i="12"/>
  <c r="Y784" i="12"/>
  <c r="X786" i="12"/>
  <c r="Y785" i="12"/>
  <c r="X787" i="12"/>
  <c r="Y786" i="12"/>
  <c r="X788" i="12"/>
  <c r="Y787" i="12"/>
  <c r="Y788" i="12"/>
  <c r="X789" i="12"/>
  <c r="Y789" i="12"/>
  <c r="X790" i="12"/>
  <c r="Y790" i="12"/>
  <c r="X791" i="12"/>
  <c r="X792" i="12"/>
  <c r="Y791" i="12"/>
  <c r="X793" i="12"/>
  <c r="Y792" i="12"/>
  <c r="X794" i="12"/>
  <c r="Y793" i="12"/>
  <c r="Y794" i="12"/>
  <c r="X795" i="12"/>
  <c r="Y795" i="12"/>
  <c r="X796" i="12"/>
  <c r="X797" i="12"/>
  <c r="Y796" i="12"/>
  <c r="X798" i="12"/>
  <c r="Y797" i="12"/>
  <c r="Y798" i="12"/>
  <c r="X799" i="12"/>
  <c r="Y799" i="12"/>
  <c r="X800" i="12"/>
  <c r="Y800" i="12"/>
  <c r="X801" i="12"/>
  <c r="Y801" i="12"/>
  <c r="X802" i="12"/>
  <c r="Y802" i="12"/>
  <c r="X803" i="12"/>
  <c r="X804" i="12"/>
  <c r="Y803" i="12"/>
  <c r="Y804" i="12"/>
  <c r="X805" i="12"/>
  <c r="Y805" i="12"/>
  <c r="X806" i="12"/>
  <c r="Y806" i="12"/>
  <c r="X807" i="12"/>
  <c r="X808" i="12"/>
  <c r="Y807" i="12"/>
  <c r="Y808" i="12"/>
  <c r="X809" i="12"/>
  <c r="X810" i="12"/>
  <c r="Y809" i="12"/>
  <c r="Y810" i="12"/>
  <c r="X811" i="12"/>
  <c r="Y811" i="12"/>
  <c r="X812" i="12"/>
  <c r="X813" i="12"/>
  <c r="Y812" i="12"/>
  <c r="X814" i="12"/>
  <c r="Y813" i="12"/>
  <c r="Y814" i="12"/>
  <c r="X815" i="12"/>
  <c r="X816" i="12"/>
  <c r="Y815" i="12"/>
  <c r="Y816" i="12"/>
  <c r="X817" i="12"/>
  <c r="Y817" i="12"/>
  <c r="X818" i="12"/>
  <c r="X819" i="12"/>
  <c r="Y818" i="12"/>
  <c r="X820" i="12"/>
  <c r="Y819" i="12"/>
  <c r="X821" i="12"/>
  <c r="Y820" i="12"/>
  <c r="X822" i="12"/>
  <c r="Y821" i="12"/>
  <c r="Y822" i="12"/>
  <c r="X823" i="12"/>
  <c r="Y823" i="12"/>
  <c r="X824" i="12"/>
  <c r="Y824" i="12"/>
  <c r="X825" i="12"/>
  <c r="X826" i="12"/>
  <c r="Y825" i="12"/>
  <c r="X827" i="12"/>
  <c r="Y826" i="12"/>
  <c r="Y827" i="12"/>
  <c r="X828" i="12"/>
  <c r="Y828" i="12"/>
  <c r="X829" i="12"/>
  <c r="Y829" i="12"/>
  <c r="X830" i="12"/>
  <c r="X831" i="12"/>
  <c r="Y830" i="12"/>
  <c r="Y831" i="12"/>
  <c r="X832" i="12"/>
  <c r="Y832" i="12"/>
  <c r="X833" i="12"/>
  <c r="Y833" i="12"/>
  <c r="X834" i="12"/>
  <c r="Y834" i="12"/>
  <c r="X835" i="12"/>
  <c r="X836" i="12"/>
  <c r="Y835" i="12"/>
  <c r="Y836" i="12"/>
  <c r="X837" i="12"/>
  <c r="Y837" i="12"/>
  <c r="X838" i="12"/>
  <c r="X839" i="12"/>
  <c r="Y838" i="12"/>
  <c r="Y839" i="12"/>
  <c r="X840" i="12"/>
  <c r="X841" i="12"/>
  <c r="Y840" i="12"/>
  <c r="X842" i="12"/>
  <c r="Y841" i="12"/>
  <c r="X843" i="12"/>
  <c r="Y842" i="12"/>
  <c r="X844" i="12"/>
  <c r="Y843" i="12"/>
  <c r="Y844" i="12"/>
  <c r="X845" i="12"/>
  <c r="Y845" i="12"/>
  <c r="X846" i="12"/>
  <c r="X847" i="12"/>
  <c r="Y846" i="12"/>
  <c r="X848" i="12"/>
  <c r="Y847" i="12"/>
  <c r="X849" i="12"/>
  <c r="Y848" i="12"/>
  <c r="Y849" i="12"/>
  <c r="X850" i="12"/>
  <c r="X851" i="12"/>
  <c r="Y850" i="12"/>
  <c r="Y851" i="12"/>
  <c r="X852" i="12"/>
  <c r="Y852" i="12"/>
  <c r="X853" i="12"/>
  <c r="Y853" i="12"/>
  <c r="X854" i="12"/>
  <c r="X855" i="12"/>
  <c r="Y854" i="12"/>
  <c r="X856" i="12"/>
  <c r="Y855" i="12"/>
  <c r="Y856" i="12"/>
  <c r="X857" i="12"/>
  <c r="Y857" i="12"/>
  <c r="X858" i="12"/>
  <c r="X859" i="12"/>
  <c r="Y858" i="12"/>
  <c r="Y859" i="12"/>
  <c r="X860" i="12"/>
  <c r="X861" i="12"/>
  <c r="Y860" i="12"/>
  <c r="X862" i="12"/>
  <c r="Y861" i="12"/>
  <c r="X863" i="12"/>
  <c r="Y862" i="12"/>
  <c r="Y863" i="12"/>
  <c r="X864" i="12"/>
  <c r="Y864" i="12"/>
  <c r="X865" i="12"/>
  <c r="Y865" i="12"/>
  <c r="X866" i="12"/>
  <c r="Y866" i="12"/>
  <c r="X867" i="12"/>
  <c r="X868" i="12"/>
  <c r="Y867" i="12"/>
  <c r="Y868" i="12"/>
  <c r="X869" i="12"/>
  <c r="X870" i="12"/>
  <c r="Y869" i="12"/>
  <c r="Y870" i="12"/>
  <c r="X871" i="12"/>
  <c r="X872" i="12"/>
  <c r="Y871" i="12"/>
  <c r="Y872" i="12"/>
  <c r="X873" i="12"/>
  <c r="X874" i="12"/>
  <c r="Y873" i="12"/>
  <c r="X875" i="12"/>
  <c r="Y874" i="12"/>
  <c r="Y875" i="12"/>
  <c r="X876" i="12"/>
  <c r="Y876" i="12"/>
  <c r="X877" i="12"/>
  <c r="X878" i="12"/>
  <c r="Y877" i="12"/>
  <c r="X879" i="12"/>
  <c r="Y878" i="12"/>
  <c r="Y879" i="12"/>
  <c r="X880" i="12"/>
  <c r="Y880" i="12"/>
  <c r="X881" i="12"/>
  <c r="Y881" i="12"/>
  <c r="X882" i="12"/>
  <c r="Y882" i="12"/>
  <c r="X883" i="12"/>
  <c r="X884" i="12"/>
  <c r="Y883" i="12"/>
  <c r="Y884" i="12"/>
  <c r="X885" i="12"/>
  <c r="X886" i="12"/>
  <c r="Y885" i="12"/>
  <c r="Y886" i="12"/>
  <c r="X887" i="12"/>
  <c r="X888" i="12"/>
  <c r="Y887" i="12"/>
  <c r="Y888" i="12"/>
  <c r="X889" i="12"/>
  <c r="X890" i="12"/>
  <c r="Y889" i="12"/>
  <c r="X891" i="12"/>
  <c r="Y890" i="12"/>
  <c r="X892" i="12"/>
  <c r="Y891" i="12"/>
  <c r="Y892" i="12"/>
  <c r="X893" i="12"/>
  <c r="Y893" i="12"/>
  <c r="X894" i="12"/>
  <c r="X895" i="12"/>
  <c r="Y894" i="12"/>
  <c r="Y895" i="12"/>
  <c r="X896" i="12"/>
  <c r="X897" i="12"/>
  <c r="Y896" i="12"/>
  <c r="Y897" i="12"/>
  <c r="X898" i="12"/>
  <c r="X899" i="12"/>
  <c r="Y898" i="12"/>
  <c r="X900" i="12"/>
  <c r="Y899" i="12"/>
  <c r="Y900" i="12"/>
  <c r="X901" i="12"/>
  <c r="Y901" i="12"/>
  <c r="X902" i="12"/>
  <c r="Y902" i="12"/>
  <c r="X903" i="12"/>
  <c r="Y903" i="12"/>
  <c r="X904" i="12"/>
  <c r="X905" i="12"/>
  <c r="Y904" i="12"/>
  <c r="Y905" i="12"/>
  <c r="X906" i="12"/>
  <c r="Y906" i="12"/>
  <c r="X907" i="12"/>
  <c r="X908" i="12"/>
  <c r="Y907" i="12"/>
  <c r="Y908" i="12"/>
  <c r="X909" i="12"/>
  <c r="Y909" i="12"/>
  <c r="X910" i="12"/>
  <c r="X911" i="12"/>
  <c r="Y910" i="12"/>
  <c r="X912" i="12"/>
  <c r="Y911" i="12"/>
  <c r="X913" i="12"/>
  <c r="Y912" i="12"/>
  <c r="X914" i="12"/>
  <c r="Y913" i="12"/>
  <c r="X915" i="12"/>
  <c r="Y914" i="12"/>
  <c r="Y915" i="12"/>
  <c r="X916" i="12"/>
  <c r="X917" i="12"/>
  <c r="Y916" i="12"/>
  <c r="X918" i="12"/>
  <c r="Y917" i="12"/>
  <c r="Y918" i="12"/>
  <c r="X919" i="12"/>
  <c r="X920" i="12"/>
  <c r="Y919" i="12"/>
  <c r="X921" i="12"/>
  <c r="Y920" i="12"/>
  <c r="Y921" i="12"/>
  <c r="X922" i="12"/>
  <c r="X923" i="12"/>
  <c r="Y922" i="12"/>
  <c r="X924" i="12"/>
  <c r="Y923" i="12"/>
  <c r="Y924" i="12"/>
  <c r="X925" i="12"/>
  <c r="Y925" i="12"/>
  <c r="X926" i="12"/>
  <c r="Y926" i="12"/>
  <c r="X927" i="12"/>
  <c r="X928" i="12"/>
  <c r="Y927" i="12"/>
  <c r="Y928" i="12"/>
  <c r="X929" i="12"/>
  <c r="Y929" i="12"/>
  <c r="X930" i="12"/>
  <c r="Y930" i="12"/>
  <c r="X931" i="12"/>
  <c r="Y931" i="12"/>
  <c r="X932" i="12"/>
  <c r="X933" i="12"/>
  <c r="Y932" i="12"/>
  <c r="Y933" i="12"/>
  <c r="X934" i="12"/>
  <c r="Y934" i="12"/>
  <c r="X935" i="12"/>
  <c r="Y935" i="12"/>
  <c r="X936" i="12"/>
  <c r="Y936" i="12"/>
  <c r="X937" i="12"/>
  <c r="X938" i="12"/>
  <c r="Y937" i="12"/>
  <c r="X939" i="12"/>
  <c r="Y938" i="12"/>
  <c r="X940" i="12"/>
  <c r="Y939" i="12"/>
  <c r="X941" i="12"/>
  <c r="Y940" i="12"/>
  <c r="Y941" i="12"/>
  <c r="X942" i="12"/>
  <c r="X943" i="12"/>
  <c r="Y942" i="12"/>
  <c r="X944" i="12"/>
  <c r="Y943" i="12"/>
  <c r="Y944" i="12"/>
  <c r="X945" i="12"/>
  <c r="X946" i="12"/>
  <c r="Y945" i="12"/>
  <c r="Y946" i="12"/>
  <c r="X947" i="12"/>
  <c r="X948" i="12"/>
  <c r="Y947" i="12"/>
  <c r="X949" i="12"/>
  <c r="Y948" i="12"/>
  <c r="X950" i="12"/>
  <c r="Y949" i="12"/>
  <c r="X951" i="12"/>
  <c r="Y950" i="12"/>
  <c r="X952" i="12"/>
  <c r="Y951" i="12"/>
  <c r="Y952" i="12"/>
  <c r="X953" i="12"/>
  <c r="Y953" i="12"/>
  <c r="X954" i="12"/>
  <c r="Y954" i="12"/>
  <c r="X955" i="12"/>
  <c r="Y955" i="12"/>
  <c r="X956" i="12"/>
  <c r="X957" i="12"/>
  <c r="Y956" i="12"/>
  <c r="Y957" i="12"/>
  <c r="X958" i="12"/>
  <c r="X959" i="12"/>
  <c r="Y958" i="12"/>
  <c r="X960" i="12"/>
  <c r="Y959" i="12"/>
  <c r="Y960" i="12"/>
  <c r="X961" i="12"/>
  <c r="X962" i="12"/>
  <c r="Y961" i="12"/>
  <c r="Y962" i="12"/>
  <c r="X963" i="12"/>
  <c r="Y963" i="12"/>
  <c r="X964" i="12"/>
  <c r="Y964" i="12"/>
  <c r="X965" i="12"/>
  <c r="X966" i="12"/>
  <c r="Y965" i="12"/>
  <c r="X967" i="12"/>
  <c r="Y966" i="12"/>
  <c r="Y967" i="12"/>
  <c r="X968" i="12"/>
  <c r="Y968" i="12"/>
  <c r="X969" i="12"/>
  <c r="Y969" i="12"/>
  <c r="X970" i="12"/>
  <c r="X971" i="12"/>
  <c r="Y970" i="12"/>
  <c r="X972" i="12"/>
  <c r="Y971" i="12"/>
  <c r="X973" i="12"/>
  <c r="Y972" i="12"/>
  <c r="X974" i="12"/>
  <c r="Y973" i="12"/>
  <c r="Y974" i="12"/>
  <c r="X975" i="12"/>
  <c r="Y975" i="12"/>
  <c r="X976" i="12"/>
  <c r="X977" i="12"/>
  <c r="Y976" i="12"/>
  <c r="X978" i="12"/>
  <c r="Y977" i="12"/>
  <c r="Y978" i="12"/>
  <c r="X979" i="12"/>
  <c r="X980" i="12"/>
  <c r="Y979" i="12"/>
  <c r="Y980" i="12"/>
  <c r="X981" i="12"/>
  <c r="X982" i="12"/>
  <c r="Y981" i="12"/>
  <c r="Y982" i="12"/>
  <c r="X983" i="12"/>
  <c r="X984" i="12"/>
  <c r="Y983" i="12"/>
  <c r="Y984" i="12"/>
  <c r="X985" i="12"/>
  <c r="X986" i="12"/>
  <c r="Y985" i="12"/>
  <c r="Y986" i="12"/>
  <c r="X987" i="12"/>
  <c r="Y987" i="12"/>
  <c r="X988" i="12"/>
  <c r="Y988" i="12"/>
  <c r="X989" i="12"/>
  <c r="Y989" i="12"/>
  <c r="X990" i="12"/>
  <c r="X991" i="12"/>
  <c r="Y990" i="12"/>
  <c r="X992" i="12"/>
  <c r="Y991" i="12"/>
  <c r="Y992" i="12"/>
  <c r="X993" i="12"/>
  <c r="X994" i="12"/>
  <c r="Y993" i="12"/>
  <c r="Y994" i="12"/>
  <c r="X995" i="12"/>
  <c r="X996" i="12"/>
  <c r="Y995" i="12"/>
  <c r="X997" i="12"/>
  <c r="Y996" i="12"/>
  <c r="X998" i="12"/>
  <c r="Y997" i="12"/>
  <c r="Y998" i="12"/>
  <c r="X999" i="12"/>
  <c r="Y999" i="12"/>
  <c r="X1000" i="12"/>
  <c r="Y1000" i="12"/>
  <c r="X1001" i="12"/>
  <c r="Y1001" i="12"/>
  <c r="X1002" i="12"/>
  <c r="X1003" i="12"/>
  <c r="Y1002" i="12"/>
  <c r="Y1003" i="12"/>
  <c r="X1004" i="12"/>
  <c r="Y1004" i="12"/>
  <c r="X1005" i="12"/>
  <c r="X1006" i="12"/>
  <c r="Y1005" i="12"/>
  <c r="Y1006" i="12"/>
  <c r="X1007" i="12"/>
  <c r="Y1007" i="12"/>
  <c r="X1008" i="12"/>
  <c r="X1009" i="12"/>
  <c r="Y1008" i="12"/>
  <c r="X1010" i="12"/>
  <c r="Y1009" i="12"/>
  <c r="Y1010" i="12"/>
  <c r="X1011" i="12"/>
  <c r="Y1011" i="12"/>
  <c r="X1012" i="12"/>
  <c r="X1013" i="12"/>
  <c r="Y1012" i="12"/>
  <c r="Y1013" i="12"/>
  <c r="X1014" i="12"/>
  <c r="X1015" i="12"/>
  <c r="Y1014" i="12"/>
  <c r="X1016" i="12"/>
  <c r="Y1015" i="12"/>
  <c r="Y1016" i="12"/>
  <c r="X1017" i="12"/>
  <c r="X1018" i="12"/>
  <c r="Y1017" i="12"/>
  <c r="Y1018" i="12"/>
  <c r="X1019" i="12"/>
  <c r="X1020" i="12"/>
  <c r="Y1019" i="12"/>
  <c r="Y1020" i="12"/>
  <c r="X1021" i="12"/>
  <c r="X1022" i="12"/>
  <c r="Y1021" i="12"/>
  <c r="X1023" i="12"/>
  <c r="Y1022" i="12"/>
  <c r="Y1023" i="12"/>
  <c r="X1024" i="12"/>
  <c r="X1025" i="12"/>
  <c r="Y1024" i="12"/>
  <c r="Y1025" i="12"/>
  <c r="X1026" i="12"/>
  <c r="Y1026" i="12"/>
  <c r="X1027" i="12"/>
  <c r="Y1027" i="12"/>
  <c r="X1028" i="12"/>
  <c r="Y1028" i="12"/>
  <c r="X1029" i="12"/>
  <c r="X1030" i="12"/>
  <c r="Y1029" i="12"/>
  <c r="X1031" i="12"/>
  <c r="Y1030" i="12"/>
  <c r="X1032" i="12"/>
  <c r="Y1031" i="12"/>
  <c r="X1033" i="12"/>
  <c r="Y1032" i="12"/>
  <c r="X1034" i="12"/>
  <c r="Y1033" i="12"/>
  <c r="X1035" i="12"/>
  <c r="Y1034" i="12"/>
  <c r="X1036" i="12"/>
  <c r="Y1035" i="12"/>
  <c r="X1037" i="12"/>
  <c r="Y1036" i="12"/>
  <c r="X1038" i="12"/>
  <c r="Y1037" i="12"/>
  <c r="Y1038" i="12"/>
  <c r="X1039" i="12"/>
  <c r="X1040" i="12"/>
  <c r="Y1039" i="12"/>
  <c r="Y1040" i="12"/>
  <c r="X1041" i="12"/>
  <c r="Y1041" i="12"/>
  <c r="X1042" i="12"/>
  <c r="X1043" i="12"/>
  <c r="Y1042" i="12"/>
  <c r="X1044" i="12"/>
  <c r="Y1043" i="12"/>
  <c r="Y1044" i="12"/>
  <c r="X1045" i="12"/>
  <c r="Y1045" i="12"/>
  <c r="X1046" i="12"/>
  <c r="Y1046" i="12"/>
  <c r="X1047" i="12"/>
  <c r="Y1047" i="12"/>
  <c r="X1048" i="12"/>
  <c r="Y1048" i="12"/>
  <c r="X1049" i="12"/>
  <c r="X1050" i="12"/>
  <c r="Y1049" i="12"/>
  <c r="Y1050" i="12"/>
  <c r="X1051" i="12"/>
  <c r="X1052" i="12"/>
  <c r="Y1051" i="12"/>
  <c r="Y1052" i="12"/>
  <c r="X1053" i="12"/>
  <c r="X1054" i="12"/>
  <c r="Y1053" i="12"/>
  <c r="Y1054" i="12"/>
  <c r="X1055" i="12"/>
  <c r="X1056" i="12"/>
  <c r="Y1055" i="12"/>
  <c r="X1057" i="12"/>
  <c r="Y1056" i="12"/>
  <c r="Y1057" i="12"/>
  <c r="X1058" i="12"/>
  <c r="X1059" i="12"/>
  <c r="Y1058" i="12"/>
  <c r="Y1059" i="12"/>
  <c r="X1060" i="12"/>
  <c r="Y1060" i="12"/>
  <c r="X1061" i="12"/>
  <c r="Y1061" i="12"/>
  <c r="X1062" i="12"/>
  <c r="Y1062" i="12"/>
  <c r="X1063" i="12"/>
  <c r="X1064" i="12"/>
  <c r="Y1063" i="12"/>
  <c r="X1065" i="12"/>
  <c r="Y1064" i="12"/>
  <c r="Y1065" i="12"/>
  <c r="X1066" i="12"/>
  <c r="X1067" i="12"/>
  <c r="Y1066" i="12"/>
  <c r="X1068" i="12"/>
  <c r="Y1067" i="12"/>
  <c r="Y1068" i="12"/>
  <c r="X1069" i="12"/>
  <c r="X1070" i="12"/>
  <c r="Y1069" i="12"/>
  <c r="Y1070" i="12"/>
  <c r="X1071" i="12"/>
  <c r="X1072" i="12"/>
  <c r="Y1071" i="12"/>
  <c r="X1073" i="12"/>
  <c r="Y1072" i="12"/>
  <c r="X1074" i="12"/>
  <c r="Y1073" i="12"/>
  <c r="Y1074" i="12"/>
  <c r="X1075" i="12"/>
  <c r="X1076" i="12"/>
  <c r="Y1075" i="12"/>
  <c r="X1077" i="12"/>
  <c r="Y1076" i="12"/>
  <c r="Y1077" i="12"/>
  <c r="X1078" i="12"/>
  <c r="Y1078" i="12"/>
  <c r="X1079" i="12"/>
  <c r="Y1079" i="12"/>
  <c r="X1080" i="12"/>
  <c r="Y1080" i="12"/>
  <c r="X1081" i="12"/>
  <c r="X1082" i="12"/>
  <c r="Y1081" i="12"/>
  <c r="X1083" i="12"/>
  <c r="Y1082" i="12"/>
  <c r="X1084" i="12"/>
  <c r="Y1083" i="12"/>
  <c r="Y1084" i="12"/>
  <c r="X1085" i="12"/>
  <c r="Y1085" i="12"/>
  <c r="X1086" i="12"/>
  <c r="Y1086" i="12"/>
  <c r="X1087" i="12"/>
  <c r="Y1087" i="12"/>
  <c r="X1088" i="12"/>
  <c r="Y1088" i="12"/>
  <c r="X1089" i="12"/>
  <c r="Y1089" i="12"/>
  <c r="X1090" i="12"/>
  <c r="Y1090" i="12"/>
  <c r="X1091" i="12"/>
  <c r="X1092" i="12"/>
  <c r="Y1091" i="12"/>
  <c r="Y1092" i="12"/>
  <c r="X1093" i="12"/>
  <c r="X1094" i="12"/>
  <c r="Y1093" i="12"/>
  <c r="Y1094" i="12"/>
  <c r="X1095" i="12"/>
  <c r="Y1095" i="12"/>
  <c r="X1096" i="12"/>
  <c r="X1097" i="12"/>
  <c r="Y1096" i="12"/>
  <c r="Y1097" i="12"/>
  <c r="X1098" i="12"/>
  <c r="X1099" i="12"/>
  <c r="Y1098" i="12"/>
  <c r="X1100" i="12"/>
  <c r="Y1099" i="12"/>
  <c r="X1101" i="12"/>
  <c r="Y1100" i="12"/>
  <c r="Y1101" i="12"/>
  <c r="X1102" i="12"/>
  <c r="X1103" i="12"/>
  <c r="Y1102" i="12"/>
  <c r="Y1103" i="12"/>
  <c r="X1104" i="12"/>
  <c r="Y1104" i="12"/>
  <c r="X1105" i="12"/>
  <c r="Y1105" i="12"/>
  <c r="X1106" i="12"/>
  <c r="X1107" i="12"/>
  <c r="Y1106" i="12"/>
  <c r="X1108" i="12"/>
  <c r="Y1107" i="12"/>
  <c r="Y1108" i="12"/>
  <c r="X1109" i="12"/>
  <c r="Y1109" i="12"/>
  <c r="X1110" i="12"/>
  <c r="Y1110" i="12"/>
  <c r="X1111" i="12"/>
  <c r="X1112" i="12"/>
  <c r="Y1111" i="12"/>
  <c r="Y1112" i="12"/>
  <c r="X1113" i="12"/>
  <c r="X1114" i="12"/>
  <c r="Y1113" i="12"/>
  <c r="Y1114" i="12"/>
  <c r="X1115" i="12"/>
  <c r="X1116" i="12"/>
  <c r="Y1115" i="12"/>
  <c r="Y1116" i="12"/>
  <c r="X1117" i="12"/>
  <c r="Y1117" i="12"/>
  <c r="X1118" i="12"/>
  <c r="Y1118" i="12"/>
  <c r="X1119" i="12"/>
  <c r="X1120" i="12"/>
  <c r="Y1119" i="12"/>
  <c r="Y1120" i="12"/>
  <c r="X1121" i="12"/>
  <c r="Y1121" i="12"/>
  <c r="X1122" i="12"/>
  <c r="Y1122" i="12"/>
  <c r="X1123" i="12"/>
  <c r="X1124" i="12"/>
  <c r="Y1123" i="12"/>
  <c r="X1125" i="12"/>
  <c r="Y1124" i="12"/>
  <c r="X1126" i="12"/>
  <c r="Y1125" i="12"/>
  <c r="Y1126" i="12"/>
  <c r="X1127" i="12"/>
  <c r="X1128" i="12"/>
  <c r="Y1127" i="12"/>
  <c r="Y1128" i="12"/>
  <c r="X1129" i="12"/>
  <c r="X1130" i="12"/>
  <c r="Y1129" i="12"/>
  <c r="Y1130" i="12"/>
  <c r="X1131" i="12"/>
  <c r="X1132" i="12"/>
  <c r="Y1131" i="12"/>
  <c r="Y1132" i="12"/>
  <c r="X1133" i="12"/>
  <c r="X1134" i="12"/>
  <c r="Y1133" i="12"/>
  <c r="X1135" i="12"/>
  <c r="Y1134" i="12"/>
  <c r="X1136" i="12"/>
  <c r="Y1135" i="12"/>
  <c r="Y1136" i="12"/>
  <c r="X1137" i="12"/>
  <c r="Y1137" i="12"/>
  <c r="X1138" i="12"/>
  <c r="Y1138" i="12"/>
  <c r="X1139" i="12"/>
  <c r="Y1139" i="12"/>
  <c r="X1140" i="12"/>
  <c r="Y1140" i="12"/>
  <c r="X1141" i="12"/>
  <c r="X1142" i="12"/>
  <c r="Y1141" i="12"/>
  <c r="X1143" i="12"/>
  <c r="Y1142" i="12"/>
  <c r="Y1143" i="12"/>
  <c r="X1144" i="12"/>
  <c r="X1145" i="12"/>
  <c r="Y1144" i="12"/>
  <c r="X1146" i="12"/>
  <c r="Y1145" i="12"/>
  <c r="Y1146" i="12"/>
  <c r="X1147" i="12"/>
  <c r="Y1147" i="12"/>
  <c r="X1148" i="12"/>
  <c r="Y1148" i="12"/>
  <c r="X1149" i="12"/>
  <c r="X1150" i="12"/>
  <c r="Y1149" i="12"/>
  <c r="Y1150" i="12"/>
  <c r="X1151" i="12"/>
  <c r="Y1151" i="12"/>
  <c r="X1152" i="12"/>
  <c r="X1153" i="12"/>
  <c r="Y1152" i="12"/>
  <c r="X1154" i="12"/>
  <c r="Y1153" i="12"/>
  <c r="X1155" i="12"/>
  <c r="Y1154" i="12"/>
  <c r="Y1155" i="12"/>
  <c r="X1156" i="12"/>
  <c r="Y1156" i="12"/>
  <c r="X1157" i="12"/>
  <c r="Y1157" i="12"/>
  <c r="X1158" i="12"/>
  <c r="Y1158" i="12"/>
  <c r="X1159" i="12"/>
  <c r="Y1159" i="12"/>
  <c r="X1160" i="12"/>
  <c r="Y1160" i="12"/>
  <c r="X1161" i="12"/>
  <c r="Y1161" i="12"/>
  <c r="X1162" i="12"/>
  <c r="X1163" i="12"/>
  <c r="Y1162" i="12"/>
  <c r="X1164" i="12"/>
  <c r="Y1163" i="12"/>
  <c r="Y1164" i="12"/>
  <c r="X1165" i="12"/>
  <c r="Y1165" i="12"/>
  <c r="X1166" i="12"/>
  <c r="Y1166" i="12"/>
  <c r="X1167" i="12"/>
  <c r="Y1167" i="12"/>
  <c r="X1168" i="12"/>
  <c r="Y1168" i="12"/>
  <c r="X1169" i="12"/>
  <c r="Y1169" i="12"/>
  <c r="X1170" i="12"/>
  <c r="X1171" i="12"/>
  <c r="Y1170" i="12"/>
  <c r="X1172" i="12"/>
  <c r="Y1171" i="12"/>
  <c r="X1173" i="12"/>
  <c r="Y1172" i="12"/>
  <c r="X1174" i="12"/>
  <c r="Y1173" i="12"/>
  <c r="X1175" i="12"/>
  <c r="Y1174" i="12"/>
  <c r="Y1175" i="12"/>
  <c r="X1176" i="12"/>
  <c r="X1177" i="12"/>
  <c r="Y1176" i="12"/>
  <c r="Y1177" i="12"/>
  <c r="X1178" i="12"/>
  <c r="X1179" i="12"/>
  <c r="Y1178" i="12"/>
  <c r="Y1179" i="12"/>
  <c r="X1180" i="12"/>
  <c r="Y1180" i="12"/>
  <c r="X1181" i="12"/>
  <c r="X1182" i="12"/>
  <c r="Y1181" i="12"/>
  <c r="X1183" i="12"/>
  <c r="Y1182" i="12"/>
  <c r="Y1183" i="12"/>
  <c r="X1184" i="12"/>
  <c r="Y1184" i="12"/>
  <c r="X1185" i="12"/>
  <c r="Y1185" i="12"/>
  <c r="X1186" i="12"/>
  <c r="Y1186" i="12"/>
  <c r="X1187" i="12"/>
  <c r="Y1187" i="12"/>
  <c r="X1188" i="12"/>
  <c r="Y1188" i="12"/>
  <c r="X1189" i="12"/>
  <c r="Y1189" i="12"/>
  <c r="X1190" i="12"/>
  <c r="X1191" i="12"/>
  <c r="Y1190" i="12"/>
  <c r="Y1191" i="12"/>
  <c r="X1192" i="12"/>
  <c r="X1193" i="12"/>
  <c r="Y1192" i="12"/>
  <c r="Y1193" i="12"/>
  <c r="X1194" i="12"/>
  <c r="X1195" i="12"/>
  <c r="Y1194" i="12"/>
  <c r="Y1195" i="12"/>
  <c r="X1196" i="12"/>
  <c r="X1197" i="12"/>
  <c r="Y1196" i="12"/>
  <c r="Y1197" i="12"/>
  <c r="X1198" i="12"/>
  <c r="X1199" i="12"/>
  <c r="Y1198" i="12"/>
  <c r="X1200" i="12"/>
  <c r="Y1199" i="12"/>
  <c r="X1201" i="12"/>
  <c r="Y1200" i="12"/>
  <c r="Y1201" i="12"/>
  <c r="X1202" i="12"/>
  <c r="X1203" i="12"/>
  <c r="Y1202" i="12"/>
  <c r="X1204" i="12"/>
  <c r="Y1203" i="12"/>
  <c r="X1205" i="12"/>
  <c r="Y1204" i="12"/>
  <c r="X1206" i="12"/>
  <c r="Y1205" i="12"/>
  <c r="X1207" i="12"/>
  <c r="Y1206" i="12"/>
  <c r="X1208" i="12"/>
  <c r="Y1207" i="12"/>
  <c r="Y1208" i="12"/>
  <c r="X1209" i="12"/>
  <c r="X1210" i="12"/>
  <c r="Y1209" i="12"/>
  <c r="Y1210" i="12"/>
  <c r="X1211" i="12"/>
  <c r="Y1211" i="12"/>
  <c r="X1212" i="12"/>
  <c r="X1213" i="12"/>
  <c r="Y1212" i="12"/>
  <c r="X1214" i="12"/>
  <c r="Y1213" i="12"/>
  <c r="X1215" i="12"/>
  <c r="Y1214" i="12"/>
  <c r="X1216" i="12"/>
  <c r="Y1215" i="12"/>
  <c r="X1217" i="12"/>
  <c r="Y1216" i="12"/>
  <c r="Y1217" i="12"/>
  <c r="X1218" i="12"/>
  <c r="X1219" i="12"/>
  <c r="Y1218" i="12"/>
  <c r="Y1219" i="12"/>
  <c r="X1220" i="12"/>
  <c r="X1221" i="12"/>
  <c r="Y1220" i="12"/>
  <c r="X1222" i="12"/>
  <c r="Y1221" i="12"/>
  <c r="X1223" i="12"/>
  <c r="Y1222" i="12"/>
  <c r="X1224" i="12"/>
  <c r="Y1223" i="12"/>
  <c r="X1225" i="12"/>
  <c r="Y1224" i="12"/>
  <c r="X1226" i="12"/>
  <c r="Y1225" i="12"/>
  <c r="X1227" i="12"/>
  <c r="Y1226" i="12"/>
  <c r="Y1227" i="12"/>
  <c r="X1228" i="12"/>
  <c r="Y1228" i="12"/>
  <c r="X1229" i="12"/>
  <c r="X1230" i="12"/>
  <c r="Y1229" i="12"/>
  <c r="Y1230" i="12"/>
  <c r="X1231" i="12"/>
  <c r="Y1231" i="12"/>
  <c r="X1232" i="12"/>
  <c r="Y1232" i="12"/>
  <c r="X1233" i="12"/>
  <c r="Y1233" i="12"/>
  <c r="X1234" i="12"/>
  <c r="Y1234" i="12"/>
  <c r="X1235" i="12"/>
  <c r="X1236" i="12"/>
  <c r="Y1235" i="12"/>
  <c r="X1237" i="12"/>
  <c r="Y1236" i="12"/>
  <c r="Y1237" i="12"/>
  <c r="X1238" i="12"/>
  <c r="X1239" i="12"/>
  <c r="Y1238" i="12"/>
  <c r="Y1239" i="12"/>
  <c r="X1240" i="12"/>
  <c r="X1241" i="12"/>
  <c r="Y1240" i="12"/>
  <c r="Y1241" i="12"/>
  <c r="X1242" i="12"/>
  <c r="Y1242" i="12"/>
  <c r="X1243" i="12"/>
  <c r="X1244" i="12"/>
  <c r="Y1243" i="12"/>
  <c r="X1245" i="12"/>
  <c r="Y1244" i="12"/>
  <c r="X1246" i="12"/>
  <c r="Y1245" i="12"/>
  <c r="Y1246" i="12"/>
  <c r="X1247" i="12"/>
  <c r="Y1247" i="12"/>
  <c r="X1248" i="12"/>
  <c r="X1249" i="12"/>
  <c r="Y1248" i="12"/>
  <c r="X1250" i="12"/>
  <c r="Y1249" i="12"/>
  <c r="Y1250" i="12"/>
  <c r="X1251" i="12"/>
  <c r="Y1251" i="12"/>
  <c r="X1252" i="12"/>
  <c r="Y1252" i="12"/>
  <c r="X1253" i="12"/>
  <c r="X1254" i="12"/>
  <c r="Y1253" i="12"/>
  <c r="X1255" i="12"/>
  <c r="Y1254" i="12"/>
  <c r="Y1255" i="12"/>
  <c r="X1256" i="12"/>
  <c r="X1257" i="12"/>
  <c r="Y1256" i="12"/>
  <c r="X1258" i="12"/>
  <c r="Y1257" i="12"/>
  <c r="Y1258" i="12"/>
  <c r="X1259" i="12"/>
  <c r="X1260" i="12"/>
  <c r="Y1259" i="12"/>
  <c r="X1261" i="12"/>
  <c r="Y1260" i="12"/>
  <c r="X1262" i="12"/>
  <c r="Y1261" i="12"/>
  <c r="X1263" i="12"/>
  <c r="Y1262" i="12"/>
  <c r="Y1263" i="12"/>
  <c r="X1264" i="12"/>
  <c r="Y1264" i="12"/>
  <c r="X1265" i="12"/>
  <c r="X1266" i="12"/>
  <c r="Y1265" i="12"/>
  <c r="Y1266" i="12"/>
  <c r="X1267" i="12"/>
  <c r="X1268" i="12"/>
  <c r="Y1267" i="12"/>
  <c r="Y1268" i="12"/>
  <c r="X1269" i="12"/>
  <c r="X1270" i="12"/>
  <c r="Y1269" i="12"/>
  <c r="Y1270" i="12"/>
  <c r="X1271" i="12"/>
  <c r="Y1271" i="12"/>
  <c r="X1272" i="12"/>
  <c r="X1273" i="12"/>
  <c r="Y1272" i="12"/>
  <c r="X1274" i="12"/>
  <c r="Y1273" i="12"/>
  <c r="Y1274" i="12"/>
  <c r="X1275" i="12"/>
  <c r="Y1275" i="12"/>
  <c r="X1276" i="12"/>
  <c r="X1277" i="12"/>
  <c r="Y1276" i="12"/>
  <c r="Y1277" i="12"/>
  <c r="X1278" i="12"/>
  <c r="X1279" i="12"/>
  <c r="Y1278" i="12"/>
  <c r="Y1279" i="12"/>
  <c r="X1280" i="12"/>
  <c r="Y1280" i="12"/>
  <c r="X1281" i="12"/>
  <c r="X1282" i="12"/>
  <c r="Y1281" i="12"/>
  <c r="X1283" i="12"/>
  <c r="Y1282" i="12"/>
  <c r="X1284" i="12"/>
  <c r="Y1283" i="12"/>
  <c r="X1285" i="12"/>
  <c r="Y1284" i="12"/>
  <c r="X1286" i="12"/>
  <c r="Y1285" i="12"/>
  <c r="X1287" i="12"/>
  <c r="Y1286" i="12"/>
  <c r="Y1287" i="12"/>
  <c r="X1288" i="12"/>
  <c r="Y1288" i="12"/>
  <c r="X1289" i="12"/>
  <c r="X1290" i="12"/>
  <c r="Y1289" i="12"/>
  <c r="Y1290" i="12"/>
  <c r="X1291" i="12"/>
  <c r="Y1291" i="12"/>
  <c r="X1292" i="12"/>
  <c r="Y1292" i="12"/>
  <c r="X1293" i="12"/>
  <c r="Y1293" i="12"/>
  <c r="X1294" i="12"/>
  <c r="X1295" i="12"/>
  <c r="Y1294" i="12"/>
  <c r="Y1295" i="12"/>
  <c r="X1296" i="12"/>
  <c r="X1297" i="12"/>
  <c r="Y1296" i="12"/>
  <c r="Y1297" i="12"/>
  <c r="X1298" i="12"/>
  <c r="Y1298" i="12"/>
  <c r="X1299" i="12"/>
  <c r="Y1299" i="12"/>
  <c r="X1300" i="12"/>
  <c r="X1301" i="12"/>
  <c r="Y1300" i="12"/>
  <c r="X1302" i="12"/>
  <c r="Y1301" i="12"/>
  <c r="Y1302" i="12"/>
  <c r="X1303" i="12"/>
  <c r="X1304" i="12"/>
  <c r="Y1303" i="12"/>
  <c r="X1305" i="12"/>
  <c r="Y1304" i="12"/>
  <c r="Y1305" i="12"/>
  <c r="X1306" i="12"/>
  <c r="Y1306" i="12"/>
  <c r="X1307" i="12"/>
  <c r="Y1307" i="12"/>
  <c r="X1308" i="12"/>
  <c r="Y1308" i="12"/>
  <c r="X1309" i="12"/>
  <c r="Y1309" i="12"/>
  <c r="X1310" i="12"/>
  <c r="Y1310" i="12"/>
  <c r="X1311" i="12"/>
  <c r="X1312" i="12"/>
  <c r="Y1311" i="12"/>
  <c r="X1313" i="12"/>
  <c r="Y1312" i="12"/>
  <c r="Y1313" i="12"/>
  <c r="X1314" i="12"/>
  <c r="Y1314" i="12"/>
  <c r="X1315" i="12"/>
  <c r="X1316" i="12"/>
  <c r="Y1315" i="12"/>
  <c r="X1317" i="12"/>
  <c r="Y1316" i="12"/>
  <c r="X1318" i="12"/>
  <c r="Y1317" i="12"/>
  <c r="Y1318" i="12"/>
  <c r="X1319" i="12"/>
  <c r="X1320" i="12"/>
  <c r="Y1319" i="12"/>
  <c r="Y1320" i="12"/>
  <c r="X1321" i="12"/>
  <c r="Y1321" i="12"/>
  <c r="X1322" i="12"/>
  <c r="Y1322" i="12"/>
  <c r="X1323" i="12"/>
  <c r="Y1323" i="12"/>
  <c r="X1324" i="12"/>
  <c r="Y1324" i="12"/>
  <c r="X1325" i="12"/>
  <c r="Y1325" i="12"/>
  <c r="X1326" i="12"/>
  <c r="X1327" i="12"/>
  <c r="Y1326" i="12"/>
  <c r="Y1327" i="12"/>
  <c r="X1328" i="12"/>
  <c r="X1329" i="12"/>
  <c r="Y1328" i="12"/>
  <c r="X1330" i="12"/>
  <c r="Y1329" i="12"/>
  <c r="Y1330" i="12"/>
  <c r="X1331" i="12"/>
  <c r="X1332" i="12"/>
  <c r="Y1331" i="12"/>
  <c r="X1333" i="12"/>
  <c r="Y1332" i="12"/>
  <c r="Y1333" i="12"/>
  <c r="X1334" i="12"/>
  <c r="X1335" i="12"/>
  <c r="Y1334" i="12"/>
  <c r="X1336" i="12"/>
  <c r="Y1335" i="12"/>
  <c r="X1337" i="12"/>
  <c r="Y1336" i="12"/>
  <c r="Y1337" i="12"/>
  <c r="X1338" i="12"/>
  <c r="X1339" i="12"/>
  <c r="Y1338" i="12"/>
  <c r="X1340" i="12"/>
  <c r="Y1339" i="12"/>
  <c r="X1341" i="12"/>
  <c r="Y1340" i="12"/>
  <c r="X1342" i="12"/>
  <c r="Y1341" i="12"/>
  <c r="Y1342" i="12"/>
  <c r="X1343" i="12"/>
  <c r="X1344" i="12"/>
  <c r="Y1343" i="12"/>
  <c r="X1345" i="12"/>
  <c r="Y1344" i="12"/>
  <c r="Y1345" i="12"/>
  <c r="X1346" i="12"/>
  <c r="Y1346" i="12"/>
  <c r="X1347" i="12"/>
  <c r="Y1347" i="12"/>
  <c r="X1348" i="12"/>
  <c r="Y1348" i="12"/>
  <c r="X1349" i="12"/>
  <c r="X1350" i="12"/>
  <c r="Y1349" i="12"/>
  <c r="Y1350" i="12"/>
  <c r="X1351" i="12"/>
  <c r="Y1351" i="12"/>
  <c r="X1352" i="12"/>
  <c r="Y1352" i="12"/>
  <c r="X1353" i="12"/>
  <c r="X1354" i="12"/>
  <c r="Y1353" i="12"/>
  <c r="X1355" i="12"/>
  <c r="Y1354" i="12"/>
  <c r="X1356" i="12"/>
  <c r="Y1355" i="12"/>
  <c r="Y1356" i="12"/>
  <c r="X1357" i="12"/>
  <c r="Y1357" i="12"/>
  <c r="X1358" i="12"/>
  <c r="X1359" i="12"/>
  <c r="Y1358" i="12"/>
  <c r="X1360" i="12"/>
  <c r="Y1359" i="12"/>
  <c r="Y1360" i="12"/>
  <c r="X1361" i="12"/>
  <c r="Y1361" i="12"/>
  <c r="X1362" i="12"/>
  <c r="X1363" i="12"/>
  <c r="Y1362" i="12"/>
  <c r="Y1363" i="12"/>
  <c r="X1364" i="12"/>
  <c r="Y1364" i="12"/>
  <c r="X1365" i="12"/>
  <c r="X1366" i="12"/>
  <c r="Y1365" i="12"/>
  <c r="X1367" i="12"/>
  <c r="Y1366" i="12"/>
  <c r="X1368" i="12"/>
  <c r="Y1367" i="12"/>
  <c r="Y1368" i="12"/>
  <c r="X1369" i="12"/>
  <c r="Y1369" i="12"/>
  <c r="X1370" i="12"/>
  <c r="X1371" i="12"/>
  <c r="Y1370" i="12"/>
  <c r="X1372" i="12"/>
  <c r="Y1371" i="12"/>
  <c r="Y1372" i="12"/>
  <c r="X1373" i="12"/>
  <c r="Y1373" i="12"/>
  <c r="X1374" i="12"/>
  <c r="Y1374" i="12"/>
  <c r="X1375" i="12"/>
  <c r="X1376" i="12"/>
  <c r="Y1375" i="12"/>
  <c r="X1377" i="12"/>
  <c r="Y1376" i="12"/>
  <c r="X1378" i="12"/>
  <c r="Y1377" i="12"/>
  <c r="X1379" i="12"/>
  <c r="Y1378" i="12"/>
  <c r="Y1379" i="12"/>
  <c r="X1380" i="12"/>
  <c r="Y1380" i="12"/>
  <c r="X1381" i="12"/>
  <c r="X1382" i="12"/>
  <c r="Y1381" i="12"/>
  <c r="Y1382" i="12"/>
  <c r="X1383" i="12"/>
  <c r="Y1383" i="12"/>
  <c r="X1384" i="12"/>
  <c r="X1385" i="12"/>
  <c r="Y1384" i="12"/>
  <c r="Y1385" i="12"/>
  <c r="X1386" i="12"/>
  <c r="Y1386" i="12"/>
  <c r="X1387" i="12"/>
  <c r="Y1387" i="12"/>
  <c r="X1388" i="12"/>
  <c r="X1389" i="12"/>
  <c r="Y1388" i="12"/>
  <c r="Y1389" i="12"/>
  <c r="X1390" i="12"/>
  <c r="Y1390" i="12"/>
  <c r="X1391" i="12"/>
  <c r="Y1391" i="12"/>
  <c r="X1392" i="12"/>
  <c r="Y1392" i="12"/>
  <c r="X1393" i="12"/>
  <c r="Y1393" i="12"/>
  <c r="X1394" i="12"/>
  <c r="Y1394" i="12"/>
  <c r="X1395" i="12"/>
  <c r="X1396" i="12"/>
  <c r="Y1395" i="12"/>
  <c r="X1397" i="12"/>
  <c r="Y1396" i="12"/>
  <c r="X1398" i="12"/>
  <c r="Y1397" i="12"/>
  <c r="X1399" i="12"/>
  <c r="Y1398" i="12"/>
  <c r="Y1399" i="12"/>
  <c r="X1400" i="12"/>
  <c r="Y1400" i="12"/>
  <c r="X1401" i="12"/>
  <c r="X1402" i="12"/>
  <c r="Y1401" i="12"/>
  <c r="Y1402" i="12"/>
  <c r="X1403" i="12"/>
  <c r="X1404" i="12"/>
  <c r="Y1403" i="12"/>
  <c r="Y1404" i="12"/>
  <c r="X1405" i="12"/>
  <c r="X1406" i="12"/>
  <c r="Y1405" i="12"/>
  <c r="X1407" i="12"/>
  <c r="Y1406" i="12"/>
  <c r="Y1407" i="12"/>
  <c r="X1408" i="12"/>
  <c r="Y1408" i="12"/>
  <c r="X1409" i="12"/>
  <c r="X1410" i="12"/>
  <c r="Y1409" i="12"/>
  <c r="Y1410" i="12"/>
  <c r="X1411" i="12"/>
  <c r="Y1411" i="12"/>
  <c r="X1412" i="12"/>
  <c r="Y1412" i="12"/>
  <c r="X1413" i="12"/>
  <c r="Y1413" i="12"/>
  <c r="X1414" i="12"/>
  <c r="Y1414" i="12"/>
  <c r="X1415" i="12"/>
  <c r="Y1415" i="12"/>
  <c r="X1416" i="12"/>
  <c r="Y1416" i="12"/>
  <c r="X1417" i="12"/>
  <c r="Y1417" i="12"/>
  <c r="X1418" i="12"/>
  <c r="X1419" i="12"/>
  <c r="Y1418" i="12"/>
  <c r="Y1419" i="12"/>
  <c r="X1420" i="12"/>
  <c r="Y1420" i="12"/>
  <c r="X1421" i="12"/>
  <c r="X1422" i="12"/>
  <c r="Y1421" i="12"/>
  <c r="X1423" i="12"/>
  <c r="Y1422" i="12"/>
  <c r="Y1423" i="12"/>
  <c r="X1424" i="12"/>
  <c r="X1425" i="12"/>
  <c r="Y1424" i="12"/>
  <c r="X1426" i="12"/>
  <c r="Y1425" i="12"/>
  <c r="Y1426" i="12"/>
  <c r="X1427" i="12"/>
  <c r="X1428" i="12"/>
  <c r="Y1427" i="12"/>
  <c r="Y1428" i="12"/>
  <c r="X1429" i="12"/>
  <c r="X1430" i="12"/>
  <c r="Y1429" i="12"/>
  <c r="X1431" i="12"/>
  <c r="Y1430" i="12"/>
  <c r="Y1431" i="12"/>
  <c r="X1432" i="12"/>
  <c r="X1433" i="12"/>
  <c r="Y1432" i="12"/>
  <c r="X1434" i="12"/>
  <c r="Y1433" i="12"/>
  <c r="X1435" i="12"/>
  <c r="Y1434" i="12"/>
  <c r="X1436" i="12"/>
  <c r="Y1435" i="12"/>
  <c r="Y1436" i="12"/>
  <c r="X1437" i="12"/>
  <c r="X1438" i="12"/>
  <c r="Y1437" i="12"/>
  <c r="Y1438" i="12"/>
  <c r="X1439" i="12"/>
  <c r="Y1439" i="12"/>
  <c r="X1440" i="12"/>
  <c r="Y1440" i="12"/>
  <c r="X1441" i="12"/>
  <c r="X1442" i="12"/>
  <c r="Y1441" i="12"/>
  <c r="Y1442" i="12"/>
  <c r="X1443" i="12"/>
  <c r="Y1443" i="12"/>
  <c r="X1444" i="12"/>
  <c r="X1445" i="12"/>
  <c r="Y1444" i="12"/>
  <c r="Y1445" i="12"/>
  <c r="X1446" i="12"/>
  <c r="X1447" i="12"/>
  <c r="Y1446" i="12"/>
  <c r="Y1447" i="12"/>
  <c r="X1448" i="12"/>
  <c r="X1449" i="12"/>
  <c r="Y1448" i="12"/>
  <c r="X1450" i="12"/>
  <c r="Y1449" i="12"/>
  <c r="Y1450" i="12"/>
  <c r="X1451" i="12"/>
  <c r="Y1451" i="12"/>
  <c r="X1452" i="12"/>
  <c r="Y1452" i="12"/>
  <c r="X1453" i="12"/>
  <c r="Y1453" i="12"/>
  <c r="X1454" i="12"/>
  <c r="Y1454" i="12"/>
  <c r="X1455" i="12"/>
  <c r="X1456" i="12"/>
  <c r="Y1455" i="12"/>
  <c r="X1457" i="12"/>
  <c r="Y1456" i="12"/>
  <c r="X1458" i="12"/>
  <c r="Y1457" i="12"/>
  <c r="X1459" i="12"/>
  <c r="Y1458" i="12"/>
  <c r="Y1459" i="12"/>
  <c r="X1460" i="12"/>
  <c r="X1461" i="12"/>
  <c r="Y1460" i="12"/>
  <c r="Y1461" i="12"/>
  <c r="X1462" i="12"/>
  <c r="X1463" i="12"/>
  <c r="Y1462" i="12"/>
  <c r="X1464" i="12"/>
  <c r="Y1463" i="12"/>
  <c r="Y1464" i="12"/>
  <c r="X1465" i="12"/>
  <c r="X1466" i="12"/>
  <c r="Y1465" i="12"/>
  <c r="X1467" i="12"/>
  <c r="Y1466" i="12"/>
  <c r="X1468" i="12"/>
  <c r="Y1467" i="12"/>
  <c r="Y1468" i="12"/>
  <c r="X1469" i="12"/>
  <c r="X1470" i="12"/>
  <c r="Y1469" i="12"/>
  <c r="Y1470" i="12"/>
  <c r="X1471" i="12"/>
  <c r="X1472" i="12"/>
  <c r="Y1471" i="12"/>
  <c r="X1473" i="12"/>
  <c r="Y1472" i="12"/>
  <c r="Y1473" i="12"/>
  <c r="X1474" i="12"/>
  <c r="X1475" i="12"/>
  <c r="Y1474" i="12"/>
  <c r="Y1475" i="12"/>
  <c r="X1476" i="12"/>
  <c r="X1477" i="12"/>
  <c r="Y1476" i="12"/>
  <c r="Y1477" i="12"/>
  <c r="X1478" i="12"/>
  <c r="Y1478" i="12"/>
  <c r="X1479" i="12"/>
  <c r="X1480" i="12"/>
  <c r="Y1479" i="12"/>
  <c r="Y1480" i="12"/>
  <c r="X1481" i="12"/>
  <c r="Y1481" i="12"/>
  <c r="X1482" i="12"/>
  <c r="X1483" i="12"/>
  <c r="Y1482" i="12"/>
  <c r="X1484" i="12"/>
  <c r="Y1483" i="12"/>
  <c r="Y1484" i="12"/>
  <c r="X1485" i="12"/>
  <c r="X1486" i="12"/>
  <c r="Y1485" i="12"/>
  <c r="X1487" i="12"/>
  <c r="Y1486" i="12"/>
  <c r="X1488" i="12"/>
  <c r="Y1487" i="12"/>
  <c r="X1489" i="12"/>
  <c r="Y1488" i="12"/>
  <c r="Y1489" i="12"/>
  <c r="X1490" i="12"/>
  <c r="X1491" i="12"/>
  <c r="Y1490" i="12"/>
  <c r="Y1491" i="12"/>
  <c r="X1492" i="12"/>
  <c r="X1493" i="12"/>
  <c r="Y1492" i="12"/>
  <c r="Y1493" i="12"/>
  <c r="X1494" i="12"/>
  <c r="X1495" i="12"/>
  <c r="Y1494" i="12"/>
  <c r="X1496" i="12"/>
  <c r="Y1495" i="12"/>
  <c r="X1497" i="12"/>
  <c r="Y1496" i="12"/>
  <c r="X1498" i="12"/>
  <c r="Y1497" i="12"/>
  <c r="X1499" i="12"/>
  <c r="Y1498" i="12"/>
  <c r="X1500" i="12"/>
  <c r="Y1499" i="12"/>
  <c r="Y1500" i="12"/>
  <c r="X1501" i="12"/>
  <c r="Y1501" i="12"/>
  <c r="X1502" i="12"/>
  <c r="Y1502" i="12"/>
  <c r="X1503" i="12"/>
  <c r="X1504" i="12"/>
  <c r="Y1503" i="12"/>
  <c r="Y1504" i="12"/>
  <c r="X1505" i="12"/>
  <c r="X1506" i="12"/>
  <c r="Y1505" i="12"/>
  <c r="X1507" i="12"/>
  <c r="Y1506" i="12"/>
  <c r="Y1507" i="12"/>
  <c r="X1508" i="12"/>
  <c r="Y1508" i="12"/>
  <c r="X1509" i="12"/>
  <c r="X1510" i="12"/>
  <c r="Y1509" i="12"/>
  <c r="X1511" i="12"/>
  <c r="Y1510" i="12"/>
  <c r="Y1511" i="12"/>
  <c r="X1512" i="12"/>
  <c r="Y1512" i="12"/>
  <c r="X1513" i="12"/>
  <c r="Y1513" i="12"/>
  <c r="X1514" i="12"/>
  <c r="Y1514" i="12"/>
  <c r="X1515" i="12"/>
  <c r="X1516" i="12"/>
  <c r="Y1515" i="12"/>
  <c r="X1517" i="12"/>
  <c r="Y1516" i="12"/>
  <c r="X1518" i="12"/>
  <c r="Y1517" i="12"/>
  <c r="Y1518" i="12"/>
  <c r="X1519" i="12"/>
  <c r="Y1519" i="12"/>
  <c r="X1520" i="12"/>
  <c r="Y1520" i="12"/>
  <c r="X1521" i="12"/>
  <c r="Y1521" i="12"/>
  <c r="X1522" i="12"/>
  <c r="Y1522" i="12"/>
  <c r="X1523" i="12"/>
  <c r="Y1523" i="12"/>
  <c r="X1524" i="12"/>
  <c r="X1525" i="12"/>
  <c r="Y1524" i="12"/>
  <c r="X1526" i="12"/>
  <c r="Y1525" i="12"/>
  <c r="Y1526" i="12"/>
  <c r="X1527" i="12"/>
  <c r="Y1527" i="12"/>
  <c r="X1528" i="12"/>
  <c r="X1529" i="12"/>
  <c r="Y1528" i="12"/>
  <c r="Y1529" i="12"/>
  <c r="X1530" i="12"/>
  <c r="Y1530" i="12"/>
  <c r="X1531" i="12"/>
  <c r="Y1531" i="12"/>
  <c r="X1532" i="12"/>
  <c r="X1533" i="12"/>
  <c r="Y1532" i="12"/>
  <c r="Y1533" i="12"/>
  <c r="X1534" i="12"/>
  <c r="Y1534" i="12"/>
  <c r="X1535" i="12"/>
  <c r="X1536" i="12"/>
  <c r="Y1535" i="12"/>
  <c r="Y1536" i="12"/>
  <c r="X1537" i="12"/>
  <c r="X1538" i="12"/>
  <c r="Y1537" i="12"/>
  <c r="X1539" i="12"/>
  <c r="Y1538" i="12"/>
  <c r="X1540" i="12"/>
  <c r="Y1539" i="12"/>
  <c r="X1541" i="12"/>
  <c r="Y1540" i="12"/>
  <c r="X1542" i="12"/>
  <c r="Y1541" i="12"/>
  <c r="Y1542" i="12"/>
  <c r="X1543" i="12"/>
  <c r="Y1543" i="12"/>
  <c r="X1544" i="12"/>
  <c r="X1545" i="12"/>
  <c r="Y1544" i="12"/>
  <c r="Y1545" i="12"/>
  <c r="X1546" i="12"/>
  <c r="X1547" i="12"/>
  <c r="Y1546" i="12"/>
  <c r="X1548" i="12"/>
  <c r="Y1547" i="12"/>
  <c r="Y1548" i="12"/>
  <c r="X1549" i="12"/>
  <c r="Y1549" i="12"/>
  <c r="X1550" i="12"/>
  <c r="Y1550" i="12"/>
  <c r="X1551" i="12"/>
  <c r="X1552" i="12"/>
  <c r="Y1551" i="12"/>
  <c r="X1553" i="12"/>
  <c r="Y1552" i="12"/>
  <c r="X1554" i="12"/>
  <c r="Y1553" i="12"/>
  <c r="Y1554" i="12"/>
  <c r="X1555" i="12"/>
  <c r="Y1555" i="12"/>
  <c r="X1556" i="12"/>
  <c r="Y1556" i="12"/>
  <c r="X1557" i="12"/>
  <c r="X1558" i="12"/>
  <c r="Y1557" i="12"/>
  <c r="Y1558" i="12"/>
  <c r="X1559" i="12"/>
  <c r="X1560" i="12"/>
  <c r="Y1559" i="12"/>
  <c r="X1561" i="12"/>
  <c r="Y1560" i="12"/>
  <c r="Y1561" i="12"/>
  <c r="X1562" i="12"/>
  <c r="X1563" i="12"/>
  <c r="Y1562" i="12"/>
  <c r="Y1563" i="12"/>
  <c r="X1564" i="12"/>
  <c r="Y1564" i="12"/>
  <c r="X1565" i="12"/>
  <c r="X1566" i="12"/>
  <c r="Y1565" i="12"/>
  <c r="X1567" i="12"/>
  <c r="Y1566" i="12"/>
  <c r="X1568" i="12"/>
  <c r="Y1567" i="12"/>
  <c r="Y1568" i="12"/>
  <c r="X1569" i="12"/>
  <c r="Y1569" i="12"/>
  <c r="X1570" i="12"/>
  <c r="Y1570" i="12"/>
  <c r="X1571" i="12"/>
  <c r="X1572" i="12"/>
  <c r="Y1571" i="12"/>
  <c r="X1573" i="12"/>
  <c r="Y1572" i="12"/>
  <c r="X1574" i="12"/>
  <c r="Y1573" i="12"/>
  <c r="Y1574" i="12"/>
  <c r="X1575" i="12"/>
  <c r="Y1575" i="12"/>
  <c r="X1576" i="12"/>
  <c r="X1577" i="12"/>
  <c r="Y1576" i="12"/>
  <c r="Y1577" i="12"/>
  <c r="X1578" i="12"/>
  <c r="X1579" i="12"/>
  <c r="Y1578" i="12"/>
  <c r="X1580" i="12"/>
  <c r="Y1579" i="12"/>
  <c r="Y1580" i="12"/>
  <c r="X1581" i="12"/>
  <c r="Y1581" i="12"/>
  <c r="X1582" i="12"/>
  <c r="X1583" i="12"/>
  <c r="Y1582" i="12"/>
  <c r="Y1583" i="12"/>
  <c r="X1584" i="12"/>
  <c r="Y1584" i="12"/>
  <c r="X1585" i="12"/>
  <c r="Y1585" i="12"/>
  <c r="X1586" i="12"/>
  <c r="Y1586" i="12"/>
  <c r="X1587" i="12"/>
  <c r="X1588" i="12"/>
  <c r="Y1587" i="12"/>
  <c r="X1589" i="12"/>
  <c r="Y1588" i="12"/>
  <c r="X1590" i="12"/>
  <c r="Y1589" i="12"/>
  <c r="Y1590" i="12"/>
  <c r="X1591" i="12"/>
  <c r="Y1591" i="12"/>
  <c r="X1592" i="12"/>
  <c r="X1593" i="12"/>
  <c r="Y1592" i="12"/>
  <c r="Y1593" i="12"/>
  <c r="X1594" i="12"/>
  <c r="Y1594" i="12"/>
  <c r="X1595" i="12"/>
  <c r="Y1595" i="12"/>
  <c r="X1596" i="12"/>
  <c r="X1597" i="12"/>
  <c r="Y1596" i="12"/>
  <c r="X1598" i="12"/>
  <c r="Y1597" i="12"/>
  <c r="X1599" i="12"/>
  <c r="Y1598" i="12"/>
  <c r="X1600" i="12"/>
  <c r="Y1599" i="12"/>
  <c r="X1601" i="12"/>
  <c r="Y1600" i="12"/>
  <c r="Y1601" i="12"/>
  <c r="X1602" i="12"/>
  <c r="Y1602" i="12"/>
  <c r="X1603" i="12"/>
  <c r="X1604" i="12"/>
  <c r="Y1603" i="12"/>
  <c r="Y1604" i="12"/>
  <c r="X1605" i="12"/>
  <c r="X1606" i="12"/>
  <c r="Y1605" i="12"/>
  <c r="Y1606" i="12"/>
  <c r="X1607" i="12"/>
  <c r="X1608" i="12"/>
  <c r="Y1607" i="12"/>
  <c r="X1609" i="12"/>
  <c r="Y1608" i="12"/>
  <c r="X1610" i="12"/>
  <c r="Y1609" i="12"/>
  <c r="X1611" i="12"/>
  <c r="Y1610" i="12"/>
  <c r="Y1611" i="12"/>
  <c r="X1612" i="12"/>
  <c r="X1613" i="12"/>
  <c r="Y1612" i="12"/>
  <c r="X1614" i="12"/>
  <c r="Y1613" i="12"/>
  <c r="X1615" i="12"/>
  <c r="Y1614" i="12"/>
  <c r="X1616" i="12"/>
  <c r="Y1615" i="12"/>
  <c r="X1617" i="12"/>
  <c r="Y1616" i="12"/>
  <c r="Y1617" i="12"/>
  <c r="X1618" i="12"/>
  <c r="X1619" i="12"/>
  <c r="Y1618" i="12"/>
  <c r="Y1619" i="12"/>
  <c r="X1620" i="12"/>
  <c r="X1621" i="12"/>
  <c r="Y1620" i="12"/>
  <c r="X1622" i="12"/>
  <c r="Y1621" i="12"/>
  <c r="X1623" i="12"/>
  <c r="Y1622" i="12"/>
  <c r="Y1623" i="12"/>
  <c r="X1624" i="12"/>
  <c r="Y1624" i="12"/>
  <c r="X1625" i="12"/>
  <c r="Y1625" i="12"/>
  <c r="X1626" i="12"/>
  <c r="X1627" i="12"/>
  <c r="Y1626" i="12"/>
  <c r="X1628" i="12"/>
  <c r="Y1627" i="12"/>
  <c r="Y1628" i="12"/>
  <c r="X1629" i="12"/>
  <c r="X1630" i="12"/>
  <c r="Y1629" i="12"/>
  <c r="Y1630" i="12"/>
  <c r="X1631" i="12"/>
  <c r="Y1631" i="12"/>
  <c r="X1632" i="12"/>
  <c r="X1633" i="12"/>
  <c r="Y1632" i="12"/>
  <c r="X1634" i="12"/>
  <c r="Y1633" i="12"/>
  <c r="Y1634" i="12"/>
  <c r="X1635" i="12"/>
  <c r="Y1635" i="12"/>
  <c r="X1636" i="12"/>
  <c r="Y1636" i="12"/>
  <c r="X1637" i="12"/>
  <c r="X1638" i="12"/>
  <c r="Y1637" i="12"/>
  <c r="X1639" i="12"/>
  <c r="Y1638" i="12"/>
  <c r="X1640" i="12"/>
  <c r="Y1639" i="12"/>
  <c r="X1641" i="12"/>
  <c r="Y1640" i="12"/>
  <c r="Y1641" i="12"/>
  <c r="X1642" i="12"/>
  <c r="Y1642" i="12"/>
  <c r="X1643" i="12"/>
  <c r="Y1643" i="12"/>
  <c r="X1644" i="12"/>
  <c r="Y1644" i="12"/>
  <c r="X1645" i="12"/>
  <c r="Y1645" i="12"/>
  <c r="X1646" i="12"/>
  <c r="Y1646" i="12"/>
  <c r="X1647" i="12"/>
  <c r="X1648" i="12"/>
  <c r="Y1647" i="12"/>
  <c r="X1649" i="12"/>
  <c r="Y1648" i="12"/>
  <c r="X1650" i="12"/>
  <c r="Y1649" i="12"/>
  <c r="X1651" i="12"/>
  <c r="Y1650" i="12"/>
  <c r="X1652" i="12"/>
  <c r="Y1651" i="12"/>
  <c r="Y1652" i="12"/>
  <c r="X1653" i="12"/>
  <c r="Y1653" i="12"/>
  <c r="X1654" i="12"/>
  <c r="Y1654" i="12"/>
  <c r="X1655" i="12"/>
  <c r="Y1655" i="12"/>
  <c r="X1656" i="12"/>
  <c r="X1657" i="12"/>
  <c r="Y1656" i="12"/>
  <c r="Y1657" i="12"/>
  <c r="X1658" i="12"/>
  <c r="Y1658" i="12"/>
  <c r="X1659" i="12"/>
  <c r="X1660" i="12"/>
  <c r="Y1659" i="12"/>
  <c r="Y1660" i="12"/>
  <c r="X1661" i="12"/>
  <c r="X1662" i="12"/>
  <c r="Y1661" i="12"/>
  <c r="Y1662" i="12"/>
  <c r="X1663" i="12"/>
  <c r="Y1663" i="12"/>
  <c r="X1664" i="12"/>
  <c r="Y1664" i="12"/>
  <c r="X1665" i="12"/>
  <c r="X1666" i="12"/>
  <c r="Y1665" i="12"/>
  <c r="Y1666" i="12"/>
  <c r="X1667" i="12"/>
  <c r="Y1667" i="12"/>
  <c r="X1668" i="12"/>
  <c r="X1669" i="12"/>
  <c r="Y1668" i="12"/>
  <c r="X1670" i="12"/>
  <c r="Y1669" i="12"/>
  <c r="Y1670" i="12"/>
  <c r="X1671" i="12"/>
  <c r="X1672" i="12"/>
  <c r="Y1671" i="12"/>
  <c r="X1673" i="12"/>
  <c r="Y1672" i="12"/>
  <c r="X1674" i="12"/>
  <c r="Y1673" i="12"/>
  <c r="Y1674" i="12"/>
  <c r="X1675" i="12"/>
  <c r="Y1675" i="12"/>
  <c r="X1676" i="12"/>
  <c r="Y1676" i="12"/>
  <c r="X1677" i="12"/>
  <c r="Y1677" i="12"/>
  <c r="X1678" i="12"/>
  <c r="Y1678" i="12"/>
  <c r="X1679" i="12"/>
  <c r="X1680" i="12"/>
  <c r="Y1679" i="12"/>
  <c r="Y1680" i="12"/>
  <c r="X1681" i="12"/>
  <c r="Y1681" i="12"/>
  <c r="X1682" i="12"/>
  <c r="Y1682" i="12"/>
  <c r="X1683" i="12"/>
  <c r="Y1683" i="12"/>
  <c r="X1684" i="12"/>
  <c r="Y1684" i="12"/>
  <c r="X1685" i="12"/>
  <c r="X1686" i="12"/>
  <c r="Y1685" i="12"/>
  <c r="Y1686" i="12"/>
  <c r="X1687" i="12"/>
  <c r="X1688" i="12"/>
  <c r="Y1687" i="12"/>
  <c r="Y1688" i="12"/>
  <c r="X1689" i="12"/>
  <c r="X1690" i="12"/>
  <c r="Y1689" i="12"/>
  <c r="Y1690" i="12"/>
  <c r="X1691" i="12"/>
  <c r="X1692" i="12"/>
  <c r="Y1691" i="12"/>
  <c r="X1693" i="12"/>
  <c r="Y1692" i="12"/>
  <c r="X1694" i="12"/>
  <c r="Y1693" i="12"/>
  <c r="Y1694" i="12"/>
  <c r="X1695" i="12"/>
  <c r="X1696" i="12"/>
  <c r="Y1695" i="12"/>
  <c r="X1697" i="12"/>
  <c r="Y1696" i="12"/>
  <c r="Y1697" i="12"/>
  <c r="X1698" i="12"/>
  <c r="Y1698" i="12"/>
  <c r="X1699" i="12"/>
  <c r="Y1699" i="12"/>
  <c r="X1700" i="12"/>
  <c r="X1701" i="12"/>
  <c r="Y1700" i="12"/>
  <c r="Y1701" i="12"/>
  <c r="X1702" i="12"/>
  <c r="X1703" i="12"/>
  <c r="Y1702" i="12"/>
  <c r="Y1703" i="12"/>
  <c r="X1704" i="12"/>
  <c r="Y1704" i="12"/>
  <c r="X1705" i="12"/>
  <c r="Y1705" i="12"/>
  <c r="X1706" i="12"/>
  <c r="X1707" i="12"/>
  <c r="Y1706" i="12"/>
  <c r="Y1707" i="12"/>
  <c r="X1708" i="12"/>
  <c r="Y1708" i="12"/>
  <c r="X1709" i="12"/>
  <c r="X1710" i="12"/>
  <c r="Y1709" i="12"/>
  <c r="X1711" i="12"/>
  <c r="Y1710" i="12"/>
  <c r="X1712" i="12"/>
  <c r="Y1711" i="12"/>
  <c r="Y1712" i="12"/>
  <c r="X1713" i="12"/>
  <c r="Y1713" i="12"/>
  <c r="X1714" i="12"/>
  <c r="X1715" i="12"/>
  <c r="Y1714" i="12"/>
  <c r="X1716" i="12"/>
  <c r="Y1715" i="12"/>
  <c r="Y1716" i="12"/>
  <c r="X1717" i="12"/>
  <c r="Y1717" i="12"/>
  <c r="X1718" i="12"/>
  <c r="Y1718" i="12"/>
  <c r="X1719" i="12"/>
  <c r="Y1719" i="12"/>
  <c r="X1720" i="12"/>
  <c r="Y1720" i="12"/>
  <c r="X1721" i="12"/>
  <c r="X1722" i="12"/>
  <c r="Y1721" i="12"/>
  <c r="X1723" i="12"/>
  <c r="Y1722" i="12"/>
  <c r="X1724" i="12"/>
  <c r="Y1723" i="12"/>
  <c r="X1725" i="12"/>
  <c r="Y1724" i="12"/>
  <c r="Y1725" i="12"/>
  <c r="X1726" i="12"/>
  <c r="X1727" i="12"/>
  <c r="Y1726" i="12"/>
  <c r="X1728" i="12"/>
  <c r="Y1727" i="12"/>
  <c r="X1729" i="12"/>
  <c r="Y1728" i="12"/>
  <c r="X1730" i="12"/>
  <c r="Y1729" i="12"/>
  <c r="X1731" i="12"/>
  <c r="Y1730" i="12"/>
  <c r="X1732" i="12"/>
  <c r="Y1731" i="12"/>
  <c r="Y1732" i="12"/>
  <c r="X1733" i="12"/>
  <c r="X1734" i="12"/>
  <c r="Y1733" i="12"/>
  <c r="X1735" i="12"/>
  <c r="Y1734" i="12"/>
  <c r="Y1735" i="12"/>
  <c r="X1736" i="12"/>
  <c r="Y1736" i="12"/>
  <c r="X1737" i="12"/>
  <c r="X1738" i="12"/>
  <c r="Y1737" i="12"/>
  <c r="X1739" i="12"/>
  <c r="Y1738" i="12"/>
  <c r="Y1739" i="12"/>
  <c r="X1740" i="12"/>
  <c r="Y1740" i="12"/>
  <c r="X1741" i="12"/>
  <c r="X1742" i="12"/>
  <c r="Y1741" i="12"/>
  <c r="X1743" i="12"/>
  <c r="Y1742" i="12"/>
  <c r="X1744" i="12"/>
  <c r="Y1743" i="12"/>
  <c r="Y1744" i="12"/>
  <c r="X1745" i="12"/>
  <c r="Y1745" i="12"/>
  <c r="X1746" i="12"/>
  <c r="X1747" i="12"/>
  <c r="Y1746" i="12"/>
  <c r="Y1747" i="12"/>
  <c r="X1748" i="12"/>
  <c r="Y1748" i="12"/>
  <c r="X1749" i="12"/>
  <c r="X1750" i="12"/>
  <c r="Y1749" i="12"/>
  <c r="Y1750" i="12"/>
  <c r="X1751" i="12"/>
  <c r="X1752" i="12"/>
  <c r="Y1751" i="12"/>
  <c r="Y1752" i="12"/>
  <c r="X1753" i="12"/>
  <c r="Y1753" i="12"/>
  <c r="X1754" i="12"/>
  <c r="Y1754" i="12"/>
  <c r="X1755" i="12"/>
  <c r="X1756" i="12"/>
  <c r="Y1755" i="12"/>
  <c r="Y1756" i="12"/>
  <c r="X1757" i="12"/>
  <c r="X1758" i="12"/>
  <c r="Y1757" i="12"/>
  <c r="X1759" i="12"/>
  <c r="Y1758" i="12"/>
  <c r="Y1759" i="12"/>
  <c r="X1760" i="12"/>
  <c r="Y1760" i="12"/>
  <c r="X1761" i="12"/>
  <c r="Y1761" i="12"/>
  <c r="X1762" i="12"/>
  <c r="Y1762" i="12"/>
  <c r="X1763" i="12"/>
  <c r="X1764" i="12"/>
  <c r="Y1763" i="12"/>
  <c r="Y1764" i="12"/>
  <c r="X1765" i="12"/>
  <c r="Y1765" i="12"/>
  <c r="X1766" i="12"/>
  <c r="Y1766" i="12"/>
  <c r="X1767" i="12"/>
  <c r="Y1767" i="12"/>
  <c r="X1768" i="12"/>
  <c r="Y1768" i="12"/>
  <c r="X1769" i="12"/>
  <c r="Y1769" i="12"/>
  <c r="X1770" i="12"/>
  <c r="X1771" i="12"/>
  <c r="Y1770" i="12"/>
  <c r="X1772" i="12"/>
  <c r="Y1771" i="12"/>
  <c r="X1773" i="12"/>
  <c r="Y1772" i="12"/>
  <c r="X1774" i="12"/>
  <c r="Y1773" i="12"/>
  <c r="X1775" i="12"/>
  <c r="Y1774" i="12"/>
  <c r="Y1775" i="12"/>
  <c r="X1776" i="12"/>
  <c r="X1777" i="12"/>
  <c r="Y1776" i="12"/>
  <c r="Y1777" i="12"/>
  <c r="X1778" i="12"/>
  <c r="Y1778" i="12"/>
  <c r="X1779" i="12"/>
  <c r="X1780" i="12"/>
  <c r="Y1779" i="12"/>
  <c r="Y1780" i="12"/>
  <c r="X1781" i="12"/>
  <c r="X1782" i="12"/>
  <c r="Y1781" i="12"/>
  <c r="X1783" i="12"/>
  <c r="Y1782" i="12"/>
  <c r="X1784" i="12"/>
  <c r="Y1783" i="12"/>
  <c r="Y1784" i="12"/>
  <c r="X1785" i="12"/>
  <c r="X1786" i="12"/>
  <c r="Y1785" i="12"/>
  <c r="Y1786" i="12"/>
  <c r="X1787" i="12"/>
  <c r="Y1787" i="12"/>
  <c r="X1788" i="12"/>
  <c r="X1789" i="12"/>
  <c r="Y1788" i="12"/>
  <c r="Y1789" i="12"/>
  <c r="X1790" i="12"/>
  <c r="Y1790" i="12"/>
  <c r="X1791" i="12"/>
  <c r="Y1791" i="12"/>
  <c r="X1792" i="12"/>
  <c r="X1793" i="12"/>
  <c r="Y1792" i="12"/>
  <c r="X1794" i="12"/>
  <c r="Y1793" i="12"/>
  <c r="X1795" i="12"/>
  <c r="Y1794" i="12"/>
  <c r="Y1795" i="12"/>
  <c r="X1796" i="12"/>
  <c r="X1797" i="12"/>
  <c r="Y1796" i="12"/>
  <c r="Y1797" i="12"/>
  <c r="X1798" i="12"/>
  <c r="Y1798" i="12"/>
  <c r="X1799" i="12"/>
  <c r="Y1799" i="12"/>
  <c r="X1800" i="12"/>
  <c r="X1801" i="12"/>
  <c r="Y1800" i="12"/>
  <c r="X1802" i="12"/>
  <c r="Y1801" i="12"/>
  <c r="X1803" i="12"/>
  <c r="Y1802" i="12"/>
  <c r="X1804" i="12"/>
  <c r="Y1803" i="12"/>
  <c r="X1805" i="12"/>
  <c r="Y1804" i="12"/>
  <c r="X1806" i="12"/>
  <c r="Y1805" i="12"/>
  <c r="Y1806" i="12"/>
  <c r="X1807" i="12"/>
  <c r="Y1807" i="12"/>
  <c r="X1808" i="12"/>
  <c r="X1809" i="12"/>
  <c r="Y1808" i="12"/>
  <c r="X1810" i="12"/>
  <c r="Y1809" i="12"/>
  <c r="X1811" i="12"/>
  <c r="Y1810" i="12"/>
  <c r="Y1811" i="12"/>
  <c r="X1812" i="12"/>
  <c r="Y1812" i="12"/>
  <c r="X1813" i="12"/>
  <c r="X1814" i="12"/>
  <c r="Y1813" i="12"/>
  <c r="X1815" i="12"/>
  <c r="Y1814" i="12"/>
  <c r="X1816" i="12"/>
  <c r="Y1815" i="12"/>
  <c r="Y1816" i="12"/>
  <c r="X1817" i="12"/>
  <c r="X1818" i="12"/>
  <c r="Y1817" i="12"/>
  <c r="Y1818" i="12"/>
  <c r="X1819" i="12"/>
  <c r="X1820" i="12"/>
  <c r="Y1819" i="12"/>
  <c r="Y1820" i="12"/>
  <c r="X1821" i="12"/>
  <c r="X1822" i="12"/>
  <c r="Y1821" i="12"/>
  <c r="X1823" i="12"/>
  <c r="Y1822" i="12"/>
  <c r="Y1823" i="12"/>
  <c r="X1824" i="12"/>
  <c r="X1825" i="12"/>
  <c r="Y1824" i="12"/>
  <c r="X1826" i="12"/>
  <c r="Y1825" i="12"/>
  <c r="X1827" i="12"/>
  <c r="Y1826" i="12"/>
  <c r="X1828" i="12"/>
  <c r="Y1827" i="12"/>
  <c r="Y1828" i="12"/>
  <c r="X1829" i="12"/>
  <c r="Y1829" i="12"/>
  <c r="X1830" i="12"/>
  <c r="Y1830" i="12"/>
  <c r="X1831" i="12"/>
  <c r="X1832" i="12"/>
  <c r="Y1831" i="12"/>
  <c r="Y1832" i="12"/>
  <c r="X1833" i="12"/>
  <c r="Y1833" i="12"/>
  <c r="X1834" i="12"/>
  <c r="Y1834" i="12"/>
  <c r="X1835" i="12"/>
  <c r="Y1835" i="12"/>
  <c r="X1836" i="12"/>
  <c r="Y1836" i="12"/>
  <c r="X1837" i="12"/>
  <c r="Y1837" i="12"/>
  <c r="X1838" i="12"/>
  <c r="Y1838" i="12"/>
  <c r="X1839" i="12"/>
  <c r="Y1839" i="12"/>
  <c r="X1840" i="12"/>
  <c r="X1841" i="12"/>
  <c r="Y1840" i="12"/>
  <c r="Y1841" i="12"/>
  <c r="X1842" i="12"/>
  <c r="X1843" i="12"/>
  <c r="Y1842" i="12"/>
  <c r="X1844" i="12"/>
  <c r="Y1843" i="12"/>
  <c r="Y1844" i="12"/>
  <c r="X1845" i="12"/>
  <c r="X1846" i="12"/>
  <c r="Y1845" i="12"/>
  <c r="X1847" i="12"/>
  <c r="Y1846" i="12"/>
  <c r="Y1847" i="12"/>
  <c r="X1848" i="12"/>
  <c r="Y1848" i="12"/>
  <c r="X1849" i="12"/>
  <c r="Y1849" i="12"/>
  <c r="X1850" i="12"/>
  <c r="X1851" i="12"/>
  <c r="Y1850" i="12"/>
  <c r="X1852" i="12"/>
  <c r="Y1851" i="12"/>
  <c r="X1853" i="12"/>
  <c r="Y1852" i="12"/>
  <c r="X1854" i="12"/>
  <c r="Y1853" i="12"/>
  <c r="X1855" i="12"/>
  <c r="Y1854" i="12"/>
  <c r="Y1855" i="12"/>
  <c r="X1856" i="12"/>
  <c r="X1857" i="12"/>
  <c r="Y1856" i="12"/>
  <c r="X1858" i="12"/>
  <c r="Y1857" i="12"/>
  <c r="Y1858" i="12"/>
  <c r="X1859" i="12"/>
  <c r="Y1859" i="12"/>
  <c r="X1860" i="12"/>
  <c r="Y1860" i="12"/>
  <c r="X1861" i="12"/>
  <c r="X1862" i="12"/>
  <c r="Y1861" i="12"/>
  <c r="Y1862" i="12"/>
  <c r="X1863" i="12"/>
  <c r="X1864" i="12"/>
  <c r="Y1863" i="12"/>
  <c r="Y1864" i="12"/>
  <c r="X1865" i="12"/>
  <c r="X1866" i="12"/>
  <c r="Y1865" i="12"/>
  <c r="Y1866" i="12"/>
  <c r="X1867" i="12"/>
  <c r="X1868" i="12"/>
  <c r="Y1867" i="12"/>
  <c r="X1869" i="12"/>
  <c r="Y1868" i="12"/>
  <c r="Y1869" i="12"/>
  <c r="X1870" i="12"/>
  <c r="X1871" i="12"/>
  <c r="Y1870" i="12"/>
  <c r="Y1871" i="12"/>
  <c r="X1872" i="12"/>
  <c r="Y1872" i="12"/>
  <c r="X1873" i="12"/>
  <c r="X1874" i="12"/>
  <c r="Y1873" i="12"/>
  <c r="X1875" i="12"/>
  <c r="Y1874" i="12"/>
  <c r="X1876" i="12"/>
  <c r="Y1875" i="12"/>
  <c r="X1877" i="12"/>
  <c r="Y1876" i="12"/>
  <c r="X1878" i="12"/>
  <c r="Y1877" i="12"/>
  <c r="Y1878" i="12"/>
  <c r="X1879" i="12"/>
  <c r="X1880" i="12"/>
  <c r="Y1879" i="12"/>
  <c r="X1881" i="12"/>
  <c r="Y1880" i="12"/>
  <c r="X1882" i="12"/>
  <c r="Y1881" i="12"/>
  <c r="X1883" i="12"/>
  <c r="Y1882" i="12"/>
  <c r="X1884" i="12"/>
  <c r="Y1883" i="12"/>
  <c r="X1885" i="12"/>
  <c r="Y1884" i="12"/>
  <c r="X1886" i="12"/>
  <c r="Y1885" i="12"/>
  <c r="X1887" i="12"/>
  <c r="Y1886" i="12"/>
  <c r="X1888" i="12"/>
  <c r="Y1887" i="12"/>
  <c r="Y1888" i="12"/>
  <c r="X1889" i="12"/>
  <c r="X1890" i="12"/>
  <c r="Y1889" i="12"/>
  <c r="X1891" i="12"/>
  <c r="Y1890" i="12"/>
  <c r="Y1891" i="12"/>
  <c r="X1892" i="12"/>
  <c r="Y1892" i="12"/>
  <c r="X1893" i="12"/>
  <c r="Y1893" i="12"/>
  <c r="X1894" i="12"/>
  <c r="X1895" i="12"/>
  <c r="Y1894" i="12"/>
  <c r="X1896" i="12"/>
  <c r="Y1895" i="12"/>
  <c r="X1897" i="12"/>
  <c r="Y1896" i="12"/>
  <c r="Y1897" i="12"/>
  <c r="X1898" i="12"/>
  <c r="Y1898" i="12"/>
  <c r="X1899" i="12"/>
  <c r="X1900" i="12"/>
  <c r="Y1899" i="12"/>
  <c r="Y1900" i="12"/>
  <c r="X1901" i="12"/>
  <c r="X1902" i="12"/>
  <c r="Y1901" i="12"/>
  <c r="Y1902" i="12"/>
  <c r="X1903" i="12"/>
  <c r="X1904" i="12"/>
  <c r="Y1903" i="12"/>
  <c r="Y1904" i="12"/>
  <c r="X1905" i="12"/>
  <c r="X1906" i="12"/>
  <c r="Y1905" i="12"/>
  <c r="Y1906" i="12"/>
  <c r="X1907" i="12"/>
  <c r="X1908" i="12"/>
  <c r="Y1907" i="12"/>
  <c r="X1909" i="12"/>
  <c r="Y1908" i="12"/>
  <c r="X1910" i="12"/>
  <c r="Y1909" i="12"/>
  <c r="Y1910" i="12"/>
  <c r="X1911" i="12"/>
  <c r="Y1911" i="12"/>
  <c r="X1912" i="12"/>
  <c r="X1913" i="12"/>
  <c r="Y1912" i="12"/>
  <c r="Y1913" i="12"/>
  <c r="X1914" i="12"/>
  <c r="X1915" i="12"/>
  <c r="Y1914" i="12"/>
  <c r="Y1915" i="12"/>
  <c r="X1916" i="12"/>
  <c r="Y1916" i="12"/>
  <c r="X1917" i="12"/>
  <c r="Y1917" i="12"/>
  <c r="X1918" i="12"/>
  <c r="Y1918" i="12"/>
  <c r="X1919" i="12"/>
  <c r="Y1919" i="12"/>
  <c r="X1920" i="12"/>
  <c r="X1921" i="12"/>
  <c r="Y1920" i="12"/>
  <c r="X1922" i="12"/>
  <c r="Y1921" i="12"/>
  <c r="Y1922" i="12"/>
  <c r="X1923" i="12"/>
  <c r="X1924" i="12"/>
  <c r="Y1923" i="12"/>
  <c r="Y1924" i="12"/>
  <c r="X1925" i="12"/>
  <c r="Y1925" i="12"/>
  <c r="X1926" i="12"/>
  <c r="X1927" i="12"/>
  <c r="Y1926" i="12"/>
  <c r="Y1927" i="12"/>
  <c r="X1928" i="12"/>
  <c r="X1929" i="12"/>
  <c r="Y1928" i="12"/>
  <c r="Y1929" i="12"/>
  <c r="X1930" i="12"/>
  <c r="Y1930" i="12"/>
  <c r="X1931" i="12"/>
  <c r="Y1931" i="12"/>
  <c r="X1932" i="12"/>
  <c r="X1933" i="12"/>
  <c r="Y1932" i="12"/>
  <c r="Y1933" i="12"/>
  <c r="X1934" i="12"/>
  <c r="Y1934" i="12"/>
  <c r="X1935" i="12"/>
  <c r="X1936" i="12"/>
  <c r="Y1935" i="12"/>
  <c r="Y1936" i="12"/>
  <c r="X1937" i="12"/>
  <c r="X1938" i="12"/>
  <c r="Y1937" i="12"/>
  <c r="X1939" i="12"/>
  <c r="Y1938" i="12"/>
  <c r="Y1939" i="12"/>
  <c r="X1940" i="12"/>
  <c r="Y1940" i="12"/>
  <c r="X1941" i="12"/>
  <c r="X1942" i="12"/>
  <c r="Y1941" i="12"/>
  <c r="Y1942" i="12"/>
  <c r="X1943" i="12"/>
  <c r="X1944" i="12"/>
  <c r="Y1943" i="12"/>
  <c r="Y1944" i="12"/>
  <c r="X1945" i="12"/>
  <c r="X1946" i="12"/>
  <c r="Y1945" i="12"/>
  <c r="Y1946" i="12"/>
  <c r="X1947" i="12"/>
  <c r="Y1947" i="12"/>
  <c r="X1948" i="12"/>
  <c r="Y1948" i="12"/>
  <c r="X1949" i="12"/>
  <c r="X1950" i="12"/>
  <c r="Y1949" i="12"/>
  <c r="X1951" i="12"/>
  <c r="Y1950" i="12"/>
  <c r="Y1951" i="12"/>
  <c r="X1952" i="12"/>
  <c r="Y1952" i="12"/>
  <c r="X1953" i="12"/>
  <c r="Y1953" i="12"/>
  <c r="X1954" i="12"/>
  <c r="Y1954" i="12"/>
  <c r="X1955" i="12"/>
  <c r="Y1955" i="12"/>
  <c r="X1956" i="12"/>
  <c r="Y1956" i="12"/>
  <c r="X1957" i="12"/>
  <c r="Y1957" i="12"/>
  <c r="X1958" i="12"/>
  <c r="X1959" i="12"/>
  <c r="Y1958" i="12"/>
  <c r="Y1959" i="12"/>
  <c r="X1960" i="12"/>
  <c r="Y1960" i="12"/>
  <c r="X1961" i="12"/>
  <c r="Y1961" i="12"/>
  <c r="X1962" i="12"/>
  <c r="Y1962" i="12"/>
  <c r="X1963" i="12"/>
  <c r="X1964" i="12"/>
  <c r="Y1963" i="12"/>
  <c r="Y1964" i="12"/>
  <c r="X1965" i="12"/>
  <c r="Y1965" i="12"/>
  <c r="X1966" i="12"/>
  <c r="X1967" i="12"/>
  <c r="Y1966" i="12"/>
  <c r="Y1967" i="12"/>
  <c r="X1968" i="12"/>
  <c r="X1969" i="12"/>
  <c r="Y1968" i="12"/>
  <c r="X1970" i="12"/>
  <c r="Y1969" i="12"/>
  <c r="Y1970" i="12"/>
  <c r="X1971" i="12"/>
  <c r="Y1971" i="12"/>
  <c r="X1972" i="12"/>
  <c r="Y1972" i="12"/>
  <c r="X1973" i="12"/>
  <c r="Y1973" i="12"/>
  <c r="X1974" i="12"/>
  <c r="X1975" i="12"/>
  <c r="Y1974" i="12"/>
  <c r="X1976" i="12"/>
  <c r="Y1975" i="12"/>
  <c r="Y1976" i="12"/>
  <c r="X1977" i="12"/>
  <c r="X1978" i="12"/>
  <c r="Y1977" i="12"/>
  <c r="X1979" i="12"/>
  <c r="Y1978" i="12"/>
  <c r="X1980" i="12"/>
  <c r="Y1979" i="12"/>
  <c r="Y1980" i="12"/>
  <c r="X1981" i="12"/>
  <c r="X1982" i="12"/>
  <c r="Y1981" i="12"/>
  <c r="Y1982" i="12"/>
  <c r="X1983" i="12"/>
  <c r="X1984" i="12"/>
  <c r="Y1983" i="12"/>
  <c r="X1985" i="12"/>
  <c r="Y1984" i="12"/>
  <c r="Y1985" i="12"/>
  <c r="X1986" i="12"/>
  <c r="X1987" i="12"/>
  <c r="Y1986" i="12"/>
  <c r="Y1987" i="12"/>
  <c r="X1988" i="12"/>
  <c r="Y1988" i="12"/>
  <c r="X1989" i="12"/>
  <c r="X1990" i="12"/>
  <c r="Y1989" i="12"/>
  <c r="Y1990" i="12"/>
  <c r="X1991" i="12"/>
  <c r="Y1991" i="12"/>
  <c r="X1992" i="12"/>
  <c r="X1993" i="12"/>
  <c r="Y1992" i="12"/>
  <c r="Y1993" i="12"/>
  <c r="X1994" i="12"/>
  <c r="X1995" i="12"/>
  <c r="Y1994" i="12"/>
  <c r="X1996" i="12"/>
  <c r="Y1995" i="12"/>
  <c r="X1997" i="12"/>
  <c r="Y1996" i="12"/>
  <c r="X1998" i="12"/>
  <c r="Y1997" i="12"/>
  <c r="Y1998" i="12"/>
  <c r="X1999" i="12"/>
  <c r="X2000" i="12"/>
  <c r="Y1999" i="12"/>
  <c r="X2001" i="12"/>
  <c r="Y2000" i="12"/>
  <c r="Y2001" i="12"/>
  <c r="X2002" i="12"/>
  <c r="Y2002" i="12"/>
  <c r="X2003" i="12"/>
  <c r="X2004" i="12"/>
  <c r="Y2003" i="12"/>
  <c r="Y2004" i="12"/>
  <c r="X2005" i="12"/>
  <c r="X2006" i="12"/>
  <c r="Y2005" i="12"/>
  <c r="X2007" i="12"/>
  <c r="Y2006" i="12"/>
  <c r="Y2007" i="12"/>
  <c r="X2008" i="12"/>
  <c r="Y2008" i="12"/>
  <c r="X2009" i="12"/>
  <c r="X2010" i="12"/>
  <c r="Y2009" i="12"/>
  <c r="X2011" i="12"/>
  <c r="Y2010" i="12"/>
  <c r="X2012" i="12"/>
  <c r="Y2011" i="12"/>
  <c r="X2013" i="12"/>
  <c r="Y2012" i="12"/>
  <c r="Y2013" i="12"/>
  <c r="X2014" i="12"/>
  <c r="X2015" i="12"/>
  <c r="Y2014" i="12"/>
  <c r="X2016" i="12"/>
  <c r="Y2015" i="12"/>
  <c r="X2017" i="12"/>
  <c r="Y2016" i="12"/>
  <c r="Y2017" i="12"/>
  <c r="X2018" i="12"/>
  <c r="Y2018" i="12"/>
  <c r="X2019" i="12"/>
  <c r="X2020" i="12"/>
  <c r="Y2019" i="12"/>
  <c r="Y2020" i="12"/>
  <c r="X2021" i="12"/>
  <c r="X2022" i="12"/>
  <c r="Y2021" i="12"/>
  <c r="Y2022" i="12"/>
  <c r="X2023" i="12"/>
  <c r="X2024" i="12"/>
  <c r="Y2023" i="12"/>
  <c r="Y2024" i="12"/>
  <c r="X2025" i="12"/>
  <c r="Y2025" i="12"/>
  <c r="X2026" i="12"/>
  <c r="X2027" i="12"/>
  <c r="Y2026" i="12"/>
  <c r="Y2027" i="12"/>
  <c r="X2028" i="12"/>
  <c r="Y2028" i="12"/>
  <c r="X2029" i="12"/>
  <c r="Y2029" i="12"/>
  <c r="X2030" i="12"/>
  <c r="Y2030" i="12"/>
  <c r="X2031" i="12"/>
  <c r="Y2031" i="12"/>
  <c r="X2032" i="12"/>
  <c r="X2033" i="12"/>
  <c r="Y2032" i="12"/>
  <c r="X2034" i="12"/>
  <c r="Y2033" i="12"/>
  <c r="X2035" i="12"/>
  <c r="Y2034" i="12"/>
  <c r="X2036" i="12"/>
  <c r="Y2035" i="12"/>
  <c r="X2037" i="12"/>
  <c r="Y2036" i="12"/>
  <c r="X2038" i="12"/>
  <c r="Y2037" i="12"/>
  <c r="X2039" i="12"/>
  <c r="Y2038" i="12"/>
  <c r="Y2039" i="12"/>
  <c r="X2040" i="12"/>
  <c r="X2041" i="12"/>
  <c r="Y2040" i="12"/>
  <c r="Y2041" i="12"/>
  <c r="X2042" i="12"/>
  <c r="X2043" i="12"/>
  <c r="Y2042" i="12"/>
  <c r="Y2043" i="12"/>
  <c r="X2044" i="12"/>
  <c r="Y2044" i="12"/>
  <c r="X2045" i="12"/>
  <c r="X2046" i="12"/>
  <c r="Y2045" i="12"/>
  <c r="X2047" i="12"/>
  <c r="Y2046" i="12"/>
  <c r="Y2047" i="12"/>
  <c r="X2048" i="12"/>
  <c r="X2049" i="12"/>
  <c r="Y2048" i="12"/>
  <c r="Y2049" i="12"/>
  <c r="X2050" i="12"/>
  <c r="X2051" i="12"/>
  <c r="Y2050" i="12"/>
  <c r="X2052" i="12"/>
  <c r="Y2051" i="12"/>
  <c r="Y2052" i="12"/>
  <c r="X2053" i="12"/>
  <c r="Y2053" i="12"/>
  <c r="X2054" i="12"/>
  <c r="X2055" i="12"/>
  <c r="Y2054" i="12"/>
  <c r="X2056" i="12"/>
  <c r="Y2055" i="12"/>
  <c r="Y2056" i="12"/>
  <c r="X2057" i="12"/>
  <c r="Y2057" i="12"/>
  <c r="X2058" i="12"/>
  <c r="X2059" i="12"/>
  <c r="Y2058" i="12"/>
  <c r="X2060" i="12"/>
  <c r="Y2059" i="12"/>
  <c r="Y2060" i="12"/>
  <c r="X2061" i="12"/>
  <c r="Y2061" i="12"/>
  <c r="X2062" i="12"/>
  <c r="X2063" i="12"/>
  <c r="Y2062" i="12"/>
  <c r="X2064" i="12"/>
  <c r="Y2063" i="12"/>
  <c r="X2065" i="12"/>
  <c r="Y2064" i="12"/>
  <c r="Y2065" i="12"/>
  <c r="X2066" i="12"/>
  <c r="Y2066" i="12"/>
  <c r="X2067" i="12"/>
  <c r="Y2067" i="12"/>
  <c r="X2068" i="12"/>
  <c r="Y2068" i="12"/>
  <c r="X2069" i="12"/>
  <c r="X2070" i="12"/>
  <c r="Y2069" i="12"/>
  <c r="X2071" i="12"/>
  <c r="Y2070" i="12"/>
  <c r="Y2071" i="12"/>
  <c r="X2072" i="12"/>
  <c r="X2073" i="12"/>
  <c r="Y2072" i="12"/>
  <c r="Y2073" i="12"/>
  <c r="X2074" i="12"/>
  <c r="X2075" i="12"/>
  <c r="Y2074" i="12"/>
  <c r="X2076" i="12"/>
  <c r="Y2075" i="12"/>
  <c r="X2077" i="12"/>
  <c r="Y2076" i="12"/>
  <c r="X2078" i="12"/>
  <c r="Y2077" i="12"/>
  <c r="X2079" i="12"/>
  <c r="Y2078" i="12"/>
  <c r="X2080" i="12"/>
  <c r="Y2079" i="12"/>
  <c r="X2081" i="12"/>
  <c r="Y2080" i="12"/>
  <c r="Y2081" i="12"/>
  <c r="X2082" i="12"/>
  <c r="Y2082" i="12"/>
  <c r="X2083" i="12"/>
  <c r="Y2083" i="12"/>
  <c r="X2084" i="12"/>
  <c r="Y2084" i="12"/>
  <c r="X2085" i="12"/>
  <c r="Y2085" i="12"/>
  <c r="X2086" i="12"/>
  <c r="Y2086" i="12"/>
  <c r="X2087" i="12"/>
  <c r="Y2087" i="12"/>
  <c r="X2088" i="12"/>
  <c r="Y2088" i="12"/>
  <c r="X2089" i="12"/>
  <c r="Y2089" i="12"/>
  <c r="X2090" i="12"/>
  <c r="Y2090" i="12"/>
  <c r="X2091" i="12"/>
  <c r="X2092" i="12"/>
  <c r="Y2091" i="12"/>
  <c r="Y2092" i="12"/>
  <c r="X2093" i="12"/>
  <c r="X2094" i="12"/>
  <c r="Y2093" i="12"/>
  <c r="X2095" i="12"/>
  <c r="Y2094" i="12"/>
  <c r="Y2095" i="12"/>
  <c r="X2096" i="12"/>
  <c r="Y2096" i="12"/>
  <c r="X2097" i="12"/>
  <c r="X2098" i="12"/>
  <c r="Y2097" i="12"/>
  <c r="Y2098" i="12"/>
  <c r="X2099" i="12"/>
  <c r="Y2099" i="12"/>
  <c r="X2100" i="12"/>
  <c r="Y2100" i="12"/>
  <c r="X2101" i="12"/>
  <c r="Y2101" i="12"/>
  <c r="X2102" i="12"/>
  <c r="X2103" i="12"/>
  <c r="Y2102" i="12"/>
  <c r="Y2103" i="12"/>
  <c r="X2104" i="12"/>
  <c r="X2105" i="12"/>
  <c r="Y2104" i="12"/>
  <c r="Y2105" i="12"/>
  <c r="X2106" i="12"/>
  <c r="X2107" i="12"/>
  <c r="Y2106" i="12"/>
  <c r="Y2107" i="12"/>
  <c r="X2108" i="12"/>
  <c r="X2109" i="12"/>
  <c r="Y2108" i="12"/>
  <c r="Y2109" i="12"/>
  <c r="X2110" i="12"/>
  <c r="X2111" i="12"/>
  <c r="Y2110" i="12"/>
  <c r="Y2111" i="12"/>
  <c r="X2112" i="12"/>
  <c r="X2113" i="12"/>
  <c r="Y2112" i="12"/>
  <c r="X2114" i="12"/>
  <c r="Y2113" i="12"/>
  <c r="Y2114" i="12"/>
  <c r="X2115" i="12"/>
  <c r="Y2115" i="12"/>
  <c r="X2116" i="12"/>
  <c r="X2117" i="12"/>
  <c r="Y2116" i="12"/>
  <c r="X2118" i="12"/>
  <c r="Y2117" i="12"/>
  <c r="X2119" i="12"/>
  <c r="Y2118" i="12"/>
  <c r="Y2119" i="12"/>
  <c r="X2120" i="12"/>
  <c r="Y2120" i="12"/>
  <c r="X2121" i="12"/>
  <c r="Y2121" i="12"/>
  <c r="X2122" i="12"/>
  <c r="X2123" i="12"/>
  <c r="Y2122" i="12"/>
  <c r="Y2123" i="12"/>
  <c r="X2124" i="12"/>
  <c r="Y2124" i="12"/>
  <c r="X2125" i="12"/>
  <c r="X2126" i="12"/>
  <c r="Y2125" i="12"/>
  <c r="X2127" i="12"/>
  <c r="Y2126" i="12"/>
  <c r="Y2127" i="12"/>
  <c r="X2128" i="12"/>
  <c r="X2129" i="12"/>
  <c r="Y2128" i="12"/>
  <c r="X2130" i="12"/>
  <c r="Y2129" i="12"/>
  <c r="X2131" i="12"/>
  <c r="Y2130" i="12"/>
  <c r="Y2131" i="12"/>
  <c r="X2132" i="12"/>
  <c r="Y2132" i="12"/>
  <c r="X2133" i="12"/>
  <c r="X2134" i="12"/>
  <c r="Y2133" i="12"/>
  <c r="X2135" i="12"/>
  <c r="Y2134" i="12"/>
  <c r="X2136" i="12"/>
  <c r="Y2135" i="12"/>
  <c r="X2137" i="12"/>
  <c r="Y2136" i="12"/>
  <c r="X2138" i="12"/>
  <c r="Y2137" i="12"/>
  <c r="Y2138" i="12"/>
  <c r="X2139" i="12"/>
  <c r="X2140" i="12"/>
  <c r="Y2139" i="12"/>
  <c r="X2141" i="12"/>
  <c r="Y2140" i="12"/>
  <c r="X2142" i="12"/>
  <c r="Y2141" i="12"/>
  <c r="X2143" i="12"/>
  <c r="Y2142" i="12"/>
  <c r="X2144" i="12"/>
  <c r="Y2143" i="12"/>
  <c r="X2145" i="12"/>
  <c r="Y2144" i="12"/>
  <c r="Y2145" i="12"/>
  <c r="X2146" i="12"/>
  <c r="X2147" i="12"/>
  <c r="Y2146" i="12"/>
  <c r="X2148" i="12"/>
  <c r="Y2147" i="12"/>
  <c r="X2149" i="12"/>
  <c r="Y2148" i="12"/>
  <c r="X2150" i="12"/>
  <c r="Y2149" i="12"/>
  <c r="Y2150" i="12"/>
  <c r="X2151" i="12"/>
  <c r="X2152" i="12"/>
  <c r="Y2151" i="12"/>
  <c r="Y2152" i="12"/>
  <c r="X2153" i="12"/>
  <c r="X2154" i="12"/>
  <c r="Y2153" i="12"/>
  <c r="Y2154" i="12"/>
  <c r="X2155" i="12"/>
  <c r="X2156" i="12"/>
  <c r="Y2155" i="12"/>
  <c r="Y2156" i="12"/>
  <c r="X2157" i="12"/>
  <c r="X2158" i="12"/>
  <c r="Y2157" i="12"/>
  <c r="Y2158" i="12"/>
  <c r="X2159" i="12"/>
  <c r="X2160" i="12"/>
  <c r="Y2159" i="12"/>
  <c r="X2161" i="12"/>
  <c r="Y2160" i="12"/>
  <c r="Y2161" i="12"/>
  <c r="X2162" i="12"/>
  <c r="Y2162" i="12"/>
  <c r="X2163" i="12"/>
  <c r="X2164" i="12"/>
  <c r="Y2163" i="12"/>
  <c r="Y2164" i="12"/>
  <c r="X2165" i="12"/>
  <c r="X2166" i="12"/>
  <c r="Y2165" i="12"/>
  <c r="X2167" i="12"/>
  <c r="Y2166" i="12"/>
  <c r="Y2167" i="12"/>
  <c r="X2168" i="12"/>
  <c r="X2169" i="12"/>
  <c r="Y2168" i="12"/>
  <c r="X2170" i="12"/>
  <c r="Y2169" i="12"/>
  <c r="X2171" i="12"/>
  <c r="Y2170" i="12"/>
  <c r="Y2171" i="12"/>
  <c r="X2172" i="12"/>
  <c r="X2173" i="12"/>
  <c r="Y2172" i="12"/>
  <c r="Y2173" i="12"/>
  <c r="X2174" i="12"/>
  <c r="X2175" i="12"/>
  <c r="Y2174" i="12"/>
  <c r="Y2175" i="12"/>
  <c r="X2176" i="12"/>
  <c r="Y2176" i="12"/>
  <c r="X2177" i="12"/>
  <c r="Y2177" i="12"/>
  <c r="X2178" i="12"/>
  <c r="Y2178" i="12"/>
  <c r="X2179" i="12"/>
  <c r="X2180" i="12"/>
  <c r="Y2179" i="12"/>
  <c r="X2181" i="12"/>
  <c r="Y2180" i="12"/>
  <c r="Y2181" i="12"/>
  <c r="X2182" i="12"/>
  <c r="Y2182" i="12"/>
  <c r="X2183" i="12"/>
  <c r="X2184" i="12"/>
  <c r="Y2183" i="12"/>
  <c r="Y2184" i="12"/>
  <c r="X2185" i="12"/>
  <c r="X2186" i="12"/>
  <c r="Y2185" i="12"/>
  <c r="X2187" i="12"/>
  <c r="Y2186" i="12"/>
  <c r="Y2187" i="12"/>
  <c r="X2188" i="12"/>
  <c r="X2189" i="12"/>
  <c r="Y2188" i="12"/>
  <c r="X2190" i="12"/>
  <c r="Y2189" i="12"/>
  <c r="X2191" i="12"/>
  <c r="Y2190" i="12"/>
  <c r="X2192" i="12"/>
  <c r="Y2191" i="12"/>
  <c r="Y2192" i="12"/>
  <c r="X2193" i="12"/>
  <c r="Y2193" i="12"/>
  <c r="X2194" i="12"/>
  <c r="Y2194" i="12"/>
  <c r="X2195" i="12"/>
  <c r="X2196" i="12"/>
  <c r="Y2195" i="12"/>
  <c r="X2197" i="12"/>
  <c r="Y2196" i="12"/>
  <c r="X2198" i="12"/>
  <c r="Y2197" i="12"/>
  <c r="X2199" i="12"/>
  <c r="Y2198" i="12"/>
  <c r="X2200" i="12"/>
  <c r="Y2199" i="12"/>
  <c r="X2201" i="12"/>
  <c r="Y2200" i="12"/>
  <c r="X2202" i="12"/>
  <c r="Y2201" i="12"/>
  <c r="Y2202" i="12"/>
  <c r="X2203" i="12"/>
  <c r="Y2203" i="12"/>
  <c r="X2204" i="12"/>
  <c r="X2205" i="12"/>
  <c r="Y2204" i="12"/>
  <c r="X2206" i="12"/>
  <c r="Y2205" i="12"/>
  <c r="X2207" i="12"/>
  <c r="Y2206" i="12"/>
  <c r="X2208" i="12"/>
  <c r="Y2207" i="12"/>
  <c r="Y2208" i="12"/>
  <c r="X2209" i="12"/>
  <c r="Y2209" i="12"/>
  <c r="X2210" i="12"/>
  <c r="X2211" i="12"/>
  <c r="Y2210" i="12"/>
  <c r="Y2211" i="12"/>
  <c r="X2212" i="12"/>
  <c r="X2213" i="12"/>
  <c r="Y2212" i="12"/>
  <c r="X2214" i="12"/>
  <c r="Y2213" i="12"/>
  <c r="Y2214" i="12"/>
  <c r="X2215" i="12"/>
  <c r="X2216" i="12"/>
  <c r="Y2215" i="12"/>
  <c r="X2217" i="12"/>
  <c r="Y2216" i="12"/>
  <c r="X2218" i="12"/>
  <c r="Y2217" i="12"/>
  <c r="Y2218" i="12"/>
  <c r="X2219" i="12"/>
  <c r="Y2219" i="12"/>
  <c r="X2220" i="12"/>
  <c r="Y2220" i="12"/>
  <c r="X2221" i="12"/>
  <c r="Y2221" i="12"/>
  <c r="X2222" i="12"/>
  <c r="Y2222" i="12"/>
  <c r="X2223" i="12"/>
  <c r="Y2223" i="12"/>
  <c r="X2224" i="12"/>
  <c r="Y2224" i="12"/>
  <c r="X2225" i="12"/>
  <c r="X2226" i="12"/>
  <c r="Y2225" i="12"/>
  <c r="X2227" i="12"/>
  <c r="Y2226" i="12"/>
  <c r="X2228" i="12"/>
  <c r="Y2227" i="12"/>
  <c r="X2229" i="12"/>
  <c r="Y2228" i="12"/>
  <c r="X2230" i="12"/>
  <c r="Y2229" i="12"/>
  <c r="Y2230" i="12"/>
  <c r="X2231" i="12"/>
  <c r="X2232" i="12"/>
  <c r="Y2231" i="12"/>
  <c r="X2233" i="12"/>
  <c r="Y2232" i="12"/>
  <c r="X2234" i="12"/>
  <c r="Y2233" i="12"/>
  <c r="Y2234" i="12"/>
  <c r="X2235" i="12"/>
  <c r="X2236" i="12"/>
  <c r="Y2235" i="12"/>
  <c r="Y2236" i="12"/>
  <c r="X2237" i="12"/>
  <c r="Y2237" i="12"/>
  <c r="X2238" i="12"/>
  <c r="Y2238" i="12"/>
  <c r="X2239" i="12"/>
  <c r="Y2239" i="12"/>
  <c r="X2240" i="12"/>
  <c r="Y2240" i="12"/>
  <c r="X2241" i="12"/>
  <c r="Y2241" i="12"/>
  <c r="X2242" i="12"/>
  <c r="X2243" i="12"/>
  <c r="Y2242" i="12"/>
  <c r="Y2243" i="12"/>
  <c r="X2244" i="12"/>
  <c r="X2245" i="12"/>
  <c r="Y2244" i="12"/>
  <c r="Y2245" i="12"/>
  <c r="X2246" i="12"/>
  <c r="X2247" i="12"/>
  <c r="Y2246" i="12"/>
  <c r="Y2247" i="12"/>
  <c r="X2248" i="12"/>
  <c r="X2249" i="12"/>
  <c r="Y2248" i="12"/>
  <c r="X2250" i="12"/>
  <c r="Y2249" i="12"/>
  <c r="X2251" i="12"/>
  <c r="Y2250" i="12"/>
  <c r="Y2251" i="12"/>
  <c r="X2252" i="12"/>
  <c r="X2253" i="12"/>
  <c r="Y2252" i="12"/>
  <c r="Y2253" i="12"/>
  <c r="X2254" i="12"/>
  <c r="Y2254" i="12"/>
  <c r="X2255" i="12"/>
  <c r="X2256" i="12"/>
  <c r="Y2255" i="12"/>
  <c r="X2257" i="12"/>
  <c r="Y2256" i="12"/>
  <c r="X2258" i="12"/>
  <c r="Y2257" i="12"/>
  <c r="X2259" i="12"/>
  <c r="Y2258" i="12"/>
  <c r="X2260" i="12"/>
  <c r="Y2259" i="12"/>
  <c r="Y2260" i="12"/>
  <c r="X2261" i="12"/>
  <c r="X2262" i="12"/>
  <c r="Y2261" i="12"/>
  <c r="Y2262" i="12"/>
  <c r="X2263" i="12"/>
  <c r="X2264" i="12"/>
  <c r="Y2263" i="12"/>
  <c r="Y2264" i="12"/>
  <c r="X2265" i="12"/>
  <c r="X2266" i="12"/>
  <c r="Y2265" i="12"/>
  <c r="X2267" i="12"/>
  <c r="Y2266" i="12"/>
  <c r="Y2267" i="12"/>
  <c r="X2268" i="12"/>
  <c r="Y2268" i="12"/>
  <c r="X2269" i="12"/>
  <c r="X2270" i="12"/>
  <c r="Y2269" i="12"/>
  <c r="Y2270" i="12"/>
  <c r="X2271" i="12"/>
  <c r="Y2271" i="12"/>
  <c r="X2272" i="12"/>
  <c r="Y2272" i="12"/>
  <c r="X2273" i="12"/>
  <c r="Y2273" i="12"/>
  <c r="X2274" i="12"/>
  <c r="X2275" i="12"/>
  <c r="Y2274" i="12"/>
  <c r="Y2275" i="12"/>
  <c r="X2276" i="12"/>
  <c r="X2277" i="12"/>
  <c r="Y2276" i="12"/>
  <c r="X2278" i="12"/>
  <c r="Y2277" i="12"/>
  <c r="Y2278" i="12"/>
  <c r="X2279" i="12"/>
  <c r="X2280" i="12"/>
  <c r="Y2279" i="12"/>
  <c r="X2281" i="12"/>
  <c r="Y2280" i="12"/>
  <c r="X2282" i="12"/>
  <c r="Y2281" i="12"/>
  <c r="Y2282" i="12"/>
  <c r="X2283" i="12"/>
  <c r="Y2283" i="12"/>
  <c r="X2284" i="12"/>
  <c r="X2285" i="12"/>
  <c r="Y2284" i="12"/>
  <c r="Y2285" i="12"/>
  <c r="X2286" i="12"/>
  <c r="X2287" i="12"/>
  <c r="Y2286" i="12"/>
  <c r="X2288" i="12"/>
  <c r="Y2287" i="12"/>
  <c r="X2289" i="12"/>
  <c r="Y2288" i="12"/>
  <c r="X2290" i="12"/>
  <c r="Y2289" i="12"/>
  <c r="X2291" i="12"/>
  <c r="Y2290" i="12"/>
  <c r="X2292" i="12"/>
  <c r="Y2291" i="12"/>
  <c r="Y2292" i="12"/>
  <c r="X2293" i="12"/>
  <c r="X2294" i="12"/>
  <c r="Y2293" i="12"/>
  <c r="Y2294" i="12"/>
  <c r="X2295" i="12"/>
  <c r="Y2295" i="12"/>
  <c r="X2296" i="12"/>
  <c r="X2297" i="12"/>
  <c r="Y2296" i="12"/>
  <c r="Y2297" i="12"/>
  <c r="X2298" i="12"/>
  <c r="X2299" i="12"/>
  <c r="Y2298" i="12"/>
  <c r="Y2299" i="12"/>
  <c r="X2300" i="12"/>
  <c r="X2301" i="12"/>
  <c r="Y2300" i="12"/>
  <c r="Y2301" i="12"/>
  <c r="X2302" i="12"/>
  <c r="X2303" i="12"/>
  <c r="Y2302" i="12"/>
  <c r="Y2303" i="12"/>
  <c r="X2304" i="12"/>
  <c r="X2305" i="12"/>
  <c r="Y2304" i="12"/>
  <c r="Y2305" i="12"/>
  <c r="X2306" i="12"/>
  <c r="X2307" i="12"/>
  <c r="Y2306" i="12"/>
  <c r="X2308" i="12"/>
  <c r="Y2307" i="12"/>
  <c r="X2309" i="12"/>
  <c r="Y2308" i="12"/>
  <c r="Y2309" i="12"/>
  <c r="X2310" i="12"/>
  <c r="Y2310" i="12"/>
  <c r="X2311" i="12"/>
  <c r="X2312" i="12"/>
  <c r="Y2311" i="12"/>
  <c r="Y2312" i="12"/>
  <c r="X2313" i="12"/>
  <c r="X2314" i="12"/>
  <c r="Y2313" i="12"/>
  <c r="X2315" i="12"/>
  <c r="Y2314" i="12"/>
  <c r="Y2315" i="12"/>
  <c r="X2316" i="12"/>
  <c r="Y2316" i="12"/>
  <c r="X2317" i="12"/>
  <c r="Y2317" i="12"/>
  <c r="X2318" i="12"/>
  <c r="X2319" i="12"/>
  <c r="Y2318" i="12"/>
  <c r="Y2319" i="12"/>
  <c r="X2320" i="12"/>
  <c r="X2321" i="12"/>
  <c r="Y2320" i="12"/>
  <c r="X2322" i="12"/>
  <c r="Y2321" i="12"/>
  <c r="X2323" i="12"/>
  <c r="Y2322" i="12"/>
  <c r="Y2323" i="12"/>
  <c r="X2324" i="12"/>
  <c r="Y2324" i="12"/>
  <c r="X2325" i="12"/>
  <c r="X2326" i="12"/>
  <c r="Y2325" i="12"/>
  <c r="Y2326" i="12"/>
  <c r="X2327" i="12"/>
  <c r="X2328" i="12"/>
  <c r="Y2327" i="12"/>
  <c r="X2329" i="12"/>
  <c r="Y2328" i="12"/>
  <c r="X2330" i="12"/>
  <c r="Y2329" i="12"/>
  <c r="Y2330" i="12"/>
  <c r="X2331" i="12"/>
  <c r="Y2331" i="12"/>
  <c r="X2332" i="12"/>
  <c r="X2333" i="12"/>
  <c r="Y2332" i="12"/>
  <c r="X2334" i="12"/>
  <c r="Y2333" i="12"/>
  <c r="X2335" i="12"/>
  <c r="Y2334" i="12"/>
  <c r="X2336" i="12"/>
  <c r="Y2335" i="12"/>
  <c r="Y2336" i="12"/>
  <c r="X2337" i="12"/>
  <c r="X2338" i="12"/>
  <c r="Y2337" i="12"/>
  <c r="Y2338" i="12"/>
  <c r="X2339" i="12"/>
  <c r="X2340" i="12"/>
  <c r="Y2339" i="12"/>
  <c r="X2341" i="12"/>
  <c r="Y2340" i="12"/>
  <c r="X2342" i="12"/>
  <c r="Y2341" i="12"/>
  <c r="Y2342" i="12"/>
  <c r="X2343" i="12"/>
  <c r="Y2343" i="12"/>
  <c r="X2344" i="12"/>
  <c r="Y2344" i="12"/>
  <c r="X2345" i="12"/>
  <c r="Y2345" i="12"/>
  <c r="X2346" i="12"/>
  <c r="Y2346" i="12"/>
  <c r="X2347" i="12"/>
  <c r="Y2347" i="12"/>
  <c r="X2348" i="12"/>
  <c r="X2349" i="12"/>
  <c r="Y2348" i="12"/>
  <c r="Y2349" i="12"/>
  <c r="X2350" i="12"/>
  <c r="X2351" i="12"/>
  <c r="Y2350" i="12"/>
  <c r="Y2351" i="12"/>
  <c r="X2352" i="12"/>
  <c r="Y2352" i="12"/>
  <c r="X2353" i="12"/>
  <c r="X2354" i="12"/>
  <c r="Y2353" i="12"/>
  <c r="Y2354" i="12"/>
  <c r="X2355" i="12"/>
  <c r="X2356" i="12"/>
  <c r="Y2355" i="12"/>
  <c r="Y2356" i="12"/>
  <c r="X2357" i="12"/>
  <c r="X2358" i="12"/>
  <c r="Y2357" i="12"/>
  <c r="Y2358" i="12"/>
  <c r="X2359" i="12"/>
  <c r="X2360" i="12"/>
  <c r="Y2359" i="12"/>
  <c r="Y2360" i="12"/>
  <c r="X2361" i="12"/>
  <c r="Y2361" i="12"/>
  <c r="X2362" i="12"/>
  <c r="Y2362" i="12"/>
  <c r="X2363" i="12"/>
  <c r="Y2363" i="12"/>
  <c r="X2364" i="12"/>
  <c r="Y2364" i="12"/>
  <c r="X2365" i="12"/>
  <c r="Y2365" i="12"/>
  <c r="X2366" i="12"/>
  <c r="X2367" i="12"/>
  <c r="Y2366" i="12"/>
  <c r="X2368" i="12"/>
  <c r="Y2367" i="12"/>
  <c r="Y2368" i="12"/>
  <c r="X2369" i="12"/>
  <c r="X2370" i="12"/>
  <c r="Y2369" i="12"/>
  <c r="Y2370" i="12"/>
  <c r="X2371" i="12"/>
  <c r="X2372" i="12"/>
  <c r="Y2371" i="12"/>
  <c r="X2373" i="12"/>
  <c r="Y2372" i="12"/>
  <c r="X2374" i="12"/>
  <c r="Y2373" i="12"/>
  <c r="Y2374" i="12"/>
  <c r="X2375" i="12"/>
  <c r="Y2375" i="12"/>
  <c r="X2376" i="12"/>
  <c r="X2377" i="12"/>
  <c r="Y2376" i="12"/>
  <c r="Y2377" i="12"/>
  <c r="X2378" i="12"/>
  <c r="Y2378" i="12"/>
  <c r="X2379" i="12"/>
  <c r="Y2379" i="12"/>
  <c r="X2380" i="12"/>
  <c r="X2381" i="12"/>
  <c r="Y2380" i="12"/>
  <c r="Y2381" i="12"/>
  <c r="X2382" i="12"/>
  <c r="X2383" i="12"/>
  <c r="Y2382" i="12"/>
  <c r="Y2383" i="12"/>
  <c r="X2384" i="12"/>
  <c r="Y2384" i="12"/>
  <c r="X2385" i="12"/>
  <c r="X2386" i="12"/>
  <c r="Y2385" i="12"/>
  <c r="X2387" i="12"/>
  <c r="Y2386" i="12"/>
  <c r="X2388" i="12"/>
  <c r="Y2387" i="12"/>
  <c r="Y2388" i="12"/>
  <c r="X2389" i="12"/>
  <c r="X2390" i="12"/>
  <c r="Y2389" i="12"/>
  <c r="X2391" i="12"/>
  <c r="Y2390" i="12"/>
  <c r="Y2391" i="12"/>
  <c r="X2392" i="12"/>
  <c r="Y2392" i="12"/>
  <c r="X2393" i="12"/>
  <c r="Y2393" i="12"/>
  <c r="X2394" i="12"/>
  <c r="Y2394" i="12"/>
  <c r="X2395" i="12"/>
  <c r="Y2395" i="12"/>
  <c r="X2396" i="12"/>
  <c r="Y2396" i="12"/>
  <c r="X2397" i="12"/>
  <c r="X2398" i="12"/>
  <c r="Y2397" i="12"/>
  <c r="X2399" i="12"/>
  <c r="Y2398" i="12"/>
  <c r="X2400" i="12"/>
  <c r="Y2399" i="12"/>
  <c r="Y2400" i="12"/>
  <c r="X2401" i="12"/>
  <c r="Y2401" i="12"/>
  <c r="X2402" i="12"/>
  <c r="Y2402" i="12"/>
  <c r="X2403" i="12"/>
  <c r="Y2403" i="12"/>
  <c r="X2404" i="12"/>
  <c r="X2405" i="12"/>
  <c r="Y2404" i="12"/>
  <c r="Y2405" i="12"/>
  <c r="X2406" i="12"/>
  <c r="Y2406" i="12"/>
  <c r="X2407" i="12"/>
  <c r="X2408" i="12"/>
  <c r="Y2407" i="12"/>
  <c r="X2409" i="12"/>
  <c r="Y2408" i="12"/>
  <c r="Y2409" i="12"/>
  <c r="X2410" i="12"/>
  <c r="X2411" i="12"/>
  <c r="Y2410" i="12"/>
  <c r="X2412" i="12"/>
  <c r="Y2411" i="12"/>
  <c r="Y2412" i="12"/>
  <c r="X2413" i="12"/>
  <c r="Y2413" i="12"/>
  <c r="X2414" i="12"/>
  <c r="Y2414" i="12"/>
  <c r="X2415" i="12"/>
  <c r="Y2415" i="12"/>
  <c r="X2416" i="12"/>
  <c r="Y2416" i="12"/>
  <c r="X2417" i="12"/>
  <c r="Y2417" i="12"/>
  <c r="X2418" i="12"/>
  <c r="Y2418" i="12"/>
  <c r="X2419" i="12"/>
  <c r="X2420" i="12"/>
  <c r="Y2419" i="12"/>
  <c r="Y2420" i="12"/>
  <c r="X2421" i="12"/>
  <c r="X2422" i="12"/>
  <c r="Y2421" i="12"/>
  <c r="X2423" i="12"/>
  <c r="Y2422" i="12"/>
  <c r="Y2423" i="12"/>
  <c r="X2424" i="12"/>
  <c r="X2425" i="12"/>
  <c r="Y2424" i="12"/>
  <c r="Y2425" i="12"/>
  <c r="X2426" i="12"/>
  <c r="X2427" i="12"/>
  <c r="Y2426" i="12"/>
  <c r="Y2427" i="12"/>
  <c r="X2428" i="12"/>
  <c r="X2429" i="12"/>
  <c r="Y2428" i="12"/>
  <c r="Y2429" i="12"/>
  <c r="X2430" i="12"/>
  <c r="X2431" i="12"/>
  <c r="Y2430" i="12"/>
  <c r="X2432" i="12"/>
  <c r="Y2431" i="12"/>
  <c r="X2433" i="12"/>
  <c r="Y2432" i="12"/>
  <c r="Y2433" i="12"/>
  <c r="X2434" i="12"/>
  <c r="X2435" i="12"/>
  <c r="Y2434" i="12"/>
  <c r="X2436" i="12"/>
  <c r="Y2435" i="12"/>
  <c r="X2437" i="12"/>
  <c r="Y2436" i="12"/>
  <c r="Y2437" i="12"/>
  <c r="X2438" i="12"/>
  <c r="X2439" i="12"/>
  <c r="Y2438" i="12"/>
  <c r="X2440" i="12"/>
  <c r="Y2439" i="12"/>
  <c r="X2441" i="12"/>
  <c r="Y2440" i="12"/>
  <c r="Y2441" i="12"/>
  <c r="X2442" i="12"/>
  <c r="Y2442" i="12"/>
  <c r="X2443" i="12"/>
  <c r="Y2443" i="12"/>
  <c r="X2444" i="12"/>
  <c r="X2445" i="12"/>
  <c r="Y2444" i="12"/>
  <c r="Y2445" i="12"/>
  <c r="X2446" i="12"/>
  <c r="Y2446" i="12"/>
  <c r="X2447" i="12"/>
  <c r="X2448" i="12"/>
  <c r="Y2447" i="12"/>
  <c r="X2449" i="12"/>
  <c r="Y2448" i="12"/>
  <c r="Y2449" i="12"/>
  <c r="X2450" i="12"/>
  <c r="Y2450" i="12"/>
  <c r="X2451" i="12"/>
  <c r="X2452" i="12"/>
  <c r="Y2451" i="12"/>
  <c r="X2453" i="12"/>
  <c r="Y2452" i="12"/>
  <c r="X2454" i="12"/>
  <c r="Y2453" i="12"/>
  <c r="X2455" i="12"/>
  <c r="Y2454" i="12"/>
  <c r="Y2455" i="12"/>
  <c r="X2456" i="12"/>
  <c r="X2457" i="12"/>
  <c r="Y2456" i="12"/>
  <c r="Y2457" i="12"/>
  <c r="X2458" i="12"/>
  <c r="X2459" i="12"/>
  <c r="Y2458" i="12"/>
  <c r="X2460" i="12"/>
  <c r="Y2459" i="12"/>
  <c r="Y2460" i="12"/>
  <c r="X2461" i="12"/>
  <c r="Y2461" i="12"/>
  <c r="X2462" i="12"/>
  <c r="X2463" i="12"/>
  <c r="Y2462" i="12"/>
  <c r="Y2463" i="12"/>
  <c r="X2464" i="12"/>
  <c r="Y2464" i="12"/>
  <c r="X2465" i="12"/>
  <c r="Y2465" i="12"/>
  <c r="X2466" i="12"/>
  <c r="X2467" i="12"/>
  <c r="Y2466" i="12"/>
  <c r="X2468" i="12"/>
  <c r="Y2467" i="12"/>
  <c r="Y2468" i="12"/>
  <c r="X2469" i="12"/>
  <c r="X2470" i="12"/>
  <c r="Y2469" i="12"/>
  <c r="X2471" i="12"/>
  <c r="Y2470" i="12"/>
  <c r="Y2471" i="12"/>
  <c r="X2472" i="12"/>
  <c r="X2473" i="12"/>
  <c r="Y2472" i="12"/>
  <c r="X2474" i="12"/>
  <c r="Y2473" i="12"/>
  <c r="Y2474" i="12"/>
  <c r="X2475" i="12"/>
  <c r="Y2475" i="12"/>
  <c r="X2476" i="12"/>
  <c r="Y2476" i="12"/>
  <c r="X2477" i="12"/>
  <c r="Y2477" i="12"/>
  <c r="X2478" i="12"/>
  <c r="X2479" i="12"/>
  <c r="Y2478" i="12"/>
  <c r="Y2479" i="12"/>
  <c r="X2480" i="12"/>
  <c r="X2481" i="12"/>
  <c r="Y2480" i="12"/>
  <c r="Y2481" i="12"/>
  <c r="X2482" i="12"/>
  <c r="X2483" i="12"/>
  <c r="Y2482" i="12"/>
  <c r="X2484" i="12"/>
  <c r="Y2483" i="12"/>
  <c r="Y2484" i="12"/>
  <c r="X2485" i="12"/>
  <c r="X2486" i="12"/>
  <c r="Y2485" i="12"/>
  <c r="X2487" i="12"/>
  <c r="Y2486" i="12"/>
  <c r="Y2487" i="12"/>
  <c r="X2488" i="12"/>
  <c r="X2489" i="12"/>
  <c r="Y2488" i="12"/>
  <c r="X2490" i="12"/>
  <c r="Y2489" i="12"/>
  <c r="X2491" i="12"/>
  <c r="Y2490" i="12"/>
  <c r="Y2491" i="12"/>
  <c r="X2492" i="12"/>
  <c r="Y2492" i="12"/>
  <c r="X2493" i="12"/>
  <c r="Y2493" i="12"/>
  <c r="X2494" i="12"/>
  <c r="X2495" i="12"/>
  <c r="Y2494" i="12"/>
  <c r="X2496" i="12"/>
  <c r="Y2495" i="12"/>
  <c r="Y2496" i="12"/>
  <c r="X2497" i="12"/>
  <c r="Y2497" i="12"/>
  <c r="X2498" i="12"/>
  <c r="X2499" i="12"/>
  <c r="Y2498" i="12"/>
  <c r="Y2499" i="12"/>
  <c r="X2500" i="12"/>
  <c r="X2501" i="12"/>
  <c r="Y2500" i="12"/>
  <c r="Y2501" i="12"/>
  <c r="X2502" i="12"/>
  <c r="X2503" i="12"/>
  <c r="Y2502" i="12"/>
  <c r="Y2503" i="12"/>
  <c r="X2504" i="12"/>
  <c r="X2505" i="12"/>
  <c r="Y2504" i="12"/>
  <c r="X2506" i="12"/>
  <c r="Y2505" i="12"/>
  <c r="Y2506" i="12"/>
  <c r="X2507" i="12"/>
  <c r="X2508" i="12"/>
  <c r="Y2507" i="12"/>
  <c r="Y2508" i="12"/>
  <c r="X2509" i="12"/>
  <c r="Y2509" i="12"/>
  <c r="X2510" i="12"/>
  <c r="Y2510" i="12"/>
  <c r="X2511" i="12"/>
  <c r="X2512" i="12"/>
  <c r="Y2511" i="12"/>
  <c r="X2513" i="12"/>
  <c r="Y2512" i="12"/>
  <c r="Y2513" i="12"/>
  <c r="X2514" i="12"/>
  <c r="Y2514" i="12"/>
  <c r="X2515" i="12"/>
  <c r="X2516" i="12"/>
  <c r="Y2515" i="12"/>
  <c r="X2517" i="12"/>
  <c r="Y2516" i="12"/>
  <c r="X2518" i="12"/>
  <c r="Y2517" i="12"/>
  <c r="Y2518" i="12"/>
  <c r="X2519" i="12"/>
  <c r="Y2519" i="12"/>
  <c r="X2520" i="12"/>
  <c r="X2521" i="12"/>
  <c r="Y2520" i="12"/>
  <c r="Y2521" i="12"/>
  <c r="X2522" i="12"/>
  <c r="Y2522" i="12"/>
  <c r="X2523" i="12"/>
  <c r="Y2523" i="12"/>
  <c r="X2524" i="12"/>
  <c r="Y2524" i="12"/>
  <c r="X2525" i="12"/>
  <c r="Y2525" i="12"/>
  <c r="X2526" i="12"/>
  <c r="Y2526" i="12"/>
  <c r="X2527" i="12"/>
  <c r="Y2527" i="12"/>
  <c r="X2528" i="12"/>
  <c r="X2529" i="12"/>
  <c r="Y2528" i="12"/>
  <c r="Y2529" i="12"/>
  <c r="X2530" i="12"/>
  <c r="X2531" i="12"/>
  <c r="Y2530" i="12"/>
  <c r="X2532" i="12"/>
  <c r="Y2531" i="12"/>
  <c r="X2533" i="12"/>
  <c r="Y2532" i="12"/>
  <c r="Y2533" i="12"/>
  <c r="X2534" i="12"/>
  <c r="X2535" i="12"/>
  <c r="Y2534" i="12"/>
  <c r="X2536" i="12"/>
  <c r="Y2535" i="12"/>
  <c r="X2537" i="12"/>
  <c r="Y2536" i="12"/>
  <c r="X2538" i="12"/>
  <c r="Y2537" i="12"/>
  <c r="Y2538" i="12"/>
  <c r="X2539" i="12"/>
  <c r="Y2539" i="12"/>
  <c r="X2540" i="12"/>
  <c r="X2541" i="12"/>
  <c r="Y2540" i="12"/>
  <c r="Y2541" i="12"/>
  <c r="X2542" i="12"/>
  <c r="X2543" i="12"/>
  <c r="Y2542" i="12"/>
  <c r="Y2543" i="12"/>
  <c r="X2544" i="12"/>
  <c r="X2545" i="12"/>
  <c r="Y2544" i="12"/>
  <c r="Y2545" i="12"/>
  <c r="X2546" i="12"/>
  <c r="X2547" i="12"/>
  <c r="Y2546" i="12"/>
  <c r="X2548" i="12"/>
  <c r="Y2547" i="12"/>
  <c r="X2549" i="12"/>
  <c r="Y2548" i="12"/>
  <c r="X2550" i="12"/>
  <c r="Y2549" i="12"/>
  <c r="X2551" i="12"/>
  <c r="Y2550" i="12"/>
  <c r="Y2551" i="12"/>
  <c r="X2552" i="12"/>
  <c r="X2553" i="12"/>
  <c r="Y2552" i="12"/>
  <c r="X2554" i="12"/>
  <c r="Y2553" i="12"/>
  <c r="Y2554" i="12"/>
  <c r="X2555" i="12"/>
  <c r="Y2555" i="12"/>
  <c r="X2556" i="12"/>
  <c r="X2557" i="12"/>
  <c r="Y2556" i="12"/>
  <c r="X2558" i="12"/>
  <c r="Y2557" i="12"/>
  <c r="X2559" i="12"/>
  <c r="Y2558" i="12"/>
  <c r="Y2559" i="12"/>
  <c r="X2560" i="12"/>
  <c r="Y2560" i="12"/>
  <c r="X2561" i="12"/>
  <c r="Y2561" i="12"/>
  <c r="X2562" i="12"/>
  <c r="X2563" i="12"/>
  <c r="Y2562" i="12"/>
  <c r="X2564" i="12"/>
  <c r="Y2563" i="12"/>
  <c r="Y2564" i="12"/>
  <c r="X2565" i="12"/>
  <c r="X2566" i="12"/>
  <c r="Y2565" i="12"/>
  <c r="X2567" i="12"/>
  <c r="Y2566" i="12"/>
  <c r="Y2567" i="12"/>
  <c r="X2568" i="12"/>
  <c r="Y2568" i="12"/>
  <c r="X2569" i="12"/>
  <c r="X2570" i="12"/>
  <c r="Y2569" i="12"/>
  <c r="Y2570" i="12"/>
  <c r="X2571" i="12"/>
  <c r="Y2571" i="12"/>
  <c r="X2572" i="12"/>
  <c r="X2573" i="12"/>
  <c r="Y2572" i="12"/>
  <c r="Y2573" i="12"/>
  <c r="X2574" i="12"/>
  <c r="Y2574" i="12"/>
  <c r="X2575" i="12"/>
  <c r="Y2575" i="12"/>
  <c r="X2576" i="12"/>
  <c r="X2577" i="12"/>
  <c r="Y2576" i="12"/>
  <c r="Y2577" i="12"/>
  <c r="X2578" i="12"/>
  <c r="X2579" i="12"/>
  <c r="Y2578" i="12"/>
  <c r="X2580" i="12"/>
  <c r="Y2579" i="12"/>
  <c r="X2581" i="12"/>
  <c r="Y2580" i="12"/>
  <c r="Y2581" i="12"/>
  <c r="X2582" i="12"/>
  <c r="Y2582" i="12"/>
  <c r="X2583" i="12"/>
  <c r="Y2583" i="12"/>
  <c r="X2584" i="12"/>
  <c r="X2585" i="12"/>
  <c r="Y2584" i="12"/>
  <c r="Y2585" i="12"/>
  <c r="X2586" i="12"/>
  <c r="Y2586" i="12"/>
  <c r="X2587" i="12"/>
  <c r="Y2587" i="12"/>
  <c r="X2588" i="12"/>
  <c r="X2589" i="12"/>
  <c r="Y2588" i="12"/>
  <c r="X2590" i="12"/>
  <c r="Y2589" i="12"/>
  <c r="Y2590" i="12"/>
  <c r="X2591" i="12"/>
  <c r="X2592" i="12"/>
  <c r="Y2591" i="12"/>
  <c r="Y2592" i="12"/>
  <c r="X2593" i="12"/>
  <c r="Y2593" i="12"/>
  <c r="X2594" i="12"/>
  <c r="Y2594" i="12"/>
  <c r="X2595" i="12"/>
  <c r="Y2595" i="12"/>
  <c r="X2596" i="12"/>
  <c r="X2597" i="12"/>
  <c r="Y2596" i="12"/>
  <c r="Y2597" i="12"/>
  <c r="X2598" i="12"/>
  <c r="X2599" i="12"/>
  <c r="Y2598" i="12"/>
  <c r="X2600" i="12"/>
  <c r="Y2599" i="12"/>
  <c r="X2601" i="12"/>
  <c r="Y2600" i="12"/>
  <c r="X2602" i="12"/>
  <c r="Y2601" i="12"/>
  <c r="X2603" i="12"/>
  <c r="Y2602" i="12"/>
  <c r="Y2603" i="12"/>
  <c r="X2604" i="12"/>
  <c r="Y2604" i="12"/>
  <c r="X2605" i="12"/>
  <c r="X2606" i="12"/>
  <c r="Y2605" i="12"/>
  <c r="X2607" i="12"/>
  <c r="Y2606" i="12"/>
  <c r="X2608" i="12"/>
  <c r="Y2607" i="12"/>
  <c r="X2609" i="12"/>
  <c r="Y2608" i="12"/>
  <c r="X2610" i="12"/>
  <c r="Y2609" i="12"/>
  <c r="Y2610" i="12"/>
  <c r="X2611" i="12"/>
  <c r="Y2611" i="12"/>
  <c r="X2612" i="12"/>
  <c r="X2613" i="12"/>
  <c r="Y2612" i="12"/>
  <c r="X2614" i="12"/>
  <c r="Y2613" i="12"/>
  <c r="X2615" i="12"/>
  <c r="Y2614" i="12"/>
  <c r="Y2615" i="12"/>
  <c r="X2616" i="12"/>
  <c r="Y2616" i="12"/>
  <c r="X2617" i="12"/>
  <c r="X2618" i="12"/>
  <c r="Y2617" i="12"/>
  <c r="Y2618" i="12"/>
  <c r="X2619" i="12"/>
  <c r="X2620" i="12"/>
  <c r="Y2619" i="12"/>
  <c r="Y2620" i="12"/>
  <c r="X2621" i="12"/>
  <c r="X2622" i="12"/>
  <c r="Y2621" i="12"/>
  <c r="Y2622" i="12"/>
  <c r="X2623" i="12"/>
  <c r="X2624" i="12"/>
  <c r="Y2623" i="12"/>
  <c r="X2625" i="12"/>
  <c r="Y2624" i="12"/>
  <c r="X2626" i="12"/>
  <c r="Y2625" i="12"/>
  <c r="X2627" i="12"/>
  <c r="Y2626" i="12"/>
  <c r="X2628" i="12"/>
  <c r="Y2627" i="12"/>
  <c r="X2629" i="12"/>
  <c r="Y2628" i="12"/>
  <c r="Y2629" i="12"/>
  <c r="X2630" i="12"/>
  <c r="Y2630" i="12"/>
  <c r="X2631" i="12"/>
  <c r="Y2631" i="12"/>
  <c r="X2632" i="12"/>
  <c r="X2633" i="12"/>
  <c r="Y2632" i="12"/>
  <c r="Y2633" i="12"/>
  <c r="X2634" i="12"/>
  <c r="X2635" i="12"/>
  <c r="Y2634" i="12"/>
  <c r="X2636" i="12"/>
  <c r="Y2635" i="12"/>
  <c r="X2637" i="12"/>
  <c r="Y2636" i="12"/>
  <c r="X2638" i="12"/>
  <c r="Y2637" i="12"/>
  <c r="X2639" i="12"/>
  <c r="Y2638" i="12"/>
  <c r="X2640" i="12"/>
  <c r="Y2639" i="12"/>
  <c r="X2641" i="12"/>
  <c r="Y2640" i="12"/>
  <c r="Y2641" i="12"/>
  <c r="X2642" i="12"/>
  <c r="Y2642" i="12"/>
  <c r="X2643" i="12"/>
  <c r="X2644" i="12"/>
  <c r="Y2643" i="12"/>
  <c r="X2645" i="12"/>
  <c r="Y2644" i="12"/>
  <c r="X2646" i="12"/>
  <c r="Y2645" i="12"/>
  <c r="Y2646" i="12"/>
  <c r="X2647" i="12"/>
  <c r="Y2647" i="12"/>
  <c r="X2648" i="12"/>
  <c r="Y2648" i="12"/>
  <c r="X2649" i="12"/>
  <c r="X2650" i="12"/>
  <c r="Y2649" i="12"/>
  <c r="Y2650" i="12"/>
  <c r="X2651" i="12"/>
  <c r="Y2651" i="12"/>
  <c r="X2652" i="12"/>
  <c r="X2653" i="12"/>
  <c r="Y2652" i="12"/>
  <c r="Y2653" i="12"/>
  <c r="X2654" i="12"/>
  <c r="X2655" i="12"/>
  <c r="Y2654" i="12"/>
  <c r="Y2655" i="12"/>
  <c r="X2656" i="12"/>
  <c r="Y2656" i="12"/>
  <c r="X2657" i="12"/>
  <c r="X2658" i="12"/>
  <c r="Y2657" i="12"/>
  <c r="Y2658" i="12"/>
  <c r="X2659" i="12"/>
  <c r="X2660" i="12"/>
  <c r="Y2659" i="12"/>
  <c r="X2661" i="12"/>
  <c r="Y2660" i="12"/>
  <c r="Y2661" i="12"/>
  <c r="X2662" i="12"/>
  <c r="X2663" i="12"/>
  <c r="Y2662" i="12"/>
  <c r="Y2663" i="12"/>
  <c r="X2664" i="12"/>
  <c r="X2665" i="12"/>
  <c r="Y2664" i="12"/>
  <c r="X2666" i="12"/>
  <c r="Y2665" i="12"/>
  <c r="X2667" i="12"/>
  <c r="Y2666" i="12"/>
  <c r="X2668" i="12"/>
  <c r="Y2667" i="12"/>
  <c r="Y2668" i="12"/>
  <c r="X2669" i="12"/>
  <c r="X2670" i="12"/>
  <c r="Y2669" i="12"/>
  <c r="X2671" i="12"/>
  <c r="Y2670" i="12"/>
  <c r="Y2671" i="12"/>
  <c r="X2672" i="12"/>
  <c r="Y2672" i="12"/>
  <c r="X2673" i="12"/>
  <c r="Y2673" i="12"/>
  <c r="X2674" i="12"/>
  <c r="X2675" i="12"/>
  <c r="Y2674" i="12"/>
  <c r="Y2675" i="12"/>
  <c r="X2676" i="12"/>
  <c r="Y2676" i="12"/>
  <c r="X2677" i="12"/>
  <c r="Y2677" i="12"/>
  <c r="X2678" i="12"/>
  <c r="Y2678" i="12"/>
  <c r="X2679" i="12"/>
  <c r="Y2679" i="12"/>
  <c r="X2680" i="12"/>
  <c r="Y2680" i="12"/>
  <c r="X2681" i="12"/>
  <c r="Y2681" i="12"/>
  <c r="X2682" i="12"/>
  <c r="Y2682" i="12"/>
  <c r="X2683" i="12"/>
  <c r="Y2683" i="12"/>
  <c r="X2684" i="12"/>
  <c r="X2685" i="12"/>
  <c r="Y2684" i="12"/>
  <c r="X2686" i="12"/>
  <c r="Y2685" i="12"/>
  <c r="Y2686" i="12"/>
  <c r="X2687" i="12"/>
  <c r="X2688" i="12"/>
  <c r="Y2687" i="12"/>
  <c r="Y2688" i="12"/>
  <c r="X2689" i="12"/>
  <c r="X2690" i="12"/>
  <c r="Y2689" i="12"/>
  <c r="X2691" i="12"/>
  <c r="Y2690" i="12"/>
  <c r="Y2691" i="12"/>
  <c r="X2692" i="12"/>
  <c r="Y2692" i="12"/>
  <c r="X2693" i="12"/>
  <c r="Y2693" i="12"/>
  <c r="X2694" i="12"/>
  <c r="X2695" i="12"/>
  <c r="Y2694" i="12"/>
  <c r="Y2695" i="12"/>
  <c r="X2696" i="12"/>
  <c r="Y2696" i="12"/>
  <c r="X2697" i="12"/>
  <c r="Y2697" i="12"/>
  <c r="X2698" i="12"/>
  <c r="X2699" i="12"/>
  <c r="Y2698" i="12"/>
  <c r="X2700" i="12"/>
  <c r="Y2699" i="12"/>
  <c r="X2701" i="12"/>
  <c r="Y2700" i="12"/>
  <c r="X2702" i="12"/>
  <c r="Y2701" i="12"/>
  <c r="Y2702" i="12"/>
  <c r="X2703" i="12"/>
  <c r="X2704" i="12"/>
  <c r="Y2703" i="12"/>
  <c r="X2705" i="12"/>
  <c r="Y2704" i="12"/>
  <c r="Y2705" i="12"/>
  <c r="X2706" i="12"/>
  <c r="X2707" i="12"/>
  <c r="Y2706" i="12"/>
  <c r="X2708" i="12"/>
  <c r="Y2707" i="12"/>
  <c r="Y2708" i="12"/>
  <c r="X2709" i="12"/>
  <c r="X2710" i="12"/>
  <c r="Y2709" i="12"/>
  <c r="Y2710" i="12"/>
  <c r="X2711" i="12"/>
  <c r="X2712" i="12"/>
  <c r="Y2711" i="12"/>
  <c r="X2713" i="12"/>
  <c r="Y2712" i="12"/>
  <c r="Y2713" i="12"/>
  <c r="X2714" i="12"/>
  <c r="Y2714" i="12"/>
  <c r="X2715" i="12"/>
  <c r="X2716" i="12"/>
  <c r="Y2715" i="12"/>
  <c r="X2717" i="12"/>
  <c r="Y2716" i="12"/>
  <c r="Y2717" i="12"/>
  <c r="X2718" i="12"/>
  <c r="X2719" i="12"/>
  <c r="Y2718" i="12"/>
  <c r="X2720" i="12"/>
  <c r="Y2719" i="12"/>
  <c r="X2721" i="12"/>
  <c r="Y2720" i="12"/>
  <c r="Y2721" i="12"/>
  <c r="X2722" i="12"/>
  <c r="X2723" i="12"/>
  <c r="Y2722" i="12"/>
  <c r="Y2723" i="12"/>
  <c r="X2724" i="12"/>
  <c r="Y2724" i="12"/>
  <c r="X2725" i="12"/>
  <c r="Y2725" i="12"/>
  <c r="X2726" i="12"/>
  <c r="X2727" i="12"/>
  <c r="Y2726" i="12"/>
  <c r="Y2727" i="12"/>
  <c r="X2728" i="12"/>
  <c r="X2729" i="12"/>
  <c r="Y2728" i="12"/>
  <c r="Y2729" i="12"/>
  <c r="X2730" i="12"/>
  <c r="X2731" i="12"/>
  <c r="Y2730" i="12"/>
  <c r="Y2731" i="12"/>
  <c r="X2732" i="12"/>
  <c r="X2733" i="12"/>
  <c r="Y2732" i="12"/>
  <c r="X2734" i="12"/>
  <c r="Y2733" i="12"/>
  <c r="X2735" i="12"/>
  <c r="Y2734" i="12"/>
  <c r="Y2735" i="12"/>
  <c r="X2736" i="12"/>
  <c r="Y2736" i="12"/>
  <c r="X2737" i="12"/>
  <c r="Y2737" i="12"/>
  <c r="X2738" i="12"/>
  <c r="Y2738" i="12"/>
  <c r="X2739" i="12"/>
  <c r="Y2739" i="12"/>
  <c r="X2740" i="12"/>
  <c r="Y2740" i="12"/>
  <c r="X2741" i="12"/>
  <c r="X2742" i="12"/>
  <c r="Y2741" i="12"/>
  <c r="Y2742" i="12"/>
  <c r="X2743" i="12"/>
  <c r="X2744" i="12"/>
  <c r="Y2743" i="12"/>
  <c r="Y2744" i="12"/>
  <c r="X2745" i="12"/>
  <c r="X2746" i="12"/>
  <c r="Y2745" i="12"/>
  <c r="Y2746" i="12"/>
  <c r="X2747" i="12"/>
  <c r="Y2747" i="12"/>
  <c r="X2748" i="12"/>
  <c r="Y2748" i="12"/>
  <c r="X2749" i="12"/>
  <c r="X2750" i="12"/>
  <c r="Y2749" i="12"/>
  <c r="X2751" i="12"/>
  <c r="Y2750" i="12"/>
  <c r="X2752" i="12"/>
  <c r="Y2751" i="12"/>
  <c r="Y2752" i="12"/>
  <c r="X2753" i="12"/>
  <c r="X2754" i="12"/>
  <c r="Y2753" i="12"/>
  <c r="Y2754" i="12"/>
  <c r="X2755" i="12"/>
  <c r="Y2755" i="12"/>
  <c r="X2756" i="12"/>
  <c r="Y2756" i="12"/>
  <c r="X2757" i="12"/>
  <c r="Y2757" i="12"/>
  <c r="X2758" i="12"/>
  <c r="X2759" i="12"/>
  <c r="Y2758" i="12"/>
  <c r="X2760" i="12"/>
  <c r="Y2759" i="12"/>
  <c r="Y2760" i="12"/>
  <c r="X2761" i="12"/>
  <c r="Y2761" i="12"/>
  <c r="X2762" i="12"/>
  <c r="X2763" i="12"/>
  <c r="Y2762" i="12"/>
  <c r="X2764" i="12"/>
  <c r="Y2763" i="12"/>
  <c r="X2765" i="12"/>
  <c r="Y2764" i="12"/>
  <c r="X2766" i="12"/>
  <c r="Y2765" i="12"/>
  <c r="X2767" i="12"/>
  <c r="Y2766" i="12"/>
  <c r="Y2767" i="12"/>
  <c r="X2768" i="12"/>
  <c r="Y2768" i="12"/>
  <c r="X2769" i="12"/>
  <c r="Y2769" i="12"/>
  <c r="X2770" i="12"/>
  <c r="Y2770" i="12"/>
  <c r="X2771" i="12"/>
  <c r="X2772" i="12"/>
  <c r="Y2771" i="12"/>
  <c r="Y2772" i="12"/>
  <c r="X2773" i="12"/>
  <c r="X2774" i="12"/>
  <c r="Y2773" i="12"/>
  <c r="X2775" i="12"/>
  <c r="Y2774" i="12"/>
  <c r="X2776" i="12"/>
  <c r="Y2775" i="12"/>
  <c r="X2777" i="12"/>
  <c r="Y2776" i="12"/>
  <c r="X2778" i="12"/>
  <c r="Y2777" i="12"/>
  <c r="Y2778" i="12"/>
  <c r="X2779" i="12"/>
  <c r="Y2779" i="12"/>
  <c r="X2780" i="12"/>
  <c r="Y2780" i="12"/>
  <c r="X2781" i="12"/>
  <c r="X2782" i="12"/>
  <c r="Y2781" i="12"/>
  <c r="Y2782" i="12"/>
  <c r="X2783" i="12"/>
  <c r="X2784" i="12"/>
  <c r="Y2783" i="12"/>
  <c r="X2785" i="12"/>
  <c r="Y2784" i="12"/>
  <c r="X2786" i="12"/>
  <c r="Y2785" i="12"/>
  <c r="Y2786" i="12"/>
  <c r="X2787" i="12"/>
  <c r="Y2787" i="12"/>
  <c r="X2788" i="12"/>
  <c r="Y2788" i="12"/>
  <c r="X2789" i="12"/>
  <c r="X2790" i="12"/>
  <c r="Y2789" i="12"/>
  <c r="Y2790" i="12"/>
  <c r="X2791" i="12"/>
  <c r="Y2791" i="12"/>
  <c r="X2792" i="12"/>
  <c r="Y2792" i="12"/>
  <c r="X2793" i="12"/>
  <c r="Y2793" i="12"/>
  <c r="X2794" i="12"/>
  <c r="X2795" i="12"/>
  <c r="Y2794" i="12"/>
  <c r="Y2795" i="12"/>
  <c r="X2796" i="12"/>
  <c r="X2797" i="12"/>
  <c r="Y2796" i="12"/>
  <c r="X2798" i="12"/>
  <c r="Y2797" i="12"/>
  <c r="X2799" i="12"/>
  <c r="Y2798" i="12"/>
  <c r="Y2799" i="12"/>
  <c r="X2800" i="12"/>
  <c r="Y2800" i="12"/>
  <c r="X2801" i="12"/>
  <c r="Y2801" i="12"/>
  <c r="X2802" i="12"/>
  <c r="Y2802" i="12"/>
  <c r="X2803" i="12"/>
  <c r="X2804" i="12"/>
  <c r="Y2803" i="12"/>
  <c r="X2805" i="12"/>
  <c r="Y2804" i="12"/>
  <c r="Y2805" i="12"/>
  <c r="X2806" i="12"/>
  <c r="Y2806" i="12"/>
  <c r="X2807" i="12"/>
  <c r="Y2807" i="12"/>
  <c r="X2808" i="12"/>
  <c r="Y2808" i="12"/>
  <c r="X2809" i="12"/>
  <c r="X2810" i="12"/>
  <c r="Y2809" i="12"/>
  <c r="X2811" i="12"/>
  <c r="Y2810" i="12"/>
  <c r="X2812" i="12"/>
  <c r="Y2811" i="12"/>
  <c r="Y2812" i="12"/>
  <c r="X2813" i="12"/>
  <c r="Y2813" i="12"/>
  <c r="X2814" i="12"/>
  <c r="X2815" i="12"/>
  <c r="Y2814" i="12"/>
  <c r="X2816" i="12"/>
  <c r="Y2815" i="12"/>
  <c r="Y2816" i="12"/>
  <c r="X2817" i="12"/>
  <c r="X2818" i="12"/>
  <c r="Y2817" i="12"/>
  <c r="Y2818" i="12"/>
  <c r="X2819" i="12"/>
  <c r="Y2819" i="12"/>
  <c r="X2820" i="12"/>
  <c r="X2821" i="12"/>
  <c r="Y2820" i="12"/>
  <c r="Y2821" i="12"/>
  <c r="X2822" i="12"/>
  <c r="Y2822" i="12"/>
  <c r="X2823" i="12"/>
  <c r="X2824" i="12"/>
  <c r="Y2823" i="12"/>
  <c r="X2825" i="12"/>
  <c r="Y2824" i="12"/>
  <c r="Y2825" i="12"/>
  <c r="X2826" i="12"/>
  <c r="Y2826" i="12"/>
  <c r="X2827" i="12"/>
  <c r="X2828" i="12"/>
  <c r="Y2827" i="12"/>
  <c r="X2829" i="12"/>
  <c r="Y2828" i="12"/>
  <c r="Y2829" i="12"/>
  <c r="X2830" i="12"/>
  <c r="Y2830" i="12"/>
  <c r="X2831" i="12"/>
  <c r="Y2831" i="12"/>
  <c r="X2832" i="12"/>
  <c r="Y2832" i="12"/>
  <c r="X2833" i="12"/>
  <c r="X2834" i="12"/>
  <c r="Y2833" i="12"/>
  <c r="Y2834" i="12"/>
  <c r="X2835" i="12"/>
  <c r="Y2835" i="12"/>
  <c r="X2836" i="12"/>
  <c r="Y2836" i="12"/>
  <c r="X2837" i="12"/>
  <c r="X2838" i="12"/>
  <c r="Y2837" i="12"/>
  <c r="X2839" i="12"/>
  <c r="Y2838" i="12"/>
  <c r="X2840" i="12"/>
  <c r="Y2839" i="12"/>
  <c r="X2841" i="12"/>
  <c r="Y2840" i="12"/>
  <c r="Y2841" i="12"/>
  <c r="X2842" i="12"/>
  <c r="Y2842" i="12"/>
  <c r="X2843" i="12"/>
  <c r="X2844" i="12"/>
  <c r="Y2843" i="12"/>
  <c r="X2845" i="12"/>
  <c r="Y2844" i="12"/>
  <c r="X2846" i="12"/>
  <c r="Y2845" i="12"/>
  <c r="Y2846" i="12"/>
  <c r="X2847" i="12"/>
  <c r="X2848" i="12"/>
  <c r="Y2847" i="12"/>
  <c r="X2849" i="12"/>
  <c r="Y2848" i="12"/>
  <c r="Y2849" i="12"/>
  <c r="X2850" i="12"/>
  <c r="X2851" i="12"/>
  <c r="Y2850" i="12"/>
  <c r="X2852" i="12"/>
  <c r="Y2851" i="12"/>
  <c r="Y2852" i="12"/>
  <c r="X2853" i="12"/>
  <c r="X2854" i="12"/>
  <c r="Y2853" i="12"/>
  <c r="Y2854" i="12"/>
  <c r="X2855" i="12"/>
  <c r="Y2855" i="12"/>
  <c r="X2856" i="12"/>
  <c r="X2857" i="12"/>
  <c r="Y2856" i="12"/>
  <c r="Y2857" i="12"/>
  <c r="X2858" i="12"/>
  <c r="X2859" i="12"/>
  <c r="Y2858" i="12"/>
  <c r="Y2859" i="12"/>
  <c r="X2860" i="12"/>
  <c r="Y2860" i="12"/>
  <c r="X2861" i="12"/>
  <c r="Y2861" i="12"/>
  <c r="X2862" i="12"/>
  <c r="X2863" i="12"/>
  <c r="Y2862" i="12"/>
  <c r="X2864" i="12"/>
  <c r="Y2863" i="12"/>
  <c r="Y2864" i="12"/>
  <c r="X2865" i="12"/>
  <c r="Y2865" i="12"/>
  <c r="X2866" i="12"/>
  <c r="Y2866" i="12"/>
  <c r="X2867" i="12"/>
  <c r="X2868" i="12"/>
  <c r="Y2867" i="12"/>
  <c r="Y2868" i="12"/>
  <c r="X2869" i="12"/>
  <c r="Y2869" i="12"/>
  <c r="X2870" i="12"/>
  <c r="Y2870" i="12"/>
  <c r="X2871" i="12"/>
  <c r="Y2871" i="12"/>
  <c r="X2872" i="12"/>
  <c r="Y2872" i="12"/>
  <c r="X2873" i="12"/>
  <c r="X2874" i="12"/>
  <c r="Y2873" i="12"/>
  <c r="X2875" i="12"/>
  <c r="Y2874" i="12"/>
  <c r="X2876" i="12"/>
  <c r="Y2875" i="12"/>
  <c r="X2877" i="12"/>
  <c r="Y2876" i="12"/>
  <c r="Y2877" i="12"/>
  <c r="X2878" i="12"/>
  <c r="Y2878" i="12"/>
  <c r="X2879" i="12"/>
  <c r="Y2879" i="12"/>
  <c r="X2880" i="12"/>
  <c r="Y2880" i="12"/>
  <c r="X2881" i="12"/>
  <c r="X2882" i="12"/>
  <c r="Y2881" i="12"/>
  <c r="X2883" i="12"/>
  <c r="Y2882" i="12"/>
  <c r="Y2883" i="12"/>
  <c r="X2884" i="12"/>
  <c r="Y2884" i="12"/>
  <c r="X2885" i="12"/>
  <c r="Y2885" i="12"/>
  <c r="X2886" i="12"/>
  <c r="X2887" i="12"/>
  <c r="Y2886" i="12"/>
  <c r="Y2887" i="12"/>
  <c r="X2888" i="12"/>
  <c r="Y2888" i="12"/>
  <c r="X2889" i="12"/>
  <c r="X2890" i="12"/>
  <c r="Y2889" i="12"/>
  <c r="X2891" i="12"/>
  <c r="Y2890" i="12"/>
  <c r="Y2891" i="12"/>
  <c r="X2892" i="12"/>
  <c r="X2893" i="12"/>
  <c r="Y2892" i="12"/>
  <c r="X2894" i="12"/>
  <c r="Y2893" i="12"/>
  <c r="Y2894" i="12"/>
  <c r="X2895" i="12"/>
  <c r="Y2895" i="12"/>
  <c r="X2896" i="12"/>
  <c r="X2897" i="12"/>
  <c r="Y2896" i="12"/>
  <c r="X2898" i="12"/>
  <c r="Y2897" i="12"/>
  <c r="X2899" i="12"/>
  <c r="Y2898" i="12"/>
  <c r="X2900" i="12"/>
  <c r="Y2899" i="12"/>
  <c r="X2901" i="12"/>
  <c r="Y2900" i="12"/>
  <c r="Y2901" i="12"/>
  <c r="X2902" i="12"/>
  <c r="X2903" i="12"/>
  <c r="Y2902" i="12"/>
  <c r="Y2903" i="12"/>
  <c r="X2904" i="12"/>
  <c r="Y2904" i="12"/>
  <c r="X2905" i="12"/>
  <c r="Y2905" i="12"/>
  <c r="X2906" i="12"/>
  <c r="Y2906" i="12"/>
  <c r="X2907" i="12"/>
  <c r="X2908" i="12"/>
  <c r="Y2907" i="12"/>
  <c r="X2909" i="12"/>
  <c r="Y2908" i="12"/>
  <c r="Y2909" i="12"/>
  <c r="X2910" i="12"/>
  <c r="X2911" i="12"/>
  <c r="Y2910" i="12"/>
  <c r="X2912" i="12"/>
  <c r="Y2911" i="12"/>
  <c r="Y2912" i="12"/>
  <c r="X2913" i="12"/>
  <c r="Y2913" i="12"/>
  <c r="X2914" i="12"/>
  <c r="Y2914" i="12"/>
  <c r="X2915" i="12"/>
  <c r="X2916" i="12"/>
  <c r="Y2915" i="12"/>
  <c r="Y2916" i="12"/>
  <c r="X2917" i="12"/>
  <c r="X2918" i="12"/>
  <c r="Y2917" i="12"/>
  <c r="Y2918" i="12"/>
  <c r="X2919" i="12"/>
  <c r="X2920" i="12"/>
  <c r="Y2919" i="12"/>
  <c r="Y2920" i="12"/>
  <c r="X2921" i="12"/>
  <c r="X2922" i="12"/>
  <c r="Y2921" i="12"/>
  <c r="X2923" i="12"/>
  <c r="Y2922" i="12"/>
  <c r="Y2923" i="12"/>
  <c r="X2924" i="12"/>
  <c r="Y2924" i="12"/>
  <c r="X2925" i="12"/>
  <c r="Y2925" i="12"/>
  <c r="X2926" i="12"/>
  <c r="Y2926" i="12"/>
  <c r="X2927" i="12"/>
  <c r="X2928" i="12"/>
  <c r="Y2927" i="12"/>
  <c r="X2929" i="12"/>
  <c r="Y2928" i="12"/>
  <c r="Y2929" i="12"/>
  <c r="X2930" i="12"/>
  <c r="Y2930" i="12"/>
  <c r="X2931" i="12"/>
  <c r="Y2931" i="12"/>
  <c r="X2932" i="12"/>
  <c r="Y2932" i="12"/>
  <c r="X2933" i="12"/>
  <c r="X2934" i="12"/>
  <c r="Y2933" i="12"/>
  <c r="Y2934" i="12"/>
  <c r="X2935" i="12"/>
  <c r="Y2935" i="12"/>
  <c r="X2936" i="12"/>
  <c r="X2937" i="12"/>
  <c r="Y2936" i="12"/>
  <c r="Y2937" i="12"/>
  <c r="X2938" i="12"/>
  <c r="Y2938" i="12"/>
  <c r="X2939" i="12"/>
  <c r="X2940" i="12"/>
  <c r="Y2939" i="12"/>
  <c r="Y2940" i="12"/>
  <c r="X2941" i="12"/>
  <c r="X2942" i="12"/>
  <c r="Y2941" i="12"/>
  <c r="X2943" i="12"/>
  <c r="Y2942" i="12"/>
  <c r="Y2943" i="12"/>
  <c r="X2944" i="12"/>
  <c r="Y2944" i="12"/>
  <c r="X2945" i="12"/>
  <c r="X2946" i="12"/>
  <c r="Y2945" i="12"/>
  <c r="Y2946" i="12"/>
  <c r="X2947" i="12"/>
  <c r="X2948" i="12"/>
  <c r="Y2947" i="12"/>
  <c r="Y2948" i="12"/>
  <c r="X2949" i="12"/>
  <c r="Y2949" i="12"/>
  <c r="X2950" i="12"/>
  <c r="Y2950" i="12"/>
  <c r="X2951" i="12"/>
  <c r="Y2951" i="12"/>
  <c r="X2952" i="12"/>
  <c r="Y2952" i="12"/>
  <c r="X2953" i="12"/>
  <c r="X2954" i="12"/>
  <c r="Y2953" i="12"/>
  <c r="Y2954" i="12"/>
  <c r="X2955" i="12"/>
  <c r="Y2955" i="12"/>
  <c r="X2956" i="12"/>
  <c r="Y2956" i="12"/>
  <c r="X2957" i="12"/>
  <c r="Y2957" i="12"/>
  <c r="X2958" i="12"/>
  <c r="X2959" i="12"/>
  <c r="Y2958" i="12"/>
  <c r="X2960" i="12"/>
  <c r="Y2959" i="12"/>
  <c r="X2961" i="12"/>
  <c r="Y2960" i="12"/>
  <c r="Y2961" i="12"/>
  <c r="X2962" i="12"/>
  <c r="X2963" i="12"/>
  <c r="Y2962" i="12"/>
  <c r="Y2963" i="12"/>
  <c r="X2964" i="12"/>
  <c r="Y2964" i="12"/>
  <c r="X2965" i="12"/>
  <c r="X2966" i="12"/>
  <c r="Y2965" i="12"/>
  <c r="Y2966" i="12"/>
  <c r="X2967" i="12"/>
  <c r="X2968" i="12"/>
  <c r="Y2967" i="12"/>
  <c r="X2969" i="12"/>
  <c r="Y2968" i="12"/>
  <c r="X2970" i="12"/>
  <c r="Y2969" i="12"/>
  <c r="Y2970" i="12"/>
  <c r="X2971" i="12"/>
  <c r="Y2971" i="12"/>
  <c r="X2972" i="12"/>
  <c r="X2973" i="12"/>
  <c r="Y2972" i="12"/>
  <c r="Y2973" i="12"/>
  <c r="X2974" i="12"/>
  <c r="X2975" i="12"/>
  <c r="Y2974" i="12"/>
  <c r="Y2975" i="12"/>
  <c r="X2976" i="12"/>
  <c r="X2977" i="12"/>
  <c r="Y2976" i="12"/>
  <c r="Y2977" i="12"/>
  <c r="X2978" i="12"/>
  <c r="Y2978" i="12"/>
  <c r="X2979" i="12"/>
  <c r="Y2979" i="12"/>
  <c r="X2980" i="12"/>
  <c r="Y2980" i="12"/>
  <c r="X2981" i="12"/>
  <c r="X2982" i="12"/>
  <c r="Y2981" i="12"/>
  <c r="X2983" i="12"/>
  <c r="Y2982" i="12"/>
  <c r="Y2983" i="12"/>
  <c r="X2984" i="12"/>
  <c r="X2985" i="12"/>
  <c r="Y2984" i="12"/>
  <c r="Y2985" i="12"/>
  <c r="X2986" i="12"/>
  <c r="X2987" i="12"/>
  <c r="Y2986" i="12"/>
  <c r="Y2987" i="12"/>
  <c r="X2988" i="12"/>
  <c r="X2989" i="12"/>
  <c r="Y2988" i="12"/>
  <c r="X2990" i="12"/>
  <c r="Y2989" i="12"/>
  <c r="X2991" i="12"/>
  <c r="Y2990" i="12"/>
  <c r="Y2991" i="12"/>
  <c r="X2992" i="12"/>
  <c r="X2993" i="12"/>
  <c r="Y2992" i="12"/>
  <c r="X2994" i="12"/>
  <c r="Y2993" i="12"/>
  <c r="X2995" i="12"/>
  <c r="Y2994" i="12"/>
  <c r="Y2995" i="12"/>
  <c r="X2996" i="12"/>
  <c r="X2997" i="12"/>
  <c r="Y2996" i="12"/>
  <c r="Y2997" i="12"/>
  <c r="X2998" i="12"/>
  <c r="Y2998" i="12"/>
  <c r="X2999" i="12"/>
  <c r="X3000" i="12"/>
  <c r="Y2999" i="12"/>
  <c r="X3001" i="12"/>
  <c r="Y3000" i="12"/>
  <c r="X3002" i="12"/>
  <c r="Y3001" i="12"/>
  <c r="X3003" i="12"/>
  <c r="Y3002" i="12"/>
  <c r="X3004" i="12"/>
  <c r="Y3003" i="12"/>
  <c r="X3005" i="12"/>
  <c r="Y3004" i="12"/>
  <c r="Y3005" i="12"/>
  <c r="X3006" i="12"/>
  <c r="Y3006" i="12"/>
  <c r="X3007" i="12"/>
  <c r="X3008" i="12"/>
  <c r="Y3007" i="12"/>
  <c r="Y3008" i="12"/>
  <c r="X3009" i="12"/>
  <c r="X3010" i="12"/>
  <c r="Y3009" i="12"/>
  <c r="Y3010" i="12"/>
  <c r="X3011" i="12"/>
  <c r="Y3011" i="12"/>
  <c r="X3012" i="12"/>
  <c r="Y3012" i="12"/>
  <c r="X3013" i="12"/>
  <c r="X3014" i="12"/>
  <c r="Y3013" i="12"/>
  <c r="Y3014" i="12"/>
  <c r="X3015" i="12"/>
  <c r="X3016" i="12"/>
  <c r="Y3015" i="12"/>
  <c r="X3017" i="12"/>
  <c r="Y3016" i="12"/>
  <c r="X3018" i="12"/>
  <c r="Y3017" i="12"/>
  <c r="Y3018" i="12"/>
  <c r="X3019" i="12"/>
  <c r="X3020" i="12"/>
  <c r="Y3019" i="12"/>
  <c r="Y3020" i="12"/>
  <c r="X3021" i="12"/>
  <c r="Y3021" i="12"/>
  <c r="X3022" i="12"/>
  <c r="X3023" i="12"/>
  <c r="Y3022" i="12"/>
  <c r="X3024" i="12"/>
  <c r="Y3023" i="12"/>
  <c r="X3025" i="12"/>
  <c r="Y3024" i="12"/>
  <c r="X3026" i="12"/>
  <c r="Y3025" i="12"/>
  <c r="X3027" i="12"/>
  <c r="Y3026" i="12"/>
  <c r="Y3027" i="12"/>
  <c r="X3028" i="12"/>
  <c r="X3029" i="12"/>
  <c r="Y3028" i="12"/>
  <c r="Y3029" i="12"/>
  <c r="X3030" i="12"/>
  <c r="Y3030" i="12"/>
  <c r="X3031" i="12"/>
  <c r="Y3031" i="12"/>
  <c r="X3032" i="12"/>
  <c r="X3033" i="12"/>
  <c r="Y3032" i="12"/>
  <c r="X3034" i="12"/>
  <c r="Y3033" i="12"/>
  <c r="X3035" i="12"/>
  <c r="Y3034" i="12"/>
  <c r="X3036" i="12"/>
  <c r="Y3035" i="12"/>
  <c r="Y3036" i="12"/>
  <c r="X3037" i="12"/>
  <c r="Y3037" i="12"/>
  <c r="X3038" i="12"/>
  <c r="Y3038" i="12"/>
  <c r="X3039" i="12"/>
  <c r="Y3039" i="12"/>
  <c r="X3040" i="12"/>
  <c r="X3041" i="12"/>
  <c r="Y3040" i="12"/>
  <c r="X3042" i="12"/>
  <c r="Y3041" i="12"/>
  <c r="Y3042" i="12"/>
  <c r="X3043" i="12"/>
  <c r="X3044" i="12"/>
  <c r="Y3043" i="12"/>
  <c r="X3045" i="12"/>
  <c r="Y3044" i="12"/>
  <c r="X3046" i="12"/>
  <c r="Y3045" i="12"/>
  <c r="X3047" i="12"/>
  <c r="Y3046" i="12"/>
  <c r="X3048" i="12"/>
  <c r="Y3047" i="12"/>
  <c r="X3049" i="12"/>
  <c r="Y3048" i="12"/>
  <c r="Y3049" i="12"/>
  <c r="X3050" i="12"/>
  <c r="X3051" i="12"/>
  <c r="Y3050" i="12"/>
  <c r="X3052" i="12"/>
  <c r="Y3051" i="12"/>
  <c r="Y3052" i="12"/>
  <c r="X3053" i="12"/>
  <c r="X3054" i="12"/>
  <c r="Y3053" i="12"/>
  <c r="X3055" i="12"/>
  <c r="Y3054" i="12"/>
  <c r="Y3055" i="12"/>
  <c r="X3056" i="12"/>
  <c r="Y3056" i="12"/>
  <c r="X3057" i="12"/>
  <c r="X3058" i="12"/>
  <c r="Y3057" i="12"/>
  <c r="X3059" i="12"/>
  <c r="Y3058" i="12"/>
  <c r="X3060" i="12"/>
  <c r="Y3059" i="12"/>
  <c r="X3061" i="12"/>
  <c r="Y3060" i="12"/>
  <c r="X3062" i="12"/>
  <c r="Y3061" i="12"/>
  <c r="Y3062" i="12"/>
  <c r="X3063" i="12"/>
  <c r="Y3063" i="12"/>
  <c r="X3064" i="12"/>
  <c r="X3065" i="12"/>
  <c r="Y3064" i="12"/>
  <c r="Y3065" i="12"/>
  <c r="X3066" i="12"/>
  <c r="X3067" i="12"/>
  <c r="Y3066" i="12"/>
  <c r="X3068" i="12"/>
  <c r="Y3067" i="12"/>
  <c r="X3069" i="12"/>
  <c r="Y3068" i="12"/>
  <c r="X3070" i="12"/>
  <c r="Y3069" i="12"/>
  <c r="Y3070" i="12"/>
  <c r="X3071" i="12"/>
  <c r="X3072" i="12"/>
  <c r="Y3071" i="12"/>
  <c r="Y3072" i="12"/>
  <c r="X3073" i="12"/>
  <c r="X3074" i="12"/>
  <c r="Y3073" i="12"/>
  <c r="X3075" i="12"/>
  <c r="Y3074" i="12"/>
  <c r="Y3075" i="12"/>
  <c r="X3076" i="12"/>
  <c r="X3077" i="12"/>
  <c r="Y3076" i="12"/>
  <c r="X3078" i="12"/>
  <c r="Y3077" i="12"/>
  <c r="Y3078" i="12"/>
  <c r="X3079" i="12"/>
  <c r="X3080" i="12"/>
  <c r="Y3079" i="12"/>
  <c r="Y3080" i="12"/>
  <c r="X3081" i="12"/>
  <c r="Y3081" i="12"/>
  <c r="X3082" i="12"/>
  <c r="X3083" i="12"/>
  <c r="Y3082" i="12"/>
  <c r="X3084" i="12"/>
  <c r="Y3083" i="12"/>
  <c r="Y3084" i="12"/>
  <c r="X3085" i="12"/>
  <c r="X3086" i="12"/>
  <c r="Y3085" i="12"/>
  <c r="X3087" i="12"/>
  <c r="Y3086" i="12"/>
  <c r="X3088" i="12"/>
  <c r="Y3087" i="12"/>
  <c r="Y3088" i="12"/>
  <c r="X3089" i="12"/>
  <c r="X3090" i="12"/>
  <c r="Y3089" i="12"/>
  <c r="Y3090" i="12"/>
  <c r="X3091" i="12"/>
  <c r="X3092" i="12"/>
  <c r="Y3091" i="12"/>
  <c r="X3093" i="12"/>
  <c r="Y3092" i="12"/>
  <c r="Y3093" i="12"/>
  <c r="X3094" i="12"/>
  <c r="Y3094" i="12"/>
  <c r="X3095" i="12"/>
  <c r="X3096" i="12"/>
  <c r="Y3095" i="12"/>
  <c r="Y3096" i="12"/>
  <c r="X3097" i="12"/>
  <c r="X3098" i="12"/>
  <c r="Y3097" i="12"/>
  <c r="X3099" i="12"/>
  <c r="Y3098" i="12"/>
  <c r="Y3099" i="12"/>
  <c r="X3100" i="12"/>
  <c r="Y3100" i="12"/>
  <c r="X3101" i="12"/>
  <c r="X3102" i="12"/>
  <c r="Y3101" i="12"/>
  <c r="X3103" i="12"/>
  <c r="Y3102" i="12"/>
  <c r="X3104" i="12"/>
  <c r="Y3103" i="12"/>
  <c r="Y3104" i="12"/>
  <c r="X3105" i="12"/>
  <c r="X3106" i="12"/>
  <c r="Y3105" i="12"/>
  <c r="X3107" i="12"/>
  <c r="Y3106" i="12"/>
  <c r="X3108" i="12"/>
  <c r="Y3107" i="12"/>
  <c r="X3109" i="12"/>
  <c r="Y3108" i="12"/>
  <c r="X3110" i="12"/>
  <c r="Y3109" i="12"/>
  <c r="X3111" i="12"/>
  <c r="Y3110" i="12"/>
  <c r="Y3111" i="12"/>
  <c r="X3112" i="12"/>
  <c r="Y3112" i="12"/>
  <c r="X3113" i="12"/>
  <c r="X3114" i="12"/>
  <c r="Y3113" i="12"/>
  <c r="Y3114" i="12"/>
  <c r="X3115" i="12"/>
  <c r="Y3115" i="12"/>
  <c r="X3116" i="12"/>
  <c r="X3117" i="12"/>
  <c r="Y3116" i="12"/>
  <c r="X3118" i="12"/>
  <c r="Y3117" i="12"/>
  <c r="Y3118" i="12"/>
  <c r="X3119" i="12"/>
  <c r="X3120" i="12"/>
  <c r="Y3119" i="12"/>
  <c r="Y3120" i="12"/>
  <c r="X3121" i="12"/>
  <c r="X3122" i="12"/>
  <c r="Y3121" i="12"/>
  <c r="X3123" i="12"/>
  <c r="Y3122" i="12"/>
  <c r="X3124" i="12"/>
  <c r="Y3123" i="12"/>
  <c r="X3125" i="12"/>
  <c r="Y3124" i="12"/>
  <c r="X3126" i="12"/>
  <c r="Y3125" i="12"/>
  <c r="X3127" i="12"/>
  <c r="Y3126" i="12"/>
  <c r="Y3127" i="12"/>
  <c r="X3128" i="12"/>
  <c r="X3129" i="12"/>
  <c r="Y3128" i="12"/>
  <c r="X3130" i="12"/>
  <c r="Y3129" i="12"/>
  <c r="X3131" i="12"/>
  <c r="Y3130" i="12"/>
  <c r="Y3131" i="12"/>
  <c r="X3132" i="12"/>
  <c r="X3133" i="12"/>
  <c r="Y3132" i="12"/>
  <c r="Y3133" i="12"/>
  <c r="X3134" i="12"/>
  <c r="Y3134" i="12"/>
  <c r="X3135" i="12"/>
  <c r="X3136" i="12"/>
  <c r="Y3135" i="12"/>
  <c r="X3137" i="12"/>
  <c r="Y3136" i="12"/>
  <c r="X3138" i="12"/>
  <c r="Y3137" i="12"/>
  <c r="Y3138" i="12"/>
  <c r="X3139" i="12"/>
  <c r="Y3139" i="12"/>
  <c r="X3140" i="12"/>
  <c r="Y3140" i="12"/>
  <c r="X3141" i="12"/>
  <c r="X3142" i="12"/>
  <c r="Y3141" i="12"/>
  <c r="Y3142" i="12"/>
  <c r="X3143" i="12"/>
  <c r="Y3143" i="12"/>
  <c r="X3144" i="12"/>
  <c r="Y3144" i="12"/>
  <c r="X3145" i="12"/>
  <c r="X3146" i="12"/>
  <c r="Y3145" i="12"/>
  <c r="X3147" i="12"/>
  <c r="Y3146" i="12"/>
  <c r="Y3147" i="12"/>
  <c r="X3148" i="12"/>
  <c r="X3149" i="12"/>
  <c r="Y3148" i="12"/>
  <c r="Y3149" i="12"/>
  <c r="X3150" i="12"/>
  <c r="X3151" i="12"/>
  <c r="Y3150" i="12"/>
  <c r="Y3151" i="12"/>
  <c r="X3152" i="12"/>
  <c r="X3153" i="12"/>
  <c r="Y3152" i="12"/>
  <c r="Y3153" i="12"/>
  <c r="X3154" i="12"/>
  <c r="Y3154" i="12"/>
  <c r="X3155" i="12"/>
  <c r="Y3155" i="12"/>
  <c r="X3156" i="12"/>
  <c r="Y3156" i="12"/>
  <c r="X3157" i="12"/>
  <c r="Y3157" i="12"/>
  <c r="X3158" i="12"/>
  <c r="Y3158" i="12"/>
  <c r="X3159" i="12"/>
  <c r="Y3159" i="12"/>
  <c r="X3160" i="12"/>
  <c r="Y3160" i="12"/>
  <c r="X3161" i="12"/>
  <c r="X3162" i="12"/>
  <c r="Y3161" i="12"/>
  <c r="Y3162" i="12"/>
  <c r="X3163" i="12"/>
  <c r="X3164" i="12"/>
  <c r="Y3163" i="12"/>
  <c r="Y3164" i="12"/>
  <c r="X3165" i="12"/>
  <c r="Y3165" i="12"/>
  <c r="X3166" i="12"/>
  <c r="Y3166" i="12"/>
  <c r="X3167" i="12"/>
  <c r="X3168" i="12"/>
  <c r="Y3167" i="12"/>
  <c r="Y3168" i="12"/>
  <c r="X3169" i="12"/>
  <c r="Y3169" i="12"/>
  <c r="X3170" i="12"/>
  <c r="X3171" i="12"/>
  <c r="Y3170" i="12"/>
  <c r="X3172" i="12"/>
  <c r="Y3171" i="12"/>
  <c r="X3173" i="12"/>
  <c r="Y3172" i="12"/>
  <c r="X3174" i="12"/>
  <c r="Y3173" i="12"/>
  <c r="X3175" i="12"/>
  <c r="Y3174" i="12"/>
  <c r="X3176" i="12"/>
  <c r="Y3175" i="12"/>
  <c r="Y3176" i="12"/>
  <c r="X3177" i="12"/>
  <c r="Y3177" i="12"/>
  <c r="X3178" i="12"/>
  <c r="Y3178" i="12"/>
  <c r="X3179" i="12"/>
  <c r="Y3179" i="12"/>
  <c r="X3180" i="12"/>
  <c r="Y3180" i="12"/>
  <c r="X3181" i="12"/>
  <c r="X3182" i="12"/>
  <c r="Y3181" i="12"/>
  <c r="Y3182" i="12"/>
  <c r="X3183" i="12"/>
  <c r="Y3183" i="12"/>
  <c r="X3184" i="12"/>
  <c r="Y3184" i="12"/>
  <c r="X3185" i="12"/>
  <c r="X3186" i="12"/>
  <c r="Y3185" i="12"/>
  <c r="X3187" i="12"/>
  <c r="Y3186" i="12"/>
  <c r="X3188" i="12"/>
  <c r="Y3187" i="12"/>
  <c r="Y3188" i="12"/>
  <c r="X3189" i="12"/>
  <c r="X3190" i="12"/>
  <c r="Y3189" i="12"/>
  <c r="Y3190" i="12"/>
  <c r="X3191" i="12"/>
  <c r="Y3191" i="12"/>
  <c r="X3192" i="12"/>
  <c r="X3193" i="12"/>
  <c r="Y3192" i="12"/>
  <c r="Y3193" i="12"/>
  <c r="X3194" i="12"/>
  <c r="Y3194" i="12"/>
  <c r="X3195" i="12"/>
  <c r="X3196" i="12"/>
  <c r="Y3195" i="12"/>
  <c r="Y3196" i="12"/>
  <c r="X3197" i="12"/>
  <c r="Y3197" i="12"/>
  <c r="X3198" i="12"/>
  <c r="X3199" i="12"/>
  <c r="Y3198" i="12"/>
  <c r="Y3199" i="12"/>
  <c r="X3200" i="12"/>
  <c r="Y3200" i="12"/>
  <c r="X3201" i="12"/>
  <c r="X3202" i="12"/>
  <c r="Y3201" i="12"/>
  <c r="X3203" i="12"/>
  <c r="Y3202" i="12"/>
  <c r="Y3203" i="12"/>
  <c r="X3204" i="12"/>
  <c r="Y3204" i="12"/>
  <c r="X3205" i="12"/>
  <c r="Y3205" i="12"/>
  <c r="X3206" i="12"/>
  <c r="Y3206" i="12"/>
  <c r="X3207" i="12"/>
  <c r="X3208" i="12"/>
  <c r="Y3207" i="12"/>
  <c r="X3209" i="12"/>
  <c r="Y3208" i="12"/>
  <c r="X3210" i="12"/>
  <c r="Y3209" i="12"/>
  <c r="Y3210" i="12"/>
  <c r="X3211" i="12"/>
  <c r="X3212" i="12"/>
  <c r="Y3211" i="12"/>
  <c r="X3213" i="12"/>
  <c r="Y3212" i="12"/>
  <c r="X3214" i="12"/>
  <c r="Y3213" i="12"/>
  <c r="Y3214" i="12"/>
  <c r="X3215" i="12"/>
  <c r="X3216" i="12"/>
  <c r="Y3215" i="12"/>
  <c r="X3217" i="12"/>
  <c r="Y3216" i="12"/>
  <c r="X3218" i="12"/>
  <c r="Y3217" i="12"/>
  <c r="X3219" i="12"/>
  <c r="Y3218" i="12"/>
  <c r="Y3219" i="12"/>
  <c r="X3220" i="12"/>
  <c r="X3221" i="12"/>
  <c r="Y3220" i="12"/>
  <c r="X3222" i="12"/>
  <c r="Y3221" i="12"/>
  <c r="Y3222" i="12"/>
  <c r="X3223" i="12"/>
  <c r="X3224" i="12"/>
  <c r="Y3223" i="12"/>
  <c r="Y3224" i="12"/>
  <c r="X3225" i="12"/>
  <c r="Y3225" i="12"/>
  <c r="X3226" i="12"/>
  <c r="X3227" i="12"/>
  <c r="Y3226" i="12"/>
  <c r="X3228" i="12"/>
  <c r="Y3227" i="12"/>
  <c r="X3229" i="12"/>
  <c r="Y3228" i="12"/>
  <c r="Y3229" i="12"/>
  <c r="X3230" i="12"/>
  <c r="Y3230" i="12"/>
  <c r="X3231" i="12"/>
  <c r="Y3231" i="12"/>
  <c r="X3232" i="12"/>
  <c r="X3233" i="12"/>
  <c r="Y3232" i="12"/>
  <c r="Y3233" i="12"/>
  <c r="X3234" i="12"/>
  <c r="Y3234" i="12"/>
  <c r="X3235" i="12"/>
  <c r="Y3235" i="12"/>
  <c r="X3236" i="12"/>
  <c r="X3237" i="12"/>
  <c r="Y3236" i="12"/>
  <c r="Y3237" i="12"/>
  <c r="X3238" i="12"/>
  <c r="Y3238" i="12"/>
  <c r="X3239" i="12"/>
  <c r="Y3239" i="12"/>
  <c r="X3240" i="12"/>
  <c r="Y3240" i="12"/>
  <c r="X3241" i="12"/>
  <c r="Y3241" i="12"/>
  <c r="X3242" i="12"/>
  <c r="Y3242" i="12"/>
  <c r="X3243" i="12"/>
  <c r="X3244" i="12"/>
  <c r="Y3243" i="12"/>
  <c r="Y3244" i="12"/>
  <c r="X3245" i="12"/>
  <c r="Y3245" i="12"/>
  <c r="X3246" i="12"/>
  <c r="Y3246" i="12"/>
  <c r="X3247" i="12"/>
  <c r="Y3247" i="12"/>
  <c r="X3248" i="12"/>
  <c r="Y3248" i="12"/>
  <c r="X3249" i="12"/>
  <c r="Y3249" i="12"/>
  <c r="X3250" i="12"/>
  <c r="Y3250" i="12"/>
  <c r="X3251" i="12"/>
  <c r="X3252" i="12"/>
  <c r="Y3251" i="12"/>
  <c r="Y3252" i="12"/>
  <c r="X3253" i="12"/>
  <c r="X3254" i="12"/>
  <c r="Y3253" i="12"/>
  <c r="X3255" i="12"/>
  <c r="Y3254" i="12"/>
  <c r="Y3255" i="12"/>
  <c r="X3256" i="12"/>
  <c r="X3257" i="12"/>
  <c r="Y3256" i="12"/>
  <c r="X3258" i="12"/>
  <c r="Y3257" i="12"/>
  <c r="X3259" i="12"/>
  <c r="Y3258" i="12"/>
  <c r="Y3259" i="12"/>
  <c r="X3260" i="12"/>
  <c r="X3261" i="12"/>
  <c r="Y3260" i="12"/>
  <c r="Y3261" i="12"/>
  <c r="X3262" i="12"/>
  <c r="X3263" i="12"/>
  <c r="Y3262" i="12"/>
  <c r="Y3263" i="12"/>
  <c r="X3264" i="12"/>
  <c r="X3265" i="12"/>
  <c r="Y3264" i="12"/>
  <c r="Y3265" i="12"/>
  <c r="X3266" i="12"/>
  <c r="X3267" i="12"/>
  <c r="Y3266" i="12"/>
  <c r="X3268" i="12"/>
  <c r="Y3267" i="12"/>
  <c r="Y3268" i="12"/>
  <c r="X3269" i="12"/>
  <c r="X3270" i="12"/>
  <c r="Y3269" i="12"/>
  <c r="Y3270" i="12"/>
  <c r="X3271" i="12"/>
  <c r="Y3271" i="12"/>
  <c r="X3272" i="12"/>
  <c r="Y3272" i="12"/>
  <c r="X3273" i="12"/>
  <c r="Y3273" i="12"/>
  <c r="X3274" i="12"/>
  <c r="X3275" i="12"/>
  <c r="Y3274" i="12"/>
  <c r="X3276" i="12"/>
  <c r="Y3275" i="12"/>
  <c r="X3277" i="12"/>
  <c r="Y3276" i="12"/>
  <c r="X3278" i="12"/>
  <c r="Y3277" i="12"/>
  <c r="Y3278" i="12"/>
  <c r="X3279" i="12"/>
  <c r="X3280" i="12"/>
  <c r="Y3279" i="12"/>
  <c r="X3281" i="12"/>
  <c r="Y3280" i="12"/>
  <c r="X3282" i="12"/>
  <c r="Y3281" i="12"/>
  <c r="Y3282" i="12"/>
  <c r="X3283" i="12"/>
  <c r="Y3283" i="12"/>
  <c r="X3284" i="12"/>
  <c r="X3285" i="12"/>
  <c r="Y3284" i="12"/>
  <c r="Y3285" i="12"/>
  <c r="X3286" i="12"/>
  <c r="Y3286" i="12"/>
  <c r="X3287" i="12"/>
  <c r="X3288" i="12"/>
  <c r="Y3287" i="12"/>
  <c r="X3289" i="12"/>
  <c r="Y3288" i="12"/>
  <c r="X3290" i="12"/>
  <c r="Y3289" i="12"/>
  <c r="Y3290" i="12"/>
  <c r="X3291" i="12"/>
  <c r="X3292" i="12"/>
  <c r="Y3291" i="12"/>
  <c r="X3293" i="12"/>
  <c r="Y3292" i="12"/>
  <c r="X3294" i="12"/>
  <c r="Y3293" i="12"/>
  <c r="X3295" i="12"/>
  <c r="Y3294" i="12"/>
  <c r="Y3295" i="12"/>
  <c r="X3296" i="12"/>
  <c r="X3297" i="12"/>
  <c r="Y3296" i="12"/>
  <c r="Y3297" i="12"/>
  <c r="X3298" i="12"/>
  <c r="Y3298" i="12"/>
  <c r="X3299" i="12"/>
  <c r="X3300" i="12"/>
  <c r="Y3299" i="12"/>
  <c r="X3301" i="12"/>
  <c r="Y3300" i="12"/>
  <c r="Y3301" i="12"/>
  <c r="X3302" i="12"/>
  <c r="Y3302" i="12"/>
  <c r="X3303" i="12"/>
  <c r="Y3303" i="12"/>
  <c r="X3304" i="12"/>
  <c r="X3305" i="12"/>
  <c r="Y3304" i="12"/>
  <c r="X3306" i="12"/>
  <c r="Y3305" i="12"/>
  <c r="X3307" i="12"/>
  <c r="Y3306" i="12"/>
  <c r="X3308" i="12"/>
  <c r="Y3307" i="12"/>
  <c r="X3309" i="12"/>
  <c r="Y3308" i="12"/>
  <c r="X3310" i="12"/>
  <c r="Y3309" i="12"/>
  <c r="X3311" i="12"/>
  <c r="Y3310" i="12"/>
  <c r="X3312" i="12"/>
  <c r="Y3311" i="12"/>
  <c r="Y3312" i="12"/>
  <c r="X3313" i="12"/>
  <c r="Y3313" i="12"/>
  <c r="X3314" i="12"/>
  <c r="X3315" i="12"/>
  <c r="Y3314" i="12"/>
  <c r="Y3315" i="12"/>
  <c r="X3316" i="12"/>
  <c r="Y3316" i="12"/>
  <c r="X3317" i="12"/>
  <c r="X3318" i="12"/>
  <c r="Y3317" i="12"/>
  <c r="X3319" i="12"/>
  <c r="Y3318" i="12"/>
  <c r="Y3319" i="12"/>
  <c r="X3320" i="12"/>
  <c r="X3321" i="12"/>
  <c r="Y3320" i="12"/>
  <c r="X3322" i="12"/>
  <c r="Y3321" i="12"/>
  <c r="Y3322" i="12"/>
  <c r="X3323" i="12"/>
  <c r="X3324" i="12"/>
  <c r="Y3323" i="12"/>
  <c r="Y3324" i="12"/>
  <c r="X3325" i="12"/>
  <c r="Y3325" i="12"/>
  <c r="X3326" i="12"/>
  <c r="X3327" i="12"/>
  <c r="Y3326" i="12"/>
  <c r="X3328" i="12"/>
  <c r="Y3327" i="12"/>
  <c r="X3329" i="12"/>
  <c r="Y3328" i="12"/>
  <c r="X3330" i="12"/>
  <c r="Y3329" i="12"/>
  <c r="X3331" i="12"/>
  <c r="Y3330" i="12"/>
  <c r="Y3331" i="12"/>
  <c r="X3332" i="12"/>
  <c r="Y3332" i="12"/>
  <c r="X3333" i="12"/>
  <c r="Y3333" i="12"/>
  <c r="X3334" i="12"/>
  <c r="Y3334" i="12"/>
  <c r="X3335" i="12"/>
  <c r="X3336" i="12"/>
  <c r="Y3335" i="12"/>
  <c r="X3337" i="12"/>
  <c r="Y3336" i="12"/>
  <c r="Y3337" i="12"/>
  <c r="X3338" i="12"/>
  <c r="X3339" i="12"/>
  <c r="Y3338" i="12"/>
  <c r="X3340" i="12"/>
  <c r="Y3339" i="12"/>
  <c r="Y3340" i="12"/>
  <c r="X3341" i="12"/>
  <c r="Y3341" i="12"/>
  <c r="X3342" i="12"/>
  <c r="X3343" i="12"/>
  <c r="Y3342" i="12"/>
  <c r="Y3343" i="12"/>
  <c r="X3344" i="12"/>
  <c r="Y3344" i="12"/>
  <c r="X3345" i="12"/>
  <c r="Y3345" i="12"/>
  <c r="X3346" i="12"/>
  <c r="X3347" i="12"/>
  <c r="Y3346" i="12"/>
  <c r="X3348" i="12"/>
  <c r="Y3347" i="12"/>
  <c r="X3349" i="12"/>
  <c r="Y3348" i="12"/>
  <c r="X3350" i="12"/>
  <c r="Y3349" i="12"/>
  <c r="X3351" i="12"/>
  <c r="Y3350" i="12"/>
  <c r="Y3351" i="12"/>
  <c r="X3352" i="12"/>
  <c r="Y3352" i="12"/>
  <c r="X3353" i="12"/>
  <c r="Y3353" i="12"/>
  <c r="X3354" i="12"/>
  <c r="X3355" i="12"/>
  <c r="Y3354" i="12"/>
  <c r="Y3355" i="12"/>
  <c r="X3356" i="12"/>
  <c r="X3357" i="12"/>
  <c r="Y3356" i="12"/>
  <c r="X3358" i="12"/>
  <c r="Y3357" i="12"/>
  <c r="Y3358" i="12"/>
  <c r="X3359" i="12"/>
  <c r="Y3359" i="12"/>
  <c r="X3360" i="12"/>
  <c r="X3361" i="12"/>
  <c r="Y3360" i="12"/>
  <c r="X3362" i="12"/>
  <c r="Y3361" i="12"/>
  <c r="Y3362" i="12"/>
  <c r="X3363" i="12"/>
  <c r="X3364" i="12"/>
  <c r="Y3363" i="12"/>
  <c r="X3365" i="12"/>
  <c r="Y3364" i="12"/>
  <c r="X3366" i="12"/>
  <c r="Y3365" i="12"/>
  <c r="Y3366" i="12"/>
  <c r="X3367" i="12"/>
  <c r="X3368" i="12"/>
  <c r="Y3367" i="12"/>
  <c r="Y3368" i="12"/>
  <c r="X3369" i="12"/>
  <c r="Y3369" i="12"/>
  <c r="X3370" i="12"/>
  <c r="Y3370" i="12"/>
  <c r="X3371" i="12"/>
  <c r="X3372" i="12"/>
  <c r="Y3371" i="12"/>
  <c r="Y3372" i="12"/>
  <c r="X3373" i="12"/>
  <c r="Y3373" i="12"/>
  <c r="X3374" i="12"/>
  <c r="Y3374" i="12"/>
  <c r="X3375" i="12"/>
  <c r="X3376" i="12"/>
  <c r="Y3375" i="12"/>
  <c r="X3377" i="12"/>
  <c r="Y3376" i="12"/>
  <c r="X3378" i="12"/>
  <c r="Y3377" i="12"/>
  <c r="Y3378" i="12"/>
  <c r="X3379" i="12"/>
  <c r="Y3379" i="12"/>
  <c r="X3380" i="12"/>
  <c r="Y3380" i="12"/>
  <c r="X3381" i="12"/>
  <c r="X3382" i="12"/>
  <c r="Y3381" i="12"/>
  <c r="X3383" i="12"/>
  <c r="Y3382" i="12"/>
  <c r="X3384" i="12"/>
  <c r="Y3383" i="12"/>
  <c r="X3385" i="12"/>
  <c r="Y3384" i="12"/>
  <c r="Y3385" i="12"/>
  <c r="X3386" i="12"/>
  <c r="Y3386" i="12"/>
  <c r="X3387" i="12"/>
  <c r="X3388" i="12"/>
  <c r="Y3387" i="12"/>
  <c r="Y3388" i="12"/>
  <c r="X3389" i="12"/>
  <c r="X3390" i="12"/>
  <c r="Y3389" i="12"/>
  <c r="Y3390" i="12"/>
  <c r="X3391" i="12"/>
  <c r="Y3391" i="12"/>
  <c r="X3392" i="12"/>
  <c r="Y3392" i="12"/>
  <c r="X3393" i="12"/>
  <c r="Y3393" i="12"/>
  <c r="X3394" i="12"/>
  <c r="X3395" i="12"/>
  <c r="Y3394" i="12"/>
  <c r="X3396" i="12"/>
  <c r="Y3395" i="12"/>
  <c r="X3397" i="12"/>
  <c r="Y3396" i="12"/>
  <c r="X3398" i="12"/>
  <c r="Y3397" i="12"/>
  <c r="X3399" i="12"/>
  <c r="Y3398" i="12"/>
  <c r="Y3399" i="12"/>
  <c r="X3400" i="12"/>
  <c r="Y3400" i="12"/>
  <c r="X3401" i="12"/>
  <c r="X3402" i="12"/>
  <c r="Y3401" i="12"/>
  <c r="X3403" i="12"/>
  <c r="Y3402" i="12"/>
  <c r="X3404" i="12"/>
  <c r="Y3403" i="12"/>
  <c r="X3405" i="12"/>
  <c r="Y3404" i="12"/>
  <c r="X3406" i="12"/>
  <c r="Y3405" i="12"/>
  <c r="X3407" i="12"/>
  <c r="Y3406" i="12"/>
  <c r="Y3407" i="12"/>
  <c r="X3408" i="12"/>
  <c r="Y3408" i="12"/>
  <c r="X3409" i="12"/>
  <c r="X3410" i="12"/>
  <c r="Y3409" i="12"/>
  <c r="Y3410" i="12"/>
  <c r="X3411" i="12"/>
  <c r="Y3411" i="12"/>
  <c r="X3412" i="12"/>
  <c r="X3413" i="12"/>
  <c r="Y3412" i="12"/>
  <c r="X3414" i="12"/>
  <c r="Y3413" i="12"/>
  <c r="Y3414" i="12"/>
  <c r="X3415" i="12"/>
  <c r="Y3415" i="12"/>
  <c r="X3416" i="12"/>
  <c r="Y3416" i="12"/>
  <c r="X3417" i="12"/>
  <c r="Y3417" i="12"/>
  <c r="X3418" i="12"/>
  <c r="Y3418" i="12"/>
  <c r="X3419" i="12"/>
  <c r="X3420" i="12"/>
  <c r="Y3419" i="12"/>
  <c r="Y3420" i="12"/>
  <c r="X3421" i="12"/>
  <c r="Y3421" i="12"/>
  <c r="X3422" i="12"/>
  <c r="Y3422" i="12"/>
  <c r="X3423" i="12"/>
  <c r="Y3423" i="12"/>
  <c r="X3424" i="12"/>
  <c r="Y3424" i="12"/>
  <c r="X3425" i="12"/>
  <c r="Y3425" i="12"/>
  <c r="X3426" i="12"/>
  <c r="Y3426" i="12"/>
  <c r="X3427" i="12"/>
  <c r="Y3427" i="12"/>
  <c r="X3428" i="12"/>
  <c r="X3429" i="12"/>
  <c r="Y3428" i="12"/>
  <c r="Y3429" i="12"/>
  <c r="X3430" i="12"/>
  <c r="Y3430" i="12"/>
  <c r="X3431" i="12"/>
  <c r="Y3431" i="12"/>
  <c r="X3432" i="12"/>
  <c r="X3433" i="12"/>
  <c r="Y3432" i="12"/>
  <c r="Y3433" i="12"/>
  <c r="X3434" i="12"/>
  <c r="Y3434" i="12"/>
  <c r="X3435" i="12"/>
  <c r="Y3435" i="12"/>
  <c r="X3436" i="12"/>
  <c r="Y3436" i="12"/>
  <c r="X3437" i="12"/>
  <c r="X3438" i="12"/>
  <c r="Y3437" i="12"/>
  <c r="X3439" i="12"/>
  <c r="Y3438" i="12"/>
  <c r="X3440" i="12"/>
  <c r="Y3439" i="12"/>
  <c r="X3441" i="12"/>
  <c r="Y3440" i="12"/>
  <c r="Y3441" i="12"/>
  <c r="X3442" i="12"/>
  <c r="Y3442" i="12"/>
  <c r="X3443" i="12"/>
  <c r="X3444" i="12"/>
  <c r="Y3443" i="12"/>
  <c r="Y3444" i="12"/>
  <c r="X3445" i="12"/>
  <c r="Y3445" i="12"/>
  <c r="X3446" i="12"/>
  <c r="Y3446" i="12"/>
  <c r="X3447" i="12"/>
  <c r="X3448" i="12"/>
  <c r="Y3447" i="12"/>
  <c r="X3449" i="12"/>
  <c r="Y3448" i="12"/>
  <c r="Y3449" i="12"/>
  <c r="X3450" i="12"/>
  <c r="Y3450" i="12"/>
  <c r="X3451" i="12"/>
  <c r="Y3451" i="12"/>
  <c r="X3452" i="12"/>
  <c r="Y3452" i="12"/>
  <c r="X3453" i="12"/>
  <c r="Y3453" i="12"/>
  <c r="X3454" i="12"/>
  <c r="X3455" i="12"/>
  <c r="Y3454" i="12"/>
  <c r="Y3455" i="12"/>
  <c r="X3456" i="12"/>
  <c r="X3457" i="12"/>
  <c r="Y3456" i="12"/>
  <c r="Y3457" i="12"/>
  <c r="X3458" i="12"/>
  <c r="Y3458" i="12"/>
  <c r="X3459" i="12"/>
  <c r="X3460" i="12"/>
  <c r="Y3459" i="12"/>
  <c r="Y3460" i="12"/>
  <c r="X3461" i="12"/>
  <c r="Y3461" i="12"/>
  <c r="X3462" i="12"/>
  <c r="Y3462" i="12"/>
  <c r="X3463" i="12"/>
  <c r="Y3463" i="12"/>
  <c r="X3464" i="12"/>
  <c r="X3465" i="12"/>
  <c r="Y3464" i="12"/>
  <c r="Y3465" i="12"/>
  <c r="X3466" i="12"/>
  <c r="X3467" i="12"/>
  <c r="Y3466" i="12"/>
  <c r="X3468" i="12"/>
  <c r="Y3467" i="12"/>
  <c r="Y3468" i="12"/>
  <c r="X3469" i="12"/>
  <c r="X3470" i="12"/>
  <c r="Y3469" i="12"/>
  <c r="Y3470" i="12"/>
  <c r="X3471" i="12"/>
  <c r="X3472" i="12"/>
  <c r="Y3471" i="12"/>
  <c r="X3473" i="12"/>
  <c r="Y3472" i="12"/>
  <c r="X3474" i="12"/>
  <c r="Y3473" i="12"/>
  <c r="Y3474" i="12"/>
  <c r="X3475" i="12"/>
  <c r="Y3475" i="12"/>
  <c r="X3476" i="12"/>
  <c r="X3477" i="12"/>
  <c r="Y3476" i="12"/>
  <c r="X3478" i="12"/>
  <c r="Y3477" i="12"/>
  <c r="X3479" i="12"/>
  <c r="Y3478" i="12"/>
  <c r="Y3479" i="12"/>
  <c r="X3480" i="12"/>
  <c r="X3481" i="12"/>
  <c r="Y3480" i="12"/>
  <c r="Y3481" i="12"/>
  <c r="X3482" i="12"/>
  <c r="X3483" i="12"/>
  <c r="Y3482" i="12"/>
  <c r="Y3483" i="12"/>
  <c r="X3484" i="12"/>
  <c r="X3485" i="12"/>
  <c r="Y3484" i="12"/>
  <c r="Y3485" i="12"/>
  <c r="X3486" i="12"/>
  <c r="X3487" i="12"/>
  <c r="Y3486" i="12"/>
  <c r="Y3487" i="12"/>
  <c r="X3488" i="12"/>
  <c r="X3489" i="12"/>
  <c r="Y3488" i="12"/>
  <c r="X3490" i="12"/>
  <c r="Y3489" i="12"/>
  <c r="X3491" i="12"/>
  <c r="Y3490" i="12"/>
  <c r="X3492" i="12"/>
  <c r="Y3491" i="12"/>
  <c r="Y3492" i="12"/>
  <c r="X3493" i="12"/>
  <c r="X3494" i="12"/>
  <c r="Y3493" i="12"/>
  <c r="Y3494" i="12"/>
  <c r="X3495" i="12"/>
  <c r="X3496" i="12"/>
  <c r="Y3495" i="12"/>
  <c r="Y3496" i="12"/>
  <c r="X3497" i="12"/>
  <c r="X3498" i="12"/>
  <c r="Y3497" i="12"/>
  <c r="X3499" i="12"/>
  <c r="Y3498" i="12"/>
  <c r="Y3499" i="12"/>
  <c r="X3500" i="12"/>
  <c r="Y3500" i="12"/>
  <c r="X3501" i="12"/>
  <c r="Y3501" i="12"/>
  <c r="X3502" i="12"/>
  <c r="Y3502" i="12"/>
  <c r="X3503" i="12"/>
  <c r="X3504" i="12"/>
  <c r="Y3503" i="12"/>
  <c r="X3505" i="12"/>
  <c r="Y3504" i="12"/>
  <c r="Y3505" i="12"/>
  <c r="X3506" i="12"/>
  <c r="X3507" i="12"/>
  <c r="Y3506" i="12"/>
  <c r="Y3507" i="12"/>
  <c r="X3508" i="12"/>
  <c r="X3509" i="12"/>
  <c r="Y3508" i="12"/>
  <c r="Y3509" i="12"/>
  <c r="X3510" i="12"/>
  <c r="Y3510" i="12"/>
  <c r="X3511" i="12"/>
  <c r="Y3511" i="12"/>
  <c r="X3512" i="12"/>
  <c r="Y3512" i="12"/>
  <c r="X3513" i="12"/>
  <c r="Y3513" i="12"/>
  <c r="X3514" i="12"/>
  <c r="Y3514" i="12"/>
  <c r="X3515" i="12"/>
  <c r="Y3515" i="12"/>
  <c r="X3516" i="12"/>
  <c r="X3517" i="12"/>
  <c r="Y3516" i="12"/>
  <c r="Y3517" i="12"/>
  <c r="X3518" i="12"/>
  <c r="Y3518" i="12"/>
  <c r="X3519" i="12"/>
  <c r="X3520" i="12"/>
  <c r="Y3519" i="12"/>
  <c r="Y3520" i="12"/>
  <c r="X3521" i="12"/>
  <c r="X3522" i="12"/>
  <c r="Y3521" i="12"/>
  <c r="Y3522" i="12"/>
  <c r="X3523" i="12"/>
  <c r="Y3523" i="12"/>
  <c r="X3524" i="12"/>
  <c r="Y3524" i="12"/>
  <c r="X3525" i="12"/>
  <c r="X3526" i="12"/>
  <c r="Y3525" i="12"/>
  <c r="Y3526" i="12"/>
  <c r="X3527" i="12"/>
  <c r="X3528" i="12"/>
  <c r="Y3527" i="12"/>
  <c r="X3529" i="12"/>
  <c r="Y3528" i="12"/>
  <c r="Y3529" i="12"/>
  <c r="X3530" i="12"/>
  <c r="X3531" i="12"/>
  <c r="Y3530" i="12"/>
  <c r="Y3531" i="12"/>
  <c r="X3532" i="12"/>
  <c r="Y3532" i="12"/>
  <c r="X3533" i="12"/>
  <c r="Y3533" i="12"/>
  <c r="X3534" i="12"/>
  <c r="Y3534" i="12"/>
  <c r="X3535" i="12"/>
  <c r="X3536" i="12"/>
  <c r="Y3535" i="12"/>
  <c r="Y3536" i="12"/>
  <c r="X3537" i="12"/>
  <c r="Y3537" i="12"/>
  <c r="X3538" i="12"/>
  <c r="X3539" i="12"/>
  <c r="Y3538" i="12"/>
  <c r="Y3539" i="12"/>
  <c r="X3540" i="12"/>
  <c r="X3541" i="12"/>
  <c r="Y3540" i="12"/>
  <c r="X3542" i="12"/>
  <c r="Y3541" i="12"/>
  <c r="Y3542" i="12"/>
  <c r="X3543" i="12"/>
  <c r="X3544" i="12"/>
  <c r="Y3543" i="12"/>
  <c r="X3545" i="12"/>
  <c r="Y3544" i="12"/>
  <c r="Y3545" i="12"/>
  <c r="X3546" i="12"/>
  <c r="X3547" i="12"/>
  <c r="Y3546" i="12"/>
  <c r="Y3547" i="12"/>
  <c r="X3548" i="12"/>
  <c r="Y3548" i="12"/>
  <c r="X3549" i="12"/>
  <c r="Y3549" i="12"/>
  <c r="X3550" i="12"/>
  <c r="Y3550" i="12"/>
  <c r="X3551" i="12"/>
  <c r="Y3551" i="12"/>
  <c r="X3552" i="12"/>
  <c r="Y3552" i="12" s="1"/>
  <c r="D14" i="9" l="1"/>
  <c r="D33" i="9"/>
  <c r="D19" i="9"/>
  <c r="D44" i="9"/>
  <c r="F44" i="9" s="1"/>
  <c r="D7" i="9"/>
  <c r="F7" i="9" s="1"/>
  <c r="D38" i="9"/>
  <c r="F38" i="9" s="1"/>
  <c r="D41" i="9"/>
  <c r="F41" i="9" s="1"/>
  <c r="D27" i="9"/>
  <c r="F27" i="9" s="1"/>
  <c r="D5" i="9"/>
  <c r="D23" i="9"/>
  <c r="D15" i="9"/>
  <c r="D35" i="9"/>
  <c r="D13" i="9"/>
  <c r="F13" i="9" s="1"/>
  <c r="D39" i="9"/>
  <c r="F39" i="9" s="1"/>
  <c r="D43" i="9"/>
  <c r="F43" i="9" s="1"/>
  <c r="D11" i="9"/>
  <c r="F11" i="9" s="1"/>
  <c r="D32" i="9"/>
  <c r="D26" i="9"/>
  <c r="D12" i="9"/>
  <c r="F12" i="9" s="1"/>
  <c r="D37" i="9"/>
  <c r="D40" i="9"/>
  <c r="F40" i="9" s="1"/>
  <c r="D9" i="9"/>
  <c r="F9" i="9" s="1"/>
  <c r="D20" i="9"/>
  <c r="F20" i="9" s="1"/>
  <c r="D24" i="9"/>
  <c r="F24" i="9" s="1"/>
  <c r="D17" i="9"/>
  <c r="D28" i="9"/>
  <c r="F28" i="9" s="1"/>
  <c r="D4" i="9"/>
  <c r="F4" i="9" s="1"/>
  <c r="D25" i="9"/>
  <c r="F25" i="9" s="1"/>
  <c r="D3" i="9"/>
  <c r="F3" i="9" s="1"/>
  <c r="D36" i="9"/>
  <c r="D10" i="9"/>
  <c r="F10" i="9" s="1"/>
  <c r="D29" i="9"/>
  <c r="F29" i="9" s="1"/>
  <c r="D8" i="9"/>
  <c r="D18" i="9"/>
  <c r="D21" i="9"/>
  <c r="D16" i="9"/>
  <c r="F16" i="9" s="1"/>
  <c r="D31" i="9"/>
  <c r="D34" i="9"/>
  <c r="F34" i="9" s="1"/>
  <c r="D6" i="9"/>
  <c r="F6" i="9" s="1"/>
  <c r="D42" i="9"/>
  <c r="F42" i="9" s="1"/>
  <c r="D22" i="9"/>
  <c r="D30" i="9"/>
  <c r="F30" i="9" s="1"/>
  <c r="B7" i="4"/>
  <c r="B110" i="4"/>
  <c r="B125" i="4"/>
  <c r="B2" i="4"/>
  <c r="B118" i="4"/>
  <c r="C8" i="12"/>
  <c r="C15" i="12" s="1"/>
  <c r="C14" i="12"/>
  <c r="B120" i="4"/>
  <c r="B128" i="4"/>
  <c r="B4" i="4"/>
  <c r="B100" i="4"/>
  <c r="B99" i="4"/>
  <c r="B122" i="4"/>
  <c r="B101" i="4"/>
  <c r="B108" i="4"/>
  <c r="B107" i="4"/>
  <c r="B6" i="4"/>
  <c r="B3" i="4"/>
  <c r="B117" i="4"/>
  <c r="B123" i="4"/>
  <c r="B102" i="4"/>
  <c r="B5" i="4"/>
  <c r="B111" i="4"/>
  <c r="B98" i="4"/>
  <c r="E10" i="12"/>
  <c r="E12" i="12"/>
  <c r="E15" i="12"/>
  <c r="E5" i="12"/>
  <c r="E9" i="12"/>
  <c r="E14" i="12"/>
  <c r="E7" i="12"/>
  <c r="E4" i="12"/>
  <c r="E6" i="12"/>
  <c r="E13" i="12"/>
  <c r="E16" i="12"/>
  <c r="E8" i="12"/>
  <c r="E3" i="12"/>
  <c r="E11" i="12"/>
  <c r="B119" i="4"/>
  <c r="B106" i="4"/>
  <c r="B124" i="4"/>
  <c r="B103" i="4"/>
  <c r="B105" i="4"/>
  <c r="B129" i="4"/>
  <c r="B112" i="4"/>
  <c r="B8" i="4"/>
  <c r="B127" i="4"/>
  <c r="B109" i="4"/>
  <c r="B115" i="4"/>
  <c r="B113" i="4"/>
  <c r="B104" i="4"/>
  <c r="B96" i="4"/>
  <c r="B97" i="4"/>
  <c r="B126" i="4"/>
  <c r="B114" i="4"/>
  <c r="B121" i="4"/>
  <c r="B116" i="4"/>
  <c r="B57" i="4"/>
  <c r="B8" i="11"/>
  <c r="H6" i="11"/>
  <c r="D7" i="11"/>
  <c r="F6" i="11"/>
  <c r="I6" i="11"/>
  <c r="J6" i="11"/>
  <c r="E8" i="11"/>
  <c r="I7" i="11"/>
  <c r="F37" i="9"/>
  <c r="F15" i="9"/>
  <c r="F18" i="9"/>
  <c r="F14" i="9"/>
  <c r="F17" i="9"/>
  <c r="F21" i="9"/>
  <c r="F22" i="9"/>
  <c r="F32" i="9"/>
  <c r="F35" i="9"/>
  <c r="F19" i="9"/>
  <c r="F8" i="9"/>
  <c r="F31" i="9"/>
  <c r="F5" i="9"/>
  <c r="F23" i="9"/>
  <c r="F33" i="9"/>
  <c r="F26" i="9"/>
  <c r="F36" i="9"/>
  <c r="J108" i="4"/>
  <c r="D108" i="4"/>
  <c r="I108" i="4"/>
  <c r="C108" i="4"/>
  <c r="E108" i="4"/>
  <c r="I111" i="4"/>
  <c r="D111" i="4"/>
  <c r="C111" i="4"/>
  <c r="J111" i="4"/>
  <c r="E111" i="4"/>
  <c r="J119" i="4"/>
  <c r="E119" i="4"/>
  <c r="C119" i="4"/>
  <c r="I119" i="4"/>
  <c r="D119" i="4"/>
  <c r="C127" i="4"/>
  <c r="D127" i="4"/>
  <c r="J127" i="4"/>
  <c r="I127" i="4"/>
  <c r="E127" i="4"/>
  <c r="I114" i="4"/>
  <c r="D114" i="4"/>
  <c r="C114" i="4"/>
  <c r="E114" i="4"/>
  <c r="J114" i="4"/>
  <c r="H34" i="9"/>
  <c r="H8" i="9"/>
  <c r="H3" i="9"/>
  <c r="H39" i="9"/>
  <c r="H30" i="9"/>
  <c r="H37" i="9"/>
  <c r="E120" i="4"/>
  <c r="I120" i="4"/>
  <c r="D120" i="4"/>
  <c r="C120" i="4"/>
  <c r="J120" i="4"/>
  <c r="C107" i="4"/>
  <c r="D107" i="4"/>
  <c r="E107" i="4"/>
  <c r="I107" i="4"/>
  <c r="J107" i="4"/>
  <c r="J98" i="4"/>
  <c r="C98" i="4"/>
  <c r="I98" i="4"/>
  <c r="E98" i="4"/>
  <c r="D98" i="4"/>
  <c r="D106" i="4"/>
  <c r="E106" i="4"/>
  <c r="C106" i="4"/>
  <c r="I106" i="4"/>
  <c r="J106" i="4"/>
  <c r="E121" i="4"/>
  <c r="I121" i="4"/>
  <c r="C121" i="4"/>
  <c r="D121" i="4"/>
  <c r="J121" i="4"/>
  <c r="H41" i="9"/>
  <c r="H32" i="9"/>
  <c r="F8" i="7"/>
  <c r="H36" i="9"/>
  <c r="H11" i="9"/>
  <c r="C7" i="4"/>
  <c r="J7" i="4"/>
  <c r="I7" i="4"/>
  <c r="D7" i="4"/>
  <c r="D6" i="4"/>
  <c r="C6" i="4"/>
  <c r="D124" i="4"/>
  <c r="C124" i="4"/>
  <c r="J124" i="4"/>
  <c r="I124" i="4"/>
  <c r="E124" i="4"/>
  <c r="C115" i="4"/>
  <c r="D115" i="4"/>
  <c r="E115" i="4"/>
  <c r="I115" i="4"/>
  <c r="J115" i="4"/>
  <c r="C116" i="4"/>
  <c r="J116" i="4"/>
  <c r="I116" i="4"/>
  <c r="E116" i="4"/>
  <c r="D116" i="4"/>
  <c r="H15" i="9"/>
  <c r="H9" i="9"/>
  <c r="H40" i="9"/>
  <c r="H5" i="9"/>
  <c r="H14" i="9"/>
  <c r="C4" i="4"/>
  <c r="D4" i="4"/>
  <c r="D3" i="4"/>
  <c r="C3" i="4"/>
  <c r="J103" i="4"/>
  <c r="C103" i="4"/>
  <c r="I103" i="4"/>
  <c r="D103" i="4"/>
  <c r="E103" i="4"/>
  <c r="H20" i="9"/>
  <c r="H12" i="9"/>
  <c r="H21" i="9"/>
  <c r="H35" i="9"/>
  <c r="C125" i="4"/>
  <c r="D125" i="4"/>
  <c r="E125" i="4"/>
  <c r="J125" i="4"/>
  <c r="I125" i="4"/>
  <c r="I117" i="4"/>
  <c r="D117" i="4"/>
  <c r="E117" i="4"/>
  <c r="C117" i="4"/>
  <c r="J117" i="4"/>
  <c r="E105" i="4"/>
  <c r="D105" i="4"/>
  <c r="J105" i="4"/>
  <c r="I105" i="4"/>
  <c r="C105" i="4"/>
  <c r="H13" i="9"/>
  <c r="H17" i="9"/>
  <c r="H31" i="9"/>
  <c r="C2" i="4"/>
  <c r="E123" i="4"/>
  <c r="I123" i="4"/>
  <c r="C123" i="4"/>
  <c r="D123" i="4"/>
  <c r="J123" i="4"/>
  <c r="E129" i="4"/>
  <c r="C129" i="4"/>
  <c r="D129" i="4"/>
  <c r="I129" i="4"/>
  <c r="J129" i="4"/>
  <c r="H4" i="9"/>
  <c r="H10" i="9"/>
  <c r="H22" i="9"/>
  <c r="D118" i="4"/>
  <c r="E118" i="4"/>
  <c r="J118" i="4"/>
  <c r="I118" i="4"/>
  <c r="C118" i="4"/>
  <c r="C102" i="4"/>
  <c r="D102" i="4"/>
  <c r="I102" i="4"/>
  <c r="E102" i="4"/>
  <c r="J102" i="4"/>
  <c r="H27" i="9"/>
  <c r="H18" i="9"/>
  <c r="C8" i="4"/>
  <c r="D8" i="4"/>
  <c r="L3" i="11"/>
  <c r="H6" i="9"/>
  <c r="H25" i="9"/>
  <c r="E109" i="4"/>
  <c r="I109" i="4"/>
  <c r="D109" i="4"/>
  <c r="C109" i="4"/>
  <c r="J109" i="4"/>
  <c r="H38" i="9"/>
  <c r="C128" i="4"/>
  <c r="I128" i="4"/>
  <c r="J128" i="4"/>
  <c r="D128" i="4"/>
  <c r="E128" i="4"/>
  <c r="H23" i="9"/>
  <c r="C110" i="4"/>
  <c r="J110" i="4"/>
  <c r="I110" i="4"/>
  <c r="E110" i="4"/>
  <c r="D110" i="4"/>
  <c r="I113" i="4"/>
  <c r="D113" i="4"/>
  <c r="C113" i="4"/>
  <c r="J113" i="4"/>
  <c r="E113" i="4"/>
  <c r="H24" i="9"/>
  <c r="H42" i="9"/>
  <c r="E100" i="4"/>
  <c r="D100" i="4"/>
  <c r="C100" i="4"/>
  <c r="J100" i="4"/>
  <c r="I100" i="4"/>
  <c r="D104" i="4"/>
  <c r="C104" i="4"/>
  <c r="E104" i="4"/>
  <c r="J104" i="4"/>
  <c r="I104" i="4"/>
  <c r="H28" i="9"/>
  <c r="H29" i="9"/>
  <c r="H26" i="9"/>
  <c r="C99" i="4"/>
  <c r="J99" i="4"/>
  <c r="E99" i="4"/>
  <c r="D99" i="4"/>
  <c r="I99" i="4"/>
  <c r="E96" i="4"/>
  <c r="C96" i="4"/>
  <c r="I96" i="4"/>
  <c r="D96" i="4"/>
  <c r="J96" i="4"/>
  <c r="H33" i="9"/>
  <c r="C57" i="4"/>
  <c r="H44" i="9"/>
  <c r="J112" i="4"/>
  <c r="C112" i="4"/>
  <c r="I112" i="4"/>
  <c r="D112" i="4"/>
  <c r="E112" i="4"/>
  <c r="H43" i="9"/>
  <c r="H7" i="9"/>
  <c r="F2" i="7"/>
  <c r="C5" i="4"/>
  <c r="D5" i="4"/>
  <c r="H16" i="9"/>
  <c r="H19" i="9"/>
  <c r="I122" i="4"/>
  <c r="J122" i="4"/>
  <c r="E122" i="4"/>
  <c r="D122" i="4"/>
  <c r="C122" i="4"/>
  <c r="D97" i="4"/>
  <c r="E97" i="4"/>
  <c r="I97" i="4"/>
  <c r="J97" i="4"/>
  <c r="C97" i="4"/>
  <c r="K6" i="11"/>
  <c r="C101" i="4"/>
  <c r="E101" i="4"/>
  <c r="I101" i="4"/>
  <c r="J101" i="4"/>
  <c r="D101" i="4"/>
  <c r="J126" i="4"/>
  <c r="I126" i="4"/>
  <c r="E126" i="4"/>
  <c r="D126" i="4"/>
  <c r="C126" i="4"/>
  <c r="M73" i="12" a="1"/>
  <c r="C9" i="12" l="1"/>
  <c r="C16" i="12" s="1"/>
  <c r="B25" i="4"/>
  <c r="B23" i="4"/>
  <c r="B27" i="4"/>
  <c r="B16" i="4"/>
  <c r="B24" i="4"/>
  <c r="B33" i="4"/>
  <c r="B26" i="4"/>
  <c r="B21" i="4"/>
  <c r="B43" i="4"/>
  <c r="B42" i="4"/>
  <c r="B35" i="4"/>
  <c r="B52" i="4"/>
  <c r="B31" i="4"/>
  <c r="B54" i="4"/>
  <c r="B32" i="4"/>
  <c r="B29" i="4"/>
  <c r="B40" i="4"/>
  <c r="B49" i="4"/>
  <c r="B45" i="4"/>
  <c r="B34" i="4"/>
  <c r="B37" i="4"/>
  <c r="B19" i="4"/>
  <c r="B51" i="4"/>
  <c r="B47" i="4"/>
  <c r="B48" i="4"/>
  <c r="B53" i="4"/>
  <c r="B15" i="4"/>
  <c r="B28" i="4"/>
  <c r="B36" i="4"/>
  <c r="B44" i="4"/>
  <c r="B55" i="4"/>
  <c r="B46" i="4"/>
  <c r="B22" i="4"/>
  <c r="B41" i="4"/>
  <c r="B39" i="4"/>
  <c r="B56" i="4"/>
  <c r="B38" i="4"/>
  <c r="B17" i="4"/>
  <c r="B20" i="4"/>
  <c r="B18" i="4"/>
  <c r="B30" i="4"/>
  <c r="B50" i="4"/>
  <c r="B58" i="4"/>
  <c r="B9" i="11"/>
  <c r="F7" i="11"/>
  <c r="D8" i="11"/>
  <c r="H7" i="11"/>
  <c r="J7" i="11"/>
  <c r="E9" i="11"/>
  <c r="I8" i="11"/>
  <c r="M93" i="12"/>
  <c r="M84" i="12"/>
  <c r="M109" i="12"/>
  <c r="M96" i="12"/>
  <c r="M86" i="12"/>
  <c r="M83" i="12"/>
  <c r="M97" i="12"/>
  <c r="M81" i="12"/>
  <c r="M77" i="12"/>
  <c r="M88" i="12"/>
  <c r="M91" i="12"/>
  <c r="M108" i="12"/>
  <c r="M79" i="12"/>
  <c r="M92" i="12"/>
  <c r="M101" i="12"/>
  <c r="M90" i="12"/>
  <c r="M74" i="12"/>
  <c r="M107" i="12"/>
  <c r="M103" i="12"/>
  <c r="M87" i="12"/>
  <c r="M99" i="12"/>
  <c r="M82" i="12"/>
  <c r="M76" i="12"/>
  <c r="M89" i="12"/>
  <c r="M102" i="12"/>
  <c r="M110" i="12"/>
  <c r="M111" i="12"/>
  <c r="M106" i="12"/>
  <c r="M94" i="12"/>
  <c r="M75" i="12"/>
  <c r="M105" i="12"/>
  <c r="M98" i="12"/>
  <c r="M104" i="12"/>
  <c r="M73" i="12"/>
  <c r="M100" i="12"/>
  <c r="M95" i="12"/>
  <c r="M80" i="12"/>
  <c r="M85" i="12"/>
  <c r="M78" i="12"/>
  <c r="N97" i="12"/>
  <c r="P77" i="12"/>
  <c r="N88" i="12"/>
  <c r="O79" i="12"/>
  <c r="I24" i="9"/>
  <c r="P75" i="12"/>
  <c r="P105" i="12"/>
  <c r="I16" i="9"/>
  <c r="N103" i="12"/>
  <c r="I33" i="9"/>
  <c r="N99" i="12"/>
  <c r="O100" i="12"/>
  <c r="I41" i="9"/>
  <c r="O95" i="12"/>
  <c r="N110" i="12"/>
  <c r="N85" i="12"/>
  <c r="O106" i="12"/>
  <c r="I6" i="9"/>
  <c r="N96" i="12"/>
  <c r="P84" i="12"/>
  <c r="P97" i="12"/>
  <c r="I11" i="9"/>
  <c r="P88" i="12"/>
  <c r="N79" i="12"/>
  <c r="I39" i="9"/>
  <c r="N75" i="12"/>
  <c r="O105" i="12"/>
  <c r="N107" i="12"/>
  <c r="P103" i="12"/>
  <c r="I27" i="9"/>
  <c r="O73" i="12"/>
  <c r="N100" i="12"/>
  <c r="I19" i="9"/>
  <c r="O102" i="12"/>
  <c r="O110" i="12"/>
  <c r="O85" i="12"/>
  <c r="P106" i="12"/>
  <c r="I21" i="9"/>
  <c r="P96" i="12"/>
  <c r="O84" i="12"/>
  <c r="O86" i="12"/>
  <c r="O97" i="12"/>
  <c r="I22" i="9"/>
  <c r="P91" i="12"/>
  <c r="P79" i="12"/>
  <c r="I31" i="9"/>
  <c r="P90" i="12"/>
  <c r="N105" i="12"/>
  <c r="P107" i="12"/>
  <c r="N104" i="12"/>
  <c r="I12" i="9"/>
  <c r="N73" i="12"/>
  <c r="N76" i="12"/>
  <c r="I40" i="9"/>
  <c r="N102" i="12"/>
  <c r="K7" i="11"/>
  <c r="P94" i="12"/>
  <c r="N106" i="12"/>
  <c r="P93" i="12"/>
  <c r="O96" i="12"/>
  <c r="N84" i="12"/>
  <c r="N86" i="12"/>
  <c r="O81" i="12"/>
  <c r="I42" i="9"/>
  <c r="N91" i="12"/>
  <c r="P92" i="12"/>
  <c r="I14" i="9"/>
  <c r="N90" i="12"/>
  <c r="L5" i="11"/>
  <c r="O107" i="12"/>
  <c r="P104" i="12"/>
  <c r="I44" i="9"/>
  <c r="P73" i="12"/>
  <c r="P76" i="12"/>
  <c r="P89" i="12"/>
  <c r="P102" i="12"/>
  <c r="I9" i="9"/>
  <c r="O94" i="12"/>
  <c r="P78" i="12"/>
  <c r="O93" i="12"/>
  <c r="I5" i="9"/>
  <c r="I7" i="9"/>
  <c r="P86" i="12"/>
  <c r="P81" i="12"/>
  <c r="I13" i="9"/>
  <c r="O91" i="12"/>
  <c r="N92" i="12"/>
  <c r="N101" i="12"/>
  <c r="O90" i="12"/>
  <c r="I38" i="9"/>
  <c r="O98" i="12"/>
  <c r="O104" i="12"/>
  <c r="I4" i="9"/>
  <c r="P82" i="12"/>
  <c r="O76" i="12"/>
  <c r="O89" i="12"/>
  <c r="O80" i="12"/>
  <c r="I23" i="9"/>
  <c r="N94" i="12"/>
  <c r="N78" i="12"/>
  <c r="N93" i="12"/>
  <c r="I18" i="9"/>
  <c r="I10" i="9"/>
  <c r="P83" i="12"/>
  <c r="N81" i="12"/>
  <c r="I3" i="9"/>
  <c r="N108" i="12"/>
  <c r="O92" i="12"/>
  <c r="P101" i="12"/>
  <c r="O74" i="12"/>
  <c r="I34" i="9"/>
  <c r="P98" i="12"/>
  <c r="P87" i="12"/>
  <c r="I26" i="9"/>
  <c r="O82" i="12"/>
  <c r="I29" i="9"/>
  <c r="N89" i="12"/>
  <c r="N80" i="12"/>
  <c r="I36" i="9"/>
  <c r="N111" i="12"/>
  <c r="O78" i="12"/>
  <c r="N109" i="12"/>
  <c r="I8" i="9"/>
  <c r="O83" i="12"/>
  <c r="N77" i="12"/>
  <c r="I15" i="9"/>
  <c r="O108" i="12"/>
  <c r="L6" i="11"/>
  <c r="O101" i="12"/>
  <c r="N74" i="12"/>
  <c r="I25" i="9"/>
  <c r="N98" i="12"/>
  <c r="N87" i="12"/>
  <c r="P99" i="12"/>
  <c r="N82" i="12"/>
  <c r="I43" i="9"/>
  <c r="P95" i="12"/>
  <c r="P80" i="12"/>
  <c r="I32" i="9"/>
  <c r="P111" i="12"/>
  <c r="I28" i="9"/>
  <c r="P109" i="12"/>
  <c r="I37" i="9"/>
  <c r="N83" i="12"/>
  <c r="O77" i="12"/>
  <c r="O88" i="12"/>
  <c r="P108" i="12"/>
  <c r="I35" i="9"/>
  <c r="O75" i="12"/>
  <c r="P74" i="12"/>
  <c r="I20" i="9"/>
  <c r="O103" i="12"/>
  <c r="O87" i="12"/>
  <c r="O99" i="12"/>
  <c r="P100" i="12"/>
  <c r="C58" i="4"/>
  <c r="N95" i="12"/>
  <c r="P110" i="12"/>
  <c r="P85" i="12"/>
  <c r="O111" i="12"/>
  <c r="I17" i="9"/>
  <c r="O109" i="12"/>
  <c r="I30" i="9"/>
  <c r="Q84" i="12" l="1"/>
  <c r="Q96" i="12"/>
  <c r="Q109" i="12"/>
  <c r="Q93" i="12"/>
  <c r="Q78" i="12"/>
  <c r="Q106" i="12"/>
  <c r="Q111" i="12"/>
  <c r="Q94" i="12"/>
  <c r="Q85" i="12"/>
  <c r="Q110" i="12"/>
  <c r="Q80" i="12"/>
  <c r="Q102" i="12"/>
  <c r="Q95" i="12"/>
  <c r="Q89" i="12"/>
  <c r="Q76" i="12"/>
  <c r="Q100" i="12"/>
  <c r="Q82" i="12"/>
  <c r="Q73" i="12"/>
  <c r="Q99" i="12"/>
  <c r="Q87" i="12"/>
  <c r="Q104" i="12"/>
  <c r="Q103" i="12"/>
  <c r="Q98" i="12"/>
  <c r="Q107" i="12"/>
  <c r="Q105" i="12"/>
  <c r="Q74" i="12"/>
  <c r="Q90" i="12"/>
  <c r="Q75" i="12"/>
  <c r="Q101" i="12"/>
  <c r="Q92" i="12"/>
  <c r="Q79" i="12"/>
  <c r="Q108" i="12"/>
  <c r="Q91" i="12"/>
  <c r="Q88" i="12"/>
  <c r="Q77" i="12"/>
  <c r="Q81" i="12"/>
  <c r="Q97" i="12"/>
  <c r="Q83" i="12"/>
  <c r="Q86" i="12"/>
  <c r="B59" i="4"/>
  <c r="B10" i="11"/>
  <c r="J8" i="11"/>
  <c r="F8" i="11"/>
  <c r="D9" i="11"/>
  <c r="H8" i="11"/>
  <c r="E10" i="11"/>
  <c r="I9" i="11"/>
  <c r="K8" i="11"/>
  <c r="R97" i="12"/>
  <c r="C59" i="4"/>
  <c r="R110" i="12"/>
  <c r="R106" i="12"/>
  <c r="L7" i="11"/>
  <c r="R103" i="12"/>
  <c r="R109" i="12"/>
  <c r="R111" i="12"/>
  <c r="R99" i="12"/>
  <c r="R98" i="12"/>
  <c r="R102" i="12"/>
  <c r="R108" i="12"/>
  <c r="R101" i="12"/>
  <c r="R107" i="12"/>
  <c r="R104" i="12"/>
  <c r="R105" i="12"/>
  <c r="R100" i="12"/>
  <c r="B60" i="4" l="1"/>
  <c r="B11" i="11"/>
  <c r="J9" i="11"/>
  <c r="F9" i="11"/>
  <c r="D10" i="11"/>
  <c r="H9" i="11"/>
  <c r="E11" i="11"/>
  <c r="I10" i="11"/>
  <c r="S100" i="12"/>
  <c r="S98" i="12"/>
  <c r="S97" i="12"/>
  <c r="S101" i="12"/>
  <c r="S99" i="12"/>
  <c r="K9" i="11"/>
  <c r="L8" i="11"/>
  <c r="S111" i="12"/>
  <c r="S108" i="12"/>
  <c r="S109" i="12"/>
  <c r="S104" i="12"/>
  <c r="S103" i="12"/>
  <c r="C60" i="4"/>
  <c r="S110" i="12"/>
  <c r="S107" i="12"/>
  <c r="S106" i="12"/>
  <c r="S102" i="12"/>
  <c r="S105" i="12"/>
  <c r="T97" i="12" l="1"/>
  <c r="T105" i="12"/>
  <c r="T106" i="12"/>
  <c r="T110" i="12"/>
  <c r="T103" i="12"/>
  <c r="T109" i="12"/>
  <c r="T111" i="12"/>
  <c r="T99" i="12"/>
  <c r="T98" i="12"/>
  <c r="T102" i="12"/>
  <c r="T107" i="12"/>
  <c r="T104" i="12"/>
  <c r="T108" i="12"/>
  <c r="T101" i="12"/>
  <c r="T100" i="12"/>
  <c r="B61" i="4"/>
  <c r="B12" i="11"/>
  <c r="H10" i="11"/>
  <c r="J10" i="11"/>
  <c r="F10" i="11"/>
  <c r="D11" i="11"/>
  <c r="E12" i="11"/>
  <c r="I11" i="11"/>
  <c r="L9" i="11"/>
  <c r="C61" i="4"/>
  <c r="K10" i="11"/>
  <c r="B62" i="4" l="1"/>
  <c r="B13" i="11"/>
  <c r="D12" i="11"/>
  <c r="F11" i="11"/>
  <c r="H11" i="11"/>
  <c r="J11" i="11"/>
  <c r="E13" i="11"/>
  <c r="I12" i="11"/>
  <c r="C62" i="4"/>
  <c r="K11" i="11"/>
  <c r="L10" i="11"/>
  <c r="B63" i="4" l="1"/>
  <c r="B14" i="11"/>
  <c r="D13" i="11"/>
  <c r="H12" i="11"/>
  <c r="J12" i="11"/>
  <c r="F12" i="11"/>
  <c r="E14" i="11"/>
  <c r="I13" i="11"/>
  <c r="C63" i="4"/>
  <c r="K12" i="11"/>
  <c r="L11" i="11"/>
  <c r="B64" i="4" l="1"/>
  <c r="B15" i="11"/>
  <c r="H13" i="11"/>
  <c r="J13" i="11"/>
  <c r="D14" i="11"/>
  <c r="F13" i="11"/>
  <c r="E15" i="11"/>
  <c r="I14" i="11"/>
  <c r="C64" i="4"/>
  <c r="K13" i="11"/>
  <c r="L12" i="11"/>
  <c r="B65" i="4" l="1"/>
  <c r="B16" i="11"/>
  <c r="F14" i="11"/>
  <c r="H14" i="11"/>
  <c r="J14" i="11"/>
  <c r="D15" i="11"/>
  <c r="E16" i="11"/>
  <c r="I15" i="11"/>
  <c r="C65" i="4"/>
  <c r="K14" i="11"/>
  <c r="L13" i="11"/>
  <c r="B66" i="4" l="1"/>
  <c r="B17" i="11"/>
  <c r="J15" i="11"/>
  <c r="F15" i="11"/>
  <c r="D16" i="11"/>
  <c r="H15" i="11"/>
  <c r="E17" i="11"/>
  <c r="I16" i="11"/>
  <c r="C66" i="4"/>
  <c r="K15" i="11"/>
  <c r="L14" i="11"/>
  <c r="B67" i="4" l="1"/>
  <c r="B18" i="11"/>
  <c r="D17" i="11"/>
  <c r="H16" i="11"/>
  <c r="J16" i="11"/>
  <c r="F16" i="11"/>
  <c r="E18" i="11"/>
  <c r="I17" i="11"/>
  <c r="C67" i="4"/>
  <c r="K16" i="11"/>
  <c r="L15" i="11"/>
  <c r="B68" i="4" l="1"/>
  <c r="B19" i="11"/>
  <c r="D18" i="11"/>
  <c r="J17" i="11"/>
  <c r="F17" i="11"/>
  <c r="H17" i="11"/>
  <c r="E19" i="11"/>
  <c r="I18" i="11"/>
  <c r="C68" i="4"/>
  <c r="K17" i="11"/>
  <c r="L16" i="11"/>
  <c r="B69" i="4" l="1"/>
  <c r="B20" i="11"/>
  <c r="D19" i="11"/>
  <c r="F18" i="11"/>
  <c r="H18" i="11"/>
  <c r="J18" i="11"/>
  <c r="E20" i="11"/>
  <c r="I19" i="11"/>
  <c r="C69" i="4"/>
  <c r="K18" i="11"/>
  <c r="L17" i="11"/>
  <c r="B70" i="4" l="1"/>
  <c r="B21" i="11"/>
  <c r="D20" i="11"/>
  <c r="F19" i="11"/>
  <c r="J19" i="11"/>
  <c r="H19" i="11"/>
  <c r="E21" i="11"/>
  <c r="I20" i="11"/>
  <c r="C70" i="4"/>
  <c r="K19" i="11"/>
  <c r="L18" i="11"/>
  <c r="B71" i="4" l="1"/>
  <c r="B22" i="11"/>
  <c r="F20" i="11"/>
  <c r="D21" i="11"/>
  <c r="H20" i="11"/>
  <c r="J20" i="11"/>
  <c r="I21" i="11"/>
  <c r="E22" i="11"/>
  <c r="C71" i="4"/>
  <c r="L19" i="11"/>
  <c r="K20" i="11"/>
  <c r="B72" i="4" l="1"/>
  <c r="B23" i="11"/>
  <c r="J21" i="11"/>
  <c r="D22" i="11"/>
  <c r="F21" i="11"/>
  <c r="H21" i="11"/>
  <c r="E23" i="11"/>
  <c r="I22" i="11"/>
  <c r="C72" i="4"/>
  <c r="K21" i="11"/>
  <c r="L20" i="11"/>
  <c r="B73" i="4" l="1"/>
  <c r="B24" i="11"/>
  <c r="J22" i="11"/>
  <c r="D23" i="11"/>
  <c r="F22" i="11"/>
  <c r="H22" i="11"/>
  <c r="E24" i="11"/>
  <c r="I23" i="11"/>
  <c r="K22" i="11"/>
  <c r="L21" i="11"/>
  <c r="C73" i="4"/>
  <c r="B74" i="4" l="1"/>
  <c r="B25" i="11"/>
  <c r="F23" i="11"/>
  <c r="H23" i="11"/>
  <c r="J23" i="11"/>
  <c r="D24" i="11"/>
  <c r="E25" i="11"/>
  <c r="I24" i="11"/>
  <c r="C74" i="4"/>
  <c r="K23" i="11"/>
  <c r="L22" i="11"/>
  <c r="B75" i="4" l="1"/>
  <c r="B26" i="11"/>
  <c r="H24" i="11"/>
  <c r="F24" i="11"/>
  <c r="D25" i="11"/>
  <c r="J24" i="11"/>
  <c r="I25" i="11"/>
  <c r="E26" i="11"/>
  <c r="K24" i="11"/>
  <c r="L23" i="11"/>
  <c r="C75" i="4"/>
  <c r="B76" i="4" l="1"/>
  <c r="B27" i="11"/>
  <c r="H25" i="11"/>
  <c r="F25" i="11"/>
  <c r="J25" i="11"/>
  <c r="D26" i="11"/>
  <c r="I26" i="11"/>
  <c r="E27" i="11"/>
  <c r="C76" i="4"/>
  <c r="K25" i="11"/>
  <c r="L24" i="11"/>
  <c r="B77" i="4" l="1"/>
  <c r="B28" i="11"/>
  <c r="H26" i="11"/>
  <c r="J26" i="11"/>
  <c r="F26" i="11"/>
  <c r="D27" i="11"/>
  <c r="I27" i="11"/>
  <c r="E28" i="11"/>
  <c r="C77" i="4"/>
  <c r="K26" i="11"/>
  <c r="L25" i="11"/>
  <c r="B78" i="4" l="1"/>
  <c r="B29" i="11"/>
  <c r="J27" i="11"/>
  <c r="H27" i="11"/>
  <c r="F27" i="11"/>
  <c r="D28" i="11"/>
  <c r="E29" i="11"/>
  <c r="I28" i="11"/>
  <c r="C78" i="4"/>
  <c r="K27" i="11"/>
  <c r="L26" i="11"/>
  <c r="B79" i="4" l="1"/>
  <c r="B30" i="11"/>
  <c r="F28" i="11"/>
  <c r="D29" i="11"/>
  <c r="H28" i="11"/>
  <c r="J28" i="11"/>
  <c r="I29" i="11"/>
  <c r="E30" i="11"/>
  <c r="C79" i="4"/>
  <c r="K28" i="11"/>
  <c r="L27" i="11"/>
  <c r="B80" i="4" l="1"/>
  <c r="B31" i="11"/>
  <c r="F29" i="11"/>
  <c r="H29" i="11"/>
  <c r="D30" i="11"/>
  <c r="J29" i="11"/>
  <c r="I30" i="11"/>
  <c r="E31" i="11"/>
  <c r="C80" i="4"/>
  <c r="K29" i="11"/>
  <c r="L28" i="11"/>
  <c r="B81" i="4" l="1"/>
  <c r="B32" i="11"/>
  <c r="J30" i="11"/>
  <c r="D31" i="11"/>
  <c r="F30" i="11"/>
  <c r="H30" i="11"/>
  <c r="I31" i="11"/>
  <c r="E32" i="11"/>
  <c r="K30" i="11"/>
  <c r="L29" i="11"/>
  <c r="C81" i="4"/>
  <c r="B82" i="4" l="1"/>
  <c r="B33" i="11"/>
  <c r="F31" i="11"/>
  <c r="H31" i="11"/>
  <c r="J31" i="11"/>
  <c r="D32" i="11"/>
  <c r="E33" i="11"/>
  <c r="I32" i="11"/>
  <c r="C82" i="4"/>
  <c r="K31" i="11"/>
  <c r="L30" i="11"/>
  <c r="B83" i="4" l="1"/>
  <c r="B34" i="11"/>
  <c r="F32" i="11"/>
  <c r="D33" i="11"/>
  <c r="H32" i="11"/>
  <c r="J32" i="11"/>
  <c r="E34" i="11"/>
  <c r="I33" i="11"/>
  <c r="C83" i="4"/>
  <c r="K32" i="11"/>
  <c r="L31" i="11"/>
  <c r="B84" i="4" l="1"/>
  <c r="B35" i="11"/>
  <c r="D34" i="11"/>
  <c r="F33" i="11"/>
  <c r="H33" i="11"/>
  <c r="J33" i="11"/>
  <c r="E35" i="11"/>
  <c r="I34" i="11"/>
  <c r="C84" i="4"/>
  <c r="K33" i="11"/>
  <c r="L32" i="11"/>
  <c r="B85" i="4" l="1"/>
  <c r="B36" i="11"/>
  <c r="D35" i="11"/>
  <c r="F34" i="11"/>
  <c r="H34" i="11"/>
  <c r="J34" i="11"/>
  <c r="I35" i="11"/>
  <c r="E36" i="11"/>
  <c r="C85" i="4"/>
  <c r="K34" i="11"/>
  <c r="L33" i="11"/>
  <c r="B86" i="4" l="1"/>
  <c r="B37" i="11"/>
  <c r="J35" i="11"/>
  <c r="D36" i="11"/>
  <c r="F35" i="11"/>
  <c r="H35" i="11"/>
  <c r="E37" i="11"/>
  <c r="I36" i="11"/>
  <c r="C86" i="4"/>
  <c r="K35" i="11"/>
  <c r="L34" i="11"/>
  <c r="B87" i="4" l="1"/>
  <c r="B38" i="11"/>
  <c r="F36" i="11"/>
  <c r="D37" i="11"/>
  <c r="H36" i="11"/>
  <c r="J36" i="11"/>
  <c r="E38" i="11"/>
  <c r="I37" i="11"/>
  <c r="C87" i="4"/>
  <c r="K36" i="11"/>
  <c r="L35" i="11"/>
  <c r="B88" i="4" l="1"/>
  <c r="D38" i="11"/>
  <c r="H37" i="11"/>
  <c r="J37" i="11"/>
  <c r="F37" i="11"/>
  <c r="I38" i="11"/>
  <c r="K37" i="11"/>
  <c r="L36" i="11"/>
  <c r="C88" i="4"/>
  <c r="B89" i="4" l="1"/>
  <c r="F38" i="11"/>
  <c r="H38" i="11"/>
  <c r="J38" i="11"/>
  <c r="D6" i="6"/>
  <c r="H2" i="9"/>
  <c r="K2" i="11"/>
  <c r="C89" i="4"/>
  <c r="K38" i="11"/>
  <c r="L37" i="11"/>
  <c r="B1" i="6"/>
  <c r="B90" i="4" l="1"/>
  <c r="D7" i="6"/>
  <c r="D8" i="6"/>
  <c r="D9" i="6"/>
  <c r="D16" i="6"/>
  <c r="D20" i="6"/>
  <c r="E20" i="6"/>
  <c r="L38" i="11"/>
  <c r="C90" i="4"/>
  <c r="D21" i="6"/>
  <c r="I2" i="9"/>
  <c r="L2" i="11"/>
  <c r="E21" i="6" l="1"/>
  <c r="D39" i="4"/>
  <c r="C38" i="4"/>
  <c r="E90" i="4"/>
  <c r="D26" i="4"/>
  <c r="J61" i="4"/>
  <c r="E22" i="4"/>
  <c r="E65" i="4"/>
  <c r="I67" i="4"/>
  <c r="J85" i="4"/>
  <c r="C34" i="4"/>
  <c r="I38" i="4"/>
  <c r="C9" i="4"/>
  <c r="I88" i="4"/>
  <c r="C37" i="4"/>
  <c r="J37" i="4"/>
  <c r="E33" i="4"/>
  <c r="D56" i="4"/>
  <c r="D53" i="4"/>
  <c r="E34" i="4"/>
  <c r="C39" i="4"/>
  <c r="J44" i="4"/>
  <c r="E68" i="4"/>
  <c r="J3" i="4"/>
  <c r="I79" i="4"/>
  <c r="C18" i="4"/>
  <c r="C13" i="4"/>
  <c r="D70" i="4"/>
  <c r="J71" i="4"/>
  <c r="I2" i="4"/>
  <c r="D52" i="4"/>
  <c r="C29" i="4"/>
  <c r="I48" i="4"/>
  <c r="D85" i="4"/>
  <c r="E67" i="4"/>
  <c r="I85" i="4"/>
  <c r="I69" i="4"/>
  <c r="E69" i="4"/>
  <c r="I41" i="4"/>
  <c r="I86" i="4"/>
  <c r="J36" i="4"/>
  <c r="I9" i="4"/>
  <c r="C42" i="4"/>
  <c r="E75" i="4"/>
  <c r="J28" i="4"/>
  <c r="I10" i="4"/>
  <c r="J69" i="4"/>
  <c r="I29" i="4"/>
  <c r="I72" i="4"/>
  <c r="D46" i="4"/>
  <c r="D25" i="4"/>
  <c r="E71" i="4"/>
  <c r="C53" i="4"/>
  <c r="I56" i="4"/>
  <c r="I18" i="4"/>
  <c r="C50" i="4"/>
  <c r="I83" i="4"/>
  <c r="I90" i="4"/>
  <c r="E78" i="4"/>
  <c r="I32" i="4"/>
  <c r="E18" i="4"/>
  <c r="J2" i="4"/>
  <c r="I11" i="4"/>
  <c r="E35" i="4"/>
  <c r="J72" i="4"/>
  <c r="J5" i="4"/>
  <c r="I19" i="4"/>
  <c r="C25" i="4"/>
  <c r="E47" i="4"/>
  <c r="I65" i="4"/>
  <c r="C22" i="4"/>
  <c r="D84" i="4"/>
  <c r="I43" i="4"/>
  <c r="D47" i="4"/>
  <c r="J58" i="4"/>
  <c r="I22" i="4"/>
  <c r="D12" i="4"/>
  <c r="J41" i="4"/>
  <c r="I25" i="4"/>
  <c r="D59" i="4"/>
  <c r="E51" i="4"/>
  <c r="J39" i="4"/>
  <c r="D14" i="4"/>
  <c r="I64" i="4"/>
  <c r="D29" i="4"/>
  <c r="D49" i="4"/>
  <c r="I39" i="4"/>
  <c r="E56" i="4"/>
  <c r="I55" i="4"/>
  <c r="D65" i="4"/>
  <c r="E60" i="4"/>
  <c r="D72" i="4"/>
  <c r="C49" i="4"/>
  <c r="D61" i="4"/>
  <c r="D81" i="4"/>
  <c r="D82" i="4"/>
  <c r="D35" i="4"/>
  <c r="J76" i="4"/>
  <c r="I68" i="4"/>
  <c r="J11" i="4"/>
  <c r="E62" i="4"/>
  <c r="I35" i="4"/>
  <c r="I21" i="4"/>
  <c r="C44" i="4"/>
  <c r="D76" i="4"/>
  <c r="D44" i="4"/>
  <c r="J50" i="4"/>
  <c r="J54" i="4"/>
  <c r="C19" i="4"/>
  <c r="E44" i="4"/>
  <c r="J33" i="4"/>
  <c r="J56" i="4"/>
  <c r="E32" i="4"/>
  <c r="J67" i="4"/>
  <c r="I71" i="4"/>
  <c r="I8" i="4"/>
  <c r="D88" i="4"/>
  <c r="E41" i="4"/>
  <c r="E27" i="4"/>
  <c r="E53" i="4"/>
  <c r="J16" i="4"/>
  <c r="D17" i="4"/>
  <c r="D67" i="4"/>
  <c r="E40" i="4"/>
  <c r="E72" i="4"/>
  <c r="J46" i="4"/>
  <c r="I63" i="4"/>
  <c r="I77" i="4"/>
  <c r="J42" i="4"/>
  <c r="J25" i="4"/>
  <c r="E61" i="4"/>
  <c r="C27" i="4"/>
  <c r="D27" i="4"/>
  <c r="J89" i="4"/>
  <c r="E63" i="4"/>
  <c r="J84" i="4"/>
  <c r="C20" i="4"/>
  <c r="J23" i="4"/>
  <c r="E20" i="4"/>
  <c r="D37" i="4"/>
  <c r="D55" i="4"/>
  <c r="J35" i="4"/>
  <c r="J62" i="4"/>
  <c r="D9" i="4"/>
  <c r="I66" i="4"/>
  <c r="D79" i="4"/>
  <c r="I40" i="4"/>
  <c r="J75" i="4"/>
  <c r="E46" i="4"/>
  <c r="I60" i="4"/>
  <c r="J17" i="4"/>
  <c r="E83" i="4"/>
  <c r="J4" i="4"/>
  <c r="C41" i="4"/>
  <c r="E28" i="4"/>
  <c r="E48" i="4"/>
  <c r="J48" i="4"/>
  <c r="J73" i="4"/>
  <c r="I75" i="4"/>
  <c r="D15" i="4"/>
  <c r="D2" i="5" a="1"/>
  <c r="D77" i="4"/>
  <c r="E45" i="4"/>
  <c r="C14" i="4"/>
  <c r="J10" i="4"/>
  <c r="C10" i="4"/>
  <c r="C35" i="4"/>
  <c r="J30" i="4"/>
  <c r="E29" i="4"/>
  <c r="E39" i="4"/>
  <c r="E64" i="4"/>
  <c r="I24" i="4"/>
  <c r="D18" i="4"/>
  <c r="E79" i="4"/>
  <c r="C55" i="4"/>
  <c r="D87" i="4"/>
  <c r="E58" i="4"/>
  <c r="I53" i="4"/>
  <c r="C17" i="4"/>
  <c r="I14" i="4"/>
  <c r="J60" i="4"/>
  <c r="J40" i="4"/>
  <c r="C47" i="4"/>
  <c r="D58" i="4"/>
  <c r="E80" i="4"/>
  <c r="J43" i="4"/>
  <c r="J87" i="4"/>
  <c r="D63" i="4"/>
  <c r="J65" i="4"/>
  <c r="D2" i="4"/>
  <c r="E42" i="4"/>
  <c r="E36" i="4"/>
  <c r="E70" i="4"/>
  <c r="J27" i="4"/>
  <c r="I82" i="4"/>
  <c r="D31" i="4"/>
  <c r="I87" i="4"/>
  <c r="I50" i="4"/>
  <c r="E38" i="4"/>
  <c r="I6" i="4"/>
  <c r="E81" i="4"/>
  <c r="D22" i="4"/>
  <c r="I49" i="4"/>
  <c r="E77" i="4"/>
  <c r="J26" i="4"/>
  <c r="E17" i="4"/>
  <c r="E37" i="4"/>
  <c r="C48" i="4"/>
  <c r="E74" i="4"/>
  <c r="I73" i="4"/>
  <c r="D32" i="4"/>
  <c r="I74" i="4"/>
  <c r="J22" i="4"/>
  <c r="I13" i="4"/>
  <c r="C26" i="4"/>
  <c r="C30" i="4"/>
  <c r="E89" i="4"/>
  <c r="C51" i="4"/>
  <c r="D68" i="4"/>
  <c r="J19" i="4"/>
  <c r="I36" i="4"/>
  <c r="D36" i="4"/>
  <c r="E49" i="4"/>
  <c r="C28" i="4"/>
  <c r="E84" i="4"/>
  <c r="J21" i="4"/>
  <c r="I26" i="4"/>
  <c r="E57" i="4"/>
  <c r="J20" i="4"/>
  <c r="I31" i="4"/>
  <c r="J14" i="4"/>
  <c r="I12" i="4"/>
  <c r="E19" i="4"/>
  <c r="I81" i="4"/>
  <c r="I28" i="4"/>
  <c r="D41" i="4"/>
  <c r="I52" i="4"/>
  <c r="D51" i="4"/>
  <c r="J78" i="4"/>
  <c r="E66" i="4"/>
  <c r="J53" i="4"/>
  <c r="I78" i="4"/>
  <c r="J52" i="4"/>
  <c r="I44" i="4"/>
  <c r="E54" i="4"/>
  <c r="I62" i="4"/>
  <c r="I33" i="4"/>
  <c r="D40" i="4"/>
  <c r="J59" i="4"/>
  <c r="D48" i="4"/>
  <c r="D89" i="4"/>
  <c r="E21" i="4"/>
  <c r="J90" i="4"/>
  <c r="E43" i="4"/>
  <c r="I89" i="4"/>
  <c r="J86" i="4"/>
  <c r="I5" i="4"/>
  <c r="C33" i="4"/>
  <c r="E87" i="4"/>
  <c r="I58" i="4"/>
  <c r="E82" i="4"/>
  <c r="C23" i="4"/>
  <c r="E86" i="4"/>
  <c r="D71" i="4"/>
  <c r="D57" i="4"/>
  <c r="I3" i="4"/>
  <c r="D20" i="4"/>
  <c r="I30" i="4"/>
  <c r="J15" i="4"/>
  <c r="E55" i="4"/>
  <c r="I61" i="4"/>
  <c r="J18" i="4"/>
  <c r="C46" i="4"/>
  <c r="C45" i="4"/>
  <c r="D73" i="4"/>
  <c r="I84" i="4"/>
  <c r="I80" i="4"/>
  <c r="I47" i="4"/>
  <c r="E76" i="4"/>
  <c r="E23" i="4"/>
  <c r="E16" i="4"/>
  <c r="J8" i="4"/>
  <c r="J64" i="4"/>
  <c r="J51" i="4"/>
  <c r="C15" i="4"/>
  <c r="D80" i="4"/>
  <c r="J12" i="4"/>
  <c r="E73" i="4"/>
  <c r="I23" i="4"/>
  <c r="D42" i="4"/>
  <c r="D75" i="4"/>
  <c r="C11" i="4"/>
  <c r="D50" i="4"/>
  <c r="J32" i="4"/>
  <c r="E52" i="4"/>
  <c r="E26" i="4"/>
  <c r="J45" i="4"/>
  <c r="D33" i="4"/>
  <c r="J6" i="4"/>
  <c r="J24" i="4"/>
  <c r="D45" i="4"/>
  <c r="J47" i="4"/>
  <c r="D66" i="4"/>
  <c r="E59" i="4"/>
  <c r="D78" i="4"/>
  <c r="C56" i="4"/>
  <c r="D13" i="4"/>
  <c r="J49" i="4"/>
  <c r="E50" i="4"/>
  <c r="J81" i="4"/>
  <c r="D74" i="4"/>
  <c r="D34" i="4"/>
  <c r="D11" i="4"/>
  <c r="E25" i="4"/>
  <c r="D38" i="4"/>
  <c r="D23" i="4"/>
  <c r="I27" i="4"/>
  <c r="C40" i="4"/>
  <c r="I34" i="4"/>
  <c r="J80" i="4"/>
  <c r="E31" i="4"/>
  <c r="J77" i="4"/>
  <c r="J68" i="4"/>
  <c r="J38" i="4"/>
  <c r="I70" i="4"/>
  <c r="J63" i="4"/>
  <c r="J66" i="4"/>
  <c r="J88" i="4"/>
  <c r="I17" i="4"/>
  <c r="I59" i="4"/>
  <c r="D86" i="4"/>
  <c r="D64" i="4"/>
  <c r="D10" i="4"/>
  <c r="D60" i="4"/>
  <c r="C24" i="4"/>
  <c r="I76" i="4"/>
  <c r="I37" i="4"/>
  <c r="I16" i="4"/>
  <c r="D69" i="4"/>
  <c r="D16" i="4"/>
  <c r="J34" i="4"/>
  <c r="J70" i="4"/>
  <c r="E88" i="4"/>
  <c r="I54" i="4"/>
  <c r="C36" i="4"/>
  <c r="D83" i="4"/>
  <c r="I4" i="4"/>
  <c r="I42" i="4"/>
  <c r="D24" i="4"/>
  <c r="D21" i="4"/>
  <c r="E85" i="4"/>
  <c r="D30" i="4"/>
  <c r="J83" i="4"/>
  <c r="C31" i="4"/>
  <c r="E30" i="4"/>
  <c r="J74" i="4"/>
  <c r="C16" i="4"/>
  <c r="D62" i="4"/>
  <c r="I15" i="4"/>
  <c r="J9" i="4"/>
  <c r="I46" i="4"/>
  <c r="I51" i="4"/>
  <c r="D43" i="4"/>
  <c r="E24" i="4"/>
  <c r="J31" i="4"/>
  <c r="I45" i="4"/>
  <c r="J57" i="4"/>
  <c r="J79" i="4"/>
  <c r="J55" i="4"/>
  <c r="C32" i="4"/>
  <c r="C54" i="4"/>
  <c r="J29" i="4"/>
  <c r="D28" i="4"/>
  <c r="C43" i="4"/>
  <c r="D54" i="4"/>
  <c r="D90" i="4"/>
  <c r="C21" i="4"/>
  <c r="J82" i="4"/>
  <c r="E15" i="4"/>
  <c r="I20" i="4"/>
  <c r="J13" i="4"/>
  <c r="I57" i="4"/>
  <c r="D19" i="4"/>
  <c r="C52" i="4"/>
  <c r="C12" i="4"/>
  <c r="D5" i="5" l="1"/>
  <c r="D8" i="5"/>
  <c r="D16" i="5"/>
  <c r="D2" i="5"/>
  <c r="D13" i="5"/>
  <c r="D21" i="5"/>
  <c r="D10" i="5"/>
  <c r="D18" i="5"/>
  <c r="D26" i="5"/>
  <c r="D34" i="5"/>
  <c r="D42" i="5"/>
  <c r="D50" i="5"/>
  <c r="D58" i="5"/>
  <c r="D66" i="5"/>
  <c r="D74" i="5"/>
  <c r="D82" i="5"/>
  <c r="D90" i="5"/>
  <c r="D98" i="5"/>
  <c r="D106" i="5"/>
  <c r="D114" i="5"/>
  <c r="D122" i="5"/>
  <c r="D4" i="5"/>
  <c r="D7" i="5"/>
  <c r="D15" i="5"/>
  <c r="D23" i="5"/>
  <c r="D31" i="5"/>
  <c r="D39" i="5"/>
  <c r="D47" i="5"/>
  <c r="D55" i="5"/>
  <c r="D63" i="5"/>
  <c r="D71" i="5"/>
  <c r="D79" i="5"/>
  <c r="D87" i="5"/>
  <c r="D95" i="5"/>
  <c r="D103" i="5"/>
  <c r="D111" i="5"/>
  <c r="D119" i="5"/>
  <c r="D12" i="5"/>
  <c r="D20" i="5"/>
  <c r="D19" i="5"/>
  <c r="D33" i="5"/>
  <c r="D35" i="5"/>
  <c r="D37" i="5"/>
  <c r="D65" i="5"/>
  <c r="D67" i="5"/>
  <c r="D69" i="5"/>
  <c r="D97" i="5"/>
  <c r="D99" i="5"/>
  <c r="D101" i="5"/>
  <c r="D96" i="5"/>
  <c r="D73" i="5"/>
  <c r="D77" i="5"/>
  <c r="D107" i="5"/>
  <c r="D52" i="5"/>
  <c r="D54" i="5"/>
  <c r="D3" i="5"/>
  <c r="D11" i="5"/>
  <c r="D44" i="5"/>
  <c r="D46" i="5"/>
  <c r="D48" i="5"/>
  <c r="D76" i="5"/>
  <c r="D78" i="5"/>
  <c r="D80" i="5"/>
  <c r="D108" i="5"/>
  <c r="D110" i="5"/>
  <c r="D112" i="5"/>
  <c r="D109" i="5"/>
  <c r="D56" i="5"/>
  <c r="D29" i="5"/>
  <c r="D57" i="5"/>
  <c r="D59" i="5"/>
  <c r="D61" i="5"/>
  <c r="D89" i="5"/>
  <c r="D91" i="5"/>
  <c r="D93" i="5"/>
  <c r="D121" i="5"/>
  <c r="D123" i="5"/>
  <c r="D125" i="5"/>
  <c r="D126" i="5"/>
  <c r="D17" i="5"/>
  <c r="D27" i="5"/>
  <c r="D36" i="5"/>
  <c r="D38" i="5"/>
  <c r="D40" i="5"/>
  <c r="D68" i="5"/>
  <c r="D70" i="5"/>
  <c r="D72" i="5"/>
  <c r="D100" i="5"/>
  <c r="D102" i="5"/>
  <c r="D104" i="5"/>
  <c r="D9" i="5"/>
  <c r="D24" i="5"/>
  <c r="D49" i="5"/>
  <c r="D51" i="5"/>
  <c r="D53" i="5"/>
  <c r="D81" i="5"/>
  <c r="D83" i="5"/>
  <c r="D85" i="5"/>
  <c r="D113" i="5"/>
  <c r="D115" i="5"/>
  <c r="D117" i="5"/>
  <c r="D25" i="5"/>
  <c r="D28" i="5"/>
  <c r="D30" i="5"/>
  <c r="D32" i="5"/>
  <c r="D60" i="5"/>
  <c r="D62" i="5"/>
  <c r="D64" i="5"/>
  <c r="D92" i="5"/>
  <c r="D94" i="5"/>
  <c r="D124" i="5"/>
  <c r="D14" i="5"/>
  <c r="D22" i="5"/>
  <c r="D41" i="5"/>
  <c r="D43" i="5"/>
  <c r="D45" i="5"/>
  <c r="D75" i="5"/>
  <c r="D105" i="5"/>
  <c r="D6" i="5"/>
  <c r="D88" i="5"/>
  <c r="D116" i="5"/>
  <c r="D84" i="5"/>
  <c r="D118" i="5"/>
  <c r="D86" i="5"/>
  <c r="D120" i="5"/>
  <c r="G33" i="5"/>
  <c r="M54" i="4"/>
  <c r="E26" i="5"/>
  <c r="E66" i="5"/>
  <c r="H47" i="5"/>
  <c r="E23" i="5"/>
  <c r="E100" i="5"/>
  <c r="F54" i="5"/>
  <c r="E15" i="5"/>
  <c r="M41" i="4"/>
  <c r="G76" i="5"/>
  <c r="E80" i="5"/>
  <c r="H15" i="5"/>
  <c r="H42" i="5"/>
  <c r="F56" i="5"/>
  <c r="E61" i="5"/>
  <c r="G69" i="5"/>
  <c r="G27" i="5"/>
  <c r="I111" i="5"/>
  <c r="E77" i="5"/>
  <c r="E125" i="5"/>
  <c r="F125" i="5"/>
  <c r="F45" i="5"/>
  <c r="F79" i="5"/>
  <c r="F19" i="5"/>
  <c r="H83" i="5"/>
  <c r="G65" i="5"/>
  <c r="H25" i="5"/>
  <c r="F68" i="5"/>
  <c r="E54" i="5"/>
  <c r="F71" i="5"/>
  <c r="N43" i="4"/>
  <c r="H101" i="5"/>
  <c r="E65" i="5"/>
  <c r="E8" i="5"/>
  <c r="G31" i="5"/>
  <c r="H55" i="5"/>
  <c r="G100" i="5"/>
  <c r="G115" i="5"/>
  <c r="I90" i="5"/>
  <c r="G111" i="5"/>
  <c r="E18" i="5"/>
  <c r="M25" i="4"/>
  <c r="F59" i="5"/>
  <c r="H74" i="5"/>
  <c r="I53" i="5"/>
  <c r="H75" i="5"/>
  <c r="H12" i="5"/>
  <c r="I116" i="5"/>
  <c r="E74" i="5"/>
  <c r="E115" i="5"/>
  <c r="E38" i="5"/>
  <c r="H18" i="5"/>
  <c r="I107" i="5"/>
  <c r="N16" i="4"/>
  <c r="H20" i="5"/>
  <c r="E33" i="5"/>
  <c r="H28" i="5"/>
  <c r="I41" i="5"/>
  <c r="E79" i="5"/>
  <c r="E82" i="5"/>
  <c r="F106" i="5"/>
  <c r="G84" i="5"/>
  <c r="F15" i="5"/>
  <c r="H32" i="5"/>
  <c r="I32" i="5"/>
  <c r="F63" i="5"/>
  <c r="N38" i="4"/>
  <c r="I40" i="5"/>
  <c r="M56" i="4"/>
  <c r="G9" i="5"/>
  <c r="I50" i="5"/>
  <c r="H24" i="5"/>
  <c r="H70" i="5"/>
  <c r="G97" i="5"/>
  <c r="I69" i="5"/>
  <c r="F23" i="5"/>
  <c r="I44" i="5"/>
  <c r="I58" i="5"/>
  <c r="M33" i="4"/>
  <c r="I22" i="5"/>
  <c r="F30" i="5"/>
  <c r="F121" i="5"/>
  <c r="I87" i="5"/>
  <c r="G19" i="5"/>
  <c r="G96" i="5"/>
  <c r="G20" i="5"/>
  <c r="H81" i="5"/>
  <c r="M53" i="4"/>
  <c r="I100" i="5"/>
  <c r="E110" i="5"/>
  <c r="H59" i="5"/>
  <c r="N52" i="4"/>
  <c r="H102" i="5"/>
  <c r="H90" i="5"/>
  <c r="I16" i="5"/>
  <c r="N49" i="4"/>
  <c r="F102" i="5"/>
  <c r="M36" i="4"/>
  <c r="N19" i="4"/>
  <c r="M18" i="4"/>
  <c r="F3" i="5"/>
  <c r="H6" i="5"/>
  <c r="I65" i="5"/>
  <c r="F52" i="5"/>
  <c r="G44" i="5"/>
  <c r="I91" i="5"/>
  <c r="I84" i="5"/>
  <c r="F43" i="5"/>
  <c r="F82" i="5"/>
  <c r="N53" i="4"/>
  <c r="G54" i="5"/>
  <c r="M52" i="4"/>
  <c r="H44" i="5"/>
  <c r="N17" i="4"/>
  <c r="G66" i="5"/>
  <c r="F80" i="5"/>
  <c r="E28" i="5"/>
  <c r="I70" i="5"/>
  <c r="H79" i="5"/>
  <c r="G90" i="5"/>
  <c r="I8" i="5"/>
  <c r="G107" i="5"/>
  <c r="G43" i="5"/>
  <c r="M16" i="4"/>
  <c r="M55" i="4"/>
  <c r="H16" i="5"/>
  <c r="E104" i="5"/>
  <c r="F67" i="5"/>
  <c r="E39" i="5"/>
  <c r="M28" i="4"/>
  <c r="H118" i="5"/>
  <c r="F86" i="5"/>
  <c r="F6" i="5"/>
  <c r="H21" i="5"/>
  <c r="H113" i="5"/>
  <c r="E2" i="5"/>
  <c r="N15" i="4"/>
  <c r="E25" i="5"/>
  <c r="E88" i="5"/>
  <c r="H119" i="5"/>
  <c r="H116" i="5"/>
  <c r="H49" i="5"/>
  <c r="F110" i="5"/>
  <c r="F31" i="5"/>
  <c r="G101" i="5"/>
  <c r="H40" i="5"/>
  <c r="M19" i="4"/>
  <c r="I109" i="5"/>
  <c r="N45" i="4"/>
  <c r="E4" i="5"/>
  <c r="G80" i="5"/>
  <c r="I31" i="5"/>
  <c r="F53" i="5"/>
  <c r="G5" i="5"/>
  <c r="E112" i="5"/>
  <c r="H99" i="5"/>
  <c r="I25" i="5"/>
  <c r="G75" i="5"/>
  <c r="I56" i="5"/>
  <c r="H30" i="5"/>
  <c r="E85" i="5"/>
  <c r="G86" i="5"/>
  <c r="G81" i="5"/>
  <c r="G64" i="5"/>
  <c r="I76" i="5"/>
  <c r="F90" i="5"/>
  <c r="I93" i="5"/>
  <c r="G74" i="5"/>
  <c r="E41" i="5"/>
  <c r="G6" i="5"/>
  <c r="E45" i="5"/>
  <c r="M23" i="4"/>
  <c r="H78" i="5"/>
  <c r="G52" i="5"/>
  <c r="F36" i="5"/>
  <c r="N39" i="4"/>
  <c r="N54" i="4"/>
  <c r="F21" i="5"/>
  <c r="F95" i="5"/>
  <c r="G45" i="5"/>
  <c r="E50" i="5"/>
  <c r="F66" i="5"/>
  <c r="M30" i="4"/>
  <c r="H57" i="5"/>
  <c r="E86" i="5"/>
  <c r="N42" i="4"/>
  <c r="G106" i="5"/>
  <c r="E78" i="5"/>
  <c r="I86" i="5"/>
  <c r="H92" i="5"/>
  <c r="F78" i="5"/>
  <c r="E105" i="5"/>
  <c r="M27" i="4"/>
  <c r="G125" i="5"/>
  <c r="M22" i="4"/>
  <c r="F60" i="5"/>
  <c r="G32" i="5"/>
  <c r="I4" i="5"/>
  <c r="I98" i="5"/>
  <c r="G124" i="5"/>
  <c r="E20" i="5"/>
  <c r="F85" i="5"/>
  <c r="N46" i="4"/>
  <c r="G77" i="5"/>
  <c r="F108" i="5"/>
  <c r="N26" i="4"/>
  <c r="E69" i="5"/>
  <c r="H108" i="5"/>
  <c r="E32" i="5"/>
  <c r="E70" i="5"/>
  <c r="M42" i="4"/>
  <c r="F101" i="5"/>
  <c r="G58" i="5"/>
  <c r="I13" i="5"/>
  <c r="I6" i="5"/>
  <c r="G17" i="5"/>
  <c r="E67" i="5"/>
  <c r="N34" i="4"/>
  <c r="I10" i="5"/>
  <c r="G112" i="5"/>
  <c r="G78" i="5"/>
  <c r="F116" i="5"/>
  <c r="H91" i="5"/>
  <c r="F33" i="5"/>
  <c r="I96" i="5"/>
  <c r="I77" i="5"/>
  <c r="E48" i="5"/>
  <c r="F115" i="5"/>
  <c r="H3" i="5"/>
  <c r="G22" i="5"/>
  <c r="E21" i="5"/>
  <c r="H61" i="5"/>
  <c r="G41" i="5"/>
  <c r="M39" i="4"/>
  <c r="H7" i="5"/>
  <c r="N24" i="4"/>
  <c r="G93" i="5"/>
  <c r="M29" i="4"/>
  <c r="I37" i="5"/>
  <c r="G62" i="5"/>
  <c r="I126" i="5"/>
  <c r="E96" i="5"/>
  <c r="I15" i="5"/>
  <c r="E7" i="5"/>
  <c r="I108" i="5"/>
  <c r="F50" i="5"/>
  <c r="I88" i="5"/>
  <c r="E46" i="5"/>
  <c r="G105" i="5"/>
  <c r="I89" i="5"/>
  <c r="G23" i="5"/>
  <c r="F24" i="5"/>
  <c r="H65" i="5"/>
  <c r="F118" i="5"/>
  <c r="E102" i="5"/>
  <c r="F73" i="5"/>
  <c r="F88" i="5"/>
  <c r="E63" i="5"/>
  <c r="E68" i="5"/>
  <c r="F25" i="5"/>
  <c r="H121" i="5"/>
  <c r="H115" i="5"/>
  <c r="I49" i="5"/>
  <c r="M51" i="4"/>
  <c r="F120" i="5"/>
  <c r="G2" i="5"/>
  <c r="H50" i="5"/>
  <c r="I114" i="5"/>
  <c r="G79" i="5"/>
  <c r="M48" i="4"/>
  <c r="E14" i="5"/>
  <c r="G95" i="5"/>
  <c r="E93" i="5"/>
  <c r="G89" i="5"/>
  <c r="H22" i="5"/>
  <c r="F123" i="5"/>
  <c r="M38" i="4"/>
  <c r="F77" i="5"/>
  <c r="H56" i="5"/>
  <c r="F55" i="5"/>
  <c r="H8" i="5"/>
  <c r="H85" i="5"/>
  <c r="N33" i="4"/>
  <c r="H86" i="5"/>
  <c r="G110" i="5"/>
  <c r="E113" i="5"/>
  <c r="E6" i="5"/>
  <c r="I66" i="5"/>
  <c r="I57" i="5"/>
  <c r="H89" i="5"/>
  <c r="F94" i="5"/>
  <c r="F119" i="5"/>
  <c r="H60" i="5"/>
  <c r="G88" i="5"/>
  <c r="I73" i="5"/>
  <c r="H111" i="5"/>
  <c r="G29" i="5"/>
  <c r="E12" i="5"/>
  <c r="I101" i="5"/>
  <c r="M26" i="4"/>
  <c r="G39" i="5"/>
  <c r="F28" i="5"/>
  <c r="I47" i="5"/>
  <c r="H71" i="5"/>
  <c r="E98" i="5"/>
  <c r="E51" i="5"/>
  <c r="F34" i="5"/>
  <c r="G126" i="5"/>
  <c r="E90" i="5"/>
  <c r="G85" i="5"/>
  <c r="E42" i="5"/>
  <c r="F27" i="5"/>
  <c r="H13" i="5"/>
  <c r="E24" i="5"/>
  <c r="F111" i="5"/>
  <c r="I30" i="5"/>
  <c r="F13" i="5"/>
  <c r="G118" i="5"/>
  <c r="H19" i="5"/>
  <c r="H114" i="5"/>
  <c r="M20" i="4"/>
  <c r="I85" i="5"/>
  <c r="N47" i="4"/>
  <c r="N31" i="4"/>
  <c r="E121" i="5"/>
  <c r="I71" i="5"/>
  <c r="I54" i="5"/>
  <c r="F61" i="5"/>
  <c r="F44" i="5"/>
  <c r="F2" i="5"/>
  <c r="E64" i="5"/>
  <c r="F75" i="5"/>
  <c r="F10" i="5"/>
  <c r="H9" i="5"/>
  <c r="E83" i="5"/>
  <c r="G109" i="5"/>
  <c r="H64" i="5"/>
  <c r="F51" i="5"/>
  <c r="H11" i="5"/>
  <c r="F97" i="5"/>
  <c r="G102" i="5"/>
  <c r="G4" i="5"/>
  <c r="E94" i="5"/>
  <c r="M43" i="4"/>
  <c r="H80" i="5"/>
  <c r="I36" i="5"/>
  <c r="F74" i="5"/>
  <c r="E10" i="5"/>
  <c r="F49" i="5"/>
  <c r="D14" i="6"/>
  <c r="H107" i="5"/>
  <c r="M21" i="4"/>
  <c r="F76" i="5"/>
  <c r="I45" i="5"/>
  <c r="H72" i="5"/>
  <c r="M37" i="4"/>
  <c r="G67" i="5"/>
  <c r="N41" i="4"/>
  <c r="I3" i="5"/>
  <c r="F37" i="5"/>
  <c r="F91" i="5"/>
  <c r="G92" i="5"/>
  <c r="H14" i="5"/>
  <c r="H2" i="5"/>
  <c r="H36" i="5"/>
  <c r="I48" i="5"/>
  <c r="F40" i="5"/>
  <c r="G8" i="5"/>
  <c r="G71" i="5"/>
  <c r="H66" i="5"/>
  <c r="G25" i="5"/>
  <c r="E34" i="5"/>
  <c r="G21" i="5"/>
  <c r="I103" i="5"/>
  <c r="E101" i="5"/>
  <c r="I2" i="5"/>
  <c r="M44" i="4"/>
  <c r="E73" i="5"/>
  <c r="E58" i="5"/>
  <c r="H84" i="5"/>
  <c r="F84" i="5"/>
  <c r="F81" i="5"/>
  <c r="M32" i="4"/>
  <c r="F70" i="5"/>
  <c r="H29" i="5"/>
  <c r="F62" i="5"/>
  <c r="F117" i="5"/>
  <c r="G28" i="5"/>
  <c r="G60" i="5"/>
  <c r="I38" i="5"/>
  <c r="F100" i="5"/>
  <c r="H126" i="5"/>
  <c r="F38" i="5"/>
  <c r="G10" i="5"/>
  <c r="H69" i="5"/>
  <c r="N30" i="4"/>
  <c r="H51" i="5"/>
  <c r="G114" i="5"/>
  <c r="F17" i="5"/>
  <c r="I63" i="5"/>
  <c r="G113" i="5"/>
  <c r="H76" i="5"/>
  <c r="I78" i="5"/>
  <c r="G68" i="5"/>
  <c r="G103" i="5"/>
  <c r="F114" i="5"/>
  <c r="G72" i="5"/>
  <c r="I35" i="5"/>
  <c r="N22" i="4"/>
  <c r="F42" i="5"/>
  <c r="I61" i="5"/>
  <c r="H123" i="5"/>
  <c r="M19" i="12" a="1"/>
  <c r="I80" i="5"/>
  <c r="H33" i="5"/>
  <c r="E91" i="5"/>
  <c r="I20" i="5"/>
  <c r="G12" i="5"/>
  <c r="G108" i="5"/>
  <c r="H109" i="5"/>
  <c r="G50" i="5"/>
  <c r="F35" i="5"/>
  <c r="I14" i="5"/>
  <c r="N21" i="4"/>
  <c r="N28" i="4"/>
  <c r="G46" i="5"/>
  <c r="E11" i="5"/>
  <c r="H104" i="5"/>
  <c r="H110" i="5"/>
  <c r="G83" i="5"/>
  <c r="H124" i="5"/>
  <c r="E37" i="5"/>
  <c r="H77" i="5"/>
  <c r="F16" i="5"/>
  <c r="I123" i="5"/>
  <c r="E30" i="5"/>
  <c r="I104" i="5"/>
  <c r="E3" i="5"/>
  <c r="H120" i="5"/>
  <c r="F99" i="5"/>
  <c r="G40" i="5"/>
  <c r="I55" i="5"/>
  <c r="E57" i="5"/>
  <c r="H45" i="5"/>
  <c r="E75" i="5"/>
  <c r="I74" i="5"/>
  <c r="N55" i="4"/>
  <c r="G14" i="5"/>
  <c r="F122" i="5"/>
  <c r="M35" i="4"/>
  <c r="E87" i="5"/>
  <c r="F48" i="5"/>
  <c r="F92" i="5"/>
  <c r="I115" i="5"/>
  <c r="F65" i="5"/>
  <c r="H38" i="5"/>
  <c r="I39" i="5"/>
  <c r="H112" i="5"/>
  <c r="E116" i="5"/>
  <c r="I121" i="5"/>
  <c r="E47" i="5"/>
  <c r="G87" i="5"/>
  <c r="E76" i="5"/>
  <c r="E5" i="5"/>
  <c r="I17" i="5"/>
  <c r="I83" i="5"/>
  <c r="E60" i="5"/>
  <c r="E29" i="5"/>
  <c r="H17" i="5"/>
  <c r="G116" i="5"/>
  <c r="N56" i="4"/>
  <c r="H5" i="5"/>
  <c r="I5" i="5"/>
  <c r="G16" i="5"/>
  <c r="F104" i="5"/>
  <c r="N37" i="4"/>
  <c r="E111" i="5"/>
  <c r="G47" i="5"/>
  <c r="M49" i="4"/>
  <c r="G59" i="5"/>
  <c r="I102" i="5"/>
  <c r="H106" i="5"/>
  <c r="N20" i="4"/>
  <c r="G70" i="5"/>
  <c r="E31" i="5"/>
  <c r="I52" i="5"/>
  <c r="M45" i="4"/>
  <c r="E103" i="5"/>
  <c r="N48" i="4"/>
  <c r="E109" i="5"/>
  <c r="I125" i="5"/>
  <c r="I82" i="5"/>
  <c r="N32" i="4"/>
  <c r="I81" i="5"/>
  <c r="E106" i="5"/>
  <c r="M50" i="4"/>
  <c r="M40" i="4"/>
  <c r="F18" i="5"/>
  <c r="H93" i="5"/>
  <c r="E71" i="5"/>
  <c r="E9" i="5"/>
  <c r="E118" i="5"/>
  <c r="F96" i="5"/>
  <c r="F4" i="5"/>
  <c r="I62" i="5"/>
  <c r="G117" i="5"/>
  <c r="E36" i="5"/>
  <c r="G37" i="5"/>
  <c r="I97" i="5"/>
  <c r="E126" i="5"/>
  <c r="F22" i="5"/>
  <c r="I26" i="5"/>
  <c r="G35" i="5"/>
  <c r="H4" i="5"/>
  <c r="F64" i="5"/>
  <c r="H63" i="5"/>
  <c r="H67" i="5"/>
  <c r="G73" i="5"/>
  <c r="I7" i="5"/>
  <c r="F8" i="5"/>
  <c r="E44" i="5"/>
  <c r="G104" i="5"/>
  <c r="I18" i="5"/>
  <c r="I99" i="5"/>
  <c r="G36" i="5"/>
  <c r="H58" i="5"/>
  <c r="F5" i="5"/>
  <c r="I12" i="5"/>
  <c r="F7" i="5"/>
  <c r="E59" i="5"/>
  <c r="H125" i="5"/>
  <c r="I59" i="5"/>
  <c r="I46" i="5"/>
  <c r="G49" i="5"/>
  <c r="E107" i="5"/>
  <c r="F20" i="5"/>
  <c r="H37" i="5"/>
  <c r="G53" i="5"/>
  <c r="F9" i="5"/>
  <c r="I122" i="5"/>
  <c r="H53" i="5"/>
  <c r="F87" i="5"/>
  <c r="H43" i="5"/>
  <c r="H88" i="5"/>
  <c r="E53" i="5"/>
  <c r="H48" i="5"/>
  <c r="I112" i="5"/>
  <c r="E19" i="5"/>
  <c r="F46" i="5"/>
  <c r="H52" i="5"/>
  <c r="E92" i="5"/>
  <c r="E122" i="5"/>
  <c r="I119" i="5"/>
  <c r="I94" i="5"/>
  <c r="I19" i="5"/>
  <c r="M46" i="4"/>
  <c r="G98" i="5"/>
  <c r="H94" i="5"/>
  <c r="I105" i="5"/>
  <c r="E35" i="5"/>
  <c r="H31" i="5"/>
  <c r="I72" i="5"/>
  <c r="E84" i="5"/>
  <c r="E117" i="5"/>
  <c r="E123" i="5"/>
  <c r="H73" i="5"/>
  <c r="H117" i="5"/>
  <c r="E97" i="5"/>
  <c r="F72" i="5"/>
  <c r="G42" i="5"/>
  <c r="M34" i="4"/>
  <c r="G18" i="5"/>
  <c r="G55" i="5"/>
  <c r="G63" i="5"/>
  <c r="F83" i="5"/>
  <c r="G7" i="5"/>
  <c r="H39" i="5"/>
  <c r="H68" i="5"/>
  <c r="E114" i="5"/>
  <c r="G24" i="5"/>
  <c r="G15" i="5"/>
  <c r="G119" i="5"/>
  <c r="I33" i="5"/>
  <c r="N51" i="4"/>
  <c r="I34" i="5"/>
  <c r="N36" i="4"/>
  <c r="I113" i="5"/>
  <c r="I95" i="5"/>
  <c r="I124" i="5"/>
  <c r="I64" i="5"/>
  <c r="G122" i="5"/>
  <c r="H35" i="5"/>
  <c r="G121" i="5"/>
  <c r="I9" i="5"/>
  <c r="I79" i="5"/>
  <c r="I42" i="5"/>
  <c r="E108" i="5"/>
  <c r="F32" i="5"/>
  <c r="F69" i="5"/>
  <c r="N27" i="4"/>
  <c r="E43" i="5"/>
  <c r="G48" i="5"/>
  <c r="H82" i="5"/>
  <c r="H87" i="5"/>
  <c r="E55" i="5"/>
  <c r="E16" i="5"/>
  <c r="I11" i="5"/>
  <c r="E17" i="5"/>
  <c r="H23" i="5"/>
  <c r="I43" i="5"/>
  <c r="N35" i="4"/>
  <c r="N44" i="4"/>
  <c r="M15" i="4"/>
  <c r="I120" i="5"/>
  <c r="G56" i="5"/>
  <c r="F89" i="5"/>
  <c r="G3" i="5"/>
  <c r="I23" i="5"/>
  <c r="G99" i="5"/>
  <c r="F105" i="5"/>
  <c r="F58" i="5"/>
  <c r="I75" i="5"/>
  <c r="F12" i="5"/>
  <c r="G82" i="5"/>
  <c r="E40" i="5"/>
  <c r="F29" i="5"/>
  <c r="E72" i="5"/>
  <c r="G94" i="5"/>
  <c r="H95" i="5"/>
  <c r="H98" i="5"/>
  <c r="F113" i="5"/>
  <c r="H54" i="5"/>
  <c r="E89" i="5"/>
  <c r="N25" i="4"/>
  <c r="F39" i="5"/>
  <c r="M47" i="4"/>
  <c r="I51" i="5"/>
  <c r="G61" i="5"/>
  <c r="E22" i="5"/>
  <c r="I92" i="5"/>
  <c r="I67" i="5"/>
  <c r="M17" i="4"/>
  <c r="I68" i="5"/>
  <c r="H26" i="5"/>
  <c r="I106" i="5"/>
  <c r="F41" i="5"/>
  <c r="F126" i="5"/>
  <c r="E13" i="5"/>
  <c r="I110" i="5"/>
  <c r="E56" i="5"/>
  <c r="F98" i="5"/>
  <c r="G123" i="5"/>
  <c r="G91" i="5"/>
  <c r="N50" i="4"/>
  <c r="H41" i="5"/>
  <c r="I117" i="5"/>
  <c r="F47" i="5"/>
  <c r="E49" i="5"/>
  <c r="E119" i="5"/>
  <c r="E81" i="5"/>
  <c r="I60" i="5"/>
  <c r="G26" i="5"/>
  <c r="F14" i="5"/>
  <c r="H10" i="5"/>
  <c r="I29" i="5"/>
  <c r="I118" i="5"/>
  <c r="H27" i="5"/>
  <c r="E95" i="5"/>
  <c r="N18" i="4"/>
  <c r="N29" i="4"/>
  <c r="E99" i="5"/>
  <c r="F107" i="5"/>
  <c r="H105" i="5"/>
  <c r="M24" i="4"/>
  <c r="G11" i="5"/>
  <c r="H96" i="5"/>
  <c r="G57" i="5"/>
  <c r="I21" i="5"/>
  <c r="E124" i="5"/>
  <c r="F112" i="5"/>
  <c r="F57" i="5"/>
  <c r="E52" i="5"/>
  <c r="M31" i="4"/>
  <c r="E120" i="5"/>
  <c r="E27" i="5"/>
  <c r="F103" i="5"/>
  <c r="H103" i="5"/>
  <c r="H46" i="5"/>
  <c r="I24" i="5"/>
  <c r="G51" i="5"/>
  <c r="G34" i="5"/>
  <c r="H122" i="5"/>
  <c r="D30" i="6"/>
  <c r="H34" i="5"/>
  <c r="G120" i="5"/>
  <c r="F93" i="5"/>
  <c r="H97" i="5"/>
  <c r="H100" i="5"/>
  <c r="H62" i="5"/>
  <c r="Z17" i="12"/>
  <c r="F26" i="5"/>
  <c r="F109" i="5"/>
  <c r="G13" i="5"/>
  <c r="I28" i="5"/>
  <c r="E62" i="5"/>
  <c r="G30" i="5"/>
  <c r="R81" i="12"/>
  <c r="N40" i="4"/>
  <c r="G38" i="5"/>
  <c r="F124" i="5"/>
  <c r="I27" i="5"/>
  <c r="N23" i="4"/>
  <c r="AA17" i="12"/>
  <c r="D15" i="6"/>
  <c r="J1" i="5" a="1"/>
  <c r="C27" i="6"/>
  <c r="R94" i="12"/>
  <c r="R91" i="12"/>
  <c r="R85" i="12"/>
  <c r="R96" i="12"/>
  <c r="R88" i="12"/>
  <c r="R86" i="12"/>
  <c r="R74" i="12"/>
  <c r="R75" i="12"/>
  <c r="R83" i="12"/>
  <c r="R77" i="12"/>
  <c r="R82" i="12"/>
  <c r="R84" i="12"/>
  <c r="R73" i="12"/>
  <c r="R93" i="12"/>
  <c r="R87" i="12"/>
  <c r="R76" i="12"/>
  <c r="R89" i="12"/>
  <c r="R92" i="12"/>
  <c r="R80" i="12"/>
  <c r="R95" i="12"/>
  <c r="R90" i="12"/>
  <c r="Z19" i="12" a="1"/>
  <c r="R79" i="12"/>
  <c r="R78" i="12"/>
  <c r="Z3078" i="12" l="1"/>
  <c r="Z2634" i="12"/>
  <c r="Z1630" i="12"/>
  <c r="Z1459" i="12"/>
  <c r="Z2535" i="12"/>
  <c r="Z2281" i="12"/>
  <c r="Z1266" i="12"/>
  <c r="Z1081" i="12"/>
  <c r="Z2533" i="12"/>
  <c r="Z3156" i="12"/>
  <c r="Z1870" i="12"/>
  <c r="Z3104" i="12"/>
  <c r="Z1519" i="12"/>
  <c r="Z3146" i="12"/>
  <c r="Z3096" i="12"/>
  <c r="Z1993" i="12"/>
  <c r="Z498" i="12"/>
  <c r="Z1713" i="12"/>
  <c r="Z2111" i="12"/>
  <c r="Z2739" i="12"/>
  <c r="Z1850" i="12"/>
  <c r="Z3061" i="12"/>
  <c r="Z3141" i="12"/>
  <c r="Z3177" i="12"/>
  <c r="Z2656" i="12"/>
  <c r="Z1139" i="12"/>
  <c r="Z2390" i="12"/>
  <c r="Z147" i="12"/>
  <c r="Z1145" i="12"/>
  <c r="Z3087" i="12"/>
  <c r="Z2849" i="12"/>
  <c r="Z995" i="12"/>
  <c r="Z2572" i="12"/>
  <c r="Z566" i="12"/>
  <c r="Z1965" i="12"/>
  <c r="Z2968" i="12"/>
  <c r="Z3309" i="12"/>
  <c r="Z1600" i="12"/>
  <c r="Z2982" i="12"/>
  <c r="Z2650" i="12"/>
  <c r="Z239" i="12"/>
  <c r="Z2940" i="12"/>
  <c r="Z795" i="12"/>
  <c r="Z1746" i="12"/>
  <c r="Z1743" i="12"/>
  <c r="Z1854" i="12"/>
  <c r="Z2744" i="12"/>
  <c r="Z2680" i="12"/>
  <c r="Z2243" i="12"/>
  <c r="Z221" i="12"/>
  <c r="Z3373" i="12"/>
  <c r="Z1163" i="12"/>
  <c r="Z1500" i="12"/>
  <c r="Z405" i="12"/>
  <c r="Z2211" i="12"/>
  <c r="Z2612" i="12"/>
  <c r="Z2547" i="12"/>
  <c r="Z1464" i="12"/>
  <c r="Z3017" i="12"/>
  <c r="Z2553" i="12"/>
  <c r="Z2738" i="12"/>
  <c r="Z2681" i="12"/>
  <c r="Z1346" i="12"/>
  <c r="Z3081" i="12"/>
  <c r="Z3468" i="12"/>
  <c r="Z3237" i="12"/>
  <c r="Z2495" i="12"/>
  <c r="Z83" i="12"/>
  <c r="Z769" i="12"/>
  <c r="Z548" i="12"/>
  <c r="Z1867" i="12"/>
  <c r="Z3057" i="12"/>
  <c r="Z3201" i="12"/>
  <c r="Z2807" i="12"/>
  <c r="Z1999" i="12"/>
  <c r="Z3279" i="12"/>
  <c r="Z2154" i="12"/>
  <c r="Z435" i="12"/>
  <c r="Z3214" i="12"/>
  <c r="Z2649" i="12"/>
  <c r="Z242" i="12"/>
  <c r="Z2819" i="12"/>
  <c r="Z3379" i="12"/>
  <c r="Z3217" i="12"/>
  <c r="Z1830" i="12"/>
  <c r="Z2070" i="12"/>
  <c r="Z1267" i="12"/>
  <c r="Z1535" i="12"/>
  <c r="Z1992" i="12"/>
  <c r="Z1605" i="12"/>
  <c r="Z1754" i="12"/>
  <c r="Z2462" i="12"/>
  <c r="Z2542" i="12"/>
  <c r="Z411" i="12"/>
  <c r="Z2575" i="12"/>
  <c r="Z1702" i="12"/>
  <c r="Z3134" i="12"/>
  <c r="Z3026" i="12"/>
  <c r="Z2452" i="12"/>
  <c r="Z1202" i="12"/>
  <c r="Z1931" i="12"/>
  <c r="Z3204" i="12"/>
  <c r="Z2326" i="12"/>
  <c r="Z2433" i="12"/>
  <c r="Z985" i="12"/>
  <c r="Z821" i="12"/>
  <c r="Z3428" i="12"/>
  <c r="Z3150" i="12"/>
  <c r="Z1751" i="12"/>
  <c r="Z43" i="12"/>
  <c r="Z1025" i="12"/>
  <c r="Z1380" i="12"/>
  <c r="Z1230" i="12"/>
  <c r="Z2486" i="12"/>
  <c r="Z2033" i="12"/>
  <c r="Z329" i="12"/>
  <c r="Z2022" i="12"/>
  <c r="Z1812" i="12"/>
  <c r="Z2749" i="12"/>
  <c r="Z2264" i="12"/>
  <c r="Z2146" i="12"/>
  <c r="Z3178" i="12"/>
  <c r="Z3433" i="12"/>
  <c r="Z2117" i="12"/>
  <c r="Z3528" i="12"/>
  <c r="Z287" i="12"/>
  <c r="Z164" i="12"/>
  <c r="Z2013" i="12"/>
  <c r="Z1738" i="12"/>
  <c r="Z1650" i="12"/>
  <c r="Z820" i="12"/>
  <c r="Z2170" i="12"/>
  <c r="Z2731" i="12"/>
  <c r="Z2301" i="12"/>
  <c r="Z2455" i="12"/>
  <c r="Z955" i="12"/>
  <c r="Z1017" i="12"/>
  <c r="Z1855" i="12"/>
  <c r="Z1990" i="12"/>
  <c r="Z954" i="12"/>
  <c r="Z1072" i="12"/>
  <c r="Z3457" i="12"/>
  <c r="Z3133" i="12"/>
  <c r="Z3181" i="12"/>
  <c r="Z619" i="12"/>
  <c r="Z3543" i="12"/>
  <c r="Z3497" i="12"/>
  <c r="Z2248" i="12"/>
  <c r="Z2478" i="12"/>
  <c r="Z443" i="12"/>
  <c r="Z1628" i="12"/>
  <c r="Z2607" i="12"/>
  <c r="Z2599" i="12"/>
  <c r="Z1679" i="12"/>
  <c r="Z3463" i="12"/>
  <c r="Z2501" i="12"/>
  <c r="Z2899" i="12"/>
  <c r="Z424" i="12"/>
  <c r="Z1852" i="12"/>
  <c r="Z2941" i="12"/>
  <c r="Z2907" i="12"/>
  <c r="Z2534" i="12"/>
  <c r="Z1807" i="12"/>
  <c r="Z2068" i="12"/>
  <c r="Z3187" i="12"/>
  <c r="Z875" i="12"/>
  <c r="Z368" i="12"/>
  <c r="Z2346" i="12"/>
  <c r="Z2008" i="12"/>
  <c r="Z385" i="12"/>
  <c r="Z2069" i="12"/>
  <c r="Z3029" i="12"/>
  <c r="Z2494" i="12"/>
  <c r="Z458" i="12"/>
  <c r="Z1046" i="12"/>
  <c r="Z1229" i="12"/>
  <c r="Z2067" i="12"/>
  <c r="Z2964" i="12"/>
  <c r="Z2827" i="12"/>
  <c r="Z2362" i="12"/>
  <c r="Z2260" i="12"/>
  <c r="Z1209" i="12"/>
  <c r="Z2046" i="12"/>
  <c r="Z2306" i="12"/>
  <c r="Z1216" i="12"/>
  <c r="Z2440" i="12"/>
  <c r="Z1862" i="12"/>
  <c r="Z715" i="12"/>
  <c r="Z864" i="12"/>
  <c r="Z766" i="12"/>
  <c r="Z3535" i="12"/>
  <c r="Z1075" i="12"/>
  <c r="Z2579" i="12"/>
  <c r="Z153" i="12"/>
  <c r="Z2644" i="12"/>
  <c r="Z915" i="12"/>
  <c r="Z2481" i="12"/>
  <c r="Z3440" i="12"/>
  <c r="Z2484" i="12"/>
  <c r="Z2945" i="12"/>
  <c r="Z712" i="12"/>
  <c r="Z549" i="12"/>
  <c r="Z3453" i="12"/>
  <c r="Z707" i="12"/>
  <c r="Z849" i="12"/>
  <c r="Z2618" i="12"/>
  <c r="Z2383" i="12"/>
  <c r="Z2510" i="12"/>
  <c r="Z243" i="12"/>
  <c r="Z1866" i="12"/>
  <c r="Z114" i="12"/>
  <c r="Z279" i="12"/>
  <c r="Z3107" i="12"/>
  <c r="Z1728" i="12"/>
  <c r="Z2316" i="12"/>
  <c r="Z1496" i="12"/>
  <c r="Z1764" i="12"/>
  <c r="Z2247" i="12"/>
  <c r="Z2829" i="12"/>
  <c r="Z434" i="12"/>
  <c r="Z1527" i="12"/>
  <c r="Z667" i="12"/>
  <c r="Z343" i="12"/>
  <c r="Z653" i="12"/>
  <c r="Z2015" i="12"/>
  <c r="Z2854" i="12"/>
  <c r="Z1092" i="12"/>
  <c r="Z2435" i="12"/>
  <c r="Z323" i="12"/>
  <c r="Z1344" i="12"/>
  <c r="Z2189" i="12"/>
  <c r="Z1821" i="12"/>
  <c r="Z3003" i="12"/>
  <c r="Z266" i="12"/>
  <c r="Z856" i="12"/>
  <c r="Z501" i="12"/>
  <c r="Z1942" i="12"/>
  <c r="Z817" i="12"/>
  <c r="Z1574" i="12"/>
  <c r="Z3125" i="12"/>
  <c r="Z819" i="12"/>
  <c r="Z2417" i="12"/>
  <c r="Z3488" i="12"/>
  <c r="Z1492" i="12"/>
  <c r="Z1028" i="12"/>
  <c r="Z2318" i="12"/>
  <c r="Z1003" i="12"/>
  <c r="Z375" i="12"/>
  <c r="Z892" i="12"/>
  <c r="Z227" i="12"/>
  <c r="Z3334" i="12"/>
  <c r="Z1745" i="12"/>
  <c r="Z2177" i="12"/>
  <c r="Z979" i="12"/>
  <c r="Z2245" i="12"/>
  <c r="Z2780" i="12"/>
  <c r="Z1678" i="12"/>
  <c r="Z1637" i="12"/>
  <c r="Z773" i="12"/>
  <c r="Z770" i="12"/>
  <c r="Z207" i="12"/>
  <c r="Z1543" i="12"/>
  <c r="Z326" i="12"/>
  <c r="Z2491" i="12"/>
  <c r="Z1769" i="12"/>
  <c r="Z2796" i="12"/>
  <c r="Z2460" i="12"/>
  <c r="Z708" i="12"/>
  <c r="Z3152" i="12"/>
  <c r="Z1723" i="12"/>
  <c r="Z2037" i="12"/>
  <c r="Z2083" i="12"/>
  <c r="Z529" i="12"/>
  <c r="Z1763" i="12"/>
  <c r="Z230" i="12"/>
  <c r="Z1070" i="12"/>
  <c r="Z1148" i="12"/>
  <c r="Z1234" i="12"/>
  <c r="Z2226" i="12"/>
  <c r="Z2091" i="12"/>
  <c r="Z95" i="12"/>
  <c r="Z3361" i="12"/>
  <c r="Z3122" i="12"/>
  <c r="Z1337" i="12"/>
  <c r="Z2159" i="12"/>
  <c r="Z1692" i="12"/>
  <c r="Z894" i="12"/>
  <c r="Z2725" i="12"/>
  <c r="Z2213" i="12"/>
  <c r="Z3001" i="12"/>
  <c r="Z3131" i="12"/>
  <c r="Z2187" i="12"/>
  <c r="Z2003" i="12"/>
  <c r="Z2006" i="12"/>
  <c r="Z2415" i="12"/>
  <c r="Z58" i="12"/>
  <c r="Z1672" i="12"/>
  <c r="Z254" i="12"/>
  <c r="Z1808" i="12"/>
  <c r="Z2363" i="12"/>
  <c r="Z1559" i="12"/>
  <c r="Z1377" i="12"/>
  <c r="Z399" i="12"/>
  <c r="Z570" i="12"/>
  <c r="Z1561" i="12"/>
  <c r="Z2958" i="12"/>
  <c r="Z2830" i="12"/>
  <c r="Z947" i="12"/>
  <c r="Z1806" i="12"/>
  <c r="Z3162" i="12"/>
  <c r="Z561" i="12"/>
  <c r="Z1943" i="12"/>
  <c r="Z1719" i="12"/>
  <c r="Z2470" i="12"/>
  <c r="Z2496" i="12"/>
  <c r="Z1555" i="12"/>
  <c r="Z3320" i="12"/>
  <c r="Z2372" i="12"/>
  <c r="Z2821" i="12"/>
  <c r="Z1599" i="12"/>
  <c r="Z1705" i="12"/>
  <c r="Z1766" i="12"/>
  <c r="Z2342" i="12"/>
  <c r="Z2936" i="12"/>
  <c r="Z2207" i="12"/>
  <c r="Z2289" i="12"/>
  <c r="Z1303" i="12"/>
  <c r="Z2998" i="12"/>
  <c r="Z251" i="12"/>
  <c r="Z1973" i="12"/>
  <c r="Z2846" i="12"/>
  <c r="Z2047" i="12"/>
  <c r="Z3266" i="12"/>
  <c r="Z3212" i="12"/>
  <c r="Z885" i="12"/>
  <c r="Z1469" i="12"/>
  <c r="Z2908" i="12"/>
  <c r="Z1009" i="12"/>
  <c r="Z2773" i="12"/>
  <c r="Z1203" i="12"/>
  <c r="Z3300" i="12"/>
  <c r="Z361" i="12"/>
  <c r="Z2889" i="12"/>
  <c r="Z163" i="12"/>
  <c r="Z2751" i="12"/>
  <c r="Z927" i="12"/>
  <c r="Z3192" i="12"/>
  <c r="Z3200" i="12"/>
  <c r="Z1803" i="12"/>
  <c r="Z2654" i="12"/>
  <c r="Z2471" i="12"/>
  <c r="Z307" i="12"/>
  <c r="Z2120" i="12"/>
  <c r="Z1136" i="12"/>
  <c r="Z3338" i="12"/>
  <c r="Z1977" i="12"/>
  <c r="Z775" i="12"/>
  <c r="Z2380" i="12"/>
  <c r="Z1907" i="12"/>
  <c r="Z2406" i="12"/>
  <c r="Z3228" i="12"/>
  <c r="Z3288" i="12"/>
  <c r="Z2019" i="12"/>
  <c r="Z1584" i="12"/>
  <c r="Z2365" i="12"/>
  <c r="Z3218" i="12"/>
  <c r="Z1875" i="12"/>
  <c r="Z3170" i="12"/>
  <c r="Z1465" i="12"/>
  <c r="Z1718" i="12"/>
  <c r="Z3163" i="12"/>
  <c r="Z3024" i="12"/>
  <c r="Z3114" i="12"/>
  <c r="Z1819" i="12"/>
  <c r="Z562" i="12"/>
  <c r="Z3077" i="12"/>
  <c r="Z2249" i="12"/>
  <c r="Z648" i="12"/>
  <c r="Z3403" i="12"/>
  <c r="Z3508" i="12"/>
  <c r="Z1112" i="12"/>
  <c r="Z1883" i="12"/>
  <c r="Z3255" i="12"/>
  <c r="Z1553" i="12"/>
  <c r="Z2912" i="12"/>
  <c r="Z2558" i="12"/>
  <c r="Z1392" i="12"/>
  <c r="Z2102" i="12"/>
  <c r="Z2708" i="12"/>
  <c r="Z3208" i="12"/>
  <c r="Z3479" i="12"/>
  <c r="Z857" i="12"/>
  <c r="Z2149" i="12"/>
  <c r="Z1782" i="12"/>
  <c r="Z3426" i="12"/>
  <c r="Z2425" i="12"/>
  <c r="Z2378" i="12"/>
  <c r="Z1425" i="12"/>
  <c r="Z1956" i="12"/>
  <c r="Z1910" i="12"/>
  <c r="Z1532" i="12"/>
  <c r="Z3478" i="12"/>
  <c r="Z1893" i="12"/>
  <c r="Z3139" i="12"/>
  <c r="Z848" i="12"/>
  <c r="Z1757" i="12"/>
  <c r="Z3501" i="12"/>
  <c r="Z2935" i="12"/>
  <c r="Z2230" i="12"/>
  <c r="Z882" i="12"/>
  <c r="Z3487" i="12"/>
  <c r="Z2391" i="12"/>
  <c r="Z1835" i="12"/>
  <c r="Z928" i="12"/>
  <c r="Z1030" i="12"/>
  <c r="Z2086" i="12"/>
  <c r="Z2049" i="12"/>
  <c r="Z1064" i="12"/>
  <c r="Z1952" i="12"/>
  <c r="Z1585" i="12"/>
  <c r="Z2139" i="12"/>
  <c r="Z1834" i="12"/>
  <c r="Z2219" i="12"/>
  <c r="Z1349" i="12"/>
  <c r="Z2717" i="12"/>
  <c r="Z938" i="12"/>
  <c r="Z2014" i="12"/>
  <c r="Z3059" i="12"/>
  <c r="Z506" i="12"/>
  <c r="Z2603" i="12"/>
  <c r="Z98" i="12"/>
  <c r="Z484" i="12"/>
  <c r="Z1964" i="12"/>
  <c r="Z1063" i="12"/>
  <c r="Z3353" i="12"/>
  <c r="Z1998" i="12"/>
  <c r="Z2952" i="12"/>
  <c r="Z3471" i="12"/>
  <c r="Z74" i="12"/>
  <c r="Z245" i="12"/>
  <c r="Z3021" i="12"/>
  <c r="Z3414" i="12"/>
  <c r="Z2636" i="12"/>
  <c r="Z2983" i="12"/>
  <c r="Z1184" i="12"/>
  <c r="Z3045" i="12"/>
  <c r="Z3409" i="12"/>
  <c r="Z162" i="12"/>
  <c r="Z729" i="12"/>
  <c r="Z1268" i="12"/>
  <c r="Z1988" i="12"/>
  <c r="Z2880" i="12"/>
  <c r="Z1915" i="12"/>
  <c r="Z1825" i="12"/>
  <c r="Z898" i="12"/>
  <c r="Z660" i="12"/>
  <c r="Z1451" i="12"/>
  <c r="Z2954" i="12"/>
  <c r="Z1478" i="12"/>
  <c r="Z318" i="12"/>
  <c r="Z2866" i="12"/>
  <c r="Z1538" i="12"/>
  <c r="Z2274" i="12"/>
  <c r="Z1687" i="12"/>
  <c r="Z1421" i="12"/>
  <c r="Z2395" i="12"/>
  <c r="Z1164" i="12"/>
  <c r="Z1224" i="12"/>
  <c r="Z2328" i="12"/>
  <c r="Z47" i="12"/>
  <c r="Z675" i="12"/>
  <c r="Z2150" i="12"/>
  <c r="Z1646" i="12"/>
  <c r="Z1431" i="12"/>
  <c r="Z2448" i="12"/>
  <c r="Z1237" i="12"/>
  <c r="Z2094" i="12"/>
  <c r="Z2373" i="12"/>
  <c r="Z38" i="12"/>
  <c r="Z3499" i="12"/>
  <c r="Z1433" i="12"/>
  <c r="Z1565" i="12"/>
  <c r="Z379" i="12"/>
  <c r="Z859" i="12"/>
  <c r="Z113" i="12"/>
  <c r="Z1087" i="12"/>
  <c r="Z90" i="12"/>
  <c r="Z468" i="12"/>
  <c r="Z1179" i="12"/>
  <c r="Z455" i="12"/>
  <c r="Z3095" i="12"/>
  <c r="Z3286" i="12"/>
  <c r="Z3429" i="12"/>
  <c r="Z1897" i="12"/>
  <c r="Z2720" i="12"/>
  <c r="Z2060" i="12"/>
  <c r="Z3469" i="12"/>
  <c r="Z531" i="12"/>
  <c r="Z2492" i="12"/>
  <c r="Z1929" i="12"/>
  <c r="Z2886" i="12"/>
  <c r="Z2590" i="12"/>
  <c r="Z1824" i="12"/>
  <c r="Z1354" i="12"/>
  <c r="Z2180" i="12"/>
  <c r="Z2823" i="12"/>
  <c r="Z53" i="12"/>
  <c r="Z1781" i="12"/>
  <c r="Z309" i="12"/>
  <c r="Z2915" i="12"/>
  <c r="Z2850" i="12"/>
  <c r="Z2879" i="12"/>
  <c r="Z493" i="12"/>
  <c r="Z983" i="12"/>
  <c r="Z159" i="12"/>
  <c r="Z888" i="12"/>
  <c r="Z174" i="12"/>
  <c r="Z1116" i="12"/>
  <c r="Z1366" i="12"/>
  <c r="Z599" i="12"/>
  <c r="Z951" i="12"/>
  <c r="Z1816" i="12"/>
  <c r="Z130" i="12"/>
  <c r="Z518" i="12"/>
  <c r="Z1227" i="12"/>
  <c r="Z2324" i="12"/>
  <c r="Z1330" i="12"/>
  <c r="Z3123" i="12"/>
  <c r="Z1367" i="12"/>
  <c r="Z1654" i="12"/>
  <c r="Z41" i="12"/>
  <c r="Z1278" i="12"/>
  <c r="Z2928" i="12"/>
  <c r="Z2655" i="12"/>
  <c r="Z2576" i="12"/>
  <c r="Z475" i="12"/>
  <c r="Z2002" i="12"/>
  <c r="Z87" i="12"/>
  <c r="Z944" i="12"/>
  <c r="Z2215" i="12"/>
  <c r="Z448" i="12"/>
  <c r="Z2078" i="12"/>
  <c r="Z2450" i="12"/>
  <c r="Z2490" i="12"/>
  <c r="Z3538" i="12"/>
  <c r="Z2695" i="12"/>
  <c r="Z2042" i="12"/>
  <c r="Z3507" i="12"/>
  <c r="Z1014" i="12"/>
  <c r="Z872" i="12"/>
  <c r="Z2893" i="12"/>
  <c r="Z124" i="12"/>
  <c r="Z967" i="12"/>
  <c r="Z1872" i="12"/>
  <c r="Z2923" i="12"/>
  <c r="Z830" i="12"/>
  <c r="Z204" i="12"/>
  <c r="Z2267" i="12"/>
  <c r="Z2294" i="12"/>
  <c r="Z825" i="12"/>
  <c r="Z3198" i="12"/>
  <c r="Z2647" i="12"/>
  <c r="Z201" i="12"/>
  <c r="Z1734" i="12"/>
  <c r="Z2132" i="12"/>
  <c r="Z1894" i="12"/>
  <c r="Z2473" i="12"/>
  <c r="Z1863" i="12"/>
  <c r="Z754" i="12"/>
  <c r="Z535" i="12"/>
  <c r="Z2709" i="12"/>
  <c r="Z3357" i="12"/>
  <c r="Z2020" i="12"/>
  <c r="Z2058" i="12"/>
  <c r="Z889" i="12"/>
  <c r="Z2768" i="12"/>
  <c r="Z1083" i="12"/>
  <c r="Z3196" i="12"/>
  <c r="Z2327" i="12"/>
  <c r="Z3245" i="12"/>
  <c r="Z3548" i="12"/>
  <c r="Z2199" i="12"/>
  <c r="Z2898" i="12"/>
  <c r="Z1944" i="12"/>
  <c r="Z1151" i="12"/>
  <c r="Z2959" i="12"/>
  <c r="Z1756" i="12"/>
  <c r="Z3444" i="12"/>
  <c r="Z3532" i="12"/>
  <c r="Z3383" i="12"/>
  <c r="Z2791" i="12"/>
  <c r="Z3547" i="12"/>
  <c r="Z2652" i="12"/>
  <c r="Z2506" i="12"/>
  <c r="Z841" i="12"/>
  <c r="Z2818" i="12"/>
  <c r="Z2038" i="12"/>
  <c r="Z3079" i="12"/>
  <c r="Z3509" i="12"/>
  <c r="Z3423" i="12"/>
  <c r="Z1962" i="12"/>
  <c r="Z663" i="12"/>
  <c r="Z2621" i="12"/>
  <c r="Z3137" i="12"/>
  <c r="Z2512" i="12"/>
  <c r="Z2282" i="12"/>
  <c r="Z777" i="12"/>
  <c r="Z2686" i="12"/>
  <c r="Z2767" i="12"/>
  <c r="Z1587" i="12"/>
  <c r="Z2645" i="12"/>
  <c r="Z746" i="12"/>
  <c r="Z3452" i="12"/>
  <c r="Z1796" i="12"/>
  <c r="Z3291" i="12"/>
  <c r="Z1755" i="12"/>
  <c r="Z2981" i="12"/>
  <c r="Z3168" i="12"/>
  <c r="Z874" i="12"/>
  <c r="Z2225" i="12"/>
  <c r="Z1300" i="12"/>
  <c r="Z3213" i="12"/>
  <c r="Z1951" i="12"/>
  <c r="Z2258" i="12"/>
  <c r="Z3498" i="12"/>
  <c r="Z3042" i="12"/>
  <c r="Z1044" i="12"/>
  <c r="Z2121" i="12"/>
  <c r="Z866" i="12"/>
  <c r="Z1657" i="12"/>
  <c r="Z2007" i="12"/>
  <c r="Z106" i="12"/>
  <c r="Z1888" i="12"/>
  <c r="Z3515" i="12"/>
  <c r="Z3397" i="12"/>
  <c r="Z1162" i="12"/>
  <c r="Z2232" i="12"/>
  <c r="Z3246" i="12"/>
  <c r="Z187" i="12"/>
  <c r="Z646" i="12"/>
  <c r="Z3130" i="12"/>
  <c r="Z3034" i="12"/>
  <c r="Z731" i="12"/>
  <c r="Z2615" i="12"/>
  <c r="Z1474" i="12"/>
  <c r="Z2980" i="12"/>
  <c r="Z3296" i="12"/>
  <c r="Z2858" i="12"/>
  <c r="Z691" i="12"/>
  <c r="Z2988" i="12"/>
  <c r="Z2895" i="12"/>
  <c r="Z1026" i="12"/>
  <c r="Z3224" i="12"/>
  <c r="Z1906" i="12"/>
  <c r="Z1192" i="12"/>
  <c r="Z3149" i="12"/>
  <c r="Z528" i="12"/>
  <c r="Z223" i="12"/>
  <c r="Z2969" i="12"/>
  <c r="Z623" i="12"/>
  <c r="Z1588" i="12"/>
  <c r="Z2712" i="12"/>
  <c r="Z2623" i="12"/>
  <c r="Z791" i="12"/>
  <c r="Z1098" i="12"/>
  <c r="Z3194" i="12"/>
  <c r="Z2432" i="12"/>
  <c r="Z151" i="12"/>
  <c r="Z1663" i="12"/>
  <c r="Z75" i="12"/>
  <c r="Z2921" i="12"/>
  <c r="Z688" i="12"/>
  <c r="Z2840" i="12"/>
  <c r="Z1466" i="12"/>
  <c r="Z469" i="12"/>
  <c r="Z3460" i="12"/>
  <c r="Z1432" i="12"/>
  <c r="Z1147" i="12"/>
  <c r="Z2399" i="12"/>
  <c r="Z3493" i="12"/>
  <c r="Z3530" i="12"/>
  <c r="Z2803" i="12"/>
  <c r="Z2505" i="12"/>
  <c r="Z689" i="12"/>
  <c r="Z2552" i="12"/>
  <c r="Z1898" i="12"/>
  <c r="Z587" i="12"/>
  <c r="Z1831" i="12"/>
  <c r="Z336" i="12"/>
  <c r="Z3040" i="12"/>
  <c r="Z456" i="12"/>
  <c r="Z2466" i="12"/>
  <c r="Z1283" i="12"/>
  <c r="Z3312" i="12"/>
  <c r="Z2106" i="12"/>
  <c r="Z1674" i="12"/>
  <c r="Z1065" i="12"/>
  <c r="Z244" i="12"/>
  <c r="Z2427" i="12"/>
  <c r="Z3326" i="12"/>
  <c r="Z3388" i="12"/>
  <c r="Z1970" i="12"/>
  <c r="Z579" i="12"/>
  <c r="Z1294" i="12"/>
  <c r="Z1598" i="12"/>
  <c r="Z3030" i="12"/>
  <c r="Z3306" i="12"/>
  <c r="Z264" i="12"/>
  <c r="Z1963" i="12"/>
  <c r="Z842" i="12"/>
  <c r="Z2567" i="12"/>
  <c r="Z2339" i="12"/>
  <c r="Z1949" i="12"/>
  <c r="Z2714" i="12"/>
  <c r="Z1885" i="12"/>
  <c r="Z647" i="12"/>
  <c r="Z851" i="12"/>
  <c r="Z2125" i="12"/>
  <c r="Z1481" i="12"/>
  <c r="Z1308" i="12"/>
  <c r="Z633" i="12"/>
  <c r="Z2626" i="12"/>
  <c r="Z881" i="12"/>
  <c r="Z1629" i="12"/>
  <c r="Z923" i="12"/>
  <c r="Z2441" i="12"/>
  <c r="Z877" i="12"/>
  <c r="Z64" i="12"/>
  <c r="Z1506" i="12"/>
  <c r="Z196" i="12"/>
  <c r="Z334" i="12"/>
  <c r="Z1558" i="12"/>
  <c r="Z659" i="12"/>
  <c r="Z3280" i="12"/>
  <c r="Z305" i="12"/>
  <c r="Z3343" i="12"/>
  <c r="Z907" i="12"/>
  <c r="Z2736" i="12"/>
  <c r="Z3184" i="12"/>
  <c r="Z3068" i="12"/>
  <c r="Z1839" i="12"/>
  <c r="Z2528" i="12"/>
  <c r="Z1043" i="12"/>
  <c r="Z3210" i="12"/>
  <c r="Z512" i="12"/>
  <c r="Z2536" i="12"/>
  <c r="Z1541" i="12"/>
  <c r="Z2828" i="12"/>
  <c r="Z1845" i="12"/>
  <c r="Z2869" i="12"/>
  <c r="Z2914" i="12"/>
  <c r="Z2144" i="12"/>
  <c r="Z1520" i="12"/>
  <c r="Z3363" i="12"/>
  <c r="Z681" i="12"/>
  <c r="Z3173" i="12"/>
  <c r="Z1097" i="12"/>
  <c r="Z2876" i="12"/>
  <c r="Z3065" i="12"/>
  <c r="Z2416" i="12"/>
  <c r="Z2757" i="12"/>
  <c r="Z68" i="12"/>
  <c r="Z171" i="12"/>
  <c r="Z2799" i="12"/>
  <c r="Z2847" i="12"/>
  <c r="Z2454" i="12"/>
  <c r="Z366" i="12"/>
  <c r="Z1809" i="12"/>
  <c r="Z1108" i="12"/>
  <c r="Z1362" i="12"/>
  <c r="Z1436" i="12"/>
  <c r="Z2236" i="12"/>
  <c r="Z2155" i="12"/>
  <c r="Z768" i="12"/>
  <c r="Z56" i="12"/>
  <c r="Z1826" i="12"/>
  <c r="Z3223" i="12"/>
  <c r="Z904" i="12"/>
  <c r="Z1783" i="12"/>
  <c r="Z2653" i="12"/>
  <c r="Z1932" i="12"/>
  <c r="Z2151" i="12"/>
  <c r="Z2344" i="12"/>
  <c r="Z813" i="12"/>
  <c r="Z2472" i="12"/>
  <c r="Z1032" i="12"/>
  <c r="Z2166" i="12"/>
  <c r="Z1154" i="12"/>
  <c r="Z917" i="12"/>
  <c r="Z855" i="12"/>
  <c r="Z2276" i="12"/>
  <c r="Z117" i="12"/>
  <c r="Z457" i="12"/>
  <c r="Z557" i="12"/>
  <c r="Z2165" i="12"/>
  <c r="Z3197" i="12"/>
  <c r="Z2338" i="12"/>
  <c r="Z1347" i="12"/>
  <c r="Z1214" i="12"/>
  <c r="Z406" i="12"/>
  <c r="Z580" i="12"/>
  <c r="Z197" i="12"/>
  <c r="Z2194" i="12"/>
  <c r="Z737" i="12"/>
  <c r="Z1021" i="12"/>
  <c r="Z2689" i="12"/>
  <c r="Z324" i="12"/>
  <c r="Z3151" i="12"/>
  <c r="Z3256" i="12"/>
  <c r="Z1129" i="12"/>
  <c r="Z3315" i="12"/>
  <c r="Z2424" i="12"/>
  <c r="Z1649" i="12"/>
  <c r="Z3438" i="12"/>
  <c r="Z2133" i="12"/>
  <c r="Z246" i="12"/>
  <c r="Z2216" i="12"/>
  <c r="Z1670" i="12"/>
  <c r="Z740" i="12"/>
  <c r="Z1381" i="12"/>
  <c r="Z3084" i="12"/>
  <c r="Z2200" i="12"/>
  <c r="Z950" i="12"/>
  <c r="Z1838" i="12"/>
  <c r="Z1231" i="12"/>
  <c r="Z525" i="12"/>
  <c r="Z109" i="12"/>
  <c r="Z1697" i="12"/>
  <c r="Z2179" i="12"/>
  <c r="Z111" i="12"/>
  <c r="Z1292" i="12"/>
  <c r="Z2319" i="12"/>
  <c r="Z2678" i="12"/>
  <c r="Z1610" i="12"/>
  <c r="Z732" i="12"/>
  <c r="Z282" i="12"/>
  <c r="Z1260" i="12"/>
  <c r="Z696" i="12"/>
  <c r="Z3476" i="12"/>
  <c r="Z3389" i="12"/>
  <c r="Z852" i="12"/>
  <c r="Z2787" i="12"/>
  <c r="Z963" i="12"/>
  <c r="Z2508" i="12"/>
  <c r="Z414" i="12"/>
  <c r="Z3138" i="12"/>
  <c r="Z2482" i="12"/>
  <c r="Z2051" i="12"/>
  <c r="Z67" i="12"/>
  <c r="Z1528" i="12"/>
  <c r="Z300" i="12"/>
  <c r="Z2254" i="12"/>
  <c r="Z2514" i="12"/>
  <c r="Z3533" i="12"/>
  <c r="Z148" i="12"/>
  <c r="Z1407" i="12"/>
  <c r="Z2031" i="12"/>
  <c r="Z3085" i="12"/>
  <c r="Z1320" i="12"/>
  <c r="Z2550" i="12"/>
  <c r="Z2255" i="12"/>
  <c r="Z115" i="12"/>
  <c r="Z1771" i="12"/>
  <c r="Z3387" i="12"/>
  <c r="Z442" i="12"/>
  <c r="Z2447" i="12"/>
  <c r="Z499" i="12"/>
  <c r="Z3161" i="12"/>
  <c r="Z3552" i="12"/>
  <c r="Z1596" i="12"/>
  <c r="Z1100" i="12"/>
  <c r="Z811" i="12"/>
  <c r="Z590" i="12"/>
  <c r="Z35" i="12"/>
  <c r="Z2811" i="12"/>
  <c r="Z1623" i="12"/>
  <c r="Z3325" i="12"/>
  <c r="Z290" i="12"/>
  <c r="Z1517" i="12"/>
  <c r="Z3439" i="12"/>
  <c r="Z2992" i="12"/>
  <c r="Z2582" i="12"/>
  <c r="Z1891" i="12"/>
  <c r="Z1966" i="12"/>
  <c r="Z2444" i="12"/>
  <c r="Z1823" i="12"/>
  <c r="Z706" i="12"/>
  <c r="Z516" i="12"/>
  <c r="Z2030" i="12"/>
  <c r="Z3176" i="12"/>
  <c r="Z123" i="12"/>
  <c r="Z3415" i="12"/>
  <c r="Z3480" i="12"/>
  <c r="Z1673" i="12"/>
  <c r="Z1775" i="12"/>
  <c r="Z3019" i="12"/>
  <c r="Z2723" i="12"/>
  <c r="Z1722" i="12"/>
  <c r="Z3422" i="12"/>
  <c r="Z1577" i="12"/>
  <c r="Z3328" i="12"/>
  <c r="Z2746" i="12"/>
  <c r="Z1526" i="12"/>
  <c r="Z1890" i="12"/>
  <c r="Z1279" i="12"/>
  <c r="Z2203" i="12"/>
  <c r="Z1696" i="12"/>
  <c r="Z867" i="12"/>
  <c r="Z603" i="12"/>
  <c r="Z3467" i="12"/>
  <c r="Z3038" i="12"/>
  <c r="Z272" i="12"/>
  <c r="Z1620" i="12"/>
  <c r="Z1703" i="12"/>
  <c r="Z486" i="12"/>
  <c r="Z984" i="12"/>
  <c r="Z1530" i="12"/>
  <c r="Z2961" i="12"/>
  <c r="Z1516" i="12"/>
  <c r="Z3314" i="12"/>
  <c r="Z1522" i="12"/>
  <c r="Z522" i="12"/>
  <c r="Z2831" i="12"/>
  <c r="Z1686" i="12"/>
  <c r="Z311" i="12"/>
  <c r="Z1211" i="12"/>
  <c r="Z725" i="12"/>
  <c r="Z1355" i="12"/>
  <c r="Z1269" i="12"/>
  <c r="Z704" i="12"/>
  <c r="Z1552" i="12"/>
  <c r="Z257" i="12"/>
  <c r="Z908" i="12"/>
  <c r="Z584" i="12"/>
  <c r="Z2370" i="12"/>
  <c r="Z1884" i="12"/>
  <c r="Z1490" i="12"/>
  <c r="Z720" i="12"/>
  <c r="Z714" i="12"/>
  <c r="Z2153" i="12"/>
  <c r="Z2498" i="12"/>
  <c r="Z1248" i="12"/>
  <c r="Z1033" i="12"/>
  <c r="Z1350" i="12"/>
  <c r="Z2838" i="12"/>
  <c r="Z1483" i="12"/>
  <c r="Z2569" i="12"/>
  <c r="Z3420" i="12"/>
  <c r="Z1583" i="12"/>
  <c r="Z618" i="12"/>
  <c r="Z1788" i="12"/>
  <c r="Z1187" i="12"/>
  <c r="Z3067" i="12"/>
  <c r="Z3411" i="12"/>
  <c r="Z2163" i="12"/>
  <c r="Z1849" i="12"/>
  <c r="Z1302" i="12"/>
  <c r="Z1660" i="12"/>
  <c r="Z341" i="12"/>
  <c r="Z2772" i="12"/>
  <c r="Z1254" i="12"/>
  <c r="Z1351" i="12"/>
  <c r="Z3031" i="12"/>
  <c r="Z1315" i="12"/>
  <c r="Z3242" i="12"/>
  <c r="Z3098" i="12"/>
  <c r="Z3537" i="12"/>
  <c r="Z552" i="12"/>
  <c r="Z1879" i="12"/>
  <c r="Z2059" i="12"/>
  <c r="Z3167" i="12"/>
  <c r="Z739" i="12"/>
  <c r="Z489" i="12"/>
  <c r="Z2937" i="12"/>
  <c r="Z142" i="12"/>
  <c r="Z418" i="12"/>
  <c r="Z3225" i="12"/>
  <c r="Z916" i="12"/>
  <c r="Z3262" i="12"/>
  <c r="Z2610" i="12"/>
  <c r="Z1386" i="12"/>
  <c r="Z1925" i="12"/>
  <c r="Z968" i="12"/>
  <c r="Z1084" i="12"/>
  <c r="Z1923" i="12"/>
  <c r="Z988" i="12"/>
  <c r="Z559" i="12"/>
  <c r="Z2756" i="12"/>
  <c r="Z774" i="12"/>
  <c r="Z591" i="12"/>
  <c r="Z1955" i="12"/>
  <c r="Z3370" i="12"/>
  <c r="Z2779" i="12"/>
  <c r="Z2630" i="12"/>
  <c r="Z2229" i="12"/>
  <c r="Z2911" i="12"/>
  <c r="Z513" i="12"/>
  <c r="Z3013" i="12"/>
  <c r="Z929" i="12"/>
  <c r="Z2657" i="12"/>
  <c r="Z3400" i="12"/>
  <c r="Z1627" i="12"/>
  <c r="Z3251" i="12"/>
  <c r="Z3211" i="12"/>
  <c r="Z3377" i="12"/>
  <c r="Z991" i="12"/>
  <c r="Z2253" i="12"/>
  <c r="Z797" i="12"/>
  <c r="Z884" i="12"/>
  <c r="Z3412" i="12"/>
  <c r="Z3047" i="12"/>
  <c r="Z1264" i="12"/>
  <c r="Z3189" i="12"/>
  <c r="Z3005" i="12"/>
  <c r="Z289" i="12"/>
  <c r="Z2924" i="12"/>
  <c r="Z2926" i="12"/>
  <c r="Z3240" i="12"/>
  <c r="Z2302" i="12"/>
  <c r="Z631" i="12"/>
  <c r="Z2100" i="12"/>
  <c r="Z3464" i="12"/>
  <c r="Z1114" i="12"/>
  <c r="Z2387" i="12"/>
  <c r="Z306" i="12"/>
  <c r="Z2597" i="12"/>
  <c r="Z1919" i="12"/>
  <c r="Z222" i="12"/>
  <c r="Z3033" i="12"/>
  <c r="Z1987" i="12"/>
  <c r="Z218" i="12"/>
  <c r="Z2775" i="12"/>
  <c r="Z2659" i="12"/>
  <c r="Z1356" i="12"/>
  <c r="Z1640" i="12"/>
  <c r="Z3443" i="12"/>
  <c r="Z1011" i="12"/>
  <c r="Z3318" i="12"/>
  <c r="Z2538" i="12"/>
  <c r="Z392" i="12"/>
  <c r="Z1244" i="12"/>
  <c r="Z2134" i="12"/>
  <c r="Z3270" i="12"/>
  <c r="Z2354" i="12"/>
  <c r="Z1920" i="12"/>
  <c r="Z1462" i="12"/>
  <c r="Z1256" i="12"/>
  <c r="Z3062" i="12"/>
  <c r="Z3094" i="12"/>
  <c r="Z744" i="12"/>
  <c r="Z1146" i="12"/>
  <c r="Z2103" i="12"/>
  <c r="Z1726" i="12"/>
  <c r="Z2271" i="12"/>
  <c r="Z1365" i="12"/>
  <c r="Z2562" i="12"/>
  <c r="Z206" i="12"/>
  <c r="Z610" i="12"/>
  <c r="Z2071" i="12"/>
  <c r="Z2333" i="12"/>
  <c r="Z1832" i="12"/>
  <c r="Z2233" i="12"/>
  <c r="Z564" i="12"/>
  <c r="Z1617" i="12"/>
  <c r="Z1369" i="12"/>
  <c r="Z135" i="12"/>
  <c r="Z1797" i="12"/>
  <c r="Z391" i="12"/>
  <c r="Z451" i="12"/>
  <c r="Z1437" i="12"/>
  <c r="Z1159" i="12"/>
  <c r="Z3407" i="12"/>
  <c r="Z1661" i="12"/>
  <c r="Z3482" i="12"/>
  <c r="Z1608" i="12"/>
  <c r="Z2713" i="12"/>
  <c r="Z2371" i="12"/>
  <c r="Z161" i="12"/>
  <c r="Z2218" i="12"/>
  <c r="Z2401" i="12"/>
  <c r="Z3132" i="12"/>
  <c r="Z2878" i="12"/>
  <c r="Z1947" i="12"/>
  <c r="Z3376" i="12"/>
  <c r="Z932" i="12"/>
  <c r="Z2000" i="12"/>
  <c r="Z2489" i="12"/>
  <c r="Z1204" i="12"/>
  <c r="Z77" i="12"/>
  <c r="Z3413" i="12"/>
  <c r="Z3486" i="12"/>
  <c r="Z3441" i="12"/>
  <c r="Z122" i="12"/>
  <c r="Z3060" i="12"/>
  <c r="Z1546" i="12"/>
  <c r="Z3260" i="12"/>
  <c r="Z520" i="12"/>
  <c r="Z97" i="12"/>
  <c r="Z2400" i="12"/>
  <c r="Z975" i="12"/>
  <c r="Z2865" i="12"/>
  <c r="Z1335" i="12"/>
  <c r="Z1000" i="12"/>
  <c r="Z1786" i="12"/>
  <c r="Z1414" i="12"/>
  <c r="Z31" i="12"/>
  <c r="Z2234" i="12"/>
  <c r="Z1813" i="12"/>
  <c r="Z1007" i="12"/>
  <c r="Z2242" i="12"/>
  <c r="Z3380" i="12"/>
  <c r="Z3159" i="12"/>
  <c r="Z1531" i="12"/>
  <c r="Z2449" i="12"/>
  <c r="Z2090" i="12"/>
  <c r="Z1707" i="12"/>
  <c r="Z1793" i="12"/>
  <c r="Z635" i="12"/>
  <c r="Z3082" i="12"/>
  <c r="Z2464" i="12"/>
  <c r="Z3263" i="12"/>
  <c r="Z839" i="12"/>
  <c r="Z2221" i="12"/>
  <c r="Z1144" i="12"/>
  <c r="Z199" i="12"/>
  <c r="Z1317" i="12"/>
  <c r="Z1050" i="12"/>
  <c r="Z96" i="12"/>
  <c r="Z764" i="12"/>
  <c r="Z3425" i="12"/>
  <c r="Z3206" i="12"/>
  <c r="Z22" i="12"/>
  <c r="Z686" i="12"/>
  <c r="Z1233" i="12"/>
  <c r="Z3492" i="12"/>
  <c r="Z3477" i="12"/>
  <c r="Z2467" i="12"/>
  <c r="Z871" i="12"/>
  <c r="Z1282" i="12"/>
  <c r="Z1981" i="12"/>
  <c r="Z2062" i="12"/>
  <c r="Z1665" i="12"/>
  <c r="Z1124" i="12"/>
  <c r="Z1945" i="12"/>
  <c r="Z1576" i="12"/>
  <c r="Z2525" i="12"/>
  <c r="Z1341" i="12"/>
  <c r="Z3500" i="12"/>
  <c r="Z1843" i="12"/>
  <c r="Z873" i="12"/>
  <c r="Z2584" i="12"/>
  <c r="Z1685" i="12"/>
  <c r="Z3382" i="12"/>
  <c r="Z1896" i="12"/>
  <c r="Z657" i="12"/>
  <c r="Z2721" i="12"/>
  <c r="Z2813" i="12"/>
  <c r="Z500" i="12"/>
  <c r="Z2202" i="12"/>
  <c r="Z2272" i="12"/>
  <c r="Z1275" i="12"/>
  <c r="Z1950" i="12"/>
  <c r="Z233" i="12"/>
  <c r="Z1957" i="12"/>
  <c r="Z3473" i="12"/>
  <c r="Z868" i="12"/>
  <c r="Z959" i="12"/>
  <c r="Z757" i="12"/>
  <c r="Z226" i="12"/>
  <c r="Z2577" i="12"/>
  <c r="Z3322" i="12"/>
  <c r="Z2065" i="12"/>
  <c r="Z154" i="12"/>
  <c r="Z1086" i="12"/>
  <c r="Z2497" i="12"/>
  <c r="Z519" i="12"/>
  <c r="Z1397" i="12"/>
  <c r="Z2476" i="12"/>
  <c r="Z919" i="12"/>
  <c r="Z913" i="12"/>
  <c r="Z2493" i="12"/>
  <c r="Z551" i="12"/>
  <c r="Z2376" i="12"/>
  <c r="Z1035" i="12"/>
  <c r="Z3526" i="12"/>
  <c r="Z466" i="12"/>
  <c r="Z1631" i="12"/>
  <c r="Z3128" i="12"/>
  <c r="Z921" i="12"/>
  <c r="Z1155" i="12"/>
  <c r="Z332" i="12"/>
  <c r="Z293" i="12"/>
  <c r="Z723" i="12"/>
  <c r="Z1471" i="12"/>
  <c r="Z1449" i="12"/>
  <c r="Z1056" i="12"/>
  <c r="Z615" i="12"/>
  <c r="Z2259" i="12"/>
  <c r="Z1887" i="12"/>
  <c r="Z3049" i="12"/>
  <c r="Z3264" i="12"/>
  <c r="Z1980" i="12"/>
  <c r="Z82" i="12"/>
  <c r="Z3244" i="12"/>
  <c r="Z3335" i="12"/>
  <c r="Z713" i="12"/>
  <c r="Z1222" i="12"/>
  <c r="Z1125" i="12"/>
  <c r="Z1749" i="12"/>
  <c r="Z2637" i="12"/>
  <c r="Z3055" i="12"/>
  <c r="Z345" i="12"/>
  <c r="Z1700" i="12"/>
  <c r="Z292" i="12"/>
  <c r="Z2082" i="12"/>
  <c r="Z1165" i="12"/>
  <c r="Z1318" i="12"/>
  <c r="Z2570" i="12"/>
  <c r="Z3455" i="12"/>
  <c r="Z2683" i="12"/>
  <c r="Z347" i="12"/>
  <c r="Z273" i="12"/>
  <c r="Z2169" i="12"/>
  <c r="Z1319" i="12"/>
  <c r="Z1595" i="12"/>
  <c r="Z2518" i="12"/>
  <c r="Z1334" i="12"/>
  <c r="Z1250" i="12"/>
  <c r="Z421" i="12"/>
  <c r="Z2989" i="12"/>
  <c r="Z2164" i="12"/>
  <c r="Z3539" i="12"/>
  <c r="Z3516" i="12"/>
  <c r="Z2287" i="12"/>
  <c r="Z504" i="12"/>
  <c r="Z1917" i="12"/>
  <c r="Z3069" i="12"/>
  <c r="Z2089" i="12"/>
  <c r="Z3536" i="12"/>
  <c r="Z2193" i="12"/>
  <c r="Z2753" i="12"/>
  <c r="Z1207" i="12"/>
  <c r="Z450" i="12"/>
  <c r="Z3129" i="12"/>
  <c r="Z544" i="12"/>
  <c r="Z840" i="12"/>
  <c r="Z2894" i="12"/>
  <c r="Z709" i="12"/>
  <c r="Z2136" i="12"/>
  <c r="Z2032" i="12"/>
  <c r="Z2329" i="12"/>
  <c r="Z1750" i="12"/>
  <c r="Z1562" i="12"/>
  <c r="Z1404" i="12"/>
  <c r="Z3039" i="12"/>
  <c r="Z1551" i="12"/>
  <c r="Z2389" i="12"/>
  <c r="Z1805" i="12"/>
  <c r="Z3037" i="12"/>
  <c r="Z1353" i="12"/>
  <c r="Z3381" i="12"/>
  <c r="Z2548" i="12"/>
  <c r="Z1622" i="12"/>
  <c r="Z447" i="12"/>
  <c r="Z3348" i="12"/>
  <c r="Z1076" i="12"/>
  <c r="Z2628" i="12"/>
  <c r="Z576" i="12"/>
  <c r="Z3056" i="12"/>
  <c r="Z1463" i="12"/>
  <c r="Z2943" i="12"/>
  <c r="Z2994" i="12"/>
  <c r="Z3350" i="12"/>
  <c r="Z2198" i="12"/>
  <c r="Z558" i="12"/>
  <c r="Z2561" i="12"/>
  <c r="Z1928" i="12"/>
  <c r="Z2499" i="12"/>
  <c r="Z2238" i="12"/>
  <c r="Z2532" i="12"/>
  <c r="Z1669" i="12"/>
  <c r="Z250" i="12"/>
  <c r="Z350" i="12"/>
  <c r="Z2595" i="12"/>
  <c r="Z2513" i="12"/>
  <c r="Z2519" i="12"/>
  <c r="Z2098" i="12"/>
  <c r="Z1602" i="12"/>
  <c r="Z482" i="12"/>
  <c r="Z2292" i="12"/>
  <c r="Z981" i="12"/>
  <c r="Z2357" i="12"/>
  <c r="Z1873" i="12"/>
  <c r="Z639" i="12"/>
  <c r="Z2651" i="12"/>
  <c r="Z755" i="12"/>
  <c r="Z2810" i="12"/>
  <c r="Z248" i="12"/>
  <c r="Z2237" i="12"/>
  <c r="Z2687" i="12"/>
  <c r="Z2947" i="12"/>
  <c r="Z1936" i="12"/>
  <c r="Z738" i="12"/>
  <c r="Z3435" i="12"/>
  <c r="Z398" i="12"/>
  <c r="Z133" i="12"/>
  <c r="Z578" i="12"/>
  <c r="Z1422" i="12"/>
  <c r="Z1406" i="12"/>
  <c r="Z2039" i="12"/>
  <c r="Z3545" i="12"/>
  <c r="Z782" i="12"/>
  <c r="Z2500" i="12"/>
  <c r="Z1880" i="12"/>
  <c r="Z3238" i="12"/>
  <c r="Z2374" i="12"/>
  <c r="Z695" i="12"/>
  <c r="Z1049" i="12"/>
  <c r="Z2663" i="12"/>
  <c r="Z2502" i="12"/>
  <c r="Z1372" i="12"/>
  <c r="Z1316" i="12"/>
  <c r="Z1321" i="12"/>
  <c r="Z3117" i="12"/>
  <c r="Z2578" i="12"/>
  <c r="Z2632" i="12"/>
  <c r="Z1368" i="12"/>
  <c r="Z3015" i="12"/>
  <c r="Z2664" i="12"/>
  <c r="Z198" i="12"/>
  <c r="Z1581" i="12"/>
  <c r="Z2990" i="12"/>
  <c r="Z1094" i="12"/>
  <c r="Z751" i="12"/>
  <c r="Z2745" i="12"/>
  <c r="Z3346" i="12"/>
  <c r="Z2666" i="12"/>
  <c r="Z1545" i="12"/>
  <c r="Z1435" i="12"/>
  <c r="Z2290" i="12"/>
  <c r="Z2800" i="12"/>
  <c r="Z2682" i="12"/>
  <c r="Z372" i="12"/>
  <c r="Z1329" i="12"/>
  <c r="Z3465" i="12"/>
  <c r="Z452" i="12"/>
  <c r="Z2957" i="12"/>
  <c r="Z2949" i="12"/>
  <c r="Z1568" i="12"/>
  <c r="Z1323" i="12"/>
  <c r="Z408" i="12"/>
  <c r="Z238" i="12"/>
  <c r="Z2891" i="12"/>
  <c r="Z622" i="12"/>
  <c r="Z3004" i="12"/>
  <c r="Z2812" i="12"/>
  <c r="Z2430" i="12"/>
  <c r="Z2693" i="12"/>
  <c r="Z220" i="12"/>
  <c r="Z1874" i="12"/>
  <c r="Z1019" i="12"/>
  <c r="Z1978" i="12"/>
  <c r="Z3093" i="12"/>
  <c r="Z214" i="12"/>
  <c r="Z1239" i="12"/>
  <c r="Z304" i="12"/>
  <c r="Z3529" i="12"/>
  <c r="Z620" i="12"/>
  <c r="Z831" i="12"/>
  <c r="Z2288" i="12"/>
  <c r="Z3292" i="12"/>
  <c r="Z1460" i="12"/>
  <c r="Z1900" i="12"/>
  <c r="Z2124" i="12"/>
  <c r="Z1127" i="12"/>
  <c r="Z893" i="12"/>
  <c r="Z2658" i="12"/>
  <c r="Z2624" i="12"/>
  <c r="Z3233" i="12"/>
  <c r="Z2085" i="12"/>
  <c r="Z2546" i="12"/>
  <c r="Z1434" i="12"/>
  <c r="Z1971" i="12"/>
  <c r="Z1690" i="12"/>
  <c r="Z1491" i="12"/>
  <c r="Z1130" i="12"/>
  <c r="Z2675" i="12"/>
  <c r="Z972" i="12"/>
  <c r="Z2608" i="12"/>
  <c r="Z1736" i="12"/>
  <c r="Z2321" i="12"/>
  <c r="Z2522" i="12"/>
  <c r="Z275" i="12"/>
  <c r="Z2201" i="12"/>
  <c r="Z2349" i="12"/>
  <c r="Z2143" i="12"/>
  <c r="Z1117" i="12"/>
  <c r="Z2872" i="12"/>
  <c r="Z2439" i="12"/>
  <c r="Z1712" i="12"/>
  <c r="Z2479" i="12"/>
  <c r="Z1729" i="12"/>
  <c r="Z419" i="12"/>
  <c r="Z1306" i="12"/>
  <c r="Z1790" i="12"/>
  <c r="Z2616" i="12"/>
  <c r="Z2291" i="12"/>
  <c r="Z1969" i="12"/>
  <c r="Z912" i="12"/>
  <c r="Z2273" i="12"/>
  <c r="Z2123" i="12"/>
  <c r="Z1198" i="12"/>
  <c r="Z249" i="12"/>
  <c r="Z844" i="12"/>
  <c r="Z823" i="12"/>
  <c r="Z1477" i="12"/>
  <c r="Z511" i="12"/>
  <c r="Z2115" i="12"/>
  <c r="Z1395" i="12"/>
  <c r="Z1419" i="12"/>
  <c r="Z2350" i="12"/>
  <c r="Z2174" i="12"/>
  <c r="Z3058" i="12"/>
  <c r="Z2443" i="12"/>
  <c r="Z728" i="12"/>
  <c r="Z1415" i="12"/>
  <c r="Z302" i="12"/>
  <c r="Z863" i="12"/>
  <c r="Z2093" i="12"/>
  <c r="Z2568" i="12"/>
  <c r="Z3172" i="12"/>
  <c r="Z3091" i="12"/>
  <c r="Z2910" i="12"/>
  <c r="Z1791" i="12"/>
  <c r="Z2222" i="12"/>
  <c r="Z3119" i="12"/>
  <c r="Z630" i="12"/>
  <c r="Z2701" i="12"/>
  <c r="Z2729" i="12"/>
  <c r="Z407" i="12"/>
  <c r="Z1591" i="12"/>
  <c r="Z3126" i="12"/>
  <c r="Z3145" i="12"/>
  <c r="Z1557" i="12"/>
  <c r="Z3546" i="12"/>
  <c r="Z127" i="12"/>
  <c r="Z3158" i="12"/>
  <c r="Z371" i="12"/>
  <c r="Z2023" i="12"/>
  <c r="Z935" i="12"/>
  <c r="Z3461" i="12"/>
  <c r="Z168" i="12"/>
  <c r="Z2617" i="12"/>
  <c r="Z104" i="12"/>
  <c r="Z422" i="12"/>
  <c r="Z2648" i="12"/>
  <c r="Z80" i="12"/>
  <c r="Z2420" i="12"/>
  <c r="Z1847" i="12"/>
  <c r="Z2665" i="12"/>
  <c r="Z2367" i="12"/>
  <c r="Z953" i="12"/>
  <c r="Z1758" i="12"/>
  <c r="Z487" i="12"/>
  <c r="Z2931" i="12"/>
  <c r="Z2185" i="12"/>
  <c r="Z2355" i="12"/>
  <c r="Z446" i="12"/>
  <c r="Z1892" i="12"/>
  <c r="Z70" i="12"/>
  <c r="Z1345" i="12"/>
  <c r="Z1814" i="12"/>
  <c r="Z3398" i="12"/>
  <c r="Z1270" i="12"/>
  <c r="Z312" i="12"/>
  <c r="Z2127" i="12"/>
  <c r="Z370" i="12"/>
  <c r="Z3203" i="12"/>
  <c r="Z1653" i="12"/>
  <c r="Z962" i="12"/>
  <c r="Z1954" i="12"/>
  <c r="Z585" i="12"/>
  <c r="Z2122" i="12"/>
  <c r="Z3124" i="12"/>
  <c r="Z167" i="12"/>
  <c r="Z792" i="12"/>
  <c r="Z1911" i="12"/>
  <c r="Z655" i="12"/>
  <c r="Z1778" i="12"/>
  <c r="Z2186" i="12"/>
  <c r="Z956" i="12"/>
  <c r="Z128" i="12"/>
  <c r="Z2758" i="12"/>
  <c r="Z934" i="12"/>
  <c r="Z1006" i="12"/>
  <c r="Z1311" i="12"/>
  <c r="Z1055" i="12"/>
  <c r="Z572" i="12"/>
  <c r="Z2688" i="12"/>
  <c r="Z1933" i="12"/>
  <c r="Z2703" i="12"/>
  <c r="Z94" i="12"/>
  <c r="Z1575" i="12"/>
  <c r="Z838" i="12"/>
  <c r="Z131" i="12"/>
  <c r="Z387" i="12"/>
  <c r="Z3018" i="12"/>
  <c r="Z328" i="12"/>
  <c r="Z2295" i="12"/>
  <c r="Z437" i="12"/>
  <c r="Z473" i="12"/>
  <c r="Z2109" i="12"/>
  <c r="Z1327" i="12"/>
  <c r="Z1402" i="12"/>
  <c r="Z1251" i="12"/>
  <c r="Z2263" i="12"/>
  <c r="Z470" i="12"/>
  <c r="Z3394" i="12"/>
  <c r="Z978" i="12"/>
  <c r="Z1921" i="12"/>
  <c r="Z1730" i="12"/>
  <c r="Z2900" i="12"/>
  <c r="Z296" i="12"/>
  <c r="Z2175" i="12"/>
  <c r="Z145" i="12"/>
  <c r="Z3250" i="12"/>
  <c r="Z1748" i="12"/>
  <c r="Z313" i="12"/>
  <c r="Z2061" i="12"/>
  <c r="Z1727" i="12"/>
  <c r="Z219" i="12"/>
  <c r="Z726" i="12"/>
  <c r="Z34" i="12"/>
  <c r="Z3506" i="12"/>
  <c r="Z2162" i="12"/>
  <c r="Z1484" i="12"/>
  <c r="Z2537" i="12"/>
  <c r="Z3450" i="12"/>
  <c r="Z2483" i="12"/>
  <c r="Z1798" i="12"/>
  <c r="Z308" i="12"/>
  <c r="Z2392" i="12"/>
  <c r="Z1201" i="12"/>
  <c r="Z593" i="12"/>
  <c r="Z2727" i="12"/>
  <c r="Z1426" i="12"/>
  <c r="Z2393" i="12"/>
  <c r="Z3323" i="12"/>
  <c r="Z1401" i="12"/>
  <c r="Z208" i="12"/>
  <c r="Z49" i="12"/>
  <c r="Z3268" i="12"/>
  <c r="Z2766" i="12"/>
  <c r="Z750" i="12"/>
  <c r="Z126" i="12"/>
  <c r="Z1537" i="12"/>
  <c r="Z1442" i="12"/>
  <c r="Z2771" i="12"/>
  <c r="Z76" i="12"/>
  <c r="Z621" i="12"/>
  <c r="Z157" i="12"/>
  <c r="Z1226" i="12"/>
  <c r="Z3009" i="12"/>
  <c r="Z1394" i="12"/>
  <c r="Z2404" i="12"/>
  <c r="Z1458" i="12"/>
  <c r="Z3070" i="12"/>
  <c r="Z1424" i="12"/>
  <c r="Z1408" i="12"/>
  <c r="Z54" i="12"/>
  <c r="Z2066" i="12"/>
  <c r="Z172" i="12"/>
  <c r="Z3140" i="12"/>
  <c r="Z1325" i="12"/>
  <c r="Z763" i="12"/>
  <c r="Z1476" i="12"/>
  <c r="Z2892" i="12"/>
  <c r="Z389" i="12"/>
  <c r="Z1133" i="12"/>
  <c r="Z765" i="12"/>
  <c r="Z973" i="12"/>
  <c r="Z1701" i="12"/>
  <c r="Z1220" i="12"/>
  <c r="Z2299" i="12"/>
  <c r="Z215" i="12"/>
  <c r="Z2544" i="12"/>
  <c r="Z1544" i="12"/>
  <c r="Z1869" i="12"/>
  <c r="Z294" i="12"/>
  <c r="Z2835" i="12"/>
  <c r="Z3050" i="12"/>
  <c r="Z1461" i="12"/>
  <c r="Z671" i="12"/>
  <c r="Z3523" i="12"/>
  <c r="Z829" i="12"/>
  <c r="Z1037" i="12"/>
  <c r="Z815" i="12"/>
  <c r="Z644" i="12"/>
  <c r="Z173" i="12"/>
  <c r="Z73" i="12"/>
  <c r="Z1457" i="12"/>
  <c r="Z567" i="12"/>
  <c r="Z1396" i="12"/>
  <c r="Z2950" i="12"/>
  <c r="Z2918" i="12"/>
  <c r="Z772" i="12"/>
  <c r="Z1052" i="12"/>
  <c r="Z2445" i="12"/>
  <c r="Z3371" i="12"/>
  <c r="Z571" i="12"/>
  <c r="Z1322" i="12"/>
  <c r="Z393" i="12"/>
  <c r="Z1732" i="12"/>
  <c r="Z2088" i="12"/>
  <c r="Z2707" i="12"/>
  <c r="Z1624" i="12"/>
  <c r="Z745" i="12"/>
  <c r="Z2056" i="12"/>
  <c r="Z1420" i="12"/>
  <c r="Z1175" i="12"/>
  <c r="Z1470" i="12"/>
  <c r="Z2212" i="12"/>
  <c r="Z1257" i="12"/>
  <c r="Z2789" i="12"/>
  <c r="Z2916" i="12"/>
  <c r="Z2252" i="12"/>
  <c r="Z436" i="12"/>
  <c r="Z3160" i="12"/>
  <c r="Z85" i="12"/>
  <c r="Z1485" i="12"/>
  <c r="Z346" i="12"/>
  <c r="Z1842" i="12"/>
  <c r="Z92" i="12"/>
  <c r="Z964" i="12"/>
  <c r="Z149" i="12"/>
  <c r="Z3243" i="12"/>
  <c r="Z3352" i="12"/>
  <c r="Z2635" i="12"/>
  <c r="Z1817" i="12"/>
  <c r="Z760" i="12"/>
  <c r="Z3088" i="12"/>
  <c r="Z403" i="12"/>
  <c r="Z1563" i="12"/>
  <c r="Z779" i="12"/>
  <c r="Z2095" i="12"/>
  <c r="Z3216" i="12"/>
  <c r="Z1547" i="12"/>
  <c r="Z286" i="12"/>
  <c r="Z3051" i="12"/>
  <c r="Z1373" i="12"/>
  <c r="Z1456" i="12"/>
  <c r="Z2790" i="12"/>
  <c r="Z1580" i="12"/>
  <c r="Z1455" i="12"/>
  <c r="Z2403" i="12"/>
  <c r="Z2868" i="12"/>
  <c r="Z2385" i="12"/>
  <c r="Z3277" i="12"/>
  <c r="Z2690" i="12"/>
  <c r="Z565" i="12"/>
  <c r="Z1930" i="12"/>
  <c r="Z524" i="12"/>
  <c r="Z1428" i="12"/>
  <c r="Z3035" i="12"/>
  <c r="Z3143" i="12"/>
  <c r="Z1902" i="12"/>
  <c r="Z1922" i="12"/>
  <c r="Z678" i="12"/>
  <c r="Z3052" i="12"/>
  <c r="Z2475" i="12"/>
  <c r="Z340" i="12"/>
  <c r="Z24" i="12"/>
  <c r="Z1388" i="12"/>
  <c r="Z2605" i="12"/>
  <c r="Z897" i="12"/>
  <c r="Z488" i="12"/>
  <c r="Z3083" i="12"/>
  <c r="Z883" i="12"/>
  <c r="Z331" i="12"/>
  <c r="Z3155" i="12"/>
  <c r="Z1908" i="12"/>
  <c r="Z1606" i="12"/>
  <c r="Z1080" i="12"/>
  <c r="Z3111" i="12"/>
  <c r="Z822" i="12"/>
  <c r="Z3542" i="12"/>
  <c r="Z3504" i="12"/>
  <c r="Z540" i="12"/>
  <c r="Z364" i="12"/>
  <c r="Z805" i="12"/>
  <c r="Z3321" i="12"/>
  <c r="Z3319" i="12"/>
  <c r="Z1399" i="12"/>
  <c r="Z626" i="12"/>
  <c r="Z1937" i="12"/>
  <c r="Z1223" i="12"/>
  <c r="Z2967" i="12"/>
  <c r="Z1836" i="12"/>
  <c r="Z933" i="12"/>
  <c r="Z183" i="12"/>
  <c r="Z3202" i="12"/>
  <c r="Z1036" i="12"/>
  <c r="Z44" i="12"/>
  <c r="Z3110" i="12"/>
  <c r="Z1979" i="12"/>
  <c r="Z2461" i="12"/>
  <c r="Z895" i="12"/>
  <c r="Z1131" i="12"/>
  <c r="Z986" i="12"/>
  <c r="Z862" i="12"/>
  <c r="Z2411" i="12"/>
  <c r="Z3331" i="12"/>
  <c r="Z1004" i="12"/>
  <c r="Z3185" i="12"/>
  <c r="Z2955" i="12"/>
  <c r="Z2962" i="12"/>
  <c r="Z753" i="12"/>
  <c r="Z3099" i="12"/>
  <c r="Z3048" i="12"/>
  <c r="Z684" i="12"/>
  <c r="Z1102" i="12"/>
  <c r="Z804" i="12"/>
  <c r="Z1853" i="12"/>
  <c r="Z3358" i="12"/>
  <c r="Z3103" i="12"/>
  <c r="Z702" i="12"/>
  <c r="Z1539" i="12"/>
  <c r="Z2353" i="12"/>
  <c r="Z1548" i="12"/>
  <c r="Z2364" i="12"/>
  <c r="Z2419" i="12"/>
  <c r="Z1513" i="12"/>
  <c r="Z3520" i="12"/>
  <c r="Z2488" i="12"/>
  <c r="Z2747" i="12"/>
  <c r="Z342" i="12"/>
  <c r="Z1916" i="12"/>
  <c r="Z1779" i="12"/>
  <c r="Z1122" i="12"/>
  <c r="Z1096" i="12"/>
  <c r="Z2147" i="12"/>
  <c r="Z1938" i="12"/>
  <c r="Z3199" i="12"/>
  <c r="Z2310" i="12"/>
  <c r="Z1708" i="12"/>
  <c r="Z209" i="12"/>
  <c r="Z3418" i="12"/>
  <c r="Z3445" i="12"/>
  <c r="Z2971" i="12"/>
  <c r="Z2112" i="12"/>
  <c r="Z62" i="12"/>
  <c r="Z697" i="12"/>
  <c r="Z169" i="12"/>
  <c r="Z1376" i="12"/>
  <c r="Z505" i="12"/>
  <c r="Z2583" i="12"/>
  <c r="Z2564" i="12"/>
  <c r="Z2917" i="12"/>
  <c r="Z2585" i="12"/>
  <c r="Z3489" i="12"/>
  <c r="Z260" i="12"/>
  <c r="Z3193" i="12"/>
  <c r="Z2754" i="12"/>
  <c r="Z1479" i="12"/>
  <c r="Z3339" i="12"/>
  <c r="Z2210" i="12"/>
  <c r="Z2817" i="12"/>
  <c r="Z2360" i="12"/>
  <c r="Z1909" i="12"/>
  <c r="Z692" i="12"/>
  <c r="Z3419" i="12"/>
  <c r="Z2620" i="12"/>
  <c r="Z2795" i="12"/>
  <c r="Z116" i="12"/>
  <c r="Z2642" i="12"/>
  <c r="Z530" i="12"/>
  <c r="Z1524" i="12"/>
  <c r="Z2028" i="12"/>
  <c r="Z3127" i="12"/>
  <c r="Z1077" i="12"/>
  <c r="Z3241" i="12"/>
  <c r="Z2733" i="12"/>
  <c r="Z2602" i="12"/>
  <c r="Z1194" i="12"/>
  <c r="Z1747" i="12"/>
  <c r="Z1078" i="12"/>
  <c r="Z3283" i="12"/>
  <c r="Z2504" i="12"/>
  <c r="Z2459" i="12"/>
  <c r="Z669" i="12"/>
  <c r="Z3230" i="12"/>
  <c r="Z545" i="12"/>
  <c r="Z1810" i="12"/>
  <c r="Z2300" i="12"/>
  <c r="Z1841" i="12"/>
  <c r="Z676" i="12"/>
  <c r="Z2884" i="12"/>
  <c r="Z2048" i="12"/>
  <c r="Z72" i="12"/>
  <c r="Z2704" i="12"/>
  <c r="Z1822" i="12"/>
  <c r="Z2809" i="12"/>
  <c r="Z1156" i="12"/>
  <c r="Z2266" i="12"/>
  <c r="Z3164" i="12"/>
  <c r="Z1918" i="12"/>
  <c r="Z1443" i="12"/>
  <c r="Z333" i="12"/>
  <c r="Z614" i="12"/>
  <c r="Z3431" i="12"/>
  <c r="Z674" i="12"/>
  <c r="Z1882" i="12"/>
  <c r="Z2021" i="12"/>
  <c r="Z526" i="12"/>
  <c r="Z2366" i="12"/>
  <c r="Z2901" i="12"/>
  <c r="Z3496" i="12"/>
  <c r="Z2882" i="12"/>
  <c r="Z241" i="12"/>
  <c r="Z810" i="12"/>
  <c r="Z426" i="12"/>
  <c r="Z1016" i="12"/>
  <c r="Z1438" i="12"/>
  <c r="Z1333" i="12"/>
  <c r="Z2257" i="12"/>
  <c r="Z2881" i="12"/>
  <c r="Z1068" i="12"/>
  <c r="Z3195" i="12"/>
  <c r="Z2074" i="12"/>
  <c r="Z1104" i="12"/>
  <c r="Z3120" i="12"/>
  <c r="Z2527" i="12"/>
  <c r="Z2526" i="12"/>
  <c r="Z2168" i="12"/>
  <c r="Z1655" i="12"/>
  <c r="Z1235" i="12"/>
  <c r="Z596" i="12"/>
  <c r="Z1236" i="12"/>
  <c r="Z1493" i="12"/>
  <c r="Z2099" i="12"/>
  <c r="Z2875" i="12"/>
  <c r="Z1940" i="12"/>
  <c r="Z2571" i="12"/>
  <c r="Z430" i="12"/>
  <c r="Z315" i="12"/>
  <c r="Z2325" i="12"/>
  <c r="Z1613" i="12"/>
  <c r="Z2119" i="12"/>
  <c r="Z1994" i="12"/>
  <c r="Z2730" i="12"/>
  <c r="Z1645" i="12"/>
  <c r="Z1177" i="12"/>
  <c r="Z107" i="12"/>
  <c r="Z2870" i="12"/>
  <c r="Z1385" i="12"/>
  <c r="Z922" i="12"/>
  <c r="Z865" i="12"/>
  <c r="Z890" i="12"/>
  <c r="Z1676" i="12"/>
  <c r="Z1612" i="12"/>
  <c r="Z3384" i="12"/>
  <c r="Z2662" i="12"/>
  <c r="Z2308" i="12"/>
  <c r="Z1138" i="12"/>
  <c r="Z1740" i="12"/>
  <c r="Z2050" i="12"/>
  <c r="Z1991" i="12"/>
  <c r="Z2948" i="12"/>
  <c r="Z3054" i="12"/>
  <c r="Z843" i="12"/>
  <c r="Z1626" i="12"/>
  <c r="Z283" i="12"/>
  <c r="Z1313" i="12"/>
  <c r="Z27" i="12"/>
  <c r="Z1340" i="12"/>
  <c r="Z3470" i="12"/>
  <c r="Z2903" i="12"/>
  <c r="Z3313" i="12"/>
  <c r="Z1091" i="12"/>
  <c r="Z1298" i="12"/>
  <c r="Z495" i="12"/>
  <c r="Z2262" i="12"/>
  <c r="Z694" i="12"/>
  <c r="Z879" i="12"/>
  <c r="Z1180" i="12"/>
  <c r="Z2696" i="12"/>
  <c r="Z3106" i="12"/>
  <c r="Z1741" i="12"/>
  <c r="Z3271" i="12"/>
  <c r="Z2930" i="12"/>
  <c r="Z3393" i="12"/>
  <c r="Z235" i="12"/>
  <c r="Z987" i="12"/>
  <c r="Z1403" i="12"/>
  <c r="Z2029" i="12"/>
  <c r="Z1109" i="12"/>
  <c r="Z1060" i="12"/>
  <c r="Z1020" i="12"/>
  <c r="Z1698" i="12"/>
  <c r="Z429" i="12"/>
  <c r="Z3454" i="12"/>
  <c r="Z1085" i="12"/>
  <c r="Z3427" i="12"/>
  <c r="Z1183" i="12"/>
  <c r="Z1774" i="12"/>
  <c r="Z3235" i="12"/>
  <c r="Z2593" i="12"/>
  <c r="Z1342" i="12"/>
  <c r="Z899" i="12"/>
  <c r="Z177" i="12"/>
  <c r="Z1286" i="12"/>
  <c r="Z2932" i="12"/>
  <c r="Z121" i="12"/>
  <c r="Z2887" i="12"/>
  <c r="Z213" i="12"/>
  <c r="Z940" i="12"/>
  <c r="Z3299" i="12"/>
  <c r="Z3157" i="12"/>
  <c r="Z3521" i="12"/>
  <c r="Z1856" i="12"/>
  <c r="Z2997" i="12"/>
  <c r="Z433" i="12"/>
  <c r="Z1135" i="12"/>
  <c r="Z337" i="12"/>
  <c r="Z1010" i="12"/>
  <c r="Z788" i="12"/>
  <c r="Z724" i="12"/>
  <c r="Z946" i="12"/>
  <c r="Z192" i="12"/>
  <c r="Z1288" i="12"/>
  <c r="Z1716" i="12"/>
  <c r="Z1638" i="12"/>
  <c r="Z1864" i="12"/>
  <c r="Z835" i="12"/>
  <c r="Z3147" i="12"/>
  <c r="Z880" i="12"/>
  <c r="Z1359" i="12"/>
  <c r="Z2084" i="12"/>
  <c r="Z3053" i="12"/>
  <c r="Z3390" i="12"/>
  <c r="Z373" i="12"/>
  <c r="Z2214" i="12"/>
  <c r="Z3401" i="12"/>
  <c r="Z1711" i="12"/>
  <c r="Z136" i="12"/>
  <c r="Z2429" i="12"/>
  <c r="Z1274" i="12"/>
  <c r="Z990" i="12"/>
  <c r="Z2966" i="12"/>
  <c r="Z2801" i="12"/>
  <c r="Z966" i="12"/>
  <c r="Z1134" i="12"/>
  <c r="Z494" i="12"/>
  <c r="Z2581" i="12"/>
  <c r="Z285" i="12"/>
  <c r="Z2555" i="12"/>
  <c r="Z50" i="12"/>
  <c r="Z175" i="12"/>
  <c r="Z1185" i="12"/>
  <c r="Z3372" i="12"/>
  <c r="Z2574" i="12"/>
  <c r="Z144" i="12"/>
  <c r="Z180" i="12"/>
  <c r="Z1412" i="12"/>
  <c r="Z2410" i="12"/>
  <c r="Z1242" i="12"/>
  <c r="Z2996" i="12"/>
  <c r="Z25" i="12"/>
  <c r="Z298" i="12"/>
  <c r="Z1119" i="12"/>
  <c r="Z2551" i="12"/>
  <c r="Z1450" i="12"/>
  <c r="Z2101" i="12"/>
  <c r="Z1846" i="12"/>
  <c r="Z1785" i="12"/>
  <c r="Z807" i="12"/>
  <c r="Z3541" i="12"/>
  <c r="Z118" i="12"/>
  <c r="Z396" i="12"/>
  <c r="Z837" i="12"/>
  <c r="Z3285" i="12"/>
  <c r="Z2974" i="12"/>
  <c r="Z3365" i="12"/>
  <c r="Z1150" i="12"/>
  <c r="Z1411" i="12"/>
  <c r="Z1693" i="12"/>
  <c r="Z1390" i="12"/>
  <c r="Z2016" i="12"/>
  <c r="Z2034" i="12"/>
  <c r="Z1905" i="12"/>
  <c r="Z1090" i="12"/>
  <c r="Z1468" i="12"/>
  <c r="Z1570" i="12"/>
  <c r="Z2541" i="12"/>
  <c r="Z2296" i="12"/>
  <c r="Z1126" i="12"/>
  <c r="Z55" i="12"/>
  <c r="Z1439" i="12"/>
  <c r="Z1984" i="12"/>
  <c r="Z2206" i="12"/>
  <c r="Z1742" i="12"/>
  <c r="Z2463" i="12"/>
  <c r="Z3324" i="12"/>
  <c r="Z3100" i="12"/>
  <c r="Z3430" i="12"/>
  <c r="Z1153" i="12"/>
  <c r="Z1172" i="12"/>
  <c r="Z165" i="12"/>
  <c r="Z2902" i="12"/>
  <c r="Z2770" i="12"/>
  <c r="Z3447" i="12"/>
  <c r="Z969" i="12"/>
  <c r="Z996" i="12"/>
  <c r="Z1924" i="12"/>
  <c r="Z2142" i="12"/>
  <c r="Z2126" i="12"/>
  <c r="Z2611" i="12"/>
  <c r="Z1182" i="12"/>
  <c r="Z3436" i="12"/>
  <c r="Z1533" i="12"/>
  <c r="Z1967" i="12"/>
  <c r="Z3215" i="12"/>
  <c r="Z3116" i="12"/>
  <c r="Z1106" i="12"/>
  <c r="Z1067" i="12"/>
  <c r="Z1829" i="12"/>
  <c r="Z2251" i="12"/>
  <c r="Z1389" i="12"/>
  <c r="Z903" i="12"/>
  <c r="Z2563" i="12"/>
  <c r="Z1480" i="12"/>
  <c r="Z3191" i="12"/>
  <c r="Z2643" i="12"/>
  <c r="Z3297" i="12"/>
  <c r="Z69" i="12"/>
  <c r="Z3303" i="12"/>
  <c r="Z2543" i="12"/>
  <c r="Z3275" i="12"/>
  <c r="Z1615" i="12"/>
  <c r="Z176" i="12"/>
  <c r="Z2241" i="12"/>
  <c r="Z2580" i="12"/>
  <c r="Z2820" i="12"/>
  <c r="Z1486" i="12"/>
  <c r="Z2797" i="12"/>
  <c r="Z2592" i="12"/>
  <c r="Z1780" i="12"/>
  <c r="Z2785" i="12"/>
  <c r="Z1794" i="12"/>
  <c r="Z1245" i="12"/>
  <c r="Z1684" i="12"/>
  <c r="Z721" i="12"/>
  <c r="Z1430" i="12"/>
  <c r="Z1196" i="12"/>
  <c r="Z284" i="12"/>
  <c r="Z1505" i="12"/>
  <c r="Z3416" i="12"/>
  <c r="Z2995" i="12"/>
  <c r="Z588" i="12"/>
  <c r="Z417" i="12"/>
  <c r="Z2303" i="12"/>
  <c r="Z2743" i="12"/>
  <c r="Z190" i="12"/>
  <c r="Z2978" i="12"/>
  <c r="Z2788" i="12"/>
  <c r="Z1664" i="12"/>
  <c r="Z353" i="12"/>
  <c r="Z1405" i="12"/>
  <c r="Z276" i="12"/>
  <c r="Z2640" i="12"/>
  <c r="Z1228" i="12"/>
  <c r="Z1717" i="12"/>
  <c r="Z747" i="12"/>
  <c r="Z384" i="12"/>
  <c r="Z2398" i="12"/>
  <c r="Z2517" i="12"/>
  <c r="Z137" i="12"/>
  <c r="Z999" i="12"/>
  <c r="Z1326" i="12"/>
  <c r="Z247" i="12"/>
  <c r="Z1454" i="12"/>
  <c r="Z3525" i="12"/>
  <c r="Z3494" i="12"/>
  <c r="Z139" i="12"/>
  <c r="Z2348" i="12"/>
  <c r="Z1995" i="12"/>
  <c r="Z1968" i="12"/>
  <c r="Z2781" i="12"/>
  <c r="Z1656" i="12"/>
  <c r="Z1529" i="12"/>
  <c r="Z1215" i="12"/>
  <c r="Z404" i="12"/>
  <c r="Z1272" i="12"/>
  <c r="Z711" i="12"/>
  <c r="Z3182" i="12"/>
  <c r="Z3046" i="12"/>
  <c r="Z263" i="12"/>
  <c r="Z743" i="12"/>
  <c r="Z1744" i="12"/>
  <c r="Z1704" i="12"/>
  <c r="Z980" i="12"/>
  <c r="Z861" i="12"/>
  <c r="Z1556" i="12"/>
  <c r="Z965" i="12"/>
  <c r="Z2044" i="12"/>
  <c r="Z3524" i="12"/>
  <c r="Z1418" i="12"/>
  <c r="Z3432" i="12"/>
  <c r="Z119" i="12"/>
  <c r="Z606" i="12"/>
  <c r="Z21" i="12"/>
  <c r="Z3254" i="12"/>
  <c r="Z2750" i="12"/>
  <c r="Z2673" i="12"/>
  <c r="Z758" i="12"/>
  <c r="Z937" i="12"/>
  <c r="Z2332" i="12"/>
  <c r="Z232" i="12"/>
  <c r="Z1848" i="12"/>
  <c r="Z91" i="12"/>
  <c r="Z37" i="12"/>
  <c r="Z749" i="12"/>
  <c r="Z2323" i="12"/>
  <c r="Z3490" i="12"/>
  <c r="Z2024" i="12"/>
  <c r="Z2848" i="12"/>
  <c r="Z1523" i="12"/>
  <c r="Z2412" i="12"/>
  <c r="Z2104" i="12"/>
  <c r="Z3442" i="12"/>
  <c r="Z2676" i="12"/>
  <c r="Z1611" i="12"/>
  <c r="Z2453" i="12"/>
  <c r="Z2674" i="12"/>
  <c r="Z1200" i="12"/>
  <c r="Z1833" i="12"/>
  <c r="Z195" i="12"/>
  <c r="Z1023" i="12"/>
  <c r="Z3294" i="12"/>
  <c r="Z2734" i="12"/>
  <c r="Z762" i="12"/>
  <c r="Z1518" i="12"/>
  <c r="Z664" i="12"/>
  <c r="Z1225" i="12"/>
  <c r="Z1510" i="12"/>
  <c r="Z3298" i="12"/>
  <c r="Z3102" i="12"/>
  <c r="Z2431" i="12"/>
  <c r="Z3518" i="12"/>
  <c r="Z1521" i="12"/>
  <c r="Z86" i="12"/>
  <c r="Z3347" i="12"/>
  <c r="Z188" i="12"/>
  <c r="Z2984" i="12"/>
  <c r="Z1079" i="12"/>
  <c r="Z2710" i="12"/>
  <c r="Z994" i="12"/>
  <c r="Z2386" i="12"/>
  <c r="Z1296" i="12"/>
  <c r="Z1059" i="12"/>
  <c r="Z2130" i="12"/>
  <c r="Z1753" i="12"/>
  <c r="Z3226" i="12"/>
  <c r="Z463" i="12"/>
  <c r="Z3451" i="12"/>
  <c r="Z1881" i="12"/>
  <c r="Z910" i="12"/>
  <c r="Z542" i="12"/>
  <c r="Z1472" i="12"/>
  <c r="Z1777" i="12"/>
  <c r="Z846" i="12"/>
  <c r="Z2026" i="12"/>
  <c r="Z656" i="12"/>
  <c r="Z1501" i="12"/>
  <c r="Z1549" i="12"/>
  <c r="Z3025" i="12"/>
  <c r="Z1042" i="12"/>
  <c r="Z1393" i="12"/>
  <c r="Z1851" i="12"/>
  <c r="Z1694" i="12"/>
  <c r="Z924" i="12"/>
  <c r="Z301" i="12"/>
  <c r="Z1997" i="12"/>
  <c r="Z2312" i="12"/>
  <c r="Z1002" i="12"/>
  <c r="Z2293" i="12"/>
  <c r="Z2335" i="12"/>
  <c r="Z2036" i="12"/>
  <c r="Z2277" i="12"/>
  <c r="Z3368" i="12"/>
  <c r="Z1053" i="12"/>
  <c r="Z2507" i="12"/>
  <c r="Z3375" i="12"/>
  <c r="Z1614" i="12"/>
  <c r="Z438" i="12"/>
  <c r="Z29" i="12"/>
  <c r="Z374" i="12"/>
  <c r="Z189" i="12"/>
  <c r="Z2638" i="12"/>
  <c r="Z2279" i="12"/>
  <c r="Z2859" i="12"/>
  <c r="Z1689" i="12"/>
  <c r="Z1206" i="12"/>
  <c r="Z2934" i="12"/>
  <c r="Z2396" i="12"/>
  <c r="Z887" i="12"/>
  <c r="Z943" i="12"/>
  <c r="Z3302" i="12"/>
  <c r="Z3519" i="12"/>
  <c r="Z211" i="12"/>
  <c r="Z3239" i="12"/>
  <c r="Z2560" i="12"/>
  <c r="Z607" i="12"/>
  <c r="Z918" i="12"/>
  <c r="Z253" i="12"/>
  <c r="Z84" i="12"/>
  <c r="Z1253" i="12"/>
  <c r="Z3514" i="12"/>
  <c r="Z1652" i="12"/>
  <c r="Z1974" i="12"/>
  <c r="Z1871" i="12"/>
  <c r="Z3136" i="12"/>
  <c r="Z2077" i="12"/>
  <c r="Z1735" i="12"/>
  <c r="Z3261" i="12"/>
  <c r="Z1958" i="12"/>
  <c r="Z1382" i="12"/>
  <c r="Z1675" i="12"/>
  <c r="Z3327" i="12"/>
  <c r="Z3513" i="12"/>
  <c r="Z1706" i="12"/>
  <c r="Z2375" i="12"/>
  <c r="Z2397" i="12"/>
  <c r="Z2697" i="12"/>
  <c r="Z2845" i="12"/>
  <c r="Z465" i="12"/>
  <c r="Z1590" i="12"/>
  <c r="Z483" i="12"/>
  <c r="Z2309" i="12"/>
  <c r="Z325" i="12"/>
  <c r="Z2669" i="12"/>
  <c r="Z1515" i="12"/>
  <c r="Z1473" i="12"/>
  <c r="Z359" i="12"/>
  <c r="Z672" i="12"/>
  <c r="Z3522" i="12"/>
  <c r="Z1024" i="12"/>
  <c r="Z617" i="12"/>
  <c r="Z3362" i="12"/>
  <c r="Z3227" i="12"/>
  <c r="Z1913" i="12"/>
  <c r="Z2414" i="12"/>
  <c r="Z2017" i="12"/>
  <c r="Z680" i="12"/>
  <c r="Z1564" i="12"/>
  <c r="Z2782" i="12"/>
  <c r="Z1398" i="12"/>
  <c r="Z636" i="12"/>
  <c r="Z1762" i="12"/>
  <c r="Z1170" i="12"/>
  <c r="Z1567" i="12"/>
  <c r="Z2863" i="12"/>
  <c r="Z2413" i="12"/>
  <c r="Z2814" i="12"/>
  <c r="Z1140" i="12"/>
  <c r="Z1132" i="12"/>
  <c r="Z612" i="12"/>
  <c r="Z1811" i="12"/>
  <c r="Z1208" i="12"/>
  <c r="Z2824" i="12"/>
  <c r="Z378" i="12"/>
  <c r="Z1178" i="12"/>
  <c r="Z3304" i="12"/>
  <c r="Z638" i="12"/>
  <c r="Z641" i="12"/>
  <c r="Z252" i="12"/>
  <c r="Z2244" i="12"/>
  <c r="Z1720" i="12"/>
  <c r="Z277" i="12"/>
  <c r="Z1057" i="12"/>
  <c r="Z780" i="12"/>
  <c r="Z259" i="12"/>
  <c r="Z395" i="12"/>
  <c r="Z1666" i="12"/>
  <c r="Z628" i="12"/>
  <c r="Z299" i="12"/>
  <c r="Z1828" i="12"/>
  <c r="Z20" i="12"/>
  <c r="Z800" i="12"/>
  <c r="Z2545" i="12"/>
  <c r="Z1054" i="12"/>
  <c r="Z3402" i="12"/>
  <c r="Z3180" i="12"/>
  <c r="Z3101" i="12"/>
  <c r="Z2001" i="12"/>
  <c r="Z1429" i="12"/>
  <c r="Z958" i="12"/>
  <c r="Z2446" i="12"/>
  <c r="Z2808" i="12"/>
  <c r="Z2609" i="12"/>
  <c r="Z270" i="12"/>
  <c r="Z2382" i="12"/>
  <c r="Z3408" i="12"/>
  <c r="Z2851" i="12"/>
  <c r="Z255" i="12"/>
  <c r="Z998" i="12"/>
  <c r="Z703" i="12"/>
  <c r="Z1677" i="12"/>
  <c r="Z376" i="12"/>
  <c r="Z2297" i="12"/>
  <c r="Z2438" i="12"/>
  <c r="Z1733" i="12"/>
  <c r="Z911" i="12"/>
  <c r="Z1799" i="12"/>
  <c r="Z3080" i="12"/>
  <c r="Z1625" i="12"/>
  <c r="Z654" i="12"/>
  <c r="Z1683" i="12"/>
  <c r="Z2108" i="12"/>
  <c r="Z1634" i="12"/>
  <c r="Z2171" i="12"/>
  <c r="Z2598" i="12"/>
  <c r="Z1509" i="12"/>
  <c r="Z1752" i="12"/>
  <c r="Z3551" i="12"/>
  <c r="Z454" i="12"/>
  <c r="Z1934" i="12"/>
  <c r="Z1776" i="12"/>
  <c r="Z2004" i="12"/>
  <c r="Z1651" i="12"/>
  <c r="Z1089" i="12"/>
  <c r="Z321" i="12"/>
  <c r="Z637" i="12"/>
  <c r="Z2240" i="12"/>
  <c r="Z3219" i="12"/>
  <c r="Z3534" i="12"/>
  <c r="Z891" i="12"/>
  <c r="Z1427" i="12"/>
  <c r="Z444" i="12"/>
  <c r="Z556" i="12"/>
  <c r="Z2340" i="12"/>
  <c r="Z573" i="12"/>
  <c r="Z974" i="12"/>
  <c r="Z440" i="12"/>
  <c r="Z960" i="12"/>
  <c r="Z1914" i="12"/>
  <c r="Z367" i="12"/>
  <c r="Z3066" i="12"/>
  <c r="Z182" i="12"/>
  <c r="Z2209" i="12"/>
  <c r="Z2055" i="12"/>
  <c r="Z957" i="12"/>
  <c r="Z355" i="12"/>
  <c r="Z1488" i="12"/>
  <c r="Z554" i="12"/>
  <c r="Z1592" i="12"/>
  <c r="Z2053" i="12"/>
  <c r="Z1792" i="12"/>
  <c r="Z1959" i="12"/>
  <c r="Z2205" i="12"/>
  <c r="Z1161" i="12"/>
  <c r="Z2152" i="12"/>
  <c r="Z1986" i="12"/>
  <c r="Z941" i="12"/>
  <c r="Z1261" i="12"/>
  <c r="Z1027" i="12"/>
  <c r="Z1171" i="12"/>
  <c r="Z3510" i="12"/>
  <c r="Z1573" i="12"/>
  <c r="Z1410" i="12"/>
  <c r="Z3105" i="12"/>
  <c r="Z2661" i="12"/>
  <c r="Z1579" i="12"/>
  <c r="Z778" i="12"/>
  <c r="Z2217" i="12"/>
  <c r="Z146" i="12"/>
  <c r="Z627" i="12"/>
  <c r="Z2877" i="12"/>
  <c r="Z2079" i="12"/>
  <c r="Z595" i="12"/>
  <c r="Z1815" i="12"/>
  <c r="Z480" i="12"/>
  <c r="Z3144" i="12"/>
  <c r="Z2035" i="12"/>
  <c r="Z295" i="12"/>
  <c r="Z383" i="12"/>
  <c r="Z2331" i="12"/>
  <c r="Z814" i="12"/>
  <c r="Z2343" i="12"/>
  <c r="Z453" i="12"/>
  <c r="Z3113" i="12"/>
  <c r="Z2728" i="12"/>
  <c r="Z410" i="12"/>
  <c r="Z2052" i="12"/>
  <c r="Z1328" i="12"/>
  <c r="Z563" i="12"/>
  <c r="Z1982" i="12"/>
  <c r="Z2874" i="12"/>
  <c r="Z2679" i="12"/>
  <c r="Z1015" i="12"/>
  <c r="Z2285" i="12"/>
  <c r="Z1263" i="12"/>
  <c r="Z1681" i="12"/>
  <c r="Z1801" i="12"/>
  <c r="Z1176" i="12"/>
  <c r="Z179" i="12"/>
  <c r="Z1416" i="12"/>
  <c r="Z2841" i="12"/>
  <c r="Z170" i="12"/>
  <c r="Z2586" i="12"/>
  <c r="Z1218" i="12"/>
  <c r="Z2041" i="12"/>
  <c r="Z2670" i="12"/>
  <c r="Z1166" i="12"/>
  <c r="Z30" i="12"/>
  <c r="Z478" i="12"/>
  <c r="Z2929" i="12"/>
  <c r="Z280" i="12"/>
  <c r="Z2973" i="12"/>
  <c r="Z3484" i="12"/>
  <c r="Z2081" i="12"/>
  <c r="Z156" i="12"/>
  <c r="Z541" i="12"/>
  <c r="Z2539" i="12"/>
  <c r="Z1772" i="12"/>
  <c r="Z534" i="12"/>
  <c r="Z2588" i="12"/>
  <c r="Z3073" i="12"/>
  <c r="Z2311" i="12"/>
  <c r="Z1066" i="12"/>
  <c r="Z679" i="12"/>
  <c r="Z1001" i="12"/>
  <c r="Z150" i="12"/>
  <c r="Z1860" i="12"/>
  <c r="Z1247" i="12"/>
  <c r="Z57" i="12"/>
  <c r="Z936" i="12"/>
  <c r="Z205" i="12"/>
  <c r="Z212" i="12"/>
  <c r="Z2129" i="12"/>
  <c r="Z2474" i="12"/>
  <c r="Z471" i="12"/>
  <c r="Z166" i="12"/>
  <c r="Z2087" i="12"/>
  <c r="Z1554" i="12"/>
  <c r="Z1384" i="12"/>
  <c r="Z2732" i="12"/>
  <c r="Z477" i="12"/>
  <c r="Z362" i="12"/>
  <c r="Z3344" i="12"/>
  <c r="Z99" i="12"/>
  <c r="Z2137" i="12"/>
  <c r="Z2596" i="12"/>
  <c r="Z828" i="12"/>
  <c r="Z2684" i="12"/>
  <c r="Z319" i="12"/>
  <c r="Z2181" i="12"/>
  <c r="Z1331" i="12"/>
  <c r="Z629" i="12"/>
  <c r="Z413" i="12"/>
  <c r="Z3252" i="12"/>
  <c r="Z464" i="12"/>
  <c r="Z2885" i="12"/>
  <c r="Z2698" i="12"/>
  <c r="Z2972" i="12"/>
  <c r="Z718" i="12"/>
  <c r="Z39" i="12"/>
  <c r="Z1181" i="12"/>
  <c r="Z2275" i="12"/>
  <c r="Z2668" i="12"/>
  <c r="Z1550" i="12"/>
  <c r="Z748" i="12"/>
  <c r="Z2794" i="12"/>
  <c r="Z3287" i="12"/>
  <c r="Z2246" i="12"/>
  <c r="Z2197" i="12"/>
  <c r="Z2604" i="12"/>
  <c r="Z507" i="12"/>
  <c r="Z1818" i="12"/>
  <c r="Z2345" i="12"/>
  <c r="Z3289" i="12"/>
  <c r="Z1482" i="12"/>
  <c r="Z2735" i="12"/>
  <c r="Z1682" i="12"/>
  <c r="Z767" i="12"/>
  <c r="Z2320" i="12"/>
  <c r="Z2283" i="12"/>
  <c r="Z2883" i="12"/>
  <c r="Z2825" i="12"/>
  <c r="Z736" i="12"/>
  <c r="Z1840" i="12"/>
  <c r="Z89" i="12"/>
  <c r="Z1498" i="12"/>
  <c r="Z1243" i="12"/>
  <c r="Z3483" i="12"/>
  <c r="Z288" i="12"/>
  <c r="Z2832" i="12"/>
  <c r="Z727" i="12"/>
  <c r="Z1118" i="12"/>
  <c r="Z2110" i="12"/>
  <c r="Z1886" i="12"/>
  <c r="Z611" i="12"/>
  <c r="Z1447" i="12"/>
  <c r="Z1739" i="12"/>
  <c r="Z836" i="12"/>
  <c r="Z1189" i="12"/>
  <c r="Z761" i="12"/>
  <c r="Z858" i="12"/>
  <c r="Z79" i="12"/>
  <c r="Z1374" i="12"/>
  <c r="Z1287" i="12"/>
  <c r="Z1375" i="12"/>
  <c r="Z1128" i="12"/>
  <c r="Z2080" i="12"/>
  <c r="Z1271" i="12"/>
  <c r="Z3020" i="12"/>
  <c r="Z3175" i="12"/>
  <c r="Z3549" i="12"/>
  <c r="Z2540" i="12"/>
  <c r="Z537" i="12"/>
  <c r="Z3449" i="12"/>
  <c r="Z555" i="12"/>
  <c r="Z2503" i="12"/>
  <c r="Z651" i="12"/>
  <c r="Z348" i="12"/>
  <c r="Z3022" i="12"/>
  <c r="Z1659" i="12"/>
  <c r="Z2418" i="12"/>
  <c r="Z1062" i="12"/>
  <c r="Z977" i="12"/>
  <c r="Z1073" i="12"/>
  <c r="Z2426" i="12"/>
  <c r="Z2942" i="12"/>
  <c r="Z274" i="12"/>
  <c r="Z3369" i="12"/>
  <c r="Z2556" i="12"/>
  <c r="Z1193" i="12"/>
  <c r="Z2358" i="12"/>
  <c r="Z683" i="12"/>
  <c r="Z926" i="12"/>
  <c r="Z1051" i="12"/>
  <c r="Z3511" i="12"/>
  <c r="Z1616" i="12"/>
  <c r="Z741" i="12"/>
  <c r="Z801" i="12"/>
  <c r="Z1391" i="12"/>
  <c r="Z742" i="12"/>
  <c r="Z184" i="12"/>
  <c r="Z2802" i="12"/>
  <c r="Z2223" i="12"/>
  <c r="Z2946" i="12"/>
  <c r="Z459" i="12"/>
  <c r="Z46" i="12"/>
  <c r="Z2118" i="12"/>
  <c r="Z291" i="12"/>
  <c r="Z2531" i="12"/>
  <c r="Z3349" i="12"/>
  <c r="Z1348" i="12"/>
  <c r="Z2906" i="12"/>
  <c r="Z1174" i="12"/>
  <c r="Z2314" i="12"/>
  <c r="Z330" i="12"/>
  <c r="Z2826" i="12"/>
  <c r="Z665" i="12"/>
  <c r="Z2557" i="12"/>
  <c r="Z3505" i="12"/>
  <c r="Z598" i="12"/>
  <c r="Z2554" i="12"/>
  <c r="Z2405" i="12"/>
  <c r="Z2361" i="12"/>
  <c r="Z1158" i="12"/>
  <c r="Z510" i="12"/>
  <c r="Z400" i="12"/>
  <c r="Z2944" i="12"/>
  <c r="Z1927" i="12"/>
  <c r="Z186" i="12"/>
  <c r="Z81" i="12"/>
  <c r="Z798" i="12"/>
  <c r="Z547" i="12"/>
  <c r="Z2227" i="12"/>
  <c r="Z3044" i="12"/>
  <c r="Z439" i="12"/>
  <c r="Z432" i="12"/>
  <c r="Z860" i="12"/>
  <c r="Z514" i="12"/>
  <c r="Z1582" i="12"/>
  <c r="Z693" i="12"/>
  <c r="Z701" i="12"/>
  <c r="Z200" i="12"/>
  <c r="Z3221" i="12"/>
  <c r="Z268" i="12"/>
  <c r="Z1804" i="12"/>
  <c r="Z2716" i="12"/>
  <c r="Z661" i="12"/>
  <c r="Z3092" i="12"/>
  <c r="Z2856" i="12"/>
  <c r="Z2196" i="12"/>
  <c r="Z2451" i="12"/>
  <c r="Z120" i="12"/>
  <c r="Z608" i="12"/>
  <c r="Z1095" i="12"/>
  <c r="Z461" i="12"/>
  <c r="Z2284" i="12"/>
  <c r="Z710" i="12"/>
  <c r="Z2594" i="12"/>
  <c r="Z722" i="12"/>
  <c r="Z2116" i="12"/>
  <c r="Z2711" i="12"/>
  <c r="Z1173" i="12"/>
  <c r="Z2939" i="12"/>
  <c r="Z129" i="12"/>
  <c r="Z415" i="12"/>
  <c r="Z3360" i="12"/>
  <c r="Z2305" i="12"/>
  <c r="Z1444" i="12"/>
  <c r="Z2394" i="12"/>
  <c r="Z1607" i="12"/>
  <c r="Z42" i="12"/>
  <c r="Z2140" i="12"/>
  <c r="Z790" i="12"/>
  <c r="Z2265" i="12"/>
  <c r="Z2313" i="12"/>
  <c r="Z616" i="12"/>
  <c r="Z1121" i="12"/>
  <c r="Z2671" i="12"/>
  <c r="Z1364" i="12"/>
  <c r="Z78" i="12"/>
  <c r="Z322" i="12"/>
  <c r="Z2456" i="12"/>
  <c r="Z3284" i="12"/>
  <c r="Z886" i="12"/>
  <c r="Z1972" i="12"/>
  <c r="Z1512" i="12"/>
  <c r="Z3016" i="12"/>
  <c r="Z3367" i="12"/>
  <c r="Z1440" i="12"/>
  <c r="Z265" i="12"/>
  <c r="Z3366" i="12"/>
  <c r="Z402" i="12"/>
  <c r="Z2025" i="12"/>
  <c r="Z193" i="12"/>
  <c r="Z1859" i="12"/>
  <c r="Z3495" i="12"/>
  <c r="Z2369" i="12"/>
  <c r="Z2815" i="12"/>
  <c r="Z3330" i="12"/>
  <c r="Z1644" i="12"/>
  <c r="Z1878" i="12"/>
  <c r="Z1534" i="12"/>
  <c r="Z1314" i="12"/>
  <c r="Z3301" i="12"/>
  <c r="Z1609" i="12"/>
  <c r="Z3154" i="12"/>
  <c r="Z2336" i="12"/>
  <c r="Z2043" i="12"/>
  <c r="Z2261" i="12"/>
  <c r="Z850" i="12"/>
  <c r="Z3317" i="12"/>
  <c r="Z1895" i="12"/>
  <c r="Z1219" i="12"/>
  <c r="Z577" i="12"/>
  <c r="Z3391" i="12"/>
  <c r="Z816" i="12"/>
  <c r="Z2933" i="12"/>
  <c r="Z1205" i="12"/>
  <c r="Z2842" i="12"/>
  <c r="Z539" i="12"/>
  <c r="Z2485" i="12"/>
  <c r="Z490" i="12"/>
  <c r="Z3174" i="12"/>
  <c r="Z1691" i="12"/>
  <c r="Z236" i="12"/>
  <c r="Z989" i="12"/>
  <c r="Z2469" i="12"/>
  <c r="Z1475" i="12"/>
  <c r="Z503" i="12"/>
  <c r="Z2437" i="12"/>
  <c r="Z939" i="12"/>
  <c r="Z3503" i="12"/>
  <c r="Z876" i="12"/>
  <c r="Z2726" i="12"/>
  <c r="Z2341" i="12"/>
  <c r="Z1688" i="12"/>
  <c r="Z1787" i="12"/>
  <c r="Z381" i="12"/>
  <c r="Z734" i="12"/>
  <c r="Z2573" i="12"/>
  <c r="Z920" i="12"/>
  <c r="Z1445" i="12"/>
  <c r="Z45" i="12"/>
  <c r="Z3481" i="12"/>
  <c r="Z428" i="12"/>
  <c r="Z2191" i="12"/>
  <c r="Z2422" i="12"/>
  <c r="Z698" i="12"/>
  <c r="Z3249" i="12"/>
  <c r="Z3295" i="12"/>
  <c r="Z423" i="12"/>
  <c r="Z2774" i="12"/>
  <c r="Z365" i="12"/>
  <c r="Z132" i="12"/>
  <c r="Z771" i="12"/>
  <c r="Z1941" i="12"/>
  <c r="Z1903" i="12"/>
  <c r="Z231" i="12"/>
  <c r="Z2377" i="12"/>
  <c r="Z425" i="12"/>
  <c r="Z1352" i="12"/>
  <c r="Z2844" i="12"/>
  <c r="Z351" i="12"/>
  <c r="Z472" i="12"/>
  <c r="Z3171" i="12"/>
  <c r="Z3010" i="12"/>
  <c r="Z110" i="12"/>
  <c r="Z2018" i="12"/>
  <c r="Z303" i="12"/>
  <c r="Z2755" i="12"/>
  <c r="Z158" i="12"/>
  <c r="Z1088" i="12"/>
  <c r="Z320" i="12"/>
  <c r="Z3308" i="12"/>
  <c r="Z51" i="12"/>
  <c r="Z1725" i="12"/>
  <c r="Z228" i="12"/>
  <c r="Z481" i="12"/>
  <c r="Z2979" i="12"/>
  <c r="Z317" i="12"/>
  <c r="Z2480" i="12"/>
  <c r="Z485" i="12"/>
  <c r="Z1737" i="12"/>
  <c r="Z1514" i="12"/>
  <c r="Z112" i="12"/>
  <c r="Z2963" i="12"/>
  <c r="Z785" i="12"/>
  <c r="Z3281" i="12"/>
  <c r="Z730" i="12"/>
  <c r="Z2606" i="12"/>
  <c r="Z794" i="12"/>
  <c r="Z976" i="12"/>
  <c r="Z2113" i="12"/>
  <c r="Z670" i="12"/>
  <c r="Z1770" i="12"/>
  <c r="Z225" i="12"/>
  <c r="Z2699" i="12"/>
  <c r="Z3274" i="12"/>
  <c r="Z3356" i="12"/>
  <c r="Z1082" i="12"/>
  <c r="Z2672" i="12"/>
  <c r="Z3023" i="12"/>
  <c r="Z2763" i="12"/>
  <c r="Z2131" i="12"/>
  <c r="Z2627" i="12"/>
  <c r="Z942" i="12"/>
  <c r="Z3265" i="12"/>
  <c r="Z1953" i="12"/>
  <c r="Z581" i="12"/>
  <c r="Z1281" i="12"/>
  <c r="Z2141" i="12"/>
  <c r="Z2250" i="12"/>
  <c r="Z2228" i="12"/>
  <c r="Z658" i="12"/>
  <c r="Z2805" i="12"/>
  <c r="Z786" i="12"/>
  <c r="Z3342" i="12"/>
  <c r="Z2195" i="12"/>
  <c r="Z262" i="12"/>
  <c r="Z586" i="12"/>
  <c r="Z1876" i="12"/>
  <c r="Z2843" i="12"/>
  <c r="Z2529" i="12"/>
  <c r="Z258" i="12"/>
  <c r="Z100" i="12"/>
  <c r="Z134" i="12"/>
  <c r="Z1540" i="12"/>
  <c r="Z2063" i="12"/>
  <c r="Z1680" i="12"/>
  <c r="Z1058" i="12"/>
  <c r="Z344" i="12"/>
  <c r="Z1378" i="12"/>
  <c r="Z1975" i="12"/>
  <c r="Z3236" i="12"/>
  <c r="Z2138" i="12"/>
  <c r="Z521" i="12"/>
  <c r="Z1603" i="12"/>
  <c r="Z3399" i="12"/>
  <c r="Z1034" i="12"/>
  <c r="Z945" i="12"/>
  <c r="Z668" i="12"/>
  <c r="Z3491" i="12"/>
  <c r="Z624" i="12"/>
  <c r="Z1197" i="12"/>
  <c r="Z784" i="12"/>
  <c r="Z2239" i="12"/>
  <c r="Z1621" i="12"/>
  <c r="Z878" i="12"/>
  <c r="Z1759" i="12"/>
  <c r="Z1452" i="12"/>
  <c r="Z1093" i="12"/>
  <c r="Z2641" i="12"/>
  <c r="Z191" i="12"/>
  <c r="Z449" i="12"/>
  <c r="Z2702" i="12"/>
  <c r="Z229" i="12"/>
  <c r="Z3032" i="12"/>
  <c r="Z2852" i="12"/>
  <c r="Z536" i="12"/>
  <c r="Z216" i="12"/>
  <c r="Z2224" i="12"/>
  <c r="Z52" i="12"/>
  <c r="Z543" i="12"/>
  <c r="Z3207" i="12"/>
  <c r="Z3424" i="12"/>
  <c r="Z2765" i="12"/>
  <c r="Z3293" i="12"/>
  <c r="Z2317" i="12"/>
  <c r="Z509" i="12"/>
  <c r="Z818" i="12"/>
  <c r="Z354" i="12"/>
  <c r="Z2457" i="12"/>
  <c r="Z2128" i="12"/>
  <c r="Z1005" i="12"/>
  <c r="Z1276" i="12"/>
  <c r="Z845" i="12"/>
  <c r="Z3410" i="12"/>
  <c r="Z3474" i="12"/>
  <c r="Z3229" i="12"/>
  <c r="Z2352" i="12"/>
  <c r="Z902" i="12"/>
  <c r="Z719" i="12"/>
  <c r="Z36" i="12"/>
  <c r="Z2530" i="12"/>
  <c r="Z412" i="12"/>
  <c r="Z2839" i="12"/>
  <c r="Z1387" i="12"/>
  <c r="Z592" i="12"/>
  <c r="Z2269" i="12"/>
  <c r="Z1358" i="12"/>
  <c r="Z338" i="12"/>
  <c r="Z613" i="12"/>
  <c r="Z1507" i="12"/>
  <c r="Z2776" i="12"/>
  <c r="Z1105" i="12"/>
  <c r="Z2985" i="12"/>
  <c r="Z1160" i="12"/>
  <c r="Z2408" i="12"/>
  <c r="Z2715" i="12"/>
  <c r="Z909" i="12"/>
  <c r="Z1110" i="12"/>
  <c r="Z1186" i="12"/>
  <c r="Z217" i="12"/>
  <c r="Z1213" i="12"/>
  <c r="Z2158" i="12"/>
  <c r="Z2359" i="12"/>
  <c r="Z834" i="12"/>
  <c r="Z1868" i="12"/>
  <c r="Z1635" i="12"/>
  <c r="Z1695" i="12"/>
  <c r="Z3097" i="12"/>
  <c r="Z1312" i="12"/>
  <c r="Z1038" i="12"/>
  <c r="Z3307" i="12"/>
  <c r="Z314" i="12"/>
  <c r="Z1946" i="12"/>
  <c r="Z2784" i="12"/>
  <c r="Z1238" i="12"/>
  <c r="Z1099" i="12"/>
  <c r="Z2677" i="12"/>
  <c r="Z2409" i="12"/>
  <c r="Z1710" i="12"/>
  <c r="Z3404" i="12"/>
  <c r="Z2182" i="12"/>
  <c r="Z3220" i="12"/>
  <c r="Z2161" i="12"/>
  <c r="Z2511" i="12"/>
  <c r="Z2045" i="12"/>
  <c r="Z3448" i="12"/>
  <c r="Z420" i="12"/>
  <c r="Z3076" i="12"/>
  <c r="Z1619" i="12"/>
  <c r="Z1371" i="12"/>
  <c r="Z3063" i="12"/>
  <c r="Z1199" i="12"/>
  <c r="Z3332" i="12"/>
  <c r="Z1499" i="12"/>
  <c r="Z40" i="12"/>
  <c r="Z1240" i="12"/>
  <c r="Z1167" i="12"/>
  <c r="Z2075" i="12"/>
  <c r="Z1290" i="12"/>
  <c r="Z496" i="12"/>
  <c r="Z2613" i="12"/>
  <c r="Z2384" i="12"/>
  <c r="Z1961" i="12"/>
  <c r="Z1363" i="12"/>
  <c r="Z1503" i="12"/>
  <c r="Z1258" i="12"/>
  <c r="Z2520" i="12"/>
  <c r="Z2951" i="12"/>
  <c r="Z1061" i="12"/>
  <c r="Z2999" i="12"/>
  <c r="Z202" i="12"/>
  <c r="Z2280" i="12"/>
  <c r="Z2762" i="12"/>
  <c r="Z1566" i="12"/>
  <c r="Z2600" i="12"/>
  <c r="Z687" i="12"/>
  <c r="Z2388" i="12"/>
  <c r="Z1309" i="12"/>
  <c r="Z3278" i="12"/>
  <c r="Z1996" i="12"/>
  <c r="Z3064" i="12"/>
  <c r="Z1357" i="12"/>
  <c r="Z952" i="12"/>
  <c r="Z2347" i="12"/>
  <c r="Z181" i="12"/>
  <c r="Z1636" i="12"/>
  <c r="Z3231" i="12"/>
  <c r="Z2888" i="12"/>
  <c r="Z1168" i="12"/>
  <c r="Z2434" i="12"/>
  <c r="Z2927" i="12"/>
  <c r="Z1641" i="12"/>
  <c r="Z2646" i="12"/>
  <c r="Z3089" i="12"/>
  <c r="Z527" i="12"/>
  <c r="Z781" i="12"/>
  <c r="Z2614" i="12"/>
  <c r="Z3011" i="12"/>
  <c r="Z1417" i="12"/>
  <c r="Z1141" i="12"/>
  <c r="Z2421" i="12"/>
  <c r="Z143" i="12"/>
  <c r="Z1494" i="12"/>
  <c r="Z269" i="12"/>
  <c r="Z2173" i="12"/>
  <c r="Z2706" i="12"/>
  <c r="Z1022" i="12"/>
  <c r="Z1861" i="12"/>
  <c r="Z3276" i="12"/>
  <c r="Z2178" i="12"/>
  <c r="Z2631" i="12"/>
  <c r="Z901" i="12"/>
  <c r="Z2351" i="12"/>
  <c r="Z2742" i="12"/>
  <c r="Z2960" i="12"/>
  <c r="Z645" i="12"/>
  <c r="Z1569" i="12"/>
  <c r="Z2073" i="12"/>
  <c r="Z3109" i="12"/>
  <c r="Z2724" i="12"/>
  <c r="Z1857" i="12"/>
  <c r="Z3540" i="12"/>
  <c r="Z600" i="12"/>
  <c r="Z1143" i="12"/>
  <c r="Z2304" i="12"/>
  <c r="Z582" i="12"/>
  <c r="Z583" i="12"/>
  <c r="Z310" i="12"/>
  <c r="Z388" i="12"/>
  <c r="Z194" i="12"/>
  <c r="Z3290" i="12"/>
  <c r="Z1586" i="12"/>
  <c r="Z3459" i="12"/>
  <c r="Z2625" i="12"/>
  <c r="Z3458" i="12"/>
  <c r="Z3007" i="12"/>
  <c r="Z23" i="12"/>
  <c r="Z3043" i="12"/>
  <c r="Z1071" i="12"/>
  <c r="Z1249" i="12"/>
  <c r="Z1284" i="12"/>
  <c r="Z533" i="12"/>
  <c r="Z2148" i="12"/>
  <c r="Z632" i="12"/>
  <c r="Z2524" i="12"/>
  <c r="Z1115" i="12"/>
  <c r="Z335" i="12"/>
  <c r="Z3475" i="12"/>
  <c r="Z2509" i="12"/>
  <c r="Z575" i="12"/>
  <c r="Z2315" i="12"/>
  <c r="Z1667" i="12"/>
  <c r="Z1031" i="12"/>
  <c r="Z2204" i="12"/>
  <c r="Z1246" i="12"/>
  <c r="Z705" i="12"/>
  <c r="Z2705" i="12"/>
  <c r="Z2862" i="12"/>
  <c r="Z3354" i="12"/>
  <c r="Z1169" i="12"/>
  <c r="Z397" i="12"/>
  <c r="Z3267" i="12"/>
  <c r="Z3421" i="12"/>
  <c r="Z2752" i="12"/>
  <c r="Z2005" i="12"/>
  <c r="Z1291" i="12"/>
  <c r="Z1795" i="12"/>
  <c r="Z906" i="12"/>
  <c r="Z2208" i="12"/>
  <c r="Z19" i="12"/>
  <c r="Z203" i="12"/>
  <c r="Z1301" i="12"/>
  <c r="Z502" i="12"/>
  <c r="Z568" i="12"/>
  <c r="Z1048" i="12"/>
  <c r="Z460" i="12"/>
  <c r="Z2867" i="12"/>
  <c r="Z3531" i="12"/>
  <c r="Z806" i="12"/>
  <c r="Z2072" i="12"/>
  <c r="Z2836" i="12"/>
  <c r="Z1241" i="12"/>
  <c r="Z2231" i="12"/>
  <c r="Z3345" i="12"/>
  <c r="Z1370" i="12"/>
  <c r="Z3273" i="12"/>
  <c r="Z3437" i="12"/>
  <c r="Z1858" i="12"/>
  <c r="Z497" i="12"/>
  <c r="Z2402" i="12"/>
  <c r="Z1487" i="12"/>
  <c r="Z1361" i="12"/>
  <c r="Z2660" i="12"/>
  <c r="Z2322" i="12"/>
  <c r="Z2822" i="12"/>
  <c r="Z3165" i="12"/>
  <c r="Z1765" i="12"/>
  <c r="Z2804" i="12"/>
  <c r="Z3257" i="12"/>
  <c r="Z3041" i="12"/>
  <c r="Z1297" i="12"/>
  <c r="Z2515" i="12"/>
  <c r="Z2057" i="12"/>
  <c r="Z1572" i="12"/>
  <c r="Z2114" i="12"/>
  <c r="Z930" i="12"/>
  <c r="Z160" i="12"/>
  <c r="Z2040" i="12"/>
  <c r="Z2589" i="12"/>
  <c r="Z1671" i="12"/>
  <c r="Z1632" i="12"/>
  <c r="Z699" i="12"/>
  <c r="Z508" i="12"/>
  <c r="Z2220" i="12"/>
  <c r="Z1827" i="12"/>
  <c r="Z1504" i="12"/>
  <c r="Z2913" i="12"/>
  <c r="Z2330" i="12"/>
  <c r="Z652" i="12"/>
  <c r="Z1633" i="12"/>
  <c r="Z3485" i="12"/>
  <c r="Z793" i="12"/>
  <c r="Z2700" i="12"/>
  <c r="Z369" i="12"/>
  <c r="Z88" i="12"/>
  <c r="Z574" i="12"/>
  <c r="Z2987" i="12"/>
  <c r="Z3512" i="12"/>
  <c r="Z441" i="12"/>
  <c r="Z2769" i="12"/>
  <c r="Z3153" i="12"/>
  <c r="Z717" i="12"/>
  <c r="Z2619" i="12"/>
  <c r="Z733" i="12"/>
  <c r="Z677" i="12"/>
  <c r="Z1899" i="12"/>
  <c r="Z1221" i="12"/>
  <c r="Z1332" i="12"/>
  <c r="Z799" i="12"/>
  <c r="Z1252" i="12"/>
  <c r="Z3502" i="12"/>
  <c r="Z1273" i="12"/>
  <c r="Z1511" i="12"/>
  <c r="Z634" i="12"/>
  <c r="Z108" i="12"/>
  <c r="Z103" i="12"/>
  <c r="Z1259" i="12"/>
  <c r="Z2956" i="12"/>
  <c r="Z2379" i="12"/>
  <c r="Z224" i="12"/>
  <c r="Z140" i="12"/>
  <c r="Z1383" i="12"/>
  <c r="Z3462" i="12"/>
  <c r="Z2905" i="12"/>
  <c r="Z1336" i="12"/>
  <c r="Z2591" i="12"/>
  <c r="Z993" i="12"/>
  <c r="Z66" i="12"/>
  <c r="Z1013" i="12"/>
  <c r="Z2748" i="12"/>
  <c r="Z1699" i="12"/>
  <c r="Z2516" i="12"/>
  <c r="Z3282" i="12"/>
  <c r="Z3466" i="12"/>
  <c r="Z3336" i="12"/>
  <c r="Z3456" i="12"/>
  <c r="Z2977" i="12"/>
  <c r="Z2860" i="12"/>
  <c r="Z1047" i="12"/>
  <c r="Z2559" i="12"/>
  <c r="Z1715" i="12"/>
  <c r="Z2027" i="12"/>
  <c r="Z716" i="12"/>
  <c r="Z1662" i="12"/>
  <c r="Z2837" i="12"/>
  <c r="Z2737" i="12"/>
  <c r="Z2176" i="12"/>
  <c r="Z2975" i="12"/>
  <c r="Z2970" i="12"/>
  <c r="Z2890" i="12"/>
  <c r="Z1618" i="12"/>
  <c r="Z1578" i="12"/>
  <c r="Z3310" i="12"/>
  <c r="Z3527" i="12"/>
  <c r="Z833" i="12"/>
  <c r="Z3027" i="12"/>
  <c r="Z666" i="12"/>
  <c r="Z1448" i="12"/>
  <c r="Z827" i="12"/>
  <c r="Z604" i="12"/>
  <c r="Z401" i="12"/>
  <c r="Z2356" i="12"/>
  <c r="Z237" i="12"/>
  <c r="Z3209" i="12"/>
  <c r="Z2740" i="12"/>
  <c r="Z3311" i="12"/>
  <c r="Z1195" i="12"/>
  <c r="Z787" i="12"/>
  <c r="Z553" i="12"/>
  <c r="Z2521" i="12"/>
  <c r="Z1107" i="12"/>
  <c r="Z1985" i="12"/>
  <c r="Z1593" i="12"/>
  <c r="Z1299" i="12"/>
  <c r="Z1142" i="12"/>
  <c r="Z2270" i="12"/>
  <c r="Z3086" i="12"/>
  <c r="Z1191" i="12"/>
  <c r="Z138" i="12"/>
  <c r="Z2183" i="12"/>
  <c r="Z2920" i="12"/>
  <c r="Z386" i="12"/>
  <c r="Z409" i="12"/>
  <c r="Z363" i="12"/>
  <c r="Z1647" i="12"/>
  <c r="Z1324" i="12"/>
  <c r="Z3186" i="12"/>
  <c r="Z3259" i="12"/>
  <c r="Z2718" i="12"/>
  <c r="Z1453" i="12"/>
  <c r="Z1948" i="12"/>
  <c r="Z1343" i="12"/>
  <c r="Z2853" i="12"/>
  <c r="Z3272" i="12"/>
  <c r="Z808" i="12"/>
  <c r="Z1768" i="12"/>
  <c r="Z3517" i="12"/>
  <c r="Z2685" i="12"/>
  <c r="Z853" i="12"/>
  <c r="Z3072" i="12"/>
  <c r="Z550" i="12"/>
  <c r="Z1542" i="12"/>
  <c r="Z900" i="12"/>
  <c r="Z2097" i="12"/>
  <c r="Z3258" i="12"/>
  <c r="Z3392" i="12"/>
  <c r="Z1837" i="12"/>
  <c r="Z2861" i="12"/>
  <c r="Z1784" i="12"/>
  <c r="Z48" i="12"/>
  <c r="Z3405" i="12"/>
  <c r="Z240" i="12"/>
  <c r="Z802" i="12"/>
  <c r="Z2009" i="12"/>
  <c r="Z2286" i="12"/>
  <c r="Z2477" i="12"/>
  <c r="Z1262" i="12"/>
  <c r="Z602" i="12"/>
  <c r="Z2722" i="12"/>
  <c r="Z2188" i="12"/>
  <c r="Z2407" i="12"/>
  <c r="Z2298" i="12"/>
  <c r="Z1731" i="12"/>
  <c r="Z1721" i="12"/>
  <c r="Z2629" i="12"/>
  <c r="Z474" i="12"/>
  <c r="Z445" i="12"/>
  <c r="Z256" i="12"/>
  <c r="Z2855" i="12"/>
  <c r="Z281" i="12"/>
  <c r="Z2487" i="12"/>
  <c r="Z597" i="12"/>
  <c r="Z3550" i="12"/>
  <c r="Z462" i="12"/>
  <c r="Z2864" i="12"/>
  <c r="Z278" i="12"/>
  <c r="Z905" i="12"/>
  <c r="Z2428" i="12"/>
  <c r="Z267" i="12"/>
  <c r="Z3248" i="12"/>
  <c r="Z360" i="12"/>
  <c r="Z1589" i="12"/>
  <c r="Z1760" i="12"/>
  <c r="Z3544" i="12"/>
  <c r="Z141" i="12"/>
  <c r="Z3108" i="12"/>
  <c r="Z2381" i="12"/>
  <c r="Z3148" i="12"/>
  <c r="Z605" i="12"/>
  <c r="Z1379" i="12"/>
  <c r="Z1293" i="12"/>
  <c r="Z3115" i="12"/>
  <c r="Z1018" i="12"/>
  <c r="Z1642" i="12"/>
  <c r="Z1536" i="12"/>
  <c r="Z594" i="12"/>
  <c r="Z847" i="12"/>
  <c r="Z2092" i="12"/>
  <c r="Z492" i="12"/>
  <c r="Z3337" i="12"/>
  <c r="Z1604" i="12"/>
  <c r="Z356" i="12"/>
  <c r="Z1525" i="12"/>
  <c r="Z1289" i="12"/>
  <c r="Z925" i="12"/>
  <c r="Z532" i="12"/>
  <c r="Z352" i="12"/>
  <c r="Z93" i="12"/>
  <c r="Z824" i="12"/>
  <c r="Z3075" i="12"/>
  <c r="Z2442" i="12"/>
  <c r="Z2105" i="12"/>
  <c r="Z812" i="12"/>
  <c r="Z1844" i="12"/>
  <c r="Z1820" i="12"/>
  <c r="Z2694" i="12"/>
  <c r="Z32" i="12"/>
  <c r="Z2622" i="12"/>
  <c r="Z826" i="12"/>
  <c r="Z1190" i="12"/>
  <c r="Z931" i="12"/>
  <c r="Z390" i="12"/>
  <c r="Z776" i="12"/>
  <c r="Z416" i="12"/>
  <c r="Z3074" i="12"/>
  <c r="Z185" i="12"/>
  <c r="Z3002" i="12"/>
  <c r="Z60" i="12"/>
  <c r="Z3359" i="12"/>
  <c r="Z1912" i="12"/>
  <c r="Z2806" i="12"/>
  <c r="Z997" i="12"/>
  <c r="Z649" i="12"/>
  <c r="Z2278" i="12"/>
  <c r="Z523" i="12"/>
  <c r="Z2816" i="12"/>
  <c r="Z3406" i="12"/>
  <c r="Z2764" i="12"/>
  <c r="Z26" i="12"/>
  <c r="Z2307" i="12"/>
  <c r="Z2691" i="12"/>
  <c r="Z71" i="12"/>
  <c r="Z700" i="12"/>
  <c r="Z3071" i="12"/>
  <c r="Z3364" i="12"/>
  <c r="Z1714" i="12"/>
  <c r="Z3006" i="12"/>
  <c r="Z1489" i="12"/>
  <c r="Z2235" i="12"/>
  <c r="Z3333" i="12"/>
  <c r="Z642" i="12"/>
  <c r="Z2759" i="12"/>
  <c r="Z105" i="12"/>
  <c r="Z682" i="12"/>
  <c r="Z2896" i="12"/>
  <c r="Z2719" i="12"/>
  <c r="Z546" i="12"/>
  <c r="Z1960" i="12"/>
  <c r="Z3142" i="12"/>
  <c r="Z650" i="12"/>
  <c r="Z896" i="12"/>
  <c r="Z625" i="12"/>
  <c r="Z2167" i="12"/>
  <c r="Z1285" i="12"/>
  <c r="Z2833" i="12"/>
  <c r="Z1409" i="12"/>
  <c r="Z1889" i="12"/>
  <c r="Z2566" i="12"/>
  <c r="Z2565" i="12"/>
  <c r="Z2172" i="12"/>
  <c r="Z1304" i="12"/>
  <c r="Z2156" i="12"/>
  <c r="Z1800" i="12"/>
  <c r="Z690" i="12"/>
  <c r="Z125" i="12"/>
  <c r="Z1338" i="12"/>
  <c r="Z155" i="12"/>
  <c r="Z1495" i="12"/>
  <c r="Z1423" i="12"/>
  <c r="Z1467" i="12"/>
  <c r="Z1877" i="12"/>
  <c r="Z2993" i="12"/>
  <c r="Z1157" i="12"/>
  <c r="Z2798" i="12"/>
  <c r="Z2458" i="12"/>
  <c r="Z2145" i="12"/>
  <c r="Z2953" i="12"/>
  <c r="Z1113" i="12"/>
  <c r="Z854" i="12"/>
  <c r="Z2909" i="12"/>
  <c r="Z2786" i="12"/>
  <c r="Z3090" i="12"/>
  <c r="Z2010" i="12"/>
  <c r="Z1601" i="12"/>
  <c r="Z2976" i="12"/>
  <c r="Z3135" i="12"/>
  <c r="Z1137" i="12"/>
  <c r="Z3232" i="12"/>
  <c r="Z1103" i="12"/>
  <c r="Z1120" i="12"/>
  <c r="Z102" i="12"/>
  <c r="Z1508" i="12"/>
  <c r="Z2639" i="12"/>
  <c r="Z3305" i="12"/>
  <c r="Z427" i="12"/>
  <c r="Z643" i="12"/>
  <c r="Z2919" i="12"/>
  <c r="Z63" i="12"/>
  <c r="Z491" i="12"/>
  <c r="Z3374" i="12"/>
  <c r="Z1152" i="12"/>
  <c r="Z2873" i="12"/>
  <c r="Z1802" i="12"/>
  <c r="Z394" i="12"/>
  <c r="Z3179" i="12"/>
  <c r="Z515" i="12"/>
  <c r="Z2190" i="12"/>
  <c r="Z178" i="12"/>
  <c r="Z803" i="12"/>
  <c r="Z662" i="12"/>
  <c r="Z2778" i="12"/>
  <c r="Z560" i="12"/>
  <c r="Z1029" i="12"/>
  <c r="Z735" i="12"/>
  <c r="Z28" i="12"/>
  <c r="Z971" i="12"/>
  <c r="Z3329" i="12"/>
  <c r="Z1255" i="12"/>
  <c r="Z297" i="12"/>
  <c r="Z1305" i="12"/>
  <c r="Z1709" i="12"/>
  <c r="Z1295" i="12"/>
  <c r="Z431" i="12"/>
  <c r="Z1310" i="12"/>
  <c r="Z1413" i="12"/>
  <c r="Z1074" i="12"/>
  <c r="Z2938" i="12"/>
  <c r="Z2986" i="12"/>
  <c r="Z33" i="12"/>
  <c r="Z380" i="12"/>
  <c r="Z2761" i="12"/>
  <c r="Z3247" i="12"/>
  <c r="Z2523" i="12"/>
  <c r="Z796" i="12"/>
  <c r="Z589" i="12"/>
  <c r="Z601" i="12"/>
  <c r="Z2184" i="12"/>
  <c r="Z1039" i="12"/>
  <c r="Z327" i="12"/>
  <c r="Z3340" i="12"/>
  <c r="Z377" i="12"/>
  <c r="Z640" i="12"/>
  <c r="Z1212" i="12"/>
  <c r="Z3166" i="12"/>
  <c r="Z3169" i="12"/>
  <c r="Z914" i="12"/>
  <c r="Z2135" i="12"/>
  <c r="Z3417" i="12"/>
  <c r="Z1041" i="12"/>
  <c r="Z2436" i="12"/>
  <c r="Z1597" i="12"/>
  <c r="Z970" i="12"/>
  <c r="Z1643" i="12"/>
  <c r="Z2468" i="12"/>
  <c r="Z1232" i="12"/>
  <c r="Z3234" i="12"/>
  <c r="Z3222" i="12"/>
  <c r="Z3253" i="12"/>
  <c r="Z3190" i="12"/>
  <c r="Z3269" i="12"/>
  <c r="Z1008" i="12"/>
  <c r="Z2334" i="12"/>
  <c r="Z2368" i="12"/>
  <c r="Z2922" i="12"/>
  <c r="Z1865" i="12"/>
  <c r="Z3188" i="12"/>
  <c r="Z3341" i="12"/>
  <c r="Z2741" i="12"/>
  <c r="Z1926" i="12"/>
  <c r="Z3012" i="12"/>
  <c r="Z2337" i="12"/>
  <c r="Z3396" i="12"/>
  <c r="Z2692" i="12"/>
  <c r="Z1265" i="12"/>
  <c r="Z756" i="12"/>
  <c r="Z1761" i="12"/>
  <c r="Z948" i="12"/>
  <c r="Z349" i="12"/>
  <c r="Z1217" i="12"/>
  <c r="Z476" i="12"/>
  <c r="Z3028" i="12"/>
  <c r="Z2777" i="12"/>
  <c r="Z339" i="12"/>
  <c r="Z234" i="12"/>
  <c r="Z1280" i="12"/>
  <c r="Z869" i="12"/>
  <c r="Z3316" i="12"/>
  <c r="Z2601" i="12"/>
  <c r="Z1789" i="12"/>
  <c r="Z3378" i="12"/>
  <c r="Z3183" i="12"/>
  <c r="Z2423" i="12"/>
  <c r="Z1111" i="12"/>
  <c r="Z382" i="12"/>
  <c r="Z2760" i="12"/>
  <c r="Z1123" i="12"/>
  <c r="Z789" i="12"/>
  <c r="Z685" i="12"/>
  <c r="Z2904" i="12"/>
  <c r="Z870" i="12"/>
  <c r="Z316" i="12"/>
  <c r="Z1658" i="12"/>
  <c r="Z517" i="12"/>
  <c r="Z2268" i="12"/>
  <c r="Z1983" i="12"/>
  <c r="Z1012" i="12"/>
  <c r="Z3008" i="12"/>
  <c r="Z3395" i="12"/>
  <c r="Z1989" i="12"/>
  <c r="Z3446" i="12"/>
  <c r="Z783" i="12"/>
  <c r="Z3472" i="12"/>
  <c r="Z1339" i="12"/>
  <c r="Z2834" i="12"/>
  <c r="Z1360" i="12"/>
  <c r="Z3000" i="12"/>
  <c r="Z1904" i="12"/>
  <c r="Z1668" i="12"/>
  <c r="Z152" i="12"/>
  <c r="Z2965" i="12"/>
  <c r="Z3351" i="12"/>
  <c r="Z2633" i="12"/>
  <c r="Z759" i="12"/>
  <c r="Z3014" i="12"/>
  <c r="Z1639" i="12"/>
  <c r="Z752" i="12"/>
  <c r="Z1724" i="12"/>
  <c r="Z1773" i="12"/>
  <c r="Z1446" i="12"/>
  <c r="Z992" i="12"/>
  <c r="Z1101" i="12"/>
  <c r="Z1976" i="12"/>
  <c r="Z949" i="12"/>
  <c r="Z1497" i="12"/>
  <c r="Z467" i="12"/>
  <c r="Z1502" i="12"/>
  <c r="Z3205" i="12"/>
  <c r="Z61" i="12"/>
  <c r="Z1210" i="12"/>
  <c r="Z673" i="12"/>
  <c r="Z2012" i="12"/>
  <c r="Z1594" i="12"/>
  <c r="Z1149" i="12"/>
  <c r="Z3118" i="12"/>
  <c r="Z2549" i="12"/>
  <c r="Z809" i="12"/>
  <c r="Z1307" i="12"/>
  <c r="Z569" i="12"/>
  <c r="Z1935" i="12"/>
  <c r="Z1901" i="12"/>
  <c r="Z101" i="12"/>
  <c r="Z2587" i="12"/>
  <c r="Z1560" i="12"/>
  <c r="Z1040" i="12"/>
  <c r="Z3355" i="12"/>
  <c r="Z832" i="12"/>
  <c r="Z2076" i="12"/>
  <c r="Z358" i="12"/>
  <c r="Z357" i="12"/>
  <c r="Z3121" i="12"/>
  <c r="Z1400" i="12"/>
  <c r="Z479" i="12"/>
  <c r="Z961" i="12"/>
  <c r="Z2465" i="12"/>
  <c r="Z1069" i="12"/>
  <c r="Z2793" i="12"/>
  <c r="Z2160" i="12"/>
  <c r="Z1277" i="12"/>
  <c r="Z65" i="12"/>
  <c r="Z2256" i="12"/>
  <c r="Z2192" i="12"/>
  <c r="Z2107" i="12"/>
  <c r="Z2096" i="12"/>
  <c r="Z261" i="12"/>
  <c r="Z2857" i="12"/>
  <c r="Z1648" i="12"/>
  <c r="Z1767" i="12"/>
  <c r="Z2792" i="12"/>
  <c r="Z2991" i="12"/>
  <c r="Z1188" i="12"/>
  <c r="Z982" i="12"/>
  <c r="Z2783" i="12"/>
  <c r="Z2871" i="12"/>
  <c r="Z538" i="12"/>
  <c r="Z271" i="12"/>
  <c r="Z609" i="12"/>
  <c r="Z1939" i="12"/>
  <c r="Z1571" i="12"/>
  <c r="Z2667" i="12"/>
  <c r="Z2064" i="12"/>
  <c r="Z3112" i="12"/>
  <c r="Z2157" i="12"/>
  <c r="Z210" i="12"/>
  <c r="Z3385" i="12"/>
  <c r="Z1045" i="12"/>
  <c r="Z3434" i="12"/>
  <c r="Z2925" i="12"/>
  <c r="Z1441" i="12"/>
  <c r="Z2897" i="12"/>
  <c r="Z3036" i="12"/>
  <c r="Z3386" i="12"/>
  <c r="Z2054" i="12"/>
  <c r="Z59" i="12"/>
  <c r="Z2011" i="12"/>
  <c r="J121" i="5"/>
  <c r="J51" i="5"/>
  <c r="J62" i="5"/>
  <c r="J90" i="5"/>
  <c r="J91" i="5"/>
  <c r="J15" i="5"/>
  <c r="J28" i="5"/>
  <c r="J72" i="5"/>
  <c r="J53" i="5"/>
  <c r="J38" i="5"/>
  <c r="J73" i="5"/>
  <c r="J123" i="5"/>
  <c r="J37" i="5"/>
  <c r="J106" i="5"/>
  <c r="J103" i="5"/>
  <c r="J117" i="5"/>
  <c r="J56" i="5"/>
  <c r="J11" i="5"/>
  <c r="J107" i="5"/>
  <c r="J55" i="5"/>
  <c r="J64" i="5"/>
  <c r="J32" i="5"/>
  <c r="J46" i="5"/>
  <c r="J22" i="5"/>
  <c r="J19" i="5"/>
  <c r="J74" i="5"/>
  <c r="J45" i="5"/>
  <c r="J1" i="5"/>
  <c r="J9" i="5"/>
  <c r="J34" i="5"/>
  <c r="J60" i="5"/>
  <c r="J78" i="5"/>
  <c r="J102" i="5"/>
  <c r="J114" i="5"/>
  <c r="J67" i="5"/>
  <c r="J36" i="5"/>
  <c r="J96" i="5"/>
  <c r="J12" i="5"/>
  <c r="J97" i="5"/>
  <c r="J35" i="5"/>
  <c r="J115" i="5"/>
  <c r="J14" i="5"/>
  <c r="J39" i="5"/>
  <c r="J76" i="5"/>
  <c r="J111" i="5"/>
  <c r="J42" i="5"/>
  <c r="J112" i="5"/>
  <c r="J105" i="5"/>
  <c r="J71" i="5"/>
  <c r="J120" i="5"/>
  <c r="J44" i="5"/>
  <c r="J85" i="5"/>
  <c r="J87" i="5"/>
  <c r="J24" i="5"/>
  <c r="J63" i="5"/>
  <c r="J61" i="5"/>
  <c r="J94" i="5"/>
  <c r="J50" i="5"/>
  <c r="J58" i="5"/>
  <c r="J89" i="5"/>
  <c r="J47" i="5"/>
  <c r="J30" i="5"/>
  <c r="J99" i="5"/>
  <c r="J104" i="5"/>
  <c r="J69" i="5"/>
  <c r="J49" i="5"/>
  <c r="J43" i="5"/>
  <c r="J92" i="5"/>
  <c r="J125" i="5"/>
  <c r="J20" i="5"/>
  <c r="J21" i="5"/>
  <c r="J83" i="5"/>
  <c r="J40" i="5"/>
  <c r="J29" i="5"/>
  <c r="J82" i="5"/>
  <c r="J86" i="5"/>
  <c r="J88" i="5"/>
  <c r="J118" i="5"/>
  <c r="J65" i="5"/>
  <c r="J110" i="5"/>
  <c r="J23" i="5"/>
  <c r="J27" i="5"/>
  <c r="J4" i="5"/>
  <c r="J100" i="5"/>
  <c r="J109" i="5"/>
  <c r="J54" i="5"/>
  <c r="J25" i="5"/>
  <c r="J48" i="5"/>
  <c r="J16" i="5"/>
  <c r="J8" i="5"/>
  <c r="J101" i="5"/>
  <c r="J113" i="5"/>
  <c r="J122" i="5"/>
  <c r="J3" i="5"/>
  <c r="J41" i="5"/>
  <c r="J6" i="5"/>
  <c r="J26" i="5"/>
  <c r="J68" i="5"/>
  <c r="J126" i="5"/>
  <c r="J98" i="5"/>
  <c r="J31" i="5"/>
  <c r="J57" i="5"/>
  <c r="J95" i="5"/>
  <c r="J93" i="5"/>
  <c r="J79" i="5"/>
  <c r="J17" i="5"/>
  <c r="J7" i="5"/>
  <c r="J119" i="5"/>
  <c r="J13" i="5"/>
  <c r="J52" i="5"/>
  <c r="J18" i="5"/>
  <c r="J2" i="5"/>
  <c r="J33" i="5"/>
  <c r="J10" i="5"/>
  <c r="J5" i="5"/>
  <c r="J66" i="5"/>
  <c r="J84" i="5"/>
  <c r="J80" i="5"/>
  <c r="J77" i="5"/>
  <c r="J70" i="5"/>
  <c r="J108" i="5"/>
  <c r="J124" i="5"/>
  <c r="J75" i="5"/>
  <c r="J116" i="5"/>
  <c r="J81" i="5"/>
  <c r="J59" i="5"/>
  <c r="M24" i="12"/>
  <c r="M21" i="12"/>
  <c r="M19" i="12"/>
  <c r="M22" i="12"/>
  <c r="M20" i="12"/>
  <c r="M23" i="12"/>
  <c r="S82" i="12"/>
  <c r="S89" i="12"/>
  <c r="N20" i="12"/>
  <c r="O22" i="12"/>
  <c r="S75" i="12"/>
  <c r="O23" i="12"/>
  <c r="S86" i="12"/>
  <c r="S95" i="12"/>
  <c r="AA19" i="12" a="1"/>
  <c r="N23" i="12"/>
  <c r="S87" i="12"/>
  <c r="N19" i="12"/>
  <c r="S78" i="12"/>
  <c r="S91" i="12"/>
  <c r="M27" i="12" a="1"/>
  <c r="S90" i="12"/>
  <c r="C28" i="6"/>
  <c r="S94" i="12"/>
  <c r="P20" i="12"/>
  <c r="S74" i="12"/>
  <c r="S73" i="12"/>
  <c r="S81" i="12"/>
  <c r="O21" i="12"/>
  <c r="P22" i="12"/>
  <c r="S77" i="12"/>
  <c r="N24" i="12"/>
  <c r="P23" i="12"/>
  <c r="M63" i="12" a="1"/>
  <c r="S85" i="12"/>
  <c r="S76" i="12"/>
  <c r="S88" i="12"/>
  <c r="S84" i="12"/>
  <c r="O24" i="12"/>
  <c r="S79" i="12"/>
  <c r="N22" i="12"/>
  <c r="O19" i="12"/>
  <c r="S80" i="12"/>
  <c r="O20" i="12"/>
  <c r="P21" i="12"/>
  <c r="S96" i="12"/>
  <c r="P19" i="12"/>
  <c r="N21" i="12"/>
  <c r="S92" i="12"/>
  <c r="D29" i="6"/>
  <c r="S93" i="12"/>
  <c r="P24" i="12"/>
  <c r="S83" i="12"/>
  <c r="M68" i="12" l="1"/>
  <c r="M65" i="12"/>
  <c r="M67" i="12"/>
  <c r="M64" i="12"/>
  <c r="M69" i="12"/>
  <c r="M63" i="12"/>
  <c r="M66" i="12"/>
  <c r="M70" i="12"/>
  <c r="M27" i="12"/>
  <c r="M53" i="12"/>
  <c r="M29" i="12"/>
  <c r="M33" i="12"/>
  <c r="M56" i="12"/>
  <c r="M46" i="12"/>
  <c r="M45" i="12"/>
  <c r="M50" i="12"/>
  <c r="M37" i="12"/>
  <c r="M43" i="12"/>
  <c r="M57" i="12"/>
  <c r="M40" i="12"/>
  <c r="M36" i="12"/>
  <c r="M28" i="12"/>
  <c r="M41" i="12"/>
  <c r="M44" i="12"/>
  <c r="M60" i="12"/>
  <c r="M54" i="12"/>
  <c r="M32" i="12"/>
  <c r="M59" i="12"/>
  <c r="M31" i="12"/>
  <c r="M49" i="12"/>
  <c r="M51" i="12"/>
  <c r="M52" i="12"/>
  <c r="M55" i="12"/>
  <c r="M47" i="12"/>
  <c r="M42" i="12"/>
  <c r="M39" i="12"/>
  <c r="M58" i="12"/>
  <c r="M38" i="12"/>
  <c r="M30" i="12"/>
  <c r="M34" i="12"/>
  <c r="M48" i="12"/>
  <c r="M35" i="12"/>
  <c r="T85" i="12"/>
  <c r="T84" i="12"/>
  <c r="T87" i="12"/>
  <c r="T82" i="12"/>
  <c r="T83" i="12"/>
  <c r="T88" i="12"/>
  <c r="T81" i="12"/>
  <c r="T89" i="12"/>
  <c r="T96" i="12"/>
  <c r="T92" i="12"/>
  <c r="T94" i="12"/>
  <c r="T79" i="12"/>
  <c r="T76" i="12"/>
  <c r="T74" i="12"/>
  <c r="T77" i="12"/>
  <c r="T86" i="12"/>
  <c r="T78" i="12"/>
  <c r="T91" i="12"/>
  <c r="T95" i="12"/>
  <c r="T90" i="12"/>
  <c r="T75" i="12"/>
  <c r="T80" i="12"/>
  <c r="T73" i="12"/>
  <c r="T93" i="12"/>
  <c r="AA1949" i="12"/>
  <c r="AA3466" i="12"/>
  <c r="AA1301" i="12"/>
  <c r="AA812" i="12"/>
  <c r="AA1931" i="12"/>
  <c r="AA3181" i="12"/>
  <c r="AA1333" i="12"/>
  <c r="AA1494" i="12"/>
  <c r="AA716" i="12"/>
  <c r="AA2330" i="12"/>
  <c r="AA692" i="12"/>
  <c r="AA1244" i="12"/>
  <c r="AA2573" i="12"/>
  <c r="AA1175" i="12"/>
  <c r="AA2588" i="12"/>
  <c r="AA518" i="12"/>
  <c r="AA2848" i="12"/>
  <c r="AA534" i="12"/>
  <c r="AA2546" i="12"/>
  <c r="AA1978" i="12"/>
  <c r="AA1152" i="12"/>
  <c r="AA1534" i="12"/>
  <c r="AA2877" i="12"/>
  <c r="AA1582" i="12"/>
  <c r="AA1151" i="12"/>
  <c r="AA1491" i="12"/>
  <c r="AA2461" i="12"/>
  <c r="AA2589" i="12"/>
  <c r="AA1186" i="12"/>
  <c r="AA3391" i="12"/>
  <c r="AA2305" i="12"/>
  <c r="AA832" i="12"/>
  <c r="AA1242" i="12"/>
  <c r="AA3478" i="12"/>
  <c r="AA1300" i="12"/>
  <c r="AA390" i="12"/>
  <c r="AA567" i="12"/>
  <c r="AA174" i="12"/>
  <c r="AA3546" i="12"/>
  <c r="AA2107" i="12"/>
  <c r="AA3168" i="12"/>
  <c r="AA3208" i="12"/>
  <c r="AA3073" i="12"/>
  <c r="AA684" i="12"/>
  <c r="AA1847" i="12"/>
  <c r="AA2701" i="12"/>
  <c r="AA435" i="12"/>
  <c r="AA1825" i="12"/>
  <c r="AA1548" i="12"/>
  <c r="AA3114" i="12"/>
  <c r="AA3410" i="12"/>
  <c r="AA2871" i="12"/>
  <c r="AA412" i="12"/>
  <c r="AA3030" i="12"/>
  <c r="AA3429" i="12"/>
  <c r="AA980" i="12"/>
  <c r="AA2105" i="12"/>
  <c r="AA2352" i="12"/>
  <c r="AA3383" i="12"/>
  <c r="AA898" i="12"/>
  <c r="AA1699" i="12"/>
  <c r="AA2932" i="12"/>
  <c r="AA991" i="12"/>
  <c r="AA2397" i="12"/>
  <c r="AA1306" i="12"/>
  <c r="AA2842" i="12"/>
  <c r="AA2034" i="12"/>
  <c r="AA641" i="12"/>
  <c r="AA1251" i="12"/>
  <c r="AA3485" i="12"/>
  <c r="AA502" i="12"/>
  <c r="AA2191" i="12"/>
  <c r="AA816" i="12"/>
  <c r="AA1659" i="12"/>
  <c r="AA3318" i="12"/>
  <c r="AA35" i="12"/>
  <c r="AA1455" i="12"/>
  <c r="AA552" i="12"/>
  <c r="AA1870" i="12"/>
  <c r="AA1212" i="12"/>
  <c r="AA3042" i="12"/>
  <c r="AA521" i="12"/>
  <c r="AA497" i="12"/>
  <c r="AA2157" i="12"/>
  <c r="AA339" i="12"/>
  <c r="AA32" i="12"/>
  <c r="AA3229" i="12"/>
  <c r="AA1645" i="12"/>
  <c r="AA2454" i="12"/>
  <c r="AA894" i="12"/>
  <c r="AA168" i="12"/>
  <c r="AA646" i="12"/>
  <c r="AA512" i="12"/>
  <c r="AA953" i="12"/>
  <c r="AA2900" i="12"/>
  <c r="AA1116" i="12"/>
  <c r="AA3180" i="12"/>
  <c r="AA821" i="12"/>
  <c r="AA1418" i="12"/>
  <c r="AA2716" i="12"/>
  <c r="AA3076" i="12"/>
  <c r="AA3183" i="12"/>
  <c r="AA524" i="12"/>
  <c r="AA2059" i="12"/>
  <c r="AA1617" i="12"/>
  <c r="AA1715" i="12"/>
  <c r="AA1651" i="12"/>
  <c r="AA24" i="12"/>
  <c r="AA2025" i="12"/>
  <c r="AA1746" i="12"/>
  <c r="AA2237" i="12"/>
  <c r="AA189" i="12"/>
  <c r="AA1526" i="12"/>
  <c r="AA1440" i="12"/>
  <c r="AA2276" i="12"/>
  <c r="AA2872" i="12"/>
  <c r="AA165" i="12"/>
  <c r="AA1805" i="12"/>
  <c r="AA2436" i="12"/>
  <c r="AA2765" i="12"/>
  <c r="AA767" i="12"/>
  <c r="AA1409" i="12"/>
  <c r="AA2102" i="12"/>
  <c r="AA3331" i="12"/>
  <c r="AA1724" i="12"/>
  <c r="AA345" i="12"/>
  <c r="AA1134" i="12"/>
  <c r="AA1133" i="12"/>
  <c r="AA1574" i="12"/>
  <c r="AA489" i="12"/>
  <c r="AA912" i="12"/>
  <c r="AA2669" i="12"/>
  <c r="AA2001" i="12"/>
  <c r="AA2435" i="12"/>
  <c r="AA546" i="12"/>
  <c r="AA1753" i="12"/>
  <c r="AA1620" i="12"/>
  <c r="AA211" i="12"/>
  <c r="AA2572" i="12"/>
  <c r="AA1650" i="12"/>
  <c r="AA2042" i="12"/>
  <c r="AA1106" i="12"/>
  <c r="AA631" i="12"/>
  <c r="AA651" i="12"/>
  <c r="AA1963" i="12"/>
  <c r="AA3311" i="12"/>
  <c r="AA722" i="12"/>
  <c r="AA661" i="12"/>
  <c r="AA1466" i="12"/>
  <c r="AA2378" i="12"/>
  <c r="AA687" i="12"/>
  <c r="AA1024" i="12"/>
  <c r="AA2050" i="12"/>
  <c r="AA1187" i="12"/>
  <c r="AA3324" i="12"/>
  <c r="AA842" i="12"/>
  <c r="AA1485" i="12"/>
  <c r="AA1925" i="12"/>
  <c r="AA1728" i="12"/>
  <c r="AA1129" i="12"/>
  <c r="AA3428" i="12"/>
  <c r="AA3437" i="12"/>
  <c r="AA2892" i="12"/>
  <c r="AA2116" i="12"/>
  <c r="AA3392" i="12"/>
  <c r="AA3474" i="12"/>
  <c r="AA3273" i="12"/>
  <c r="AA859" i="12"/>
  <c r="AA895" i="12"/>
  <c r="AA2111" i="12"/>
  <c r="AA82" i="12"/>
  <c r="AA1826" i="12"/>
  <c r="AA1324" i="12"/>
  <c r="AA3393" i="12"/>
  <c r="AA493" i="12"/>
  <c r="AA853" i="12"/>
  <c r="AA1836" i="12"/>
  <c r="AA3037" i="12"/>
  <c r="AA3494" i="12"/>
  <c r="AA1166" i="12"/>
  <c r="AA721" i="12"/>
  <c r="AA2964" i="12"/>
  <c r="AA2653" i="12"/>
  <c r="AA1320" i="12"/>
  <c r="AA1814" i="12"/>
  <c r="AA2357" i="12"/>
  <c r="AA1758" i="12"/>
  <c r="AA1747" i="12"/>
  <c r="AA2767" i="12"/>
  <c r="AA1921" i="12"/>
  <c r="AA3104" i="12"/>
  <c r="AA2868" i="12"/>
  <c r="AA2510" i="12"/>
  <c r="AA1453" i="12"/>
  <c r="AA405" i="12"/>
  <c r="AA336" i="12"/>
  <c r="AA1307" i="12"/>
  <c r="AA532" i="12"/>
  <c r="AA2901" i="12"/>
  <c r="AA3349" i="12"/>
  <c r="AA786" i="12"/>
  <c r="AA2229" i="12"/>
  <c r="AA2640" i="12"/>
  <c r="AA494" i="12"/>
  <c r="AA905" i="12"/>
  <c r="AA302" i="12"/>
  <c r="AA2008" i="12"/>
  <c r="AA2278" i="12"/>
  <c r="AA3038" i="12"/>
  <c r="AA2794" i="12"/>
  <c r="AA328" i="12"/>
  <c r="AA1068" i="12"/>
  <c r="AA2941" i="12"/>
  <c r="AA2712" i="12"/>
  <c r="AA892" i="12"/>
  <c r="AA1225" i="12"/>
  <c r="AA803" i="12"/>
  <c r="AA977" i="12"/>
  <c r="AA213" i="12"/>
  <c r="AA2656" i="12"/>
  <c r="AA259" i="12"/>
  <c r="AA3308" i="12"/>
  <c r="AA1063" i="12"/>
  <c r="AA3032" i="12"/>
  <c r="AA456" i="12"/>
  <c r="AA393" i="12"/>
  <c r="AA1592" i="12"/>
  <c r="AA3454" i="12"/>
  <c r="AA2617" i="12"/>
  <c r="AA2018" i="12"/>
  <c r="AA3360" i="12"/>
  <c r="AA1291" i="12"/>
  <c r="AA1369" i="12"/>
  <c r="AA1876" i="12"/>
  <c r="AA2564" i="12"/>
  <c r="AA2189" i="12"/>
  <c r="AA3344" i="12"/>
  <c r="AA791" i="12"/>
  <c r="AA3069" i="12"/>
  <c r="AA1798" i="12"/>
  <c r="AA142" i="12"/>
  <c r="AA2596" i="12"/>
  <c r="AA3476" i="12"/>
  <c r="AA2367" i="12"/>
  <c r="AA1461" i="12"/>
  <c r="AA2600" i="12"/>
  <c r="AA1741" i="12"/>
  <c r="AA1719" i="12"/>
  <c r="AA3218" i="12"/>
  <c r="AA2616" i="12"/>
  <c r="AA1677" i="12"/>
  <c r="AA2280" i="12"/>
  <c r="AA1581" i="12"/>
  <c r="AA2173" i="12"/>
  <c r="AA904" i="12"/>
  <c r="AA1778" i="12"/>
  <c r="AA1017" i="12"/>
  <c r="AA958" i="12"/>
  <c r="AA2455" i="12"/>
  <c r="AA3401" i="12"/>
  <c r="AA973" i="12"/>
  <c r="AA1174" i="12"/>
  <c r="AA2355" i="12"/>
  <c r="AA2294" i="12"/>
  <c r="AA544" i="12"/>
  <c r="AA1789" i="12"/>
  <c r="AA3079" i="12"/>
  <c r="AA2769" i="12"/>
  <c r="AA2890" i="12"/>
  <c r="AA889" i="12"/>
  <c r="AA85" i="12"/>
  <c r="AA2223" i="12"/>
  <c r="AA121" i="12"/>
  <c r="AA1578" i="12"/>
  <c r="AA3062" i="12"/>
  <c r="AA2070" i="12"/>
  <c r="AA1821" i="12"/>
  <c r="AA2610" i="12"/>
  <c r="AA3154" i="12"/>
  <c r="AA1915" i="12"/>
  <c r="AA2665" i="12"/>
  <c r="AA702" i="12"/>
  <c r="AA3006" i="12"/>
  <c r="AA1779" i="12"/>
  <c r="AA1856" i="12"/>
  <c r="AA996" i="12"/>
  <c r="AA1308" i="12"/>
  <c r="AA3099" i="12"/>
  <c r="AA1142" i="12"/>
  <c r="AA2881" i="12"/>
  <c r="AA1507" i="12"/>
  <c r="AA219" i="12"/>
  <c r="AA2783" i="12"/>
  <c r="AA2115" i="12"/>
  <c r="AA999" i="12"/>
  <c r="AA1869" i="12"/>
  <c r="AA1658" i="12"/>
  <c r="AA3492" i="12"/>
  <c r="AA2978" i="12"/>
  <c r="AA1325" i="12"/>
  <c r="AA1597" i="12"/>
  <c r="AA1016" i="12"/>
  <c r="AA2485" i="12"/>
  <c r="AA2338" i="12"/>
  <c r="AA2339" i="12"/>
  <c r="AA1864" i="12"/>
  <c r="AA1209" i="12"/>
  <c r="AA503" i="12"/>
  <c r="AA2153" i="12"/>
  <c r="AA2817" i="12"/>
  <c r="AA2387" i="12"/>
  <c r="AA1890" i="12"/>
  <c r="AA444" i="12"/>
  <c r="AA1934" i="12"/>
  <c r="AA440" i="12"/>
  <c r="AA840" i="12"/>
  <c r="AA715" i="12"/>
  <c r="AA329" i="12"/>
  <c r="AA2164" i="12"/>
  <c r="AA3338" i="12"/>
  <c r="AA608" i="12"/>
  <c r="AA572" i="12"/>
  <c r="AA481" i="12"/>
  <c r="AA2968" i="12"/>
  <c r="AA2037" i="12"/>
  <c r="AA1776" i="12"/>
  <c r="AA1034" i="12"/>
  <c r="AA3502" i="12"/>
  <c r="AA2269" i="12"/>
  <c r="AA2414" i="12"/>
  <c r="AA824" i="12"/>
  <c r="AA268" i="12"/>
  <c r="AA2452" i="12"/>
  <c r="AA149" i="12"/>
  <c r="AA2438" i="12"/>
  <c r="AA2165" i="12"/>
  <c r="AA1021" i="12"/>
  <c r="AA602" i="12"/>
  <c r="AA1042" i="12"/>
  <c r="AA823" i="12"/>
  <c r="AA3414" i="12"/>
  <c r="AA3018" i="12"/>
  <c r="AA2863" i="12"/>
  <c r="AA2061" i="12"/>
  <c r="AA1437" i="12"/>
  <c r="AA2204" i="12"/>
  <c r="AA3053" i="12"/>
  <c r="AA2710" i="12"/>
  <c r="AA3085" i="12"/>
  <c r="AA1508" i="12"/>
  <c r="AA1059" i="12"/>
  <c r="AA1248" i="12"/>
  <c r="AA1162" i="12"/>
  <c r="AA1128" i="12"/>
  <c r="AA75" i="12"/>
  <c r="AA2428" i="12"/>
  <c r="AA2497" i="12"/>
  <c r="AA2244" i="12"/>
  <c r="AA2133" i="12"/>
  <c r="AA649" i="12"/>
  <c r="AA773" i="12"/>
  <c r="AA1997" i="12"/>
  <c r="AA2789" i="12"/>
  <c r="AA1685" i="12"/>
  <c r="AA2733" i="12"/>
  <c r="AA1700" i="12"/>
  <c r="AA188" i="12"/>
  <c r="AA1010" i="12"/>
  <c r="AA2382" i="12"/>
  <c r="AA2957" i="12"/>
  <c r="AA464" i="12"/>
  <c r="AA583" i="12"/>
  <c r="AA1384" i="12"/>
  <c r="AA1050" i="12"/>
  <c r="AA452" i="12"/>
  <c r="AA1896" i="12"/>
  <c r="AA1903" i="12"/>
  <c r="AA2598" i="12"/>
  <c r="AA828" i="12"/>
  <c r="AA3493" i="12"/>
  <c r="AA1829" i="12"/>
  <c r="AA1601" i="12"/>
  <c r="AA304" i="12"/>
  <c r="AA1255" i="12"/>
  <c r="AA1613" i="12"/>
  <c r="AA2626" i="12"/>
  <c r="AA334" i="12"/>
  <c r="AA3540" i="12"/>
  <c r="AA3198" i="12"/>
  <c r="AA2325" i="12"/>
  <c r="AA2230" i="12"/>
  <c r="AA907" i="12"/>
  <c r="AA2245" i="12"/>
  <c r="AA509" i="12"/>
  <c r="AA117" i="12"/>
  <c r="AA1662" i="12"/>
  <c r="AA118" i="12"/>
  <c r="AA3065" i="12"/>
  <c r="AA1860" i="12"/>
  <c r="AA2468" i="12"/>
  <c r="AA3119" i="12"/>
  <c r="AA3351" i="12"/>
  <c r="AA2391" i="12"/>
  <c r="AA1161" i="12"/>
  <c r="AA1611" i="12"/>
  <c r="AA2876" i="12"/>
  <c r="AA670" i="12"/>
  <c r="AA2353" i="12"/>
  <c r="AA2591" i="12"/>
  <c r="AA120" i="12"/>
  <c r="AA3287" i="12"/>
  <c r="AA1045" i="12"/>
  <c r="AA1395" i="12"/>
  <c r="AA1670" i="12"/>
  <c r="AA3158" i="12"/>
  <c r="AA185" i="12"/>
  <c r="AA1099" i="12"/>
  <c r="AA3082" i="12"/>
  <c r="AA946" i="12"/>
  <c r="AA1386" i="12"/>
  <c r="AA1154" i="12"/>
  <c r="AA3098" i="12"/>
  <c r="AA1238" i="12"/>
  <c r="AA1397" i="12"/>
  <c r="AA3064" i="12"/>
  <c r="AA2023" i="12"/>
  <c r="AA42" i="12"/>
  <c r="AA138" i="12"/>
  <c r="AA475" i="12"/>
  <c r="AA869" i="12"/>
  <c r="AA1292" i="12"/>
  <c r="AA3543" i="12"/>
  <c r="AA270" i="12"/>
  <c r="AA38" i="12"/>
  <c r="AA650" i="12"/>
  <c r="AA472" i="12"/>
  <c r="AA1675" i="12"/>
  <c r="AA2762" i="12"/>
  <c r="AA3335" i="12"/>
  <c r="AA2175" i="12"/>
  <c r="AA301" i="12"/>
  <c r="AA3071" i="12"/>
  <c r="AA1356" i="12"/>
  <c r="AA337" i="12"/>
  <c r="AA123" i="12"/>
  <c r="AA1385" i="12"/>
  <c r="AA2150" i="12"/>
  <c r="AA1794" i="12"/>
  <c r="AA3184" i="12"/>
  <c r="AA1185" i="12"/>
  <c r="AA2855" i="12"/>
  <c r="AA3259" i="12"/>
  <c r="AA710" i="12"/>
  <c r="AA3239" i="12"/>
  <c r="AA2172" i="12"/>
  <c r="AA2029" i="12"/>
  <c r="AA1975" i="12"/>
  <c r="AA1956" i="12"/>
  <c r="AA1371" i="12"/>
  <c r="AA1003" i="12"/>
  <c r="AA1679" i="12"/>
  <c r="AA1140" i="12"/>
  <c r="AA2129" i="12"/>
  <c r="AA2734" i="12"/>
  <c r="AA3219" i="12"/>
  <c r="AA28" i="12"/>
  <c r="AA569" i="12"/>
  <c r="AA1002" i="12"/>
  <c r="AA2801" i="12"/>
  <c r="AA2343" i="12"/>
  <c r="AA3298" i="12"/>
  <c r="AA247" i="12"/>
  <c r="AA675" i="12"/>
  <c r="AA3548" i="12"/>
  <c r="AA50" i="12"/>
  <c r="AA3522" i="12"/>
  <c r="AA2079" i="12"/>
  <c r="AA3310" i="12"/>
  <c r="AA3442" i="12"/>
  <c r="AA1980" i="12"/>
  <c r="AA3519" i="12"/>
  <c r="AA148" i="12"/>
  <c r="AA3468" i="12"/>
  <c r="AA1354" i="12"/>
  <c r="AA858" i="12"/>
  <c r="AA2911" i="12"/>
  <c r="AA1489" i="12"/>
  <c r="AA1387" i="12"/>
  <c r="AA3314" i="12"/>
  <c r="AA1278" i="12"/>
  <c r="AA517" i="12"/>
  <c r="AA34" i="12"/>
  <c r="AA3439" i="12"/>
  <c r="AA3127" i="12"/>
  <c r="AA920" i="12"/>
  <c r="AA1222" i="12"/>
  <c r="AA1704" i="12"/>
  <c r="AA439" i="12"/>
  <c r="AA291" i="12"/>
  <c r="AA1709" i="12"/>
  <c r="AA639" i="12"/>
  <c r="AA1446" i="12"/>
  <c r="AA3274" i="12"/>
  <c r="AA3453" i="12"/>
  <c r="AA1321" i="12"/>
  <c r="AA1738" i="12"/>
  <c r="AA1535" i="12"/>
  <c r="AA965" i="12"/>
  <c r="AA2195" i="12"/>
  <c r="AA2373" i="12"/>
  <c r="AA2359" i="12"/>
  <c r="AA1633" i="12"/>
  <c r="AA256" i="12"/>
  <c r="AA1879" i="12"/>
  <c r="AA2529" i="12"/>
  <c r="AA1857" i="12"/>
  <c r="AA1553" i="12"/>
  <c r="AA2281" i="12"/>
  <c r="AA455" i="12"/>
  <c r="AA2939" i="12"/>
  <c r="AA1020" i="12"/>
  <c r="AA1486" i="12"/>
  <c r="AA2578" i="12"/>
  <c r="AA921" i="12"/>
  <c r="AA3365" i="12"/>
  <c r="AA2333" i="12"/>
  <c r="AA2005" i="12"/>
  <c r="AA3210" i="12"/>
  <c r="AA936" i="12"/>
  <c r="AA447" i="12"/>
  <c r="AA2376" i="12"/>
  <c r="AA237" i="12"/>
  <c r="AA3327" i="12"/>
  <c r="AA2609" i="12"/>
  <c r="AA1085" i="12"/>
  <c r="AA2575" i="12"/>
  <c r="AA1854" i="12"/>
  <c r="AA1851" i="12"/>
  <c r="AA1211" i="12"/>
  <c r="AA2496" i="12"/>
  <c r="AA3483" i="12"/>
  <c r="AA2758" i="12"/>
  <c r="AA1046" i="12"/>
  <c r="AA2748" i="12"/>
  <c r="AA2097" i="12"/>
  <c r="AA2950" i="12"/>
  <c r="AA2569" i="12"/>
  <c r="AA2633" i="12"/>
  <c r="AA151" i="12"/>
  <c r="AA3159" i="12"/>
  <c r="AA1334" i="12"/>
  <c r="AA1772" i="12"/>
  <c r="AA3162" i="12"/>
  <c r="AA872" i="12"/>
  <c r="AA159" i="12"/>
  <c r="AA3045" i="12"/>
  <c r="AA1564" i="12"/>
  <c r="AA956" i="12"/>
  <c r="AA2176" i="12"/>
  <c r="AA780" i="12"/>
  <c r="AA571" i="12"/>
  <c r="AA3005" i="12"/>
  <c r="AA2345" i="12"/>
  <c r="AA3220" i="12"/>
  <c r="AA1708" i="12"/>
  <c r="AA520" i="12"/>
  <c r="AA1892" i="12"/>
  <c r="AA2274" i="12"/>
  <c r="AA1014" i="12"/>
  <c r="AA1427" i="12"/>
  <c r="AA2775" i="12"/>
  <c r="AA1557" i="12"/>
  <c r="AA1820" i="12"/>
  <c r="AA415" i="12"/>
  <c r="AA218" i="12"/>
  <c r="AA683" i="12"/>
  <c r="AA191" i="12"/>
  <c r="AA1392" i="12"/>
  <c r="AA2407" i="12"/>
  <c r="AA3472" i="12"/>
  <c r="AA2624" i="12"/>
  <c r="AA1591" i="12"/>
  <c r="AA3496" i="12"/>
  <c r="AA1111" i="12"/>
  <c r="AA2561" i="12"/>
  <c r="AA724" i="12"/>
  <c r="AA810" i="12"/>
  <c r="AA1348" i="12"/>
  <c r="AA530" i="12"/>
  <c r="AA1394" i="12"/>
  <c r="AA1575" i="12"/>
  <c r="AA1810" i="12"/>
  <c r="AA2321" i="12"/>
  <c r="AA720" i="12"/>
  <c r="AA3330" i="12"/>
  <c r="AA2554" i="12"/>
  <c r="AA1637" i="12"/>
  <c r="AA927" i="12"/>
  <c r="AA1936" i="12"/>
  <c r="AA316" i="12"/>
  <c r="AA2177" i="12"/>
  <c r="AA86" i="12"/>
  <c r="AA2882" i="12"/>
  <c r="AA2593" i="12"/>
  <c r="AA1605" i="12"/>
  <c r="AA1079" i="12"/>
  <c r="AA2627" i="12"/>
  <c r="AA201" i="12"/>
  <c r="AA276" i="12"/>
  <c r="AA3051" i="12"/>
  <c r="AA884" i="12"/>
  <c r="AA1220" i="12"/>
  <c r="AA445" i="12"/>
  <c r="AA2850" i="12"/>
  <c r="AA3050" i="12"/>
  <c r="AA3322" i="12"/>
  <c r="AA2603" i="12"/>
  <c r="AA637" i="12"/>
  <c r="AA2889" i="12"/>
  <c r="AA551" i="12"/>
  <c r="AA3538" i="12"/>
  <c r="AA1688" i="12"/>
  <c r="AA3013" i="12"/>
  <c r="AA2836" i="12"/>
  <c r="AA2628" i="12"/>
  <c r="AA2012" i="12"/>
  <c r="AA1973" i="12"/>
  <c r="AA2004" i="12"/>
  <c r="AA1304" i="12"/>
  <c r="AA594" i="12"/>
  <c r="AA171" i="12"/>
  <c r="AA1084" i="12"/>
  <c r="AA1435" i="12"/>
  <c r="AA2334" i="12"/>
  <c r="AA1331" i="12"/>
  <c r="AA2830" i="12"/>
  <c r="AA600" i="12"/>
  <c r="AA147" i="12"/>
  <c r="AA1868" i="12"/>
  <c r="AA3102" i="12"/>
  <c r="AA1939" i="12"/>
  <c r="AA1855" i="12"/>
  <c r="AA2403" i="12"/>
  <c r="AA2106" i="12"/>
  <c r="AA2973" i="12"/>
  <c r="AA3436" i="12"/>
  <c r="AA2920" i="12"/>
  <c r="AA44" i="12"/>
  <c r="AA400" i="12"/>
  <c r="AA1163" i="12"/>
  <c r="AA3364" i="12"/>
  <c r="AA2580" i="12"/>
  <c r="AA3403" i="12"/>
  <c r="AA2679" i="12"/>
  <c r="AA769" i="12"/>
  <c r="AA315" i="12"/>
  <c r="AA1730" i="12"/>
  <c r="AA2557" i="12"/>
  <c r="AA713" i="12"/>
  <c r="AA3097" i="12"/>
  <c r="AA531" i="12"/>
  <c r="AA2867" i="12"/>
  <c r="AA2227" i="12"/>
  <c r="AA3306" i="12"/>
  <c r="AA70" i="12"/>
  <c r="AA1246" i="12"/>
  <c r="AA2416" i="12"/>
  <c r="AA746" i="12"/>
  <c r="AA2200" i="12"/>
  <c r="AA1762" i="12"/>
  <c r="AA3291" i="12"/>
  <c r="AA793" i="12"/>
  <c r="AA747" i="12"/>
  <c r="AA238" i="12"/>
  <c r="AA900" i="12"/>
  <c r="AA2117" i="12"/>
  <c r="AA1881" i="12"/>
  <c r="AA234" i="12"/>
  <c r="AA1865" i="12"/>
  <c r="AA1985" i="12"/>
  <c r="AA264" i="12"/>
  <c r="AA1268" i="12"/>
  <c r="AA2960" i="12"/>
  <c r="AA2447" i="12"/>
  <c r="AA2156" i="12"/>
  <c r="AA3514" i="12"/>
  <c r="AA1019" i="12"/>
  <c r="AA1201" i="12"/>
  <c r="AA785" i="12"/>
  <c r="AA210" i="12"/>
  <c r="AA3348" i="12"/>
  <c r="AA3446" i="12"/>
  <c r="AA2757" i="12"/>
  <c r="AA2171" i="12"/>
  <c r="AA1850" i="12"/>
  <c r="AA2652" i="12"/>
  <c r="AA2574" i="12"/>
  <c r="AA2193" i="12"/>
  <c r="AA2862" i="12"/>
  <c r="AA205" i="12"/>
  <c r="AA1422" i="12"/>
  <c r="AA1413" i="12"/>
  <c r="AA2296" i="12"/>
  <c r="AA3197" i="12"/>
  <c r="AA1147" i="12"/>
  <c r="AA3033" i="12"/>
  <c r="AA2181" i="12"/>
  <c r="AA1052" i="12"/>
  <c r="AA696" i="12"/>
  <c r="AA726" i="12"/>
  <c r="AA2137" i="12"/>
  <c r="AA2119" i="12"/>
  <c r="AA2368" i="12"/>
  <c r="AA2017" i="12"/>
  <c r="AA1608" i="12"/>
  <c r="AA2636" i="12"/>
  <c r="AA3196" i="12"/>
  <c r="AA788" i="12"/>
  <c r="AA2036" i="12"/>
  <c r="AA2213" i="12"/>
  <c r="AA317" i="12"/>
  <c r="AA3455" i="12"/>
  <c r="AA1752" i="12"/>
  <c r="AA1926" i="12"/>
  <c r="AA3049" i="12"/>
  <c r="AA2713" i="12"/>
  <c r="AA3096" i="12"/>
  <c r="AA871" i="12"/>
  <c r="AA2796" i="12"/>
  <c r="AA3509" i="12"/>
  <c r="AA2090" i="12"/>
  <c r="AA2430" i="12"/>
  <c r="AA3234" i="12"/>
  <c r="AA510" i="12"/>
  <c r="AA3369" i="12"/>
  <c r="AA3542" i="12"/>
  <c r="AA805" i="12"/>
  <c r="AA1490" i="12"/>
  <c r="AA1232" i="12"/>
  <c r="AA2741" i="12"/>
  <c r="AA319" i="12"/>
  <c r="AA98" i="12"/>
  <c r="AA2186" i="12"/>
  <c r="AA1657" i="12"/>
  <c r="AA2019" i="12"/>
  <c r="AA1434" i="12"/>
  <c r="AA1950" i="12"/>
  <c r="AA258" i="12"/>
  <c r="AA3009" i="12"/>
  <c r="AA1889" i="12"/>
  <c r="AA717" i="12"/>
  <c r="AA986" i="12"/>
  <c r="AA2092" i="12"/>
  <c r="AA1130" i="12"/>
  <c r="AA350" i="12"/>
  <c r="AA2883" i="12"/>
  <c r="AA3094" i="12"/>
  <c r="AA797" i="12"/>
  <c r="AA2303" i="12"/>
  <c r="AA3164" i="12"/>
  <c r="AA978" i="12"/>
  <c r="AA2264" i="12"/>
  <c r="AA597" i="12"/>
  <c r="AA2442" i="12"/>
  <c r="AA2242" i="12"/>
  <c r="AA2784" i="12"/>
  <c r="AA1240" i="12"/>
  <c r="AA2282" i="12"/>
  <c r="AA2433" i="12"/>
  <c r="AA1585" i="12"/>
  <c r="AA2608" i="12"/>
  <c r="AA3289" i="12"/>
  <c r="AA3120" i="12"/>
  <c r="AA1283" i="12"/>
  <c r="AA1558" i="12"/>
  <c r="AA852" i="12"/>
  <c r="AA3480" i="12"/>
  <c r="AA2923" i="12"/>
  <c r="AA2802" i="12"/>
  <c r="AA2893" i="12"/>
  <c r="AA2718" i="12"/>
  <c r="AA3315" i="12"/>
  <c r="AA2409" i="12"/>
  <c r="AA3046" i="12"/>
  <c r="AA451" i="12"/>
  <c r="AA3475" i="12"/>
  <c r="AA3399" i="12"/>
  <c r="AA2361" i="12"/>
  <c r="AA1036" i="12"/>
  <c r="AA2694" i="12"/>
  <c r="AA3294" i="12"/>
  <c r="AA2503" i="12"/>
  <c r="AA1322" i="12"/>
  <c r="AA3010" i="12"/>
  <c r="AA126" i="12"/>
  <c r="AA1315" i="12"/>
  <c r="AA2601" i="12"/>
  <c r="AA1280" i="12"/>
  <c r="AA1937" i="12"/>
  <c r="AA2495" i="12"/>
  <c r="AA3341" i="12"/>
  <c r="AA2342" i="12"/>
  <c r="AA2590" i="12"/>
  <c r="AA2362" i="12"/>
  <c r="AA1263" i="12"/>
  <c r="AA2966" i="12"/>
  <c r="AA887" i="12"/>
  <c r="AA3433" i="12"/>
  <c r="AA1195" i="12"/>
  <c r="AA2095" i="12"/>
  <c r="AA599" i="12"/>
  <c r="AA3011" i="12"/>
  <c r="AA146" i="12"/>
  <c r="AA672" i="12"/>
  <c r="AA667" i="12"/>
  <c r="AA1547" i="12"/>
  <c r="AA1012" i="12"/>
  <c r="AA1971" i="12"/>
  <c r="AA3100" i="12"/>
  <c r="AA1995" i="12"/>
  <c r="AA66" i="12"/>
  <c r="AA1909" i="12"/>
  <c r="AA1748" i="12"/>
  <c r="AA1067" i="12"/>
  <c r="AA351" i="12"/>
  <c r="AA196" i="12"/>
  <c r="AA3285" i="12"/>
  <c r="AA688" i="12"/>
  <c r="AA212" i="12"/>
  <c r="AA585" i="12"/>
  <c r="AA461" i="12"/>
  <c r="AA1414" i="12"/>
  <c r="AA1206" i="12"/>
  <c r="AA2695" i="12"/>
  <c r="AA1981" i="12"/>
  <c r="AA1932" i="12"/>
  <c r="AA2843" i="12"/>
  <c r="AA1554" i="12"/>
  <c r="AA1671" i="12"/>
  <c r="AA1083" i="12"/>
  <c r="AA3224" i="12"/>
  <c r="AA107" i="12"/>
  <c r="AA2315" i="12"/>
  <c r="AA1316" i="12"/>
  <c r="AA3505" i="12"/>
  <c r="AA2821" i="12"/>
  <c r="AA3146" i="12"/>
  <c r="AA1884" i="12"/>
  <c r="AA2937" i="12"/>
  <c r="AA3217" i="12"/>
  <c r="AA3395" i="12"/>
  <c r="AA251" i="12"/>
  <c r="AA2449" i="12"/>
  <c r="AA3361" i="12"/>
  <c r="AA262" i="12"/>
  <c r="AA1223" i="12"/>
  <c r="AA3412" i="12"/>
  <c r="AA221" i="12"/>
  <c r="AA1347" i="12"/>
  <c r="AA2487" i="12"/>
  <c r="AA3381" i="12"/>
  <c r="AA377" i="12"/>
  <c r="AA3458" i="12"/>
  <c r="AA2685" i="12"/>
  <c r="AA2076" i="12"/>
  <c r="AA2736" i="12"/>
  <c r="AA2239" i="12"/>
  <c r="AA200" i="12"/>
  <c r="AA614" i="12"/>
  <c r="AA1621" i="12"/>
  <c r="AA1683" i="12"/>
  <c r="AA60" i="12"/>
  <c r="AA2398" i="12"/>
  <c r="AA114" i="12"/>
  <c r="AA416" i="12"/>
  <c r="AA2432" i="12"/>
  <c r="AA596" i="12"/>
  <c r="AA2408" i="12"/>
  <c r="AA2812" i="12"/>
  <c r="AA2658" i="12"/>
  <c r="AA3157" i="12"/>
  <c r="AA511" i="12"/>
  <c r="AA2265" i="12"/>
  <c r="AA1541" i="12"/>
  <c r="AA983" i="12"/>
  <c r="AA312" i="12"/>
  <c r="AA2977" i="12"/>
  <c r="AA1032" i="12"/>
  <c r="AA2513" i="12"/>
  <c r="AA458" i="12"/>
  <c r="AA2504" i="12"/>
  <c r="AA2231" i="12"/>
  <c r="AA96" i="12"/>
  <c r="AA1944" i="12"/>
  <c r="AA595" i="12"/>
  <c r="AA3172" i="12"/>
  <c r="AA2390" i="12"/>
  <c r="AA434" i="12"/>
  <c r="AA2423" i="12"/>
  <c r="AA2731" i="12"/>
  <c r="AA896" i="12"/>
  <c r="AA2737" i="12"/>
  <c r="AA180" i="12"/>
  <c r="AA3253" i="12"/>
  <c r="AA982" i="12"/>
  <c r="AA1158" i="12"/>
  <c r="AA913" i="12"/>
  <c r="AA838" i="12"/>
  <c r="AA71" i="12"/>
  <c r="AA2053" i="12"/>
  <c r="AA2559" i="12"/>
  <c r="AA3345" i="12"/>
  <c r="AA3513" i="12"/>
  <c r="AA1005" i="12"/>
  <c r="AA2488" i="12"/>
  <c r="AA2599" i="12"/>
  <c r="AA951" i="12"/>
  <c r="AA346" i="12"/>
  <c r="AA1626" i="12"/>
  <c r="AA2214" i="12"/>
  <c r="AA3511" i="12"/>
  <c r="AA2250" i="12"/>
  <c r="AA2380" i="12"/>
  <c r="AA866" i="12"/>
  <c r="AA874" i="12"/>
  <c r="AA1226" i="12"/>
  <c r="AA844" i="12"/>
  <c r="AA1529" i="12"/>
  <c r="AA1499" i="12"/>
  <c r="AA1580" i="12"/>
  <c r="AA3362" i="12"/>
  <c r="AA1947" i="12"/>
  <c r="AA1795" i="12"/>
  <c r="AA2743" i="12"/>
  <c r="AA2183" i="12"/>
  <c r="AA2013" i="12"/>
  <c r="AA1756" i="12"/>
  <c r="AA868" i="12"/>
  <c r="AA1602" i="12"/>
  <c r="AA2661" i="12"/>
  <c r="AA2208" i="12"/>
  <c r="AA2161" i="12"/>
  <c r="AA794" i="12"/>
  <c r="AA2286" i="12"/>
  <c r="AA2324" i="12"/>
  <c r="AA324" i="12"/>
  <c r="AA881" i="12"/>
  <c r="AA3182" i="12"/>
  <c r="AA1692" i="12"/>
  <c r="AA728" i="12"/>
  <c r="AA3461" i="12"/>
  <c r="AA1844" i="12"/>
  <c r="AA2668" i="12"/>
  <c r="AA3435" i="12"/>
  <c r="AA2272" i="12"/>
  <c r="AA2853" i="12"/>
  <c r="AA1194" i="12"/>
  <c r="AA1439" i="12"/>
  <c r="AA495" i="12"/>
  <c r="AA2381" i="12"/>
  <c r="AA1000" i="12"/>
  <c r="AA829" i="12"/>
  <c r="AA79" i="12"/>
  <c r="AA3003" i="12"/>
  <c r="AA2790" i="12"/>
  <c r="AA2534" i="12"/>
  <c r="AA3526" i="12"/>
  <c r="AA1353" i="12"/>
  <c r="AA233" i="12"/>
  <c r="AA1990" i="12"/>
  <c r="AA1639" i="12"/>
  <c r="AA91" i="12"/>
  <c r="AA2740" i="12"/>
  <c r="AA3465" i="12"/>
  <c r="AA2584" i="12"/>
  <c r="AA2318" i="12"/>
  <c r="AA851" i="12"/>
  <c r="AA3376" i="12"/>
  <c r="AA1745" i="12"/>
  <c r="AA1041" i="12"/>
  <c r="AA318" i="12"/>
  <c r="AA3228" i="12"/>
  <c r="AA1125" i="12"/>
  <c r="AA173" i="12"/>
  <c r="AA69" i="12"/>
  <c r="AA3533" i="12"/>
  <c r="AA2203" i="12"/>
  <c r="AA1837" i="12"/>
  <c r="AA2169" i="12"/>
  <c r="AA504" i="12"/>
  <c r="AA249" i="12"/>
  <c r="AA1832" i="12"/>
  <c r="AA3176" i="12"/>
  <c r="AA2226" i="12"/>
  <c r="AA491" i="12"/>
  <c r="AA3368" i="12"/>
  <c r="AA3363" i="12"/>
  <c r="AA1960" i="12"/>
  <c r="AA1183" i="12"/>
  <c r="AA3518" i="12"/>
  <c r="AA352" i="12"/>
  <c r="AA1544" i="12"/>
  <c r="AA2494" i="12"/>
  <c r="AA3207" i="12"/>
  <c r="AA3425" i="12"/>
  <c r="AA1689" i="12"/>
  <c r="AA2565" i="12"/>
  <c r="AA2886" i="12"/>
  <c r="AA419" i="12"/>
  <c r="AA2201" i="12"/>
  <c r="AA3130" i="12"/>
  <c r="AA2293" i="12"/>
  <c r="AA923" i="12"/>
  <c r="AA1919" i="12"/>
  <c r="AA2109" i="12"/>
  <c r="AA1678" i="12"/>
  <c r="AA1509" i="12"/>
  <c r="AA2235" i="12"/>
  <c r="AA2777" i="12"/>
  <c r="AA515" i="12"/>
  <c r="AA25" i="12"/>
  <c r="AA1058" i="12"/>
  <c r="AA819" i="12"/>
  <c r="AA2582" i="12"/>
  <c r="AA809" i="12"/>
  <c r="AA1006" i="12"/>
  <c r="AA2030" i="12"/>
  <c r="AA2681" i="12"/>
  <c r="AA2832" i="12"/>
  <c r="AA2427" i="12"/>
  <c r="AA1503" i="12"/>
  <c r="AA3086" i="12"/>
  <c r="AA257" i="12"/>
  <c r="AA775" i="12"/>
  <c r="AA1818" i="12"/>
  <c r="AA2809" i="12"/>
  <c r="AA2708" i="12"/>
  <c r="AA3024" i="12"/>
  <c r="AA712" i="12"/>
  <c r="AA2167" i="12"/>
  <c r="AA1610" i="12"/>
  <c r="AA1460" i="12"/>
  <c r="AA2492" i="12"/>
  <c r="AA2688" i="12"/>
  <c r="AA166" i="12"/>
  <c r="AA2393" i="12"/>
  <c r="AA1254" i="12"/>
  <c r="AA373" i="12"/>
  <c r="AA1124" i="12"/>
  <c r="AA2331" i="12"/>
  <c r="AA1204" i="12"/>
  <c r="AA562" i="12"/>
  <c r="AA2289" i="12"/>
  <c r="AA3044" i="12"/>
  <c r="AA2075" i="12"/>
  <c r="AA1587" i="12"/>
  <c r="AA1962" i="12"/>
  <c r="AA3457" i="12"/>
  <c r="AA1157" i="12"/>
  <c r="AA2257" i="12"/>
  <c r="AA2925" i="12"/>
  <c r="AA3137" i="12"/>
  <c r="AA1928" i="12"/>
  <c r="AA2379" i="12"/>
  <c r="AA2725" i="12"/>
  <c r="AA1913" i="12"/>
  <c r="AA275" i="12"/>
  <c r="AA1429" i="12"/>
  <c r="AA1922" i="12"/>
  <c r="AA2614" i="12"/>
  <c r="AA2841" i="12"/>
  <c r="AA186" i="12"/>
  <c r="AA682" i="12"/>
  <c r="AA3200" i="12"/>
  <c r="AA487" i="12"/>
  <c r="AA273" i="12"/>
  <c r="AA2337" i="12"/>
  <c r="AA1138" i="12"/>
  <c r="AA321" i="12"/>
  <c r="AA2754" i="12"/>
  <c r="AA1790" i="12"/>
  <c r="AA1495" i="12"/>
  <c r="AA981" i="12"/>
  <c r="AA1339" i="12"/>
  <c r="AA2696" i="12"/>
  <c r="AA3083" i="12"/>
  <c r="AA592" i="12"/>
  <c r="AA888" i="12"/>
  <c r="AA3095" i="12"/>
  <c r="AA1640" i="12"/>
  <c r="AA1871" i="12"/>
  <c r="AA3040" i="12"/>
  <c r="AA2309" i="12"/>
  <c r="AA3283" i="12"/>
  <c r="AA432" i="12"/>
  <c r="AA1571" i="12"/>
  <c r="AA2366" i="12"/>
  <c r="AA2225" i="12"/>
  <c r="AA111" i="12"/>
  <c r="AA3059" i="12"/>
  <c r="AA1061" i="12"/>
  <c r="AA3243" i="12"/>
  <c r="AA753" i="12"/>
  <c r="AA2457" i="12"/>
  <c r="AA2285" i="12"/>
  <c r="AA2806" i="12"/>
  <c r="AA1770" i="12"/>
  <c r="AA490" i="12"/>
  <c r="AA566" i="12"/>
  <c r="AA3068" i="12"/>
  <c r="AA3260" i="12"/>
  <c r="AA2240" i="12"/>
  <c r="AA1546" i="12"/>
  <c r="AA734" i="12"/>
  <c r="AA2448" i="12"/>
  <c r="AA1257" i="12"/>
  <c r="AA3025" i="12"/>
  <c r="AA2299" i="12"/>
  <c r="AA1236" i="12"/>
  <c r="AA2650" i="12"/>
  <c r="AA46" i="12"/>
  <c r="AA3101" i="12"/>
  <c r="AA627" i="12"/>
  <c r="AA2014" i="12"/>
  <c r="AA2088" i="12"/>
  <c r="AA33" i="12"/>
  <c r="AA2083" i="12"/>
  <c r="AA2531" i="12"/>
  <c r="AA2043" i="12"/>
  <c r="AA3499" i="12"/>
  <c r="AA733" i="12"/>
  <c r="AA3521" i="12"/>
  <c r="AA3280" i="12"/>
  <c r="AA1122" i="12"/>
  <c r="AA2831" i="12"/>
  <c r="AA1596" i="12"/>
  <c r="AA54" i="12"/>
  <c r="AA1510" i="12"/>
  <c r="AA928" i="12"/>
  <c r="AA3054" i="12"/>
  <c r="AA559" i="12"/>
  <c r="AA1269" i="12"/>
  <c r="AA3320" i="12"/>
  <c r="AA2947" i="12"/>
  <c r="AA2446" i="12"/>
  <c r="AA1737" i="12"/>
  <c r="AA2395" i="12"/>
  <c r="AA3215" i="12"/>
  <c r="AA1615" i="12"/>
  <c r="AA1941" i="12"/>
  <c r="AA590" i="12"/>
  <c r="AA1965" i="12"/>
  <c r="AA323" i="12"/>
  <c r="AA738" i="12"/>
  <c r="AA3421" i="12"/>
  <c r="AA680" i="12"/>
  <c r="AA1590" i="12"/>
  <c r="AA3235" i="12"/>
  <c r="AA776" i="12"/>
  <c r="AA971" i="12"/>
  <c r="AA743" i="12"/>
  <c r="AA1029" i="12"/>
  <c r="AA3056" i="12"/>
  <c r="AA2974" i="12"/>
  <c r="AA3418" i="12"/>
  <c r="AA1788" i="12"/>
  <c r="AA593" i="12"/>
  <c r="AA2198" i="12"/>
  <c r="AA1297" i="12"/>
  <c r="AA1861" i="12"/>
  <c r="AA2143" i="12"/>
  <c r="AA3080" i="12"/>
  <c r="AA698" i="12"/>
  <c r="AA479" i="12"/>
  <c r="AA1484" i="12"/>
  <c r="AA811" i="12"/>
  <c r="AA2341" i="12"/>
  <c r="AA1305" i="12"/>
  <c r="AA744" i="12"/>
  <c r="AA2965" i="12"/>
  <c r="AA2956" i="12"/>
  <c r="AA2463" i="12"/>
  <c r="AA662" i="12"/>
  <c r="AA938" i="12"/>
  <c r="AA2637" i="12"/>
  <c r="AA2991" i="12"/>
  <c r="AA1182" i="12"/>
  <c r="AA3515" i="12"/>
  <c r="AA960" i="12"/>
  <c r="AA241" i="12"/>
  <c r="AA1506" i="12"/>
  <c r="AA1164" i="12"/>
  <c r="AA153" i="12"/>
  <c r="AA2556" i="12"/>
  <c r="AA2258" i="12"/>
  <c r="AA2583" i="12"/>
  <c r="AA1595" i="12"/>
  <c r="AA919" i="12"/>
  <c r="AA193" i="12"/>
  <c r="AA660" i="12"/>
  <c r="AA190" i="12"/>
  <c r="AA2542" i="12"/>
  <c r="AA2262" i="12"/>
  <c r="AA540" i="12"/>
  <c r="AA2730" i="12"/>
  <c r="AA2253" i="12"/>
  <c r="AA3084" i="12"/>
  <c r="AA64" i="12"/>
  <c r="AA2768" i="12"/>
  <c r="AA3508" i="12"/>
  <c r="AA556" i="12"/>
  <c r="AA442" i="12"/>
  <c r="AA1143" i="12"/>
  <c r="AA2462" i="12"/>
  <c r="AA305" i="12"/>
  <c r="AA2371" i="12"/>
  <c r="AA679" i="12"/>
  <c r="AA327" i="12"/>
  <c r="AA3167" i="12"/>
  <c r="AA1682" i="12"/>
  <c r="AA1011" i="12"/>
  <c r="AA2375" i="12"/>
  <c r="AA2995" i="12"/>
  <c r="AA768" i="12"/>
  <c r="AA1078" i="12"/>
  <c r="AA610" i="12"/>
  <c r="AA3304" i="12"/>
  <c r="AA2537" i="12"/>
  <c r="AA1253" i="12"/>
  <c r="AA663" i="12"/>
  <c r="AA462" i="12"/>
  <c r="AA3419" i="12"/>
  <c r="AA1885" i="12"/>
  <c r="AA2426" i="12"/>
  <c r="AA308" i="12"/>
  <c r="AA1196" i="12"/>
  <c r="AA3075" i="12"/>
  <c r="AA2087" i="12"/>
  <c r="AA1266" i="12"/>
  <c r="AA2358" i="12"/>
  <c r="AA1033" i="12"/>
  <c r="AA2835" i="12"/>
  <c r="AA3498" i="12"/>
  <c r="AA2747" i="12"/>
  <c r="AA2439" i="12"/>
  <c r="AA2884" i="12"/>
  <c r="AA1210" i="12"/>
  <c r="AA2202" i="12"/>
  <c r="AA1514" i="12"/>
  <c r="AA1372" i="12"/>
  <c r="AA2319" i="12"/>
  <c r="AA3008" i="12"/>
  <c r="AA3249" i="12"/>
  <c r="AA2307" i="12"/>
  <c r="AA2458" i="12"/>
  <c r="AA2064" i="12"/>
  <c r="AA3012" i="12"/>
  <c r="AA1290" i="12"/>
  <c r="AA1073" i="12"/>
  <c r="AA2370" i="12"/>
  <c r="AA363" i="12"/>
  <c r="AA1957" i="12"/>
  <c r="AA248" i="12"/>
  <c r="AA1958" i="12"/>
  <c r="AA586" i="12"/>
  <c r="AA1799" i="12"/>
  <c r="AA349" i="12"/>
  <c r="AA1368" i="12"/>
  <c r="AA691" i="12"/>
  <c r="AA1550" i="12"/>
  <c r="AA1815" i="12"/>
  <c r="AA1523" i="12"/>
  <c r="AA229" i="12"/>
  <c r="AA3463" i="12"/>
  <c r="AA392" i="12"/>
  <c r="AA3389" i="12"/>
  <c r="AA2327" i="12"/>
  <c r="AA2526" i="12"/>
  <c r="AA2104" i="12"/>
  <c r="AA3268" i="12"/>
  <c r="AA1035" i="12"/>
  <c r="AA857" i="12"/>
  <c r="AA2827" i="12"/>
  <c r="AA158" i="12"/>
  <c r="AA1680" i="12"/>
  <c r="AA2007" i="12"/>
  <c r="AA43" i="12"/>
  <c r="AA2288" i="12"/>
  <c r="AA253" i="12"/>
  <c r="AA2953" i="12"/>
  <c r="AA1047" i="12"/>
  <c r="AA2838" i="12"/>
  <c r="AA2922" i="12"/>
  <c r="AA2803" i="12"/>
  <c r="AA1629" i="12"/>
  <c r="AA2316" i="12"/>
  <c r="AA689" i="12"/>
  <c r="AA1169" i="12"/>
  <c r="AA686" i="12"/>
  <c r="AA3328" i="12"/>
  <c r="AA2392" i="12"/>
  <c r="AA2101" i="12"/>
  <c r="AA448" i="12"/>
  <c r="AA2006" i="12"/>
  <c r="AA2015" i="12"/>
  <c r="AA2847" i="12"/>
  <c r="AA40" i="12"/>
  <c r="AA467" i="12"/>
  <c r="AA261" i="12"/>
  <c r="AA806" i="12"/>
  <c r="AA2417" i="12"/>
  <c r="AA3190" i="12"/>
  <c r="AA1139" i="12"/>
  <c r="AA1493" i="12"/>
  <c r="AA89" i="12"/>
  <c r="AA1277" i="12"/>
  <c r="AA638" i="12"/>
  <c r="AA2697" i="12"/>
  <c r="AA2089" i="12"/>
  <c r="AA2906" i="12"/>
  <c r="AA2746" i="12"/>
  <c r="AA1648" i="12"/>
  <c r="AA807" i="12"/>
  <c r="AA58" i="12"/>
  <c r="AA3334" i="12"/>
  <c r="AA1703" i="12"/>
  <c r="AA2643" i="12"/>
  <c r="AA224" i="12"/>
  <c r="AA1521" i="12"/>
  <c r="AA2422" i="12"/>
  <c r="AA2508" i="12"/>
  <c r="AA1987" i="12"/>
  <c r="AA798" i="12"/>
  <c r="AA2464" i="12"/>
  <c r="AA1378" i="12"/>
  <c r="AA658" i="12"/>
  <c r="AA843" i="12"/>
  <c r="AA3366" i="12"/>
  <c r="AA1536" i="12"/>
  <c r="AA541" i="12"/>
  <c r="AA3450" i="12"/>
  <c r="AA484" i="12"/>
  <c r="AA1908" i="12"/>
  <c r="AA175" i="12"/>
  <c r="AA1398" i="12"/>
  <c r="AA132" i="12"/>
  <c r="AA1127" i="12"/>
  <c r="AA1381" i="12"/>
  <c r="AA867" i="12"/>
  <c r="AA1286" i="12"/>
  <c r="AA2860" i="12"/>
  <c r="AA1459" i="12"/>
  <c r="AA2126" i="12"/>
  <c r="AA1110" i="12"/>
  <c r="AA1393" i="12"/>
  <c r="AA1599" i="12"/>
  <c r="AA962" i="12"/>
  <c r="AA1273" i="12"/>
  <c r="AA2955" i="12"/>
  <c r="AA1840" i="12"/>
  <c r="AA1095" i="12"/>
  <c r="AA2268" i="12"/>
  <c r="AA673" i="12"/>
  <c r="AA2780" i="12"/>
  <c r="AA2657" i="12"/>
  <c r="AA1696" i="12"/>
  <c r="AA861" i="12"/>
  <c r="AA1740" i="12"/>
  <c r="AA129" i="12"/>
  <c r="AA90" i="12"/>
  <c r="AA2976" i="12"/>
  <c r="AA1775" i="12"/>
  <c r="AA2054" i="12"/>
  <c r="AA2779" i="12"/>
  <c r="AA1517" i="12"/>
  <c r="AA1560" i="12"/>
  <c r="AA2418" i="12"/>
  <c r="AA652" i="12"/>
  <c r="AA2482" i="12"/>
  <c r="AA1895" i="12"/>
  <c r="AA1906" i="12"/>
  <c r="AA81" i="12"/>
  <c r="AA2125" i="12"/>
  <c r="AA3177" i="12"/>
  <c r="AA2586" i="12"/>
  <c r="AA2210" i="12"/>
  <c r="AA839" i="12"/>
  <c r="AA29" i="12"/>
  <c r="AA428" i="12"/>
  <c r="AA513" i="12"/>
  <c r="AA2577" i="12"/>
  <c r="AA2687" i="12"/>
  <c r="AA382" i="12"/>
  <c r="AA3089" i="12"/>
  <c r="AA3205" i="12"/>
  <c r="AA1025" i="12"/>
  <c r="AA2144" i="12"/>
  <c r="AA3282" i="12"/>
  <c r="AA3070" i="12"/>
  <c r="AA3144" i="12"/>
  <c r="AA648" i="12"/>
  <c r="AA1091" i="12"/>
  <c r="AA3237" i="12"/>
  <c r="AA1875" i="12"/>
  <c r="AA2028" i="12"/>
  <c r="AA2553" i="12"/>
  <c r="AA2424" i="12"/>
  <c r="AA2763" i="12"/>
  <c r="AA1763" i="12"/>
  <c r="AA3507" i="12"/>
  <c r="AA1642" i="12"/>
  <c r="AA3178" i="12"/>
  <c r="AA1377" i="12"/>
  <c r="AA3290" i="12"/>
  <c r="AA1112" i="12"/>
  <c r="AA1946" i="12"/>
  <c r="AA549" i="12"/>
  <c r="AA1866" i="12"/>
  <c r="AA3372" i="12"/>
  <c r="AA3422" i="12"/>
  <c r="AA826" i="12"/>
  <c r="AA1261" i="12"/>
  <c r="AA1625" i="12"/>
  <c r="AA934" i="12"/>
  <c r="AA3296" i="12"/>
  <c r="AA796" i="12"/>
  <c r="AA2623" i="12"/>
  <c r="AA2205" i="12"/>
  <c r="AA3413" i="12"/>
  <c r="AA685" i="12"/>
  <c r="AA1929" i="12"/>
  <c r="AA3375" i="12"/>
  <c r="AA1717" i="12"/>
  <c r="AA1533" i="12"/>
  <c r="AA167" i="12"/>
  <c r="AA2674" i="12"/>
  <c r="AA1088" i="12"/>
  <c r="AA3142" i="12"/>
  <c r="AA285" i="12"/>
  <c r="AA1994" i="12"/>
  <c r="AA3550" i="12"/>
  <c r="AA2709" i="12"/>
  <c r="AA2207" i="12"/>
  <c r="AA408" i="12"/>
  <c r="AA643" i="12"/>
  <c r="AA2484" i="12"/>
  <c r="AA1530" i="12"/>
  <c r="AA446" i="12"/>
  <c r="AA3313" i="12"/>
  <c r="AA3261" i="12"/>
  <c r="AA1669" i="12"/>
  <c r="AA1722" i="12"/>
  <c r="AA1148" i="12"/>
  <c r="AA2084" i="12"/>
  <c r="AA918" i="12"/>
  <c r="AA2851" i="12"/>
  <c r="AA2764" i="12"/>
  <c r="AA3174" i="12"/>
  <c r="AA1431" i="12"/>
  <c r="AA1433" i="12"/>
  <c r="AA1160" i="12"/>
  <c r="AA3048" i="12"/>
  <c r="AA3552" i="12"/>
  <c r="AA974" i="12"/>
  <c r="AA2182" i="12"/>
  <c r="AA2873" i="12"/>
  <c r="AA948" i="12"/>
  <c r="AA163" i="12"/>
  <c r="AA2786" i="12"/>
  <c r="AA3188" i="12"/>
  <c r="AA3284" i="12"/>
  <c r="AA1561" i="12"/>
  <c r="AA3549" i="12"/>
  <c r="AA771" i="12"/>
  <c r="AA1344" i="12"/>
  <c r="AA322" i="12"/>
  <c r="AA1090" i="12"/>
  <c r="AA1566" i="12"/>
  <c r="AA3195" i="12"/>
  <c r="AA3482" i="12"/>
  <c r="AA1916" i="12"/>
  <c r="AA2788" i="12"/>
  <c r="AA1827" i="12"/>
  <c r="AA1940" i="12"/>
  <c r="AA2548" i="12"/>
  <c r="AA3527" i="12"/>
  <c r="AA1335" i="12"/>
  <c r="AA1628" i="12"/>
  <c r="AA2254" i="12"/>
  <c r="AA2717" i="12"/>
  <c r="AA364" i="12"/>
  <c r="AA1897" i="12"/>
  <c r="AA612" i="12"/>
  <c r="AA1312" i="12"/>
  <c r="AA995" i="12"/>
  <c r="AA1329" i="12"/>
  <c r="AA2854" i="12"/>
  <c r="AA587" i="12"/>
  <c r="AA2514" i="12"/>
  <c r="AA3277" i="12"/>
  <c r="AA1702" i="12"/>
  <c r="AA730" i="12"/>
  <c r="AA3272" i="12"/>
  <c r="AA3103" i="12"/>
  <c r="AA2238" i="12"/>
  <c r="AA2320" i="12"/>
  <c r="AA2928" i="12"/>
  <c r="AA1471" i="12"/>
  <c r="AA1141" i="12"/>
  <c r="AA1265" i="12"/>
  <c r="AA1216" i="12"/>
  <c r="AA1667" i="12"/>
  <c r="AA2256" i="12"/>
  <c r="AA1589" i="12"/>
  <c r="AA3281" i="12"/>
  <c r="AA2419" i="12"/>
  <c r="AA1579" i="12"/>
  <c r="AA1687" i="12"/>
  <c r="AA911" i="12"/>
  <c r="AA2228" i="12"/>
  <c r="AA988" i="12"/>
  <c r="AA2402" i="12"/>
  <c r="AA560" i="12"/>
  <c r="AA3388" i="12"/>
  <c r="AA2100" i="12"/>
  <c r="AA1323" i="12"/>
  <c r="AA2945" i="12"/>
  <c r="AA906" i="12"/>
  <c r="AA1797" i="12"/>
  <c r="AA453" i="12"/>
  <c r="AA3140" i="12"/>
  <c r="AA84" i="12"/>
  <c r="AA1410" i="12"/>
  <c r="AA1835" i="12"/>
  <c r="AA2399" i="12"/>
  <c r="AA2994" i="12"/>
  <c r="AA1858" i="12"/>
  <c r="AA88" i="12"/>
  <c r="AA1511" i="12"/>
  <c r="AA579" i="12"/>
  <c r="AA1256" i="12"/>
  <c r="AA1877" i="12"/>
  <c r="AA3231" i="12"/>
  <c r="AA1423" i="12"/>
  <c r="AA217" i="12"/>
  <c r="AA360" i="12"/>
  <c r="AA2644" i="12"/>
  <c r="AA622" i="12"/>
  <c r="AA1878" i="12"/>
  <c r="AA208" i="12"/>
  <c r="AA3479" i="12"/>
  <c r="AA2421" i="12"/>
  <c r="AA2954" i="12"/>
  <c r="AA3041" i="12"/>
  <c r="AA882" i="12"/>
  <c r="AA1933" i="12"/>
  <c r="AA2683" i="12"/>
  <c r="AA536" i="12"/>
  <c r="AA239" i="12"/>
  <c r="AA1420" i="12"/>
  <c r="AA2845" i="12"/>
  <c r="AA634" i="12"/>
  <c r="AA1783" i="12"/>
  <c r="AA578" i="12"/>
  <c r="AA2826" i="12"/>
  <c r="AA136" i="12"/>
  <c r="AA1233" i="12"/>
  <c r="AA1638" i="12"/>
  <c r="AA2759" i="12"/>
  <c r="AA2751" i="12"/>
  <c r="AA101" i="12"/>
  <c r="AA656" i="12"/>
  <c r="AA1786" i="12"/>
  <c r="AA1481" i="12"/>
  <c r="AA2311" i="12"/>
  <c r="AA127" i="12"/>
  <c r="AA3115" i="12"/>
  <c r="AA1754" i="12"/>
  <c r="AA678" i="12"/>
  <c r="AA3452" i="12"/>
  <c r="AA113" i="12"/>
  <c r="AA2752" i="12"/>
  <c r="AA162" i="12"/>
  <c r="AA226" i="12"/>
  <c r="AA1996" i="12"/>
  <c r="AA298" i="12"/>
  <c r="AA985" i="12"/>
  <c r="AA718" i="12"/>
  <c r="AA271" i="12"/>
  <c r="AA2793" i="12"/>
  <c r="AA1170" i="12"/>
  <c r="AA155" i="12"/>
  <c r="AA1237" i="12"/>
  <c r="AA3462" i="12"/>
  <c r="AA2936" i="12"/>
  <c r="AA244" i="12"/>
  <c r="AA1519" i="12"/>
  <c r="AA547" i="12"/>
  <c r="AA3036" i="12"/>
  <c r="AA1168" i="12"/>
  <c r="AA2946" i="12"/>
  <c r="AA3088" i="12"/>
  <c r="AA729" i="12"/>
  <c r="AA3153" i="12"/>
  <c r="AA202" i="12"/>
  <c r="AA2692" i="12"/>
  <c r="AA647" i="12"/>
  <c r="AA486" i="12"/>
  <c r="AA1424" i="12"/>
  <c r="AA198" i="12"/>
  <c r="AA2365" i="12"/>
  <c r="AA588" i="12"/>
  <c r="AA2921" i="12"/>
  <c r="AA2003" i="12"/>
  <c r="AA1468" i="12"/>
  <c r="AA800" i="12"/>
  <c r="AA3125" i="12"/>
  <c r="AA2057" i="12"/>
  <c r="AA2722" i="12"/>
  <c r="AA501" i="12"/>
  <c r="AA714" i="12"/>
  <c r="AA1768" i="12"/>
  <c r="AA514" i="12"/>
  <c r="AA1350" i="12"/>
  <c r="AA3517" i="12"/>
  <c r="AA3126" i="12"/>
  <c r="AA3214" i="12"/>
  <c r="AA1539" i="12"/>
  <c r="AA2680" i="12"/>
  <c r="AA1403" i="12"/>
  <c r="AA3420" i="12"/>
  <c r="AA87" i="12"/>
  <c r="AA3122" i="12"/>
  <c r="AA3279" i="12"/>
  <c r="AA1275" i="12"/>
  <c r="AA3072" i="12"/>
  <c r="AA992" i="12"/>
  <c r="AA3347" i="12"/>
  <c r="AA267" i="12"/>
  <c r="AA3192" i="12"/>
  <c r="AA1465" i="12"/>
  <c r="AA3520" i="12"/>
  <c r="AA1725" i="12"/>
  <c r="AA375" i="12"/>
  <c r="AA133" i="12"/>
  <c r="AA3342" i="12"/>
  <c r="AA124" i="12"/>
  <c r="AA976" i="12"/>
  <c r="AA1040" i="12"/>
  <c r="AA1401" i="12"/>
  <c r="AA849" i="12"/>
  <c r="AA2031" i="12"/>
  <c r="AA1198" i="12"/>
  <c r="AA1504" i="12"/>
  <c r="AA535" i="12"/>
  <c r="AA3512" i="12"/>
  <c r="AA3035" i="12"/>
  <c r="AA1109" i="12"/>
  <c r="AA1400" i="12"/>
  <c r="AA3209" i="12"/>
  <c r="AA947" i="12"/>
  <c r="AA1105" i="12"/>
  <c r="AA3118" i="12"/>
  <c r="AA1159" i="12"/>
  <c r="AA1538" i="12"/>
  <c r="AA2833" i="12"/>
  <c r="AA542" i="12"/>
  <c r="AA1983" i="12"/>
  <c r="AA870" i="12"/>
  <c r="AA1345" i="12"/>
  <c r="AA2279" i="12"/>
  <c r="AA1444" i="12"/>
  <c r="AA1588" i="12"/>
  <c r="AA1155" i="12"/>
  <c r="AA2942" i="12"/>
  <c r="AA1867" i="12"/>
  <c r="AA3186" i="12"/>
  <c r="AA1416" i="12"/>
  <c r="AA1001" i="12"/>
  <c r="AA93" i="12"/>
  <c r="AA150" i="12"/>
  <c r="AA254" i="12"/>
  <c r="AA3179" i="12"/>
  <c r="AA766" i="12"/>
  <c r="AA94" i="12"/>
  <c r="AA1819" i="12"/>
  <c r="AA492" i="12"/>
  <c r="AA850" i="12"/>
  <c r="AA1573" i="12"/>
  <c r="AA752" i="12"/>
  <c r="AA3014" i="12"/>
  <c r="AA2349" i="12"/>
  <c r="AA955" i="12"/>
  <c r="AA3459" i="12"/>
  <c r="AA3524" i="12"/>
  <c r="AA2536" i="12"/>
  <c r="AA128" i="12"/>
  <c r="AA143" i="12"/>
  <c r="AA2180" i="12"/>
  <c r="AA2551" i="12"/>
  <c r="AA3352" i="12"/>
  <c r="AA2032" i="12"/>
  <c r="AA240" i="12"/>
  <c r="AA145" i="12"/>
  <c r="AA1979" i="12"/>
  <c r="AA19" i="12"/>
  <c r="AA197" i="12"/>
  <c r="AA2443" i="12"/>
  <c r="AA787" i="12"/>
  <c r="AA2348" i="12"/>
  <c r="AA1082" i="12"/>
  <c r="AA389" i="12"/>
  <c r="AA236" i="12"/>
  <c r="AA1742" i="12"/>
  <c r="AA916" i="12"/>
  <c r="AA2310" i="12"/>
  <c r="AA1479" i="12"/>
  <c r="AA429" i="12"/>
  <c r="AA2134" i="12"/>
  <c r="AA1559" i="12"/>
  <c r="AA657" i="12"/>
  <c r="AA1026" i="12"/>
  <c r="AA1314" i="12"/>
  <c r="AA2706" i="12"/>
  <c r="AA3171" i="12"/>
  <c r="AA2822" i="12"/>
  <c r="AA2263" i="12"/>
  <c r="AA3077" i="12"/>
  <c r="AA2562" i="12"/>
  <c r="AA1697" i="12"/>
  <c r="AA2322" i="12"/>
  <c r="AA2649" i="12"/>
  <c r="AA1690" i="12"/>
  <c r="AA2857" i="12"/>
  <c r="AA736" i="12"/>
  <c r="AA1632" i="12"/>
  <c r="AA2290" i="12"/>
  <c r="AA2642" i="12"/>
  <c r="AA548" i="12"/>
  <c r="AA3333" i="12"/>
  <c r="AA818" i="12"/>
  <c r="AA2233" i="12"/>
  <c r="AA1425" i="12"/>
  <c r="AA287" i="12"/>
  <c r="AA2016" i="12"/>
  <c r="AA55" i="12"/>
  <c r="AA1184" i="12"/>
  <c r="AA2538" i="12"/>
  <c r="AA367" i="12"/>
  <c r="AA1967" i="12"/>
  <c r="AA2607" i="12"/>
  <c r="AA676" i="12"/>
  <c r="AA2732" i="12"/>
  <c r="AA2038" i="12"/>
  <c r="AA48" i="12"/>
  <c r="AA2749" i="12"/>
  <c r="AA1653" i="12"/>
  <c r="AA605" i="12"/>
  <c r="AA1230" i="12"/>
  <c r="AA1100" i="12"/>
  <c r="AA790" i="12"/>
  <c r="AA1705" i="12"/>
  <c r="AA2810" i="12"/>
  <c r="AA2866" i="12"/>
  <c r="AA252" i="12"/>
  <c r="AA1260" i="12"/>
  <c r="AA2852" i="12"/>
  <c r="AA433" i="12"/>
  <c r="AA192" i="12"/>
  <c r="AA2284" i="12"/>
  <c r="AA176" i="12"/>
  <c r="AA781" i="12"/>
  <c r="AA2721" i="12"/>
  <c r="AA3356" i="12"/>
  <c r="AA3039" i="12"/>
  <c r="AA1028" i="12"/>
  <c r="AA799" i="12"/>
  <c r="AA1480" i="12"/>
  <c r="AA2849" i="12"/>
  <c r="AA1267" i="12"/>
  <c r="AA774" i="12"/>
  <c r="AA1442" i="12"/>
  <c r="AA1064" i="12"/>
  <c r="AA2878" i="12"/>
  <c r="AA2130" i="12"/>
  <c r="AA2615" i="12"/>
  <c r="AA875" i="12"/>
  <c r="AA1214" i="12"/>
  <c r="AA2336" i="12"/>
  <c r="AA1462" i="12"/>
  <c r="AA1731" i="12"/>
  <c r="AA1430" i="12"/>
  <c r="AA2684" i="12"/>
  <c r="AA2611" i="12"/>
  <c r="AA104" i="12"/>
  <c r="AA450" i="12"/>
  <c r="AA2055" i="12"/>
  <c r="AA3248" i="12"/>
  <c r="AA1537" i="12"/>
  <c r="AA855" i="12"/>
  <c r="AA2515" i="12"/>
  <c r="AA2131" i="12"/>
  <c r="AA2041" i="12"/>
  <c r="AA290" i="12"/>
  <c r="AA2344" i="12"/>
  <c r="AA2065" i="12"/>
  <c r="AA109" i="12"/>
  <c r="AA1627" i="12"/>
  <c r="AA3221" i="12"/>
  <c r="AA3251" i="12"/>
  <c r="AA331" i="12"/>
  <c r="AA2312" i="12"/>
  <c r="AA979" i="12"/>
  <c r="AA95" i="12"/>
  <c r="AA1634" i="12"/>
  <c r="AA2711" i="12"/>
  <c r="AA386" i="12"/>
  <c r="AA3438" i="12"/>
  <c r="AA3002" i="12"/>
  <c r="AA2474" i="12"/>
  <c r="AA1062" i="12"/>
  <c r="AA2639" i="12"/>
  <c r="AA573" i="12"/>
  <c r="AA792" i="12"/>
  <c r="AA97" i="12"/>
  <c r="AA2199" i="12"/>
  <c r="AA2347" i="12"/>
  <c r="AA778" i="12"/>
  <c r="AA1259" i="12"/>
  <c r="AA2908" i="12"/>
  <c r="AA2682" i="12"/>
  <c r="AA2888" i="12"/>
  <c r="AA2651" i="12"/>
  <c r="AA3141" i="12"/>
  <c r="AA1245" i="12"/>
  <c r="AA994" i="12"/>
  <c r="AA245" i="12"/>
  <c r="AA1086" i="12"/>
  <c r="AA2249" i="12"/>
  <c r="AA879" i="12"/>
  <c r="AA2493" i="12"/>
  <c r="AA3534" i="12"/>
  <c r="AA2823" i="12"/>
  <c r="AA1736" i="12"/>
  <c r="AA1048" i="12"/>
  <c r="AA3432" i="12"/>
  <c r="AA3380" i="12"/>
  <c r="AA2774" i="12"/>
  <c r="AA2091" i="12"/>
  <c r="AA361" i="12"/>
  <c r="AA2035" i="12"/>
  <c r="AA508" i="12"/>
  <c r="AA2298" i="12"/>
  <c r="AA537" i="12"/>
  <c r="AA1191" i="12"/>
  <c r="AA3029" i="12"/>
  <c r="AA2470" i="12"/>
  <c r="AA1761" i="12"/>
  <c r="AA384" i="12"/>
  <c r="AA554" i="12"/>
  <c r="AA2912" i="12"/>
  <c r="AA2604" i="12"/>
  <c r="AA1351" i="12"/>
  <c r="AA659" i="12"/>
  <c r="AA293" i="12"/>
  <c r="AA2797" i="12"/>
  <c r="AA2902" i="12"/>
  <c r="AA1337" i="12"/>
  <c r="AA344" i="12"/>
  <c r="AA1299" i="12"/>
  <c r="AA2535" i="12"/>
  <c r="AA784" i="12"/>
  <c r="AA20" i="12"/>
  <c r="AA1902" i="12"/>
  <c r="AA388" i="12"/>
  <c r="AA1970" i="12"/>
  <c r="AA195" i="12"/>
  <c r="AA883" i="12"/>
  <c r="AA2728" i="12"/>
  <c r="AA845" i="12"/>
  <c r="AA3495" i="12"/>
  <c r="AA1646" i="12"/>
  <c r="AA1388" i="12"/>
  <c r="AA2154" i="12"/>
  <c r="AA553" i="12"/>
  <c r="AA3004" i="12"/>
  <c r="AA164" i="12"/>
  <c r="AA2602" i="12"/>
  <c r="AA74" i="12"/>
  <c r="AA1328" i="12"/>
  <c r="AA1136" i="12"/>
  <c r="AA122" i="12"/>
  <c r="AA3384" i="12"/>
  <c r="AA1893" i="12"/>
  <c r="AA1317" i="12"/>
  <c r="AA2579" i="12"/>
  <c r="AA795" i="12"/>
  <c r="AA1419" i="12"/>
  <c r="AA1660" i="12"/>
  <c r="AA3230" i="12"/>
  <c r="AA2691" i="12"/>
  <c r="AA2870" i="12"/>
  <c r="AA1953" i="12"/>
  <c r="AA654" i="12"/>
  <c r="AA466" i="12"/>
  <c r="AA1215" i="12"/>
  <c r="AA2699" i="12"/>
  <c r="AA877" i="12"/>
  <c r="AA2880" i="12"/>
  <c r="AA2879" i="12"/>
  <c r="AA1652" i="12"/>
  <c r="AA2209" i="12"/>
  <c r="AA1218" i="12"/>
  <c r="AA2672" i="12"/>
  <c r="AA282" i="12"/>
  <c r="AA424" i="12"/>
  <c r="AA2913" i="12"/>
  <c r="AA2142" i="12"/>
  <c r="AA3402" i="12"/>
  <c r="AA701" i="12"/>
  <c r="AA1828" i="12"/>
  <c r="AA2350" i="12"/>
  <c r="AA1192" i="12"/>
  <c r="AA1880" i="12"/>
  <c r="AA772" i="12"/>
  <c r="AA944" i="12"/>
  <c r="AA1739" i="12"/>
  <c r="AA529" i="12"/>
  <c r="AA243" i="12"/>
  <c r="AA523" i="12"/>
  <c r="AA1390" i="12"/>
  <c r="AA2839" i="12"/>
  <c r="AA2123" i="12"/>
  <c r="AA2723" i="12"/>
  <c r="AA480" i="12"/>
  <c r="AA1407" i="12"/>
  <c r="AA1070" i="12"/>
  <c r="AA1498" i="12"/>
  <c r="AA1515" i="12"/>
  <c r="AA2961" i="12"/>
  <c r="AA2475" i="12"/>
  <c r="AA611" i="12"/>
  <c r="AA2581" i="12"/>
  <c r="AA172" i="12"/>
  <c r="AA2898" i="12"/>
  <c r="AA1087" i="12"/>
  <c r="AA3266" i="12"/>
  <c r="AA1383" i="12"/>
  <c r="AA3424" i="12"/>
  <c r="AA1457" i="12"/>
  <c r="AA1376" i="12"/>
  <c r="AA2986" i="12"/>
  <c r="AA633" i="12"/>
  <c r="AA460" i="12"/>
  <c r="AA1436" i="12"/>
  <c r="AA1527" i="12"/>
  <c r="AA407" i="12"/>
  <c r="AA1049" i="12"/>
  <c r="AA2818" i="12"/>
  <c r="AA3531" i="12"/>
  <c r="AA878" i="12"/>
  <c r="AA2252" i="12"/>
  <c r="AA1488" i="12"/>
  <c r="AA3223" i="12"/>
  <c r="AA2291" i="12"/>
  <c r="AA2255" i="12"/>
  <c r="AA943" i="12"/>
  <c r="AA3337" i="12"/>
  <c r="AA2914" i="12"/>
  <c r="AA474" i="12"/>
  <c r="AA1918" i="12"/>
  <c r="AA3469" i="12"/>
  <c r="AA62" i="12"/>
  <c r="AA2795" i="12"/>
  <c r="AA3060" i="12"/>
  <c r="AA749" i="12"/>
  <c r="AA1961" i="12"/>
  <c r="AA777" i="12"/>
  <c r="AA468" i="12"/>
  <c r="AA1472" i="12"/>
  <c r="AA525" i="12"/>
  <c r="AA3143" i="12"/>
  <c r="AA564" i="12"/>
  <c r="AA2861" i="12"/>
  <c r="AA1004" i="12"/>
  <c r="AA397" i="12"/>
  <c r="AA125" i="12"/>
  <c r="AA1711" i="12"/>
  <c r="AA2132" i="12"/>
  <c r="AA395" i="12"/>
  <c r="AA1092" i="12"/>
  <c r="AA933" i="12"/>
  <c r="AA170" i="12"/>
  <c r="AA1910" i="12"/>
  <c r="AA666" i="12"/>
  <c r="AA617" i="12"/>
  <c r="AA2499" i="12"/>
  <c r="AA1363" i="12"/>
  <c r="AA1405" i="12"/>
  <c r="AA235" i="12"/>
  <c r="AA3271" i="12"/>
  <c r="AA3216" i="12"/>
  <c r="AA471" i="12"/>
  <c r="AA2020" i="12"/>
  <c r="AA1449" i="12"/>
  <c r="AA834" i="12"/>
  <c r="AA1769" i="12"/>
  <c r="AA2887" i="12"/>
  <c r="AA1234" i="12"/>
  <c r="AA2396" i="12"/>
  <c r="AA2541" i="12"/>
  <c r="AA2927" i="12"/>
  <c r="AA1144" i="12"/>
  <c r="AA2437" i="12"/>
  <c r="AA975" i="12"/>
  <c r="AA2110" i="12"/>
  <c r="AA1681" i="12"/>
  <c r="AA488" i="12"/>
  <c r="AA897" i="12"/>
  <c r="AA3112" i="12"/>
  <c r="AA2677" i="12"/>
  <c r="AA2140" i="12"/>
  <c r="AA616" i="12"/>
  <c r="AA274" i="12"/>
  <c r="AA2828" i="12"/>
  <c r="AA2726" i="12"/>
  <c r="AA623" i="12"/>
  <c r="AA2521" i="12"/>
  <c r="AA2021" i="12"/>
  <c r="AA555" i="12"/>
  <c r="AA2613" i="12"/>
  <c r="AA169" i="12"/>
  <c r="AA49" i="12"/>
  <c r="AA2489" i="12"/>
  <c r="AA1053" i="12"/>
  <c r="AA1540" i="12"/>
  <c r="AA671" i="12"/>
  <c r="AA3319" i="12"/>
  <c r="AA2273" i="12"/>
  <c r="AA3001" i="12"/>
  <c r="AA1270" i="12"/>
  <c r="AA2145" i="12"/>
  <c r="AA3173" i="12"/>
  <c r="AA1135" i="12"/>
  <c r="AA674" i="12"/>
  <c r="AA1765" i="12"/>
  <c r="AA3057" i="12"/>
  <c r="AA1408" i="12"/>
  <c r="AA1009" i="12"/>
  <c r="AA2400" i="12"/>
  <c r="AA2103" i="12"/>
  <c r="AA1938" i="12"/>
  <c r="AA2676" i="12"/>
  <c r="AA1948" i="12"/>
  <c r="AA2773" i="12"/>
  <c r="AA3165" i="12"/>
  <c r="AA2999" i="12"/>
  <c r="AA1764" i="12"/>
  <c r="AA3017" i="12"/>
  <c r="AA2335" i="12"/>
  <c r="AA2052" i="12"/>
  <c r="AA102" i="12"/>
  <c r="AA519" i="12"/>
  <c r="AA1698" i="12"/>
  <c r="AA1516" i="12"/>
  <c r="AA1071" i="12"/>
  <c r="AA1482" i="12"/>
  <c r="AA620" i="12"/>
  <c r="AA802" i="12"/>
  <c r="AA1361" i="12"/>
  <c r="AA413" i="12"/>
  <c r="AA1624" i="12"/>
  <c r="AA1096" i="12"/>
  <c r="AA2837" i="12"/>
  <c r="AA3305" i="12"/>
  <c r="AA961" i="12"/>
  <c r="AA288" i="12"/>
  <c r="AA2635" i="12"/>
  <c r="AA1023" i="12"/>
  <c r="AA841" i="12"/>
  <c r="AA3269" i="12"/>
  <c r="AA703" i="12"/>
  <c r="AA2212" i="12"/>
  <c r="AA1089" i="12"/>
  <c r="AA1831" i="12"/>
  <c r="AA92" i="12"/>
  <c r="AA1712" i="12"/>
  <c r="AA764" i="12"/>
  <c r="AA2190" i="12"/>
  <c r="AA1623" i="12"/>
  <c r="AA278" i="12"/>
  <c r="AA1318" i="12"/>
  <c r="AA1117" i="12"/>
  <c r="AA473" i="12"/>
  <c r="AA2993" i="12"/>
  <c r="AA954" i="12"/>
  <c r="AA422" i="12"/>
  <c r="AA1743" i="12"/>
  <c r="AA52" i="12"/>
  <c r="AA2998" i="12"/>
  <c r="AA1811" i="12"/>
  <c r="AA1643" i="12"/>
  <c r="AA358" i="12"/>
  <c r="AA606" i="12"/>
  <c r="AA1373" i="12"/>
  <c r="AA1859" i="12"/>
  <c r="AA1228" i="12"/>
  <c r="AA2704" i="12"/>
  <c r="AA1213" i="12"/>
  <c r="AA1411" i="12"/>
  <c r="AA2606" i="12"/>
  <c r="AA2971" i="12"/>
  <c r="AA1176" i="12"/>
  <c r="AA2787" i="12"/>
  <c r="AA925" i="12"/>
  <c r="AA1199" i="12"/>
  <c r="AA2218" i="12"/>
  <c r="AA970" i="12"/>
  <c r="AA2122" i="12"/>
  <c r="AA1998" i="12"/>
  <c r="AA2039" i="12"/>
  <c r="AA2570" i="12"/>
  <c r="AA1630" i="12"/>
  <c r="AA880" i="12"/>
  <c r="AA3262" i="12"/>
  <c r="AA1874" i="12"/>
  <c r="AA3547" i="12"/>
  <c r="AA3257" i="12"/>
  <c r="AA1777" i="12"/>
  <c r="AA1873" i="12"/>
  <c r="AA1487" i="12"/>
  <c r="AA228" i="12"/>
  <c r="AA2113" i="12"/>
  <c r="AA3147" i="12"/>
  <c r="AA1583" i="12"/>
  <c r="AA505" i="12"/>
  <c r="AA356" i="12"/>
  <c r="AA2073" i="12"/>
  <c r="AA575" i="12"/>
  <c r="AA230" i="12"/>
  <c r="AA2112" i="12"/>
  <c r="AA1181" i="12"/>
  <c r="AA1545" i="12"/>
  <c r="AA1171" i="12"/>
  <c r="AA1374" i="12"/>
  <c r="AA3213" i="12"/>
  <c r="AA2929" i="12"/>
  <c r="AA1355" i="12"/>
  <c r="AA731" i="12"/>
  <c r="AA3193" i="12"/>
  <c r="AA1285" i="12"/>
  <c r="AA836" i="12"/>
  <c r="AA1945" i="12"/>
  <c r="AA876" i="12"/>
  <c r="AA3445" i="12"/>
  <c r="AA2659" i="12"/>
  <c r="AA719" i="12"/>
  <c r="AA326" i="12"/>
  <c r="AA2340" i="12"/>
  <c r="AA1375" i="12"/>
  <c r="AA732" i="12"/>
  <c r="AA3132" i="12"/>
  <c r="AA1470" i="12"/>
  <c r="AA1555" i="12"/>
  <c r="AA957" i="12"/>
  <c r="AA2808" i="12"/>
  <c r="AA1586" i="12"/>
  <c r="AA295" i="12"/>
  <c r="AA1007" i="12"/>
  <c r="AA1093" i="12"/>
  <c r="AA937" i="12"/>
  <c r="AA3256" i="12"/>
  <c r="AA2317" i="12"/>
  <c r="AA789" i="12"/>
  <c r="AA137" i="12"/>
  <c r="AA655" i="12"/>
  <c r="AA3267" i="12"/>
  <c r="AA3530" i="12"/>
  <c r="AA1841" i="12"/>
  <c r="AA100" i="12"/>
  <c r="AA963" i="12"/>
  <c r="AA3163" i="12"/>
  <c r="AA2302" i="12"/>
  <c r="AA835" i="12"/>
  <c r="AA2148" i="12"/>
  <c r="AA2093" i="12"/>
  <c r="AA1282" i="12"/>
  <c r="AA1310" i="12"/>
  <c r="AA1673" i="12"/>
  <c r="AA179" i="12"/>
  <c r="AA2389" i="12"/>
  <c r="AA2469" i="12"/>
  <c r="AA1454" i="12"/>
  <c r="AA629" i="12"/>
  <c r="AA2246" i="12"/>
  <c r="AA3541" i="12"/>
  <c r="AA1966" i="12"/>
  <c r="AA902" i="12"/>
  <c r="AA61" i="12"/>
  <c r="AA2431" i="12"/>
  <c r="AA632" i="12"/>
  <c r="AA1900" i="12"/>
  <c r="AA3288" i="12"/>
  <c r="AA2491" i="12"/>
  <c r="AA3430" i="12"/>
  <c r="AA1207" i="12"/>
  <c r="AA1656" i="12"/>
  <c r="AA1190" i="12"/>
  <c r="AA3326" i="12"/>
  <c r="AA527" i="12"/>
  <c r="AA619" i="12"/>
  <c r="AA3155" i="12"/>
  <c r="AA1942" i="12"/>
  <c r="AA3092" i="12"/>
  <c r="AA1203" i="12"/>
  <c r="AA886" i="12"/>
  <c r="AA2326" i="12"/>
  <c r="AA1173" i="12"/>
  <c r="AA1123" i="12"/>
  <c r="AA3488" i="12"/>
  <c r="AA2592" i="12"/>
  <c r="AA1552" i="12"/>
  <c r="AA3406" i="12"/>
  <c r="AA1612" i="12"/>
  <c r="AA348" i="12"/>
  <c r="AA1668" i="12"/>
  <c r="AA465" i="12"/>
  <c r="AA1706" i="12"/>
  <c r="AA742" i="12"/>
  <c r="AA374" i="12"/>
  <c r="AA745" i="12"/>
  <c r="AA1695" i="12"/>
  <c r="AA2816" i="12"/>
  <c r="AA545" i="12"/>
  <c r="AA1930" i="12"/>
  <c r="AA3297" i="12"/>
  <c r="AA3194" i="12"/>
  <c r="AA3528" i="12"/>
  <c r="AA1781" i="12"/>
  <c r="AA2465" i="12"/>
  <c r="AA817" i="12"/>
  <c r="AA1475" i="12"/>
  <c r="AA1458" i="12"/>
  <c r="AA2634" i="12"/>
  <c r="AA3278" i="12"/>
  <c r="AA3385" i="12"/>
  <c r="AA2179" i="12"/>
  <c r="AA1131" i="12"/>
  <c r="AA3544" i="12"/>
  <c r="AA3021" i="12"/>
  <c r="AA1165" i="12"/>
  <c r="AA2184" i="12"/>
  <c r="AA2815" i="12"/>
  <c r="AA1193" i="12"/>
  <c r="AA1137" i="12"/>
  <c r="AA3175" i="12"/>
  <c r="AA1563" i="12"/>
  <c r="AA615" i="12"/>
  <c r="AA306" i="12"/>
  <c r="AA2139" i="12"/>
  <c r="AA1846" i="12"/>
  <c r="AA430" i="12"/>
  <c r="AA303" i="12"/>
  <c r="AA2539" i="12"/>
  <c r="AA1272" i="12"/>
  <c r="AA890" i="12"/>
  <c r="AA1060" i="12"/>
  <c r="AA2369" i="12"/>
  <c r="AA1830" i="12"/>
  <c r="AA283" i="12"/>
  <c r="AA2916" i="12"/>
  <c r="AA1686" i="12"/>
  <c r="AA3374" i="12"/>
  <c r="AA1672" i="12"/>
  <c r="AA1549" i="12"/>
  <c r="AA78" i="12"/>
  <c r="AA1366" i="12"/>
  <c r="AA1365" i="12"/>
  <c r="AA2196" i="12"/>
  <c r="AA1474" i="12"/>
  <c r="AA2236" i="12"/>
  <c r="AA2086" i="12"/>
  <c r="AA865" i="12"/>
  <c r="AA3535" i="12"/>
  <c r="AA2185" i="12"/>
  <c r="AA2011" i="12"/>
  <c r="AA2308" i="12"/>
  <c r="AA3250" i="12"/>
  <c r="AA1229" i="12"/>
  <c r="AA1279" i="12"/>
  <c r="AA3189" i="12"/>
  <c r="AA341" i="12"/>
  <c r="AA3377" i="12"/>
  <c r="AA1421" i="12"/>
  <c r="AA1467" i="12"/>
  <c r="AA1852" i="12"/>
  <c r="AA645" i="12"/>
  <c r="AA2739" i="12"/>
  <c r="AA1262" i="12"/>
  <c r="AA255" i="12"/>
  <c r="AA2618" i="12"/>
  <c r="AA3471" i="12"/>
  <c r="AA2067" i="12"/>
  <c r="AA1330" i="12"/>
  <c r="AA57" i="12"/>
  <c r="AA3378" i="12"/>
  <c r="AA814" i="12"/>
  <c r="AA3404" i="12"/>
  <c r="AA1543" i="12"/>
  <c r="AA3398" i="12"/>
  <c r="AA1767" i="12"/>
  <c r="AA281" i="12"/>
  <c r="AA181" i="12"/>
  <c r="AA2819" i="12"/>
  <c r="AA1030" i="12"/>
  <c r="AA2560" i="12"/>
  <c r="AA3397" i="12"/>
  <c r="AA272" i="12"/>
  <c r="AA987" i="12"/>
  <c r="AA3149" i="12"/>
  <c r="AA26" i="12"/>
  <c r="AA2405" i="12"/>
  <c r="AA2807" i="12"/>
  <c r="AA3258" i="12"/>
  <c r="AA1834" i="12"/>
  <c r="AA864" i="12"/>
  <c r="AA2080" i="12"/>
  <c r="AA161" i="12"/>
  <c r="AA2571" i="12"/>
  <c r="AA2714" i="12"/>
  <c r="AA3007" i="12"/>
  <c r="AA1808" i="12"/>
  <c r="AA808" i="12"/>
  <c r="AA581" i="12"/>
  <c r="AA2266" i="12"/>
  <c r="AA2766" i="12"/>
  <c r="AA1542" i="12"/>
  <c r="AA2755" i="12"/>
  <c r="AA68" i="12"/>
  <c r="AA476" i="12"/>
  <c r="AA2509" i="12"/>
  <c r="AA73" i="12"/>
  <c r="AA2051" i="12"/>
  <c r="AA1813" i="12"/>
  <c r="AA677" i="12"/>
  <c r="AA3108" i="12"/>
  <c r="AA1759" i="12"/>
  <c r="AA2445" i="12"/>
  <c r="AA760" i="12"/>
  <c r="AA860" i="12"/>
  <c r="AA750" i="12"/>
  <c r="AA1243" i="12"/>
  <c r="AA989" i="12"/>
  <c r="AA2412" i="12"/>
  <c r="AA311" i="12"/>
  <c r="AA112" i="12"/>
  <c r="AA693" i="12"/>
  <c r="AA231" i="12"/>
  <c r="AA2761" i="12"/>
  <c r="AA2567" i="12"/>
  <c r="AA359" i="12"/>
  <c r="AA37" i="12"/>
  <c r="AA3129" i="12"/>
  <c r="AA1823" i="12"/>
  <c r="AA3117" i="12"/>
  <c r="AA820" i="12"/>
  <c r="AA2781" i="12"/>
  <c r="AA624" i="12"/>
  <c r="AA3340" i="12"/>
  <c r="AA2429" i="12"/>
  <c r="AA2192" i="12"/>
  <c r="AA1565" i="12"/>
  <c r="AA3252" i="12"/>
  <c r="AA2476" i="12"/>
  <c r="AA1015" i="12"/>
  <c r="AA2933" i="12"/>
  <c r="AA3161" i="12"/>
  <c r="AA1452" i="12"/>
  <c r="AA833" i="12"/>
  <c r="AA1771" i="12"/>
  <c r="AA2522" i="12"/>
  <c r="AA3451" i="12"/>
  <c r="AA223" i="12"/>
  <c r="AA2670" i="12"/>
  <c r="AA3199" i="12"/>
  <c r="AA2967" i="12"/>
  <c r="AA2127" i="12"/>
  <c r="AA3516" i="12"/>
  <c r="AA2152" i="12"/>
  <c r="AA2776" i="12"/>
  <c r="AA2814" i="12"/>
  <c r="AA396" i="12"/>
  <c r="AA3078" i="12"/>
  <c r="AA3093" i="12"/>
  <c r="AA1492" i="12"/>
  <c r="AA2840" i="12"/>
  <c r="AA2384" i="12"/>
  <c r="AA847" i="12"/>
  <c r="AA1593" i="12"/>
  <c r="AA885" i="12"/>
  <c r="AA483" i="12"/>
  <c r="AA266" i="12"/>
  <c r="AA1013" i="12"/>
  <c r="AA106" i="12"/>
  <c r="AA3232" i="12"/>
  <c r="AA3470" i="12"/>
  <c r="AA1989" i="12"/>
  <c r="AA681" i="12"/>
  <c r="AA2356" i="12"/>
  <c r="AA2997" i="12"/>
  <c r="AA618" i="12"/>
  <c r="AA2894" i="12"/>
  <c r="AA1943" i="12"/>
  <c r="AA3537" i="12"/>
  <c r="AA1616" i="12"/>
  <c r="AA463" i="12"/>
  <c r="AA1664" i="12"/>
  <c r="AA2909" i="12"/>
  <c r="AA2858" i="12"/>
  <c r="AA383" i="12"/>
  <c r="AA1249" i="12"/>
  <c r="AA1964" i="12"/>
  <c r="AA1635" i="12"/>
  <c r="AA2825" i="12"/>
  <c r="AA601" i="12"/>
  <c r="AA2756" i="12"/>
  <c r="AA3394" i="12"/>
  <c r="AA22" i="12"/>
  <c r="AA3169" i="12"/>
  <c r="AA2261" i="12"/>
  <c r="AA837" i="12"/>
  <c r="AA371" i="12"/>
  <c r="AA1701" i="12"/>
  <c r="AA1438" i="12"/>
  <c r="AA67" i="12"/>
  <c r="AA969" i="12"/>
  <c r="AA1872" i="12"/>
  <c r="AA625" i="12"/>
  <c r="AA3299" i="12"/>
  <c r="AA2897" i="12"/>
  <c r="AA1352" i="12"/>
  <c r="AA2388" i="12"/>
  <c r="AA2118" i="12"/>
  <c r="AA1824" i="12"/>
  <c r="AA1862" i="12"/>
  <c r="AA2486" i="12"/>
  <c r="AA1576" i="12"/>
  <c r="AA1074" i="12"/>
  <c r="AA3473" i="12"/>
  <c r="AA2460" i="12"/>
  <c r="AA664" i="12"/>
  <c r="AA1391" i="12"/>
  <c r="AA2948" i="12"/>
  <c r="AA3264" i="12"/>
  <c r="AA3354" i="12"/>
  <c r="AA1649" i="12"/>
  <c r="AA761" i="12"/>
  <c r="AA402" i="12"/>
  <c r="AA3113" i="12"/>
  <c r="AA2544" i="12"/>
  <c r="AA1311" i="12"/>
  <c r="AA1618" i="12"/>
  <c r="AA1647" i="12"/>
  <c r="AA47" i="12"/>
  <c r="AA1447" i="12"/>
  <c r="AA2533" i="12"/>
  <c r="AA2174" i="12"/>
  <c r="AA183" i="12"/>
  <c r="AA2563" i="12"/>
  <c r="AA2605" i="12"/>
  <c r="AA725" i="12"/>
  <c r="AA1098" i="12"/>
  <c r="AA2663" i="12"/>
  <c r="AA1298" i="12"/>
  <c r="AA2690" i="12"/>
  <c r="AA2450" i="12"/>
  <c r="AA3019" i="12"/>
  <c r="AA2678" i="12"/>
  <c r="AA482" i="12"/>
  <c r="AA3525" i="12"/>
  <c r="AA3444" i="12"/>
  <c r="AA3416" i="12"/>
  <c r="AA2856" i="12"/>
  <c r="AA2467" i="12"/>
  <c r="AA2283" i="12"/>
  <c r="AA1076" i="12"/>
  <c r="AA3067" i="12"/>
  <c r="AA1513" i="12"/>
  <c r="AA2170" i="12"/>
  <c r="AA398" i="12"/>
  <c r="AA2547" i="12"/>
  <c r="AA485" i="12"/>
  <c r="AA2667" i="12"/>
  <c r="AA2594" i="12"/>
  <c r="AA3016" i="12"/>
  <c r="AA1031" i="12"/>
  <c r="AA2232" i="12"/>
  <c r="AA1103" i="12"/>
  <c r="AA1450" i="12"/>
  <c r="AA526" i="12"/>
  <c r="AA1853" i="12"/>
  <c r="AA284" i="12"/>
  <c r="AA2304" i="12"/>
  <c r="AA917" i="12"/>
  <c r="AA2221" i="12"/>
  <c r="AA3121" i="12"/>
  <c r="AA2566" i="12"/>
  <c r="AA2905" i="12"/>
  <c r="AA550" i="12"/>
  <c r="AA2082" i="12"/>
  <c r="AA2096" i="12"/>
  <c r="AA931" i="12"/>
  <c r="AA2935" i="12"/>
  <c r="AA2506" i="12"/>
  <c r="AA3226" i="12"/>
  <c r="AA705" i="12"/>
  <c r="AA182" i="12"/>
  <c r="AA972" i="12"/>
  <c r="AA2800" i="12"/>
  <c r="AA3426" i="12"/>
  <c r="AA704" i="12"/>
  <c r="AA454" i="12"/>
  <c r="AA2047" i="12"/>
  <c r="AA1188" i="12"/>
  <c r="AA1551" i="12"/>
  <c r="AA711" i="12"/>
  <c r="AA2267" i="12"/>
  <c r="AA1120" i="12"/>
  <c r="AA538" i="12"/>
  <c r="AA668" i="12"/>
  <c r="AA2040" i="12"/>
  <c r="AA1359" i="12"/>
  <c r="AA2869" i="12"/>
  <c r="AA1898" i="12"/>
  <c r="AA2988" i="12"/>
  <c r="AA411" i="12"/>
  <c r="AA3241" i="12"/>
  <c r="AA2907" i="12"/>
  <c r="AA576" i="12"/>
  <c r="AA56" i="12"/>
  <c r="AA2066" i="12"/>
  <c r="AA2686" i="12"/>
  <c r="AA1848" i="12"/>
  <c r="AA1694" i="12"/>
  <c r="AA1792" i="12"/>
  <c r="AA891" i="12"/>
  <c r="AA636" i="12"/>
  <c r="AA2798" i="12"/>
  <c r="AA589" i="12"/>
  <c r="AA2782" i="12"/>
  <c r="AA3408" i="12"/>
  <c r="AA459" i="12"/>
  <c r="AA1977" i="12"/>
  <c r="AA2260" i="12"/>
  <c r="AA2222" i="12"/>
  <c r="AA3090" i="12"/>
  <c r="AA1766" i="12"/>
  <c r="AA1843" i="12"/>
  <c r="AA813" i="12"/>
  <c r="AA2490" i="12"/>
  <c r="AA1567" i="12"/>
  <c r="AA3225" i="12"/>
  <c r="AA1217" i="12"/>
  <c r="AA2120" i="12"/>
  <c r="AA1600" i="12"/>
  <c r="AA134" i="12"/>
  <c r="AA3302" i="12"/>
  <c r="AA1603" i="12"/>
  <c r="AA72" i="12"/>
  <c r="AA3390" i="12"/>
  <c r="AA626" i="12"/>
  <c r="AA3307" i="12"/>
  <c r="AA2056" i="12"/>
  <c r="AA2625" i="12"/>
  <c r="AA642" i="12"/>
  <c r="AA1809" i="12"/>
  <c r="AA1518" i="12"/>
  <c r="AA3091" i="12"/>
  <c r="AA2552" i="12"/>
  <c r="AA1676" i="12"/>
  <c r="AA2963" i="12"/>
  <c r="AA3212" i="12"/>
  <c r="AA1993" i="12"/>
  <c r="AA1735" i="12"/>
  <c r="AA2072" i="12"/>
  <c r="AA1349" i="12"/>
  <c r="AA2477" i="12"/>
  <c r="AA152" i="12"/>
  <c r="AA2647" i="12"/>
  <c r="AA3031" i="12"/>
  <c r="AA246" i="12"/>
  <c r="AA414" i="12"/>
  <c r="AA2206" i="12"/>
  <c r="AA1081" i="12"/>
  <c r="AA1710" i="12"/>
  <c r="AA1755" i="12"/>
  <c r="AA27" i="12"/>
  <c r="AA3464" i="12"/>
  <c r="AA1051" i="12"/>
  <c r="AA3536" i="12"/>
  <c r="AA846" i="12"/>
  <c r="AA930" i="12"/>
  <c r="AA2745" i="12"/>
  <c r="AA3417" i="12"/>
  <c r="AA1714" i="12"/>
  <c r="AA3323" i="12"/>
  <c r="AA2501" i="12"/>
  <c r="AA2525" i="12"/>
  <c r="AA214" i="12"/>
  <c r="AA1999" i="12"/>
  <c r="AA1102" i="12"/>
  <c r="AA959" i="12"/>
  <c r="AA3358" i="12"/>
  <c r="AA3477" i="12"/>
  <c r="AA294" i="12"/>
  <c r="AA2829" i="12"/>
  <c r="AA2750" i="12"/>
  <c r="AA242" i="12"/>
  <c r="AA2386" i="12"/>
  <c r="AA2364" i="12"/>
  <c r="AA3022" i="12"/>
  <c r="AA436" i="12"/>
  <c r="AA2377" i="12"/>
  <c r="AA379" i="12"/>
  <c r="AA406" i="12"/>
  <c r="AA2247" i="12"/>
  <c r="AA2292" i="12"/>
  <c r="AA3081" i="12"/>
  <c r="AA1340" i="12"/>
  <c r="AA1807" i="12"/>
  <c r="AA1380" i="12"/>
  <c r="AA3270" i="12"/>
  <c r="AA209" i="12"/>
  <c r="AA2844" i="12"/>
  <c r="AA984" i="12"/>
  <c r="AA1118" i="12"/>
  <c r="AA1968" i="12"/>
  <c r="AA1917" i="12"/>
  <c r="AA31" i="12"/>
  <c r="AA563" i="12"/>
  <c r="AA3317" i="12"/>
  <c r="AA1153" i="12"/>
  <c r="AA1894" i="12"/>
  <c r="AA2632" i="12"/>
  <c r="AA80" i="12"/>
  <c r="AA762" i="12"/>
  <c r="AA2899" i="12"/>
  <c r="AA2864" i="12"/>
  <c r="AA2619" i="12"/>
  <c r="AA59" i="12"/>
  <c r="AA1294" i="12"/>
  <c r="AA3293" i="12"/>
  <c r="AA740" i="12"/>
  <c r="AA1399" i="12"/>
  <c r="AA2980" i="12"/>
  <c r="AA83" i="12"/>
  <c r="AA355" i="12"/>
  <c r="AA1342" i="12"/>
  <c r="AA2738" i="12"/>
  <c r="AA2413" i="12"/>
  <c r="AA723" i="12"/>
  <c r="AA2771" i="12"/>
  <c r="AA3263" i="12"/>
  <c r="AA3357" i="12"/>
  <c r="AA2702" i="12"/>
  <c r="AA1598" i="12"/>
  <c r="AA3529" i="12"/>
  <c r="AA2060" i="12"/>
  <c r="AA1901" i="12"/>
  <c r="AA1804" i="12"/>
  <c r="AA1097" i="12"/>
  <c r="AA449" i="12"/>
  <c r="AA935" i="12"/>
  <c r="AA1666" i="12"/>
  <c r="AA1357" i="12"/>
  <c r="AA737" i="12"/>
  <c r="AA3087" i="12"/>
  <c r="AA1726" i="12"/>
  <c r="AA2410" i="12"/>
  <c r="AA3074" i="12"/>
  <c r="AA2654" i="12"/>
  <c r="AA830" i="12"/>
  <c r="AA584" i="12"/>
  <c r="AA470" i="12"/>
  <c r="AA2466" i="12"/>
  <c r="AA2473" i="12"/>
  <c r="AA1713" i="12"/>
  <c r="AA2160" i="12"/>
  <c r="AA1525" i="12"/>
  <c r="AA1406" i="12"/>
  <c r="AA2147" i="12"/>
  <c r="AA568" i="12"/>
  <c r="AA577" i="12"/>
  <c r="AA3355" i="12"/>
  <c r="AA3396" i="12"/>
  <c r="AA1202" i="12"/>
  <c r="AA1757" i="12"/>
  <c r="AA1531" i="12"/>
  <c r="AA3123" i="12"/>
  <c r="AA1502" i="12"/>
  <c r="AA3481" i="12"/>
  <c r="AA3023" i="12"/>
  <c r="AA3055" i="12"/>
  <c r="AA2646" i="12"/>
  <c r="AA804" i="12"/>
  <c r="AA1208" i="12"/>
  <c r="AA2481" i="12"/>
  <c r="AA2568" i="12"/>
  <c r="AA131" i="12"/>
  <c r="AA1842" i="12"/>
  <c r="AA3246" i="12"/>
  <c r="AA2595" i="12"/>
  <c r="AA801" i="12"/>
  <c r="AA2540" i="12"/>
  <c r="AA690" i="12"/>
  <c r="AA1239" i="12"/>
  <c r="AA1224" i="12"/>
  <c r="AA184" i="12"/>
  <c r="AA1920" i="12"/>
  <c r="AA39" i="12"/>
  <c r="AA2715" i="12"/>
  <c r="AA1197" i="12"/>
  <c r="AA1924" i="12"/>
  <c r="AA1604" i="12"/>
  <c r="AA1146" i="12"/>
  <c r="AA2938" i="12"/>
  <c r="AA574" i="12"/>
  <c r="AA3027" i="12"/>
  <c r="AA1584" i="12"/>
  <c r="AA2259" i="12"/>
  <c r="AA421" i="12"/>
  <c r="AA3106" i="12"/>
  <c r="AA410" i="12"/>
  <c r="AA227" i="12"/>
  <c r="AA1054" i="12"/>
  <c r="AA1231" i="12"/>
  <c r="AA1115" i="12"/>
  <c r="AA3000" i="12"/>
  <c r="AA2778" i="12"/>
  <c r="AA901" i="12"/>
  <c r="AA2121" i="12"/>
  <c r="AA1845" i="12"/>
  <c r="AA2576" i="12"/>
  <c r="AA299" i="12"/>
  <c r="AA945" i="12"/>
  <c r="AA2969" i="12"/>
  <c r="AA141" i="12"/>
  <c r="AA3407" i="12"/>
  <c r="AA2063" i="12"/>
  <c r="AA2982" i="12"/>
  <c r="AA3133" i="12"/>
  <c r="AA3156" i="12"/>
  <c r="AA2211" i="12"/>
  <c r="AA431" i="12"/>
  <c r="AA1568" i="12"/>
  <c r="AA628" i="12"/>
  <c r="AA1200" i="12"/>
  <c r="AA3131" i="12"/>
  <c r="AA2698" i="12"/>
  <c r="AA755" i="12"/>
  <c r="AA1077" i="12"/>
  <c r="AA1018" i="12"/>
  <c r="AA825" i="12"/>
  <c r="AA1396" i="12"/>
  <c r="AA2138" i="12"/>
  <c r="AA2313" i="12"/>
  <c r="AA1288" i="12"/>
  <c r="AA2895" i="12"/>
  <c r="AA1849" i="12"/>
  <c r="AA2532" i="12"/>
  <c r="AA1791" i="12"/>
  <c r="AA2918" i="12"/>
  <c r="AA2990" i="12"/>
  <c r="AA3020" i="12"/>
  <c r="AA3312" i="12"/>
  <c r="AA848" i="12"/>
  <c r="AA154" i="12"/>
  <c r="AA2328" i="12"/>
  <c r="AA739" i="12"/>
  <c r="AA3170" i="12"/>
  <c r="AA307" i="12"/>
  <c r="AA2972" i="12"/>
  <c r="AA990" i="12"/>
  <c r="AA3545" i="12"/>
  <c r="AA815" i="12"/>
  <c r="AA353" i="12"/>
  <c r="AA1609" i="12"/>
  <c r="AA3063" i="12"/>
  <c r="AA2162" i="12"/>
  <c r="AA1505" i="12"/>
  <c r="AA1569" i="12"/>
  <c r="AA423" i="12"/>
  <c r="AA1976" i="12"/>
  <c r="AA756" i="12"/>
  <c r="AA1969" i="12"/>
  <c r="AA2081" i="12"/>
  <c r="AA2159" i="12"/>
  <c r="AA591" i="12"/>
  <c r="AA1663" i="12"/>
  <c r="AA782" i="12"/>
  <c r="AA2108" i="12"/>
  <c r="AA1180" i="12"/>
  <c r="AA2453" i="12"/>
  <c r="AA3028" i="12"/>
  <c r="AA3139" i="12"/>
  <c r="AA2163" i="12"/>
  <c r="AA279" i="12"/>
  <c r="AA1665" i="12"/>
  <c r="AA2926" i="12"/>
  <c r="AA1733" i="12"/>
  <c r="AA2314" i="12"/>
  <c r="AA557" i="12"/>
  <c r="AA2151" i="12"/>
  <c r="AA2981" i="12"/>
  <c r="AA203" i="12"/>
  <c r="AA3286" i="12"/>
  <c r="AA391" i="12"/>
  <c r="AA380" i="12"/>
  <c r="AA2760" i="12"/>
  <c r="AA2062" i="12"/>
  <c r="AA3204" i="12"/>
  <c r="AA1787" i="12"/>
  <c r="AA2655" i="12"/>
  <c r="AA3427" i="12"/>
  <c r="AA1914" i="12"/>
  <c r="AA160" i="12"/>
  <c r="AA2472" i="12"/>
  <c r="AA194" i="12"/>
  <c r="AA2479" i="12"/>
  <c r="AA3456" i="12"/>
  <c r="AA3015" i="12"/>
  <c r="AA2896" i="12"/>
  <c r="AA178" i="12"/>
  <c r="AA3373" i="12"/>
  <c r="AA1986" i="12"/>
  <c r="AA1038" i="12"/>
  <c r="AA2241" i="12"/>
  <c r="AA1773" i="12"/>
  <c r="AA1734" i="12"/>
  <c r="AA862" i="12"/>
  <c r="AA2149" i="12"/>
  <c r="AA3448" i="12"/>
  <c r="AA1426" i="12"/>
  <c r="AA2985" i="12"/>
  <c r="AA115" i="12"/>
  <c r="AA506" i="12"/>
  <c r="AA3490" i="12"/>
  <c r="AA1309" i="12"/>
  <c r="AA1785" i="12"/>
  <c r="AA3128" i="12"/>
  <c r="AA1716" i="12"/>
  <c r="AA665" i="12"/>
  <c r="AA225" i="12"/>
  <c r="AA2984" i="12"/>
  <c r="AA498" i="12"/>
  <c r="AA2502" i="12"/>
  <c r="AA3379" i="12"/>
  <c r="AA2543" i="12"/>
  <c r="AA3487" i="12"/>
  <c r="AA347" i="12"/>
  <c r="AA3201" i="12"/>
  <c r="AA2301" i="12"/>
  <c r="AA2078" i="12"/>
  <c r="AA1721" i="12"/>
  <c r="AA1974" i="12"/>
  <c r="AA2420" i="12"/>
  <c r="AA116" i="12"/>
  <c r="AA950" i="12"/>
  <c r="AA260" i="12"/>
  <c r="AA65" i="12"/>
  <c r="AA1594" i="12"/>
  <c r="AA2930" i="12"/>
  <c r="AA2440" i="12"/>
  <c r="AA3066" i="12"/>
  <c r="AA1469" i="12"/>
  <c r="AA144" i="12"/>
  <c r="AA708" i="12"/>
  <c r="AA1451" i="12"/>
  <c r="AA1302" i="12"/>
  <c r="AA394" i="12"/>
  <c r="AA1415" i="12"/>
  <c r="AA443" i="12"/>
  <c r="AA1882" i="12"/>
  <c r="AA1108" i="12"/>
  <c r="AA3350" i="12"/>
  <c r="AA1729" i="12"/>
  <c r="AA899" i="12"/>
  <c r="AA2178" i="12"/>
  <c r="AA420" i="12"/>
  <c r="AA2098" i="12"/>
  <c r="AA507" i="12"/>
  <c r="AA2415" i="12"/>
  <c r="AA2629" i="12"/>
  <c r="AA2374" i="12"/>
  <c r="AA3148" i="12"/>
  <c r="AA2444" i="12"/>
  <c r="AA3275" i="12"/>
  <c r="AA2071" i="12"/>
  <c r="AA1296" i="12"/>
  <c r="AA697" i="12"/>
  <c r="AA3339" i="12"/>
  <c r="AA570" i="12"/>
  <c r="AA2558" i="12"/>
  <c r="AA1732" i="12"/>
  <c r="AA2360" i="12"/>
  <c r="AA539" i="12"/>
  <c r="AA2124" i="12"/>
  <c r="AA2729" i="12"/>
  <c r="AA3301" i="12"/>
  <c r="AA1235" i="12"/>
  <c r="AA366" i="12"/>
  <c r="AA1281" i="12"/>
  <c r="AA2287" i="12"/>
  <c r="AA2641" i="12"/>
  <c r="AA399" i="12"/>
  <c r="AA2329" i="12"/>
  <c r="AA998" i="12"/>
  <c r="AA640" i="12"/>
  <c r="AA2772" i="12"/>
  <c r="AA2099" i="12"/>
  <c r="AA1177" i="12"/>
  <c r="AA3441" i="12"/>
  <c r="AA3460" i="12"/>
  <c r="AA1684" i="12"/>
  <c r="AA561" i="12"/>
  <c r="AA939" i="12"/>
  <c r="AA3386" i="12"/>
  <c r="AA2224" i="12"/>
  <c r="AA2166" i="12"/>
  <c r="AA727" i="12"/>
  <c r="AA365" i="12"/>
  <c r="AA187" i="12"/>
  <c r="AA2351" i="12"/>
  <c r="AA1205" i="12"/>
  <c r="AA2022" i="12"/>
  <c r="AA2804" i="12"/>
  <c r="AA2996" i="12"/>
  <c r="AA3043" i="12"/>
  <c r="AA2859" i="12"/>
  <c r="AA2675" i="12"/>
  <c r="AA2158" i="12"/>
  <c r="AA2406" i="12"/>
  <c r="AA1132" i="12"/>
  <c r="AA765" i="12"/>
  <c r="AA2597" i="12"/>
  <c r="AA2297" i="12"/>
  <c r="AA528" i="12"/>
  <c r="AA2188" i="12"/>
  <c r="AA2363" i="12"/>
  <c r="AA2002" i="12"/>
  <c r="AA522" i="12"/>
  <c r="AA51" i="12"/>
  <c r="AA2048" i="12"/>
  <c r="AA1972" i="12"/>
  <c r="AA1839" i="12"/>
  <c r="AA2671" i="12"/>
  <c r="AA1149" i="12"/>
  <c r="AA2372" i="12"/>
  <c r="AA2519" i="12"/>
  <c r="AA2483" i="12"/>
  <c r="AA1803" i="12"/>
  <c r="AA333" i="12"/>
  <c r="AA1107" i="12"/>
  <c r="AA2243" i="12"/>
  <c r="AA1326" i="12"/>
  <c r="AA277" i="12"/>
  <c r="AA2703" i="12"/>
  <c r="AA3110" i="12"/>
  <c r="AA1641" i="12"/>
  <c r="AA1528" i="12"/>
  <c r="AA1951" i="12"/>
  <c r="AA3449" i="12"/>
  <c r="AA2354" i="12"/>
  <c r="AA1252" i="12"/>
  <c r="AA1343" i="12"/>
  <c r="AA1219" i="12"/>
  <c r="AA609" i="12"/>
  <c r="AA694" i="12"/>
  <c r="AA695" i="12"/>
  <c r="AA758" i="12"/>
  <c r="AA3346" i="12"/>
  <c r="AA1065" i="12"/>
  <c r="AA387" i="12"/>
  <c r="AA1404" i="12"/>
  <c r="AA1497" i="12"/>
  <c r="AA1644" i="12"/>
  <c r="AA1955" i="12"/>
  <c r="AA206" i="12"/>
  <c r="AA1806" i="12"/>
  <c r="AA427" i="12"/>
  <c r="AA1075" i="12"/>
  <c r="AA3145" i="12"/>
  <c r="AA1905" i="12"/>
  <c r="AA3187" i="12"/>
  <c r="AA2813" i="12"/>
  <c r="AA2500" i="12"/>
  <c r="AA3134" i="12"/>
  <c r="AA700" i="12"/>
  <c r="AA3240" i="12"/>
  <c r="AA1445" i="12"/>
  <c r="AA335" i="12"/>
  <c r="AA1258" i="12"/>
  <c r="AA3300" i="12"/>
  <c r="AA309" i="12"/>
  <c r="AA1008" i="12"/>
  <c r="AA2666" i="12"/>
  <c r="AA1572" i="12"/>
  <c r="AA1911" i="12"/>
  <c r="AA854" i="12"/>
  <c r="AA1412" i="12"/>
  <c r="AA2875" i="12"/>
  <c r="AA3136" i="12"/>
  <c r="AA500" i="12"/>
  <c r="AA441" i="12"/>
  <c r="AA2943" i="12"/>
  <c r="AA3321" i="12"/>
  <c r="AA292" i="12"/>
  <c r="AA381" i="12"/>
  <c r="AA2904" i="12"/>
  <c r="AA3316" i="12"/>
  <c r="AA108" i="12"/>
  <c r="AA2295" i="12"/>
  <c r="AA607" i="12"/>
  <c r="AA751" i="12"/>
  <c r="AA630" i="12"/>
  <c r="AA1800" i="12"/>
  <c r="AA1984" i="12"/>
  <c r="AA3500" i="12"/>
  <c r="AA1524" i="12"/>
  <c r="AA2735" i="12"/>
  <c r="AA543" i="12"/>
  <c r="AA2719" i="12"/>
  <c r="AA942" i="12"/>
  <c r="AA741" i="12"/>
  <c r="AA2707" i="12"/>
  <c r="AA3409" i="12"/>
  <c r="AA2693" i="12"/>
  <c r="AA437" i="12"/>
  <c r="AA699" i="12"/>
  <c r="AA2009" i="12"/>
  <c r="AA831" i="12"/>
  <c r="AA1636" i="12"/>
  <c r="AA3227" i="12"/>
  <c r="AA1241" i="12"/>
  <c r="AA997" i="12"/>
  <c r="AA1264" i="12"/>
  <c r="AA1027" i="12"/>
  <c r="AA3411" i="12"/>
  <c r="AA2958" i="12"/>
  <c r="AA103" i="12"/>
  <c r="AA99" i="12"/>
  <c r="AA2234" i="12"/>
  <c r="AA1655" i="12"/>
  <c r="AA1221" i="12"/>
  <c r="AA199" i="12"/>
  <c r="AA1982" i="12"/>
  <c r="AA3343" i="12"/>
  <c r="AA1295" i="12"/>
  <c r="AA3160" i="12"/>
  <c r="AA822" i="12"/>
  <c r="AA1043" i="12"/>
  <c r="AA924" i="12"/>
  <c r="AA1332" i="12"/>
  <c r="AA426" i="12"/>
  <c r="AA438" i="12"/>
  <c r="AA135" i="12"/>
  <c r="AA1370" i="12"/>
  <c r="AA2277" i="12"/>
  <c r="AA105" i="12"/>
  <c r="AA2528" i="12"/>
  <c r="AA3440" i="12"/>
  <c r="AA2248" i="12"/>
  <c r="AA2459" i="12"/>
  <c r="AA533" i="12"/>
  <c r="AA1631" i="12"/>
  <c r="AA783" i="12"/>
  <c r="AA204" i="12"/>
  <c r="AA3367" i="12"/>
  <c r="AA1346" i="12"/>
  <c r="AA1336" i="12"/>
  <c r="AA1863" i="12"/>
  <c r="AA2251" i="12"/>
  <c r="AA2275" i="12"/>
  <c r="AA2660" i="12"/>
  <c r="AA2068" i="12"/>
  <c r="AA45" i="12"/>
  <c r="AA3484" i="12"/>
  <c r="AA2549" i="12"/>
  <c r="AA3371" i="12"/>
  <c r="AA516" i="12"/>
  <c r="AA139" i="12"/>
  <c r="AA940" i="12"/>
  <c r="AA2944" i="12"/>
  <c r="AA250" i="12"/>
  <c r="AA2270" i="12"/>
  <c r="AA941" i="12"/>
  <c r="AA2146" i="12"/>
  <c r="AA1749" i="12"/>
  <c r="AA265" i="12"/>
  <c r="AA23" i="12"/>
  <c r="AA1577" i="12"/>
  <c r="AA2834" i="12"/>
  <c r="AA873" i="12"/>
  <c r="AA156" i="12"/>
  <c r="AA1463" i="12"/>
  <c r="AA2545" i="12"/>
  <c r="AA2587" i="12"/>
  <c r="AA469" i="12"/>
  <c r="AA2069" i="12"/>
  <c r="AA1720" i="12"/>
  <c r="AA763" i="12"/>
  <c r="AA404" i="12"/>
  <c r="AA1179" i="12"/>
  <c r="AA1101" i="12"/>
  <c r="AA2010" i="12"/>
  <c r="AA370" i="12"/>
  <c r="AA1833" i="12"/>
  <c r="AA1443" i="12"/>
  <c r="AA3510" i="12"/>
  <c r="AA1923" i="12"/>
  <c r="AA2903" i="12"/>
  <c r="AA1379" i="12"/>
  <c r="AA1570" i="12"/>
  <c r="AA1887" i="12"/>
  <c r="AA926" i="12"/>
  <c r="AA1952" i="12"/>
  <c r="AA3247" i="12"/>
  <c r="AA2141" i="12"/>
  <c r="AA2673" i="12"/>
  <c r="AA2000" i="12"/>
  <c r="AA119" i="12"/>
  <c r="AA2451" i="12"/>
  <c r="AA1522" i="12"/>
  <c r="AA1114" i="12"/>
  <c r="AA3151" i="12"/>
  <c r="AA63" i="12"/>
  <c r="AA1037" i="12"/>
  <c r="AA2555" i="12"/>
  <c r="AA3504" i="12"/>
  <c r="AA2811" i="12"/>
  <c r="AA2219" i="12"/>
  <c r="AA613" i="12"/>
  <c r="AA2505" i="12"/>
  <c r="AA425" i="12"/>
  <c r="AA310" i="12"/>
  <c r="AA1614" i="12"/>
  <c r="AA1382" i="12"/>
  <c r="AA30" i="12"/>
  <c r="AA140" i="12"/>
  <c r="AA1287" i="12"/>
  <c r="AA2744" i="12"/>
  <c r="AA2024" i="12"/>
  <c r="AA2332" i="12"/>
  <c r="AA3138" i="12"/>
  <c r="AA3276" i="12"/>
  <c r="AA496" i="12"/>
  <c r="AA1271" i="12"/>
  <c r="AA909" i="12"/>
  <c r="AA2271" i="12"/>
  <c r="AA1904" i="12"/>
  <c r="AA1126" i="12"/>
  <c r="AA1812" i="12"/>
  <c r="AA2983" i="12"/>
  <c r="AA3255" i="12"/>
  <c r="AA2648" i="12"/>
  <c r="AA2520" i="12"/>
  <c r="AA2404" i="12"/>
  <c r="AA1057" i="12"/>
  <c r="AA1227" i="12"/>
  <c r="AA968" i="12"/>
  <c r="AA1838" i="12"/>
  <c r="AA3191" i="12"/>
  <c r="AA1556" i="12"/>
  <c r="AA2155" i="12"/>
  <c r="AA457" i="12"/>
  <c r="AA320" i="12"/>
  <c r="AA1718" i="12"/>
  <c r="AA2074" i="12"/>
  <c r="AA3359" i="12"/>
  <c r="AA2425" i="12"/>
  <c r="AA1121" i="12"/>
  <c r="AA3111" i="12"/>
  <c r="AA2441" i="12"/>
  <c r="AA2385" i="12"/>
  <c r="AA1562" i="12"/>
  <c r="AA76" i="12"/>
  <c r="AA2846" i="12"/>
  <c r="AA757" i="12"/>
  <c r="AA2612" i="12"/>
  <c r="AA1750" i="12"/>
  <c r="AA1402" i="12"/>
  <c r="AA1988" i="12"/>
  <c r="AA1478" i="12"/>
  <c r="AA735" i="12"/>
  <c r="AA1661" i="12"/>
  <c r="AA3244" i="12"/>
  <c r="AA1707" i="12"/>
  <c r="AA2620" i="12"/>
  <c r="AA3415" i="12"/>
  <c r="AA964" i="12"/>
  <c r="AA232" i="12"/>
  <c r="AA2630" i="12"/>
  <c r="AA3242" i="12"/>
  <c r="AA2168" i="12"/>
  <c r="AA2664" i="12"/>
  <c r="AA3105" i="12"/>
  <c r="AA3254" i="12"/>
  <c r="AA1119" i="12"/>
  <c r="AA706" i="12"/>
  <c r="AA1899" i="12"/>
  <c r="AA403" i="12"/>
  <c r="AA2770" i="12"/>
  <c r="AA1303" i="12"/>
  <c r="AA3497" i="12"/>
  <c r="AA1167" i="12"/>
  <c r="AA1619" i="12"/>
  <c r="AA2550" i="12"/>
  <c r="AA1104" i="12"/>
  <c r="AA2949" i="12"/>
  <c r="AA1774" i="12"/>
  <c r="AA477" i="12"/>
  <c r="AA1907" i="12"/>
  <c r="AA2885" i="12"/>
  <c r="AA1886" i="12"/>
  <c r="AA2910" i="12"/>
  <c r="AA1274" i="12"/>
  <c r="AA3135" i="12"/>
  <c r="AA827" i="12"/>
  <c r="AA932" i="12"/>
  <c r="AA2527" i="12"/>
  <c r="AA966" i="12"/>
  <c r="AA1654" i="12"/>
  <c r="AA3211" i="12"/>
  <c r="AA343" i="12"/>
  <c r="AA3423" i="12"/>
  <c r="AA2516" i="12"/>
  <c r="AA949" i="12"/>
  <c r="AA3236" i="12"/>
  <c r="AA314" i="12"/>
  <c r="AA1883" i="12"/>
  <c r="AA2662" i="12"/>
  <c r="AA3523" i="12"/>
  <c r="AA3047" i="12"/>
  <c r="AA2700" i="12"/>
  <c r="AA2128" i="12"/>
  <c r="AA2507" i="12"/>
  <c r="AA1284" i="12"/>
  <c r="AA2323" i="12"/>
  <c r="AA565" i="12"/>
  <c r="AA2306" i="12"/>
  <c r="AA2785" i="12"/>
  <c r="AA2346" i="12"/>
  <c r="AA1276" i="12"/>
  <c r="AA3431" i="12"/>
  <c r="AA2512" i="12"/>
  <c r="AA3434" i="12"/>
  <c r="AA2645" i="12"/>
  <c r="AA1056" i="12"/>
  <c r="AA3152" i="12"/>
  <c r="AA385" i="12"/>
  <c r="AA3238" i="12"/>
  <c r="AA3447" i="12"/>
  <c r="AA3166" i="12"/>
  <c r="AA1483" i="12"/>
  <c r="AA604" i="12"/>
  <c r="AA2917" i="12"/>
  <c r="AA77" i="12"/>
  <c r="AA3292" i="12"/>
  <c r="AA1935" i="12"/>
  <c r="AA2026" i="12"/>
  <c r="AA1751" i="12"/>
  <c r="AA289" i="12"/>
  <c r="AA3503" i="12"/>
  <c r="AA2962" i="12"/>
  <c r="AA952" i="12"/>
  <c r="AA357" i="12"/>
  <c r="AA1512" i="12"/>
  <c r="AA3203" i="12"/>
  <c r="AA1606" i="12"/>
  <c r="AA3382" i="12"/>
  <c r="AA893" i="12"/>
  <c r="AA669" i="12"/>
  <c r="AA1793" i="12"/>
  <c r="AA1959" i="12"/>
  <c r="AA1022" i="12"/>
  <c r="AA1822" i="12"/>
  <c r="AA3309" i="12"/>
  <c r="AA582" i="12"/>
  <c r="AA3387" i="12"/>
  <c r="AA3506" i="12"/>
  <c r="AA286" i="12"/>
  <c r="AA1520" i="12"/>
  <c r="AA1358" i="12"/>
  <c r="AA2820" i="12"/>
  <c r="AA2114" i="12"/>
  <c r="AA2383" i="12"/>
  <c r="AA759" i="12"/>
  <c r="AA2940" i="12"/>
  <c r="AA1723" i="12"/>
  <c r="AA1782" i="12"/>
  <c r="AA2720" i="12"/>
  <c r="AA2215" i="12"/>
  <c r="AA2027" i="12"/>
  <c r="AA2136" i="12"/>
  <c r="AA325" i="12"/>
  <c r="AA372" i="12"/>
  <c r="AA2727" i="12"/>
  <c r="AA1441" i="12"/>
  <c r="AA2518" i="12"/>
  <c r="AA2874" i="12"/>
  <c r="AA2689" i="12"/>
  <c r="AA1802" i="12"/>
  <c r="AA1760" i="12"/>
  <c r="AA2753" i="12"/>
  <c r="AA1293" i="12"/>
  <c r="AA1364" i="12"/>
  <c r="AA2742" i="12"/>
  <c r="AA3303" i="12"/>
  <c r="AA3026" i="12"/>
  <c r="AA1691" i="12"/>
  <c r="AA340" i="12"/>
  <c r="AA2975" i="12"/>
  <c r="AA1066" i="12"/>
  <c r="AA401" i="12"/>
  <c r="AA1341" i="12"/>
  <c r="AA1247" i="12"/>
  <c r="AA1319" i="12"/>
  <c r="AA1888" i="12"/>
  <c r="AA1145" i="12"/>
  <c r="AA1744" i="12"/>
  <c r="AA1622" i="12"/>
  <c r="AA2511" i="12"/>
  <c r="AA1501" i="12"/>
  <c r="AA2085" i="12"/>
  <c r="AA2058" i="12"/>
  <c r="AA2622" i="12"/>
  <c r="AA2952" i="12"/>
  <c r="AA580" i="12"/>
  <c r="AA354" i="12"/>
  <c r="AA369" i="12"/>
  <c r="AA220" i="12"/>
  <c r="AA3265" i="12"/>
  <c r="AA1801" i="12"/>
  <c r="AA3532" i="12"/>
  <c r="AA598" i="12"/>
  <c r="AA2044" i="12"/>
  <c r="AA2638" i="12"/>
  <c r="AA418" i="12"/>
  <c r="AA2480" i="12"/>
  <c r="AA1072" i="12"/>
  <c r="AA1817" i="12"/>
  <c r="AA748" i="12"/>
  <c r="AA993" i="12"/>
  <c r="AA2194" i="12"/>
  <c r="AA2631" i="12"/>
  <c r="AA2524" i="12"/>
  <c r="AA2456" i="12"/>
  <c r="AA635" i="12"/>
  <c r="AA2434" i="12"/>
  <c r="AA1156" i="12"/>
  <c r="AA3116" i="12"/>
  <c r="AA2517" i="12"/>
  <c r="AA2724" i="12"/>
  <c r="AA929" i="12"/>
  <c r="AA1727" i="12"/>
  <c r="AA3052" i="12"/>
  <c r="AA3405" i="12"/>
  <c r="AA603" i="12"/>
  <c r="AA2187" i="12"/>
  <c r="AA2924" i="12"/>
  <c r="AA1432" i="12"/>
  <c r="AA1464" i="12"/>
  <c r="AA1891" i="12"/>
  <c r="AA967" i="12"/>
  <c r="AA1044" i="12"/>
  <c r="AA2530" i="12"/>
  <c r="AA1039" i="12"/>
  <c r="AA2865" i="12"/>
  <c r="AA2033" i="12"/>
  <c r="AA368" i="12"/>
  <c r="AA1674" i="12"/>
  <c r="AA2094" i="12"/>
  <c r="AA2478" i="12"/>
  <c r="AA157" i="12"/>
  <c r="AA1473" i="12"/>
  <c r="AA1816" i="12"/>
  <c r="AA1448" i="12"/>
  <c r="AA338" i="12"/>
  <c r="AA2934" i="12"/>
  <c r="AA2791" i="12"/>
  <c r="AA779" i="12"/>
  <c r="AA3353" i="12"/>
  <c r="AA1080" i="12"/>
  <c r="AA1389" i="12"/>
  <c r="AA1362" i="12"/>
  <c r="AA3222" i="12"/>
  <c r="AA332" i="12"/>
  <c r="AA2992" i="12"/>
  <c r="AA2401" i="12"/>
  <c r="AA2077" i="12"/>
  <c r="AA2197" i="12"/>
  <c r="AA1476" i="12"/>
  <c r="AA362" i="12"/>
  <c r="AA903" i="12"/>
  <c r="AA2989" i="12"/>
  <c r="AA707" i="12"/>
  <c r="AA2959" i="12"/>
  <c r="AA644" i="12"/>
  <c r="AA2300" i="12"/>
  <c r="AA2217" i="12"/>
  <c r="AA300" i="12"/>
  <c r="AA1784" i="12"/>
  <c r="AA296" i="12"/>
  <c r="AA2498" i="12"/>
  <c r="AA313" i="12"/>
  <c r="AA3329" i="12"/>
  <c r="AA1428" i="12"/>
  <c r="AA2216" i="12"/>
  <c r="AA1927" i="12"/>
  <c r="AA2705" i="12"/>
  <c r="AA1456" i="12"/>
  <c r="AA3325" i="12"/>
  <c r="AA2621" i="12"/>
  <c r="AA2049" i="12"/>
  <c r="AA3400" i="12"/>
  <c r="AA216" i="12"/>
  <c r="AA1367" i="12"/>
  <c r="AA1178" i="12"/>
  <c r="AA1250" i="12"/>
  <c r="AA478" i="12"/>
  <c r="AA2987" i="12"/>
  <c r="AA3206" i="12"/>
  <c r="AA3109" i="12"/>
  <c r="AA2046" i="12"/>
  <c r="AA1289" i="12"/>
  <c r="AA1796" i="12"/>
  <c r="AA1338" i="12"/>
  <c r="AA3332" i="12"/>
  <c r="AA1150" i="12"/>
  <c r="AA215" i="12"/>
  <c r="AA3150" i="12"/>
  <c r="AA2799" i="12"/>
  <c r="AA222" i="12"/>
  <c r="AA3124" i="12"/>
  <c r="AA1094" i="12"/>
  <c r="AA41" i="12"/>
  <c r="AA2919" i="12"/>
  <c r="AA3202" i="12"/>
  <c r="AA417" i="12"/>
  <c r="AA3058" i="12"/>
  <c r="AA1189" i="12"/>
  <c r="AA3501" i="12"/>
  <c r="AA2394" i="12"/>
  <c r="AA1780" i="12"/>
  <c r="AA130" i="12"/>
  <c r="AA1313" i="12"/>
  <c r="AA36" i="12"/>
  <c r="AA3295" i="12"/>
  <c r="AA53" i="12"/>
  <c r="AA2135" i="12"/>
  <c r="AA3551" i="12"/>
  <c r="AA3245" i="12"/>
  <c r="AA21" i="12"/>
  <c r="AA1991" i="12"/>
  <c r="AA863" i="12"/>
  <c r="AA1172" i="12"/>
  <c r="AA3336" i="12"/>
  <c r="AA1069" i="12"/>
  <c r="AA378" i="12"/>
  <c r="AA2471" i="12"/>
  <c r="AA2585" i="12"/>
  <c r="AA1360" i="12"/>
  <c r="AA2824" i="12"/>
  <c r="AA770" i="12"/>
  <c r="AA2805" i="12"/>
  <c r="AA856" i="12"/>
  <c r="AA1693" i="12"/>
  <c r="AA2979" i="12"/>
  <c r="AA1417" i="12"/>
  <c r="AA3034" i="12"/>
  <c r="AA709" i="12"/>
  <c r="AA110" i="12"/>
  <c r="AA2045" i="12"/>
  <c r="AA2792" i="12"/>
  <c r="AA754" i="12"/>
  <c r="AA2970" i="12"/>
  <c r="AA1327" i="12"/>
  <c r="AA499" i="12"/>
  <c r="AA621" i="12"/>
  <c r="AA3107" i="12"/>
  <c r="AA1055" i="12"/>
  <c r="AA177" i="12"/>
  <c r="AA269" i="12"/>
  <c r="AA3185" i="12"/>
  <c r="AA1532" i="12"/>
  <c r="AA3443" i="12"/>
  <c r="AA1607" i="12"/>
  <c r="AA3233" i="12"/>
  <c r="AA1500" i="12"/>
  <c r="AA207" i="12"/>
  <c r="AA1113" i="12"/>
  <c r="AA915" i="12"/>
  <c r="AA1992" i="12"/>
  <c r="AA910" i="12"/>
  <c r="AA330" i="12"/>
  <c r="AA1496" i="12"/>
  <c r="AA3467" i="12"/>
  <c r="AA2220" i="12"/>
  <c r="AA2523" i="12"/>
  <c r="AA376" i="12"/>
  <c r="AA2411" i="12"/>
  <c r="AA1477" i="12"/>
  <c r="AA3370" i="12"/>
  <c r="AA342" i="12"/>
  <c r="AA2931" i="12"/>
  <c r="AA1954" i="12"/>
  <c r="AA3491" i="12"/>
  <c r="AA263" i="12"/>
  <c r="AA914" i="12"/>
  <c r="AA558" i="12"/>
  <c r="AA2891" i="12"/>
  <c r="AA3486" i="12"/>
  <c r="AA2951" i="12"/>
  <c r="AA3539" i="12"/>
  <c r="AA908" i="12"/>
  <c r="AA297" i="12"/>
  <c r="AA3489" i="12"/>
  <c r="AA3061" i="12"/>
  <c r="AA409" i="12"/>
  <c r="AA2915" i="12"/>
  <c r="AA653" i="12"/>
  <c r="AA280" i="12"/>
  <c r="AA922" i="12"/>
  <c r="AA1912" i="12"/>
  <c r="R23" i="12"/>
  <c r="N57" i="12"/>
  <c r="D28" i="6"/>
  <c r="P64" i="12"/>
  <c r="P59" i="12"/>
  <c r="P69" i="12"/>
  <c r="P31" i="12"/>
  <c r="P63" i="12"/>
  <c r="N49" i="12"/>
  <c r="N66" i="12"/>
  <c r="O51" i="12"/>
  <c r="P70" i="12"/>
  <c r="O52" i="12"/>
  <c r="P27" i="12"/>
  <c r="O60" i="12"/>
  <c r="O65" i="12"/>
  <c r="N54" i="12"/>
  <c r="N35" i="12"/>
  <c r="P57" i="12"/>
  <c r="N52" i="12"/>
  <c r="O54" i="12"/>
  <c r="P50" i="12"/>
  <c r="N32" i="12"/>
  <c r="P33" i="12"/>
  <c r="O58" i="12"/>
  <c r="O46" i="12"/>
  <c r="N45" i="12"/>
  <c r="N30" i="12"/>
  <c r="P34" i="12"/>
  <c r="N55" i="12"/>
  <c r="O47" i="12"/>
  <c r="P32" i="12"/>
  <c r="O36" i="12"/>
  <c r="O41" i="12"/>
  <c r="P44" i="12"/>
  <c r="P47" i="12"/>
  <c r="R24" i="12"/>
  <c r="R19" i="12"/>
  <c r="R21" i="12"/>
  <c r="N37" i="12"/>
  <c r="N47" i="12"/>
  <c r="N42" i="12"/>
  <c r="N63" i="12"/>
  <c r="N60" i="12"/>
  <c r="P67" i="12"/>
  <c r="D27" i="6"/>
  <c r="N33" i="12"/>
  <c r="N59" i="12"/>
  <c r="O56" i="12"/>
  <c r="N31" i="12"/>
  <c r="P46" i="12"/>
  <c r="P49" i="12"/>
  <c r="P45" i="12"/>
  <c r="N51" i="12"/>
  <c r="N50" i="12"/>
  <c r="N27" i="12"/>
  <c r="P55" i="12"/>
  <c r="P65" i="12"/>
  <c r="R58" i="12"/>
  <c r="O55" i="12"/>
  <c r="N53" i="12"/>
  <c r="O29" i="12"/>
  <c r="P36" i="12"/>
  <c r="N68" i="12"/>
  <c r="N29" i="12"/>
  <c r="N36" i="12"/>
  <c r="P68" i="12"/>
  <c r="O67" i="12"/>
  <c r="O32" i="12"/>
  <c r="R29" i="12"/>
  <c r="O33" i="12"/>
  <c r="N39" i="12"/>
  <c r="N56" i="12"/>
  <c r="P58" i="12"/>
  <c r="N46" i="12"/>
  <c r="O38" i="12"/>
  <c r="O45" i="12"/>
  <c r="P30" i="12"/>
  <c r="O34" i="12"/>
  <c r="O27" i="12"/>
  <c r="R27" i="12" s="1"/>
  <c r="P53" i="12"/>
  <c r="P54" i="12"/>
  <c r="R38" i="12"/>
  <c r="N67" i="12"/>
  <c r="S23" i="12"/>
  <c r="P56" i="12"/>
  <c r="N38" i="12"/>
  <c r="O50" i="12"/>
  <c r="P37" i="12"/>
  <c r="O53" i="12"/>
  <c r="R32" i="12"/>
  <c r="N40" i="12"/>
  <c r="N58" i="12"/>
  <c r="N28" i="12"/>
  <c r="O30" i="12"/>
  <c r="N34" i="12"/>
  <c r="P48" i="12"/>
  <c r="O40" i="12"/>
  <c r="P28" i="12"/>
  <c r="O44" i="12"/>
  <c r="N43" i="12"/>
  <c r="O64" i="12"/>
  <c r="O66" i="12"/>
  <c r="P43" i="12"/>
  <c r="P39" i="12"/>
  <c r="N69" i="12"/>
  <c r="N48" i="12"/>
  <c r="O28" i="12"/>
  <c r="R22" i="12"/>
  <c r="N41" i="12"/>
  <c r="P35" i="12"/>
  <c r="N44" i="12"/>
  <c r="O57" i="12"/>
  <c r="P42" i="12"/>
  <c r="N64" i="12"/>
  <c r="O59" i="12"/>
  <c r="O69" i="12"/>
  <c r="O31" i="12"/>
  <c r="O63" i="12"/>
  <c r="O49" i="12"/>
  <c r="P66" i="12"/>
  <c r="P51" i="12"/>
  <c r="O70" i="12"/>
  <c r="P52" i="12"/>
  <c r="O68" i="12"/>
  <c r="P60" i="12"/>
  <c r="N65" i="12"/>
  <c r="O43" i="12"/>
  <c r="O35" i="12"/>
  <c r="R57" i="12"/>
  <c r="P29" i="12"/>
  <c r="O39" i="12"/>
  <c r="P38" i="12"/>
  <c r="O37" i="12"/>
  <c r="R65" i="12"/>
  <c r="O42" i="12"/>
  <c r="R42" i="12" s="1"/>
  <c r="R20" i="12"/>
  <c r="P41" i="12"/>
  <c r="O48" i="12"/>
  <c r="P40" i="12"/>
  <c r="N70" i="12"/>
  <c r="R67" i="12"/>
  <c r="J16" i="12"/>
  <c r="K3" i="12"/>
  <c r="K6" i="12"/>
  <c r="J5" i="12"/>
  <c r="J10" i="12"/>
  <c r="J14" i="12"/>
  <c r="K12" i="12"/>
  <c r="K11" i="12"/>
  <c r="J4" i="12"/>
  <c r="J6" i="12"/>
  <c r="J12" i="12"/>
  <c r="J15" i="12"/>
  <c r="K10" i="12"/>
  <c r="K9" i="12"/>
  <c r="K16" i="12"/>
  <c r="J3" i="12"/>
  <c r="K15" i="12"/>
  <c r="J13" i="12"/>
  <c r="K7" i="12"/>
  <c r="J9" i="12"/>
  <c r="K5" i="12"/>
  <c r="J11" i="12"/>
  <c r="J8" i="12"/>
  <c r="K14" i="12"/>
  <c r="K4" i="12"/>
  <c r="K13" i="12"/>
  <c r="J7" i="12"/>
  <c r="K8" i="12"/>
  <c r="T23" i="12" l="1"/>
  <c r="U19" i="12" a="1"/>
  <c r="G14" i="12"/>
  <c r="H8" i="12"/>
  <c r="G12" i="12"/>
  <c r="H7" i="12"/>
  <c r="G6" i="12"/>
  <c r="G15" i="12"/>
  <c r="H10" i="12"/>
  <c r="G8" i="12"/>
  <c r="H16" i="12"/>
  <c r="H6" i="12"/>
  <c r="H15" i="12"/>
  <c r="H12" i="12"/>
  <c r="G16" i="12"/>
  <c r="G5" i="12"/>
  <c r="H3" i="12"/>
  <c r="H5" i="12"/>
  <c r="G11" i="12"/>
  <c r="H13" i="12"/>
  <c r="H14" i="12"/>
  <c r="G9" i="12"/>
  <c r="G3" i="12"/>
  <c r="H11" i="12"/>
  <c r="H4" i="12"/>
  <c r="G7" i="12"/>
  <c r="G10" i="12"/>
  <c r="H9" i="12"/>
  <c r="G13" i="12"/>
  <c r="G4" i="12"/>
  <c r="R48" i="12"/>
  <c r="R49" i="12"/>
  <c r="R44" i="12"/>
  <c r="R33" i="12"/>
  <c r="R47" i="12"/>
  <c r="S65" i="12"/>
  <c r="S44" i="12"/>
  <c r="S20" i="12"/>
  <c r="R63" i="12"/>
  <c r="S63" i="12" s="1"/>
  <c r="R40" i="12"/>
  <c r="R55" i="12"/>
  <c r="S55" i="12" s="1"/>
  <c r="R46" i="12"/>
  <c r="S32" i="12"/>
  <c r="S40" i="12"/>
  <c r="R37" i="12"/>
  <c r="R31" i="12"/>
  <c r="R30" i="12"/>
  <c r="R56" i="12"/>
  <c r="S56" i="12" s="1"/>
  <c r="R54" i="12"/>
  <c r="S58" i="12"/>
  <c r="S54" i="12"/>
  <c r="R39" i="12"/>
  <c r="R69" i="12"/>
  <c r="R53" i="12"/>
  <c r="S53" i="12" s="1"/>
  <c r="S21" i="12"/>
  <c r="R60" i="12"/>
  <c r="S60" i="12" s="1"/>
  <c r="S30" i="12"/>
  <c r="S38" i="12"/>
  <c r="R35" i="12"/>
  <c r="R59" i="12"/>
  <c r="S59" i="12" s="1"/>
  <c r="R50" i="12"/>
  <c r="S19" i="12"/>
  <c r="R52" i="12"/>
  <c r="S69" i="12"/>
  <c r="S42" i="12"/>
  <c r="S31" i="12"/>
  <c r="R43" i="12"/>
  <c r="S43" i="12" s="1"/>
  <c r="R28" i="12"/>
  <c r="S28" i="12" s="1"/>
  <c r="S27" i="12"/>
  <c r="S24" i="12"/>
  <c r="R51" i="12"/>
  <c r="S29" i="12"/>
  <c r="S52" i="12"/>
  <c r="S39" i="12"/>
  <c r="S49" i="12"/>
  <c r="S50" i="12"/>
  <c r="R68" i="12"/>
  <c r="S68" i="12" s="1"/>
  <c r="R34" i="12"/>
  <c r="S34" i="12" s="1"/>
  <c r="R41" i="12"/>
  <c r="S41" i="12" s="1"/>
  <c r="S67" i="12"/>
  <c r="S57" i="12"/>
  <c r="R64" i="12"/>
  <c r="S64" i="12" s="1"/>
  <c r="R36" i="12"/>
  <c r="S36" i="12" s="1"/>
  <c r="S22" i="12"/>
  <c r="S33" i="12"/>
  <c r="S51" i="12"/>
  <c r="S47" i="12"/>
  <c r="R66" i="12"/>
  <c r="S66" i="12" s="1"/>
  <c r="S37" i="12"/>
  <c r="R70" i="12"/>
  <c r="S70" i="12" s="1"/>
  <c r="R45" i="12"/>
  <c r="S45" i="12" s="1"/>
  <c r="S46" i="12"/>
  <c r="T24" i="12" l="1"/>
  <c r="T19" i="12"/>
  <c r="T21" i="12"/>
  <c r="T20" i="12"/>
  <c r="I13" i="12"/>
  <c r="T64" i="12"/>
  <c r="T22" i="12"/>
  <c r="T65" i="12"/>
  <c r="T69" i="12"/>
  <c r="I9" i="12"/>
  <c r="I12" i="12"/>
  <c r="I11" i="12"/>
  <c r="I15" i="12"/>
  <c r="I16" i="12"/>
  <c r="I6" i="12"/>
  <c r="T63" i="12"/>
  <c r="T68" i="12"/>
  <c r="T66" i="12"/>
  <c r="T67" i="12"/>
  <c r="T70" i="12"/>
  <c r="I7" i="12"/>
  <c r="I8" i="12"/>
  <c r="I3" i="12"/>
  <c r="I10" i="12"/>
  <c r="I5" i="12"/>
  <c r="I4" i="12"/>
  <c r="I14" i="12"/>
  <c r="T42" i="12"/>
  <c r="T55" i="12"/>
  <c r="T57" i="12"/>
  <c r="T38" i="12"/>
  <c r="T45" i="12"/>
  <c r="T58" i="12"/>
  <c r="T54" i="12"/>
  <c r="T59" i="12"/>
  <c r="T29" i="12"/>
  <c r="T43" i="12"/>
  <c r="T52" i="12"/>
  <c r="T49" i="12"/>
  <c r="T31" i="12"/>
  <c r="T33" i="12"/>
  <c r="T53" i="12"/>
  <c r="T27" i="12"/>
  <c r="T32" i="12"/>
  <c r="U63" i="12" a="1"/>
  <c r="T30" i="12"/>
  <c r="T50" i="12"/>
  <c r="T46" i="12"/>
  <c r="T36" i="12"/>
  <c r="T39" i="12"/>
  <c r="T56" i="12"/>
  <c r="S35" i="12"/>
  <c r="T44" i="12"/>
  <c r="T47" i="12"/>
  <c r="T40" i="12"/>
  <c r="T28" i="12"/>
  <c r="T60" i="12"/>
  <c r="T37" i="12"/>
  <c r="S48" i="12"/>
  <c r="T51" i="12"/>
  <c r="T34" i="12"/>
  <c r="T41" i="12"/>
  <c r="U19" i="12" l="1"/>
  <c r="U27" i="12" a="1"/>
  <c r="U27" i="12"/>
  <c r="U63" i="12"/>
  <c r="T48" i="12"/>
  <c r="T35" i="12"/>
  <c r="U73" i="12" a="1"/>
  <c r="U73" i="12"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<sst xmlns="http://schemas.openxmlformats.org/spreadsheetml/2006/main" count="532" uniqueCount="170">
  <si>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</si>
  <si>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</si>
  <si>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</si>
  <si>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</si>
  <si>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</si>
  <si>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</si>
  <si>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</si>
  <si>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</si>
  <si>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</si>
  <si>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</si>
  <si>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</si>
  <si>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</si>
  <si>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</si>
  <si>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</si>
  <si>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</si>
  <si>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</si>
  <si>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</si>
  <si>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</si>
  <si>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</si>
  <si>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</si>
  <si>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</si>
  <si>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</si>
  <si>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</si>
  <si>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</si>
  <si>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</si>
  <si>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</si>
  <si>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</si>
  <si>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</si>
  <si>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</si>
  <si>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</si>
  <si>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</si>
  <si>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</si>
  <si>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</si>
  <si>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</si>
  <si>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main ref depo</t>
  </si>
  <si>
    <t>exotic swap</t>
  </si>
  <si>
    <t>long term futures</t>
  </si>
  <si>
    <t>fra</t>
  </si>
  <si>
    <t>depo</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</si>
  <si>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</si>
  <si>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</si>
  <si>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</si>
  <si>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</si>
  <si>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</si>
  <si>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</si>
  <si>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</si>
  <si>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</si>
  <si>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</si>
  <si>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</si>
  <si>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</si>
  <si>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</si>
  <si>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</si>
  <si>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</si>
  <si>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</si>
  <si>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</si>
  <si>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</si>
  <si>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</si>
  <si>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</si>
  <si>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</si>
  <si>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</si>
  <si>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</si>
  <si>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</si>
  <si>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</si>
  <si>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</si>
  <si>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</si>
  <si>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UnitedKingdom::Exchange</t>
  </si>
  <si>
    <t>Calendar</t>
  </si>
  <si>
    <t>NDays</t>
  </si>
  <si>
    <t>ObjectID</t>
  </si>
  <si>
    <t>PiecewiseYieldCurve</t>
  </si>
  <si>
    <t>ObjectOverwrite</t>
  </si>
  <si>
    <t>Trigger</t>
  </si>
  <si>
    <t>Permanent</t>
  </si>
  <si>
    <t>RateHelperPrefix</t>
  </si>
  <si>
    <t>AM</t>
  </si>
  <si>
    <t>USD</t>
  </si>
  <si>
    <t>SwapFixedFreq</t>
  </si>
  <si>
    <t>JPY</t>
  </si>
  <si>
    <t>IborType</t>
  </si>
  <si>
    <t>SB</t>
  </si>
  <si>
    <t>GBP</t>
  </si>
  <si>
    <t>IndexTenor</t>
  </si>
  <si>
    <t>AB</t>
  </si>
  <si>
    <t>EUR</t>
  </si>
  <si>
    <t>Months</t>
  </si>
  <si>
    <t>CHF</t>
  </si>
  <si>
    <t>Currency</t>
  </si>
  <si>
    <t>General Settings</t>
  </si>
  <si>
    <t>3M</t>
  </si>
  <si>
    <t>2M</t>
  </si>
  <si>
    <t>1M</t>
  </si>
  <si>
    <t>SW</t>
  </si>
  <si>
    <t>Quote Object ID</t>
  </si>
  <si>
    <t>Index</t>
  </si>
  <si>
    <t>_Quote</t>
  </si>
  <si>
    <t>QuoteSuffix</t>
  </si>
  <si>
    <t>Libor</t>
  </si>
  <si>
    <t>FamilyName</t>
  </si>
  <si>
    <t>ADDITIONAL SETTINGS</t>
  </si>
  <si>
    <t>FileOverwrite</t>
  </si>
  <si>
    <t>SerializationPath</t>
  </si>
  <si>
    <t>Serialize</t>
  </si>
  <si>
    <t>GENERAL SETTINGS</t>
  </si>
  <si>
    <t>ConvAdj Quote Object ID</t>
  </si>
  <si>
    <t>Future Code</t>
  </si>
  <si>
    <t>Main Cycle</t>
  </si>
  <si>
    <t>#</t>
  </si>
  <si>
    <t>Modified Following</t>
  </si>
  <si>
    <t>3L</t>
  </si>
  <si>
    <t>3E</t>
  </si>
  <si>
    <t>0d</t>
  </si>
  <si>
    <t>Spread</t>
  </si>
  <si>
    <t>Day Count Convention</t>
  </si>
  <si>
    <t>Business Day Convention</t>
  </si>
  <si>
    <t>Freq</t>
  </si>
  <si>
    <t>Fwd start</t>
  </si>
  <si>
    <t>6L</t>
  </si>
  <si>
    <t>Discounting2</t>
  </si>
  <si>
    <t>Discounting</t>
  </si>
  <si>
    <t>Actual/365 (Fixed)</t>
  </si>
  <si>
    <t>MoneyMarketDayCounter</t>
  </si>
  <si>
    <t>BondBasisDayCounter</t>
  </si>
  <si>
    <t>GBP3M</t>
  </si>
  <si>
    <t>Extrapolation</t>
  </si>
  <si>
    <t>SN</t>
  </si>
  <si>
    <t>2W</t>
  </si>
  <si>
    <t>3W</t>
  </si>
  <si>
    <t>Time Axis</t>
  </si>
  <si>
    <t>Rate Axis</t>
  </si>
  <si>
    <t>Years</t>
  </si>
  <si>
    <t>Min</t>
  </si>
  <si>
    <t>Max</t>
  </si>
  <si>
    <t>Major unit (Months)</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</si>
  <si>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</si>
  <si>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</si>
  <si>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</si>
  <si>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</si>
  <si>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</si>
  <si>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</si>
  <si>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</si>
  <si>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</si>
  <si>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</si>
  <si>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</si>
  <si>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</si>
  <si>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</si>
  <si>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</si>
  <si>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</si>
  <si>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</si>
  <si>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3M Fwd</t>
  </si>
  <si>
    <t>Recalc trigger</t>
  </si>
  <si>
    <t>1D</t>
  </si>
  <si>
    <t>IMM Mkt Futures</t>
  </si>
  <si>
    <t>Serial Mkt Futures</t>
  </si>
  <si>
    <t>1w</t>
  </si>
  <si>
    <t>Annual</t>
  </si>
  <si>
    <t>Instruments</t>
  </si>
  <si>
    <t>Synthetic</t>
  </si>
  <si>
    <t>IMM</t>
  </si>
  <si>
    <t>SERIAL</t>
  </si>
  <si>
    <t>Actual/360</t>
  </si>
  <si>
    <t>Semiannual</t>
  </si>
  <si>
    <t>SM</t>
  </si>
  <si>
    <t>6M</t>
  </si>
  <si>
    <t>9M</t>
  </si>
  <si>
    <t>15M</t>
  </si>
  <si>
    <t>18M</t>
  </si>
  <si>
    <t>Mkt Swaps</t>
  </si>
  <si>
    <t>Tenor</t>
  </si>
  <si>
    <t>Swap Index</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</si>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</sst>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ddd\,\ d\-mmm\-yyyy"/>
    <numFmt numFmtId="165" formatCode="0.0000%"/>
    <numFmt numFmtId="166" formatCode="0.0000"/>
    <numFmt numFmtId="167" formatCode="0.000000000"/>
    <numFmt numFmtId="168" formatCode="ddd\,\ dd\-mmm\-yyyy"/>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0.E+00"/>
    <numFmt numFmtId="179" formatCode="_([$€-2]* #,##0.00_);_([$€-2]* \(#,##0.00\);_([$€-2]* &quot;-&quot;??_)"/>
    <numFmt numFmtId="180" formatCode="_-* #,##0.00_-;\-* #,##0.00_-;_-* &quot;-&quot;??_-;_-@_-"/>
  </numFmts>
  <fonts count="23" x14ac:knownFonts="1">
    <font>
      <sz val="11"/>
      <color theme="1"/>
      <name val="Calibri"/>
      <family val="2"/>
      <scheme val="minor"/>
    </font>
    <font>
      <sz val="10"/>
      <name val="Arial"/>
      <family val="2"/>
    </font>
    <font>
      <b/>
      <sz val="8"/>
      <color indexed="81"/>
      <name val="Tahoma"/>
      <family val="2"/>
    </font>
    <font>
      <sz val="8"/>
      <name val="Arial"/>
      <family val="2"/>
    </font>
    <font>
      <sz val="8"/>
      <color indexed="81"/>
      <name val="Tahoma"/>
      <family val="2"/>
    </font>
    <font>
      <sz val="10"/>
      <name val="Helv"/>
    </font>
    <font>
      <sz val="12"/>
      <name val="Helv"/>
    </font>
    <font>
      <b/>
      <sz val="12"/>
      <color indexed="16"/>
      <name val="MS Sans Serif"/>
      <family val="2"/>
    </font>
    <font>
      <b/>
      <sz val="8"/>
      <name val="Courier New"/>
      <family val="3"/>
    </font>
    <font>
      <sz val="8"/>
      <name val="Courier New"/>
      <family val="3"/>
    </font>
    <font>
      <sz val="8"/>
      <color indexed="10"/>
      <name val="Courier New"/>
      <family val="3"/>
    </font>
    <font>
      <sz val="10"/>
      <name val="Courier New"/>
      <family val="3"/>
    </font>
    <font>
      <i/>
      <sz val="8"/>
      <name val="Courier New"/>
      <family val="3"/>
    </font>
    <font>
      <b/>
      <u/>
      <sz val="8"/>
      <name val="Courier New"/>
      <family val="3"/>
    </font>
    <font>
      <sz val="8"/>
      <color indexed="9"/>
      <name val="Courier New"/>
      <family val="3"/>
    </font>
    <font>
      <sz val="11"/>
      <color rgb="FF000000"/>
      <name val="Calibri"/>
      <family val="2"/>
    </font>
    <font>
      <sz val="8"/>
      <color rgb="FF000000"/>
      <name val="Tahoma"/>
      <family val="2"/>
    </font>
    <font>
      <sz val="8"/>
      <color theme="1"/>
      <name val="Courier New"/>
      <family val="3"/>
    </font>
    <font>
      <b/>
      <sz val="8"/>
      <color rgb="FFFF0000"/>
      <name val="Courier New"/>
      <family val="3"/>
    </font>
    <font>
      <sz val="14"/>
      <name val="Arial"/>
      <family val="2"/>
    </font>
    <font>
      <b/>
      <sz val="8"/>
      <name val="Arial"/>
      <family val="2"/>
    </font>
    <font>
      <sz val="8"/>
      <color indexed="10"/>
      <name val="Arial"/>
      <family val="2"/>
    </font>
    <font>
      <sz val="11"/>
      <color theme="1"/>
      <name val="Calibri"/>
      <family val="2"/>
      <scheme val="minor"/>
    </font>
  </fonts>
  <fills count="16">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s>
  <borders count="46">
    <border>
      <left/>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6">
    <xf numFmtId="0" fontId="0" fillId="0" borderId="0"/>
    <xf numFmtId="0" fontId="1" fillId="0" borderId="0"/>
    <xf numFmtId="9" fontId="1" fillId="0" borderId="0" applyFont="0" applyFill="0" applyBorder="0" applyAlignment="0" applyProtection="0"/>
    <xf numFmtId="0" fontId="3" fillId="0" borderId="0"/>
    <xf numFmtId="38" fontId="5" fillId="0" borderId="0" applyFont="0" applyFill="0" applyBorder="0" applyAlignment="0" applyProtection="0"/>
    <xf numFmtId="40" fontId="5" fillId="0" borderId="0" applyFont="0" applyFill="0" applyBorder="0" applyAlignment="0" applyProtection="0"/>
    <xf numFmtId="174" fontId="6" fillId="0" borderId="0"/>
    <xf numFmtId="175" fontId="7" fillId="9" borderId="0">
      <alignment horizontal="center" vertical="center"/>
    </xf>
    <xf numFmtId="176" fontId="5" fillId="0" borderId="0" applyFont="0" applyFill="0" applyBorder="0" applyAlignment="0" applyProtection="0"/>
    <xf numFmtId="176" fontId="5" fillId="0" borderId="0" applyFont="0" applyFill="0" applyBorder="0" applyAlignment="0" applyProtection="0"/>
    <xf numFmtId="0" fontId="1" fillId="0" borderId="0"/>
    <xf numFmtId="0" fontId="3" fillId="0" borderId="0"/>
    <xf numFmtId="9" fontId="1" fillId="0" borderId="0" applyFont="0" applyFill="0" applyBorder="0" applyAlignment="0" applyProtection="0"/>
    <xf numFmtId="9" fontId="3" fillId="0" borderId="0" applyFont="0" applyFill="0" applyBorder="0" applyAlignment="0" applyProtection="0"/>
    <xf numFmtId="179" fontId="1" fillId="0" borderId="0" applyFont="0" applyFill="0" applyBorder="0" applyAlignment="0" applyProtection="0"/>
    <xf numFmtId="0" fontId="22" fillId="0" borderId="0"/>
    <xf numFmtId="9" fontId="3" fillId="0" borderId="0" applyFont="0" applyFill="0" applyBorder="0" applyAlignment="0" applyProtection="0"/>
    <xf numFmtId="0" fontId="1" fillId="0" borderId="0"/>
    <xf numFmtId="9" fontId="1" fillId="0" borderId="0" applyFont="0" applyFill="0" applyBorder="0" applyAlignment="0" applyProtection="0"/>
    <xf numFmtId="9" fontId="3" fillId="0" borderId="0" applyFont="0" applyFill="0" applyBorder="0" applyAlignment="0" applyProtection="0"/>
    <xf numFmtId="0" fontId="22" fillId="0" borderId="0"/>
    <xf numFmtId="9" fontId="3" fillId="0" borderId="0" applyFont="0" applyFill="0" applyBorder="0" applyAlignment="0" applyProtection="0"/>
    <xf numFmtId="0" fontId="3" fillId="0" borderId="0"/>
    <xf numFmtId="0" fontId="3" fillId="0" borderId="0"/>
    <xf numFmtId="0" fontId="22" fillId="0" borderId="0"/>
    <xf numFmtId="9" fontId="1" fillId="0" borderId="0" applyFont="0" applyFill="0" applyBorder="0" applyAlignment="0" applyProtection="0"/>
    <xf numFmtId="9" fontId="3" fillId="0" borderId="0" applyFont="0" applyFill="0" applyBorder="0" applyAlignment="0" applyProtection="0"/>
    <xf numFmtId="0" fontId="22" fillId="0" borderId="0"/>
    <xf numFmtId="9" fontId="3" fillId="0" borderId="0" applyFont="0" applyFill="0" applyBorder="0" applyAlignment="0" applyProtection="0"/>
    <xf numFmtId="0" fontId="1" fillId="0" borderId="0"/>
    <xf numFmtId="179"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xf numFmtId="9" fontId="3" fillId="0" borderId="0" applyFont="0" applyFill="0" applyBorder="0" applyAlignment="0" applyProtection="0"/>
    <xf numFmtId="9" fontId="1" fillId="0" borderId="0" applyFont="0" applyFill="0" applyBorder="0" applyAlignment="0" applyProtection="0"/>
    <xf numFmtId="0" fontId="22" fillId="0" borderId="0"/>
    <xf numFmtId="0" fontId="22" fillId="0" borderId="0"/>
    <xf numFmtId="0" fontId="22" fillId="0" borderId="0"/>
    <xf numFmtId="0" fontId="22" fillId="0" borderId="0"/>
    <xf numFmtId="9" fontId="1" fillId="0" borderId="0" applyFont="0" applyFill="0" applyBorder="0" applyAlignment="0" applyProtection="0"/>
    <xf numFmtId="0" fontId="1"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180" fontId="22" fillId="0" borderId="0" applyFont="0" applyFill="0" applyBorder="0" applyAlignment="0" applyProtection="0"/>
  </cellStyleXfs>
  <cellXfs count="288">
    <xf numFmtId="0" fontId="0" fillId="0" borderId="0" xfId="0"/>
    <xf numFmtId="0" fontId="9" fillId="0" borderId="0" xfId="1" applyFont="1"/>
    <xf numFmtId="0" fontId="8" fillId="3" borderId="25" xfId="1" applyFont="1" applyFill="1" applyBorder="1" applyAlignment="1">
      <alignment horizontal="center" vertical="center" wrapText="1"/>
    </xf>
    <xf numFmtId="0" fontId="8" fillId="3" borderId="24" xfId="1" applyFont="1" applyFill="1" applyBorder="1" applyAlignment="1">
      <alignment horizontal="center" vertical="center" wrapText="1"/>
    </xf>
    <xf numFmtId="0" fontId="8" fillId="3" borderId="23" xfId="1" applyFont="1" applyFill="1" applyBorder="1" applyAlignment="1">
      <alignment horizontal="center" vertical="center" wrapText="1"/>
    </xf>
    <xf numFmtId="167" fontId="9" fillId="0" borderId="0" xfId="1" applyNumberFormat="1" applyFont="1"/>
    <xf numFmtId="0" fontId="8" fillId="5" borderId="22" xfId="1" applyFont="1" applyFill="1" applyBorder="1" applyAlignment="1">
      <alignment horizontal="right"/>
    </xf>
    <xf numFmtId="3" fontId="9" fillId="6" borderId="21" xfId="1" applyNumberFormat="1" applyFont="1" applyFill="1" applyBorder="1" applyAlignment="1">
      <alignment horizontal="center"/>
    </xf>
    <xf numFmtId="0" fontId="9" fillId="2" borderId="16" xfId="1" applyFont="1" applyFill="1" applyBorder="1" applyAlignment="1"/>
    <xf numFmtId="165" fontId="9" fillId="2" borderId="0" xfId="1" applyNumberFormat="1" applyFont="1" applyFill="1" applyBorder="1" applyAlignment="1"/>
    <xf numFmtId="164" fontId="9" fillId="2" borderId="0" xfId="1" applyNumberFormat="1" applyFont="1" applyFill="1" applyBorder="1" applyAlignment="1"/>
    <xf numFmtId="164" fontId="9" fillId="2" borderId="15" xfId="1" applyNumberFormat="1" applyFont="1" applyFill="1" applyBorder="1" applyAlignment="1"/>
    <xf numFmtId="10" fontId="9" fillId="0" borderId="0" xfId="1" applyNumberFormat="1" applyFont="1"/>
    <xf numFmtId="0" fontId="8" fillId="5" borderId="20" xfId="1" applyFont="1" applyFill="1" applyBorder="1" applyAlignment="1">
      <alignment horizontal="right"/>
    </xf>
    <xf numFmtId="3" fontId="9" fillId="6" borderId="19" xfId="1" applyNumberFormat="1" applyFont="1" applyFill="1" applyBorder="1" applyAlignment="1">
      <alignment horizontal="center"/>
    </xf>
    <xf numFmtId="0" fontId="9" fillId="6" borderId="19" xfId="1" applyFont="1" applyFill="1" applyBorder="1" applyAlignment="1">
      <alignment horizontal="center"/>
    </xf>
    <xf numFmtId="0" fontId="9" fillId="0" borderId="18" xfId="1" applyFont="1" applyBorder="1"/>
    <xf numFmtId="14" fontId="9" fillId="0" borderId="0" xfId="1" applyNumberFormat="1" applyFont="1"/>
    <xf numFmtId="0" fontId="9" fillId="2" borderId="14" xfId="1" applyFont="1" applyFill="1" applyBorder="1" applyAlignment="1"/>
    <xf numFmtId="165" fontId="9" fillId="2" borderId="13" xfId="1" applyNumberFormat="1" applyFont="1" applyFill="1" applyBorder="1" applyAlignment="1"/>
    <xf numFmtId="164" fontId="9" fillId="2" borderId="13" xfId="1" applyNumberFormat="1" applyFont="1" applyFill="1" applyBorder="1" applyAlignment="1"/>
    <xf numFmtId="164" fontId="9" fillId="2" borderId="12" xfId="1" applyNumberFormat="1" applyFont="1" applyFill="1" applyBorder="1" applyAlignment="1"/>
    <xf numFmtId="0" fontId="9" fillId="0" borderId="0" xfId="1" applyFont="1" applyAlignment="1">
      <alignment horizontal="left"/>
    </xf>
    <xf numFmtId="0" fontId="9" fillId="2" borderId="16" xfId="1" applyFont="1" applyFill="1" applyBorder="1"/>
    <xf numFmtId="0" fontId="9" fillId="2" borderId="0" xfId="1" applyFont="1" applyFill="1" applyBorder="1"/>
    <xf numFmtId="0" fontId="9" fillId="2" borderId="0" xfId="1" applyFont="1" applyFill="1" applyBorder="1" applyAlignment="1">
      <alignment horizontal="center"/>
    </xf>
    <xf numFmtId="0" fontId="9" fillId="0" borderId="0" xfId="1" applyFont="1" applyAlignment="1">
      <alignment horizontal="center"/>
    </xf>
    <xf numFmtId="0" fontId="9" fillId="2" borderId="15" xfId="1" applyFont="1" applyFill="1" applyBorder="1"/>
    <xf numFmtId="0" fontId="11" fillId="0" borderId="0" xfId="1" applyFont="1"/>
    <xf numFmtId="0" fontId="9" fillId="2" borderId="16" xfId="1" applyFont="1" applyFill="1" applyBorder="1" applyAlignment="1">
      <alignment horizontal="center"/>
    </xf>
    <xf numFmtId="0" fontId="8" fillId="2" borderId="9" xfId="1" applyFont="1" applyFill="1" applyBorder="1" applyAlignment="1">
      <alignment horizontal="center" vertical="center" wrapText="1"/>
    </xf>
    <xf numFmtId="0" fontId="12" fillId="2" borderId="9" xfId="1" applyFont="1" applyFill="1" applyBorder="1" applyAlignment="1">
      <alignment horizontal="center" vertical="center"/>
    </xf>
    <xf numFmtId="0" fontId="9" fillId="4" borderId="10" xfId="1" applyNumberFormat="1" applyFont="1" applyFill="1" applyBorder="1" applyAlignment="1" applyProtection="1">
      <alignment horizontal="center" vertical="center"/>
    </xf>
    <xf numFmtId="0" fontId="10" fillId="4" borderId="9" xfId="1" applyNumberFormat="1" applyFont="1" applyFill="1" applyBorder="1" applyAlignment="1" applyProtection="1">
      <alignment horizontal="left" vertical="center"/>
    </xf>
    <xf numFmtId="0" fontId="8" fillId="2" borderId="11" xfId="1" applyFont="1" applyFill="1" applyBorder="1" applyAlignment="1">
      <alignment horizontal="center" vertical="center" wrapText="1"/>
    </xf>
    <xf numFmtId="0" fontId="9" fillId="2" borderId="28" xfId="1" applyFont="1" applyFill="1" applyBorder="1" applyAlignment="1">
      <alignment horizontal="center" vertical="center" wrapText="1"/>
    </xf>
    <xf numFmtId="173" fontId="9" fillId="8" borderId="28" xfId="1" applyNumberFormat="1" applyFont="1" applyFill="1" applyBorder="1" applyAlignment="1">
      <alignment horizontal="left"/>
    </xf>
    <xf numFmtId="0" fontId="9" fillId="2" borderId="6" xfId="1" applyNumberFormat="1" applyFont="1" applyFill="1" applyBorder="1" applyAlignment="1">
      <alignment horizontal="left"/>
    </xf>
    <xf numFmtId="0" fontId="10" fillId="4" borderId="10" xfId="1" applyNumberFormat="1" applyFont="1" applyFill="1" applyBorder="1" applyAlignment="1" applyProtection="1">
      <alignment horizontal="left" vertical="center"/>
    </xf>
    <xf numFmtId="0" fontId="8" fillId="2" borderId="11" xfId="1" applyFont="1" applyFill="1" applyBorder="1" applyAlignment="1">
      <alignment horizontal="center"/>
    </xf>
    <xf numFmtId="172" fontId="10" fillId="4" borderId="10" xfId="1" applyNumberFormat="1" applyFont="1" applyFill="1" applyBorder="1" applyAlignment="1" applyProtection="1">
      <alignment horizontal="left"/>
    </xf>
    <xf numFmtId="168" fontId="11" fillId="0" borderId="0" xfId="1" applyNumberFormat="1" applyFont="1"/>
    <xf numFmtId="0" fontId="9" fillId="2" borderId="14" xfId="1" applyFont="1" applyFill="1" applyBorder="1"/>
    <xf numFmtId="0" fontId="9" fillId="2" borderId="13" xfId="1" applyFont="1" applyFill="1" applyBorder="1"/>
    <xf numFmtId="0" fontId="9" fillId="2" borderId="12" xfId="1" applyFont="1" applyFill="1" applyBorder="1"/>
    <xf numFmtId="0" fontId="12" fillId="2" borderId="9" xfId="1" applyFont="1" applyFill="1" applyBorder="1" applyAlignment="1">
      <alignment horizontal="left" vertical="center"/>
    </xf>
    <xf numFmtId="0" fontId="13" fillId="2" borderId="0" xfId="1" applyFont="1" applyFill="1" applyBorder="1"/>
    <xf numFmtId="0" fontId="9" fillId="2" borderId="0" xfId="1" applyFont="1" applyFill="1" applyAlignment="1">
      <alignment horizontal="center"/>
    </xf>
    <xf numFmtId="0" fontId="9" fillId="2" borderId="0" xfId="1" applyFont="1" applyFill="1"/>
    <xf numFmtId="0" fontId="8" fillId="2" borderId="10" xfId="1" applyFont="1" applyFill="1" applyBorder="1" applyAlignment="1">
      <alignment horizontal="center" vertical="center" wrapText="1"/>
    </xf>
    <xf numFmtId="0" fontId="14" fillId="2" borderId="16" xfId="1" applyFont="1" applyFill="1" applyBorder="1"/>
    <xf numFmtId="0" fontId="8" fillId="2" borderId="4" xfId="1" applyFont="1" applyFill="1" applyBorder="1" applyAlignment="1">
      <alignment horizontal="center"/>
    </xf>
    <xf numFmtId="0" fontId="9" fillId="2" borderId="28" xfId="1" applyFont="1" applyFill="1" applyBorder="1" applyAlignment="1">
      <alignment horizontal="center"/>
    </xf>
    <xf numFmtId="173" fontId="9" fillId="2" borderId="28" xfId="2" applyNumberFormat="1" applyFont="1" applyFill="1" applyBorder="1" applyAlignment="1">
      <alignment horizontal="center"/>
    </xf>
    <xf numFmtId="172" fontId="10" fillId="4" borderId="6" xfId="1" applyNumberFormat="1" applyFont="1" applyFill="1" applyBorder="1" applyAlignment="1" applyProtection="1">
      <alignment horizontal="left"/>
    </xf>
    <xf numFmtId="172" fontId="11" fillId="0" borderId="0" xfId="1" applyNumberFormat="1" applyFont="1"/>
    <xf numFmtId="0" fontId="9" fillId="2" borderId="9" xfId="1" applyFont="1" applyFill="1" applyBorder="1" applyAlignment="1">
      <alignment horizontal="center"/>
    </xf>
    <xf numFmtId="173" fontId="9" fillId="2" borderId="9" xfId="2" applyNumberFormat="1" applyFont="1" applyFill="1" applyBorder="1" applyAlignment="1">
      <alignment horizontal="center"/>
    </xf>
    <xf numFmtId="0" fontId="11" fillId="0" borderId="0" xfId="1" quotePrefix="1" applyFont="1"/>
    <xf numFmtId="0" fontId="14" fillId="2" borderId="14" xfId="1" applyFont="1" applyFill="1" applyBorder="1"/>
    <xf numFmtId="0" fontId="14" fillId="2" borderId="13" xfId="1" applyFont="1" applyFill="1" applyBorder="1"/>
    <xf numFmtId="0" fontId="9" fillId="2" borderId="4" xfId="2" applyNumberFormat="1" applyFont="1" applyFill="1" applyBorder="1" applyAlignment="1">
      <alignment horizontal="center"/>
    </xf>
    <xf numFmtId="0" fontId="9" fillId="2" borderId="32" xfId="1" applyFont="1" applyFill="1" applyBorder="1" applyAlignment="1">
      <alignment horizontal="left"/>
    </xf>
    <xf numFmtId="0" fontId="9" fillId="2" borderId="33" xfId="1" applyFont="1" applyFill="1" applyBorder="1"/>
    <xf numFmtId="0" fontId="9" fillId="2" borderId="33" xfId="1" applyFont="1" applyFill="1" applyBorder="1" applyAlignment="1">
      <alignment horizontal="center"/>
    </xf>
    <xf numFmtId="0" fontId="13" fillId="2" borderId="15" xfId="1" applyFont="1" applyFill="1" applyBorder="1"/>
    <xf numFmtId="0" fontId="9" fillId="4" borderId="9" xfId="1" applyNumberFormat="1" applyFont="1" applyFill="1" applyBorder="1" applyAlignment="1" applyProtection="1">
      <alignment horizontal="center" vertical="center"/>
    </xf>
    <xf numFmtId="0" fontId="9" fillId="4" borderId="9" xfId="1" applyNumberFormat="1" applyFont="1" applyFill="1" applyBorder="1" applyAlignment="1" applyProtection="1">
      <alignment horizontal="left" vertical="center"/>
    </xf>
    <xf numFmtId="172" fontId="10" fillId="4" borderId="9" xfId="1" applyNumberFormat="1" applyFont="1" applyFill="1" applyBorder="1" applyAlignment="1" applyProtection="1">
      <alignment horizontal="left"/>
    </xf>
    <xf numFmtId="0" fontId="9" fillId="2" borderId="9" xfId="1" applyNumberFormat="1" applyFont="1" applyFill="1" applyBorder="1" applyAlignment="1">
      <alignment horizontal="center"/>
    </xf>
    <xf numFmtId="165" fontId="9" fillId="2" borderId="9" xfId="1" applyNumberFormat="1" applyFont="1" applyFill="1" applyBorder="1" applyAlignment="1"/>
    <xf numFmtId="0" fontId="9" fillId="2" borderId="9" xfId="1" applyFont="1" applyFill="1" applyBorder="1" applyAlignment="1"/>
    <xf numFmtId="0" fontId="9" fillId="0" borderId="32" xfId="1" applyFont="1" applyBorder="1"/>
    <xf numFmtId="0" fontId="9" fillId="0" borderId="33" xfId="1" applyFont="1" applyBorder="1"/>
    <xf numFmtId="0" fontId="9" fillId="0" borderId="31" xfId="1" applyFont="1" applyBorder="1"/>
    <xf numFmtId="0" fontId="9" fillId="0" borderId="16" xfId="1" applyFont="1" applyBorder="1"/>
    <xf numFmtId="0" fontId="9" fillId="0" borderId="0" xfId="1" applyFont="1" applyBorder="1"/>
    <xf numFmtId="0" fontId="9" fillId="0" borderId="15" xfId="1" applyFont="1" applyBorder="1"/>
    <xf numFmtId="0" fontId="9" fillId="0" borderId="14" xfId="1" applyFont="1" applyBorder="1"/>
    <xf numFmtId="0" fontId="9" fillId="0" borderId="13" xfId="1" applyFont="1" applyBorder="1"/>
    <xf numFmtId="0" fontId="9" fillId="0" borderId="12" xfId="1" applyFont="1" applyBorder="1"/>
    <xf numFmtId="0" fontId="9" fillId="2" borderId="13" xfId="1" applyFont="1" applyFill="1" applyBorder="1" applyAlignment="1">
      <alignment horizontal="left"/>
    </xf>
    <xf numFmtId="0" fontId="9" fillId="2" borderId="12" xfId="1" applyFont="1" applyFill="1" applyBorder="1" applyAlignment="1">
      <alignment horizontal="left"/>
    </xf>
    <xf numFmtId="0" fontId="8" fillId="3" borderId="9" xfId="1" applyFont="1" applyFill="1" applyBorder="1" applyAlignment="1">
      <alignment horizontal="center" vertical="center" wrapText="1"/>
    </xf>
    <xf numFmtId="0" fontId="9" fillId="2" borderId="0" xfId="1" applyNumberFormat="1" applyFont="1" applyFill="1" applyBorder="1" applyAlignment="1">
      <alignment horizontal="center"/>
    </xf>
    <xf numFmtId="0" fontId="9" fillId="2" borderId="0" xfId="1" applyFont="1" applyFill="1" applyBorder="1" applyAlignment="1">
      <alignment horizontal="left"/>
    </xf>
    <xf numFmtId="165" fontId="9" fillId="2" borderId="0" xfId="2" applyNumberFormat="1" applyFont="1" applyFill="1" applyBorder="1" applyAlignment="1">
      <alignment horizontal="right"/>
    </xf>
    <xf numFmtId="164" fontId="9" fillId="2" borderId="0" xfId="1" applyNumberFormat="1" applyFont="1" applyFill="1" applyBorder="1" applyAlignment="1">
      <alignment horizontal="right"/>
    </xf>
    <xf numFmtId="164" fontId="9" fillId="2" borderId="2" xfId="1" applyNumberFormat="1" applyFont="1" applyFill="1" applyBorder="1" applyAlignment="1">
      <alignment horizontal="right"/>
    </xf>
    <xf numFmtId="0" fontId="9" fillId="2" borderId="1" xfId="1" applyNumberFormat="1" applyFont="1" applyFill="1" applyBorder="1" applyAlignment="1">
      <alignment horizontal="center"/>
    </xf>
    <xf numFmtId="0" fontId="9" fillId="2" borderId="1" xfId="1" applyFont="1" applyFill="1" applyBorder="1" applyAlignment="1">
      <alignment horizontal="left"/>
    </xf>
    <xf numFmtId="165" fontId="9" fillId="2" borderId="1" xfId="2" applyNumberFormat="1" applyFont="1" applyFill="1" applyBorder="1" applyAlignment="1">
      <alignment horizontal="right"/>
    </xf>
    <xf numFmtId="0" fontId="9" fillId="2" borderId="1" xfId="1" applyFont="1" applyFill="1" applyBorder="1" applyAlignment="1">
      <alignment horizontal="center"/>
    </xf>
    <xf numFmtId="164" fontId="9" fillId="2" borderId="1" xfId="1" applyNumberFormat="1" applyFont="1" applyFill="1" applyBorder="1" applyAlignment="1">
      <alignment horizontal="right"/>
    </xf>
    <xf numFmtId="164" fontId="9" fillId="2" borderId="7" xfId="1" applyNumberFormat="1" applyFont="1" applyFill="1" applyBorder="1" applyAlignment="1">
      <alignment horizontal="right"/>
    </xf>
    <xf numFmtId="0" fontId="9" fillId="2" borderId="3" xfId="1" applyNumberFormat="1" applyFont="1" applyFill="1" applyBorder="1" applyAlignment="1">
      <alignment horizontal="center"/>
    </xf>
    <xf numFmtId="0" fontId="9" fillId="2" borderId="3" xfId="1" applyFont="1" applyFill="1" applyBorder="1" applyAlignment="1">
      <alignment horizontal="left"/>
    </xf>
    <xf numFmtId="165" fontId="9" fillId="2" borderId="3" xfId="2" applyNumberFormat="1" applyFont="1" applyFill="1" applyBorder="1" applyAlignment="1">
      <alignment horizontal="right"/>
    </xf>
    <xf numFmtId="0" fontId="9" fillId="2" borderId="3" xfId="1" applyFont="1" applyFill="1" applyBorder="1" applyAlignment="1">
      <alignment horizontal="center"/>
    </xf>
    <xf numFmtId="164" fontId="9" fillId="2" borderId="3" xfId="1" applyNumberFormat="1" applyFont="1" applyFill="1" applyBorder="1" applyAlignment="1">
      <alignment horizontal="right"/>
    </xf>
    <xf numFmtId="164" fontId="9" fillId="2" borderId="6" xfId="1" applyNumberFormat="1" applyFont="1" applyFill="1" applyBorder="1" applyAlignment="1">
      <alignment horizontal="right"/>
    </xf>
    <xf numFmtId="166" fontId="9" fillId="2" borderId="0" xfId="1" applyNumberFormat="1" applyFont="1" applyFill="1" applyBorder="1" applyAlignment="1">
      <alignment horizontal="right"/>
    </xf>
    <xf numFmtId="0" fontId="9" fillId="11" borderId="0" xfId="1" applyFont="1" applyFill="1" applyBorder="1" applyAlignment="1">
      <alignment horizontal="center"/>
    </xf>
    <xf numFmtId="166" fontId="9" fillId="2" borderId="3" xfId="1" applyNumberFormat="1" applyFont="1" applyFill="1" applyBorder="1" applyAlignment="1">
      <alignment horizontal="right"/>
    </xf>
    <xf numFmtId="165" fontId="9" fillId="0" borderId="0" xfId="1" applyNumberFormat="1" applyFont="1"/>
    <xf numFmtId="0" fontId="8" fillId="3" borderId="27" xfId="1" applyFont="1" applyFill="1" applyBorder="1" applyAlignment="1">
      <alignment horizontal="center" vertical="center" wrapText="1"/>
    </xf>
    <xf numFmtId="0" fontId="8" fillId="12" borderId="27" xfId="1" applyFont="1" applyFill="1" applyBorder="1" applyAlignment="1">
      <alignment horizontal="centerContinuous"/>
    </xf>
    <xf numFmtId="0" fontId="8" fillId="12" borderId="32" xfId="1" applyFont="1" applyFill="1" applyBorder="1" applyAlignment="1">
      <alignment horizontal="centerContinuous"/>
    </xf>
    <xf numFmtId="0" fontId="8" fillId="12" borderId="31" xfId="1" applyFont="1" applyFill="1" applyBorder="1" applyAlignment="1">
      <alignment horizontal="centerContinuous"/>
    </xf>
    <xf numFmtId="0" fontId="8" fillId="12" borderId="33" xfId="1" applyFont="1" applyFill="1" applyBorder="1" applyAlignment="1">
      <alignment horizontal="centerContinuous"/>
    </xf>
    <xf numFmtId="0" fontId="8" fillId="12" borderId="35" xfId="1" applyFont="1" applyFill="1" applyBorder="1" applyAlignment="1">
      <alignment horizontal="centerContinuous"/>
    </xf>
    <xf numFmtId="0" fontId="8" fillId="12" borderId="34" xfId="1" applyFont="1" applyFill="1" applyBorder="1" applyAlignment="1">
      <alignment horizontal="centerContinuous"/>
    </xf>
    <xf numFmtId="0" fontId="17" fillId="0" borderId="0" xfId="0" applyFont="1"/>
    <xf numFmtId="0" fontId="8" fillId="13" borderId="35" xfId="1" applyFont="1" applyFill="1" applyBorder="1" applyAlignment="1">
      <alignment horizontal="center"/>
    </xf>
    <xf numFmtId="0" fontId="8" fillId="13" borderId="36" xfId="1" applyFont="1" applyFill="1" applyBorder="1" applyAlignment="1">
      <alignment horizontal="center"/>
    </xf>
    <xf numFmtId="0" fontId="8" fillId="13" borderId="37" xfId="1" applyFont="1" applyFill="1" applyBorder="1" applyAlignment="1">
      <alignment horizontal="center"/>
    </xf>
    <xf numFmtId="0" fontId="8" fillId="13" borderId="38" xfId="1" applyFont="1" applyFill="1" applyBorder="1" applyAlignment="1">
      <alignment horizontal="center"/>
    </xf>
    <xf numFmtId="0" fontId="9" fillId="0" borderId="0" xfId="1" applyFont="1" applyAlignment="1">
      <alignment horizontal="right"/>
    </xf>
    <xf numFmtId="0" fontId="9" fillId="14" borderId="16" xfId="1" applyFont="1" applyFill="1" applyBorder="1" applyAlignment="1">
      <alignment vertical="center"/>
    </xf>
    <xf numFmtId="0" fontId="9" fillId="14" borderId="39" xfId="1" applyFont="1" applyFill="1" applyBorder="1"/>
    <xf numFmtId="168" fontId="9" fillId="14" borderId="29" xfId="1" applyNumberFormat="1" applyFont="1" applyFill="1" applyBorder="1"/>
    <xf numFmtId="0" fontId="9" fillId="11" borderId="29" xfId="1" applyFont="1" applyFill="1" applyBorder="1"/>
    <xf numFmtId="0" fontId="9" fillId="14" borderId="40" xfId="1" applyNumberFormat="1" applyFont="1" applyFill="1" applyBorder="1"/>
    <xf numFmtId="9" fontId="9" fillId="14" borderId="39" xfId="1" applyNumberFormat="1" applyFont="1" applyFill="1" applyBorder="1"/>
    <xf numFmtId="10" fontId="9" fillId="14" borderId="29" xfId="1" applyNumberFormat="1" applyFont="1" applyFill="1" applyBorder="1"/>
    <xf numFmtId="10" fontId="9" fillId="14" borderId="40" xfId="1" applyNumberFormat="1" applyFont="1" applyFill="1" applyBorder="1"/>
    <xf numFmtId="177" fontId="9" fillId="0" borderId="0" xfId="1" applyNumberFormat="1" applyFont="1"/>
    <xf numFmtId="0" fontId="9" fillId="14" borderId="32" xfId="1" applyFont="1" applyFill="1" applyBorder="1"/>
    <xf numFmtId="0" fontId="9" fillId="14" borderId="36" xfId="1" applyFont="1" applyFill="1" applyBorder="1"/>
    <xf numFmtId="168" fontId="9" fillId="14" borderId="37" xfId="1" applyNumberFormat="1" applyFont="1" applyFill="1" applyBorder="1"/>
    <xf numFmtId="0" fontId="9" fillId="11" borderId="37" xfId="1" applyFont="1" applyFill="1" applyBorder="1"/>
    <xf numFmtId="0" fontId="9" fillId="14" borderId="38" xfId="1" applyFont="1" applyFill="1" applyBorder="1"/>
    <xf numFmtId="9" fontId="9" fillId="14" borderId="36" xfId="1" applyNumberFormat="1" applyFont="1" applyFill="1" applyBorder="1"/>
    <xf numFmtId="10" fontId="9" fillId="14" borderId="37" xfId="1" applyNumberFormat="1" applyFont="1" applyFill="1" applyBorder="1"/>
    <xf numFmtId="10" fontId="9" fillId="14" borderId="38" xfId="1" applyNumberFormat="1" applyFont="1" applyFill="1" applyBorder="1"/>
    <xf numFmtId="0" fontId="9" fillId="14" borderId="16" xfId="1" applyFont="1" applyFill="1" applyBorder="1"/>
    <xf numFmtId="0" fontId="8" fillId="13" borderId="0" xfId="1" applyFont="1" applyFill="1" applyBorder="1" applyAlignment="1">
      <alignment horizontal="center" vertical="center"/>
    </xf>
    <xf numFmtId="0" fontId="17" fillId="0" borderId="33" xfId="0" applyFont="1" applyBorder="1"/>
    <xf numFmtId="0" fontId="9" fillId="0" borderId="1" xfId="1" applyFont="1" applyBorder="1" applyAlignment="1">
      <alignment horizontal="center" vertical="center"/>
    </xf>
    <xf numFmtId="0" fontId="8" fillId="12" borderId="32" xfId="1" applyFont="1" applyFill="1" applyBorder="1" applyAlignment="1">
      <alignment horizontal="center"/>
    </xf>
    <xf numFmtId="0" fontId="8" fillId="12" borderId="33" xfId="1" applyFont="1" applyFill="1" applyBorder="1" applyAlignment="1">
      <alignment horizontal="center"/>
    </xf>
    <xf numFmtId="0" fontId="8" fillId="12" borderId="33" xfId="1" applyFont="1" applyFill="1" applyBorder="1" applyAlignment="1">
      <alignment horizontal="center" vertical="center"/>
    </xf>
    <xf numFmtId="0" fontId="8" fillId="12" borderId="31" xfId="1" applyFont="1" applyFill="1" applyBorder="1" applyAlignment="1">
      <alignment horizontal="center"/>
    </xf>
    <xf numFmtId="0" fontId="8" fillId="12" borderId="27" xfId="1" applyFont="1" applyFill="1" applyBorder="1" applyAlignment="1">
      <alignment horizontal="center"/>
    </xf>
    <xf numFmtId="0" fontId="8" fillId="12" borderId="34" xfId="1" applyFont="1" applyFill="1" applyBorder="1" applyAlignment="1">
      <alignment horizontal="center"/>
    </xf>
    <xf numFmtId="0" fontId="8" fillId="12" borderId="34" xfId="1" applyFont="1" applyFill="1" applyBorder="1" applyAlignment="1">
      <alignment horizontal="center" vertical="center"/>
    </xf>
    <xf numFmtId="0" fontId="8" fillId="12" borderId="26" xfId="1" applyFont="1" applyFill="1" applyBorder="1" applyAlignment="1">
      <alignment horizontal="center" vertical="center"/>
    </xf>
    <xf numFmtId="0" fontId="8" fillId="12" borderId="41" xfId="1" applyFont="1" applyFill="1" applyBorder="1" applyAlignment="1">
      <alignment horizontal="center"/>
    </xf>
    <xf numFmtId="168" fontId="9" fillId="0" borderId="0" xfId="1" applyNumberFormat="1" applyFont="1" applyBorder="1"/>
    <xf numFmtId="165" fontId="9" fillId="0" borderId="0" xfId="1" applyNumberFormat="1" applyFont="1" applyBorder="1"/>
    <xf numFmtId="165" fontId="9" fillId="0" borderId="15" xfId="1" applyNumberFormat="1" applyFont="1" applyBorder="1" applyAlignment="1">
      <alignment horizontal="right"/>
    </xf>
    <xf numFmtId="165" fontId="18" fillId="0" borderId="16" xfId="2" applyNumberFormat="1" applyFont="1" applyBorder="1"/>
    <xf numFmtId="0" fontId="9" fillId="0" borderId="0" xfId="1" applyFont="1" applyAlignment="1"/>
    <xf numFmtId="168" fontId="9" fillId="0" borderId="0" xfId="1" applyNumberFormat="1" applyFont="1" applyBorder="1" applyAlignment="1"/>
    <xf numFmtId="165" fontId="9" fillId="0" borderId="0" xfId="2" quotePrefix="1" applyNumberFormat="1" applyFont="1" applyBorder="1" applyAlignment="1"/>
    <xf numFmtId="165" fontId="9" fillId="0" borderId="13" xfId="2" quotePrefix="1" applyNumberFormat="1" applyFont="1" applyBorder="1" applyAlignment="1"/>
    <xf numFmtId="165" fontId="9" fillId="0" borderId="15" xfId="2" quotePrefix="1" applyNumberFormat="1" applyFont="1" applyBorder="1" applyAlignment="1"/>
    <xf numFmtId="165" fontId="9" fillId="0" borderId="12" xfId="2" quotePrefix="1" applyNumberFormat="1" applyFont="1" applyBorder="1" applyAlignment="1"/>
    <xf numFmtId="0" fontId="9" fillId="0" borderId="41" xfId="1" applyFont="1" applyBorder="1" applyAlignment="1">
      <alignment horizontal="center"/>
    </xf>
    <xf numFmtId="0" fontId="9" fillId="0" borderId="34" xfId="1" applyFont="1" applyBorder="1"/>
    <xf numFmtId="0" fontId="9" fillId="0" borderId="33" xfId="1" applyFont="1" applyBorder="1" applyAlignment="1">
      <alignment horizontal="right"/>
    </xf>
    <xf numFmtId="0" fontId="17" fillId="0" borderId="16" xfId="0" applyFont="1" applyBorder="1"/>
    <xf numFmtId="165" fontId="9" fillId="0" borderId="0" xfId="2" applyNumberFormat="1" applyFont="1"/>
    <xf numFmtId="0" fontId="17" fillId="14" borderId="0" xfId="0" applyFont="1" applyFill="1"/>
    <xf numFmtId="168" fontId="9" fillId="0" borderId="34" xfId="1" applyNumberFormat="1" applyFont="1" applyBorder="1"/>
    <xf numFmtId="10" fontId="9" fillId="0" borderId="34" xfId="1" applyNumberFormat="1" applyFont="1" applyBorder="1"/>
    <xf numFmtId="165" fontId="9" fillId="0" borderId="34" xfId="2" quotePrefix="1" applyNumberFormat="1" applyFont="1" applyBorder="1" applyAlignment="1"/>
    <xf numFmtId="165" fontId="9" fillId="0" borderId="34" xfId="1" applyNumberFormat="1" applyFont="1" applyBorder="1"/>
    <xf numFmtId="0" fontId="9" fillId="0" borderId="34" xfId="1" applyFont="1" applyBorder="1" applyAlignment="1">
      <alignment horizontal="right"/>
    </xf>
    <xf numFmtId="0" fontId="8" fillId="12" borderId="33" xfId="1" applyFont="1" applyFill="1" applyBorder="1" applyAlignment="1">
      <alignment horizontal="right"/>
    </xf>
    <xf numFmtId="10" fontId="9" fillId="0" borderId="0" xfId="1" applyNumberFormat="1" applyFont="1" applyBorder="1"/>
    <xf numFmtId="168" fontId="9" fillId="0" borderId="13" xfId="1" applyNumberFormat="1" applyFont="1" applyBorder="1"/>
    <xf numFmtId="10" fontId="9" fillId="0" borderId="13" xfId="1" applyNumberFormat="1" applyFont="1" applyBorder="1"/>
    <xf numFmtId="165" fontId="9" fillId="0" borderId="13" xfId="1" applyNumberFormat="1" applyFont="1" applyBorder="1"/>
    <xf numFmtId="0" fontId="9" fillId="0" borderId="0" xfId="1" applyFont="1" applyBorder="1" applyAlignment="1">
      <alignment horizontal="right" vertical="center"/>
    </xf>
    <xf numFmtId="168" fontId="9" fillId="0" borderId="13" xfId="1" applyNumberFormat="1" applyFont="1" applyBorder="1" applyAlignment="1"/>
    <xf numFmtId="166" fontId="9" fillId="2" borderId="1" xfId="1" applyNumberFormat="1" applyFont="1" applyFill="1" applyBorder="1" applyAlignment="1">
      <alignment horizontal="right"/>
    </xf>
    <xf numFmtId="0" fontId="9" fillId="11" borderId="1" xfId="1" applyFont="1" applyFill="1" applyBorder="1" applyAlignment="1">
      <alignment horizontal="center"/>
    </xf>
    <xf numFmtId="0" fontId="9" fillId="11" borderId="3" xfId="1" applyFont="1" applyFill="1" applyBorder="1" applyAlignment="1">
      <alignment horizontal="center"/>
    </xf>
    <xf numFmtId="0" fontId="9" fillId="0" borderId="33" xfId="1" applyFont="1" applyBorder="1" applyAlignment="1">
      <alignment horizontal="center"/>
    </xf>
    <xf numFmtId="0" fontId="12" fillId="2" borderId="30" xfId="1" applyFont="1" applyFill="1" applyBorder="1" applyAlignment="1">
      <alignment horizontal="center" vertical="center"/>
    </xf>
    <xf numFmtId="0" fontId="9" fillId="2" borderId="31" xfId="1" applyFont="1" applyFill="1" applyBorder="1"/>
    <xf numFmtId="0" fontId="9" fillId="2" borderId="30" xfId="1" applyFont="1" applyFill="1" applyBorder="1" applyAlignment="1">
      <alignment horizontal="center"/>
    </xf>
    <xf numFmtId="0" fontId="8" fillId="2" borderId="8" xfId="1" applyFont="1" applyFill="1" applyBorder="1" applyAlignment="1">
      <alignment horizontal="center" vertical="center" wrapText="1"/>
    </xf>
    <xf numFmtId="0" fontId="9" fillId="2" borderId="7" xfId="1" applyFont="1" applyFill="1" applyBorder="1" applyAlignment="1">
      <alignment horizontal="center" vertical="center" wrapText="1"/>
    </xf>
    <xf numFmtId="0" fontId="8" fillId="2" borderId="30" xfId="1" applyFont="1" applyFill="1" applyBorder="1" applyAlignment="1">
      <alignment horizontal="center" vertical="center" wrapText="1"/>
    </xf>
    <xf numFmtId="0" fontId="9" fillId="4" borderId="30" xfId="1" applyNumberFormat="1" applyFont="1" applyFill="1" applyBorder="1" applyAlignment="1" applyProtection="1">
      <alignment horizontal="center" vertical="center"/>
    </xf>
    <xf numFmtId="0" fontId="10" fillId="4" borderId="7" xfId="1" applyNumberFormat="1" applyFont="1" applyFill="1" applyBorder="1" applyAlignment="1" applyProtection="1">
      <alignment vertical="center"/>
    </xf>
    <xf numFmtId="0" fontId="9" fillId="2" borderId="9" xfId="1" applyNumberFormat="1" applyFont="1" applyFill="1" applyBorder="1" applyAlignment="1">
      <alignment horizontal="left"/>
    </xf>
    <xf numFmtId="0" fontId="9" fillId="2" borderId="11" xfId="1" applyNumberFormat="1" applyFont="1" applyFill="1" applyBorder="1" applyAlignment="1">
      <alignment horizontal="right"/>
    </xf>
    <xf numFmtId="0" fontId="9" fillId="2" borderId="10" xfId="1" applyNumberFormat="1" applyFont="1" applyFill="1" applyBorder="1" applyAlignment="1">
      <alignment horizontal="left"/>
    </xf>
    <xf numFmtId="0" fontId="10" fillId="4" borderId="9" xfId="1" applyNumberFormat="1" applyFont="1" applyFill="1" applyBorder="1" applyAlignment="1" applyProtection="1"/>
    <xf numFmtId="0" fontId="8" fillId="12" borderId="35" xfId="1" applyFont="1" applyFill="1" applyBorder="1" applyAlignment="1">
      <alignment horizontal="center"/>
    </xf>
    <xf numFmtId="0" fontId="9" fillId="0" borderId="42" xfId="1" applyFont="1" applyBorder="1"/>
    <xf numFmtId="0" fontId="9" fillId="0" borderId="43" xfId="1" applyFont="1" applyBorder="1"/>
    <xf numFmtId="0" fontId="9" fillId="0" borderId="20" xfId="1" applyFont="1" applyBorder="1"/>
    <xf numFmtId="0" fontId="9" fillId="0" borderId="19" xfId="1" applyFont="1" applyBorder="1"/>
    <xf numFmtId="0" fontId="9" fillId="0" borderId="17" xfId="1" applyFont="1" applyBorder="1"/>
    <xf numFmtId="0" fontId="3" fillId="10" borderId="0" xfId="3" applyFont="1" applyFill="1"/>
    <xf numFmtId="0" fontId="3" fillId="2" borderId="16" xfId="3" applyFont="1" applyFill="1" applyBorder="1"/>
    <xf numFmtId="0" fontId="20" fillId="2" borderId="0" xfId="3" applyFont="1" applyFill="1" applyBorder="1"/>
    <xf numFmtId="0" fontId="3" fillId="2" borderId="0" xfId="3" applyFont="1" applyFill="1" applyBorder="1"/>
    <xf numFmtId="0" fontId="3" fillId="2" borderId="15" xfId="3" applyFont="1" applyFill="1" applyBorder="1"/>
    <xf numFmtId="0" fontId="3" fillId="5" borderId="30" xfId="3" applyFont="1" applyFill="1" applyBorder="1"/>
    <xf numFmtId="0" fontId="3" fillId="2" borderId="7" xfId="3" applyFont="1" applyFill="1" applyBorder="1" applyAlignment="1">
      <alignment horizontal="center"/>
    </xf>
    <xf numFmtId="0" fontId="3" fillId="11" borderId="32" xfId="3" applyFont="1" applyFill="1" applyBorder="1"/>
    <xf numFmtId="0" fontId="3" fillId="11" borderId="31" xfId="3" applyFont="1" applyFill="1" applyBorder="1"/>
    <xf numFmtId="0" fontId="3" fillId="5" borderId="29" xfId="3" applyFont="1" applyFill="1" applyBorder="1"/>
    <xf numFmtId="0" fontId="3" fillId="2" borderId="2" xfId="1" applyFont="1" applyFill="1" applyBorder="1" applyAlignment="1">
      <alignment horizontal="center"/>
    </xf>
    <xf numFmtId="0" fontId="3" fillId="11" borderId="16" xfId="3" applyFont="1" applyFill="1" applyBorder="1"/>
    <xf numFmtId="0" fontId="3" fillId="11" borderId="15" xfId="3" applyFont="1" applyFill="1" applyBorder="1"/>
    <xf numFmtId="0" fontId="3" fillId="11" borderId="14" xfId="3" applyFont="1" applyFill="1" applyBorder="1"/>
    <xf numFmtId="0" fontId="3" fillId="11" borderId="12" xfId="3" applyFont="1" applyFill="1" applyBorder="1"/>
    <xf numFmtId="0" fontId="3" fillId="5" borderId="29" xfId="1" applyFont="1" applyFill="1" applyBorder="1"/>
    <xf numFmtId="171" fontId="3" fillId="2" borderId="2" xfId="1" applyNumberFormat="1" applyFont="1" applyFill="1" applyBorder="1" applyAlignment="1">
      <alignment horizontal="center"/>
    </xf>
    <xf numFmtId="0" fontId="3" fillId="5" borderId="28" xfId="1" applyFont="1" applyFill="1" applyBorder="1"/>
    <xf numFmtId="0" fontId="3" fillId="2" borderId="6" xfId="1" applyFont="1" applyFill="1" applyBorder="1" applyAlignment="1">
      <alignment horizontal="center"/>
    </xf>
    <xf numFmtId="169" fontId="3" fillId="2" borderId="0" xfId="3" applyNumberFormat="1" applyFont="1" applyFill="1" applyBorder="1" applyAlignment="1">
      <alignment horizontal="center"/>
    </xf>
    <xf numFmtId="0" fontId="20" fillId="5" borderId="30" xfId="1" applyFont="1" applyFill="1" applyBorder="1" applyAlignment="1">
      <alignment horizontal="right"/>
    </xf>
    <xf numFmtId="170" fontId="3" fillId="4" borderId="7" xfId="1" quotePrefix="1" applyNumberFormat="1" applyFont="1" applyFill="1" applyBorder="1" applyAlignment="1">
      <alignment horizontal="center"/>
    </xf>
    <xf numFmtId="0" fontId="20" fillId="5" borderId="28" xfId="1" applyFont="1" applyFill="1" applyBorder="1" applyAlignment="1">
      <alignment horizontal="right"/>
    </xf>
    <xf numFmtId="1" fontId="21" fillId="4" borderId="6" xfId="1" applyNumberFormat="1" applyFont="1" applyFill="1" applyBorder="1" applyAlignment="1">
      <alignment horizontal="left"/>
    </xf>
    <xf numFmtId="170" fontId="3" fillId="6" borderId="7" xfId="1" applyNumberFormat="1" applyFont="1" applyFill="1" applyBorder="1" applyAlignment="1">
      <alignment horizontal="center"/>
    </xf>
    <xf numFmtId="0" fontId="20" fillId="5" borderId="29" xfId="1" applyFont="1" applyFill="1" applyBorder="1" applyAlignment="1">
      <alignment horizontal="right"/>
    </xf>
    <xf numFmtId="3" fontId="3" fillId="6" borderId="2" xfId="1" applyNumberFormat="1" applyFont="1" applyFill="1" applyBorder="1" applyAlignment="1">
      <alignment horizontal="center"/>
    </xf>
    <xf numFmtId="0" fontId="3" fillId="2" borderId="2" xfId="3" applyFont="1" applyFill="1" applyBorder="1" applyAlignment="1">
      <alignment horizontal="center"/>
    </xf>
    <xf numFmtId="11" fontId="3" fillId="6" borderId="5" xfId="1" applyNumberFormat="1" applyFont="1" applyFill="1" applyBorder="1" applyAlignment="1">
      <alignment horizontal="center"/>
    </xf>
    <xf numFmtId="164" fontId="3" fillId="6" borderId="5" xfId="1" applyNumberFormat="1" applyFont="1" applyFill="1" applyBorder="1" applyAlignment="1">
      <alignment horizontal="center"/>
    </xf>
    <xf numFmtId="164" fontId="3" fillId="2" borderId="2" xfId="3" applyNumberFormat="1" applyFont="1" applyFill="1" applyBorder="1" applyAlignment="1">
      <alignment horizontal="center"/>
    </xf>
    <xf numFmtId="165" fontId="3" fillId="6" borderId="5" xfId="1" applyNumberFormat="1" applyFont="1" applyFill="1" applyBorder="1" applyAlignment="1">
      <alignment horizontal="center"/>
    </xf>
    <xf numFmtId="165" fontId="3" fillId="2" borderId="6" xfId="3" applyNumberFormat="1" applyFont="1" applyFill="1" applyBorder="1" applyAlignment="1">
      <alignment horizontal="center"/>
    </xf>
    <xf numFmtId="11" fontId="3" fillId="6" borderId="2" xfId="1" applyNumberFormat="1" applyFont="1" applyFill="1" applyBorder="1" applyAlignment="1">
      <alignment horizontal="center"/>
    </xf>
    <xf numFmtId="0" fontId="3" fillId="6" borderId="2" xfId="1" applyFont="1" applyFill="1" applyBorder="1" applyAlignment="1">
      <alignment horizontal="center"/>
    </xf>
    <xf numFmtId="0" fontId="3" fillId="6" borderId="6" xfId="1" applyFont="1" applyFill="1" applyBorder="1" applyAlignment="1">
      <alignment horizontal="center"/>
    </xf>
    <xf numFmtId="164" fontId="3" fillId="2" borderId="30" xfId="1" applyNumberFormat="1" applyFont="1" applyFill="1" applyBorder="1" applyAlignment="1">
      <alignment horizontal="right"/>
    </xf>
    <xf numFmtId="167" fontId="3" fillId="2" borderId="7" xfId="1" applyNumberFormat="1" applyFont="1" applyFill="1" applyBorder="1" applyAlignment="1">
      <alignment horizontal="center"/>
    </xf>
    <xf numFmtId="164" fontId="3" fillId="2" borderId="29" xfId="1" applyNumberFormat="1" applyFont="1" applyFill="1" applyBorder="1" applyAlignment="1">
      <alignment horizontal="right"/>
    </xf>
    <xf numFmtId="168" fontId="3" fillId="2" borderId="29" xfId="1" applyNumberFormat="1" applyFont="1" applyFill="1" applyBorder="1" applyAlignment="1">
      <alignment horizontal="right"/>
    </xf>
    <xf numFmtId="0" fontId="3" fillId="2" borderId="29" xfId="1" applyFont="1" applyFill="1" applyBorder="1" applyAlignment="1">
      <alignment horizontal="left"/>
    </xf>
    <xf numFmtId="168" fontId="3" fillId="2" borderId="5" xfId="1" applyNumberFormat="1" applyFont="1" applyFill="1" applyBorder="1" applyAlignment="1">
      <alignment horizontal="right"/>
    </xf>
    <xf numFmtId="0" fontId="3" fillId="2" borderId="29" xfId="1" applyFont="1" applyFill="1" applyBorder="1" applyAlignment="1">
      <alignment horizontal="center"/>
    </xf>
    <xf numFmtId="168" fontId="3" fillId="2" borderId="4" xfId="1" applyNumberFormat="1" applyFont="1" applyFill="1" applyBorder="1" applyAlignment="1">
      <alignment horizontal="right"/>
    </xf>
    <xf numFmtId="0" fontId="3" fillId="2" borderId="28" xfId="1" applyFont="1" applyFill="1" applyBorder="1" applyAlignment="1">
      <alignment horizontal="center"/>
    </xf>
    <xf numFmtId="0" fontId="3" fillId="2" borderId="14" xfId="3" applyFont="1" applyFill="1" applyBorder="1"/>
    <xf numFmtId="0" fontId="3" fillId="2" borderId="13" xfId="3" applyFont="1" applyFill="1" applyBorder="1"/>
    <xf numFmtId="0" fontId="3" fillId="2" borderId="12" xfId="3" applyFont="1" applyFill="1" applyBorder="1"/>
    <xf numFmtId="0" fontId="3" fillId="2" borderId="16" xfId="1" applyFont="1" applyFill="1" applyBorder="1"/>
    <xf numFmtId="0" fontId="3" fillId="2" borderId="0" xfId="1" applyFont="1" applyFill="1" applyBorder="1"/>
    <xf numFmtId="0" fontId="3" fillId="2" borderId="15" xfId="1" applyFont="1" applyFill="1" applyBorder="1"/>
    <xf numFmtId="0" fontId="3" fillId="5" borderId="9" xfId="1" applyNumberFormat="1" applyFont="1" applyFill="1" applyBorder="1"/>
    <xf numFmtId="171" fontId="3" fillId="4" borderId="10" xfId="1" applyNumberFormat="1" applyFont="1" applyFill="1" applyBorder="1" applyAlignment="1" applyProtection="1">
      <alignment horizontal="center"/>
    </xf>
    <xf numFmtId="15" fontId="3" fillId="2" borderId="15" xfId="1" applyNumberFormat="1" applyFont="1" applyFill="1" applyBorder="1"/>
    <xf numFmtId="171" fontId="3" fillId="4" borderId="10" xfId="1" quotePrefix="1" applyNumberFormat="1" applyFont="1" applyFill="1" applyBorder="1" applyAlignment="1" applyProtection="1">
      <alignment horizontal="left"/>
    </xf>
    <xf numFmtId="171" fontId="3" fillId="4" borderId="10" xfId="1" quotePrefix="1" applyNumberFormat="1" applyFont="1" applyFill="1" applyBorder="1" applyAlignment="1" applyProtection="1">
      <alignment horizontal="center"/>
    </xf>
    <xf numFmtId="0" fontId="3" fillId="2" borderId="14" xfId="1" applyFont="1" applyFill="1" applyBorder="1"/>
    <xf numFmtId="0" fontId="3" fillId="2" borderId="13" xfId="1" applyFont="1" applyFill="1" applyBorder="1"/>
    <xf numFmtId="0" fontId="3" fillId="2" borderId="12" xfId="1" applyFont="1" applyFill="1" applyBorder="1"/>
    <xf numFmtId="0" fontId="3" fillId="5" borderId="9" xfId="1" applyFont="1" applyFill="1" applyBorder="1"/>
    <xf numFmtId="178" fontId="9" fillId="0" borderId="0" xfId="1" applyNumberFormat="1" applyFont="1"/>
    <xf numFmtId="0" fontId="9" fillId="11" borderId="9" xfId="1" applyFont="1" applyFill="1" applyBorder="1" applyAlignment="1">
      <alignment horizontal="center"/>
    </xf>
    <xf numFmtId="0" fontId="9" fillId="11" borderId="9" xfId="1" applyNumberFormat="1" applyFont="1" applyFill="1" applyBorder="1" applyAlignment="1">
      <alignment horizontal="center"/>
    </xf>
    <xf numFmtId="0" fontId="9" fillId="2" borderId="15" xfId="1" applyFont="1" applyFill="1" applyBorder="1" applyAlignment="1">
      <alignment horizontal="left"/>
    </xf>
    <xf numFmtId="0" fontId="9" fillId="2" borderId="8" xfId="1" applyFont="1" applyFill="1" applyBorder="1" applyAlignment="1">
      <alignment horizontal="left"/>
    </xf>
    <xf numFmtId="0" fontId="9" fillId="2" borderId="5" xfId="1" applyFont="1" applyFill="1" applyBorder="1" applyAlignment="1">
      <alignment horizontal="left"/>
    </xf>
    <xf numFmtId="0" fontId="9" fillId="2" borderId="4" xfId="1" applyFont="1" applyFill="1" applyBorder="1" applyAlignment="1">
      <alignment horizontal="left"/>
    </xf>
    <xf numFmtId="0" fontId="9" fillId="0" borderId="44" xfId="1" applyFont="1" applyBorder="1"/>
    <xf numFmtId="0" fontId="9" fillId="0" borderId="45" xfId="1" applyFont="1" applyBorder="1"/>
    <xf numFmtId="0" fontId="9" fillId="0" borderId="35" xfId="1" applyFont="1" applyBorder="1"/>
    <xf numFmtId="0" fontId="9" fillId="0" borderId="33" xfId="1" applyFont="1" applyBorder="1" applyAlignment="1">
      <alignment horizontal="right" vertical="center"/>
    </xf>
    <xf numFmtId="168" fontId="9" fillId="0" borderId="33" xfId="1" applyNumberFormat="1" applyFont="1" applyBorder="1"/>
    <xf numFmtId="165" fontId="9" fillId="0" borderId="33" xfId="1" applyNumberFormat="1" applyFont="1" applyBorder="1"/>
    <xf numFmtId="0" fontId="9" fillId="0" borderId="13" xfId="1" applyFont="1" applyBorder="1" applyAlignment="1">
      <alignment horizontal="right" vertical="center"/>
    </xf>
    <xf numFmtId="165" fontId="9" fillId="0" borderId="12" xfId="1" applyNumberFormat="1" applyFont="1" applyBorder="1" applyAlignment="1">
      <alignment horizontal="right"/>
    </xf>
    <xf numFmtId="0" fontId="9" fillId="15" borderId="9" xfId="1" applyNumberFormat="1" applyFont="1" applyFill="1" applyBorder="1" applyAlignment="1">
      <alignment horizontal="center"/>
    </xf>
    <xf numFmtId="0" fontId="9" fillId="15" borderId="9" xfId="1" applyFont="1" applyFill="1" applyBorder="1" applyAlignment="1">
      <alignment horizontal="center"/>
    </xf>
    <xf numFmtId="165" fontId="9" fillId="15" borderId="9" xfId="1" applyNumberFormat="1" applyFont="1" applyFill="1" applyBorder="1" applyAlignment="1"/>
    <xf numFmtId="0" fontId="9" fillId="15" borderId="9" xfId="1" applyFont="1" applyFill="1" applyBorder="1" applyAlignment="1"/>
    <xf numFmtId="0" fontId="9" fillId="15" borderId="28" xfId="1" applyFont="1" applyFill="1" applyBorder="1" applyAlignment="1">
      <alignment horizontal="center"/>
    </xf>
    <xf numFmtId="165" fontId="9" fillId="0" borderId="15" xfId="1" applyNumberFormat="1" applyFont="1" applyFill="1" applyBorder="1" applyAlignment="1">
      <alignment horizontal="right"/>
    </xf>
    <xf numFmtId="165" fontId="9" fillId="0" borderId="31" xfId="1" applyNumberFormat="1" applyFont="1" applyFill="1" applyBorder="1" applyAlignment="1">
      <alignment horizontal="right"/>
    </xf>
    <xf numFmtId="0" fontId="19" fillId="7" borderId="27" xfId="3" applyFont="1" applyFill="1" applyBorder="1" applyAlignment="1">
      <alignment horizontal="center"/>
    </xf>
    <xf numFmtId="0" fontId="19" fillId="7" borderId="34" xfId="3" applyFont="1" applyFill="1" applyBorder="1" applyAlignment="1">
      <alignment horizontal="center"/>
    </xf>
    <xf numFmtId="0" fontId="19" fillId="0" borderId="26" xfId="1" applyFont="1" applyBorder="1" applyAlignment="1"/>
    <xf numFmtId="0" fontId="19" fillId="7" borderId="26" xfId="3" applyFont="1" applyFill="1" applyBorder="1" applyAlignment="1">
      <alignment horizontal="center"/>
    </xf>
    <xf numFmtId="0" fontId="8" fillId="3" borderId="27"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9" fillId="0" borderId="41" xfId="1" applyFont="1" applyBorder="1" applyAlignment="1">
      <alignment horizontal="center"/>
    </xf>
    <xf numFmtId="0" fontId="8" fillId="12" borderId="35" xfId="1" applyFont="1" applyFill="1" applyBorder="1" applyAlignment="1">
      <alignment horizontal="center" wrapText="1"/>
    </xf>
  </cellXfs>
  <cellStyles count="46">
    <cellStyle name="Comma 2" xfId="45"/>
    <cellStyle name="Euro" xfId="14"/>
    <cellStyle name="Euro 2" xfId="30"/>
    <cellStyle name="Migliaia (0)_AZIONI" xfId="4"/>
    <cellStyle name="Migliaia_AZIONI" xfId="5"/>
    <cellStyle name="Normal" xfId="0" builtinId="0"/>
    <cellStyle name="Normal 2" xfId="1"/>
    <cellStyle name="Normal 2 2" xfId="10"/>
    <cellStyle name="Normal 2 2 2" xfId="32"/>
    <cellStyle name="Normal 3" xfId="11"/>
    <cellStyle name="Normal 3 2" xfId="20"/>
    <cellStyle name="Normal 3 2 2" xfId="36"/>
    <cellStyle name="Normal 3 2 2 2" xfId="39"/>
    <cellStyle name="Normal 3 2 3" xfId="37"/>
    <cellStyle name="Normal 3 2 4" xfId="27"/>
    <cellStyle name="Normal 3 3" xfId="33"/>
    <cellStyle name="Normal 3 4" xfId="38"/>
    <cellStyle name="Normal 3 5" xfId="24"/>
    <cellStyle name="Normal 3 6" xfId="15"/>
    <cellStyle name="Normal 4" xfId="17"/>
    <cellStyle name="Normal 5" xfId="23"/>
    <cellStyle name="Normal 6" xfId="29"/>
    <cellStyle name="Normal 6 2" xfId="41"/>
    <cellStyle name="Normal 7" xfId="22"/>
    <cellStyle name="Normal 8" xfId="42"/>
    <cellStyle name="Normal_SwaptionATMVols" xfId="3"/>
    <cellStyle name="Normale_AZIONI" xfId="6"/>
    <cellStyle name="Percent 2" xfId="2"/>
    <cellStyle name="Percent 2 2" xfId="35"/>
    <cellStyle name="Percent 2 2 2" xfId="40"/>
    <cellStyle name="Percent 2 2 3" xfId="44"/>
    <cellStyle name="Percent 2 3" xfId="25"/>
    <cellStyle name="Percent 3" xfId="12"/>
    <cellStyle name="Percent 3 2" xfId="21"/>
    <cellStyle name="Percent 3 2 2" xfId="28"/>
    <cellStyle name="Percent 3 3" xfId="34"/>
    <cellStyle name="Percent 3 4" xfId="16"/>
    <cellStyle name="Percent 4" xfId="13"/>
    <cellStyle name="Percent 4 2" xfId="18"/>
    <cellStyle name="Percent 5" xfId="19"/>
    <cellStyle name="Percent 5 2" xfId="26"/>
    <cellStyle name="Percent 6" xfId="31"/>
    <cellStyle name="Percent 7" xfId="4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41919</c:v>
                </c:pt>
                <c:pt idx="1">
                  <c:v>41920</c:v>
                </c:pt>
                <c:pt idx="2">
                  <c:v>41921</c:v>
                </c:pt>
                <c:pt idx="3">
                  <c:v>41922</c:v>
                </c:pt>
                <c:pt idx="4">
                  <c:v>41925</c:v>
                </c:pt>
                <c:pt idx="5">
                  <c:v>41926</c:v>
                </c:pt>
                <c:pt idx="6">
                  <c:v>41927</c:v>
                </c:pt>
                <c:pt idx="7">
                  <c:v>41928</c:v>
                </c:pt>
                <c:pt idx="8">
                  <c:v>41929</c:v>
                </c:pt>
                <c:pt idx="9">
                  <c:v>41932</c:v>
                </c:pt>
                <c:pt idx="10">
                  <c:v>41933</c:v>
                </c:pt>
                <c:pt idx="11">
                  <c:v>41934</c:v>
                </c:pt>
                <c:pt idx="12">
                  <c:v>41935</c:v>
                </c:pt>
                <c:pt idx="13">
                  <c:v>41936</c:v>
                </c:pt>
                <c:pt idx="14">
                  <c:v>41939</c:v>
                </c:pt>
                <c:pt idx="15">
                  <c:v>41940</c:v>
                </c:pt>
                <c:pt idx="16">
                  <c:v>41941</c:v>
                </c:pt>
                <c:pt idx="17">
                  <c:v>41942</c:v>
                </c:pt>
                <c:pt idx="18">
                  <c:v>41943</c:v>
                </c:pt>
                <c:pt idx="19">
                  <c:v>41946</c:v>
                </c:pt>
                <c:pt idx="20">
                  <c:v>41947</c:v>
                </c:pt>
                <c:pt idx="21">
                  <c:v>41948</c:v>
                </c:pt>
                <c:pt idx="22">
                  <c:v>41949</c:v>
                </c:pt>
                <c:pt idx="23">
                  <c:v>41950</c:v>
                </c:pt>
                <c:pt idx="24">
                  <c:v>41953</c:v>
                </c:pt>
                <c:pt idx="25">
                  <c:v>41954</c:v>
                </c:pt>
                <c:pt idx="26">
                  <c:v>41955</c:v>
                </c:pt>
                <c:pt idx="27">
                  <c:v>41956</c:v>
                </c:pt>
                <c:pt idx="28">
                  <c:v>41957</c:v>
                </c:pt>
                <c:pt idx="29">
                  <c:v>41960</c:v>
                </c:pt>
                <c:pt idx="30">
                  <c:v>41961</c:v>
                </c:pt>
                <c:pt idx="31">
                  <c:v>41962</c:v>
                </c:pt>
                <c:pt idx="32">
                  <c:v>41963</c:v>
                </c:pt>
                <c:pt idx="33">
                  <c:v>41964</c:v>
                </c:pt>
                <c:pt idx="34">
                  <c:v>41967</c:v>
                </c:pt>
                <c:pt idx="35">
                  <c:v>41968</c:v>
                </c:pt>
                <c:pt idx="36">
                  <c:v>41969</c:v>
                </c:pt>
                <c:pt idx="37">
                  <c:v>41970</c:v>
                </c:pt>
                <c:pt idx="38">
                  <c:v>41971</c:v>
                </c:pt>
                <c:pt idx="39">
                  <c:v>41974</c:v>
                </c:pt>
                <c:pt idx="40">
                  <c:v>41975</c:v>
                </c:pt>
                <c:pt idx="41">
                  <c:v>41976</c:v>
                </c:pt>
                <c:pt idx="42">
                  <c:v>41977</c:v>
                </c:pt>
                <c:pt idx="43">
                  <c:v>41978</c:v>
                </c:pt>
                <c:pt idx="44">
                  <c:v>41981</c:v>
                </c:pt>
                <c:pt idx="45">
                  <c:v>41982</c:v>
                </c:pt>
                <c:pt idx="46">
                  <c:v>41983</c:v>
                </c:pt>
                <c:pt idx="47">
                  <c:v>41984</c:v>
                </c:pt>
                <c:pt idx="48">
                  <c:v>41985</c:v>
                </c:pt>
                <c:pt idx="49">
                  <c:v>41988</c:v>
                </c:pt>
                <c:pt idx="50">
                  <c:v>41989</c:v>
                </c:pt>
                <c:pt idx="51">
                  <c:v>41990</c:v>
                </c:pt>
                <c:pt idx="52">
                  <c:v>41991</c:v>
                </c:pt>
                <c:pt idx="53">
                  <c:v>41992</c:v>
                </c:pt>
                <c:pt idx="54">
                  <c:v>41995</c:v>
                </c:pt>
                <c:pt idx="55">
                  <c:v>41996</c:v>
                </c:pt>
                <c:pt idx="56">
                  <c:v>41997</c:v>
                </c:pt>
                <c:pt idx="57">
                  <c:v>42002</c:v>
                </c:pt>
                <c:pt idx="58">
                  <c:v>42003</c:v>
                </c:pt>
                <c:pt idx="59">
                  <c:v>42004</c:v>
                </c:pt>
                <c:pt idx="60">
                  <c:v>42006</c:v>
                </c:pt>
                <c:pt idx="61">
                  <c:v>42009</c:v>
                </c:pt>
                <c:pt idx="62">
                  <c:v>42010</c:v>
                </c:pt>
                <c:pt idx="63">
                  <c:v>42011</c:v>
                </c:pt>
                <c:pt idx="64">
                  <c:v>42012</c:v>
                </c:pt>
                <c:pt idx="65">
                  <c:v>42013</c:v>
                </c:pt>
                <c:pt idx="66">
                  <c:v>42016</c:v>
                </c:pt>
                <c:pt idx="67">
                  <c:v>42017</c:v>
                </c:pt>
                <c:pt idx="68">
                  <c:v>42018</c:v>
                </c:pt>
                <c:pt idx="69">
                  <c:v>42019</c:v>
                </c:pt>
                <c:pt idx="70">
                  <c:v>42020</c:v>
                </c:pt>
                <c:pt idx="71">
                  <c:v>42023</c:v>
                </c:pt>
                <c:pt idx="72">
                  <c:v>42024</c:v>
                </c:pt>
                <c:pt idx="73">
                  <c:v>42025</c:v>
                </c:pt>
                <c:pt idx="74">
                  <c:v>42026</c:v>
                </c:pt>
                <c:pt idx="75">
                  <c:v>42027</c:v>
                </c:pt>
                <c:pt idx="76">
                  <c:v>42030</c:v>
                </c:pt>
                <c:pt idx="77">
                  <c:v>42031</c:v>
                </c:pt>
                <c:pt idx="78">
                  <c:v>42032</c:v>
                </c:pt>
                <c:pt idx="79">
                  <c:v>42033</c:v>
                </c:pt>
                <c:pt idx="80">
                  <c:v>42034</c:v>
                </c:pt>
                <c:pt idx="81">
                  <c:v>42037</c:v>
                </c:pt>
                <c:pt idx="82">
                  <c:v>42038</c:v>
                </c:pt>
                <c:pt idx="83">
                  <c:v>42039</c:v>
                </c:pt>
                <c:pt idx="84">
                  <c:v>42040</c:v>
                </c:pt>
                <c:pt idx="85">
                  <c:v>42041</c:v>
                </c:pt>
                <c:pt idx="86">
                  <c:v>42044</c:v>
                </c:pt>
                <c:pt idx="87">
                  <c:v>42045</c:v>
                </c:pt>
                <c:pt idx="88">
                  <c:v>42046</c:v>
                </c:pt>
                <c:pt idx="89">
                  <c:v>42047</c:v>
                </c:pt>
                <c:pt idx="90">
                  <c:v>42048</c:v>
                </c:pt>
                <c:pt idx="91">
                  <c:v>42051</c:v>
                </c:pt>
                <c:pt idx="92">
                  <c:v>42052</c:v>
                </c:pt>
                <c:pt idx="93">
                  <c:v>42053</c:v>
                </c:pt>
                <c:pt idx="94">
                  <c:v>42054</c:v>
                </c:pt>
                <c:pt idx="95">
                  <c:v>42055</c:v>
                </c:pt>
                <c:pt idx="96">
                  <c:v>42058</c:v>
                </c:pt>
                <c:pt idx="97">
                  <c:v>42059</c:v>
                </c:pt>
                <c:pt idx="98">
                  <c:v>42060</c:v>
                </c:pt>
                <c:pt idx="99">
                  <c:v>42061</c:v>
                </c:pt>
                <c:pt idx="100">
                  <c:v>42062</c:v>
                </c:pt>
                <c:pt idx="101">
                  <c:v>42065</c:v>
                </c:pt>
                <c:pt idx="102">
                  <c:v>42066</c:v>
                </c:pt>
                <c:pt idx="103">
                  <c:v>42067</c:v>
                </c:pt>
                <c:pt idx="104">
                  <c:v>42068</c:v>
                </c:pt>
                <c:pt idx="105">
                  <c:v>42069</c:v>
                </c:pt>
                <c:pt idx="106">
                  <c:v>42072</c:v>
                </c:pt>
                <c:pt idx="107">
                  <c:v>42073</c:v>
                </c:pt>
                <c:pt idx="108">
                  <c:v>42074</c:v>
                </c:pt>
                <c:pt idx="109">
                  <c:v>42075</c:v>
                </c:pt>
                <c:pt idx="110">
                  <c:v>42076</c:v>
                </c:pt>
                <c:pt idx="111">
                  <c:v>42079</c:v>
                </c:pt>
                <c:pt idx="112">
                  <c:v>42080</c:v>
                </c:pt>
                <c:pt idx="113">
                  <c:v>42081</c:v>
                </c:pt>
                <c:pt idx="114">
                  <c:v>42082</c:v>
                </c:pt>
                <c:pt idx="115">
                  <c:v>42083</c:v>
                </c:pt>
                <c:pt idx="116">
                  <c:v>42086</c:v>
                </c:pt>
                <c:pt idx="117">
                  <c:v>42087</c:v>
                </c:pt>
                <c:pt idx="118">
                  <c:v>42088</c:v>
                </c:pt>
                <c:pt idx="119">
                  <c:v>42089</c:v>
                </c:pt>
                <c:pt idx="120">
                  <c:v>42090</c:v>
                </c:pt>
                <c:pt idx="121">
                  <c:v>42093</c:v>
                </c:pt>
                <c:pt idx="122">
                  <c:v>42094</c:v>
                </c:pt>
                <c:pt idx="123">
                  <c:v>42095</c:v>
                </c:pt>
                <c:pt idx="124">
                  <c:v>42096</c:v>
                </c:pt>
                <c:pt idx="125">
                  <c:v>42101</c:v>
                </c:pt>
                <c:pt idx="126">
                  <c:v>42102</c:v>
                </c:pt>
                <c:pt idx="127">
                  <c:v>42103</c:v>
                </c:pt>
                <c:pt idx="128">
                  <c:v>42104</c:v>
                </c:pt>
                <c:pt idx="129">
                  <c:v>42107</c:v>
                </c:pt>
                <c:pt idx="130">
                  <c:v>42108</c:v>
                </c:pt>
                <c:pt idx="131">
                  <c:v>42109</c:v>
                </c:pt>
                <c:pt idx="132">
                  <c:v>42110</c:v>
                </c:pt>
                <c:pt idx="133">
                  <c:v>42111</c:v>
                </c:pt>
                <c:pt idx="134">
                  <c:v>42114</c:v>
                </c:pt>
                <c:pt idx="135">
                  <c:v>42115</c:v>
                </c:pt>
                <c:pt idx="136">
                  <c:v>42116</c:v>
                </c:pt>
                <c:pt idx="137">
                  <c:v>42117</c:v>
                </c:pt>
                <c:pt idx="138">
                  <c:v>42118</c:v>
                </c:pt>
                <c:pt idx="139">
                  <c:v>42121</c:v>
                </c:pt>
                <c:pt idx="140">
                  <c:v>42122</c:v>
                </c:pt>
                <c:pt idx="141">
                  <c:v>42123</c:v>
                </c:pt>
                <c:pt idx="142">
                  <c:v>42124</c:v>
                </c:pt>
                <c:pt idx="143">
                  <c:v>42125</c:v>
                </c:pt>
                <c:pt idx="144">
                  <c:v>42129</c:v>
                </c:pt>
                <c:pt idx="145">
                  <c:v>42130</c:v>
                </c:pt>
                <c:pt idx="146">
                  <c:v>42131</c:v>
                </c:pt>
                <c:pt idx="147">
                  <c:v>42132</c:v>
                </c:pt>
                <c:pt idx="148">
                  <c:v>42135</c:v>
                </c:pt>
                <c:pt idx="149">
                  <c:v>42136</c:v>
                </c:pt>
                <c:pt idx="150">
                  <c:v>42137</c:v>
                </c:pt>
                <c:pt idx="151">
                  <c:v>42138</c:v>
                </c:pt>
                <c:pt idx="152">
                  <c:v>42139</c:v>
                </c:pt>
                <c:pt idx="153">
                  <c:v>42142</c:v>
                </c:pt>
                <c:pt idx="154">
                  <c:v>42143</c:v>
                </c:pt>
                <c:pt idx="155">
                  <c:v>42144</c:v>
                </c:pt>
                <c:pt idx="156">
                  <c:v>42145</c:v>
                </c:pt>
                <c:pt idx="157">
                  <c:v>42146</c:v>
                </c:pt>
                <c:pt idx="158">
                  <c:v>42150</c:v>
                </c:pt>
                <c:pt idx="159">
                  <c:v>42151</c:v>
                </c:pt>
                <c:pt idx="160">
                  <c:v>42152</c:v>
                </c:pt>
                <c:pt idx="161">
                  <c:v>42153</c:v>
                </c:pt>
                <c:pt idx="162">
                  <c:v>42156</c:v>
                </c:pt>
                <c:pt idx="163">
                  <c:v>42157</c:v>
                </c:pt>
                <c:pt idx="164">
                  <c:v>42158</c:v>
                </c:pt>
                <c:pt idx="165">
                  <c:v>42159</c:v>
                </c:pt>
                <c:pt idx="166">
                  <c:v>42160</c:v>
                </c:pt>
                <c:pt idx="167">
                  <c:v>42163</c:v>
                </c:pt>
                <c:pt idx="168">
                  <c:v>42164</c:v>
                </c:pt>
                <c:pt idx="169">
                  <c:v>42165</c:v>
                </c:pt>
                <c:pt idx="170">
                  <c:v>42166</c:v>
                </c:pt>
                <c:pt idx="171">
                  <c:v>42167</c:v>
                </c:pt>
                <c:pt idx="172">
                  <c:v>42170</c:v>
                </c:pt>
                <c:pt idx="173">
                  <c:v>42171</c:v>
                </c:pt>
                <c:pt idx="174">
                  <c:v>42172</c:v>
                </c:pt>
                <c:pt idx="175">
                  <c:v>42173</c:v>
                </c:pt>
                <c:pt idx="176">
                  <c:v>42174</c:v>
                </c:pt>
                <c:pt idx="177">
                  <c:v>42177</c:v>
                </c:pt>
                <c:pt idx="178">
                  <c:v>42178</c:v>
                </c:pt>
                <c:pt idx="179">
                  <c:v>42179</c:v>
                </c:pt>
                <c:pt idx="180">
                  <c:v>42180</c:v>
                </c:pt>
                <c:pt idx="181">
                  <c:v>42181</c:v>
                </c:pt>
                <c:pt idx="182">
                  <c:v>42184</c:v>
                </c:pt>
                <c:pt idx="183">
                  <c:v>42185</c:v>
                </c:pt>
                <c:pt idx="184">
                  <c:v>42186</c:v>
                </c:pt>
                <c:pt idx="185">
                  <c:v>42187</c:v>
                </c:pt>
                <c:pt idx="186">
                  <c:v>42188</c:v>
                </c:pt>
                <c:pt idx="187">
                  <c:v>42191</c:v>
                </c:pt>
                <c:pt idx="188">
                  <c:v>42192</c:v>
                </c:pt>
                <c:pt idx="189">
                  <c:v>42193</c:v>
                </c:pt>
                <c:pt idx="190">
                  <c:v>42194</c:v>
                </c:pt>
                <c:pt idx="191">
                  <c:v>42195</c:v>
                </c:pt>
                <c:pt idx="192">
                  <c:v>42198</c:v>
                </c:pt>
                <c:pt idx="193">
                  <c:v>42199</c:v>
                </c:pt>
                <c:pt idx="194">
                  <c:v>42200</c:v>
                </c:pt>
                <c:pt idx="195">
                  <c:v>42201</c:v>
                </c:pt>
                <c:pt idx="196">
                  <c:v>42202</c:v>
                </c:pt>
                <c:pt idx="197">
                  <c:v>42205</c:v>
                </c:pt>
                <c:pt idx="198">
                  <c:v>42206</c:v>
                </c:pt>
                <c:pt idx="199">
                  <c:v>42207</c:v>
                </c:pt>
                <c:pt idx="200">
                  <c:v>42208</c:v>
                </c:pt>
                <c:pt idx="201">
                  <c:v>42209</c:v>
                </c:pt>
                <c:pt idx="202">
                  <c:v>42212</c:v>
                </c:pt>
                <c:pt idx="203">
                  <c:v>42213</c:v>
                </c:pt>
                <c:pt idx="204">
                  <c:v>42214</c:v>
                </c:pt>
                <c:pt idx="205">
                  <c:v>42215</c:v>
                </c:pt>
                <c:pt idx="206">
                  <c:v>42216</c:v>
                </c:pt>
                <c:pt idx="207">
                  <c:v>42219</c:v>
                </c:pt>
                <c:pt idx="208">
                  <c:v>42220</c:v>
                </c:pt>
                <c:pt idx="209">
                  <c:v>42221</c:v>
                </c:pt>
                <c:pt idx="210">
                  <c:v>42222</c:v>
                </c:pt>
                <c:pt idx="211">
                  <c:v>42223</c:v>
                </c:pt>
                <c:pt idx="212">
                  <c:v>42226</c:v>
                </c:pt>
                <c:pt idx="213">
                  <c:v>42227</c:v>
                </c:pt>
                <c:pt idx="214">
                  <c:v>42228</c:v>
                </c:pt>
                <c:pt idx="215">
                  <c:v>42229</c:v>
                </c:pt>
                <c:pt idx="216">
                  <c:v>42230</c:v>
                </c:pt>
                <c:pt idx="217">
                  <c:v>42233</c:v>
                </c:pt>
                <c:pt idx="218">
                  <c:v>42234</c:v>
                </c:pt>
                <c:pt idx="219">
                  <c:v>42235</c:v>
                </c:pt>
                <c:pt idx="220">
                  <c:v>42236</c:v>
                </c:pt>
                <c:pt idx="221">
                  <c:v>42237</c:v>
                </c:pt>
                <c:pt idx="222">
                  <c:v>42240</c:v>
                </c:pt>
                <c:pt idx="223">
                  <c:v>42241</c:v>
                </c:pt>
                <c:pt idx="224">
                  <c:v>42242</c:v>
                </c:pt>
                <c:pt idx="225">
                  <c:v>42243</c:v>
                </c:pt>
                <c:pt idx="226">
                  <c:v>42244</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42282</c:v>
                </c:pt>
                <c:pt idx="252">
                  <c:v>42283</c:v>
                </c:pt>
                <c:pt idx="253">
                  <c:v>42284</c:v>
                </c:pt>
                <c:pt idx="254">
                  <c:v>42285</c:v>
                </c:pt>
                <c:pt idx="255">
                  <c:v>42286</c:v>
                </c:pt>
                <c:pt idx="256">
                  <c:v>42289</c:v>
                </c:pt>
                <c:pt idx="257">
                  <c:v>42290</c:v>
                </c:pt>
                <c:pt idx="258">
                  <c:v>42291</c:v>
                </c:pt>
                <c:pt idx="259">
                  <c:v>42292</c:v>
                </c:pt>
                <c:pt idx="260">
                  <c:v>42293</c:v>
                </c:pt>
                <c:pt idx="261">
                  <c:v>42296</c:v>
                </c:pt>
                <c:pt idx="262">
                  <c:v>42297</c:v>
                </c:pt>
                <c:pt idx="263">
                  <c:v>42298</c:v>
                </c:pt>
                <c:pt idx="264">
                  <c:v>42299</c:v>
                </c:pt>
                <c:pt idx="265">
                  <c:v>42300</c:v>
                </c:pt>
                <c:pt idx="266">
                  <c:v>42303</c:v>
                </c:pt>
                <c:pt idx="267">
                  <c:v>42304</c:v>
                </c:pt>
                <c:pt idx="268">
                  <c:v>42305</c:v>
                </c:pt>
                <c:pt idx="269">
                  <c:v>42306</c:v>
                </c:pt>
                <c:pt idx="270">
                  <c:v>42307</c:v>
                </c:pt>
                <c:pt idx="271">
                  <c:v>42310</c:v>
                </c:pt>
                <c:pt idx="272">
                  <c:v>42311</c:v>
                </c:pt>
                <c:pt idx="273">
                  <c:v>42312</c:v>
                </c:pt>
                <c:pt idx="274">
                  <c:v>42313</c:v>
                </c:pt>
                <c:pt idx="275">
                  <c:v>42314</c:v>
                </c:pt>
                <c:pt idx="276">
                  <c:v>42317</c:v>
                </c:pt>
                <c:pt idx="277">
                  <c:v>42318</c:v>
                </c:pt>
                <c:pt idx="278">
                  <c:v>42319</c:v>
                </c:pt>
                <c:pt idx="279">
                  <c:v>42320</c:v>
                </c:pt>
                <c:pt idx="280">
                  <c:v>42321</c:v>
                </c:pt>
                <c:pt idx="281">
                  <c:v>42324</c:v>
                </c:pt>
                <c:pt idx="282">
                  <c:v>42325</c:v>
                </c:pt>
                <c:pt idx="283">
                  <c:v>42326</c:v>
                </c:pt>
                <c:pt idx="284">
                  <c:v>42327</c:v>
                </c:pt>
                <c:pt idx="285">
                  <c:v>42328</c:v>
                </c:pt>
                <c:pt idx="286">
                  <c:v>42331</c:v>
                </c:pt>
                <c:pt idx="287">
                  <c:v>42332</c:v>
                </c:pt>
                <c:pt idx="288">
                  <c:v>42333</c:v>
                </c:pt>
                <c:pt idx="289">
                  <c:v>42334</c:v>
                </c:pt>
                <c:pt idx="290">
                  <c:v>42335</c:v>
                </c:pt>
                <c:pt idx="291">
                  <c:v>42338</c:v>
                </c:pt>
                <c:pt idx="292">
                  <c:v>42339</c:v>
                </c:pt>
                <c:pt idx="293">
                  <c:v>42340</c:v>
                </c:pt>
                <c:pt idx="294">
                  <c:v>42341</c:v>
                </c:pt>
                <c:pt idx="295">
                  <c:v>42342</c:v>
                </c:pt>
                <c:pt idx="296">
                  <c:v>42345</c:v>
                </c:pt>
                <c:pt idx="297">
                  <c:v>42346</c:v>
                </c:pt>
                <c:pt idx="298">
                  <c:v>42347</c:v>
                </c:pt>
                <c:pt idx="299">
                  <c:v>42348</c:v>
                </c:pt>
                <c:pt idx="300">
                  <c:v>42349</c:v>
                </c:pt>
                <c:pt idx="301">
                  <c:v>42352</c:v>
                </c:pt>
                <c:pt idx="302">
                  <c:v>42353</c:v>
                </c:pt>
                <c:pt idx="303">
                  <c:v>42354</c:v>
                </c:pt>
                <c:pt idx="304">
                  <c:v>42355</c:v>
                </c:pt>
                <c:pt idx="305">
                  <c:v>42356</c:v>
                </c:pt>
                <c:pt idx="306">
                  <c:v>42359</c:v>
                </c:pt>
                <c:pt idx="307">
                  <c:v>42360</c:v>
                </c:pt>
                <c:pt idx="308">
                  <c:v>42361</c:v>
                </c:pt>
                <c:pt idx="309">
                  <c:v>42362</c:v>
                </c:pt>
                <c:pt idx="310">
                  <c:v>42367</c:v>
                </c:pt>
                <c:pt idx="311">
                  <c:v>42368</c:v>
                </c:pt>
                <c:pt idx="312">
                  <c:v>42369</c:v>
                </c:pt>
                <c:pt idx="313">
                  <c:v>42373</c:v>
                </c:pt>
                <c:pt idx="314">
                  <c:v>42374</c:v>
                </c:pt>
                <c:pt idx="315">
                  <c:v>42375</c:v>
                </c:pt>
                <c:pt idx="316">
                  <c:v>42376</c:v>
                </c:pt>
                <c:pt idx="317">
                  <c:v>42377</c:v>
                </c:pt>
                <c:pt idx="318">
                  <c:v>42380</c:v>
                </c:pt>
                <c:pt idx="319">
                  <c:v>42381</c:v>
                </c:pt>
                <c:pt idx="320">
                  <c:v>42382</c:v>
                </c:pt>
                <c:pt idx="321">
                  <c:v>42383</c:v>
                </c:pt>
                <c:pt idx="322">
                  <c:v>42384</c:v>
                </c:pt>
                <c:pt idx="323">
                  <c:v>42387</c:v>
                </c:pt>
                <c:pt idx="324">
                  <c:v>42388</c:v>
                </c:pt>
                <c:pt idx="325">
                  <c:v>42389</c:v>
                </c:pt>
                <c:pt idx="326">
                  <c:v>42390</c:v>
                </c:pt>
                <c:pt idx="327">
                  <c:v>42391</c:v>
                </c:pt>
                <c:pt idx="328">
                  <c:v>42394</c:v>
                </c:pt>
                <c:pt idx="329">
                  <c:v>42395</c:v>
                </c:pt>
                <c:pt idx="330">
                  <c:v>42396</c:v>
                </c:pt>
                <c:pt idx="331">
                  <c:v>42397</c:v>
                </c:pt>
                <c:pt idx="332">
                  <c:v>42398</c:v>
                </c:pt>
                <c:pt idx="333">
                  <c:v>42401</c:v>
                </c:pt>
                <c:pt idx="334">
                  <c:v>42402</c:v>
                </c:pt>
                <c:pt idx="335">
                  <c:v>42403</c:v>
                </c:pt>
                <c:pt idx="336">
                  <c:v>42404</c:v>
                </c:pt>
                <c:pt idx="337">
                  <c:v>42405</c:v>
                </c:pt>
                <c:pt idx="338">
                  <c:v>42408</c:v>
                </c:pt>
                <c:pt idx="339">
                  <c:v>42409</c:v>
                </c:pt>
                <c:pt idx="340">
                  <c:v>42410</c:v>
                </c:pt>
                <c:pt idx="341">
                  <c:v>42411</c:v>
                </c:pt>
                <c:pt idx="342">
                  <c:v>42412</c:v>
                </c:pt>
                <c:pt idx="343">
                  <c:v>42415</c:v>
                </c:pt>
                <c:pt idx="344">
                  <c:v>42416</c:v>
                </c:pt>
                <c:pt idx="345">
                  <c:v>42417</c:v>
                </c:pt>
                <c:pt idx="346">
                  <c:v>42418</c:v>
                </c:pt>
                <c:pt idx="347">
                  <c:v>42419</c:v>
                </c:pt>
                <c:pt idx="348">
                  <c:v>42422</c:v>
                </c:pt>
                <c:pt idx="349">
                  <c:v>42423</c:v>
                </c:pt>
                <c:pt idx="350">
                  <c:v>42424</c:v>
                </c:pt>
                <c:pt idx="351">
                  <c:v>42425</c:v>
                </c:pt>
                <c:pt idx="352">
                  <c:v>42426</c:v>
                </c:pt>
                <c:pt idx="353">
                  <c:v>42429</c:v>
                </c:pt>
                <c:pt idx="354">
                  <c:v>42430</c:v>
                </c:pt>
                <c:pt idx="355">
                  <c:v>42431</c:v>
                </c:pt>
                <c:pt idx="356">
                  <c:v>42432</c:v>
                </c:pt>
                <c:pt idx="357">
                  <c:v>42433</c:v>
                </c:pt>
                <c:pt idx="358">
                  <c:v>42436</c:v>
                </c:pt>
                <c:pt idx="359">
                  <c:v>42437</c:v>
                </c:pt>
                <c:pt idx="360">
                  <c:v>42438</c:v>
                </c:pt>
                <c:pt idx="361">
                  <c:v>42439</c:v>
                </c:pt>
                <c:pt idx="362">
                  <c:v>42440</c:v>
                </c:pt>
                <c:pt idx="363">
                  <c:v>42443</c:v>
                </c:pt>
                <c:pt idx="364">
                  <c:v>42444</c:v>
                </c:pt>
                <c:pt idx="365">
                  <c:v>42445</c:v>
                </c:pt>
                <c:pt idx="366">
                  <c:v>42446</c:v>
                </c:pt>
                <c:pt idx="367">
                  <c:v>42447</c:v>
                </c:pt>
                <c:pt idx="368">
                  <c:v>42450</c:v>
                </c:pt>
                <c:pt idx="369">
                  <c:v>42451</c:v>
                </c:pt>
                <c:pt idx="370">
                  <c:v>42452</c:v>
                </c:pt>
                <c:pt idx="371">
                  <c:v>42453</c:v>
                </c:pt>
                <c:pt idx="372">
                  <c:v>42458</c:v>
                </c:pt>
                <c:pt idx="373">
                  <c:v>42459</c:v>
                </c:pt>
                <c:pt idx="374">
                  <c:v>42460</c:v>
                </c:pt>
                <c:pt idx="375">
                  <c:v>42461</c:v>
                </c:pt>
                <c:pt idx="376">
                  <c:v>42464</c:v>
                </c:pt>
                <c:pt idx="377">
                  <c:v>42465</c:v>
                </c:pt>
                <c:pt idx="378">
                  <c:v>42466</c:v>
                </c:pt>
                <c:pt idx="379">
                  <c:v>42467</c:v>
                </c:pt>
                <c:pt idx="380">
                  <c:v>42468</c:v>
                </c:pt>
                <c:pt idx="381">
                  <c:v>42471</c:v>
                </c:pt>
                <c:pt idx="382">
                  <c:v>42472</c:v>
                </c:pt>
                <c:pt idx="383">
                  <c:v>42473</c:v>
                </c:pt>
                <c:pt idx="384">
                  <c:v>42474</c:v>
                </c:pt>
                <c:pt idx="385">
                  <c:v>42475</c:v>
                </c:pt>
                <c:pt idx="386">
                  <c:v>42478</c:v>
                </c:pt>
                <c:pt idx="387">
                  <c:v>42479</c:v>
                </c:pt>
                <c:pt idx="388">
                  <c:v>42480</c:v>
                </c:pt>
                <c:pt idx="389">
                  <c:v>42481</c:v>
                </c:pt>
                <c:pt idx="390">
                  <c:v>42482</c:v>
                </c:pt>
                <c:pt idx="391">
                  <c:v>42485</c:v>
                </c:pt>
                <c:pt idx="392">
                  <c:v>42486</c:v>
                </c:pt>
                <c:pt idx="393">
                  <c:v>42487</c:v>
                </c:pt>
                <c:pt idx="394">
                  <c:v>42488</c:v>
                </c:pt>
                <c:pt idx="395">
                  <c:v>42489</c:v>
                </c:pt>
                <c:pt idx="396">
                  <c:v>42493</c:v>
                </c:pt>
                <c:pt idx="397">
                  <c:v>42494</c:v>
                </c:pt>
                <c:pt idx="398">
                  <c:v>42495</c:v>
                </c:pt>
                <c:pt idx="399">
                  <c:v>42496</c:v>
                </c:pt>
                <c:pt idx="400">
                  <c:v>42499</c:v>
                </c:pt>
                <c:pt idx="401">
                  <c:v>42500</c:v>
                </c:pt>
                <c:pt idx="402">
                  <c:v>42501</c:v>
                </c:pt>
                <c:pt idx="403">
                  <c:v>42502</c:v>
                </c:pt>
                <c:pt idx="404">
                  <c:v>42503</c:v>
                </c:pt>
                <c:pt idx="405">
                  <c:v>42506</c:v>
                </c:pt>
                <c:pt idx="406">
                  <c:v>42507</c:v>
                </c:pt>
                <c:pt idx="407">
                  <c:v>42508</c:v>
                </c:pt>
                <c:pt idx="408">
                  <c:v>42509</c:v>
                </c:pt>
                <c:pt idx="409">
                  <c:v>42510</c:v>
                </c:pt>
                <c:pt idx="410">
                  <c:v>42513</c:v>
                </c:pt>
                <c:pt idx="411">
                  <c:v>42514</c:v>
                </c:pt>
                <c:pt idx="412">
                  <c:v>42515</c:v>
                </c:pt>
                <c:pt idx="413">
                  <c:v>42516</c:v>
                </c:pt>
                <c:pt idx="414">
                  <c:v>42517</c:v>
                </c:pt>
                <c:pt idx="415">
                  <c:v>42521</c:v>
                </c:pt>
                <c:pt idx="416">
                  <c:v>42522</c:v>
                </c:pt>
                <c:pt idx="417">
                  <c:v>42523</c:v>
                </c:pt>
                <c:pt idx="418">
                  <c:v>42524</c:v>
                </c:pt>
                <c:pt idx="419">
                  <c:v>42527</c:v>
                </c:pt>
                <c:pt idx="420">
                  <c:v>42528</c:v>
                </c:pt>
                <c:pt idx="421">
                  <c:v>42529</c:v>
                </c:pt>
                <c:pt idx="422">
                  <c:v>42530</c:v>
                </c:pt>
                <c:pt idx="423">
                  <c:v>42531</c:v>
                </c:pt>
                <c:pt idx="424">
                  <c:v>42534</c:v>
                </c:pt>
                <c:pt idx="425">
                  <c:v>42535</c:v>
                </c:pt>
                <c:pt idx="426">
                  <c:v>42536</c:v>
                </c:pt>
                <c:pt idx="427">
                  <c:v>42537</c:v>
                </c:pt>
                <c:pt idx="428">
                  <c:v>42538</c:v>
                </c:pt>
                <c:pt idx="429">
                  <c:v>42541</c:v>
                </c:pt>
                <c:pt idx="430">
                  <c:v>42542</c:v>
                </c:pt>
                <c:pt idx="431">
                  <c:v>42543</c:v>
                </c:pt>
                <c:pt idx="432">
                  <c:v>42544</c:v>
                </c:pt>
                <c:pt idx="433">
                  <c:v>42545</c:v>
                </c:pt>
                <c:pt idx="434">
                  <c:v>42548</c:v>
                </c:pt>
                <c:pt idx="435">
                  <c:v>42549</c:v>
                </c:pt>
                <c:pt idx="436">
                  <c:v>42550</c:v>
                </c:pt>
                <c:pt idx="437">
                  <c:v>42551</c:v>
                </c:pt>
                <c:pt idx="438">
                  <c:v>42552</c:v>
                </c:pt>
                <c:pt idx="439">
                  <c:v>42555</c:v>
                </c:pt>
                <c:pt idx="440">
                  <c:v>42556</c:v>
                </c:pt>
                <c:pt idx="441">
                  <c:v>42557</c:v>
                </c:pt>
                <c:pt idx="442">
                  <c:v>42558</c:v>
                </c:pt>
                <c:pt idx="443">
                  <c:v>42559</c:v>
                </c:pt>
                <c:pt idx="444">
                  <c:v>42562</c:v>
                </c:pt>
                <c:pt idx="445">
                  <c:v>42563</c:v>
                </c:pt>
                <c:pt idx="446">
                  <c:v>42564</c:v>
                </c:pt>
                <c:pt idx="447">
                  <c:v>42565</c:v>
                </c:pt>
                <c:pt idx="448">
                  <c:v>42566</c:v>
                </c:pt>
                <c:pt idx="449">
                  <c:v>42569</c:v>
                </c:pt>
                <c:pt idx="450">
                  <c:v>42570</c:v>
                </c:pt>
                <c:pt idx="451">
                  <c:v>42571</c:v>
                </c:pt>
                <c:pt idx="452">
                  <c:v>42572</c:v>
                </c:pt>
                <c:pt idx="453">
                  <c:v>42573</c:v>
                </c:pt>
                <c:pt idx="454">
                  <c:v>42576</c:v>
                </c:pt>
                <c:pt idx="455">
                  <c:v>42577</c:v>
                </c:pt>
                <c:pt idx="456">
                  <c:v>42578</c:v>
                </c:pt>
                <c:pt idx="457">
                  <c:v>42579</c:v>
                </c:pt>
                <c:pt idx="458">
                  <c:v>42580</c:v>
                </c:pt>
                <c:pt idx="459">
                  <c:v>42583</c:v>
                </c:pt>
                <c:pt idx="460">
                  <c:v>42584</c:v>
                </c:pt>
                <c:pt idx="461">
                  <c:v>42585</c:v>
                </c:pt>
                <c:pt idx="462">
                  <c:v>42586</c:v>
                </c:pt>
                <c:pt idx="463">
                  <c:v>42587</c:v>
                </c:pt>
                <c:pt idx="464">
                  <c:v>42590</c:v>
                </c:pt>
                <c:pt idx="465">
                  <c:v>42591</c:v>
                </c:pt>
                <c:pt idx="466">
                  <c:v>42592</c:v>
                </c:pt>
                <c:pt idx="467">
                  <c:v>42593</c:v>
                </c:pt>
                <c:pt idx="468">
                  <c:v>42594</c:v>
                </c:pt>
                <c:pt idx="469">
                  <c:v>42597</c:v>
                </c:pt>
                <c:pt idx="470">
                  <c:v>42598</c:v>
                </c:pt>
                <c:pt idx="471">
                  <c:v>42599</c:v>
                </c:pt>
                <c:pt idx="472">
                  <c:v>42600</c:v>
                </c:pt>
                <c:pt idx="473">
                  <c:v>42601</c:v>
                </c:pt>
                <c:pt idx="474">
                  <c:v>42604</c:v>
                </c:pt>
                <c:pt idx="475">
                  <c:v>42605</c:v>
                </c:pt>
                <c:pt idx="476">
                  <c:v>42606</c:v>
                </c:pt>
                <c:pt idx="477">
                  <c:v>42607</c:v>
                </c:pt>
                <c:pt idx="478">
                  <c:v>42608</c:v>
                </c:pt>
                <c:pt idx="479">
                  <c:v>42612</c:v>
                </c:pt>
                <c:pt idx="480">
                  <c:v>42613</c:v>
                </c:pt>
                <c:pt idx="481">
                  <c:v>42614</c:v>
                </c:pt>
                <c:pt idx="482">
                  <c:v>42615</c:v>
                </c:pt>
                <c:pt idx="483">
                  <c:v>42618</c:v>
                </c:pt>
                <c:pt idx="484">
                  <c:v>42619</c:v>
                </c:pt>
                <c:pt idx="485">
                  <c:v>42620</c:v>
                </c:pt>
                <c:pt idx="486">
                  <c:v>42621</c:v>
                </c:pt>
                <c:pt idx="487">
                  <c:v>42622</c:v>
                </c:pt>
                <c:pt idx="488">
                  <c:v>42625</c:v>
                </c:pt>
                <c:pt idx="489">
                  <c:v>42626</c:v>
                </c:pt>
                <c:pt idx="490">
                  <c:v>42627</c:v>
                </c:pt>
                <c:pt idx="491">
                  <c:v>42628</c:v>
                </c:pt>
                <c:pt idx="492">
                  <c:v>42629</c:v>
                </c:pt>
                <c:pt idx="493">
                  <c:v>42632</c:v>
                </c:pt>
                <c:pt idx="494">
                  <c:v>42633</c:v>
                </c:pt>
                <c:pt idx="495">
                  <c:v>42634</c:v>
                </c:pt>
                <c:pt idx="496">
                  <c:v>42635</c:v>
                </c:pt>
                <c:pt idx="497">
                  <c:v>42636</c:v>
                </c:pt>
                <c:pt idx="498">
                  <c:v>42639</c:v>
                </c:pt>
                <c:pt idx="499">
                  <c:v>42640</c:v>
                </c:pt>
                <c:pt idx="500">
                  <c:v>42641</c:v>
                </c:pt>
                <c:pt idx="501">
                  <c:v>42642</c:v>
                </c:pt>
                <c:pt idx="502">
                  <c:v>42643</c:v>
                </c:pt>
                <c:pt idx="503">
                  <c:v>42646</c:v>
                </c:pt>
                <c:pt idx="504">
                  <c:v>42647</c:v>
                </c:pt>
                <c:pt idx="505">
                  <c:v>42648</c:v>
                </c:pt>
                <c:pt idx="506">
                  <c:v>42649</c:v>
                </c:pt>
                <c:pt idx="507">
                  <c:v>42650</c:v>
                </c:pt>
                <c:pt idx="508">
                  <c:v>42653</c:v>
                </c:pt>
                <c:pt idx="509">
                  <c:v>42654</c:v>
                </c:pt>
                <c:pt idx="510">
                  <c:v>42655</c:v>
                </c:pt>
                <c:pt idx="511">
                  <c:v>42656</c:v>
                </c:pt>
                <c:pt idx="512">
                  <c:v>42657</c:v>
                </c:pt>
                <c:pt idx="513">
                  <c:v>42660</c:v>
                </c:pt>
                <c:pt idx="514">
                  <c:v>42661</c:v>
                </c:pt>
                <c:pt idx="515">
                  <c:v>42662</c:v>
                </c:pt>
                <c:pt idx="516">
                  <c:v>42663</c:v>
                </c:pt>
                <c:pt idx="517">
                  <c:v>42664</c:v>
                </c:pt>
                <c:pt idx="518">
                  <c:v>42671</c:v>
                </c:pt>
                <c:pt idx="519">
                  <c:v>42678</c:v>
                </c:pt>
                <c:pt idx="520">
                  <c:v>42685</c:v>
                </c:pt>
                <c:pt idx="521">
                  <c:v>42692</c:v>
                </c:pt>
                <c:pt idx="522">
                  <c:v>42699</c:v>
                </c:pt>
                <c:pt idx="523">
                  <c:v>42706</c:v>
                </c:pt>
                <c:pt idx="524">
                  <c:v>42713</c:v>
                </c:pt>
                <c:pt idx="525">
                  <c:v>42720</c:v>
                </c:pt>
                <c:pt idx="526">
                  <c:v>42727</c:v>
                </c:pt>
                <c:pt idx="527">
                  <c:v>42734</c:v>
                </c:pt>
                <c:pt idx="528">
                  <c:v>42741</c:v>
                </c:pt>
                <c:pt idx="529">
                  <c:v>42748</c:v>
                </c:pt>
                <c:pt idx="530">
                  <c:v>42755</c:v>
                </c:pt>
                <c:pt idx="531">
                  <c:v>42762</c:v>
                </c:pt>
                <c:pt idx="532">
                  <c:v>42769</c:v>
                </c:pt>
                <c:pt idx="533">
                  <c:v>42776</c:v>
                </c:pt>
                <c:pt idx="534">
                  <c:v>42783</c:v>
                </c:pt>
                <c:pt idx="535">
                  <c:v>42790</c:v>
                </c:pt>
                <c:pt idx="536">
                  <c:v>42797</c:v>
                </c:pt>
                <c:pt idx="537">
                  <c:v>42804</c:v>
                </c:pt>
                <c:pt idx="538">
                  <c:v>42811</c:v>
                </c:pt>
                <c:pt idx="539">
                  <c:v>42818</c:v>
                </c:pt>
                <c:pt idx="540">
                  <c:v>42825</c:v>
                </c:pt>
                <c:pt idx="541">
                  <c:v>42832</c:v>
                </c:pt>
                <c:pt idx="542">
                  <c:v>42843</c:v>
                </c:pt>
                <c:pt idx="543">
                  <c:v>42850</c:v>
                </c:pt>
                <c:pt idx="544">
                  <c:v>42857</c:v>
                </c:pt>
                <c:pt idx="545">
                  <c:v>42864</c:v>
                </c:pt>
                <c:pt idx="546">
                  <c:v>42871</c:v>
                </c:pt>
                <c:pt idx="547">
                  <c:v>42878</c:v>
                </c:pt>
                <c:pt idx="548">
                  <c:v>42885</c:v>
                </c:pt>
                <c:pt idx="549">
                  <c:v>42892</c:v>
                </c:pt>
                <c:pt idx="550">
                  <c:v>42899</c:v>
                </c:pt>
                <c:pt idx="551">
                  <c:v>42906</c:v>
                </c:pt>
                <c:pt idx="552">
                  <c:v>42913</c:v>
                </c:pt>
                <c:pt idx="553">
                  <c:v>42920</c:v>
                </c:pt>
                <c:pt idx="554">
                  <c:v>42927</c:v>
                </c:pt>
                <c:pt idx="555">
                  <c:v>42934</c:v>
                </c:pt>
                <c:pt idx="556">
                  <c:v>42941</c:v>
                </c:pt>
                <c:pt idx="557">
                  <c:v>42948</c:v>
                </c:pt>
                <c:pt idx="558">
                  <c:v>42955</c:v>
                </c:pt>
                <c:pt idx="559">
                  <c:v>42962</c:v>
                </c:pt>
                <c:pt idx="560">
                  <c:v>42969</c:v>
                </c:pt>
                <c:pt idx="561">
                  <c:v>42976</c:v>
                </c:pt>
                <c:pt idx="562">
                  <c:v>42983</c:v>
                </c:pt>
                <c:pt idx="563">
                  <c:v>42990</c:v>
                </c:pt>
                <c:pt idx="564">
                  <c:v>42997</c:v>
                </c:pt>
                <c:pt idx="565">
                  <c:v>43004</c:v>
                </c:pt>
                <c:pt idx="566">
                  <c:v>43011</c:v>
                </c:pt>
                <c:pt idx="567">
                  <c:v>43018</c:v>
                </c:pt>
                <c:pt idx="568">
                  <c:v>43025</c:v>
                </c:pt>
                <c:pt idx="569">
                  <c:v>43032</c:v>
                </c:pt>
                <c:pt idx="570">
                  <c:v>43039</c:v>
                </c:pt>
                <c:pt idx="571">
                  <c:v>43046</c:v>
                </c:pt>
                <c:pt idx="572">
                  <c:v>43053</c:v>
                </c:pt>
                <c:pt idx="573">
                  <c:v>43060</c:v>
                </c:pt>
                <c:pt idx="574">
                  <c:v>43067</c:v>
                </c:pt>
                <c:pt idx="575">
                  <c:v>43074</c:v>
                </c:pt>
                <c:pt idx="576">
                  <c:v>43081</c:v>
                </c:pt>
                <c:pt idx="577">
                  <c:v>43088</c:v>
                </c:pt>
                <c:pt idx="578">
                  <c:v>43096</c:v>
                </c:pt>
                <c:pt idx="579">
                  <c:v>43103</c:v>
                </c:pt>
                <c:pt idx="580">
                  <c:v>43110</c:v>
                </c:pt>
                <c:pt idx="581">
                  <c:v>43117</c:v>
                </c:pt>
                <c:pt idx="582">
                  <c:v>43124</c:v>
                </c:pt>
                <c:pt idx="583">
                  <c:v>43131</c:v>
                </c:pt>
                <c:pt idx="584">
                  <c:v>43138</c:v>
                </c:pt>
                <c:pt idx="585">
                  <c:v>43145</c:v>
                </c:pt>
                <c:pt idx="586">
                  <c:v>43152</c:v>
                </c:pt>
                <c:pt idx="587">
                  <c:v>43159</c:v>
                </c:pt>
                <c:pt idx="588">
                  <c:v>43166</c:v>
                </c:pt>
                <c:pt idx="589">
                  <c:v>43173</c:v>
                </c:pt>
                <c:pt idx="590">
                  <c:v>43180</c:v>
                </c:pt>
                <c:pt idx="591">
                  <c:v>43187</c:v>
                </c:pt>
                <c:pt idx="592">
                  <c:v>43194</c:v>
                </c:pt>
                <c:pt idx="593">
                  <c:v>43201</c:v>
                </c:pt>
                <c:pt idx="594">
                  <c:v>43208</c:v>
                </c:pt>
                <c:pt idx="595">
                  <c:v>43215</c:v>
                </c:pt>
                <c:pt idx="596">
                  <c:v>43222</c:v>
                </c:pt>
                <c:pt idx="597">
                  <c:v>43229</c:v>
                </c:pt>
                <c:pt idx="598">
                  <c:v>43236</c:v>
                </c:pt>
                <c:pt idx="599">
                  <c:v>43243</c:v>
                </c:pt>
                <c:pt idx="600">
                  <c:v>43250</c:v>
                </c:pt>
                <c:pt idx="601">
                  <c:v>43257</c:v>
                </c:pt>
                <c:pt idx="602">
                  <c:v>43264</c:v>
                </c:pt>
                <c:pt idx="603">
                  <c:v>43271</c:v>
                </c:pt>
                <c:pt idx="604">
                  <c:v>43278</c:v>
                </c:pt>
                <c:pt idx="605">
                  <c:v>43285</c:v>
                </c:pt>
                <c:pt idx="606">
                  <c:v>43292</c:v>
                </c:pt>
                <c:pt idx="607">
                  <c:v>43299</c:v>
                </c:pt>
                <c:pt idx="608">
                  <c:v>43306</c:v>
                </c:pt>
                <c:pt idx="609">
                  <c:v>43313</c:v>
                </c:pt>
                <c:pt idx="610">
                  <c:v>43320</c:v>
                </c:pt>
                <c:pt idx="611">
                  <c:v>43327</c:v>
                </c:pt>
                <c:pt idx="612">
                  <c:v>43334</c:v>
                </c:pt>
                <c:pt idx="613">
                  <c:v>43341</c:v>
                </c:pt>
                <c:pt idx="614">
                  <c:v>43348</c:v>
                </c:pt>
                <c:pt idx="615">
                  <c:v>43355</c:v>
                </c:pt>
                <c:pt idx="616">
                  <c:v>43362</c:v>
                </c:pt>
                <c:pt idx="617">
                  <c:v>43369</c:v>
                </c:pt>
                <c:pt idx="618">
                  <c:v>43376</c:v>
                </c:pt>
                <c:pt idx="619">
                  <c:v>43383</c:v>
                </c:pt>
                <c:pt idx="620">
                  <c:v>43390</c:v>
                </c:pt>
                <c:pt idx="621">
                  <c:v>43397</c:v>
                </c:pt>
                <c:pt idx="622">
                  <c:v>43404</c:v>
                </c:pt>
                <c:pt idx="623">
                  <c:v>43411</c:v>
                </c:pt>
                <c:pt idx="624">
                  <c:v>43418</c:v>
                </c:pt>
                <c:pt idx="625">
                  <c:v>43425</c:v>
                </c:pt>
                <c:pt idx="626">
                  <c:v>43432</c:v>
                </c:pt>
                <c:pt idx="627">
                  <c:v>43439</c:v>
                </c:pt>
                <c:pt idx="628">
                  <c:v>43446</c:v>
                </c:pt>
                <c:pt idx="629">
                  <c:v>43453</c:v>
                </c:pt>
                <c:pt idx="630">
                  <c:v>43461</c:v>
                </c:pt>
                <c:pt idx="631">
                  <c:v>43468</c:v>
                </c:pt>
                <c:pt idx="632">
                  <c:v>43475</c:v>
                </c:pt>
                <c:pt idx="633">
                  <c:v>43482</c:v>
                </c:pt>
                <c:pt idx="634">
                  <c:v>43489</c:v>
                </c:pt>
                <c:pt idx="635">
                  <c:v>43496</c:v>
                </c:pt>
                <c:pt idx="636">
                  <c:v>43503</c:v>
                </c:pt>
                <c:pt idx="637">
                  <c:v>43510</c:v>
                </c:pt>
                <c:pt idx="638">
                  <c:v>43517</c:v>
                </c:pt>
                <c:pt idx="639">
                  <c:v>43524</c:v>
                </c:pt>
                <c:pt idx="640">
                  <c:v>43531</c:v>
                </c:pt>
                <c:pt idx="641">
                  <c:v>43538</c:v>
                </c:pt>
                <c:pt idx="642">
                  <c:v>43545</c:v>
                </c:pt>
                <c:pt idx="643">
                  <c:v>43552</c:v>
                </c:pt>
                <c:pt idx="644">
                  <c:v>43559</c:v>
                </c:pt>
                <c:pt idx="645">
                  <c:v>43566</c:v>
                </c:pt>
                <c:pt idx="646">
                  <c:v>43573</c:v>
                </c:pt>
                <c:pt idx="647">
                  <c:v>43580</c:v>
                </c:pt>
                <c:pt idx="648">
                  <c:v>43587</c:v>
                </c:pt>
                <c:pt idx="649">
                  <c:v>43594</c:v>
                </c:pt>
                <c:pt idx="650">
                  <c:v>43601</c:v>
                </c:pt>
                <c:pt idx="651">
                  <c:v>43608</c:v>
                </c:pt>
                <c:pt idx="652">
                  <c:v>43615</c:v>
                </c:pt>
                <c:pt idx="653">
                  <c:v>43622</c:v>
                </c:pt>
                <c:pt idx="654">
                  <c:v>43629</c:v>
                </c:pt>
                <c:pt idx="655">
                  <c:v>43636</c:v>
                </c:pt>
                <c:pt idx="656">
                  <c:v>43643</c:v>
                </c:pt>
                <c:pt idx="657">
                  <c:v>43650</c:v>
                </c:pt>
                <c:pt idx="658">
                  <c:v>43657</c:v>
                </c:pt>
                <c:pt idx="659">
                  <c:v>43664</c:v>
                </c:pt>
                <c:pt idx="660">
                  <c:v>43671</c:v>
                </c:pt>
                <c:pt idx="661">
                  <c:v>43678</c:v>
                </c:pt>
                <c:pt idx="662">
                  <c:v>43685</c:v>
                </c:pt>
                <c:pt idx="663">
                  <c:v>43692</c:v>
                </c:pt>
                <c:pt idx="664">
                  <c:v>43699</c:v>
                </c:pt>
                <c:pt idx="665">
                  <c:v>43706</c:v>
                </c:pt>
                <c:pt idx="666">
                  <c:v>43713</c:v>
                </c:pt>
                <c:pt idx="667">
                  <c:v>43720</c:v>
                </c:pt>
                <c:pt idx="668">
                  <c:v>43727</c:v>
                </c:pt>
                <c:pt idx="669">
                  <c:v>43734</c:v>
                </c:pt>
                <c:pt idx="670">
                  <c:v>43741</c:v>
                </c:pt>
                <c:pt idx="671">
                  <c:v>43748</c:v>
                </c:pt>
                <c:pt idx="672">
                  <c:v>43755</c:v>
                </c:pt>
                <c:pt idx="673">
                  <c:v>43762</c:v>
                </c:pt>
                <c:pt idx="674">
                  <c:v>43769</c:v>
                </c:pt>
                <c:pt idx="675">
                  <c:v>43776</c:v>
                </c:pt>
                <c:pt idx="676">
                  <c:v>43783</c:v>
                </c:pt>
                <c:pt idx="677">
                  <c:v>43790</c:v>
                </c:pt>
                <c:pt idx="678">
                  <c:v>43797</c:v>
                </c:pt>
                <c:pt idx="679">
                  <c:v>43804</c:v>
                </c:pt>
                <c:pt idx="680">
                  <c:v>43811</c:v>
                </c:pt>
                <c:pt idx="681">
                  <c:v>43818</c:v>
                </c:pt>
                <c:pt idx="682">
                  <c:v>43826</c:v>
                </c:pt>
                <c:pt idx="683">
                  <c:v>43833</c:v>
                </c:pt>
                <c:pt idx="684">
                  <c:v>43840</c:v>
                </c:pt>
                <c:pt idx="685">
                  <c:v>43847</c:v>
                </c:pt>
                <c:pt idx="686">
                  <c:v>43854</c:v>
                </c:pt>
                <c:pt idx="687">
                  <c:v>43861</c:v>
                </c:pt>
                <c:pt idx="688">
                  <c:v>43868</c:v>
                </c:pt>
                <c:pt idx="689">
                  <c:v>43875</c:v>
                </c:pt>
                <c:pt idx="690">
                  <c:v>43882</c:v>
                </c:pt>
                <c:pt idx="691">
                  <c:v>43889</c:v>
                </c:pt>
                <c:pt idx="692">
                  <c:v>43896</c:v>
                </c:pt>
                <c:pt idx="693">
                  <c:v>43903</c:v>
                </c:pt>
                <c:pt idx="694">
                  <c:v>43910</c:v>
                </c:pt>
                <c:pt idx="695">
                  <c:v>43917</c:v>
                </c:pt>
                <c:pt idx="696">
                  <c:v>43924</c:v>
                </c:pt>
                <c:pt idx="697">
                  <c:v>43935</c:v>
                </c:pt>
                <c:pt idx="698">
                  <c:v>43942</c:v>
                </c:pt>
                <c:pt idx="699">
                  <c:v>43949</c:v>
                </c:pt>
                <c:pt idx="700">
                  <c:v>43956</c:v>
                </c:pt>
                <c:pt idx="701">
                  <c:v>43963</c:v>
                </c:pt>
                <c:pt idx="702">
                  <c:v>43970</c:v>
                </c:pt>
                <c:pt idx="703">
                  <c:v>43977</c:v>
                </c:pt>
                <c:pt idx="704">
                  <c:v>43984</c:v>
                </c:pt>
                <c:pt idx="705">
                  <c:v>43991</c:v>
                </c:pt>
                <c:pt idx="706">
                  <c:v>43998</c:v>
                </c:pt>
                <c:pt idx="707">
                  <c:v>44005</c:v>
                </c:pt>
                <c:pt idx="708">
                  <c:v>44012</c:v>
                </c:pt>
                <c:pt idx="709">
                  <c:v>44019</c:v>
                </c:pt>
                <c:pt idx="710">
                  <c:v>44026</c:v>
                </c:pt>
                <c:pt idx="711">
                  <c:v>44033</c:v>
                </c:pt>
                <c:pt idx="712">
                  <c:v>44040</c:v>
                </c:pt>
                <c:pt idx="713">
                  <c:v>44047</c:v>
                </c:pt>
                <c:pt idx="714">
                  <c:v>44054</c:v>
                </c:pt>
                <c:pt idx="715">
                  <c:v>44061</c:v>
                </c:pt>
                <c:pt idx="716">
                  <c:v>44068</c:v>
                </c:pt>
                <c:pt idx="717">
                  <c:v>44075</c:v>
                </c:pt>
                <c:pt idx="718">
                  <c:v>44082</c:v>
                </c:pt>
                <c:pt idx="719">
                  <c:v>44089</c:v>
                </c:pt>
                <c:pt idx="720">
                  <c:v>44096</c:v>
                </c:pt>
                <c:pt idx="721">
                  <c:v>44103</c:v>
                </c:pt>
                <c:pt idx="722">
                  <c:v>44110</c:v>
                </c:pt>
                <c:pt idx="723">
                  <c:v>44117</c:v>
                </c:pt>
                <c:pt idx="724">
                  <c:v>44124</c:v>
                </c:pt>
                <c:pt idx="725">
                  <c:v>44131</c:v>
                </c:pt>
                <c:pt idx="726">
                  <c:v>44138</c:v>
                </c:pt>
                <c:pt idx="727">
                  <c:v>44145</c:v>
                </c:pt>
                <c:pt idx="728">
                  <c:v>44152</c:v>
                </c:pt>
                <c:pt idx="729">
                  <c:v>44159</c:v>
                </c:pt>
                <c:pt idx="730">
                  <c:v>44166</c:v>
                </c:pt>
                <c:pt idx="731">
                  <c:v>44173</c:v>
                </c:pt>
                <c:pt idx="732">
                  <c:v>44180</c:v>
                </c:pt>
                <c:pt idx="733">
                  <c:v>44187</c:v>
                </c:pt>
                <c:pt idx="734">
                  <c:v>44194</c:v>
                </c:pt>
                <c:pt idx="735">
                  <c:v>44201</c:v>
                </c:pt>
                <c:pt idx="736">
                  <c:v>44208</c:v>
                </c:pt>
                <c:pt idx="737">
                  <c:v>44215</c:v>
                </c:pt>
                <c:pt idx="738">
                  <c:v>44222</c:v>
                </c:pt>
                <c:pt idx="739">
                  <c:v>44229</c:v>
                </c:pt>
                <c:pt idx="740">
                  <c:v>44236</c:v>
                </c:pt>
                <c:pt idx="741">
                  <c:v>44243</c:v>
                </c:pt>
                <c:pt idx="742">
                  <c:v>44250</c:v>
                </c:pt>
                <c:pt idx="743">
                  <c:v>44257</c:v>
                </c:pt>
                <c:pt idx="744">
                  <c:v>44264</c:v>
                </c:pt>
                <c:pt idx="745">
                  <c:v>44271</c:v>
                </c:pt>
                <c:pt idx="746">
                  <c:v>44278</c:v>
                </c:pt>
                <c:pt idx="747">
                  <c:v>44285</c:v>
                </c:pt>
                <c:pt idx="748">
                  <c:v>44292</c:v>
                </c:pt>
                <c:pt idx="749">
                  <c:v>44299</c:v>
                </c:pt>
                <c:pt idx="750">
                  <c:v>44306</c:v>
                </c:pt>
                <c:pt idx="751">
                  <c:v>44313</c:v>
                </c:pt>
                <c:pt idx="752">
                  <c:v>44320</c:v>
                </c:pt>
                <c:pt idx="753">
                  <c:v>44327</c:v>
                </c:pt>
                <c:pt idx="754">
                  <c:v>44334</c:v>
                </c:pt>
                <c:pt idx="755">
                  <c:v>44341</c:v>
                </c:pt>
                <c:pt idx="756">
                  <c:v>44348</c:v>
                </c:pt>
                <c:pt idx="757">
                  <c:v>44355</c:v>
                </c:pt>
                <c:pt idx="758">
                  <c:v>44362</c:v>
                </c:pt>
                <c:pt idx="759">
                  <c:v>44369</c:v>
                </c:pt>
                <c:pt idx="760">
                  <c:v>44376</c:v>
                </c:pt>
                <c:pt idx="761">
                  <c:v>44383</c:v>
                </c:pt>
                <c:pt idx="762">
                  <c:v>44390</c:v>
                </c:pt>
                <c:pt idx="763">
                  <c:v>44397</c:v>
                </c:pt>
                <c:pt idx="764">
                  <c:v>44404</c:v>
                </c:pt>
                <c:pt idx="765">
                  <c:v>44411</c:v>
                </c:pt>
                <c:pt idx="766">
                  <c:v>44418</c:v>
                </c:pt>
                <c:pt idx="767">
                  <c:v>44425</c:v>
                </c:pt>
                <c:pt idx="768">
                  <c:v>44432</c:v>
                </c:pt>
                <c:pt idx="769">
                  <c:v>44439</c:v>
                </c:pt>
                <c:pt idx="770">
                  <c:v>44446</c:v>
                </c:pt>
                <c:pt idx="771">
                  <c:v>44453</c:v>
                </c:pt>
                <c:pt idx="772">
                  <c:v>44460</c:v>
                </c:pt>
                <c:pt idx="773">
                  <c:v>44467</c:v>
                </c:pt>
                <c:pt idx="774">
                  <c:v>44474</c:v>
                </c:pt>
                <c:pt idx="775">
                  <c:v>44481</c:v>
                </c:pt>
                <c:pt idx="776">
                  <c:v>44488</c:v>
                </c:pt>
                <c:pt idx="777">
                  <c:v>44495</c:v>
                </c:pt>
                <c:pt idx="778">
                  <c:v>44502</c:v>
                </c:pt>
                <c:pt idx="779">
                  <c:v>44509</c:v>
                </c:pt>
                <c:pt idx="780">
                  <c:v>44516</c:v>
                </c:pt>
                <c:pt idx="781">
                  <c:v>44523</c:v>
                </c:pt>
                <c:pt idx="782">
                  <c:v>44530</c:v>
                </c:pt>
                <c:pt idx="783">
                  <c:v>44537</c:v>
                </c:pt>
                <c:pt idx="784">
                  <c:v>44544</c:v>
                </c:pt>
                <c:pt idx="785">
                  <c:v>44551</c:v>
                </c:pt>
                <c:pt idx="786">
                  <c:v>44559</c:v>
                </c:pt>
                <c:pt idx="787">
                  <c:v>44566</c:v>
                </c:pt>
                <c:pt idx="788">
                  <c:v>44573</c:v>
                </c:pt>
                <c:pt idx="789">
                  <c:v>44580</c:v>
                </c:pt>
                <c:pt idx="790">
                  <c:v>44587</c:v>
                </c:pt>
                <c:pt idx="791">
                  <c:v>44594</c:v>
                </c:pt>
                <c:pt idx="792">
                  <c:v>44601</c:v>
                </c:pt>
                <c:pt idx="793">
                  <c:v>44608</c:v>
                </c:pt>
                <c:pt idx="794">
                  <c:v>44615</c:v>
                </c:pt>
                <c:pt idx="795">
                  <c:v>44622</c:v>
                </c:pt>
                <c:pt idx="796">
                  <c:v>44629</c:v>
                </c:pt>
                <c:pt idx="797">
                  <c:v>44636</c:v>
                </c:pt>
                <c:pt idx="798">
                  <c:v>44643</c:v>
                </c:pt>
                <c:pt idx="799">
                  <c:v>44650</c:v>
                </c:pt>
                <c:pt idx="800">
                  <c:v>44657</c:v>
                </c:pt>
                <c:pt idx="801">
                  <c:v>44664</c:v>
                </c:pt>
                <c:pt idx="802">
                  <c:v>44671</c:v>
                </c:pt>
                <c:pt idx="803">
                  <c:v>44678</c:v>
                </c:pt>
                <c:pt idx="804">
                  <c:v>44685</c:v>
                </c:pt>
                <c:pt idx="805">
                  <c:v>44692</c:v>
                </c:pt>
                <c:pt idx="806">
                  <c:v>44699</c:v>
                </c:pt>
                <c:pt idx="807">
                  <c:v>44706</c:v>
                </c:pt>
                <c:pt idx="808">
                  <c:v>44713</c:v>
                </c:pt>
                <c:pt idx="809">
                  <c:v>44720</c:v>
                </c:pt>
                <c:pt idx="810">
                  <c:v>44727</c:v>
                </c:pt>
                <c:pt idx="811">
                  <c:v>44734</c:v>
                </c:pt>
                <c:pt idx="812">
                  <c:v>44741</c:v>
                </c:pt>
                <c:pt idx="813">
                  <c:v>44748</c:v>
                </c:pt>
                <c:pt idx="814">
                  <c:v>44755</c:v>
                </c:pt>
                <c:pt idx="815">
                  <c:v>44762</c:v>
                </c:pt>
                <c:pt idx="816">
                  <c:v>44769</c:v>
                </c:pt>
                <c:pt idx="817">
                  <c:v>44776</c:v>
                </c:pt>
                <c:pt idx="818">
                  <c:v>44783</c:v>
                </c:pt>
                <c:pt idx="819">
                  <c:v>44790</c:v>
                </c:pt>
                <c:pt idx="820">
                  <c:v>44797</c:v>
                </c:pt>
                <c:pt idx="821">
                  <c:v>44804</c:v>
                </c:pt>
                <c:pt idx="822">
                  <c:v>44811</c:v>
                </c:pt>
                <c:pt idx="823">
                  <c:v>44818</c:v>
                </c:pt>
                <c:pt idx="824">
                  <c:v>44825</c:v>
                </c:pt>
                <c:pt idx="825">
                  <c:v>44832</c:v>
                </c:pt>
                <c:pt idx="826">
                  <c:v>44839</c:v>
                </c:pt>
                <c:pt idx="827">
                  <c:v>44846</c:v>
                </c:pt>
                <c:pt idx="828">
                  <c:v>44853</c:v>
                </c:pt>
                <c:pt idx="829">
                  <c:v>44860</c:v>
                </c:pt>
                <c:pt idx="830">
                  <c:v>44867</c:v>
                </c:pt>
                <c:pt idx="831">
                  <c:v>44874</c:v>
                </c:pt>
                <c:pt idx="832">
                  <c:v>44881</c:v>
                </c:pt>
                <c:pt idx="833">
                  <c:v>44888</c:v>
                </c:pt>
                <c:pt idx="834">
                  <c:v>44895</c:v>
                </c:pt>
                <c:pt idx="835">
                  <c:v>44902</c:v>
                </c:pt>
                <c:pt idx="836">
                  <c:v>44909</c:v>
                </c:pt>
                <c:pt idx="837">
                  <c:v>44916</c:v>
                </c:pt>
                <c:pt idx="838">
                  <c:v>44923</c:v>
                </c:pt>
                <c:pt idx="839">
                  <c:v>44930</c:v>
                </c:pt>
                <c:pt idx="840">
                  <c:v>44937</c:v>
                </c:pt>
                <c:pt idx="841">
                  <c:v>44944</c:v>
                </c:pt>
                <c:pt idx="842">
                  <c:v>44951</c:v>
                </c:pt>
                <c:pt idx="843">
                  <c:v>44958</c:v>
                </c:pt>
                <c:pt idx="844">
                  <c:v>44965</c:v>
                </c:pt>
                <c:pt idx="845">
                  <c:v>44972</c:v>
                </c:pt>
                <c:pt idx="846">
                  <c:v>44979</c:v>
                </c:pt>
                <c:pt idx="847">
                  <c:v>44986</c:v>
                </c:pt>
                <c:pt idx="848">
                  <c:v>44993</c:v>
                </c:pt>
                <c:pt idx="849">
                  <c:v>45000</c:v>
                </c:pt>
                <c:pt idx="850">
                  <c:v>45007</c:v>
                </c:pt>
                <c:pt idx="851">
                  <c:v>45014</c:v>
                </c:pt>
                <c:pt idx="852">
                  <c:v>45021</c:v>
                </c:pt>
                <c:pt idx="853">
                  <c:v>45028</c:v>
                </c:pt>
                <c:pt idx="854">
                  <c:v>45035</c:v>
                </c:pt>
                <c:pt idx="855">
                  <c:v>45042</c:v>
                </c:pt>
                <c:pt idx="856">
                  <c:v>45049</c:v>
                </c:pt>
                <c:pt idx="857">
                  <c:v>45056</c:v>
                </c:pt>
                <c:pt idx="858">
                  <c:v>45063</c:v>
                </c:pt>
                <c:pt idx="859">
                  <c:v>45070</c:v>
                </c:pt>
                <c:pt idx="860">
                  <c:v>45077</c:v>
                </c:pt>
                <c:pt idx="861">
                  <c:v>45084</c:v>
                </c:pt>
                <c:pt idx="862">
                  <c:v>45091</c:v>
                </c:pt>
                <c:pt idx="863">
                  <c:v>45098</c:v>
                </c:pt>
                <c:pt idx="864">
                  <c:v>45105</c:v>
                </c:pt>
                <c:pt idx="865">
                  <c:v>45112</c:v>
                </c:pt>
                <c:pt idx="866">
                  <c:v>45119</c:v>
                </c:pt>
                <c:pt idx="867">
                  <c:v>45126</c:v>
                </c:pt>
                <c:pt idx="868">
                  <c:v>45133</c:v>
                </c:pt>
                <c:pt idx="869">
                  <c:v>45140</c:v>
                </c:pt>
                <c:pt idx="870">
                  <c:v>45147</c:v>
                </c:pt>
                <c:pt idx="871">
                  <c:v>45154</c:v>
                </c:pt>
                <c:pt idx="872">
                  <c:v>45161</c:v>
                </c:pt>
                <c:pt idx="873">
                  <c:v>45168</c:v>
                </c:pt>
                <c:pt idx="874">
                  <c:v>45175</c:v>
                </c:pt>
                <c:pt idx="875">
                  <c:v>45182</c:v>
                </c:pt>
                <c:pt idx="876">
                  <c:v>45189</c:v>
                </c:pt>
                <c:pt idx="877">
                  <c:v>45196</c:v>
                </c:pt>
                <c:pt idx="878">
                  <c:v>45203</c:v>
                </c:pt>
                <c:pt idx="879">
                  <c:v>45210</c:v>
                </c:pt>
                <c:pt idx="880">
                  <c:v>45217</c:v>
                </c:pt>
                <c:pt idx="881">
                  <c:v>45224</c:v>
                </c:pt>
                <c:pt idx="882">
                  <c:v>45231</c:v>
                </c:pt>
                <c:pt idx="883">
                  <c:v>45238</c:v>
                </c:pt>
                <c:pt idx="884">
                  <c:v>45245</c:v>
                </c:pt>
                <c:pt idx="885">
                  <c:v>45252</c:v>
                </c:pt>
                <c:pt idx="886">
                  <c:v>45259</c:v>
                </c:pt>
                <c:pt idx="887">
                  <c:v>45266</c:v>
                </c:pt>
                <c:pt idx="888">
                  <c:v>45273</c:v>
                </c:pt>
                <c:pt idx="889">
                  <c:v>45280</c:v>
                </c:pt>
                <c:pt idx="890">
                  <c:v>45287</c:v>
                </c:pt>
                <c:pt idx="891">
                  <c:v>45294</c:v>
                </c:pt>
                <c:pt idx="892">
                  <c:v>45301</c:v>
                </c:pt>
                <c:pt idx="893">
                  <c:v>45308</c:v>
                </c:pt>
                <c:pt idx="894">
                  <c:v>45315</c:v>
                </c:pt>
                <c:pt idx="895">
                  <c:v>45322</c:v>
                </c:pt>
                <c:pt idx="896">
                  <c:v>45329</c:v>
                </c:pt>
                <c:pt idx="897">
                  <c:v>45336</c:v>
                </c:pt>
                <c:pt idx="898">
                  <c:v>45343</c:v>
                </c:pt>
                <c:pt idx="899">
                  <c:v>45350</c:v>
                </c:pt>
                <c:pt idx="900">
                  <c:v>45357</c:v>
                </c:pt>
                <c:pt idx="901">
                  <c:v>45364</c:v>
                </c:pt>
                <c:pt idx="902">
                  <c:v>45371</c:v>
                </c:pt>
                <c:pt idx="903">
                  <c:v>45378</c:v>
                </c:pt>
                <c:pt idx="904">
                  <c:v>45385</c:v>
                </c:pt>
                <c:pt idx="905">
                  <c:v>45392</c:v>
                </c:pt>
                <c:pt idx="906">
                  <c:v>45399</c:v>
                </c:pt>
                <c:pt idx="907">
                  <c:v>45406</c:v>
                </c:pt>
                <c:pt idx="908">
                  <c:v>45413</c:v>
                </c:pt>
                <c:pt idx="909">
                  <c:v>45420</c:v>
                </c:pt>
                <c:pt idx="910">
                  <c:v>45427</c:v>
                </c:pt>
                <c:pt idx="911">
                  <c:v>45434</c:v>
                </c:pt>
                <c:pt idx="912">
                  <c:v>45441</c:v>
                </c:pt>
                <c:pt idx="913">
                  <c:v>45448</c:v>
                </c:pt>
                <c:pt idx="914">
                  <c:v>45455</c:v>
                </c:pt>
                <c:pt idx="915">
                  <c:v>45462</c:v>
                </c:pt>
                <c:pt idx="916">
                  <c:v>45469</c:v>
                </c:pt>
                <c:pt idx="917">
                  <c:v>45476</c:v>
                </c:pt>
                <c:pt idx="918">
                  <c:v>45483</c:v>
                </c:pt>
                <c:pt idx="919">
                  <c:v>45490</c:v>
                </c:pt>
                <c:pt idx="920">
                  <c:v>45497</c:v>
                </c:pt>
                <c:pt idx="921">
                  <c:v>45504</c:v>
                </c:pt>
                <c:pt idx="922">
                  <c:v>45511</c:v>
                </c:pt>
                <c:pt idx="923">
                  <c:v>45518</c:v>
                </c:pt>
                <c:pt idx="924">
                  <c:v>45525</c:v>
                </c:pt>
                <c:pt idx="925">
                  <c:v>45532</c:v>
                </c:pt>
                <c:pt idx="926">
                  <c:v>45539</c:v>
                </c:pt>
                <c:pt idx="927">
                  <c:v>45546</c:v>
                </c:pt>
                <c:pt idx="928">
                  <c:v>45553</c:v>
                </c:pt>
                <c:pt idx="929">
                  <c:v>45560</c:v>
                </c:pt>
                <c:pt idx="930">
                  <c:v>45567</c:v>
                </c:pt>
                <c:pt idx="931">
                  <c:v>45574</c:v>
                </c:pt>
                <c:pt idx="932">
                  <c:v>45581</c:v>
                </c:pt>
                <c:pt idx="933">
                  <c:v>45588</c:v>
                </c:pt>
                <c:pt idx="934">
                  <c:v>45595</c:v>
                </c:pt>
                <c:pt idx="935">
                  <c:v>45602</c:v>
                </c:pt>
                <c:pt idx="936">
                  <c:v>45609</c:v>
                </c:pt>
                <c:pt idx="937">
                  <c:v>45616</c:v>
                </c:pt>
                <c:pt idx="938">
                  <c:v>45623</c:v>
                </c:pt>
                <c:pt idx="939">
                  <c:v>45630</c:v>
                </c:pt>
                <c:pt idx="940">
                  <c:v>45637</c:v>
                </c:pt>
                <c:pt idx="941">
                  <c:v>45644</c:v>
                </c:pt>
                <c:pt idx="942">
                  <c:v>45653</c:v>
                </c:pt>
                <c:pt idx="943">
                  <c:v>45660</c:v>
                </c:pt>
                <c:pt idx="944">
                  <c:v>45667</c:v>
                </c:pt>
                <c:pt idx="945">
                  <c:v>45674</c:v>
                </c:pt>
                <c:pt idx="946">
                  <c:v>45681</c:v>
                </c:pt>
                <c:pt idx="947">
                  <c:v>45688</c:v>
                </c:pt>
                <c:pt idx="948">
                  <c:v>45695</c:v>
                </c:pt>
                <c:pt idx="949">
                  <c:v>45702</c:v>
                </c:pt>
                <c:pt idx="950">
                  <c:v>45709</c:v>
                </c:pt>
                <c:pt idx="951">
                  <c:v>45716</c:v>
                </c:pt>
                <c:pt idx="952">
                  <c:v>45723</c:v>
                </c:pt>
                <c:pt idx="953">
                  <c:v>45730</c:v>
                </c:pt>
                <c:pt idx="954">
                  <c:v>45737</c:v>
                </c:pt>
                <c:pt idx="955">
                  <c:v>45744</c:v>
                </c:pt>
                <c:pt idx="956">
                  <c:v>45751</c:v>
                </c:pt>
                <c:pt idx="957">
                  <c:v>45758</c:v>
                </c:pt>
                <c:pt idx="958">
                  <c:v>45769</c:v>
                </c:pt>
                <c:pt idx="959">
                  <c:v>45776</c:v>
                </c:pt>
                <c:pt idx="960">
                  <c:v>45783</c:v>
                </c:pt>
                <c:pt idx="961">
                  <c:v>45790</c:v>
                </c:pt>
                <c:pt idx="962">
                  <c:v>45797</c:v>
                </c:pt>
                <c:pt idx="963">
                  <c:v>45804</c:v>
                </c:pt>
                <c:pt idx="964">
                  <c:v>45811</c:v>
                </c:pt>
                <c:pt idx="965">
                  <c:v>45818</c:v>
                </c:pt>
                <c:pt idx="966">
                  <c:v>45825</c:v>
                </c:pt>
                <c:pt idx="967">
                  <c:v>45832</c:v>
                </c:pt>
                <c:pt idx="968">
                  <c:v>45839</c:v>
                </c:pt>
                <c:pt idx="969">
                  <c:v>45846</c:v>
                </c:pt>
                <c:pt idx="970">
                  <c:v>45853</c:v>
                </c:pt>
                <c:pt idx="971">
                  <c:v>45860</c:v>
                </c:pt>
                <c:pt idx="972">
                  <c:v>45867</c:v>
                </c:pt>
                <c:pt idx="973">
                  <c:v>45874</c:v>
                </c:pt>
                <c:pt idx="974">
                  <c:v>45881</c:v>
                </c:pt>
                <c:pt idx="975">
                  <c:v>45888</c:v>
                </c:pt>
                <c:pt idx="976">
                  <c:v>45895</c:v>
                </c:pt>
                <c:pt idx="977">
                  <c:v>45902</c:v>
                </c:pt>
                <c:pt idx="978">
                  <c:v>45909</c:v>
                </c:pt>
                <c:pt idx="979">
                  <c:v>45916</c:v>
                </c:pt>
                <c:pt idx="980">
                  <c:v>45923</c:v>
                </c:pt>
                <c:pt idx="981">
                  <c:v>45930</c:v>
                </c:pt>
                <c:pt idx="982">
                  <c:v>45937</c:v>
                </c:pt>
                <c:pt idx="983">
                  <c:v>45944</c:v>
                </c:pt>
                <c:pt idx="984">
                  <c:v>45951</c:v>
                </c:pt>
                <c:pt idx="985">
                  <c:v>45958</c:v>
                </c:pt>
                <c:pt idx="986">
                  <c:v>45965</c:v>
                </c:pt>
                <c:pt idx="987">
                  <c:v>45972</c:v>
                </c:pt>
                <c:pt idx="988">
                  <c:v>45979</c:v>
                </c:pt>
                <c:pt idx="989">
                  <c:v>45986</c:v>
                </c:pt>
                <c:pt idx="990">
                  <c:v>45993</c:v>
                </c:pt>
                <c:pt idx="991">
                  <c:v>46000</c:v>
                </c:pt>
                <c:pt idx="992">
                  <c:v>46007</c:v>
                </c:pt>
                <c:pt idx="993">
                  <c:v>46014</c:v>
                </c:pt>
                <c:pt idx="994">
                  <c:v>46021</c:v>
                </c:pt>
                <c:pt idx="995">
                  <c:v>46028</c:v>
                </c:pt>
                <c:pt idx="996">
                  <c:v>46035</c:v>
                </c:pt>
                <c:pt idx="997">
                  <c:v>46042</c:v>
                </c:pt>
                <c:pt idx="998">
                  <c:v>46049</c:v>
                </c:pt>
                <c:pt idx="999">
                  <c:v>46056</c:v>
                </c:pt>
                <c:pt idx="1000">
                  <c:v>46063</c:v>
                </c:pt>
                <c:pt idx="1001">
                  <c:v>46070</c:v>
                </c:pt>
                <c:pt idx="1002">
                  <c:v>46077</c:v>
                </c:pt>
                <c:pt idx="1003">
                  <c:v>46084</c:v>
                </c:pt>
                <c:pt idx="1004">
                  <c:v>46091</c:v>
                </c:pt>
                <c:pt idx="1005">
                  <c:v>46098</c:v>
                </c:pt>
                <c:pt idx="1006">
                  <c:v>46105</c:v>
                </c:pt>
                <c:pt idx="1007">
                  <c:v>46112</c:v>
                </c:pt>
                <c:pt idx="1008">
                  <c:v>46119</c:v>
                </c:pt>
                <c:pt idx="1009">
                  <c:v>46126</c:v>
                </c:pt>
                <c:pt idx="1010">
                  <c:v>46133</c:v>
                </c:pt>
                <c:pt idx="1011">
                  <c:v>46140</c:v>
                </c:pt>
                <c:pt idx="1012">
                  <c:v>46147</c:v>
                </c:pt>
                <c:pt idx="1013">
                  <c:v>46154</c:v>
                </c:pt>
                <c:pt idx="1014">
                  <c:v>46161</c:v>
                </c:pt>
                <c:pt idx="1015">
                  <c:v>46168</c:v>
                </c:pt>
                <c:pt idx="1016">
                  <c:v>46175</c:v>
                </c:pt>
                <c:pt idx="1017">
                  <c:v>46182</c:v>
                </c:pt>
                <c:pt idx="1018">
                  <c:v>46189</c:v>
                </c:pt>
                <c:pt idx="1019">
                  <c:v>46196</c:v>
                </c:pt>
                <c:pt idx="1020">
                  <c:v>46203</c:v>
                </c:pt>
                <c:pt idx="1021">
                  <c:v>46210</c:v>
                </c:pt>
                <c:pt idx="1022">
                  <c:v>46217</c:v>
                </c:pt>
                <c:pt idx="1023">
                  <c:v>46224</c:v>
                </c:pt>
                <c:pt idx="1024">
                  <c:v>46231</c:v>
                </c:pt>
                <c:pt idx="1025">
                  <c:v>46238</c:v>
                </c:pt>
                <c:pt idx="1026">
                  <c:v>46245</c:v>
                </c:pt>
                <c:pt idx="1027">
                  <c:v>46252</c:v>
                </c:pt>
                <c:pt idx="1028">
                  <c:v>46259</c:v>
                </c:pt>
                <c:pt idx="1029">
                  <c:v>46266</c:v>
                </c:pt>
                <c:pt idx="1030">
                  <c:v>46273</c:v>
                </c:pt>
                <c:pt idx="1031">
                  <c:v>46280</c:v>
                </c:pt>
                <c:pt idx="1032">
                  <c:v>46287</c:v>
                </c:pt>
                <c:pt idx="1033">
                  <c:v>46294</c:v>
                </c:pt>
                <c:pt idx="1034">
                  <c:v>46301</c:v>
                </c:pt>
                <c:pt idx="1035">
                  <c:v>46308</c:v>
                </c:pt>
                <c:pt idx="1036">
                  <c:v>46315</c:v>
                </c:pt>
                <c:pt idx="1037">
                  <c:v>46322</c:v>
                </c:pt>
                <c:pt idx="1038">
                  <c:v>46329</c:v>
                </c:pt>
                <c:pt idx="1039">
                  <c:v>46336</c:v>
                </c:pt>
                <c:pt idx="1040">
                  <c:v>46343</c:v>
                </c:pt>
                <c:pt idx="1041">
                  <c:v>46350</c:v>
                </c:pt>
                <c:pt idx="1042">
                  <c:v>46357</c:v>
                </c:pt>
                <c:pt idx="1043">
                  <c:v>46364</c:v>
                </c:pt>
                <c:pt idx="1044">
                  <c:v>46371</c:v>
                </c:pt>
                <c:pt idx="1045">
                  <c:v>46378</c:v>
                </c:pt>
                <c:pt idx="1046">
                  <c:v>46385</c:v>
                </c:pt>
                <c:pt idx="1047">
                  <c:v>46392</c:v>
                </c:pt>
                <c:pt idx="1048">
                  <c:v>46399</c:v>
                </c:pt>
                <c:pt idx="1049">
                  <c:v>46406</c:v>
                </c:pt>
                <c:pt idx="1050">
                  <c:v>46413</c:v>
                </c:pt>
                <c:pt idx="1051">
                  <c:v>46420</c:v>
                </c:pt>
                <c:pt idx="1052">
                  <c:v>46427</c:v>
                </c:pt>
                <c:pt idx="1053">
                  <c:v>46434</c:v>
                </c:pt>
                <c:pt idx="1054">
                  <c:v>46441</c:v>
                </c:pt>
                <c:pt idx="1055">
                  <c:v>46448</c:v>
                </c:pt>
                <c:pt idx="1056">
                  <c:v>46455</c:v>
                </c:pt>
                <c:pt idx="1057">
                  <c:v>46462</c:v>
                </c:pt>
                <c:pt idx="1058">
                  <c:v>46469</c:v>
                </c:pt>
                <c:pt idx="1059">
                  <c:v>46476</c:v>
                </c:pt>
                <c:pt idx="1060">
                  <c:v>46483</c:v>
                </c:pt>
                <c:pt idx="1061">
                  <c:v>46490</c:v>
                </c:pt>
                <c:pt idx="1062">
                  <c:v>46497</c:v>
                </c:pt>
                <c:pt idx="1063">
                  <c:v>46504</c:v>
                </c:pt>
                <c:pt idx="1064">
                  <c:v>46511</c:v>
                </c:pt>
                <c:pt idx="1065">
                  <c:v>46518</c:v>
                </c:pt>
                <c:pt idx="1066">
                  <c:v>46525</c:v>
                </c:pt>
                <c:pt idx="1067">
                  <c:v>46532</c:v>
                </c:pt>
                <c:pt idx="1068">
                  <c:v>46539</c:v>
                </c:pt>
                <c:pt idx="1069">
                  <c:v>46546</c:v>
                </c:pt>
                <c:pt idx="1070">
                  <c:v>46553</c:v>
                </c:pt>
                <c:pt idx="1071">
                  <c:v>46560</c:v>
                </c:pt>
                <c:pt idx="1072">
                  <c:v>46567</c:v>
                </c:pt>
                <c:pt idx="1073">
                  <c:v>46574</c:v>
                </c:pt>
                <c:pt idx="1074">
                  <c:v>46581</c:v>
                </c:pt>
                <c:pt idx="1075">
                  <c:v>46588</c:v>
                </c:pt>
                <c:pt idx="1076">
                  <c:v>46595</c:v>
                </c:pt>
                <c:pt idx="1077">
                  <c:v>46602</c:v>
                </c:pt>
                <c:pt idx="1078">
                  <c:v>46609</c:v>
                </c:pt>
                <c:pt idx="1079">
                  <c:v>46616</c:v>
                </c:pt>
                <c:pt idx="1080">
                  <c:v>46623</c:v>
                </c:pt>
                <c:pt idx="1081">
                  <c:v>46630</c:v>
                </c:pt>
                <c:pt idx="1082">
                  <c:v>46637</c:v>
                </c:pt>
                <c:pt idx="1083">
                  <c:v>46644</c:v>
                </c:pt>
                <c:pt idx="1084">
                  <c:v>46651</c:v>
                </c:pt>
                <c:pt idx="1085">
                  <c:v>46658</c:v>
                </c:pt>
                <c:pt idx="1086">
                  <c:v>46665</c:v>
                </c:pt>
                <c:pt idx="1087">
                  <c:v>46672</c:v>
                </c:pt>
                <c:pt idx="1088">
                  <c:v>46679</c:v>
                </c:pt>
                <c:pt idx="1089">
                  <c:v>46686</c:v>
                </c:pt>
                <c:pt idx="1090">
                  <c:v>46693</c:v>
                </c:pt>
                <c:pt idx="1091">
                  <c:v>46700</c:v>
                </c:pt>
                <c:pt idx="1092">
                  <c:v>46707</c:v>
                </c:pt>
                <c:pt idx="1093">
                  <c:v>46714</c:v>
                </c:pt>
                <c:pt idx="1094">
                  <c:v>46721</c:v>
                </c:pt>
                <c:pt idx="1095">
                  <c:v>46728</c:v>
                </c:pt>
                <c:pt idx="1096">
                  <c:v>46735</c:v>
                </c:pt>
                <c:pt idx="1097">
                  <c:v>46742</c:v>
                </c:pt>
                <c:pt idx="1098">
                  <c:v>46750</c:v>
                </c:pt>
                <c:pt idx="1099">
                  <c:v>46757</c:v>
                </c:pt>
                <c:pt idx="1100">
                  <c:v>46764</c:v>
                </c:pt>
                <c:pt idx="1101">
                  <c:v>46771</c:v>
                </c:pt>
                <c:pt idx="1102">
                  <c:v>46778</c:v>
                </c:pt>
                <c:pt idx="1103">
                  <c:v>46785</c:v>
                </c:pt>
                <c:pt idx="1104">
                  <c:v>46792</c:v>
                </c:pt>
                <c:pt idx="1105">
                  <c:v>46799</c:v>
                </c:pt>
                <c:pt idx="1106">
                  <c:v>46806</c:v>
                </c:pt>
                <c:pt idx="1107">
                  <c:v>46813</c:v>
                </c:pt>
                <c:pt idx="1108">
                  <c:v>46820</c:v>
                </c:pt>
                <c:pt idx="1109">
                  <c:v>46827</c:v>
                </c:pt>
                <c:pt idx="1110">
                  <c:v>46834</c:v>
                </c:pt>
                <c:pt idx="1111">
                  <c:v>46841</c:v>
                </c:pt>
                <c:pt idx="1112">
                  <c:v>46848</c:v>
                </c:pt>
                <c:pt idx="1113">
                  <c:v>46855</c:v>
                </c:pt>
                <c:pt idx="1114">
                  <c:v>46862</c:v>
                </c:pt>
                <c:pt idx="1115">
                  <c:v>46869</c:v>
                </c:pt>
                <c:pt idx="1116">
                  <c:v>46876</c:v>
                </c:pt>
                <c:pt idx="1117">
                  <c:v>46883</c:v>
                </c:pt>
                <c:pt idx="1118">
                  <c:v>46890</c:v>
                </c:pt>
                <c:pt idx="1119">
                  <c:v>46897</c:v>
                </c:pt>
                <c:pt idx="1120">
                  <c:v>46904</c:v>
                </c:pt>
                <c:pt idx="1121">
                  <c:v>46911</c:v>
                </c:pt>
                <c:pt idx="1122">
                  <c:v>46918</c:v>
                </c:pt>
                <c:pt idx="1123">
                  <c:v>46925</c:v>
                </c:pt>
                <c:pt idx="1124">
                  <c:v>46932</c:v>
                </c:pt>
                <c:pt idx="1125">
                  <c:v>46939</c:v>
                </c:pt>
                <c:pt idx="1126">
                  <c:v>46946</c:v>
                </c:pt>
                <c:pt idx="1127">
                  <c:v>46953</c:v>
                </c:pt>
                <c:pt idx="1128">
                  <c:v>46960</c:v>
                </c:pt>
                <c:pt idx="1129">
                  <c:v>46967</c:v>
                </c:pt>
                <c:pt idx="1130">
                  <c:v>46974</c:v>
                </c:pt>
                <c:pt idx="1131">
                  <c:v>46981</c:v>
                </c:pt>
                <c:pt idx="1132">
                  <c:v>46988</c:v>
                </c:pt>
                <c:pt idx="1133">
                  <c:v>46995</c:v>
                </c:pt>
                <c:pt idx="1134">
                  <c:v>47002</c:v>
                </c:pt>
                <c:pt idx="1135">
                  <c:v>47009</c:v>
                </c:pt>
                <c:pt idx="1136">
                  <c:v>47016</c:v>
                </c:pt>
                <c:pt idx="1137">
                  <c:v>47023</c:v>
                </c:pt>
                <c:pt idx="1138">
                  <c:v>47030</c:v>
                </c:pt>
                <c:pt idx="1139">
                  <c:v>47037</c:v>
                </c:pt>
                <c:pt idx="1140">
                  <c:v>47044</c:v>
                </c:pt>
                <c:pt idx="1141">
                  <c:v>47051</c:v>
                </c:pt>
                <c:pt idx="1142">
                  <c:v>47058</c:v>
                </c:pt>
                <c:pt idx="1143">
                  <c:v>47065</c:v>
                </c:pt>
                <c:pt idx="1144">
                  <c:v>47072</c:v>
                </c:pt>
                <c:pt idx="1145">
                  <c:v>47079</c:v>
                </c:pt>
                <c:pt idx="1146">
                  <c:v>47086</c:v>
                </c:pt>
                <c:pt idx="1147">
                  <c:v>47093</c:v>
                </c:pt>
                <c:pt idx="1148">
                  <c:v>47100</c:v>
                </c:pt>
                <c:pt idx="1149">
                  <c:v>47107</c:v>
                </c:pt>
                <c:pt idx="1150">
                  <c:v>47114</c:v>
                </c:pt>
                <c:pt idx="1151">
                  <c:v>47121</c:v>
                </c:pt>
                <c:pt idx="1152">
                  <c:v>47128</c:v>
                </c:pt>
                <c:pt idx="1153">
                  <c:v>47135</c:v>
                </c:pt>
                <c:pt idx="1154">
                  <c:v>47142</c:v>
                </c:pt>
                <c:pt idx="1155">
                  <c:v>47149</c:v>
                </c:pt>
                <c:pt idx="1156">
                  <c:v>47156</c:v>
                </c:pt>
                <c:pt idx="1157">
                  <c:v>47163</c:v>
                </c:pt>
                <c:pt idx="1158">
                  <c:v>47170</c:v>
                </c:pt>
                <c:pt idx="1159">
                  <c:v>47177</c:v>
                </c:pt>
                <c:pt idx="1160">
                  <c:v>47184</c:v>
                </c:pt>
                <c:pt idx="1161">
                  <c:v>47191</c:v>
                </c:pt>
                <c:pt idx="1162">
                  <c:v>47198</c:v>
                </c:pt>
                <c:pt idx="1163">
                  <c:v>47205</c:v>
                </c:pt>
                <c:pt idx="1164">
                  <c:v>47212</c:v>
                </c:pt>
                <c:pt idx="1165">
                  <c:v>47219</c:v>
                </c:pt>
                <c:pt idx="1166">
                  <c:v>47226</c:v>
                </c:pt>
                <c:pt idx="1167">
                  <c:v>47233</c:v>
                </c:pt>
                <c:pt idx="1168">
                  <c:v>47240</c:v>
                </c:pt>
                <c:pt idx="1169">
                  <c:v>47247</c:v>
                </c:pt>
                <c:pt idx="1170">
                  <c:v>47254</c:v>
                </c:pt>
                <c:pt idx="1171">
                  <c:v>47261</c:v>
                </c:pt>
                <c:pt idx="1172">
                  <c:v>47268</c:v>
                </c:pt>
                <c:pt idx="1173">
                  <c:v>47275</c:v>
                </c:pt>
                <c:pt idx="1174">
                  <c:v>47282</c:v>
                </c:pt>
                <c:pt idx="1175">
                  <c:v>47289</c:v>
                </c:pt>
                <c:pt idx="1176">
                  <c:v>47296</c:v>
                </c:pt>
                <c:pt idx="1177">
                  <c:v>47303</c:v>
                </c:pt>
                <c:pt idx="1178">
                  <c:v>47310</c:v>
                </c:pt>
                <c:pt idx="1179">
                  <c:v>47317</c:v>
                </c:pt>
                <c:pt idx="1180">
                  <c:v>47324</c:v>
                </c:pt>
                <c:pt idx="1181">
                  <c:v>47331</c:v>
                </c:pt>
                <c:pt idx="1182">
                  <c:v>47338</c:v>
                </c:pt>
                <c:pt idx="1183">
                  <c:v>47345</c:v>
                </c:pt>
                <c:pt idx="1184">
                  <c:v>47352</c:v>
                </c:pt>
                <c:pt idx="1185">
                  <c:v>47359</c:v>
                </c:pt>
                <c:pt idx="1186">
                  <c:v>47366</c:v>
                </c:pt>
                <c:pt idx="1187">
                  <c:v>47373</c:v>
                </c:pt>
                <c:pt idx="1188">
                  <c:v>47380</c:v>
                </c:pt>
                <c:pt idx="1189">
                  <c:v>47387</c:v>
                </c:pt>
                <c:pt idx="1190">
                  <c:v>47394</c:v>
                </c:pt>
                <c:pt idx="1191">
                  <c:v>47401</c:v>
                </c:pt>
                <c:pt idx="1192">
                  <c:v>47408</c:v>
                </c:pt>
                <c:pt idx="1193">
                  <c:v>47415</c:v>
                </c:pt>
                <c:pt idx="1194">
                  <c:v>47422</c:v>
                </c:pt>
                <c:pt idx="1195">
                  <c:v>47429</c:v>
                </c:pt>
                <c:pt idx="1196">
                  <c:v>47436</c:v>
                </c:pt>
                <c:pt idx="1197">
                  <c:v>47443</c:v>
                </c:pt>
                <c:pt idx="1198">
                  <c:v>47450</c:v>
                </c:pt>
                <c:pt idx="1199">
                  <c:v>47457</c:v>
                </c:pt>
                <c:pt idx="1200">
                  <c:v>47464</c:v>
                </c:pt>
                <c:pt idx="1201">
                  <c:v>47471</c:v>
                </c:pt>
                <c:pt idx="1202">
                  <c:v>47479</c:v>
                </c:pt>
                <c:pt idx="1203">
                  <c:v>47486</c:v>
                </c:pt>
                <c:pt idx="1204">
                  <c:v>47493</c:v>
                </c:pt>
                <c:pt idx="1205">
                  <c:v>47500</c:v>
                </c:pt>
                <c:pt idx="1206">
                  <c:v>47507</c:v>
                </c:pt>
                <c:pt idx="1207">
                  <c:v>47514</c:v>
                </c:pt>
                <c:pt idx="1208">
                  <c:v>47521</c:v>
                </c:pt>
                <c:pt idx="1209">
                  <c:v>47528</c:v>
                </c:pt>
                <c:pt idx="1210">
                  <c:v>47535</c:v>
                </c:pt>
                <c:pt idx="1211">
                  <c:v>47542</c:v>
                </c:pt>
                <c:pt idx="1212">
                  <c:v>47549</c:v>
                </c:pt>
                <c:pt idx="1213">
                  <c:v>47556</c:v>
                </c:pt>
                <c:pt idx="1214">
                  <c:v>47563</c:v>
                </c:pt>
                <c:pt idx="1215">
                  <c:v>47570</c:v>
                </c:pt>
                <c:pt idx="1216">
                  <c:v>47577</c:v>
                </c:pt>
                <c:pt idx="1217">
                  <c:v>47584</c:v>
                </c:pt>
                <c:pt idx="1218">
                  <c:v>47591</c:v>
                </c:pt>
                <c:pt idx="1219">
                  <c:v>47598</c:v>
                </c:pt>
                <c:pt idx="1220">
                  <c:v>47605</c:v>
                </c:pt>
                <c:pt idx="1221">
                  <c:v>47612</c:v>
                </c:pt>
                <c:pt idx="1222">
                  <c:v>47619</c:v>
                </c:pt>
                <c:pt idx="1223">
                  <c:v>47626</c:v>
                </c:pt>
                <c:pt idx="1224">
                  <c:v>47633</c:v>
                </c:pt>
                <c:pt idx="1225">
                  <c:v>47640</c:v>
                </c:pt>
                <c:pt idx="1226">
                  <c:v>47647</c:v>
                </c:pt>
                <c:pt idx="1227">
                  <c:v>47654</c:v>
                </c:pt>
                <c:pt idx="1228">
                  <c:v>47661</c:v>
                </c:pt>
                <c:pt idx="1229">
                  <c:v>47668</c:v>
                </c:pt>
                <c:pt idx="1230">
                  <c:v>47675</c:v>
                </c:pt>
                <c:pt idx="1231">
                  <c:v>47682</c:v>
                </c:pt>
                <c:pt idx="1232">
                  <c:v>47689</c:v>
                </c:pt>
                <c:pt idx="1233">
                  <c:v>47696</c:v>
                </c:pt>
                <c:pt idx="1234">
                  <c:v>47703</c:v>
                </c:pt>
                <c:pt idx="1235">
                  <c:v>47710</c:v>
                </c:pt>
                <c:pt idx="1236">
                  <c:v>47717</c:v>
                </c:pt>
                <c:pt idx="1237">
                  <c:v>47724</c:v>
                </c:pt>
                <c:pt idx="1238">
                  <c:v>47731</c:v>
                </c:pt>
                <c:pt idx="1239">
                  <c:v>47738</c:v>
                </c:pt>
                <c:pt idx="1240">
                  <c:v>47745</c:v>
                </c:pt>
                <c:pt idx="1241">
                  <c:v>47752</c:v>
                </c:pt>
                <c:pt idx="1242">
                  <c:v>47759</c:v>
                </c:pt>
                <c:pt idx="1243">
                  <c:v>47766</c:v>
                </c:pt>
                <c:pt idx="1244">
                  <c:v>47773</c:v>
                </c:pt>
                <c:pt idx="1245">
                  <c:v>47780</c:v>
                </c:pt>
                <c:pt idx="1246">
                  <c:v>47787</c:v>
                </c:pt>
                <c:pt idx="1247">
                  <c:v>47794</c:v>
                </c:pt>
                <c:pt idx="1248">
                  <c:v>47801</c:v>
                </c:pt>
                <c:pt idx="1249">
                  <c:v>47808</c:v>
                </c:pt>
                <c:pt idx="1250">
                  <c:v>47815</c:v>
                </c:pt>
                <c:pt idx="1251">
                  <c:v>47822</c:v>
                </c:pt>
                <c:pt idx="1252">
                  <c:v>47829</c:v>
                </c:pt>
                <c:pt idx="1253">
                  <c:v>47836</c:v>
                </c:pt>
                <c:pt idx="1254">
                  <c:v>47844</c:v>
                </c:pt>
                <c:pt idx="1255">
                  <c:v>47851</c:v>
                </c:pt>
                <c:pt idx="1256">
                  <c:v>47858</c:v>
                </c:pt>
                <c:pt idx="1257">
                  <c:v>47865</c:v>
                </c:pt>
                <c:pt idx="1258">
                  <c:v>47872</c:v>
                </c:pt>
                <c:pt idx="1259">
                  <c:v>47879</c:v>
                </c:pt>
                <c:pt idx="1260">
                  <c:v>47886</c:v>
                </c:pt>
                <c:pt idx="1261">
                  <c:v>47893</c:v>
                </c:pt>
                <c:pt idx="1262">
                  <c:v>47900</c:v>
                </c:pt>
                <c:pt idx="1263">
                  <c:v>47907</c:v>
                </c:pt>
                <c:pt idx="1264">
                  <c:v>47914</c:v>
                </c:pt>
                <c:pt idx="1265">
                  <c:v>47921</c:v>
                </c:pt>
                <c:pt idx="1266">
                  <c:v>47928</c:v>
                </c:pt>
                <c:pt idx="1267">
                  <c:v>47935</c:v>
                </c:pt>
                <c:pt idx="1268">
                  <c:v>47942</c:v>
                </c:pt>
                <c:pt idx="1269">
                  <c:v>47953</c:v>
                </c:pt>
                <c:pt idx="1270">
                  <c:v>47960</c:v>
                </c:pt>
                <c:pt idx="1271">
                  <c:v>47967</c:v>
                </c:pt>
                <c:pt idx="1272">
                  <c:v>47974</c:v>
                </c:pt>
                <c:pt idx="1273">
                  <c:v>47981</c:v>
                </c:pt>
                <c:pt idx="1274">
                  <c:v>47988</c:v>
                </c:pt>
                <c:pt idx="1275">
                  <c:v>47995</c:v>
                </c:pt>
                <c:pt idx="1276">
                  <c:v>48002</c:v>
                </c:pt>
                <c:pt idx="1277">
                  <c:v>48009</c:v>
                </c:pt>
                <c:pt idx="1278">
                  <c:v>48016</c:v>
                </c:pt>
                <c:pt idx="1279">
                  <c:v>48023</c:v>
                </c:pt>
                <c:pt idx="1280">
                  <c:v>48030</c:v>
                </c:pt>
                <c:pt idx="1281">
                  <c:v>48037</c:v>
                </c:pt>
                <c:pt idx="1282">
                  <c:v>48044</c:v>
                </c:pt>
                <c:pt idx="1283">
                  <c:v>48051</c:v>
                </c:pt>
                <c:pt idx="1284">
                  <c:v>48058</c:v>
                </c:pt>
                <c:pt idx="1285">
                  <c:v>48065</c:v>
                </c:pt>
                <c:pt idx="1286">
                  <c:v>48072</c:v>
                </c:pt>
                <c:pt idx="1287">
                  <c:v>48079</c:v>
                </c:pt>
                <c:pt idx="1288">
                  <c:v>48086</c:v>
                </c:pt>
                <c:pt idx="1289">
                  <c:v>48093</c:v>
                </c:pt>
                <c:pt idx="1290">
                  <c:v>48100</c:v>
                </c:pt>
                <c:pt idx="1291">
                  <c:v>48107</c:v>
                </c:pt>
                <c:pt idx="1292">
                  <c:v>48114</c:v>
                </c:pt>
                <c:pt idx="1293">
                  <c:v>48121</c:v>
                </c:pt>
                <c:pt idx="1294">
                  <c:v>48128</c:v>
                </c:pt>
                <c:pt idx="1295">
                  <c:v>48135</c:v>
                </c:pt>
                <c:pt idx="1296">
                  <c:v>48142</c:v>
                </c:pt>
                <c:pt idx="1297">
                  <c:v>48149</c:v>
                </c:pt>
                <c:pt idx="1298">
                  <c:v>48156</c:v>
                </c:pt>
                <c:pt idx="1299">
                  <c:v>48163</c:v>
                </c:pt>
                <c:pt idx="1300">
                  <c:v>48170</c:v>
                </c:pt>
                <c:pt idx="1301">
                  <c:v>48177</c:v>
                </c:pt>
                <c:pt idx="1302">
                  <c:v>48184</c:v>
                </c:pt>
                <c:pt idx="1303">
                  <c:v>48191</c:v>
                </c:pt>
                <c:pt idx="1304">
                  <c:v>48198</c:v>
                </c:pt>
                <c:pt idx="1305">
                  <c:v>48205</c:v>
                </c:pt>
                <c:pt idx="1306">
                  <c:v>48212</c:v>
                </c:pt>
                <c:pt idx="1307">
                  <c:v>48219</c:v>
                </c:pt>
                <c:pt idx="1308">
                  <c:v>48226</c:v>
                </c:pt>
                <c:pt idx="1309">
                  <c:v>48233</c:v>
                </c:pt>
                <c:pt idx="1310">
                  <c:v>48240</c:v>
                </c:pt>
                <c:pt idx="1311">
                  <c:v>48247</c:v>
                </c:pt>
                <c:pt idx="1312">
                  <c:v>48254</c:v>
                </c:pt>
                <c:pt idx="1313">
                  <c:v>48261</c:v>
                </c:pt>
                <c:pt idx="1314">
                  <c:v>48268</c:v>
                </c:pt>
                <c:pt idx="1315">
                  <c:v>48275</c:v>
                </c:pt>
                <c:pt idx="1316">
                  <c:v>48282</c:v>
                </c:pt>
                <c:pt idx="1317">
                  <c:v>48289</c:v>
                </c:pt>
                <c:pt idx="1318">
                  <c:v>48296</c:v>
                </c:pt>
                <c:pt idx="1319">
                  <c:v>48303</c:v>
                </c:pt>
                <c:pt idx="1320">
                  <c:v>48310</c:v>
                </c:pt>
                <c:pt idx="1321">
                  <c:v>48317</c:v>
                </c:pt>
                <c:pt idx="1322">
                  <c:v>48324</c:v>
                </c:pt>
                <c:pt idx="1323">
                  <c:v>48331</c:v>
                </c:pt>
                <c:pt idx="1324">
                  <c:v>48338</c:v>
                </c:pt>
                <c:pt idx="1325">
                  <c:v>48345</c:v>
                </c:pt>
                <c:pt idx="1326">
                  <c:v>48352</c:v>
                </c:pt>
                <c:pt idx="1327">
                  <c:v>48359</c:v>
                </c:pt>
                <c:pt idx="1328">
                  <c:v>48366</c:v>
                </c:pt>
                <c:pt idx="1329">
                  <c:v>48373</c:v>
                </c:pt>
                <c:pt idx="1330">
                  <c:v>48380</c:v>
                </c:pt>
                <c:pt idx="1331">
                  <c:v>48387</c:v>
                </c:pt>
                <c:pt idx="1332">
                  <c:v>48394</c:v>
                </c:pt>
                <c:pt idx="1333">
                  <c:v>48401</c:v>
                </c:pt>
                <c:pt idx="1334">
                  <c:v>48408</c:v>
                </c:pt>
                <c:pt idx="1335">
                  <c:v>48415</c:v>
                </c:pt>
                <c:pt idx="1336">
                  <c:v>48422</c:v>
                </c:pt>
                <c:pt idx="1337">
                  <c:v>48429</c:v>
                </c:pt>
                <c:pt idx="1338">
                  <c:v>48436</c:v>
                </c:pt>
                <c:pt idx="1339">
                  <c:v>48443</c:v>
                </c:pt>
                <c:pt idx="1340">
                  <c:v>48450</c:v>
                </c:pt>
                <c:pt idx="1341">
                  <c:v>48457</c:v>
                </c:pt>
                <c:pt idx="1342">
                  <c:v>48464</c:v>
                </c:pt>
                <c:pt idx="1343">
                  <c:v>48471</c:v>
                </c:pt>
                <c:pt idx="1344">
                  <c:v>48478</c:v>
                </c:pt>
                <c:pt idx="1345">
                  <c:v>48485</c:v>
                </c:pt>
                <c:pt idx="1346">
                  <c:v>48492</c:v>
                </c:pt>
                <c:pt idx="1347">
                  <c:v>48499</c:v>
                </c:pt>
                <c:pt idx="1348">
                  <c:v>48506</c:v>
                </c:pt>
                <c:pt idx="1349">
                  <c:v>48513</c:v>
                </c:pt>
                <c:pt idx="1350">
                  <c:v>48520</c:v>
                </c:pt>
                <c:pt idx="1351">
                  <c:v>48527</c:v>
                </c:pt>
                <c:pt idx="1352">
                  <c:v>48534</c:v>
                </c:pt>
                <c:pt idx="1353">
                  <c:v>48541</c:v>
                </c:pt>
                <c:pt idx="1354">
                  <c:v>48548</c:v>
                </c:pt>
                <c:pt idx="1355">
                  <c:v>48555</c:v>
                </c:pt>
                <c:pt idx="1356">
                  <c:v>48562</c:v>
                </c:pt>
                <c:pt idx="1357">
                  <c:v>48569</c:v>
                </c:pt>
                <c:pt idx="1358">
                  <c:v>48577</c:v>
                </c:pt>
                <c:pt idx="1359">
                  <c:v>48584</c:v>
                </c:pt>
                <c:pt idx="1360">
                  <c:v>48591</c:v>
                </c:pt>
                <c:pt idx="1361">
                  <c:v>48598</c:v>
                </c:pt>
                <c:pt idx="1362">
                  <c:v>48605</c:v>
                </c:pt>
                <c:pt idx="1363">
                  <c:v>48612</c:v>
                </c:pt>
                <c:pt idx="1364">
                  <c:v>48619</c:v>
                </c:pt>
                <c:pt idx="1365">
                  <c:v>48626</c:v>
                </c:pt>
                <c:pt idx="1366">
                  <c:v>48633</c:v>
                </c:pt>
                <c:pt idx="1367">
                  <c:v>48640</c:v>
                </c:pt>
                <c:pt idx="1368">
                  <c:v>48647</c:v>
                </c:pt>
                <c:pt idx="1369">
                  <c:v>48654</c:v>
                </c:pt>
                <c:pt idx="1370">
                  <c:v>48661</c:v>
                </c:pt>
                <c:pt idx="1371">
                  <c:v>48668</c:v>
                </c:pt>
                <c:pt idx="1372">
                  <c:v>48675</c:v>
                </c:pt>
                <c:pt idx="1373">
                  <c:v>48682</c:v>
                </c:pt>
                <c:pt idx="1374">
                  <c:v>48689</c:v>
                </c:pt>
                <c:pt idx="1375">
                  <c:v>48696</c:v>
                </c:pt>
                <c:pt idx="1376">
                  <c:v>48703</c:v>
                </c:pt>
                <c:pt idx="1377">
                  <c:v>48710</c:v>
                </c:pt>
                <c:pt idx="1378">
                  <c:v>48717</c:v>
                </c:pt>
                <c:pt idx="1379">
                  <c:v>48724</c:v>
                </c:pt>
                <c:pt idx="1380">
                  <c:v>48731</c:v>
                </c:pt>
                <c:pt idx="1381">
                  <c:v>48738</c:v>
                </c:pt>
                <c:pt idx="1382">
                  <c:v>48745</c:v>
                </c:pt>
                <c:pt idx="1383">
                  <c:v>48752</c:v>
                </c:pt>
                <c:pt idx="1384">
                  <c:v>48759</c:v>
                </c:pt>
                <c:pt idx="1385">
                  <c:v>48766</c:v>
                </c:pt>
                <c:pt idx="1386">
                  <c:v>48773</c:v>
                </c:pt>
                <c:pt idx="1387">
                  <c:v>48780</c:v>
                </c:pt>
                <c:pt idx="1388">
                  <c:v>48787</c:v>
                </c:pt>
                <c:pt idx="1389">
                  <c:v>48794</c:v>
                </c:pt>
                <c:pt idx="1390">
                  <c:v>48801</c:v>
                </c:pt>
                <c:pt idx="1391">
                  <c:v>48808</c:v>
                </c:pt>
                <c:pt idx="1392">
                  <c:v>48815</c:v>
                </c:pt>
                <c:pt idx="1393">
                  <c:v>48822</c:v>
                </c:pt>
                <c:pt idx="1394">
                  <c:v>48829</c:v>
                </c:pt>
                <c:pt idx="1395">
                  <c:v>48836</c:v>
                </c:pt>
                <c:pt idx="1396">
                  <c:v>48843</c:v>
                </c:pt>
                <c:pt idx="1397">
                  <c:v>48850</c:v>
                </c:pt>
                <c:pt idx="1398">
                  <c:v>48857</c:v>
                </c:pt>
                <c:pt idx="1399">
                  <c:v>48864</c:v>
                </c:pt>
                <c:pt idx="1400">
                  <c:v>48871</c:v>
                </c:pt>
                <c:pt idx="1401">
                  <c:v>48878</c:v>
                </c:pt>
                <c:pt idx="1402">
                  <c:v>48885</c:v>
                </c:pt>
                <c:pt idx="1403">
                  <c:v>48892</c:v>
                </c:pt>
                <c:pt idx="1404">
                  <c:v>48899</c:v>
                </c:pt>
                <c:pt idx="1405">
                  <c:v>48906</c:v>
                </c:pt>
                <c:pt idx="1406">
                  <c:v>48913</c:v>
                </c:pt>
                <c:pt idx="1407">
                  <c:v>48920</c:v>
                </c:pt>
                <c:pt idx="1408">
                  <c:v>48927</c:v>
                </c:pt>
                <c:pt idx="1409">
                  <c:v>48934</c:v>
                </c:pt>
                <c:pt idx="1410">
                  <c:v>48941</c:v>
                </c:pt>
                <c:pt idx="1411">
                  <c:v>48948</c:v>
                </c:pt>
                <c:pt idx="1412">
                  <c:v>48955</c:v>
                </c:pt>
                <c:pt idx="1413">
                  <c:v>48962</c:v>
                </c:pt>
                <c:pt idx="1414">
                  <c:v>48969</c:v>
                </c:pt>
                <c:pt idx="1415">
                  <c:v>48976</c:v>
                </c:pt>
                <c:pt idx="1416">
                  <c:v>48983</c:v>
                </c:pt>
                <c:pt idx="1417">
                  <c:v>48990</c:v>
                </c:pt>
                <c:pt idx="1418">
                  <c:v>48997</c:v>
                </c:pt>
                <c:pt idx="1419">
                  <c:v>49004</c:v>
                </c:pt>
                <c:pt idx="1420">
                  <c:v>49011</c:v>
                </c:pt>
                <c:pt idx="1421">
                  <c:v>49018</c:v>
                </c:pt>
                <c:pt idx="1422">
                  <c:v>49025</c:v>
                </c:pt>
                <c:pt idx="1423">
                  <c:v>49032</c:v>
                </c:pt>
                <c:pt idx="1424">
                  <c:v>49039</c:v>
                </c:pt>
                <c:pt idx="1425">
                  <c:v>49046</c:v>
                </c:pt>
                <c:pt idx="1426">
                  <c:v>49053</c:v>
                </c:pt>
                <c:pt idx="1427">
                  <c:v>49060</c:v>
                </c:pt>
                <c:pt idx="1428">
                  <c:v>49067</c:v>
                </c:pt>
                <c:pt idx="1429">
                  <c:v>49074</c:v>
                </c:pt>
                <c:pt idx="1430">
                  <c:v>49081</c:v>
                </c:pt>
                <c:pt idx="1431">
                  <c:v>49088</c:v>
                </c:pt>
                <c:pt idx="1432">
                  <c:v>49095</c:v>
                </c:pt>
                <c:pt idx="1433">
                  <c:v>49102</c:v>
                </c:pt>
                <c:pt idx="1434">
                  <c:v>49109</c:v>
                </c:pt>
                <c:pt idx="1435">
                  <c:v>49116</c:v>
                </c:pt>
                <c:pt idx="1436">
                  <c:v>49123</c:v>
                </c:pt>
                <c:pt idx="1437">
                  <c:v>49130</c:v>
                </c:pt>
                <c:pt idx="1438">
                  <c:v>49137</c:v>
                </c:pt>
                <c:pt idx="1439">
                  <c:v>49144</c:v>
                </c:pt>
                <c:pt idx="1440">
                  <c:v>49151</c:v>
                </c:pt>
                <c:pt idx="1441">
                  <c:v>49158</c:v>
                </c:pt>
                <c:pt idx="1442">
                  <c:v>49165</c:v>
                </c:pt>
                <c:pt idx="1443">
                  <c:v>49172</c:v>
                </c:pt>
                <c:pt idx="1444">
                  <c:v>49179</c:v>
                </c:pt>
                <c:pt idx="1445">
                  <c:v>49186</c:v>
                </c:pt>
                <c:pt idx="1446">
                  <c:v>49193</c:v>
                </c:pt>
                <c:pt idx="1447">
                  <c:v>49200</c:v>
                </c:pt>
                <c:pt idx="1448">
                  <c:v>49207</c:v>
                </c:pt>
                <c:pt idx="1449">
                  <c:v>49214</c:v>
                </c:pt>
                <c:pt idx="1450">
                  <c:v>49221</c:v>
                </c:pt>
                <c:pt idx="1451">
                  <c:v>49228</c:v>
                </c:pt>
                <c:pt idx="1452">
                  <c:v>49235</c:v>
                </c:pt>
                <c:pt idx="1453">
                  <c:v>49242</c:v>
                </c:pt>
                <c:pt idx="1454">
                  <c:v>49249</c:v>
                </c:pt>
                <c:pt idx="1455">
                  <c:v>49256</c:v>
                </c:pt>
                <c:pt idx="1456">
                  <c:v>49263</c:v>
                </c:pt>
                <c:pt idx="1457">
                  <c:v>49270</c:v>
                </c:pt>
                <c:pt idx="1458">
                  <c:v>49277</c:v>
                </c:pt>
                <c:pt idx="1459">
                  <c:v>49284</c:v>
                </c:pt>
                <c:pt idx="1460">
                  <c:v>49291</c:v>
                </c:pt>
                <c:pt idx="1461">
                  <c:v>49298</c:v>
                </c:pt>
                <c:pt idx="1462">
                  <c:v>49305</c:v>
                </c:pt>
                <c:pt idx="1463">
                  <c:v>49312</c:v>
                </c:pt>
                <c:pt idx="1464">
                  <c:v>49319</c:v>
                </c:pt>
                <c:pt idx="1465">
                  <c:v>49326</c:v>
                </c:pt>
                <c:pt idx="1466">
                  <c:v>49333</c:v>
                </c:pt>
                <c:pt idx="1467">
                  <c:v>49340</c:v>
                </c:pt>
                <c:pt idx="1468">
                  <c:v>49347</c:v>
                </c:pt>
                <c:pt idx="1469">
                  <c:v>49354</c:v>
                </c:pt>
                <c:pt idx="1470">
                  <c:v>49361</c:v>
                </c:pt>
                <c:pt idx="1471">
                  <c:v>49368</c:v>
                </c:pt>
                <c:pt idx="1472">
                  <c:v>49375</c:v>
                </c:pt>
                <c:pt idx="1473">
                  <c:v>49382</c:v>
                </c:pt>
                <c:pt idx="1474">
                  <c:v>49389</c:v>
                </c:pt>
                <c:pt idx="1475">
                  <c:v>49396</c:v>
                </c:pt>
                <c:pt idx="1476">
                  <c:v>49403</c:v>
                </c:pt>
                <c:pt idx="1477">
                  <c:v>49410</c:v>
                </c:pt>
                <c:pt idx="1478">
                  <c:v>49417</c:v>
                </c:pt>
                <c:pt idx="1479">
                  <c:v>49424</c:v>
                </c:pt>
                <c:pt idx="1480">
                  <c:v>49431</c:v>
                </c:pt>
                <c:pt idx="1481">
                  <c:v>49438</c:v>
                </c:pt>
                <c:pt idx="1482">
                  <c:v>49445</c:v>
                </c:pt>
                <c:pt idx="1483">
                  <c:v>49452</c:v>
                </c:pt>
                <c:pt idx="1484">
                  <c:v>49459</c:v>
                </c:pt>
                <c:pt idx="1485">
                  <c:v>49466</c:v>
                </c:pt>
                <c:pt idx="1486">
                  <c:v>49473</c:v>
                </c:pt>
                <c:pt idx="1487">
                  <c:v>49480</c:v>
                </c:pt>
                <c:pt idx="1488">
                  <c:v>49487</c:v>
                </c:pt>
                <c:pt idx="1489">
                  <c:v>49494</c:v>
                </c:pt>
                <c:pt idx="1490">
                  <c:v>49501</c:v>
                </c:pt>
                <c:pt idx="1491">
                  <c:v>49508</c:v>
                </c:pt>
                <c:pt idx="1492">
                  <c:v>49515</c:v>
                </c:pt>
                <c:pt idx="1493">
                  <c:v>49522</c:v>
                </c:pt>
                <c:pt idx="1494">
                  <c:v>49529</c:v>
                </c:pt>
                <c:pt idx="1495">
                  <c:v>49536</c:v>
                </c:pt>
                <c:pt idx="1496">
                  <c:v>49543</c:v>
                </c:pt>
                <c:pt idx="1497">
                  <c:v>49550</c:v>
                </c:pt>
                <c:pt idx="1498">
                  <c:v>49557</c:v>
                </c:pt>
                <c:pt idx="1499">
                  <c:v>49564</c:v>
                </c:pt>
                <c:pt idx="1500">
                  <c:v>49571</c:v>
                </c:pt>
                <c:pt idx="1501">
                  <c:v>49578</c:v>
                </c:pt>
                <c:pt idx="1502">
                  <c:v>49585</c:v>
                </c:pt>
                <c:pt idx="1503">
                  <c:v>49592</c:v>
                </c:pt>
                <c:pt idx="1504">
                  <c:v>49599</c:v>
                </c:pt>
                <c:pt idx="1505">
                  <c:v>49606</c:v>
                </c:pt>
                <c:pt idx="1506">
                  <c:v>49613</c:v>
                </c:pt>
                <c:pt idx="1507">
                  <c:v>49620</c:v>
                </c:pt>
                <c:pt idx="1508">
                  <c:v>49627</c:v>
                </c:pt>
                <c:pt idx="1509">
                  <c:v>49634</c:v>
                </c:pt>
                <c:pt idx="1510">
                  <c:v>49641</c:v>
                </c:pt>
                <c:pt idx="1511">
                  <c:v>49648</c:v>
                </c:pt>
                <c:pt idx="1512">
                  <c:v>49655</c:v>
                </c:pt>
                <c:pt idx="1513">
                  <c:v>49662</c:v>
                </c:pt>
                <c:pt idx="1514">
                  <c:v>49670</c:v>
                </c:pt>
                <c:pt idx="1515">
                  <c:v>49677</c:v>
                </c:pt>
                <c:pt idx="1516">
                  <c:v>49684</c:v>
                </c:pt>
                <c:pt idx="1517">
                  <c:v>49691</c:v>
                </c:pt>
                <c:pt idx="1518">
                  <c:v>49698</c:v>
                </c:pt>
                <c:pt idx="1519">
                  <c:v>49705</c:v>
                </c:pt>
                <c:pt idx="1520">
                  <c:v>49712</c:v>
                </c:pt>
                <c:pt idx="1521">
                  <c:v>49719</c:v>
                </c:pt>
                <c:pt idx="1522">
                  <c:v>49726</c:v>
                </c:pt>
                <c:pt idx="1523">
                  <c:v>49733</c:v>
                </c:pt>
                <c:pt idx="1524">
                  <c:v>49740</c:v>
                </c:pt>
                <c:pt idx="1525">
                  <c:v>49747</c:v>
                </c:pt>
                <c:pt idx="1526">
                  <c:v>49754</c:v>
                </c:pt>
                <c:pt idx="1527">
                  <c:v>49761</c:v>
                </c:pt>
                <c:pt idx="1528">
                  <c:v>49768</c:v>
                </c:pt>
                <c:pt idx="1529">
                  <c:v>49775</c:v>
                </c:pt>
                <c:pt idx="1530">
                  <c:v>49782</c:v>
                </c:pt>
                <c:pt idx="1531">
                  <c:v>49789</c:v>
                </c:pt>
                <c:pt idx="1532">
                  <c:v>49796</c:v>
                </c:pt>
                <c:pt idx="1533">
                  <c:v>49803</c:v>
                </c:pt>
                <c:pt idx="1534">
                  <c:v>49810</c:v>
                </c:pt>
                <c:pt idx="1535">
                  <c:v>49817</c:v>
                </c:pt>
                <c:pt idx="1536">
                  <c:v>49824</c:v>
                </c:pt>
                <c:pt idx="1537">
                  <c:v>49831</c:v>
                </c:pt>
                <c:pt idx="1538">
                  <c:v>49838</c:v>
                </c:pt>
                <c:pt idx="1539">
                  <c:v>49845</c:v>
                </c:pt>
                <c:pt idx="1540">
                  <c:v>49852</c:v>
                </c:pt>
                <c:pt idx="1541">
                  <c:v>49859</c:v>
                </c:pt>
                <c:pt idx="1542">
                  <c:v>49866</c:v>
                </c:pt>
                <c:pt idx="1543">
                  <c:v>49873</c:v>
                </c:pt>
                <c:pt idx="1544">
                  <c:v>49880</c:v>
                </c:pt>
                <c:pt idx="1545">
                  <c:v>49887</c:v>
                </c:pt>
                <c:pt idx="1546">
                  <c:v>49894</c:v>
                </c:pt>
                <c:pt idx="1547">
                  <c:v>49901</c:v>
                </c:pt>
                <c:pt idx="1548">
                  <c:v>49908</c:v>
                </c:pt>
                <c:pt idx="1549">
                  <c:v>49915</c:v>
                </c:pt>
                <c:pt idx="1550">
                  <c:v>49922</c:v>
                </c:pt>
                <c:pt idx="1551">
                  <c:v>49929</c:v>
                </c:pt>
                <c:pt idx="1552">
                  <c:v>49936</c:v>
                </c:pt>
                <c:pt idx="1553">
                  <c:v>49943</c:v>
                </c:pt>
                <c:pt idx="1554">
                  <c:v>49950</c:v>
                </c:pt>
                <c:pt idx="1555">
                  <c:v>49957</c:v>
                </c:pt>
                <c:pt idx="1556">
                  <c:v>49964</c:v>
                </c:pt>
                <c:pt idx="1557">
                  <c:v>49971</c:v>
                </c:pt>
                <c:pt idx="1558">
                  <c:v>49978</c:v>
                </c:pt>
                <c:pt idx="1559">
                  <c:v>49985</c:v>
                </c:pt>
                <c:pt idx="1560">
                  <c:v>49992</c:v>
                </c:pt>
                <c:pt idx="1561">
                  <c:v>49999</c:v>
                </c:pt>
                <c:pt idx="1562">
                  <c:v>50006</c:v>
                </c:pt>
                <c:pt idx="1563">
                  <c:v>50013</c:v>
                </c:pt>
                <c:pt idx="1564">
                  <c:v>50020</c:v>
                </c:pt>
                <c:pt idx="1565">
                  <c:v>50027</c:v>
                </c:pt>
                <c:pt idx="1566">
                  <c:v>50038</c:v>
                </c:pt>
                <c:pt idx="1567">
                  <c:v>50045</c:v>
                </c:pt>
                <c:pt idx="1568">
                  <c:v>50052</c:v>
                </c:pt>
                <c:pt idx="1569">
                  <c:v>50059</c:v>
                </c:pt>
                <c:pt idx="1570">
                  <c:v>50066</c:v>
                </c:pt>
                <c:pt idx="1571">
                  <c:v>50073</c:v>
                </c:pt>
                <c:pt idx="1572">
                  <c:v>50080</c:v>
                </c:pt>
                <c:pt idx="1573">
                  <c:v>50087</c:v>
                </c:pt>
                <c:pt idx="1574">
                  <c:v>50094</c:v>
                </c:pt>
                <c:pt idx="1575">
                  <c:v>50101</c:v>
                </c:pt>
                <c:pt idx="1576">
                  <c:v>50108</c:v>
                </c:pt>
                <c:pt idx="1577">
                  <c:v>50115</c:v>
                </c:pt>
                <c:pt idx="1578">
                  <c:v>50122</c:v>
                </c:pt>
                <c:pt idx="1579">
                  <c:v>50129</c:v>
                </c:pt>
                <c:pt idx="1580">
                  <c:v>50137</c:v>
                </c:pt>
                <c:pt idx="1581">
                  <c:v>50144</c:v>
                </c:pt>
                <c:pt idx="1582">
                  <c:v>50151</c:v>
                </c:pt>
                <c:pt idx="1583">
                  <c:v>50158</c:v>
                </c:pt>
                <c:pt idx="1584">
                  <c:v>50165</c:v>
                </c:pt>
                <c:pt idx="1585">
                  <c:v>50172</c:v>
                </c:pt>
                <c:pt idx="1586">
                  <c:v>50179</c:v>
                </c:pt>
                <c:pt idx="1587">
                  <c:v>50186</c:v>
                </c:pt>
                <c:pt idx="1588">
                  <c:v>50193</c:v>
                </c:pt>
                <c:pt idx="1589">
                  <c:v>50200</c:v>
                </c:pt>
                <c:pt idx="1590">
                  <c:v>50207</c:v>
                </c:pt>
                <c:pt idx="1591">
                  <c:v>50214</c:v>
                </c:pt>
                <c:pt idx="1592">
                  <c:v>50221</c:v>
                </c:pt>
                <c:pt idx="1593">
                  <c:v>50228</c:v>
                </c:pt>
                <c:pt idx="1594">
                  <c:v>50235</c:v>
                </c:pt>
                <c:pt idx="1595">
                  <c:v>50242</c:v>
                </c:pt>
                <c:pt idx="1596">
                  <c:v>50249</c:v>
                </c:pt>
                <c:pt idx="1597">
                  <c:v>50256</c:v>
                </c:pt>
                <c:pt idx="1598">
                  <c:v>50263</c:v>
                </c:pt>
                <c:pt idx="1599">
                  <c:v>50270</c:v>
                </c:pt>
                <c:pt idx="1600">
                  <c:v>50277</c:v>
                </c:pt>
                <c:pt idx="1601">
                  <c:v>50284</c:v>
                </c:pt>
                <c:pt idx="1602">
                  <c:v>50291</c:v>
                </c:pt>
                <c:pt idx="1603">
                  <c:v>50298</c:v>
                </c:pt>
                <c:pt idx="1604">
                  <c:v>50305</c:v>
                </c:pt>
                <c:pt idx="1605">
                  <c:v>50312</c:v>
                </c:pt>
                <c:pt idx="1606">
                  <c:v>50319</c:v>
                </c:pt>
                <c:pt idx="1607">
                  <c:v>50326</c:v>
                </c:pt>
                <c:pt idx="1608">
                  <c:v>50333</c:v>
                </c:pt>
                <c:pt idx="1609">
                  <c:v>50340</c:v>
                </c:pt>
                <c:pt idx="1610">
                  <c:v>50347</c:v>
                </c:pt>
                <c:pt idx="1611">
                  <c:v>50354</c:v>
                </c:pt>
                <c:pt idx="1612">
                  <c:v>50361</c:v>
                </c:pt>
                <c:pt idx="1613">
                  <c:v>50368</c:v>
                </c:pt>
                <c:pt idx="1614">
                  <c:v>50375</c:v>
                </c:pt>
                <c:pt idx="1615">
                  <c:v>50382</c:v>
                </c:pt>
                <c:pt idx="1616">
                  <c:v>50389</c:v>
                </c:pt>
                <c:pt idx="1617">
                  <c:v>50396</c:v>
                </c:pt>
                <c:pt idx="1618">
                  <c:v>50403</c:v>
                </c:pt>
                <c:pt idx="1619">
                  <c:v>50410</c:v>
                </c:pt>
                <c:pt idx="1620">
                  <c:v>50417</c:v>
                </c:pt>
                <c:pt idx="1621">
                  <c:v>50424</c:v>
                </c:pt>
                <c:pt idx="1622">
                  <c:v>50431</c:v>
                </c:pt>
                <c:pt idx="1623">
                  <c:v>50438</c:v>
                </c:pt>
                <c:pt idx="1624">
                  <c:v>50445</c:v>
                </c:pt>
                <c:pt idx="1625">
                  <c:v>50452</c:v>
                </c:pt>
                <c:pt idx="1626">
                  <c:v>50459</c:v>
                </c:pt>
                <c:pt idx="1627">
                  <c:v>50466</c:v>
                </c:pt>
                <c:pt idx="1628">
                  <c:v>50473</c:v>
                </c:pt>
                <c:pt idx="1629">
                  <c:v>50480</c:v>
                </c:pt>
                <c:pt idx="1630">
                  <c:v>50487</c:v>
                </c:pt>
                <c:pt idx="1631">
                  <c:v>50494</c:v>
                </c:pt>
                <c:pt idx="1632">
                  <c:v>50501</c:v>
                </c:pt>
                <c:pt idx="1633">
                  <c:v>50508</c:v>
                </c:pt>
                <c:pt idx="1634">
                  <c:v>50515</c:v>
                </c:pt>
                <c:pt idx="1635">
                  <c:v>50522</c:v>
                </c:pt>
                <c:pt idx="1636">
                  <c:v>50529</c:v>
                </c:pt>
                <c:pt idx="1637">
                  <c:v>50536</c:v>
                </c:pt>
                <c:pt idx="1638">
                  <c:v>50543</c:v>
                </c:pt>
                <c:pt idx="1639">
                  <c:v>50550</c:v>
                </c:pt>
                <c:pt idx="1640">
                  <c:v>50557</c:v>
                </c:pt>
                <c:pt idx="1641">
                  <c:v>50564</c:v>
                </c:pt>
                <c:pt idx="1642">
                  <c:v>50571</c:v>
                </c:pt>
                <c:pt idx="1643">
                  <c:v>50578</c:v>
                </c:pt>
                <c:pt idx="1644">
                  <c:v>50585</c:v>
                </c:pt>
                <c:pt idx="1645">
                  <c:v>50592</c:v>
                </c:pt>
                <c:pt idx="1646">
                  <c:v>50599</c:v>
                </c:pt>
                <c:pt idx="1647">
                  <c:v>50606</c:v>
                </c:pt>
                <c:pt idx="1648">
                  <c:v>50613</c:v>
                </c:pt>
                <c:pt idx="1649">
                  <c:v>50620</c:v>
                </c:pt>
                <c:pt idx="1650">
                  <c:v>50627</c:v>
                </c:pt>
                <c:pt idx="1651">
                  <c:v>50634</c:v>
                </c:pt>
                <c:pt idx="1652">
                  <c:v>50641</c:v>
                </c:pt>
                <c:pt idx="1653">
                  <c:v>50648</c:v>
                </c:pt>
                <c:pt idx="1654">
                  <c:v>50655</c:v>
                </c:pt>
                <c:pt idx="1655">
                  <c:v>50662</c:v>
                </c:pt>
                <c:pt idx="1656">
                  <c:v>50669</c:v>
                </c:pt>
                <c:pt idx="1657">
                  <c:v>50676</c:v>
                </c:pt>
                <c:pt idx="1658">
                  <c:v>50683</c:v>
                </c:pt>
                <c:pt idx="1659">
                  <c:v>50690</c:v>
                </c:pt>
                <c:pt idx="1660">
                  <c:v>50697</c:v>
                </c:pt>
                <c:pt idx="1661">
                  <c:v>50704</c:v>
                </c:pt>
                <c:pt idx="1662">
                  <c:v>50711</c:v>
                </c:pt>
                <c:pt idx="1663">
                  <c:v>50718</c:v>
                </c:pt>
                <c:pt idx="1664">
                  <c:v>50725</c:v>
                </c:pt>
                <c:pt idx="1665">
                  <c:v>50732</c:v>
                </c:pt>
                <c:pt idx="1666">
                  <c:v>50739</c:v>
                </c:pt>
                <c:pt idx="1667">
                  <c:v>50746</c:v>
                </c:pt>
                <c:pt idx="1668">
                  <c:v>50753</c:v>
                </c:pt>
                <c:pt idx="1669">
                  <c:v>50760</c:v>
                </c:pt>
                <c:pt idx="1670">
                  <c:v>50768</c:v>
                </c:pt>
                <c:pt idx="1671">
                  <c:v>50775</c:v>
                </c:pt>
                <c:pt idx="1672">
                  <c:v>50782</c:v>
                </c:pt>
                <c:pt idx="1673">
                  <c:v>50789</c:v>
                </c:pt>
                <c:pt idx="1674">
                  <c:v>50796</c:v>
                </c:pt>
                <c:pt idx="1675">
                  <c:v>50803</c:v>
                </c:pt>
                <c:pt idx="1676">
                  <c:v>50810</c:v>
                </c:pt>
                <c:pt idx="1677">
                  <c:v>50817</c:v>
                </c:pt>
                <c:pt idx="1678">
                  <c:v>50824</c:v>
                </c:pt>
                <c:pt idx="1679">
                  <c:v>50831</c:v>
                </c:pt>
                <c:pt idx="1680">
                  <c:v>50838</c:v>
                </c:pt>
                <c:pt idx="1681">
                  <c:v>50845</c:v>
                </c:pt>
                <c:pt idx="1682">
                  <c:v>50852</c:v>
                </c:pt>
                <c:pt idx="1683">
                  <c:v>50859</c:v>
                </c:pt>
                <c:pt idx="1684">
                  <c:v>50866</c:v>
                </c:pt>
                <c:pt idx="1685">
                  <c:v>50873</c:v>
                </c:pt>
                <c:pt idx="1686">
                  <c:v>50880</c:v>
                </c:pt>
                <c:pt idx="1687">
                  <c:v>50887</c:v>
                </c:pt>
                <c:pt idx="1688">
                  <c:v>50894</c:v>
                </c:pt>
                <c:pt idx="1689">
                  <c:v>50901</c:v>
                </c:pt>
                <c:pt idx="1690">
                  <c:v>50908</c:v>
                </c:pt>
                <c:pt idx="1691">
                  <c:v>50915</c:v>
                </c:pt>
                <c:pt idx="1692">
                  <c:v>50922</c:v>
                </c:pt>
                <c:pt idx="1693">
                  <c:v>50929</c:v>
                </c:pt>
                <c:pt idx="1694">
                  <c:v>50936</c:v>
                </c:pt>
                <c:pt idx="1695">
                  <c:v>50943</c:v>
                </c:pt>
                <c:pt idx="1696">
                  <c:v>50950</c:v>
                </c:pt>
                <c:pt idx="1697">
                  <c:v>50957</c:v>
                </c:pt>
                <c:pt idx="1698">
                  <c:v>50964</c:v>
                </c:pt>
                <c:pt idx="1699">
                  <c:v>50971</c:v>
                </c:pt>
                <c:pt idx="1700">
                  <c:v>50978</c:v>
                </c:pt>
                <c:pt idx="1701">
                  <c:v>50985</c:v>
                </c:pt>
                <c:pt idx="1702">
                  <c:v>50992</c:v>
                </c:pt>
                <c:pt idx="1703">
                  <c:v>50999</c:v>
                </c:pt>
                <c:pt idx="1704">
                  <c:v>51006</c:v>
                </c:pt>
                <c:pt idx="1705">
                  <c:v>51013</c:v>
                </c:pt>
                <c:pt idx="1706">
                  <c:v>51020</c:v>
                </c:pt>
                <c:pt idx="1707">
                  <c:v>51027</c:v>
                </c:pt>
                <c:pt idx="1708">
                  <c:v>51034</c:v>
                </c:pt>
                <c:pt idx="1709">
                  <c:v>51041</c:v>
                </c:pt>
                <c:pt idx="1710">
                  <c:v>51048</c:v>
                </c:pt>
                <c:pt idx="1711">
                  <c:v>51055</c:v>
                </c:pt>
                <c:pt idx="1712">
                  <c:v>51062</c:v>
                </c:pt>
                <c:pt idx="1713">
                  <c:v>51069</c:v>
                </c:pt>
                <c:pt idx="1714">
                  <c:v>51076</c:v>
                </c:pt>
                <c:pt idx="1715">
                  <c:v>51083</c:v>
                </c:pt>
                <c:pt idx="1716">
                  <c:v>51090</c:v>
                </c:pt>
                <c:pt idx="1717">
                  <c:v>51097</c:v>
                </c:pt>
                <c:pt idx="1718">
                  <c:v>51104</c:v>
                </c:pt>
                <c:pt idx="1719">
                  <c:v>51111</c:v>
                </c:pt>
                <c:pt idx="1720">
                  <c:v>51118</c:v>
                </c:pt>
                <c:pt idx="1721">
                  <c:v>51125</c:v>
                </c:pt>
                <c:pt idx="1722">
                  <c:v>51132</c:v>
                </c:pt>
                <c:pt idx="1723">
                  <c:v>51139</c:v>
                </c:pt>
                <c:pt idx="1724">
                  <c:v>51146</c:v>
                </c:pt>
                <c:pt idx="1725">
                  <c:v>51153</c:v>
                </c:pt>
                <c:pt idx="1726">
                  <c:v>51160</c:v>
                </c:pt>
                <c:pt idx="1727">
                  <c:v>51167</c:v>
                </c:pt>
                <c:pt idx="1728">
                  <c:v>51174</c:v>
                </c:pt>
                <c:pt idx="1729">
                  <c:v>51181</c:v>
                </c:pt>
                <c:pt idx="1730">
                  <c:v>51188</c:v>
                </c:pt>
                <c:pt idx="1731">
                  <c:v>51195</c:v>
                </c:pt>
                <c:pt idx="1732">
                  <c:v>51202</c:v>
                </c:pt>
                <c:pt idx="1733">
                  <c:v>51209</c:v>
                </c:pt>
                <c:pt idx="1734">
                  <c:v>51216</c:v>
                </c:pt>
                <c:pt idx="1735">
                  <c:v>51223</c:v>
                </c:pt>
                <c:pt idx="1736">
                  <c:v>51230</c:v>
                </c:pt>
                <c:pt idx="1737">
                  <c:v>51237</c:v>
                </c:pt>
                <c:pt idx="1738">
                  <c:v>51244</c:v>
                </c:pt>
                <c:pt idx="1739">
                  <c:v>51251</c:v>
                </c:pt>
                <c:pt idx="1740">
                  <c:v>51258</c:v>
                </c:pt>
                <c:pt idx="1741">
                  <c:v>51265</c:v>
                </c:pt>
                <c:pt idx="1742">
                  <c:v>51272</c:v>
                </c:pt>
                <c:pt idx="1743">
                  <c:v>51279</c:v>
                </c:pt>
                <c:pt idx="1744">
                  <c:v>51286</c:v>
                </c:pt>
                <c:pt idx="1745">
                  <c:v>51293</c:v>
                </c:pt>
                <c:pt idx="1746">
                  <c:v>51300</c:v>
                </c:pt>
                <c:pt idx="1747">
                  <c:v>51307</c:v>
                </c:pt>
                <c:pt idx="1748">
                  <c:v>51314</c:v>
                </c:pt>
                <c:pt idx="1749">
                  <c:v>51321</c:v>
                </c:pt>
                <c:pt idx="1750">
                  <c:v>51328</c:v>
                </c:pt>
                <c:pt idx="1751">
                  <c:v>51335</c:v>
                </c:pt>
                <c:pt idx="1752">
                  <c:v>51342</c:v>
                </c:pt>
                <c:pt idx="1753">
                  <c:v>51349</c:v>
                </c:pt>
                <c:pt idx="1754">
                  <c:v>51356</c:v>
                </c:pt>
                <c:pt idx="1755">
                  <c:v>51363</c:v>
                </c:pt>
                <c:pt idx="1756">
                  <c:v>51370</c:v>
                </c:pt>
                <c:pt idx="1757">
                  <c:v>51377</c:v>
                </c:pt>
                <c:pt idx="1758">
                  <c:v>51384</c:v>
                </c:pt>
                <c:pt idx="1759">
                  <c:v>51391</c:v>
                </c:pt>
                <c:pt idx="1760">
                  <c:v>51398</c:v>
                </c:pt>
                <c:pt idx="1761">
                  <c:v>51405</c:v>
                </c:pt>
                <c:pt idx="1762">
                  <c:v>51412</c:v>
                </c:pt>
                <c:pt idx="1763">
                  <c:v>51419</c:v>
                </c:pt>
                <c:pt idx="1764">
                  <c:v>51426</c:v>
                </c:pt>
                <c:pt idx="1765">
                  <c:v>51433</c:v>
                </c:pt>
                <c:pt idx="1766">
                  <c:v>51440</c:v>
                </c:pt>
                <c:pt idx="1767">
                  <c:v>51447</c:v>
                </c:pt>
                <c:pt idx="1768">
                  <c:v>51454</c:v>
                </c:pt>
                <c:pt idx="1769">
                  <c:v>51461</c:v>
                </c:pt>
                <c:pt idx="1770">
                  <c:v>51468</c:v>
                </c:pt>
                <c:pt idx="1771">
                  <c:v>51475</c:v>
                </c:pt>
                <c:pt idx="1772">
                  <c:v>51482</c:v>
                </c:pt>
                <c:pt idx="1773">
                  <c:v>51489</c:v>
                </c:pt>
                <c:pt idx="1774">
                  <c:v>51497</c:v>
                </c:pt>
                <c:pt idx="1775">
                  <c:v>51504</c:v>
                </c:pt>
                <c:pt idx="1776">
                  <c:v>51511</c:v>
                </c:pt>
                <c:pt idx="1777">
                  <c:v>51518</c:v>
                </c:pt>
                <c:pt idx="1778">
                  <c:v>51525</c:v>
                </c:pt>
                <c:pt idx="1779">
                  <c:v>51532</c:v>
                </c:pt>
                <c:pt idx="1780">
                  <c:v>51539</c:v>
                </c:pt>
                <c:pt idx="1781">
                  <c:v>51546</c:v>
                </c:pt>
                <c:pt idx="1782">
                  <c:v>51553</c:v>
                </c:pt>
                <c:pt idx="1783">
                  <c:v>51560</c:v>
                </c:pt>
                <c:pt idx="1784">
                  <c:v>51567</c:v>
                </c:pt>
                <c:pt idx="1785">
                  <c:v>51574</c:v>
                </c:pt>
                <c:pt idx="1786">
                  <c:v>51581</c:v>
                </c:pt>
                <c:pt idx="1787">
                  <c:v>51588</c:v>
                </c:pt>
                <c:pt idx="1788">
                  <c:v>51595</c:v>
                </c:pt>
                <c:pt idx="1789">
                  <c:v>51602</c:v>
                </c:pt>
                <c:pt idx="1790">
                  <c:v>51609</c:v>
                </c:pt>
                <c:pt idx="1791">
                  <c:v>51616</c:v>
                </c:pt>
                <c:pt idx="1792">
                  <c:v>51623</c:v>
                </c:pt>
                <c:pt idx="1793">
                  <c:v>51630</c:v>
                </c:pt>
                <c:pt idx="1794">
                  <c:v>51637</c:v>
                </c:pt>
                <c:pt idx="1795">
                  <c:v>51644</c:v>
                </c:pt>
                <c:pt idx="1796">
                  <c:v>51651</c:v>
                </c:pt>
                <c:pt idx="1797">
                  <c:v>51658</c:v>
                </c:pt>
                <c:pt idx="1798">
                  <c:v>51665</c:v>
                </c:pt>
                <c:pt idx="1799">
                  <c:v>51672</c:v>
                </c:pt>
                <c:pt idx="1800">
                  <c:v>51679</c:v>
                </c:pt>
                <c:pt idx="1801">
                  <c:v>51686</c:v>
                </c:pt>
                <c:pt idx="1802">
                  <c:v>51693</c:v>
                </c:pt>
                <c:pt idx="1803">
                  <c:v>51700</c:v>
                </c:pt>
                <c:pt idx="1804">
                  <c:v>51707</c:v>
                </c:pt>
                <c:pt idx="1805">
                  <c:v>51714</c:v>
                </c:pt>
                <c:pt idx="1806">
                  <c:v>51721</c:v>
                </c:pt>
                <c:pt idx="1807">
                  <c:v>51728</c:v>
                </c:pt>
                <c:pt idx="1808">
                  <c:v>51735</c:v>
                </c:pt>
                <c:pt idx="1809">
                  <c:v>51742</c:v>
                </c:pt>
                <c:pt idx="1810">
                  <c:v>51749</c:v>
                </c:pt>
                <c:pt idx="1811">
                  <c:v>51756</c:v>
                </c:pt>
                <c:pt idx="1812">
                  <c:v>51763</c:v>
                </c:pt>
                <c:pt idx="1813">
                  <c:v>51770</c:v>
                </c:pt>
                <c:pt idx="1814">
                  <c:v>51777</c:v>
                </c:pt>
                <c:pt idx="1815">
                  <c:v>51784</c:v>
                </c:pt>
                <c:pt idx="1816">
                  <c:v>51791</c:v>
                </c:pt>
                <c:pt idx="1817">
                  <c:v>51798</c:v>
                </c:pt>
                <c:pt idx="1818">
                  <c:v>51805</c:v>
                </c:pt>
                <c:pt idx="1819">
                  <c:v>51812</c:v>
                </c:pt>
                <c:pt idx="1820">
                  <c:v>51819</c:v>
                </c:pt>
                <c:pt idx="1821">
                  <c:v>51826</c:v>
                </c:pt>
                <c:pt idx="1822">
                  <c:v>51833</c:v>
                </c:pt>
                <c:pt idx="1823">
                  <c:v>51840</c:v>
                </c:pt>
                <c:pt idx="1824">
                  <c:v>51847</c:v>
                </c:pt>
                <c:pt idx="1825">
                  <c:v>51854</c:v>
                </c:pt>
                <c:pt idx="1826">
                  <c:v>51862</c:v>
                </c:pt>
                <c:pt idx="1827">
                  <c:v>51869</c:v>
                </c:pt>
                <c:pt idx="1828">
                  <c:v>51876</c:v>
                </c:pt>
                <c:pt idx="1829">
                  <c:v>51883</c:v>
                </c:pt>
                <c:pt idx="1830">
                  <c:v>51890</c:v>
                </c:pt>
                <c:pt idx="1831">
                  <c:v>51897</c:v>
                </c:pt>
                <c:pt idx="1832">
                  <c:v>51904</c:v>
                </c:pt>
                <c:pt idx="1833">
                  <c:v>51911</c:v>
                </c:pt>
                <c:pt idx="1834">
                  <c:v>51918</c:v>
                </c:pt>
                <c:pt idx="1835">
                  <c:v>51925</c:v>
                </c:pt>
                <c:pt idx="1836">
                  <c:v>51932</c:v>
                </c:pt>
                <c:pt idx="1837">
                  <c:v>51939</c:v>
                </c:pt>
                <c:pt idx="1838">
                  <c:v>51946</c:v>
                </c:pt>
                <c:pt idx="1839">
                  <c:v>51953</c:v>
                </c:pt>
                <c:pt idx="1840">
                  <c:v>51964</c:v>
                </c:pt>
                <c:pt idx="1841">
                  <c:v>51971</c:v>
                </c:pt>
                <c:pt idx="1842">
                  <c:v>51978</c:v>
                </c:pt>
                <c:pt idx="1843">
                  <c:v>51985</c:v>
                </c:pt>
                <c:pt idx="1844">
                  <c:v>51992</c:v>
                </c:pt>
                <c:pt idx="1845">
                  <c:v>51999</c:v>
                </c:pt>
                <c:pt idx="1846">
                  <c:v>52006</c:v>
                </c:pt>
                <c:pt idx="1847">
                  <c:v>52013</c:v>
                </c:pt>
                <c:pt idx="1848">
                  <c:v>52020</c:v>
                </c:pt>
                <c:pt idx="1849">
                  <c:v>52027</c:v>
                </c:pt>
                <c:pt idx="1850">
                  <c:v>52034</c:v>
                </c:pt>
                <c:pt idx="1851">
                  <c:v>52041</c:v>
                </c:pt>
                <c:pt idx="1852">
                  <c:v>52048</c:v>
                </c:pt>
                <c:pt idx="1853">
                  <c:v>52055</c:v>
                </c:pt>
                <c:pt idx="1854">
                  <c:v>52062</c:v>
                </c:pt>
                <c:pt idx="1855">
                  <c:v>52069</c:v>
                </c:pt>
                <c:pt idx="1856">
                  <c:v>52076</c:v>
                </c:pt>
                <c:pt idx="1857">
                  <c:v>52083</c:v>
                </c:pt>
                <c:pt idx="1858">
                  <c:v>52090</c:v>
                </c:pt>
                <c:pt idx="1859">
                  <c:v>52097</c:v>
                </c:pt>
                <c:pt idx="1860">
                  <c:v>52104</c:v>
                </c:pt>
                <c:pt idx="1861">
                  <c:v>52111</c:v>
                </c:pt>
                <c:pt idx="1862">
                  <c:v>52118</c:v>
                </c:pt>
                <c:pt idx="1863">
                  <c:v>52125</c:v>
                </c:pt>
                <c:pt idx="1864">
                  <c:v>52132</c:v>
                </c:pt>
                <c:pt idx="1865">
                  <c:v>52139</c:v>
                </c:pt>
                <c:pt idx="1866">
                  <c:v>52146</c:v>
                </c:pt>
                <c:pt idx="1867">
                  <c:v>52153</c:v>
                </c:pt>
                <c:pt idx="1868">
                  <c:v>52160</c:v>
                </c:pt>
                <c:pt idx="1869">
                  <c:v>52167</c:v>
                </c:pt>
                <c:pt idx="1870">
                  <c:v>52174</c:v>
                </c:pt>
                <c:pt idx="1871">
                  <c:v>52181</c:v>
                </c:pt>
                <c:pt idx="1872">
                  <c:v>52188</c:v>
                </c:pt>
                <c:pt idx="1873">
                  <c:v>52195</c:v>
                </c:pt>
                <c:pt idx="1874">
                  <c:v>52202</c:v>
                </c:pt>
                <c:pt idx="1875">
                  <c:v>52209</c:v>
                </c:pt>
                <c:pt idx="1876">
                  <c:v>52216</c:v>
                </c:pt>
                <c:pt idx="1877">
                  <c:v>52223</c:v>
                </c:pt>
                <c:pt idx="1878">
                  <c:v>52230</c:v>
                </c:pt>
                <c:pt idx="1879">
                  <c:v>52237</c:v>
                </c:pt>
                <c:pt idx="1880">
                  <c:v>52244</c:v>
                </c:pt>
                <c:pt idx="1881">
                  <c:v>52251</c:v>
                </c:pt>
                <c:pt idx="1882">
                  <c:v>52258</c:v>
                </c:pt>
                <c:pt idx="1883">
                  <c:v>52265</c:v>
                </c:pt>
                <c:pt idx="1884">
                  <c:v>52272</c:v>
                </c:pt>
                <c:pt idx="1885">
                  <c:v>52279</c:v>
                </c:pt>
                <c:pt idx="1886">
                  <c:v>52286</c:v>
                </c:pt>
                <c:pt idx="1887">
                  <c:v>52293</c:v>
                </c:pt>
                <c:pt idx="1888">
                  <c:v>52300</c:v>
                </c:pt>
                <c:pt idx="1889">
                  <c:v>52307</c:v>
                </c:pt>
                <c:pt idx="1890">
                  <c:v>52314</c:v>
                </c:pt>
                <c:pt idx="1891">
                  <c:v>52321</c:v>
                </c:pt>
                <c:pt idx="1892">
                  <c:v>52328</c:v>
                </c:pt>
                <c:pt idx="1893">
                  <c:v>52335</c:v>
                </c:pt>
                <c:pt idx="1894">
                  <c:v>52342</c:v>
                </c:pt>
                <c:pt idx="1895">
                  <c:v>52349</c:v>
                </c:pt>
                <c:pt idx="1896">
                  <c:v>52356</c:v>
                </c:pt>
                <c:pt idx="1897">
                  <c:v>52363</c:v>
                </c:pt>
                <c:pt idx="1898">
                  <c:v>52370</c:v>
                </c:pt>
                <c:pt idx="1899">
                  <c:v>52377</c:v>
                </c:pt>
                <c:pt idx="1900">
                  <c:v>52384</c:v>
                </c:pt>
                <c:pt idx="1901">
                  <c:v>52391</c:v>
                </c:pt>
                <c:pt idx="1902">
                  <c:v>52398</c:v>
                </c:pt>
                <c:pt idx="1903">
                  <c:v>52405</c:v>
                </c:pt>
                <c:pt idx="1904">
                  <c:v>52412</c:v>
                </c:pt>
                <c:pt idx="1905">
                  <c:v>52419</c:v>
                </c:pt>
                <c:pt idx="1906">
                  <c:v>52426</c:v>
                </c:pt>
                <c:pt idx="1907">
                  <c:v>52433</c:v>
                </c:pt>
                <c:pt idx="1908">
                  <c:v>52440</c:v>
                </c:pt>
                <c:pt idx="1909">
                  <c:v>52447</c:v>
                </c:pt>
                <c:pt idx="1910">
                  <c:v>52454</c:v>
                </c:pt>
                <c:pt idx="1911">
                  <c:v>52461</c:v>
                </c:pt>
                <c:pt idx="1912">
                  <c:v>52468</c:v>
                </c:pt>
                <c:pt idx="1913">
                  <c:v>52475</c:v>
                </c:pt>
                <c:pt idx="1914">
                  <c:v>52482</c:v>
                </c:pt>
                <c:pt idx="1915">
                  <c:v>52489</c:v>
                </c:pt>
                <c:pt idx="1916">
                  <c:v>52496</c:v>
                </c:pt>
                <c:pt idx="1917">
                  <c:v>52503</c:v>
                </c:pt>
                <c:pt idx="1918">
                  <c:v>52510</c:v>
                </c:pt>
                <c:pt idx="1919">
                  <c:v>52517</c:v>
                </c:pt>
                <c:pt idx="1920">
                  <c:v>52524</c:v>
                </c:pt>
                <c:pt idx="1921">
                  <c:v>52531</c:v>
                </c:pt>
                <c:pt idx="1922">
                  <c:v>52538</c:v>
                </c:pt>
                <c:pt idx="1923">
                  <c:v>52545</c:v>
                </c:pt>
                <c:pt idx="1924">
                  <c:v>52552</c:v>
                </c:pt>
                <c:pt idx="1925">
                  <c:v>52559</c:v>
                </c:pt>
                <c:pt idx="1926">
                  <c:v>52566</c:v>
                </c:pt>
                <c:pt idx="1927">
                  <c:v>52573</c:v>
                </c:pt>
                <c:pt idx="1928">
                  <c:v>52580</c:v>
                </c:pt>
                <c:pt idx="1929">
                  <c:v>52587</c:v>
                </c:pt>
                <c:pt idx="1930">
                  <c:v>52594</c:v>
                </c:pt>
                <c:pt idx="1931">
                  <c:v>52601</c:v>
                </c:pt>
                <c:pt idx="1932">
                  <c:v>52608</c:v>
                </c:pt>
                <c:pt idx="1933">
                  <c:v>52615</c:v>
                </c:pt>
                <c:pt idx="1934">
                  <c:v>52622</c:v>
                </c:pt>
                <c:pt idx="1935">
                  <c:v>52629</c:v>
                </c:pt>
                <c:pt idx="1936">
                  <c:v>52636</c:v>
                </c:pt>
                <c:pt idx="1937">
                  <c:v>52643</c:v>
                </c:pt>
                <c:pt idx="1938">
                  <c:v>52650</c:v>
                </c:pt>
                <c:pt idx="1939">
                  <c:v>52657</c:v>
                </c:pt>
                <c:pt idx="1940">
                  <c:v>52664</c:v>
                </c:pt>
                <c:pt idx="1941">
                  <c:v>52671</c:v>
                </c:pt>
                <c:pt idx="1942">
                  <c:v>52678</c:v>
                </c:pt>
                <c:pt idx="1943">
                  <c:v>52685</c:v>
                </c:pt>
                <c:pt idx="1944">
                  <c:v>52692</c:v>
                </c:pt>
                <c:pt idx="1945">
                  <c:v>52699</c:v>
                </c:pt>
                <c:pt idx="1946">
                  <c:v>52706</c:v>
                </c:pt>
                <c:pt idx="1947">
                  <c:v>52713</c:v>
                </c:pt>
                <c:pt idx="1948">
                  <c:v>52720</c:v>
                </c:pt>
                <c:pt idx="1949">
                  <c:v>52727</c:v>
                </c:pt>
                <c:pt idx="1950">
                  <c:v>52734</c:v>
                </c:pt>
                <c:pt idx="1951">
                  <c:v>52741</c:v>
                </c:pt>
                <c:pt idx="1952">
                  <c:v>52748</c:v>
                </c:pt>
                <c:pt idx="1953">
                  <c:v>52755</c:v>
                </c:pt>
                <c:pt idx="1954">
                  <c:v>52762</c:v>
                </c:pt>
                <c:pt idx="1955">
                  <c:v>52769</c:v>
                </c:pt>
                <c:pt idx="1956">
                  <c:v>52776</c:v>
                </c:pt>
                <c:pt idx="1957">
                  <c:v>52783</c:v>
                </c:pt>
                <c:pt idx="1958">
                  <c:v>52790</c:v>
                </c:pt>
                <c:pt idx="1959">
                  <c:v>52797</c:v>
                </c:pt>
                <c:pt idx="1960">
                  <c:v>52804</c:v>
                </c:pt>
                <c:pt idx="1961">
                  <c:v>52811</c:v>
                </c:pt>
                <c:pt idx="1962">
                  <c:v>52818</c:v>
                </c:pt>
                <c:pt idx="1963">
                  <c:v>52825</c:v>
                </c:pt>
                <c:pt idx="1964">
                  <c:v>52832</c:v>
                </c:pt>
                <c:pt idx="1965">
                  <c:v>52839</c:v>
                </c:pt>
                <c:pt idx="1966">
                  <c:v>52846</c:v>
                </c:pt>
                <c:pt idx="1967">
                  <c:v>52853</c:v>
                </c:pt>
                <c:pt idx="1968">
                  <c:v>52860</c:v>
                </c:pt>
                <c:pt idx="1969">
                  <c:v>52867</c:v>
                </c:pt>
                <c:pt idx="1970">
                  <c:v>52874</c:v>
                </c:pt>
                <c:pt idx="1971">
                  <c:v>52881</c:v>
                </c:pt>
                <c:pt idx="1972">
                  <c:v>52888</c:v>
                </c:pt>
                <c:pt idx="1973">
                  <c:v>52895</c:v>
                </c:pt>
                <c:pt idx="1974">
                  <c:v>52902</c:v>
                </c:pt>
                <c:pt idx="1975">
                  <c:v>52909</c:v>
                </c:pt>
                <c:pt idx="1976">
                  <c:v>52916</c:v>
                </c:pt>
                <c:pt idx="1977">
                  <c:v>52923</c:v>
                </c:pt>
                <c:pt idx="1978">
                  <c:v>52930</c:v>
                </c:pt>
                <c:pt idx="1979">
                  <c:v>52937</c:v>
                </c:pt>
                <c:pt idx="1980">
                  <c:v>52944</c:v>
                </c:pt>
                <c:pt idx="1981">
                  <c:v>52951</c:v>
                </c:pt>
                <c:pt idx="1982">
                  <c:v>52959</c:v>
                </c:pt>
                <c:pt idx="1983">
                  <c:v>52966</c:v>
                </c:pt>
                <c:pt idx="1984">
                  <c:v>52973</c:v>
                </c:pt>
                <c:pt idx="1985">
                  <c:v>52980</c:v>
                </c:pt>
                <c:pt idx="1986">
                  <c:v>52987</c:v>
                </c:pt>
                <c:pt idx="1987">
                  <c:v>52994</c:v>
                </c:pt>
                <c:pt idx="1988">
                  <c:v>53001</c:v>
                </c:pt>
                <c:pt idx="1989">
                  <c:v>53008</c:v>
                </c:pt>
                <c:pt idx="1990">
                  <c:v>53015</c:v>
                </c:pt>
                <c:pt idx="1991">
                  <c:v>53022</c:v>
                </c:pt>
                <c:pt idx="1992">
                  <c:v>53029</c:v>
                </c:pt>
                <c:pt idx="1993">
                  <c:v>53036</c:v>
                </c:pt>
                <c:pt idx="1994">
                  <c:v>53043</c:v>
                </c:pt>
                <c:pt idx="1995">
                  <c:v>53050</c:v>
                </c:pt>
                <c:pt idx="1996">
                  <c:v>53057</c:v>
                </c:pt>
                <c:pt idx="1997">
                  <c:v>53064</c:v>
                </c:pt>
                <c:pt idx="1998">
                  <c:v>53071</c:v>
                </c:pt>
                <c:pt idx="1999">
                  <c:v>53078</c:v>
                </c:pt>
                <c:pt idx="2000">
                  <c:v>53085</c:v>
                </c:pt>
                <c:pt idx="2001">
                  <c:v>53092</c:v>
                </c:pt>
                <c:pt idx="2002">
                  <c:v>53099</c:v>
                </c:pt>
                <c:pt idx="2003">
                  <c:v>53106</c:v>
                </c:pt>
                <c:pt idx="2004">
                  <c:v>53113</c:v>
                </c:pt>
                <c:pt idx="2005">
                  <c:v>53120</c:v>
                </c:pt>
                <c:pt idx="2006">
                  <c:v>53127</c:v>
                </c:pt>
                <c:pt idx="2007">
                  <c:v>53134</c:v>
                </c:pt>
                <c:pt idx="2008">
                  <c:v>53141</c:v>
                </c:pt>
                <c:pt idx="2009">
                  <c:v>53148</c:v>
                </c:pt>
                <c:pt idx="2010">
                  <c:v>53155</c:v>
                </c:pt>
                <c:pt idx="2011">
                  <c:v>53162</c:v>
                </c:pt>
                <c:pt idx="2012">
                  <c:v>53169</c:v>
                </c:pt>
                <c:pt idx="2013">
                  <c:v>53176</c:v>
                </c:pt>
                <c:pt idx="2014">
                  <c:v>53183</c:v>
                </c:pt>
                <c:pt idx="2015">
                  <c:v>53190</c:v>
                </c:pt>
                <c:pt idx="2016">
                  <c:v>53197</c:v>
                </c:pt>
                <c:pt idx="2017">
                  <c:v>53204</c:v>
                </c:pt>
                <c:pt idx="2018">
                  <c:v>53211</c:v>
                </c:pt>
                <c:pt idx="2019">
                  <c:v>53218</c:v>
                </c:pt>
                <c:pt idx="2020">
                  <c:v>53225</c:v>
                </c:pt>
                <c:pt idx="2021">
                  <c:v>53232</c:v>
                </c:pt>
                <c:pt idx="2022">
                  <c:v>53239</c:v>
                </c:pt>
                <c:pt idx="2023">
                  <c:v>53246</c:v>
                </c:pt>
                <c:pt idx="2024">
                  <c:v>53253</c:v>
                </c:pt>
                <c:pt idx="2025">
                  <c:v>53260</c:v>
                </c:pt>
                <c:pt idx="2026">
                  <c:v>53267</c:v>
                </c:pt>
                <c:pt idx="2027">
                  <c:v>53274</c:v>
                </c:pt>
                <c:pt idx="2028">
                  <c:v>53281</c:v>
                </c:pt>
                <c:pt idx="2029">
                  <c:v>53288</c:v>
                </c:pt>
                <c:pt idx="2030">
                  <c:v>53295</c:v>
                </c:pt>
                <c:pt idx="2031">
                  <c:v>53302</c:v>
                </c:pt>
                <c:pt idx="2032">
                  <c:v>53309</c:v>
                </c:pt>
                <c:pt idx="2033">
                  <c:v>53316</c:v>
                </c:pt>
                <c:pt idx="2034">
                  <c:v>53323</c:v>
                </c:pt>
                <c:pt idx="2035">
                  <c:v>53330</c:v>
                </c:pt>
                <c:pt idx="2036">
                  <c:v>53337</c:v>
                </c:pt>
                <c:pt idx="2037">
                  <c:v>53344</c:v>
                </c:pt>
                <c:pt idx="2038">
                  <c:v>53351</c:v>
                </c:pt>
                <c:pt idx="2039">
                  <c:v>53358</c:v>
                </c:pt>
                <c:pt idx="2040">
                  <c:v>53365</c:v>
                </c:pt>
                <c:pt idx="2041">
                  <c:v>53372</c:v>
                </c:pt>
                <c:pt idx="2042">
                  <c:v>53379</c:v>
                </c:pt>
                <c:pt idx="2043">
                  <c:v>53386</c:v>
                </c:pt>
                <c:pt idx="2044">
                  <c:v>53393</c:v>
                </c:pt>
                <c:pt idx="2045">
                  <c:v>53400</c:v>
                </c:pt>
                <c:pt idx="2046">
                  <c:v>53407</c:v>
                </c:pt>
                <c:pt idx="2047">
                  <c:v>53414</c:v>
                </c:pt>
                <c:pt idx="2048">
                  <c:v>53421</c:v>
                </c:pt>
                <c:pt idx="2049">
                  <c:v>53428</c:v>
                </c:pt>
                <c:pt idx="2050">
                  <c:v>53435</c:v>
                </c:pt>
                <c:pt idx="2051">
                  <c:v>53442</c:v>
                </c:pt>
                <c:pt idx="2052">
                  <c:v>53449</c:v>
                </c:pt>
                <c:pt idx="2053">
                  <c:v>53456</c:v>
                </c:pt>
                <c:pt idx="2054">
                  <c:v>53463</c:v>
                </c:pt>
                <c:pt idx="2055">
                  <c:v>53470</c:v>
                </c:pt>
                <c:pt idx="2056">
                  <c:v>53477</c:v>
                </c:pt>
                <c:pt idx="2057">
                  <c:v>53484</c:v>
                </c:pt>
                <c:pt idx="2058">
                  <c:v>53491</c:v>
                </c:pt>
                <c:pt idx="2059">
                  <c:v>53498</c:v>
                </c:pt>
                <c:pt idx="2060">
                  <c:v>53505</c:v>
                </c:pt>
                <c:pt idx="2061">
                  <c:v>53512</c:v>
                </c:pt>
                <c:pt idx="2062">
                  <c:v>53519</c:v>
                </c:pt>
                <c:pt idx="2063">
                  <c:v>53526</c:v>
                </c:pt>
                <c:pt idx="2064">
                  <c:v>53533</c:v>
                </c:pt>
                <c:pt idx="2065">
                  <c:v>53540</c:v>
                </c:pt>
                <c:pt idx="2066">
                  <c:v>53547</c:v>
                </c:pt>
                <c:pt idx="2067">
                  <c:v>53554</c:v>
                </c:pt>
                <c:pt idx="2068">
                  <c:v>53561</c:v>
                </c:pt>
                <c:pt idx="2069">
                  <c:v>53568</c:v>
                </c:pt>
                <c:pt idx="2070">
                  <c:v>53575</c:v>
                </c:pt>
                <c:pt idx="2071">
                  <c:v>53582</c:v>
                </c:pt>
                <c:pt idx="2072">
                  <c:v>53589</c:v>
                </c:pt>
                <c:pt idx="2073">
                  <c:v>53596</c:v>
                </c:pt>
                <c:pt idx="2074">
                  <c:v>53603</c:v>
                </c:pt>
                <c:pt idx="2075">
                  <c:v>53610</c:v>
                </c:pt>
                <c:pt idx="2076">
                  <c:v>53617</c:v>
                </c:pt>
                <c:pt idx="2077">
                  <c:v>53624</c:v>
                </c:pt>
                <c:pt idx="2078">
                  <c:v>53631</c:v>
                </c:pt>
                <c:pt idx="2079">
                  <c:v>53638</c:v>
                </c:pt>
                <c:pt idx="2080">
                  <c:v>53645</c:v>
                </c:pt>
                <c:pt idx="2081">
                  <c:v>53652</c:v>
                </c:pt>
                <c:pt idx="2082">
                  <c:v>53659</c:v>
                </c:pt>
                <c:pt idx="2083">
                  <c:v>53666</c:v>
                </c:pt>
                <c:pt idx="2084">
                  <c:v>53673</c:v>
                </c:pt>
                <c:pt idx="2085">
                  <c:v>53680</c:v>
                </c:pt>
                <c:pt idx="2086">
                  <c:v>53688</c:v>
                </c:pt>
                <c:pt idx="2087">
                  <c:v>53695</c:v>
                </c:pt>
                <c:pt idx="2088">
                  <c:v>53702</c:v>
                </c:pt>
                <c:pt idx="2089">
                  <c:v>53709</c:v>
                </c:pt>
                <c:pt idx="2090">
                  <c:v>53716</c:v>
                </c:pt>
                <c:pt idx="2091">
                  <c:v>53723</c:v>
                </c:pt>
                <c:pt idx="2092">
                  <c:v>53730</c:v>
                </c:pt>
                <c:pt idx="2093">
                  <c:v>53737</c:v>
                </c:pt>
                <c:pt idx="2094">
                  <c:v>53744</c:v>
                </c:pt>
                <c:pt idx="2095">
                  <c:v>53751</c:v>
                </c:pt>
                <c:pt idx="2096">
                  <c:v>53758</c:v>
                </c:pt>
                <c:pt idx="2097">
                  <c:v>53765</c:v>
                </c:pt>
                <c:pt idx="2098">
                  <c:v>53772</c:v>
                </c:pt>
                <c:pt idx="2099">
                  <c:v>53779</c:v>
                </c:pt>
                <c:pt idx="2100">
                  <c:v>53786</c:v>
                </c:pt>
                <c:pt idx="2101">
                  <c:v>53793</c:v>
                </c:pt>
                <c:pt idx="2102">
                  <c:v>53800</c:v>
                </c:pt>
                <c:pt idx="2103">
                  <c:v>53807</c:v>
                </c:pt>
                <c:pt idx="2104">
                  <c:v>53814</c:v>
                </c:pt>
                <c:pt idx="2105">
                  <c:v>53821</c:v>
                </c:pt>
                <c:pt idx="2106">
                  <c:v>53828</c:v>
                </c:pt>
                <c:pt idx="2107">
                  <c:v>53835</c:v>
                </c:pt>
                <c:pt idx="2108">
                  <c:v>53842</c:v>
                </c:pt>
                <c:pt idx="2109">
                  <c:v>53849</c:v>
                </c:pt>
                <c:pt idx="2110">
                  <c:v>53856</c:v>
                </c:pt>
                <c:pt idx="2111">
                  <c:v>53863</c:v>
                </c:pt>
                <c:pt idx="2112">
                  <c:v>53870</c:v>
                </c:pt>
                <c:pt idx="2113">
                  <c:v>53877</c:v>
                </c:pt>
                <c:pt idx="2114">
                  <c:v>53884</c:v>
                </c:pt>
                <c:pt idx="2115">
                  <c:v>53891</c:v>
                </c:pt>
                <c:pt idx="2116">
                  <c:v>53898</c:v>
                </c:pt>
                <c:pt idx="2117">
                  <c:v>53905</c:v>
                </c:pt>
                <c:pt idx="2118">
                  <c:v>53912</c:v>
                </c:pt>
                <c:pt idx="2119">
                  <c:v>53919</c:v>
                </c:pt>
                <c:pt idx="2120">
                  <c:v>53926</c:v>
                </c:pt>
                <c:pt idx="2121">
                  <c:v>53933</c:v>
                </c:pt>
                <c:pt idx="2122">
                  <c:v>53940</c:v>
                </c:pt>
                <c:pt idx="2123">
                  <c:v>53947</c:v>
                </c:pt>
                <c:pt idx="2124">
                  <c:v>53954</c:v>
                </c:pt>
                <c:pt idx="2125">
                  <c:v>53961</c:v>
                </c:pt>
                <c:pt idx="2126">
                  <c:v>53968</c:v>
                </c:pt>
                <c:pt idx="2127">
                  <c:v>53975</c:v>
                </c:pt>
                <c:pt idx="2128">
                  <c:v>53982</c:v>
                </c:pt>
                <c:pt idx="2129">
                  <c:v>53989</c:v>
                </c:pt>
                <c:pt idx="2130">
                  <c:v>53996</c:v>
                </c:pt>
                <c:pt idx="2131">
                  <c:v>54003</c:v>
                </c:pt>
                <c:pt idx="2132">
                  <c:v>54010</c:v>
                </c:pt>
                <c:pt idx="2133">
                  <c:v>54017</c:v>
                </c:pt>
                <c:pt idx="2134">
                  <c:v>54024</c:v>
                </c:pt>
                <c:pt idx="2135">
                  <c:v>54031</c:v>
                </c:pt>
                <c:pt idx="2136">
                  <c:v>54038</c:v>
                </c:pt>
                <c:pt idx="2137">
                  <c:v>54045</c:v>
                </c:pt>
                <c:pt idx="2138">
                  <c:v>54053</c:v>
                </c:pt>
                <c:pt idx="2139">
                  <c:v>54060</c:v>
                </c:pt>
                <c:pt idx="2140">
                  <c:v>54067</c:v>
                </c:pt>
                <c:pt idx="2141">
                  <c:v>54074</c:v>
                </c:pt>
                <c:pt idx="2142">
                  <c:v>54081</c:v>
                </c:pt>
                <c:pt idx="2143">
                  <c:v>54088</c:v>
                </c:pt>
                <c:pt idx="2144">
                  <c:v>54095</c:v>
                </c:pt>
                <c:pt idx="2145">
                  <c:v>54102</c:v>
                </c:pt>
                <c:pt idx="2146">
                  <c:v>54109</c:v>
                </c:pt>
                <c:pt idx="2147">
                  <c:v>54116</c:v>
                </c:pt>
                <c:pt idx="2148">
                  <c:v>54123</c:v>
                </c:pt>
                <c:pt idx="2149">
                  <c:v>54130</c:v>
                </c:pt>
                <c:pt idx="2150">
                  <c:v>54137</c:v>
                </c:pt>
                <c:pt idx="2151">
                  <c:v>54144</c:v>
                </c:pt>
                <c:pt idx="2152">
                  <c:v>54155</c:v>
                </c:pt>
                <c:pt idx="2153">
                  <c:v>54162</c:v>
                </c:pt>
                <c:pt idx="2154">
                  <c:v>54169</c:v>
                </c:pt>
                <c:pt idx="2155">
                  <c:v>54176</c:v>
                </c:pt>
                <c:pt idx="2156">
                  <c:v>54183</c:v>
                </c:pt>
                <c:pt idx="2157">
                  <c:v>54190</c:v>
                </c:pt>
                <c:pt idx="2158">
                  <c:v>54197</c:v>
                </c:pt>
                <c:pt idx="2159">
                  <c:v>54204</c:v>
                </c:pt>
                <c:pt idx="2160">
                  <c:v>54211</c:v>
                </c:pt>
                <c:pt idx="2161">
                  <c:v>54218</c:v>
                </c:pt>
                <c:pt idx="2162">
                  <c:v>54225</c:v>
                </c:pt>
                <c:pt idx="2163">
                  <c:v>54232</c:v>
                </c:pt>
                <c:pt idx="2164">
                  <c:v>54239</c:v>
                </c:pt>
                <c:pt idx="2165">
                  <c:v>54246</c:v>
                </c:pt>
                <c:pt idx="2166">
                  <c:v>54253</c:v>
                </c:pt>
                <c:pt idx="2167">
                  <c:v>54260</c:v>
                </c:pt>
                <c:pt idx="2168">
                  <c:v>54267</c:v>
                </c:pt>
                <c:pt idx="2169">
                  <c:v>54274</c:v>
                </c:pt>
                <c:pt idx="2170">
                  <c:v>54281</c:v>
                </c:pt>
                <c:pt idx="2171">
                  <c:v>54288</c:v>
                </c:pt>
                <c:pt idx="2172">
                  <c:v>54295</c:v>
                </c:pt>
                <c:pt idx="2173">
                  <c:v>54302</c:v>
                </c:pt>
                <c:pt idx="2174">
                  <c:v>54309</c:v>
                </c:pt>
                <c:pt idx="2175">
                  <c:v>54316</c:v>
                </c:pt>
                <c:pt idx="2176">
                  <c:v>54323</c:v>
                </c:pt>
                <c:pt idx="2177">
                  <c:v>54330</c:v>
                </c:pt>
                <c:pt idx="2178">
                  <c:v>54337</c:v>
                </c:pt>
                <c:pt idx="2179">
                  <c:v>54344</c:v>
                </c:pt>
                <c:pt idx="2180">
                  <c:v>54351</c:v>
                </c:pt>
                <c:pt idx="2181">
                  <c:v>54358</c:v>
                </c:pt>
                <c:pt idx="2182">
                  <c:v>54365</c:v>
                </c:pt>
                <c:pt idx="2183">
                  <c:v>54372</c:v>
                </c:pt>
                <c:pt idx="2184">
                  <c:v>54379</c:v>
                </c:pt>
                <c:pt idx="2185">
                  <c:v>54386</c:v>
                </c:pt>
                <c:pt idx="2186">
                  <c:v>54393</c:v>
                </c:pt>
                <c:pt idx="2187">
                  <c:v>54400</c:v>
                </c:pt>
                <c:pt idx="2188">
                  <c:v>54407</c:v>
                </c:pt>
                <c:pt idx="2189">
                  <c:v>54414</c:v>
                </c:pt>
                <c:pt idx="2190">
                  <c:v>54421</c:v>
                </c:pt>
                <c:pt idx="2191">
                  <c:v>54428</c:v>
                </c:pt>
                <c:pt idx="2192">
                  <c:v>54435</c:v>
                </c:pt>
                <c:pt idx="2193">
                  <c:v>54442</c:v>
                </c:pt>
                <c:pt idx="2194">
                  <c:v>54449</c:v>
                </c:pt>
                <c:pt idx="2195">
                  <c:v>54456</c:v>
                </c:pt>
                <c:pt idx="2196">
                  <c:v>54463</c:v>
                </c:pt>
                <c:pt idx="2197">
                  <c:v>54470</c:v>
                </c:pt>
                <c:pt idx="2198">
                  <c:v>54477</c:v>
                </c:pt>
                <c:pt idx="2199">
                  <c:v>54484</c:v>
                </c:pt>
                <c:pt idx="2200">
                  <c:v>54491</c:v>
                </c:pt>
                <c:pt idx="2201">
                  <c:v>54498</c:v>
                </c:pt>
                <c:pt idx="2202">
                  <c:v>54505</c:v>
                </c:pt>
                <c:pt idx="2203">
                  <c:v>54512</c:v>
                </c:pt>
                <c:pt idx="2204">
                  <c:v>54519</c:v>
                </c:pt>
                <c:pt idx="2205">
                  <c:v>54526</c:v>
                </c:pt>
                <c:pt idx="2206">
                  <c:v>54533</c:v>
                </c:pt>
                <c:pt idx="2207">
                  <c:v>54540</c:v>
                </c:pt>
                <c:pt idx="2208">
                  <c:v>54547</c:v>
                </c:pt>
                <c:pt idx="2209">
                  <c:v>54554</c:v>
                </c:pt>
                <c:pt idx="2210">
                  <c:v>54561</c:v>
                </c:pt>
                <c:pt idx="2211">
                  <c:v>54568</c:v>
                </c:pt>
                <c:pt idx="2212">
                  <c:v>54575</c:v>
                </c:pt>
                <c:pt idx="2213">
                  <c:v>54582</c:v>
                </c:pt>
                <c:pt idx="2214">
                  <c:v>54589</c:v>
                </c:pt>
                <c:pt idx="2215">
                  <c:v>54596</c:v>
                </c:pt>
                <c:pt idx="2216">
                  <c:v>54603</c:v>
                </c:pt>
                <c:pt idx="2217">
                  <c:v>54610</c:v>
                </c:pt>
                <c:pt idx="2218">
                  <c:v>54617</c:v>
                </c:pt>
                <c:pt idx="2219">
                  <c:v>54624</c:v>
                </c:pt>
                <c:pt idx="2220">
                  <c:v>54631</c:v>
                </c:pt>
                <c:pt idx="2221">
                  <c:v>54638</c:v>
                </c:pt>
                <c:pt idx="2222">
                  <c:v>54645</c:v>
                </c:pt>
                <c:pt idx="2223">
                  <c:v>54652</c:v>
                </c:pt>
                <c:pt idx="2224">
                  <c:v>54659</c:v>
                </c:pt>
                <c:pt idx="2225">
                  <c:v>54666</c:v>
                </c:pt>
                <c:pt idx="2226">
                  <c:v>54673</c:v>
                </c:pt>
                <c:pt idx="2227">
                  <c:v>54680</c:v>
                </c:pt>
                <c:pt idx="2228">
                  <c:v>54687</c:v>
                </c:pt>
                <c:pt idx="2229">
                  <c:v>54694</c:v>
                </c:pt>
                <c:pt idx="2230">
                  <c:v>54701</c:v>
                </c:pt>
                <c:pt idx="2231">
                  <c:v>54708</c:v>
                </c:pt>
                <c:pt idx="2232">
                  <c:v>54715</c:v>
                </c:pt>
                <c:pt idx="2233">
                  <c:v>54722</c:v>
                </c:pt>
                <c:pt idx="2234">
                  <c:v>54729</c:v>
                </c:pt>
                <c:pt idx="2235">
                  <c:v>54736</c:v>
                </c:pt>
                <c:pt idx="2236">
                  <c:v>54743</c:v>
                </c:pt>
                <c:pt idx="2237">
                  <c:v>54750</c:v>
                </c:pt>
                <c:pt idx="2238">
                  <c:v>54757</c:v>
                </c:pt>
                <c:pt idx="2239">
                  <c:v>54764</c:v>
                </c:pt>
                <c:pt idx="2240">
                  <c:v>54771</c:v>
                </c:pt>
                <c:pt idx="2241">
                  <c:v>54778</c:v>
                </c:pt>
                <c:pt idx="2242">
                  <c:v>54786</c:v>
                </c:pt>
                <c:pt idx="2243">
                  <c:v>54793</c:v>
                </c:pt>
                <c:pt idx="2244">
                  <c:v>54800</c:v>
                </c:pt>
                <c:pt idx="2245">
                  <c:v>54807</c:v>
                </c:pt>
                <c:pt idx="2246">
                  <c:v>54814</c:v>
                </c:pt>
                <c:pt idx="2247">
                  <c:v>54821</c:v>
                </c:pt>
                <c:pt idx="2248">
                  <c:v>54828</c:v>
                </c:pt>
                <c:pt idx="2249">
                  <c:v>54835</c:v>
                </c:pt>
                <c:pt idx="2250">
                  <c:v>54842</c:v>
                </c:pt>
                <c:pt idx="2251">
                  <c:v>54849</c:v>
                </c:pt>
                <c:pt idx="2252">
                  <c:v>54856</c:v>
                </c:pt>
                <c:pt idx="2253">
                  <c:v>54863</c:v>
                </c:pt>
                <c:pt idx="2254">
                  <c:v>54870</c:v>
                </c:pt>
                <c:pt idx="2255">
                  <c:v>54877</c:v>
                </c:pt>
                <c:pt idx="2256">
                  <c:v>54884</c:v>
                </c:pt>
                <c:pt idx="2257">
                  <c:v>54891</c:v>
                </c:pt>
                <c:pt idx="2258">
                  <c:v>54898</c:v>
                </c:pt>
                <c:pt idx="2259">
                  <c:v>54905</c:v>
                </c:pt>
                <c:pt idx="2260">
                  <c:v>54912</c:v>
                </c:pt>
                <c:pt idx="2261">
                  <c:v>54919</c:v>
                </c:pt>
                <c:pt idx="2262">
                  <c:v>54926</c:v>
                </c:pt>
                <c:pt idx="2263">
                  <c:v>54933</c:v>
                </c:pt>
                <c:pt idx="2264">
                  <c:v>54940</c:v>
                </c:pt>
                <c:pt idx="2265">
                  <c:v>54947</c:v>
                </c:pt>
                <c:pt idx="2266">
                  <c:v>54954</c:v>
                </c:pt>
                <c:pt idx="2267">
                  <c:v>54961</c:v>
                </c:pt>
                <c:pt idx="2268">
                  <c:v>54968</c:v>
                </c:pt>
                <c:pt idx="2269">
                  <c:v>54975</c:v>
                </c:pt>
                <c:pt idx="2270">
                  <c:v>54982</c:v>
                </c:pt>
                <c:pt idx="2271">
                  <c:v>54989</c:v>
                </c:pt>
                <c:pt idx="2272">
                  <c:v>54996</c:v>
                </c:pt>
                <c:pt idx="2273">
                  <c:v>55003</c:v>
                </c:pt>
                <c:pt idx="2274">
                  <c:v>55010</c:v>
                </c:pt>
                <c:pt idx="2275">
                  <c:v>55017</c:v>
                </c:pt>
                <c:pt idx="2276">
                  <c:v>55024</c:v>
                </c:pt>
                <c:pt idx="2277">
                  <c:v>55031</c:v>
                </c:pt>
                <c:pt idx="2278">
                  <c:v>55038</c:v>
                </c:pt>
                <c:pt idx="2279">
                  <c:v>55045</c:v>
                </c:pt>
                <c:pt idx="2280">
                  <c:v>55052</c:v>
                </c:pt>
                <c:pt idx="2281">
                  <c:v>55059</c:v>
                </c:pt>
                <c:pt idx="2282">
                  <c:v>55066</c:v>
                </c:pt>
                <c:pt idx="2283">
                  <c:v>55073</c:v>
                </c:pt>
                <c:pt idx="2284">
                  <c:v>55080</c:v>
                </c:pt>
                <c:pt idx="2285">
                  <c:v>55087</c:v>
                </c:pt>
                <c:pt idx="2286">
                  <c:v>55094</c:v>
                </c:pt>
                <c:pt idx="2287">
                  <c:v>55101</c:v>
                </c:pt>
                <c:pt idx="2288">
                  <c:v>55108</c:v>
                </c:pt>
                <c:pt idx="2289">
                  <c:v>55115</c:v>
                </c:pt>
                <c:pt idx="2290">
                  <c:v>55122</c:v>
                </c:pt>
                <c:pt idx="2291">
                  <c:v>55129</c:v>
                </c:pt>
                <c:pt idx="2292">
                  <c:v>55136</c:v>
                </c:pt>
                <c:pt idx="2293">
                  <c:v>55143</c:v>
                </c:pt>
                <c:pt idx="2294">
                  <c:v>55150</c:v>
                </c:pt>
                <c:pt idx="2295">
                  <c:v>55157</c:v>
                </c:pt>
                <c:pt idx="2296">
                  <c:v>55164</c:v>
                </c:pt>
                <c:pt idx="2297">
                  <c:v>55171</c:v>
                </c:pt>
                <c:pt idx="2298">
                  <c:v>55178</c:v>
                </c:pt>
                <c:pt idx="2299">
                  <c:v>55185</c:v>
                </c:pt>
                <c:pt idx="2300">
                  <c:v>55192</c:v>
                </c:pt>
                <c:pt idx="2301">
                  <c:v>55199</c:v>
                </c:pt>
                <c:pt idx="2302">
                  <c:v>55206</c:v>
                </c:pt>
                <c:pt idx="2303">
                  <c:v>55213</c:v>
                </c:pt>
                <c:pt idx="2304">
                  <c:v>55220</c:v>
                </c:pt>
                <c:pt idx="2305">
                  <c:v>55227</c:v>
                </c:pt>
                <c:pt idx="2306">
                  <c:v>55234</c:v>
                </c:pt>
                <c:pt idx="2307">
                  <c:v>55241</c:v>
                </c:pt>
                <c:pt idx="2308">
                  <c:v>55248</c:v>
                </c:pt>
                <c:pt idx="2309">
                  <c:v>55255</c:v>
                </c:pt>
                <c:pt idx="2310">
                  <c:v>55262</c:v>
                </c:pt>
                <c:pt idx="2311">
                  <c:v>55269</c:v>
                </c:pt>
                <c:pt idx="2312">
                  <c:v>55276</c:v>
                </c:pt>
                <c:pt idx="2313">
                  <c:v>55283</c:v>
                </c:pt>
                <c:pt idx="2314">
                  <c:v>55290</c:v>
                </c:pt>
                <c:pt idx="2315">
                  <c:v>55297</c:v>
                </c:pt>
                <c:pt idx="2316">
                  <c:v>55304</c:v>
                </c:pt>
                <c:pt idx="2317">
                  <c:v>55311</c:v>
                </c:pt>
                <c:pt idx="2318">
                  <c:v>55318</c:v>
                </c:pt>
                <c:pt idx="2319">
                  <c:v>55325</c:v>
                </c:pt>
                <c:pt idx="2320">
                  <c:v>55332</c:v>
                </c:pt>
                <c:pt idx="2321">
                  <c:v>55339</c:v>
                </c:pt>
                <c:pt idx="2322">
                  <c:v>55346</c:v>
                </c:pt>
                <c:pt idx="2323">
                  <c:v>55353</c:v>
                </c:pt>
                <c:pt idx="2324">
                  <c:v>55360</c:v>
                </c:pt>
                <c:pt idx="2325">
                  <c:v>55367</c:v>
                </c:pt>
                <c:pt idx="2326">
                  <c:v>55374</c:v>
                </c:pt>
                <c:pt idx="2327">
                  <c:v>55381</c:v>
                </c:pt>
                <c:pt idx="2328">
                  <c:v>55388</c:v>
                </c:pt>
                <c:pt idx="2329">
                  <c:v>55395</c:v>
                </c:pt>
                <c:pt idx="2330">
                  <c:v>55402</c:v>
                </c:pt>
                <c:pt idx="2331">
                  <c:v>55409</c:v>
                </c:pt>
                <c:pt idx="2332">
                  <c:v>55416</c:v>
                </c:pt>
                <c:pt idx="2333">
                  <c:v>55423</c:v>
                </c:pt>
                <c:pt idx="2334">
                  <c:v>55430</c:v>
                </c:pt>
                <c:pt idx="2335">
                  <c:v>55437</c:v>
                </c:pt>
                <c:pt idx="2336">
                  <c:v>55444</c:v>
                </c:pt>
                <c:pt idx="2337">
                  <c:v>55451</c:v>
                </c:pt>
                <c:pt idx="2338">
                  <c:v>55458</c:v>
                </c:pt>
                <c:pt idx="2339">
                  <c:v>55465</c:v>
                </c:pt>
                <c:pt idx="2340">
                  <c:v>55472</c:v>
                </c:pt>
                <c:pt idx="2341">
                  <c:v>55479</c:v>
                </c:pt>
                <c:pt idx="2342">
                  <c:v>55486</c:v>
                </c:pt>
                <c:pt idx="2343">
                  <c:v>55493</c:v>
                </c:pt>
                <c:pt idx="2344">
                  <c:v>55500</c:v>
                </c:pt>
                <c:pt idx="2345">
                  <c:v>55507</c:v>
                </c:pt>
                <c:pt idx="2346">
                  <c:v>55514</c:v>
                </c:pt>
                <c:pt idx="2347">
                  <c:v>55521</c:v>
                </c:pt>
                <c:pt idx="2348">
                  <c:v>55528</c:v>
                </c:pt>
                <c:pt idx="2349">
                  <c:v>55535</c:v>
                </c:pt>
                <c:pt idx="2350">
                  <c:v>55542</c:v>
                </c:pt>
                <c:pt idx="2351">
                  <c:v>55549</c:v>
                </c:pt>
                <c:pt idx="2352">
                  <c:v>55556</c:v>
                </c:pt>
                <c:pt idx="2353">
                  <c:v>55563</c:v>
                </c:pt>
                <c:pt idx="2354">
                  <c:v>55570</c:v>
                </c:pt>
                <c:pt idx="2355">
                  <c:v>55577</c:v>
                </c:pt>
                <c:pt idx="2356">
                  <c:v>55584</c:v>
                </c:pt>
                <c:pt idx="2357">
                  <c:v>55591</c:v>
                </c:pt>
                <c:pt idx="2358">
                  <c:v>55598</c:v>
                </c:pt>
                <c:pt idx="2359">
                  <c:v>55605</c:v>
                </c:pt>
                <c:pt idx="2360">
                  <c:v>55612</c:v>
                </c:pt>
                <c:pt idx="2361">
                  <c:v>55619</c:v>
                </c:pt>
                <c:pt idx="2362">
                  <c:v>55626</c:v>
                </c:pt>
                <c:pt idx="2363">
                  <c:v>55633</c:v>
                </c:pt>
                <c:pt idx="2364">
                  <c:v>55640</c:v>
                </c:pt>
                <c:pt idx="2365">
                  <c:v>55647</c:v>
                </c:pt>
                <c:pt idx="2366">
                  <c:v>55654</c:v>
                </c:pt>
                <c:pt idx="2367">
                  <c:v>55661</c:v>
                </c:pt>
                <c:pt idx="2368">
                  <c:v>55668</c:v>
                </c:pt>
                <c:pt idx="2369">
                  <c:v>55675</c:v>
                </c:pt>
                <c:pt idx="2370">
                  <c:v>55682</c:v>
                </c:pt>
                <c:pt idx="2371">
                  <c:v>55689</c:v>
                </c:pt>
                <c:pt idx="2372">
                  <c:v>55696</c:v>
                </c:pt>
                <c:pt idx="2373">
                  <c:v>55703</c:v>
                </c:pt>
                <c:pt idx="2374">
                  <c:v>55710</c:v>
                </c:pt>
                <c:pt idx="2375">
                  <c:v>55717</c:v>
                </c:pt>
                <c:pt idx="2376">
                  <c:v>55724</c:v>
                </c:pt>
                <c:pt idx="2377">
                  <c:v>55731</c:v>
                </c:pt>
                <c:pt idx="2378">
                  <c:v>55738</c:v>
                </c:pt>
                <c:pt idx="2379">
                  <c:v>55745</c:v>
                </c:pt>
                <c:pt idx="2380">
                  <c:v>55752</c:v>
                </c:pt>
                <c:pt idx="2381">
                  <c:v>55759</c:v>
                </c:pt>
                <c:pt idx="2382">
                  <c:v>55766</c:v>
                </c:pt>
                <c:pt idx="2383">
                  <c:v>55773</c:v>
                </c:pt>
                <c:pt idx="2384">
                  <c:v>55780</c:v>
                </c:pt>
                <c:pt idx="2385">
                  <c:v>55787</c:v>
                </c:pt>
                <c:pt idx="2386">
                  <c:v>55794</c:v>
                </c:pt>
                <c:pt idx="2387">
                  <c:v>55801</c:v>
                </c:pt>
                <c:pt idx="2388">
                  <c:v>55808</c:v>
                </c:pt>
                <c:pt idx="2389">
                  <c:v>55815</c:v>
                </c:pt>
                <c:pt idx="2390">
                  <c:v>55822</c:v>
                </c:pt>
                <c:pt idx="2391">
                  <c:v>55829</c:v>
                </c:pt>
                <c:pt idx="2392">
                  <c:v>55836</c:v>
                </c:pt>
                <c:pt idx="2393">
                  <c:v>55843</c:v>
                </c:pt>
                <c:pt idx="2394">
                  <c:v>55850</c:v>
                </c:pt>
                <c:pt idx="2395">
                  <c:v>55857</c:v>
                </c:pt>
                <c:pt idx="2396">
                  <c:v>55864</c:v>
                </c:pt>
                <c:pt idx="2397">
                  <c:v>55871</c:v>
                </c:pt>
                <c:pt idx="2398">
                  <c:v>55880</c:v>
                </c:pt>
                <c:pt idx="2399">
                  <c:v>55887</c:v>
                </c:pt>
                <c:pt idx="2400">
                  <c:v>55894</c:v>
                </c:pt>
                <c:pt idx="2401">
                  <c:v>55901</c:v>
                </c:pt>
                <c:pt idx="2402">
                  <c:v>55908</c:v>
                </c:pt>
                <c:pt idx="2403">
                  <c:v>55915</c:v>
                </c:pt>
                <c:pt idx="2404">
                  <c:v>55922</c:v>
                </c:pt>
                <c:pt idx="2405">
                  <c:v>55929</c:v>
                </c:pt>
                <c:pt idx="2406">
                  <c:v>55936</c:v>
                </c:pt>
                <c:pt idx="2407">
                  <c:v>55943</c:v>
                </c:pt>
                <c:pt idx="2408">
                  <c:v>55950</c:v>
                </c:pt>
                <c:pt idx="2409">
                  <c:v>55957</c:v>
                </c:pt>
                <c:pt idx="2410">
                  <c:v>55964</c:v>
                </c:pt>
                <c:pt idx="2411">
                  <c:v>55971</c:v>
                </c:pt>
                <c:pt idx="2412">
                  <c:v>55982</c:v>
                </c:pt>
                <c:pt idx="2413">
                  <c:v>55989</c:v>
                </c:pt>
                <c:pt idx="2414">
                  <c:v>55996</c:v>
                </c:pt>
                <c:pt idx="2415">
                  <c:v>56003</c:v>
                </c:pt>
                <c:pt idx="2416">
                  <c:v>56010</c:v>
                </c:pt>
                <c:pt idx="2417">
                  <c:v>56017</c:v>
                </c:pt>
                <c:pt idx="2418">
                  <c:v>56024</c:v>
                </c:pt>
                <c:pt idx="2419">
                  <c:v>56031</c:v>
                </c:pt>
                <c:pt idx="2420">
                  <c:v>56038</c:v>
                </c:pt>
                <c:pt idx="2421">
                  <c:v>56045</c:v>
                </c:pt>
                <c:pt idx="2422">
                  <c:v>56052</c:v>
                </c:pt>
                <c:pt idx="2423">
                  <c:v>56059</c:v>
                </c:pt>
                <c:pt idx="2424">
                  <c:v>56066</c:v>
                </c:pt>
                <c:pt idx="2425">
                  <c:v>56073</c:v>
                </c:pt>
                <c:pt idx="2426">
                  <c:v>56080</c:v>
                </c:pt>
                <c:pt idx="2427">
                  <c:v>56087</c:v>
                </c:pt>
                <c:pt idx="2428">
                  <c:v>56094</c:v>
                </c:pt>
                <c:pt idx="2429">
                  <c:v>56101</c:v>
                </c:pt>
                <c:pt idx="2430">
                  <c:v>56108</c:v>
                </c:pt>
                <c:pt idx="2431">
                  <c:v>56115</c:v>
                </c:pt>
                <c:pt idx="2432">
                  <c:v>56122</c:v>
                </c:pt>
                <c:pt idx="2433">
                  <c:v>56129</c:v>
                </c:pt>
                <c:pt idx="2434">
                  <c:v>56136</c:v>
                </c:pt>
                <c:pt idx="2435">
                  <c:v>56143</c:v>
                </c:pt>
                <c:pt idx="2436">
                  <c:v>56150</c:v>
                </c:pt>
                <c:pt idx="2437">
                  <c:v>56157</c:v>
                </c:pt>
                <c:pt idx="2438">
                  <c:v>56164</c:v>
                </c:pt>
                <c:pt idx="2439">
                  <c:v>56171</c:v>
                </c:pt>
                <c:pt idx="2440">
                  <c:v>56178</c:v>
                </c:pt>
                <c:pt idx="2441">
                  <c:v>56185</c:v>
                </c:pt>
                <c:pt idx="2442">
                  <c:v>56192</c:v>
                </c:pt>
                <c:pt idx="2443">
                  <c:v>56199</c:v>
                </c:pt>
                <c:pt idx="2444">
                  <c:v>56206</c:v>
                </c:pt>
                <c:pt idx="2445">
                  <c:v>56213</c:v>
                </c:pt>
                <c:pt idx="2446">
                  <c:v>56220</c:v>
                </c:pt>
                <c:pt idx="2447">
                  <c:v>56227</c:v>
                </c:pt>
                <c:pt idx="2448">
                  <c:v>56234</c:v>
                </c:pt>
                <c:pt idx="2449">
                  <c:v>56241</c:v>
                </c:pt>
                <c:pt idx="2450">
                  <c:v>56248</c:v>
                </c:pt>
                <c:pt idx="2451">
                  <c:v>56255</c:v>
                </c:pt>
                <c:pt idx="2452">
                  <c:v>56262</c:v>
                </c:pt>
                <c:pt idx="2453">
                  <c:v>56269</c:v>
                </c:pt>
                <c:pt idx="2454">
                  <c:v>56276</c:v>
                </c:pt>
                <c:pt idx="2455">
                  <c:v>56283</c:v>
                </c:pt>
                <c:pt idx="2456">
                  <c:v>56290</c:v>
                </c:pt>
                <c:pt idx="2457">
                  <c:v>56297</c:v>
                </c:pt>
                <c:pt idx="2458">
                  <c:v>56304</c:v>
                </c:pt>
                <c:pt idx="2459">
                  <c:v>56311</c:v>
                </c:pt>
                <c:pt idx="2460">
                  <c:v>56318</c:v>
                </c:pt>
                <c:pt idx="2461">
                  <c:v>56325</c:v>
                </c:pt>
                <c:pt idx="2462">
                  <c:v>56332</c:v>
                </c:pt>
                <c:pt idx="2463">
                  <c:v>56339</c:v>
                </c:pt>
                <c:pt idx="2464">
                  <c:v>56346</c:v>
                </c:pt>
                <c:pt idx="2465">
                  <c:v>56353</c:v>
                </c:pt>
                <c:pt idx="2466">
                  <c:v>56360</c:v>
                </c:pt>
                <c:pt idx="2467">
                  <c:v>56367</c:v>
                </c:pt>
                <c:pt idx="2468">
                  <c:v>56374</c:v>
                </c:pt>
                <c:pt idx="2469">
                  <c:v>56381</c:v>
                </c:pt>
                <c:pt idx="2470">
                  <c:v>56388</c:v>
                </c:pt>
                <c:pt idx="2471">
                  <c:v>56395</c:v>
                </c:pt>
                <c:pt idx="2472">
                  <c:v>56402</c:v>
                </c:pt>
                <c:pt idx="2473">
                  <c:v>56409</c:v>
                </c:pt>
                <c:pt idx="2474">
                  <c:v>56416</c:v>
                </c:pt>
                <c:pt idx="2475">
                  <c:v>56423</c:v>
                </c:pt>
                <c:pt idx="2476">
                  <c:v>56430</c:v>
                </c:pt>
                <c:pt idx="2477">
                  <c:v>56437</c:v>
                </c:pt>
                <c:pt idx="2478">
                  <c:v>56444</c:v>
                </c:pt>
                <c:pt idx="2479">
                  <c:v>56451</c:v>
                </c:pt>
                <c:pt idx="2480">
                  <c:v>56458</c:v>
                </c:pt>
                <c:pt idx="2481">
                  <c:v>56465</c:v>
                </c:pt>
                <c:pt idx="2482">
                  <c:v>56472</c:v>
                </c:pt>
                <c:pt idx="2483">
                  <c:v>56479</c:v>
                </c:pt>
                <c:pt idx="2484">
                  <c:v>56486</c:v>
                </c:pt>
                <c:pt idx="2485">
                  <c:v>56493</c:v>
                </c:pt>
                <c:pt idx="2486">
                  <c:v>56500</c:v>
                </c:pt>
                <c:pt idx="2487">
                  <c:v>56507</c:v>
                </c:pt>
                <c:pt idx="2488">
                  <c:v>56514</c:v>
                </c:pt>
                <c:pt idx="2489">
                  <c:v>56521</c:v>
                </c:pt>
                <c:pt idx="2490">
                  <c:v>56528</c:v>
                </c:pt>
                <c:pt idx="2491">
                  <c:v>56535</c:v>
                </c:pt>
                <c:pt idx="2492">
                  <c:v>56542</c:v>
                </c:pt>
                <c:pt idx="2493">
                  <c:v>56549</c:v>
                </c:pt>
                <c:pt idx="2494">
                  <c:v>56556</c:v>
                </c:pt>
                <c:pt idx="2495">
                  <c:v>56563</c:v>
                </c:pt>
                <c:pt idx="2496">
                  <c:v>56570</c:v>
                </c:pt>
                <c:pt idx="2497">
                  <c:v>56577</c:v>
                </c:pt>
                <c:pt idx="2498">
                  <c:v>56584</c:v>
                </c:pt>
                <c:pt idx="2499">
                  <c:v>56591</c:v>
                </c:pt>
                <c:pt idx="2500">
                  <c:v>56598</c:v>
                </c:pt>
                <c:pt idx="2501">
                  <c:v>56605</c:v>
                </c:pt>
                <c:pt idx="2502">
                  <c:v>56612</c:v>
                </c:pt>
                <c:pt idx="2503">
                  <c:v>56619</c:v>
                </c:pt>
                <c:pt idx="2504">
                  <c:v>56626</c:v>
                </c:pt>
                <c:pt idx="2505">
                  <c:v>56633</c:v>
                </c:pt>
                <c:pt idx="2506">
                  <c:v>56640</c:v>
                </c:pt>
                <c:pt idx="2507">
                  <c:v>56647</c:v>
                </c:pt>
                <c:pt idx="2508">
                  <c:v>56654</c:v>
                </c:pt>
                <c:pt idx="2509">
                  <c:v>56661</c:v>
                </c:pt>
                <c:pt idx="2510">
                  <c:v>56668</c:v>
                </c:pt>
                <c:pt idx="2511">
                  <c:v>56675</c:v>
                </c:pt>
                <c:pt idx="2512">
                  <c:v>56682</c:v>
                </c:pt>
                <c:pt idx="2513">
                  <c:v>56689</c:v>
                </c:pt>
                <c:pt idx="2514">
                  <c:v>56696</c:v>
                </c:pt>
                <c:pt idx="2515">
                  <c:v>56703</c:v>
                </c:pt>
                <c:pt idx="2516">
                  <c:v>56710</c:v>
                </c:pt>
                <c:pt idx="2517">
                  <c:v>56717</c:v>
                </c:pt>
                <c:pt idx="2518">
                  <c:v>56724</c:v>
                </c:pt>
                <c:pt idx="2519">
                  <c:v>56731</c:v>
                </c:pt>
                <c:pt idx="2520">
                  <c:v>56738</c:v>
                </c:pt>
                <c:pt idx="2521">
                  <c:v>56745</c:v>
                </c:pt>
                <c:pt idx="2522">
                  <c:v>56752</c:v>
                </c:pt>
                <c:pt idx="2523">
                  <c:v>56759</c:v>
                </c:pt>
                <c:pt idx="2524">
                  <c:v>56766</c:v>
                </c:pt>
                <c:pt idx="2525">
                  <c:v>56773</c:v>
                </c:pt>
                <c:pt idx="2526">
                  <c:v>56780</c:v>
                </c:pt>
                <c:pt idx="2527">
                  <c:v>56787</c:v>
                </c:pt>
                <c:pt idx="2528">
                  <c:v>56794</c:v>
                </c:pt>
                <c:pt idx="2529">
                  <c:v>56801</c:v>
                </c:pt>
                <c:pt idx="2530">
                  <c:v>56808</c:v>
                </c:pt>
                <c:pt idx="2531">
                  <c:v>56815</c:v>
                </c:pt>
                <c:pt idx="2532">
                  <c:v>56822</c:v>
                </c:pt>
                <c:pt idx="2533">
                  <c:v>56829</c:v>
                </c:pt>
                <c:pt idx="2534">
                  <c:v>56836</c:v>
                </c:pt>
                <c:pt idx="2535">
                  <c:v>56843</c:v>
                </c:pt>
                <c:pt idx="2536">
                  <c:v>56850</c:v>
                </c:pt>
                <c:pt idx="2537">
                  <c:v>56857</c:v>
                </c:pt>
                <c:pt idx="2538">
                  <c:v>56864</c:v>
                </c:pt>
                <c:pt idx="2539">
                  <c:v>56871</c:v>
                </c:pt>
                <c:pt idx="2540">
                  <c:v>56878</c:v>
                </c:pt>
                <c:pt idx="2541">
                  <c:v>56885</c:v>
                </c:pt>
                <c:pt idx="2542">
                  <c:v>56892</c:v>
                </c:pt>
                <c:pt idx="2543">
                  <c:v>56899</c:v>
                </c:pt>
                <c:pt idx="2544">
                  <c:v>56906</c:v>
                </c:pt>
                <c:pt idx="2545">
                  <c:v>56913</c:v>
                </c:pt>
                <c:pt idx="2546">
                  <c:v>56920</c:v>
                </c:pt>
                <c:pt idx="2547">
                  <c:v>56927</c:v>
                </c:pt>
                <c:pt idx="2548">
                  <c:v>56934</c:v>
                </c:pt>
                <c:pt idx="2549">
                  <c:v>56941</c:v>
                </c:pt>
                <c:pt idx="2550">
                  <c:v>56948</c:v>
                </c:pt>
                <c:pt idx="2551">
                  <c:v>56955</c:v>
                </c:pt>
                <c:pt idx="2552">
                  <c:v>56962</c:v>
                </c:pt>
                <c:pt idx="2553">
                  <c:v>56969</c:v>
                </c:pt>
                <c:pt idx="2554">
                  <c:v>56977</c:v>
                </c:pt>
                <c:pt idx="2555">
                  <c:v>56984</c:v>
                </c:pt>
                <c:pt idx="2556">
                  <c:v>56991</c:v>
                </c:pt>
                <c:pt idx="2557">
                  <c:v>56998</c:v>
                </c:pt>
                <c:pt idx="2558">
                  <c:v>57005</c:v>
                </c:pt>
                <c:pt idx="2559">
                  <c:v>57012</c:v>
                </c:pt>
                <c:pt idx="2560">
                  <c:v>57019</c:v>
                </c:pt>
                <c:pt idx="2561">
                  <c:v>57026</c:v>
                </c:pt>
                <c:pt idx="2562">
                  <c:v>57033</c:v>
                </c:pt>
                <c:pt idx="2563">
                  <c:v>57040</c:v>
                </c:pt>
                <c:pt idx="2564">
                  <c:v>57047</c:v>
                </c:pt>
                <c:pt idx="2565">
                  <c:v>57054</c:v>
                </c:pt>
                <c:pt idx="2566">
                  <c:v>57061</c:v>
                </c:pt>
                <c:pt idx="2567">
                  <c:v>57068</c:v>
                </c:pt>
                <c:pt idx="2568">
                  <c:v>57075</c:v>
                </c:pt>
                <c:pt idx="2569">
                  <c:v>57082</c:v>
                </c:pt>
                <c:pt idx="2570">
                  <c:v>57089</c:v>
                </c:pt>
                <c:pt idx="2571">
                  <c:v>57096</c:v>
                </c:pt>
                <c:pt idx="2572">
                  <c:v>57103</c:v>
                </c:pt>
                <c:pt idx="2573">
                  <c:v>57110</c:v>
                </c:pt>
                <c:pt idx="2574">
                  <c:v>57117</c:v>
                </c:pt>
                <c:pt idx="2575">
                  <c:v>57124</c:v>
                </c:pt>
                <c:pt idx="2576">
                  <c:v>57131</c:v>
                </c:pt>
                <c:pt idx="2577">
                  <c:v>57138</c:v>
                </c:pt>
                <c:pt idx="2578">
                  <c:v>57145</c:v>
                </c:pt>
                <c:pt idx="2579">
                  <c:v>57152</c:v>
                </c:pt>
                <c:pt idx="2580">
                  <c:v>57159</c:v>
                </c:pt>
                <c:pt idx="2581">
                  <c:v>57166</c:v>
                </c:pt>
                <c:pt idx="2582">
                  <c:v>57173</c:v>
                </c:pt>
                <c:pt idx="2583">
                  <c:v>57180</c:v>
                </c:pt>
                <c:pt idx="2584">
                  <c:v>57187</c:v>
                </c:pt>
                <c:pt idx="2585">
                  <c:v>57194</c:v>
                </c:pt>
                <c:pt idx="2586">
                  <c:v>57201</c:v>
                </c:pt>
                <c:pt idx="2587">
                  <c:v>57208</c:v>
                </c:pt>
                <c:pt idx="2588">
                  <c:v>57215</c:v>
                </c:pt>
                <c:pt idx="2589">
                  <c:v>57222</c:v>
                </c:pt>
                <c:pt idx="2590">
                  <c:v>57229</c:v>
                </c:pt>
                <c:pt idx="2591">
                  <c:v>57236</c:v>
                </c:pt>
                <c:pt idx="2592">
                  <c:v>57243</c:v>
                </c:pt>
                <c:pt idx="2593">
                  <c:v>57250</c:v>
                </c:pt>
                <c:pt idx="2594">
                  <c:v>57257</c:v>
                </c:pt>
                <c:pt idx="2595">
                  <c:v>57264</c:v>
                </c:pt>
                <c:pt idx="2596">
                  <c:v>57271</c:v>
                </c:pt>
                <c:pt idx="2597">
                  <c:v>57278</c:v>
                </c:pt>
                <c:pt idx="2598">
                  <c:v>57285</c:v>
                </c:pt>
                <c:pt idx="2599">
                  <c:v>57292</c:v>
                </c:pt>
                <c:pt idx="2600">
                  <c:v>57299</c:v>
                </c:pt>
                <c:pt idx="2601">
                  <c:v>57306</c:v>
                </c:pt>
                <c:pt idx="2602">
                  <c:v>57313</c:v>
                </c:pt>
                <c:pt idx="2603">
                  <c:v>57320</c:v>
                </c:pt>
                <c:pt idx="2604">
                  <c:v>57327</c:v>
                </c:pt>
                <c:pt idx="2605">
                  <c:v>57334</c:v>
                </c:pt>
                <c:pt idx="2606">
                  <c:v>57341</c:v>
                </c:pt>
                <c:pt idx="2607">
                  <c:v>57348</c:v>
                </c:pt>
                <c:pt idx="2608">
                  <c:v>57355</c:v>
                </c:pt>
                <c:pt idx="2609">
                  <c:v>57362</c:v>
                </c:pt>
                <c:pt idx="2610">
                  <c:v>57369</c:v>
                </c:pt>
                <c:pt idx="2611">
                  <c:v>57376</c:v>
                </c:pt>
                <c:pt idx="2612">
                  <c:v>57383</c:v>
                </c:pt>
                <c:pt idx="2613">
                  <c:v>57390</c:v>
                </c:pt>
                <c:pt idx="2614">
                  <c:v>57397</c:v>
                </c:pt>
                <c:pt idx="2615">
                  <c:v>57404</c:v>
                </c:pt>
                <c:pt idx="2616">
                  <c:v>57411</c:v>
                </c:pt>
                <c:pt idx="2617">
                  <c:v>57418</c:v>
                </c:pt>
                <c:pt idx="2618">
                  <c:v>57425</c:v>
                </c:pt>
                <c:pt idx="2619">
                  <c:v>57432</c:v>
                </c:pt>
                <c:pt idx="2620">
                  <c:v>57439</c:v>
                </c:pt>
                <c:pt idx="2621">
                  <c:v>57446</c:v>
                </c:pt>
                <c:pt idx="2622">
                  <c:v>57453</c:v>
                </c:pt>
                <c:pt idx="2623">
                  <c:v>57460</c:v>
                </c:pt>
                <c:pt idx="2624">
                  <c:v>57467</c:v>
                </c:pt>
                <c:pt idx="2625">
                  <c:v>57474</c:v>
                </c:pt>
                <c:pt idx="2626">
                  <c:v>57481</c:v>
                </c:pt>
                <c:pt idx="2627">
                  <c:v>57488</c:v>
                </c:pt>
                <c:pt idx="2628">
                  <c:v>57495</c:v>
                </c:pt>
                <c:pt idx="2629">
                  <c:v>57502</c:v>
                </c:pt>
                <c:pt idx="2630">
                  <c:v>57509</c:v>
                </c:pt>
                <c:pt idx="2631">
                  <c:v>57516</c:v>
                </c:pt>
                <c:pt idx="2632">
                  <c:v>57523</c:v>
                </c:pt>
                <c:pt idx="2633">
                  <c:v>57530</c:v>
                </c:pt>
                <c:pt idx="2634">
                  <c:v>57537</c:v>
                </c:pt>
                <c:pt idx="2635">
                  <c:v>57544</c:v>
                </c:pt>
                <c:pt idx="2636">
                  <c:v>57551</c:v>
                </c:pt>
                <c:pt idx="2637">
                  <c:v>57558</c:v>
                </c:pt>
                <c:pt idx="2638">
                  <c:v>57565</c:v>
                </c:pt>
                <c:pt idx="2639">
                  <c:v>57572</c:v>
                </c:pt>
                <c:pt idx="2640">
                  <c:v>57579</c:v>
                </c:pt>
                <c:pt idx="2641">
                  <c:v>57586</c:v>
                </c:pt>
                <c:pt idx="2642">
                  <c:v>57593</c:v>
                </c:pt>
                <c:pt idx="2643">
                  <c:v>57600</c:v>
                </c:pt>
                <c:pt idx="2644">
                  <c:v>57607</c:v>
                </c:pt>
                <c:pt idx="2645">
                  <c:v>57614</c:v>
                </c:pt>
                <c:pt idx="2646">
                  <c:v>57621</c:v>
                </c:pt>
                <c:pt idx="2647">
                  <c:v>57628</c:v>
                </c:pt>
                <c:pt idx="2648">
                  <c:v>57635</c:v>
                </c:pt>
                <c:pt idx="2649">
                  <c:v>57642</c:v>
                </c:pt>
                <c:pt idx="2650">
                  <c:v>57649</c:v>
                </c:pt>
                <c:pt idx="2651">
                  <c:v>57656</c:v>
                </c:pt>
                <c:pt idx="2652">
                  <c:v>57663</c:v>
                </c:pt>
                <c:pt idx="2653">
                  <c:v>57670</c:v>
                </c:pt>
                <c:pt idx="2654">
                  <c:v>57677</c:v>
                </c:pt>
                <c:pt idx="2655">
                  <c:v>57684</c:v>
                </c:pt>
                <c:pt idx="2656">
                  <c:v>57691</c:v>
                </c:pt>
                <c:pt idx="2657">
                  <c:v>57698</c:v>
                </c:pt>
                <c:pt idx="2658">
                  <c:v>57706</c:v>
                </c:pt>
                <c:pt idx="2659">
                  <c:v>57713</c:v>
                </c:pt>
                <c:pt idx="2660">
                  <c:v>57720</c:v>
                </c:pt>
                <c:pt idx="2661">
                  <c:v>57727</c:v>
                </c:pt>
                <c:pt idx="2662">
                  <c:v>57734</c:v>
                </c:pt>
                <c:pt idx="2663">
                  <c:v>57741</c:v>
                </c:pt>
                <c:pt idx="2664">
                  <c:v>57748</c:v>
                </c:pt>
                <c:pt idx="2665">
                  <c:v>57755</c:v>
                </c:pt>
                <c:pt idx="2666">
                  <c:v>57762</c:v>
                </c:pt>
                <c:pt idx="2667">
                  <c:v>57769</c:v>
                </c:pt>
                <c:pt idx="2668">
                  <c:v>57776</c:v>
                </c:pt>
                <c:pt idx="2669">
                  <c:v>57783</c:v>
                </c:pt>
                <c:pt idx="2670">
                  <c:v>57790</c:v>
                </c:pt>
                <c:pt idx="2671">
                  <c:v>57797</c:v>
                </c:pt>
                <c:pt idx="2672">
                  <c:v>57804</c:v>
                </c:pt>
                <c:pt idx="2673">
                  <c:v>57811</c:v>
                </c:pt>
                <c:pt idx="2674">
                  <c:v>57818</c:v>
                </c:pt>
                <c:pt idx="2675">
                  <c:v>57825</c:v>
                </c:pt>
                <c:pt idx="2676">
                  <c:v>57832</c:v>
                </c:pt>
                <c:pt idx="2677">
                  <c:v>57839</c:v>
                </c:pt>
                <c:pt idx="2678">
                  <c:v>57846</c:v>
                </c:pt>
                <c:pt idx="2679">
                  <c:v>57853</c:v>
                </c:pt>
                <c:pt idx="2680">
                  <c:v>57860</c:v>
                </c:pt>
                <c:pt idx="2681">
                  <c:v>57867</c:v>
                </c:pt>
                <c:pt idx="2682">
                  <c:v>57874</c:v>
                </c:pt>
                <c:pt idx="2683">
                  <c:v>57881</c:v>
                </c:pt>
                <c:pt idx="2684">
                  <c:v>57888</c:v>
                </c:pt>
                <c:pt idx="2685">
                  <c:v>57895</c:v>
                </c:pt>
                <c:pt idx="2686">
                  <c:v>57902</c:v>
                </c:pt>
                <c:pt idx="2687">
                  <c:v>57909</c:v>
                </c:pt>
                <c:pt idx="2688">
                  <c:v>57916</c:v>
                </c:pt>
                <c:pt idx="2689">
                  <c:v>57923</c:v>
                </c:pt>
                <c:pt idx="2690">
                  <c:v>57930</c:v>
                </c:pt>
                <c:pt idx="2691">
                  <c:v>57937</c:v>
                </c:pt>
                <c:pt idx="2692">
                  <c:v>57944</c:v>
                </c:pt>
                <c:pt idx="2693">
                  <c:v>57951</c:v>
                </c:pt>
                <c:pt idx="2694">
                  <c:v>57958</c:v>
                </c:pt>
                <c:pt idx="2695">
                  <c:v>57965</c:v>
                </c:pt>
                <c:pt idx="2696">
                  <c:v>57972</c:v>
                </c:pt>
                <c:pt idx="2697">
                  <c:v>57979</c:v>
                </c:pt>
                <c:pt idx="2698">
                  <c:v>57986</c:v>
                </c:pt>
                <c:pt idx="2699">
                  <c:v>57993</c:v>
                </c:pt>
                <c:pt idx="2700">
                  <c:v>58000</c:v>
                </c:pt>
                <c:pt idx="2701">
                  <c:v>58007</c:v>
                </c:pt>
                <c:pt idx="2702">
                  <c:v>58014</c:v>
                </c:pt>
                <c:pt idx="2703">
                  <c:v>58021</c:v>
                </c:pt>
                <c:pt idx="2704">
                  <c:v>58028</c:v>
                </c:pt>
                <c:pt idx="2705">
                  <c:v>58035</c:v>
                </c:pt>
                <c:pt idx="2706">
                  <c:v>58042</c:v>
                </c:pt>
                <c:pt idx="2707">
                  <c:v>58049</c:v>
                </c:pt>
                <c:pt idx="2708">
                  <c:v>58056</c:v>
                </c:pt>
                <c:pt idx="2709">
                  <c:v>58063</c:v>
                </c:pt>
                <c:pt idx="2710">
                  <c:v>58071</c:v>
                </c:pt>
                <c:pt idx="2711">
                  <c:v>58078</c:v>
                </c:pt>
                <c:pt idx="2712">
                  <c:v>58085</c:v>
                </c:pt>
                <c:pt idx="2713">
                  <c:v>58092</c:v>
                </c:pt>
                <c:pt idx="2714">
                  <c:v>58099</c:v>
                </c:pt>
                <c:pt idx="2715">
                  <c:v>58106</c:v>
                </c:pt>
                <c:pt idx="2716">
                  <c:v>58113</c:v>
                </c:pt>
                <c:pt idx="2717">
                  <c:v>58120</c:v>
                </c:pt>
                <c:pt idx="2718">
                  <c:v>58127</c:v>
                </c:pt>
                <c:pt idx="2719">
                  <c:v>58134</c:v>
                </c:pt>
                <c:pt idx="2720">
                  <c:v>58141</c:v>
                </c:pt>
                <c:pt idx="2721">
                  <c:v>58148</c:v>
                </c:pt>
                <c:pt idx="2722">
                  <c:v>58155</c:v>
                </c:pt>
                <c:pt idx="2723">
                  <c:v>58166</c:v>
                </c:pt>
                <c:pt idx="2724">
                  <c:v>58173</c:v>
                </c:pt>
                <c:pt idx="2725">
                  <c:v>58180</c:v>
                </c:pt>
                <c:pt idx="2726">
                  <c:v>58187</c:v>
                </c:pt>
                <c:pt idx="2727">
                  <c:v>58194</c:v>
                </c:pt>
                <c:pt idx="2728">
                  <c:v>58201</c:v>
                </c:pt>
                <c:pt idx="2729">
                  <c:v>58208</c:v>
                </c:pt>
                <c:pt idx="2730">
                  <c:v>58215</c:v>
                </c:pt>
                <c:pt idx="2731">
                  <c:v>58222</c:v>
                </c:pt>
                <c:pt idx="2732">
                  <c:v>58229</c:v>
                </c:pt>
                <c:pt idx="2733">
                  <c:v>58236</c:v>
                </c:pt>
                <c:pt idx="2734">
                  <c:v>58243</c:v>
                </c:pt>
                <c:pt idx="2735">
                  <c:v>58250</c:v>
                </c:pt>
                <c:pt idx="2736">
                  <c:v>58257</c:v>
                </c:pt>
                <c:pt idx="2737">
                  <c:v>58264</c:v>
                </c:pt>
                <c:pt idx="2738">
                  <c:v>58271</c:v>
                </c:pt>
                <c:pt idx="2739">
                  <c:v>58278</c:v>
                </c:pt>
                <c:pt idx="2740">
                  <c:v>58285</c:v>
                </c:pt>
                <c:pt idx="2741">
                  <c:v>58292</c:v>
                </c:pt>
                <c:pt idx="2742">
                  <c:v>58299</c:v>
                </c:pt>
                <c:pt idx="2743">
                  <c:v>58306</c:v>
                </c:pt>
                <c:pt idx="2744">
                  <c:v>58313</c:v>
                </c:pt>
                <c:pt idx="2745">
                  <c:v>58320</c:v>
                </c:pt>
                <c:pt idx="2746">
                  <c:v>58327</c:v>
                </c:pt>
                <c:pt idx="2747">
                  <c:v>58334</c:v>
                </c:pt>
                <c:pt idx="2748">
                  <c:v>58341</c:v>
                </c:pt>
                <c:pt idx="2749">
                  <c:v>58348</c:v>
                </c:pt>
                <c:pt idx="2750">
                  <c:v>58355</c:v>
                </c:pt>
                <c:pt idx="2751">
                  <c:v>58362</c:v>
                </c:pt>
                <c:pt idx="2752">
                  <c:v>58369</c:v>
                </c:pt>
                <c:pt idx="2753">
                  <c:v>58376</c:v>
                </c:pt>
                <c:pt idx="2754">
                  <c:v>58383</c:v>
                </c:pt>
                <c:pt idx="2755">
                  <c:v>58390</c:v>
                </c:pt>
                <c:pt idx="2756">
                  <c:v>58397</c:v>
                </c:pt>
                <c:pt idx="2757">
                  <c:v>58404</c:v>
                </c:pt>
                <c:pt idx="2758">
                  <c:v>58411</c:v>
                </c:pt>
                <c:pt idx="2759">
                  <c:v>58418</c:v>
                </c:pt>
                <c:pt idx="2760">
                  <c:v>58425</c:v>
                </c:pt>
                <c:pt idx="2761">
                  <c:v>58432</c:v>
                </c:pt>
                <c:pt idx="2762">
                  <c:v>58439</c:v>
                </c:pt>
                <c:pt idx="2763">
                  <c:v>58446</c:v>
                </c:pt>
                <c:pt idx="2764">
                  <c:v>58453</c:v>
                </c:pt>
                <c:pt idx="2765">
                  <c:v>58460</c:v>
                </c:pt>
                <c:pt idx="2766">
                  <c:v>58467</c:v>
                </c:pt>
                <c:pt idx="2767">
                  <c:v>58474</c:v>
                </c:pt>
                <c:pt idx="2768">
                  <c:v>58481</c:v>
                </c:pt>
                <c:pt idx="2769">
                  <c:v>58488</c:v>
                </c:pt>
                <c:pt idx="2770">
                  <c:v>58495</c:v>
                </c:pt>
                <c:pt idx="2771">
                  <c:v>58502</c:v>
                </c:pt>
                <c:pt idx="2772">
                  <c:v>58509</c:v>
                </c:pt>
                <c:pt idx="2773">
                  <c:v>58516</c:v>
                </c:pt>
                <c:pt idx="2774">
                  <c:v>58523</c:v>
                </c:pt>
                <c:pt idx="2775">
                  <c:v>58530</c:v>
                </c:pt>
                <c:pt idx="2776">
                  <c:v>58537</c:v>
                </c:pt>
                <c:pt idx="2777">
                  <c:v>58544</c:v>
                </c:pt>
                <c:pt idx="2778">
                  <c:v>58551</c:v>
                </c:pt>
                <c:pt idx="2779">
                  <c:v>58558</c:v>
                </c:pt>
                <c:pt idx="2780">
                  <c:v>58565</c:v>
                </c:pt>
                <c:pt idx="2781">
                  <c:v>58572</c:v>
                </c:pt>
                <c:pt idx="2782">
                  <c:v>58579</c:v>
                </c:pt>
                <c:pt idx="2783">
                  <c:v>58586</c:v>
                </c:pt>
                <c:pt idx="2784">
                  <c:v>58593</c:v>
                </c:pt>
                <c:pt idx="2785">
                  <c:v>58600</c:v>
                </c:pt>
                <c:pt idx="2786">
                  <c:v>58607</c:v>
                </c:pt>
                <c:pt idx="2787">
                  <c:v>58614</c:v>
                </c:pt>
                <c:pt idx="2788">
                  <c:v>58621</c:v>
                </c:pt>
                <c:pt idx="2789">
                  <c:v>58628</c:v>
                </c:pt>
                <c:pt idx="2790">
                  <c:v>58635</c:v>
                </c:pt>
                <c:pt idx="2791">
                  <c:v>58642</c:v>
                </c:pt>
                <c:pt idx="2792">
                  <c:v>58649</c:v>
                </c:pt>
                <c:pt idx="2793">
                  <c:v>58656</c:v>
                </c:pt>
                <c:pt idx="2794">
                  <c:v>58663</c:v>
                </c:pt>
                <c:pt idx="2795">
                  <c:v>58670</c:v>
                </c:pt>
                <c:pt idx="2796">
                  <c:v>58677</c:v>
                </c:pt>
                <c:pt idx="2797">
                  <c:v>58684</c:v>
                </c:pt>
                <c:pt idx="2798">
                  <c:v>58691</c:v>
                </c:pt>
                <c:pt idx="2799">
                  <c:v>58698</c:v>
                </c:pt>
                <c:pt idx="2800">
                  <c:v>58705</c:v>
                </c:pt>
                <c:pt idx="2801">
                  <c:v>58712</c:v>
                </c:pt>
                <c:pt idx="2802">
                  <c:v>58719</c:v>
                </c:pt>
                <c:pt idx="2803">
                  <c:v>58726</c:v>
                </c:pt>
                <c:pt idx="2804">
                  <c:v>58733</c:v>
                </c:pt>
                <c:pt idx="2805">
                  <c:v>58740</c:v>
                </c:pt>
                <c:pt idx="2806">
                  <c:v>58747</c:v>
                </c:pt>
                <c:pt idx="2807">
                  <c:v>58754</c:v>
                </c:pt>
                <c:pt idx="2808">
                  <c:v>58761</c:v>
                </c:pt>
                <c:pt idx="2809">
                  <c:v>58768</c:v>
                </c:pt>
                <c:pt idx="2810">
                  <c:v>58775</c:v>
                </c:pt>
                <c:pt idx="2811">
                  <c:v>58782</c:v>
                </c:pt>
                <c:pt idx="2812">
                  <c:v>58789</c:v>
                </c:pt>
                <c:pt idx="2813">
                  <c:v>58796</c:v>
                </c:pt>
                <c:pt idx="2814">
                  <c:v>58804</c:v>
                </c:pt>
                <c:pt idx="2815">
                  <c:v>58811</c:v>
                </c:pt>
                <c:pt idx="2816">
                  <c:v>58818</c:v>
                </c:pt>
                <c:pt idx="2817">
                  <c:v>58825</c:v>
                </c:pt>
                <c:pt idx="2818">
                  <c:v>58832</c:v>
                </c:pt>
                <c:pt idx="2819">
                  <c:v>58839</c:v>
                </c:pt>
                <c:pt idx="2820">
                  <c:v>58846</c:v>
                </c:pt>
                <c:pt idx="2821">
                  <c:v>58853</c:v>
                </c:pt>
                <c:pt idx="2822">
                  <c:v>58860</c:v>
                </c:pt>
                <c:pt idx="2823">
                  <c:v>58867</c:v>
                </c:pt>
                <c:pt idx="2824">
                  <c:v>58874</c:v>
                </c:pt>
                <c:pt idx="2825">
                  <c:v>58881</c:v>
                </c:pt>
                <c:pt idx="2826">
                  <c:v>58888</c:v>
                </c:pt>
                <c:pt idx="2827">
                  <c:v>58895</c:v>
                </c:pt>
                <c:pt idx="2828">
                  <c:v>58902</c:v>
                </c:pt>
                <c:pt idx="2829">
                  <c:v>58909</c:v>
                </c:pt>
                <c:pt idx="2830">
                  <c:v>58916</c:v>
                </c:pt>
                <c:pt idx="2831">
                  <c:v>58923</c:v>
                </c:pt>
                <c:pt idx="2832">
                  <c:v>58930</c:v>
                </c:pt>
                <c:pt idx="2833">
                  <c:v>58937</c:v>
                </c:pt>
                <c:pt idx="2834">
                  <c:v>58944</c:v>
                </c:pt>
                <c:pt idx="2835">
                  <c:v>58951</c:v>
                </c:pt>
                <c:pt idx="2836">
                  <c:v>58958</c:v>
                </c:pt>
                <c:pt idx="2837">
                  <c:v>58965</c:v>
                </c:pt>
                <c:pt idx="2838">
                  <c:v>58972</c:v>
                </c:pt>
                <c:pt idx="2839">
                  <c:v>58979</c:v>
                </c:pt>
                <c:pt idx="2840">
                  <c:v>58986</c:v>
                </c:pt>
                <c:pt idx="2841">
                  <c:v>58993</c:v>
                </c:pt>
                <c:pt idx="2842">
                  <c:v>59000</c:v>
                </c:pt>
                <c:pt idx="2843">
                  <c:v>59007</c:v>
                </c:pt>
                <c:pt idx="2844">
                  <c:v>59014</c:v>
                </c:pt>
                <c:pt idx="2845">
                  <c:v>59021</c:v>
                </c:pt>
                <c:pt idx="2846">
                  <c:v>59028</c:v>
                </c:pt>
                <c:pt idx="2847">
                  <c:v>59035</c:v>
                </c:pt>
                <c:pt idx="2848">
                  <c:v>59042</c:v>
                </c:pt>
                <c:pt idx="2849">
                  <c:v>59049</c:v>
                </c:pt>
                <c:pt idx="2850">
                  <c:v>59056</c:v>
                </c:pt>
                <c:pt idx="2851">
                  <c:v>59063</c:v>
                </c:pt>
                <c:pt idx="2852">
                  <c:v>59070</c:v>
                </c:pt>
                <c:pt idx="2853">
                  <c:v>59077</c:v>
                </c:pt>
                <c:pt idx="2854">
                  <c:v>59084</c:v>
                </c:pt>
                <c:pt idx="2855">
                  <c:v>59091</c:v>
                </c:pt>
                <c:pt idx="2856">
                  <c:v>59098</c:v>
                </c:pt>
                <c:pt idx="2857">
                  <c:v>59105</c:v>
                </c:pt>
                <c:pt idx="2858">
                  <c:v>59112</c:v>
                </c:pt>
                <c:pt idx="2859">
                  <c:v>59119</c:v>
                </c:pt>
                <c:pt idx="2860">
                  <c:v>59126</c:v>
                </c:pt>
                <c:pt idx="2861">
                  <c:v>59133</c:v>
                </c:pt>
                <c:pt idx="2862">
                  <c:v>59140</c:v>
                </c:pt>
                <c:pt idx="2863">
                  <c:v>59147</c:v>
                </c:pt>
                <c:pt idx="2864">
                  <c:v>59154</c:v>
                </c:pt>
                <c:pt idx="2865">
                  <c:v>59161</c:v>
                </c:pt>
                <c:pt idx="2866">
                  <c:v>59168</c:v>
                </c:pt>
                <c:pt idx="2867">
                  <c:v>59175</c:v>
                </c:pt>
                <c:pt idx="2868">
                  <c:v>59182</c:v>
                </c:pt>
                <c:pt idx="2869">
                  <c:v>59189</c:v>
                </c:pt>
                <c:pt idx="2870">
                  <c:v>59196</c:v>
                </c:pt>
                <c:pt idx="2871">
                  <c:v>59203</c:v>
                </c:pt>
                <c:pt idx="2872">
                  <c:v>59210</c:v>
                </c:pt>
                <c:pt idx="2873">
                  <c:v>59217</c:v>
                </c:pt>
                <c:pt idx="2874">
                  <c:v>59224</c:v>
                </c:pt>
                <c:pt idx="2875">
                  <c:v>59231</c:v>
                </c:pt>
                <c:pt idx="2876">
                  <c:v>59238</c:v>
                </c:pt>
                <c:pt idx="2877">
                  <c:v>59245</c:v>
                </c:pt>
                <c:pt idx="2878">
                  <c:v>59252</c:v>
                </c:pt>
                <c:pt idx="2879">
                  <c:v>59259</c:v>
                </c:pt>
                <c:pt idx="2880">
                  <c:v>59266</c:v>
                </c:pt>
                <c:pt idx="2881">
                  <c:v>59273</c:v>
                </c:pt>
                <c:pt idx="2882">
                  <c:v>59280</c:v>
                </c:pt>
                <c:pt idx="2883">
                  <c:v>59287</c:v>
                </c:pt>
                <c:pt idx="2884">
                  <c:v>59294</c:v>
                </c:pt>
                <c:pt idx="2885">
                  <c:v>59301</c:v>
                </c:pt>
                <c:pt idx="2886">
                  <c:v>59308</c:v>
                </c:pt>
                <c:pt idx="2887">
                  <c:v>59315</c:v>
                </c:pt>
                <c:pt idx="2888">
                  <c:v>59322</c:v>
                </c:pt>
                <c:pt idx="2889">
                  <c:v>59329</c:v>
                </c:pt>
                <c:pt idx="2890">
                  <c:v>59336</c:v>
                </c:pt>
                <c:pt idx="2891">
                  <c:v>59343</c:v>
                </c:pt>
                <c:pt idx="2892">
                  <c:v>59350</c:v>
                </c:pt>
                <c:pt idx="2893">
                  <c:v>59357</c:v>
                </c:pt>
                <c:pt idx="2894">
                  <c:v>59364</c:v>
                </c:pt>
                <c:pt idx="2895">
                  <c:v>59371</c:v>
                </c:pt>
                <c:pt idx="2896">
                  <c:v>59378</c:v>
                </c:pt>
                <c:pt idx="2897">
                  <c:v>59385</c:v>
                </c:pt>
                <c:pt idx="2898">
                  <c:v>59392</c:v>
                </c:pt>
                <c:pt idx="2899">
                  <c:v>59399</c:v>
                </c:pt>
                <c:pt idx="2900">
                  <c:v>59406</c:v>
                </c:pt>
                <c:pt idx="2901">
                  <c:v>59413</c:v>
                </c:pt>
                <c:pt idx="2902">
                  <c:v>59420</c:v>
                </c:pt>
                <c:pt idx="2903">
                  <c:v>59427</c:v>
                </c:pt>
                <c:pt idx="2904">
                  <c:v>59434</c:v>
                </c:pt>
                <c:pt idx="2905">
                  <c:v>59441</c:v>
                </c:pt>
                <c:pt idx="2906">
                  <c:v>59448</c:v>
                </c:pt>
                <c:pt idx="2907">
                  <c:v>59455</c:v>
                </c:pt>
                <c:pt idx="2908">
                  <c:v>59462</c:v>
                </c:pt>
                <c:pt idx="2909">
                  <c:v>59469</c:v>
                </c:pt>
                <c:pt idx="2910">
                  <c:v>59476</c:v>
                </c:pt>
                <c:pt idx="2911">
                  <c:v>59483</c:v>
                </c:pt>
                <c:pt idx="2912">
                  <c:v>59490</c:v>
                </c:pt>
                <c:pt idx="2913">
                  <c:v>59497</c:v>
                </c:pt>
                <c:pt idx="2914">
                  <c:v>59504</c:v>
                </c:pt>
                <c:pt idx="2915">
                  <c:v>59511</c:v>
                </c:pt>
                <c:pt idx="2916">
                  <c:v>59518</c:v>
                </c:pt>
                <c:pt idx="2917">
                  <c:v>59525</c:v>
                </c:pt>
                <c:pt idx="2918">
                  <c:v>59532</c:v>
                </c:pt>
                <c:pt idx="2919">
                  <c:v>59539</c:v>
                </c:pt>
                <c:pt idx="2920">
                  <c:v>59546</c:v>
                </c:pt>
                <c:pt idx="2921">
                  <c:v>59553</c:v>
                </c:pt>
                <c:pt idx="2922">
                  <c:v>59560</c:v>
                </c:pt>
                <c:pt idx="2923">
                  <c:v>59567</c:v>
                </c:pt>
                <c:pt idx="2924">
                  <c:v>59574</c:v>
                </c:pt>
                <c:pt idx="2925">
                  <c:v>59581</c:v>
                </c:pt>
                <c:pt idx="2926">
                  <c:v>59588</c:v>
                </c:pt>
                <c:pt idx="2927">
                  <c:v>59595</c:v>
                </c:pt>
                <c:pt idx="2928">
                  <c:v>59602</c:v>
                </c:pt>
                <c:pt idx="2929">
                  <c:v>59609</c:v>
                </c:pt>
                <c:pt idx="2930">
                  <c:v>59616</c:v>
                </c:pt>
                <c:pt idx="2931">
                  <c:v>59623</c:v>
                </c:pt>
                <c:pt idx="2932">
                  <c:v>59630</c:v>
                </c:pt>
                <c:pt idx="2933">
                  <c:v>59637</c:v>
                </c:pt>
                <c:pt idx="2934">
                  <c:v>59644</c:v>
                </c:pt>
                <c:pt idx="2935">
                  <c:v>59651</c:v>
                </c:pt>
                <c:pt idx="2936">
                  <c:v>59658</c:v>
                </c:pt>
                <c:pt idx="2937">
                  <c:v>59665</c:v>
                </c:pt>
                <c:pt idx="2938">
                  <c:v>59672</c:v>
                </c:pt>
                <c:pt idx="2939">
                  <c:v>59679</c:v>
                </c:pt>
                <c:pt idx="2940">
                  <c:v>59686</c:v>
                </c:pt>
                <c:pt idx="2941">
                  <c:v>59693</c:v>
                </c:pt>
                <c:pt idx="2942">
                  <c:v>59700</c:v>
                </c:pt>
                <c:pt idx="2943">
                  <c:v>59707</c:v>
                </c:pt>
                <c:pt idx="2944">
                  <c:v>59714</c:v>
                </c:pt>
                <c:pt idx="2945">
                  <c:v>59721</c:v>
                </c:pt>
                <c:pt idx="2946">
                  <c:v>59728</c:v>
                </c:pt>
                <c:pt idx="2947">
                  <c:v>59735</c:v>
                </c:pt>
                <c:pt idx="2948">
                  <c:v>59742</c:v>
                </c:pt>
                <c:pt idx="2949">
                  <c:v>59749</c:v>
                </c:pt>
                <c:pt idx="2950">
                  <c:v>59756</c:v>
                </c:pt>
                <c:pt idx="2951">
                  <c:v>59763</c:v>
                </c:pt>
                <c:pt idx="2952">
                  <c:v>59770</c:v>
                </c:pt>
                <c:pt idx="2953">
                  <c:v>59777</c:v>
                </c:pt>
                <c:pt idx="2954">
                  <c:v>59784</c:v>
                </c:pt>
                <c:pt idx="2955">
                  <c:v>59791</c:v>
                </c:pt>
                <c:pt idx="2956">
                  <c:v>59798</c:v>
                </c:pt>
                <c:pt idx="2957">
                  <c:v>59805</c:v>
                </c:pt>
                <c:pt idx="2958">
                  <c:v>59812</c:v>
                </c:pt>
                <c:pt idx="2959">
                  <c:v>59819</c:v>
                </c:pt>
                <c:pt idx="2960">
                  <c:v>59826</c:v>
                </c:pt>
                <c:pt idx="2961">
                  <c:v>59833</c:v>
                </c:pt>
                <c:pt idx="2962">
                  <c:v>59840</c:v>
                </c:pt>
                <c:pt idx="2963">
                  <c:v>59847</c:v>
                </c:pt>
                <c:pt idx="2964">
                  <c:v>59854</c:v>
                </c:pt>
                <c:pt idx="2965">
                  <c:v>59861</c:v>
                </c:pt>
                <c:pt idx="2966">
                  <c:v>59868</c:v>
                </c:pt>
                <c:pt idx="2967">
                  <c:v>59875</c:v>
                </c:pt>
                <c:pt idx="2968">
                  <c:v>59882</c:v>
                </c:pt>
                <c:pt idx="2969">
                  <c:v>59889</c:v>
                </c:pt>
                <c:pt idx="2970">
                  <c:v>59897</c:v>
                </c:pt>
                <c:pt idx="2971">
                  <c:v>59904</c:v>
                </c:pt>
                <c:pt idx="2972">
                  <c:v>59911</c:v>
                </c:pt>
                <c:pt idx="2973">
                  <c:v>59918</c:v>
                </c:pt>
                <c:pt idx="2974">
                  <c:v>59925</c:v>
                </c:pt>
                <c:pt idx="2975">
                  <c:v>59932</c:v>
                </c:pt>
                <c:pt idx="2976">
                  <c:v>59939</c:v>
                </c:pt>
                <c:pt idx="2977">
                  <c:v>59946</c:v>
                </c:pt>
                <c:pt idx="2978">
                  <c:v>59953</c:v>
                </c:pt>
                <c:pt idx="2979">
                  <c:v>59960</c:v>
                </c:pt>
                <c:pt idx="2980">
                  <c:v>59967</c:v>
                </c:pt>
                <c:pt idx="2981">
                  <c:v>59974</c:v>
                </c:pt>
                <c:pt idx="2982">
                  <c:v>59981</c:v>
                </c:pt>
                <c:pt idx="2983">
                  <c:v>59988</c:v>
                </c:pt>
                <c:pt idx="2984">
                  <c:v>59995</c:v>
                </c:pt>
                <c:pt idx="2985">
                  <c:v>60002</c:v>
                </c:pt>
                <c:pt idx="2986">
                  <c:v>60009</c:v>
                </c:pt>
                <c:pt idx="2987">
                  <c:v>60016</c:v>
                </c:pt>
                <c:pt idx="2988">
                  <c:v>60023</c:v>
                </c:pt>
                <c:pt idx="2989">
                  <c:v>60030</c:v>
                </c:pt>
                <c:pt idx="2990">
                  <c:v>60037</c:v>
                </c:pt>
                <c:pt idx="2991">
                  <c:v>60044</c:v>
                </c:pt>
                <c:pt idx="2992">
                  <c:v>60051</c:v>
                </c:pt>
                <c:pt idx="2993">
                  <c:v>60058</c:v>
                </c:pt>
                <c:pt idx="2994">
                  <c:v>60065</c:v>
                </c:pt>
                <c:pt idx="2995">
                  <c:v>60072</c:v>
                </c:pt>
                <c:pt idx="2996">
                  <c:v>60079</c:v>
                </c:pt>
                <c:pt idx="2997">
                  <c:v>60086</c:v>
                </c:pt>
                <c:pt idx="2998">
                  <c:v>60093</c:v>
                </c:pt>
                <c:pt idx="2999">
                  <c:v>60100</c:v>
                </c:pt>
                <c:pt idx="3000">
                  <c:v>60107</c:v>
                </c:pt>
                <c:pt idx="3001">
                  <c:v>60114</c:v>
                </c:pt>
                <c:pt idx="3002">
                  <c:v>60121</c:v>
                </c:pt>
                <c:pt idx="3003">
                  <c:v>60128</c:v>
                </c:pt>
                <c:pt idx="3004">
                  <c:v>60135</c:v>
                </c:pt>
                <c:pt idx="3005">
                  <c:v>60142</c:v>
                </c:pt>
                <c:pt idx="3006">
                  <c:v>60149</c:v>
                </c:pt>
                <c:pt idx="3007">
                  <c:v>60156</c:v>
                </c:pt>
                <c:pt idx="3008">
                  <c:v>60163</c:v>
                </c:pt>
                <c:pt idx="3009">
                  <c:v>60170</c:v>
                </c:pt>
                <c:pt idx="3010">
                  <c:v>60177</c:v>
                </c:pt>
                <c:pt idx="3011">
                  <c:v>60184</c:v>
                </c:pt>
                <c:pt idx="3012">
                  <c:v>60191</c:v>
                </c:pt>
                <c:pt idx="3013">
                  <c:v>60198</c:v>
                </c:pt>
                <c:pt idx="3014">
                  <c:v>60205</c:v>
                </c:pt>
                <c:pt idx="3015">
                  <c:v>60212</c:v>
                </c:pt>
                <c:pt idx="3016">
                  <c:v>60219</c:v>
                </c:pt>
                <c:pt idx="3017">
                  <c:v>60226</c:v>
                </c:pt>
                <c:pt idx="3018">
                  <c:v>60233</c:v>
                </c:pt>
                <c:pt idx="3019">
                  <c:v>60240</c:v>
                </c:pt>
                <c:pt idx="3020">
                  <c:v>60247</c:v>
                </c:pt>
                <c:pt idx="3021">
                  <c:v>60254</c:v>
                </c:pt>
                <c:pt idx="3022">
                  <c:v>60265</c:v>
                </c:pt>
                <c:pt idx="3023">
                  <c:v>60272</c:v>
                </c:pt>
                <c:pt idx="3024">
                  <c:v>60279</c:v>
                </c:pt>
                <c:pt idx="3025">
                  <c:v>60286</c:v>
                </c:pt>
                <c:pt idx="3026">
                  <c:v>60293</c:v>
                </c:pt>
                <c:pt idx="3027">
                  <c:v>60300</c:v>
                </c:pt>
                <c:pt idx="3028">
                  <c:v>60307</c:v>
                </c:pt>
                <c:pt idx="3029">
                  <c:v>60314</c:v>
                </c:pt>
                <c:pt idx="3030">
                  <c:v>60321</c:v>
                </c:pt>
                <c:pt idx="3031">
                  <c:v>60328</c:v>
                </c:pt>
                <c:pt idx="3032">
                  <c:v>60335</c:v>
                </c:pt>
                <c:pt idx="3033">
                  <c:v>60342</c:v>
                </c:pt>
                <c:pt idx="3034">
                  <c:v>60349</c:v>
                </c:pt>
                <c:pt idx="3035">
                  <c:v>60357</c:v>
                </c:pt>
                <c:pt idx="3036">
                  <c:v>60364</c:v>
                </c:pt>
                <c:pt idx="3037">
                  <c:v>60371</c:v>
                </c:pt>
                <c:pt idx="3038">
                  <c:v>60378</c:v>
                </c:pt>
                <c:pt idx="3039">
                  <c:v>60385</c:v>
                </c:pt>
                <c:pt idx="3040">
                  <c:v>60392</c:v>
                </c:pt>
                <c:pt idx="3041">
                  <c:v>60399</c:v>
                </c:pt>
                <c:pt idx="3042">
                  <c:v>60406</c:v>
                </c:pt>
                <c:pt idx="3043">
                  <c:v>60413</c:v>
                </c:pt>
                <c:pt idx="3044">
                  <c:v>60420</c:v>
                </c:pt>
                <c:pt idx="3045">
                  <c:v>60427</c:v>
                </c:pt>
                <c:pt idx="3046">
                  <c:v>60434</c:v>
                </c:pt>
                <c:pt idx="3047">
                  <c:v>60441</c:v>
                </c:pt>
                <c:pt idx="3048">
                  <c:v>60448</c:v>
                </c:pt>
                <c:pt idx="3049">
                  <c:v>60455</c:v>
                </c:pt>
                <c:pt idx="3050">
                  <c:v>60462</c:v>
                </c:pt>
                <c:pt idx="3051">
                  <c:v>60469</c:v>
                </c:pt>
                <c:pt idx="3052">
                  <c:v>60476</c:v>
                </c:pt>
                <c:pt idx="3053">
                  <c:v>60483</c:v>
                </c:pt>
                <c:pt idx="3054">
                  <c:v>60490</c:v>
                </c:pt>
                <c:pt idx="3055">
                  <c:v>60497</c:v>
                </c:pt>
                <c:pt idx="3056">
                  <c:v>60504</c:v>
                </c:pt>
                <c:pt idx="3057">
                  <c:v>60511</c:v>
                </c:pt>
                <c:pt idx="3058">
                  <c:v>60518</c:v>
                </c:pt>
                <c:pt idx="3059">
                  <c:v>60525</c:v>
                </c:pt>
                <c:pt idx="3060">
                  <c:v>60532</c:v>
                </c:pt>
                <c:pt idx="3061">
                  <c:v>60539</c:v>
                </c:pt>
                <c:pt idx="3062">
                  <c:v>60546</c:v>
                </c:pt>
                <c:pt idx="3063">
                  <c:v>60553</c:v>
                </c:pt>
                <c:pt idx="3064">
                  <c:v>60560</c:v>
                </c:pt>
                <c:pt idx="3065">
                  <c:v>60567</c:v>
                </c:pt>
                <c:pt idx="3066">
                  <c:v>60574</c:v>
                </c:pt>
                <c:pt idx="3067">
                  <c:v>60581</c:v>
                </c:pt>
                <c:pt idx="3068">
                  <c:v>60588</c:v>
                </c:pt>
                <c:pt idx="3069">
                  <c:v>60595</c:v>
                </c:pt>
                <c:pt idx="3070">
                  <c:v>60602</c:v>
                </c:pt>
                <c:pt idx="3071">
                  <c:v>60609</c:v>
                </c:pt>
                <c:pt idx="3072">
                  <c:v>60616</c:v>
                </c:pt>
                <c:pt idx="3073">
                  <c:v>60623</c:v>
                </c:pt>
                <c:pt idx="3074">
                  <c:v>60630</c:v>
                </c:pt>
                <c:pt idx="3075">
                  <c:v>60637</c:v>
                </c:pt>
                <c:pt idx="3076">
                  <c:v>60644</c:v>
                </c:pt>
                <c:pt idx="3077">
                  <c:v>60651</c:v>
                </c:pt>
                <c:pt idx="3078">
                  <c:v>60658</c:v>
                </c:pt>
                <c:pt idx="3079">
                  <c:v>60665</c:v>
                </c:pt>
                <c:pt idx="3080">
                  <c:v>60672</c:v>
                </c:pt>
                <c:pt idx="3081">
                  <c:v>60679</c:v>
                </c:pt>
                <c:pt idx="3082">
                  <c:v>60686</c:v>
                </c:pt>
                <c:pt idx="3083">
                  <c:v>60693</c:v>
                </c:pt>
                <c:pt idx="3084">
                  <c:v>60700</c:v>
                </c:pt>
                <c:pt idx="3085">
                  <c:v>60707</c:v>
                </c:pt>
                <c:pt idx="3086">
                  <c:v>60714</c:v>
                </c:pt>
                <c:pt idx="3087">
                  <c:v>60721</c:v>
                </c:pt>
                <c:pt idx="3088">
                  <c:v>60728</c:v>
                </c:pt>
                <c:pt idx="3089">
                  <c:v>60735</c:v>
                </c:pt>
                <c:pt idx="3090">
                  <c:v>60742</c:v>
                </c:pt>
                <c:pt idx="3091">
                  <c:v>60749</c:v>
                </c:pt>
                <c:pt idx="3092">
                  <c:v>60756</c:v>
                </c:pt>
                <c:pt idx="3093">
                  <c:v>60763</c:v>
                </c:pt>
                <c:pt idx="3094">
                  <c:v>60770</c:v>
                </c:pt>
                <c:pt idx="3095">
                  <c:v>60777</c:v>
                </c:pt>
                <c:pt idx="3096">
                  <c:v>60784</c:v>
                </c:pt>
                <c:pt idx="3097">
                  <c:v>60791</c:v>
                </c:pt>
                <c:pt idx="3098">
                  <c:v>60798</c:v>
                </c:pt>
                <c:pt idx="3099">
                  <c:v>60805</c:v>
                </c:pt>
                <c:pt idx="3100">
                  <c:v>60812</c:v>
                </c:pt>
                <c:pt idx="3101">
                  <c:v>60819</c:v>
                </c:pt>
                <c:pt idx="3102">
                  <c:v>60826</c:v>
                </c:pt>
                <c:pt idx="3103">
                  <c:v>60833</c:v>
                </c:pt>
                <c:pt idx="3104">
                  <c:v>60840</c:v>
                </c:pt>
                <c:pt idx="3105">
                  <c:v>60847</c:v>
                </c:pt>
                <c:pt idx="3106">
                  <c:v>60854</c:v>
                </c:pt>
                <c:pt idx="3107">
                  <c:v>60861</c:v>
                </c:pt>
                <c:pt idx="3108">
                  <c:v>60868</c:v>
                </c:pt>
                <c:pt idx="3109">
                  <c:v>60875</c:v>
                </c:pt>
                <c:pt idx="3110">
                  <c:v>60882</c:v>
                </c:pt>
                <c:pt idx="3111">
                  <c:v>60889</c:v>
                </c:pt>
                <c:pt idx="3112">
                  <c:v>60896</c:v>
                </c:pt>
                <c:pt idx="3113">
                  <c:v>60903</c:v>
                </c:pt>
                <c:pt idx="3114">
                  <c:v>60910</c:v>
                </c:pt>
                <c:pt idx="3115">
                  <c:v>60917</c:v>
                </c:pt>
                <c:pt idx="3116">
                  <c:v>60924</c:v>
                </c:pt>
                <c:pt idx="3117">
                  <c:v>60931</c:v>
                </c:pt>
                <c:pt idx="3118">
                  <c:v>60938</c:v>
                </c:pt>
                <c:pt idx="3119">
                  <c:v>60945</c:v>
                </c:pt>
                <c:pt idx="3120">
                  <c:v>60952</c:v>
                </c:pt>
                <c:pt idx="3121">
                  <c:v>60959</c:v>
                </c:pt>
                <c:pt idx="3122">
                  <c:v>60966</c:v>
                </c:pt>
                <c:pt idx="3123">
                  <c:v>60973</c:v>
                </c:pt>
                <c:pt idx="3124">
                  <c:v>60980</c:v>
                </c:pt>
                <c:pt idx="3125">
                  <c:v>60987</c:v>
                </c:pt>
                <c:pt idx="3126">
                  <c:v>60995</c:v>
                </c:pt>
                <c:pt idx="3127">
                  <c:v>61002</c:v>
                </c:pt>
                <c:pt idx="3128">
                  <c:v>61009</c:v>
                </c:pt>
                <c:pt idx="3129">
                  <c:v>61016</c:v>
                </c:pt>
                <c:pt idx="3130">
                  <c:v>61023</c:v>
                </c:pt>
                <c:pt idx="3131">
                  <c:v>61030</c:v>
                </c:pt>
                <c:pt idx="3132">
                  <c:v>61037</c:v>
                </c:pt>
                <c:pt idx="3133">
                  <c:v>61044</c:v>
                </c:pt>
                <c:pt idx="3134">
                  <c:v>61051</c:v>
                </c:pt>
                <c:pt idx="3135">
                  <c:v>61058</c:v>
                </c:pt>
                <c:pt idx="3136">
                  <c:v>61065</c:v>
                </c:pt>
                <c:pt idx="3137">
                  <c:v>61072</c:v>
                </c:pt>
                <c:pt idx="3138">
                  <c:v>61079</c:v>
                </c:pt>
                <c:pt idx="3139">
                  <c:v>61086</c:v>
                </c:pt>
                <c:pt idx="3140">
                  <c:v>61093</c:v>
                </c:pt>
                <c:pt idx="3141">
                  <c:v>61100</c:v>
                </c:pt>
                <c:pt idx="3142">
                  <c:v>61107</c:v>
                </c:pt>
                <c:pt idx="3143">
                  <c:v>61114</c:v>
                </c:pt>
                <c:pt idx="3144">
                  <c:v>61121</c:v>
                </c:pt>
                <c:pt idx="3145">
                  <c:v>61128</c:v>
                </c:pt>
                <c:pt idx="3146">
                  <c:v>61135</c:v>
                </c:pt>
                <c:pt idx="3147">
                  <c:v>61142</c:v>
                </c:pt>
                <c:pt idx="3148">
                  <c:v>61149</c:v>
                </c:pt>
                <c:pt idx="3149">
                  <c:v>61156</c:v>
                </c:pt>
                <c:pt idx="3150">
                  <c:v>61163</c:v>
                </c:pt>
                <c:pt idx="3151">
                  <c:v>61170</c:v>
                </c:pt>
                <c:pt idx="3152">
                  <c:v>61177</c:v>
                </c:pt>
                <c:pt idx="3153">
                  <c:v>61184</c:v>
                </c:pt>
                <c:pt idx="3154">
                  <c:v>61191</c:v>
                </c:pt>
                <c:pt idx="3155">
                  <c:v>61198</c:v>
                </c:pt>
                <c:pt idx="3156">
                  <c:v>61205</c:v>
                </c:pt>
                <c:pt idx="3157">
                  <c:v>61212</c:v>
                </c:pt>
                <c:pt idx="3158">
                  <c:v>61219</c:v>
                </c:pt>
                <c:pt idx="3159">
                  <c:v>61226</c:v>
                </c:pt>
                <c:pt idx="3160">
                  <c:v>61233</c:v>
                </c:pt>
                <c:pt idx="3161">
                  <c:v>61240</c:v>
                </c:pt>
                <c:pt idx="3162">
                  <c:v>61247</c:v>
                </c:pt>
                <c:pt idx="3163">
                  <c:v>61254</c:v>
                </c:pt>
                <c:pt idx="3164">
                  <c:v>61261</c:v>
                </c:pt>
                <c:pt idx="3165">
                  <c:v>61268</c:v>
                </c:pt>
                <c:pt idx="3166">
                  <c:v>61275</c:v>
                </c:pt>
                <c:pt idx="3167">
                  <c:v>61282</c:v>
                </c:pt>
                <c:pt idx="3168">
                  <c:v>61289</c:v>
                </c:pt>
                <c:pt idx="3169">
                  <c:v>61296</c:v>
                </c:pt>
                <c:pt idx="3170">
                  <c:v>61303</c:v>
                </c:pt>
                <c:pt idx="3171">
                  <c:v>61310</c:v>
                </c:pt>
                <c:pt idx="3172">
                  <c:v>61317</c:v>
                </c:pt>
                <c:pt idx="3173">
                  <c:v>61324</c:v>
                </c:pt>
                <c:pt idx="3174">
                  <c:v>61331</c:v>
                </c:pt>
                <c:pt idx="3175">
                  <c:v>61338</c:v>
                </c:pt>
                <c:pt idx="3176">
                  <c:v>61345</c:v>
                </c:pt>
                <c:pt idx="3177">
                  <c:v>61352</c:v>
                </c:pt>
                <c:pt idx="3178">
                  <c:v>61359</c:v>
                </c:pt>
                <c:pt idx="3179">
                  <c:v>61366</c:v>
                </c:pt>
                <c:pt idx="3180">
                  <c:v>61373</c:v>
                </c:pt>
                <c:pt idx="3181">
                  <c:v>61380</c:v>
                </c:pt>
                <c:pt idx="3182">
                  <c:v>61387</c:v>
                </c:pt>
                <c:pt idx="3183">
                  <c:v>61394</c:v>
                </c:pt>
                <c:pt idx="3184">
                  <c:v>61401</c:v>
                </c:pt>
                <c:pt idx="3185">
                  <c:v>61408</c:v>
                </c:pt>
                <c:pt idx="3186">
                  <c:v>61415</c:v>
                </c:pt>
                <c:pt idx="3187">
                  <c:v>61422</c:v>
                </c:pt>
                <c:pt idx="3188">
                  <c:v>61429</c:v>
                </c:pt>
                <c:pt idx="3189">
                  <c:v>61436</c:v>
                </c:pt>
                <c:pt idx="3190">
                  <c:v>61443</c:v>
                </c:pt>
                <c:pt idx="3191">
                  <c:v>61450</c:v>
                </c:pt>
                <c:pt idx="3192">
                  <c:v>61457</c:v>
                </c:pt>
                <c:pt idx="3193">
                  <c:v>61464</c:v>
                </c:pt>
                <c:pt idx="3194">
                  <c:v>61471</c:v>
                </c:pt>
                <c:pt idx="3195">
                  <c:v>61478</c:v>
                </c:pt>
                <c:pt idx="3196">
                  <c:v>61485</c:v>
                </c:pt>
                <c:pt idx="3197">
                  <c:v>61492</c:v>
                </c:pt>
                <c:pt idx="3198">
                  <c:v>61499</c:v>
                </c:pt>
                <c:pt idx="3199">
                  <c:v>61506</c:v>
                </c:pt>
                <c:pt idx="3200">
                  <c:v>61513</c:v>
                </c:pt>
                <c:pt idx="3201">
                  <c:v>61520</c:v>
                </c:pt>
                <c:pt idx="3202">
                  <c:v>61527</c:v>
                </c:pt>
                <c:pt idx="3203">
                  <c:v>61534</c:v>
                </c:pt>
                <c:pt idx="3204">
                  <c:v>61541</c:v>
                </c:pt>
                <c:pt idx="3205">
                  <c:v>61548</c:v>
                </c:pt>
                <c:pt idx="3206">
                  <c:v>61555</c:v>
                </c:pt>
                <c:pt idx="3207">
                  <c:v>61562</c:v>
                </c:pt>
                <c:pt idx="3208">
                  <c:v>61569</c:v>
                </c:pt>
                <c:pt idx="3209">
                  <c:v>61576</c:v>
                </c:pt>
                <c:pt idx="3210">
                  <c:v>61583</c:v>
                </c:pt>
                <c:pt idx="3211">
                  <c:v>61590</c:v>
                </c:pt>
                <c:pt idx="3212">
                  <c:v>61597</c:v>
                </c:pt>
                <c:pt idx="3213">
                  <c:v>61604</c:v>
                </c:pt>
                <c:pt idx="3214">
                  <c:v>61611</c:v>
                </c:pt>
                <c:pt idx="3215">
                  <c:v>61618</c:v>
                </c:pt>
                <c:pt idx="3216">
                  <c:v>61625</c:v>
                </c:pt>
                <c:pt idx="3217">
                  <c:v>61632</c:v>
                </c:pt>
                <c:pt idx="3218">
                  <c:v>61639</c:v>
                </c:pt>
                <c:pt idx="3219">
                  <c:v>61646</c:v>
                </c:pt>
                <c:pt idx="3220">
                  <c:v>61653</c:v>
                </c:pt>
                <c:pt idx="3221">
                  <c:v>61660</c:v>
                </c:pt>
                <c:pt idx="3222">
                  <c:v>61667</c:v>
                </c:pt>
                <c:pt idx="3223">
                  <c:v>61674</c:v>
                </c:pt>
                <c:pt idx="3224">
                  <c:v>61681</c:v>
                </c:pt>
                <c:pt idx="3225">
                  <c:v>61688</c:v>
                </c:pt>
                <c:pt idx="3226">
                  <c:v>61695</c:v>
                </c:pt>
                <c:pt idx="3227">
                  <c:v>61702</c:v>
                </c:pt>
                <c:pt idx="3228">
                  <c:v>61709</c:v>
                </c:pt>
                <c:pt idx="3229">
                  <c:v>61716</c:v>
                </c:pt>
                <c:pt idx="3230">
                  <c:v>61724</c:v>
                </c:pt>
                <c:pt idx="3231">
                  <c:v>61731</c:v>
                </c:pt>
                <c:pt idx="3232">
                  <c:v>61738</c:v>
                </c:pt>
                <c:pt idx="3233">
                  <c:v>61745</c:v>
                </c:pt>
                <c:pt idx="3234">
                  <c:v>61752</c:v>
                </c:pt>
                <c:pt idx="3235">
                  <c:v>61759</c:v>
                </c:pt>
                <c:pt idx="3236">
                  <c:v>61766</c:v>
                </c:pt>
                <c:pt idx="3237">
                  <c:v>61773</c:v>
                </c:pt>
                <c:pt idx="3238">
                  <c:v>61780</c:v>
                </c:pt>
                <c:pt idx="3239">
                  <c:v>61787</c:v>
                </c:pt>
                <c:pt idx="3240">
                  <c:v>61794</c:v>
                </c:pt>
                <c:pt idx="3241">
                  <c:v>61801</c:v>
                </c:pt>
                <c:pt idx="3242">
                  <c:v>61808</c:v>
                </c:pt>
                <c:pt idx="3243">
                  <c:v>61815</c:v>
                </c:pt>
                <c:pt idx="3244">
                  <c:v>61822</c:v>
                </c:pt>
                <c:pt idx="3245">
                  <c:v>61829</c:v>
                </c:pt>
                <c:pt idx="3246">
                  <c:v>61836</c:v>
                </c:pt>
                <c:pt idx="3247">
                  <c:v>61843</c:v>
                </c:pt>
                <c:pt idx="3248">
                  <c:v>61850</c:v>
                </c:pt>
                <c:pt idx="3249">
                  <c:v>61857</c:v>
                </c:pt>
                <c:pt idx="3250">
                  <c:v>61864</c:v>
                </c:pt>
                <c:pt idx="3251">
                  <c:v>61871</c:v>
                </c:pt>
                <c:pt idx="3252">
                  <c:v>61878</c:v>
                </c:pt>
                <c:pt idx="3253">
                  <c:v>61885</c:v>
                </c:pt>
                <c:pt idx="3254">
                  <c:v>61892</c:v>
                </c:pt>
                <c:pt idx="3255">
                  <c:v>61899</c:v>
                </c:pt>
                <c:pt idx="3256">
                  <c:v>61906</c:v>
                </c:pt>
                <c:pt idx="3257">
                  <c:v>61913</c:v>
                </c:pt>
                <c:pt idx="3258">
                  <c:v>61920</c:v>
                </c:pt>
                <c:pt idx="3259">
                  <c:v>61927</c:v>
                </c:pt>
                <c:pt idx="3260">
                  <c:v>61934</c:v>
                </c:pt>
                <c:pt idx="3261">
                  <c:v>61941</c:v>
                </c:pt>
                <c:pt idx="3262">
                  <c:v>61948</c:v>
                </c:pt>
                <c:pt idx="3263">
                  <c:v>61955</c:v>
                </c:pt>
                <c:pt idx="3264">
                  <c:v>61962</c:v>
                </c:pt>
                <c:pt idx="3265">
                  <c:v>61969</c:v>
                </c:pt>
                <c:pt idx="3266">
                  <c:v>61976</c:v>
                </c:pt>
                <c:pt idx="3267">
                  <c:v>61983</c:v>
                </c:pt>
                <c:pt idx="3268">
                  <c:v>61990</c:v>
                </c:pt>
                <c:pt idx="3269">
                  <c:v>61997</c:v>
                </c:pt>
                <c:pt idx="3270">
                  <c:v>62004</c:v>
                </c:pt>
                <c:pt idx="3271">
                  <c:v>62011</c:v>
                </c:pt>
                <c:pt idx="3272">
                  <c:v>62018</c:v>
                </c:pt>
                <c:pt idx="3273">
                  <c:v>62025</c:v>
                </c:pt>
                <c:pt idx="3274">
                  <c:v>62032</c:v>
                </c:pt>
                <c:pt idx="3275">
                  <c:v>62039</c:v>
                </c:pt>
                <c:pt idx="3276">
                  <c:v>62046</c:v>
                </c:pt>
                <c:pt idx="3277">
                  <c:v>62053</c:v>
                </c:pt>
                <c:pt idx="3278">
                  <c:v>62060</c:v>
                </c:pt>
                <c:pt idx="3279">
                  <c:v>62067</c:v>
                </c:pt>
                <c:pt idx="3280">
                  <c:v>62074</c:v>
                </c:pt>
                <c:pt idx="3281">
                  <c:v>62081</c:v>
                </c:pt>
                <c:pt idx="3282">
                  <c:v>62089</c:v>
                </c:pt>
                <c:pt idx="3283">
                  <c:v>62096</c:v>
                </c:pt>
                <c:pt idx="3284">
                  <c:v>62103</c:v>
                </c:pt>
                <c:pt idx="3285">
                  <c:v>62110</c:v>
                </c:pt>
                <c:pt idx="3286">
                  <c:v>62117</c:v>
                </c:pt>
                <c:pt idx="3287">
                  <c:v>62124</c:v>
                </c:pt>
                <c:pt idx="3288">
                  <c:v>62131</c:v>
                </c:pt>
                <c:pt idx="3289">
                  <c:v>62138</c:v>
                </c:pt>
                <c:pt idx="3290">
                  <c:v>62145</c:v>
                </c:pt>
                <c:pt idx="3291">
                  <c:v>62152</c:v>
                </c:pt>
                <c:pt idx="3292">
                  <c:v>62159</c:v>
                </c:pt>
                <c:pt idx="3293">
                  <c:v>62166</c:v>
                </c:pt>
                <c:pt idx="3294">
                  <c:v>62173</c:v>
                </c:pt>
                <c:pt idx="3295">
                  <c:v>62184</c:v>
                </c:pt>
                <c:pt idx="3296">
                  <c:v>62191</c:v>
                </c:pt>
                <c:pt idx="3297">
                  <c:v>62198</c:v>
                </c:pt>
                <c:pt idx="3298">
                  <c:v>62205</c:v>
                </c:pt>
                <c:pt idx="3299">
                  <c:v>62212</c:v>
                </c:pt>
                <c:pt idx="3300">
                  <c:v>62219</c:v>
                </c:pt>
                <c:pt idx="3301">
                  <c:v>62226</c:v>
                </c:pt>
                <c:pt idx="3302">
                  <c:v>62233</c:v>
                </c:pt>
                <c:pt idx="3303">
                  <c:v>62240</c:v>
                </c:pt>
                <c:pt idx="3304">
                  <c:v>62247</c:v>
                </c:pt>
                <c:pt idx="3305">
                  <c:v>62254</c:v>
                </c:pt>
                <c:pt idx="3306">
                  <c:v>62261</c:v>
                </c:pt>
                <c:pt idx="3307">
                  <c:v>62268</c:v>
                </c:pt>
                <c:pt idx="3308">
                  <c:v>62275</c:v>
                </c:pt>
                <c:pt idx="3309">
                  <c:v>62282</c:v>
                </c:pt>
                <c:pt idx="3310">
                  <c:v>62289</c:v>
                </c:pt>
                <c:pt idx="3311">
                  <c:v>62296</c:v>
                </c:pt>
                <c:pt idx="3312">
                  <c:v>62303</c:v>
                </c:pt>
                <c:pt idx="3313">
                  <c:v>62310</c:v>
                </c:pt>
                <c:pt idx="3314">
                  <c:v>62317</c:v>
                </c:pt>
                <c:pt idx="3315">
                  <c:v>62324</c:v>
                </c:pt>
                <c:pt idx="3316">
                  <c:v>62331</c:v>
                </c:pt>
                <c:pt idx="3317">
                  <c:v>62338</c:v>
                </c:pt>
                <c:pt idx="3318">
                  <c:v>62345</c:v>
                </c:pt>
                <c:pt idx="3319">
                  <c:v>62352</c:v>
                </c:pt>
                <c:pt idx="3320">
                  <c:v>62359</c:v>
                </c:pt>
                <c:pt idx="3321">
                  <c:v>62366</c:v>
                </c:pt>
                <c:pt idx="3322">
                  <c:v>62373</c:v>
                </c:pt>
                <c:pt idx="3323">
                  <c:v>62380</c:v>
                </c:pt>
                <c:pt idx="3324">
                  <c:v>62387</c:v>
                </c:pt>
                <c:pt idx="3325">
                  <c:v>62394</c:v>
                </c:pt>
                <c:pt idx="3326">
                  <c:v>62401</c:v>
                </c:pt>
                <c:pt idx="3327">
                  <c:v>62408</c:v>
                </c:pt>
                <c:pt idx="3328">
                  <c:v>62415</c:v>
                </c:pt>
                <c:pt idx="3329">
                  <c:v>62422</c:v>
                </c:pt>
                <c:pt idx="3330">
                  <c:v>62429</c:v>
                </c:pt>
                <c:pt idx="3331">
                  <c:v>62436</c:v>
                </c:pt>
                <c:pt idx="3332">
                  <c:v>62443</c:v>
                </c:pt>
                <c:pt idx="3333">
                  <c:v>62450</c:v>
                </c:pt>
                <c:pt idx="3334">
                  <c:v>62457</c:v>
                </c:pt>
                <c:pt idx="3335">
                  <c:v>62464</c:v>
                </c:pt>
                <c:pt idx="3336">
                  <c:v>62471</c:v>
                </c:pt>
                <c:pt idx="3337">
                  <c:v>62478</c:v>
                </c:pt>
                <c:pt idx="3338">
                  <c:v>62485</c:v>
                </c:pt>
                <c:pt idx="3339">
                  <c:v>62492</c:v>
                </c:pt>
                <c:pt idx="3340">
                  <c:v>62499</c:v>
                </c:pt>
                <c:pt idx="3341">
                  <c:v>62506</c:v>
                </c:pt>
                <c:pt idx="3342">
                  <c:v>62513</c:v>
                </c:pt>
                <c:pt idx="3343">
                  <c:v>62520</c:v>
                </c:pt>
                <c:pt idx="3344">
                  <c:v>62527</c:v>
                </c:pt>
                <c:pt idx="3345">
                  <c:v>62534</c:v>
                </c:pt>
                <c:pt idx="3346">
                  <c:v>62541</c:v>
                </c:pt>
                <c:pt idx="3347">
                  <c:v>62548</c:v>
                </c:pt>
                <c:pt idx="3348">
                  <c:v>62555</c:v>
                </c:pt>
                <c:pt idx="3349">
                  <c:v>62562</c:v>
                </c:pt>
                <c:pt idx="3350">
                  <c:v>62569</c:v>
                </c:pt>
                <c:pt idx="3351">
                  <c:v>62576</c:v>
                </c:pt>
                <c:pt idx="3352">
                  <c:v>62583</c:v>
                </c:pt>
                <c:pt idx="3353">
                  <c:v>62590</c:v>
                </c:pt>
                <c:pt idx="3354">
                  <c:v>62597</c:v>
                </c:pt>
                <c:pt idx="3355">
                  <c:v>62604</c:v>
                </c:pt>
                <c:pt idx="3356">
                  <c:v>62611</c:v>
                </c:pt>
                <c:pt idx="3357">
                  <c:v>62618</c:v>
                </c:pt>
                <c:pt idx="3358">
                  <c:v>62625</c:v>
                </c:pt>
                <c:pt idx="3359">
                  <c:v>62632</c:v>
                </c:pt>
                <c:pt idx="3360">
                  <c:v>62639</c:v>
                </c:pt>
                <c:pt idx="3361">
                  <c:v>62646</c:v>
                </c:pt>
                <c:pt idx="3362">
                  <c:v>62653</c:v>
                </c:pt>
                <c:pt idx="3363">
                  <c:v>62660</c:v>
                </c:pt>
                <c:pt idx="3364">
                  <c:v>62667</c:v>
                </c:pt>
                <c:pt idx="3365">
                  <c:v>62674</c:v>
                </c:pt>
                <c:pt idx="3366">
                  <c:v>62681</c:v>
                </c:pt>
                <c:pt idx="3367">
                  <c:v>62688</c:v>
                </c:pt>
                <c:pt idx="3368">
                  <c:v>62695</c:v>
                </c:pt>
                <c:pt idx="3369">
                  <c:v>62702</c:v>
                </c:pt>
                <c:pt idx="3370">
                  <c:v>62709</c:v>
                </c:pt>
                <c:pt idx="3371">
                  <c:v>62716</c:v>
                </c:pt>
                <c:pt idx="3372">
                  <c:v>62723</c:v>
                </c:pt>
                <c:pt idx="3373">
                  <c:v>62730</c:v>
                </c:pt>
                <c:pt idx="3374">
                  <c:v>62737</c:v>
                </c:pt>
                <c:pt idx="3375">
                  <c:v>62744</c:v>
                </c:pt>
                <c:pt idx="3376">
                  <c:v>62751</c:v>
                </c:pt>
                <c:pt idx="3377">
                  <c:v>62758</c:v>
                </c:pt>
                <c:pt idx="3378">
                  <c:v>62765</c:v>
                </c:pt>
                <c:pt idx="3379">
                  <c:v>62772</c:v>
                </c:pt>
                <c:pt idx="3380">
                  <c:v>62779</c:v>
                </c:pt>
                <c:pt idx="3381">
                  <c:v>62786</c:v>
                </c:pt>
                <c:pt idx="3382">
                  <c:v>62793</c:v>
                </c:pt>
                <c:pt idx="3383">
                  <c:v>62800</c:v>
                </c:pt>
                <c:pt idx="3384">
                  <c:v>62807</c:v>
                </c:pt>
                <c:pt idx="3385">
                  <c:v>62814</c:v>
                </c:pt>
                <c:pt idx="3386">
                  <c:v>62821</c:v>
                </c:pt>
                <c:pt idx="3387">
                  <c:v>62828</c:v>
                </c:pt>
                <c:pt idx="3388">
                  <c:v>62835</c:v>
                </c:pt>
                <c:pt idx="3389">
                  <c:v>62842</c:v>
                </c:pt>
                <c:pt idx="3390">
                  <c:v>62849</c:v>
                </c:pt>
                <c:pt idx="3391">
                  <c:v>62856</c:v>
                </c:pt>
                <c:pt idx="3392">
                  <c:v>62863</c:v>
                </c:pt>
                <c:pt idx="3393">
                  <c:v>62870</c:v>
                </c:pt>
                <c:pt idx="3394">
                  <c:v>62877</c:v>
                </c:pt>
                <c:pt idx="3395">
                  <c:v>62884</c:v>
                </c:pt>
                <c:pt idx="3396">
                  <c:v>62891</c:v>
                </c:pt>
                <c:pt idx="3397">
                  <c:v>62898</c:v>
                </c:pt>
                <c:pt idx="3398">
                  <c:v>62905</c:v>
                </c:pt>
                <c:pt idx="3399">
                  <c:v>62912</c:v>
                </c:pt>
                <c:pt idx="3400">
                  <c:v>62919</c:v>
                </c:pt>
                <c:pt idx="3401">
                  <c:v>62926</c:v>
                </c:pt>
                <c:pt idx="3402">
                  <c:v>62933</c:v>
                </c:pt>
                <c:pt idx="3403">
                  <c:v>62940</c:v>
                </c:pt>
                <c:pt idx="3404">
                  <c:v>62947</c:v>
                </c:pt>
                <c:pt idx="3405">
                  <c:v>62954</c:v>
                </c:pt>
                <c:pt idx="3406">
                  <c:v>62961</c:v>
                </c:pt>
                <c:pt idx="3407">
                  <c:v>62968</c:v>
                </c:pt>
                <c:pt idx="3408">
                  <c:v>62975</c:v>
                </c:pt>
                <c:pt idx="3409">
                  <c:v>62982</c:v>
                </c:pt>
                <c:pt idx="3410">
                  <c:v>62989</c:v>
                </c:pt>
                <c:pt idx="3411">
                  <c:v>62996</c:v>
                </c:pt>
                <c:pt idx="3412">
                  <c:v>63003</c:v>
                </c:pt>
                <c:pt idx="3413">
                  <c:v>63010</c:v>
                </c:pt>
                <c:pt idx="3414">
                  <c:v>63017</c:v>
                </c:pt>
                <c:pt idx="3415">
                  <c:v>63024</c:v>
                </c:pt>
                <c:pt idx="3416">
                  <c:v>63031</c:v>
                </c:pt>
                <c:pt idx="3417">
                  <c:v>63038</c:v>
                </c:pt>
                <c:pt idx="3418">
                  <c:v>63045</c:v>
                </c:pt>
                <c:pt idx="3419">
                  <c:v>63052</c:v>
                </c:pt>
                <c:pt idx="3420">
                  <c:v>63059</c:v>
                </c:pt>
                <c:pt idx="3421">
                  <c:v>63066</c:v>
                </c:pt>
                <c:pt idx="3422">
                  <c:v>63073</c:v>
                </c:pt>
                <c:pt idx="3423">
                  <c:v>63080</c:v>
                </c:pt>
                <c:pt idx="3424">
                  <c:v>63087</c:v>
                </c:pt>
                <c:pt idx="3425">
                  <c:v>63094</c:v>
                </c:pt>
                <c:pt idx="3426">
                  <c:v>63101</c:v>
                </c:pt>
                <c:pt idx="3427">
                  <c:v>63108</c:v>
                </c:pt>
                <c:pt idx="3428">
                  <c:v>63115</c:v>
                </c:pt>
                <c:pt idx="3429">
                  <c:v>63122</c:v>
                </c:pt>
                <c:pt idx="3430">
                  <c:v>63129</c:v>
                </c:pt>
                <c:pt idx="3431">
                  <c:v>63136</c:v>
                </c:pt>
                <c:pt idx="3432">
                  <c:v>63143</c:v>
                </c:pt>
                <c:pt idx="3433">
                  <c:v>63150</c:v>
                </c:pt>
                <c:pt idx="3434">
                  <c:v>63157</c:v>
                </c:pt>
                <c:pt idx="3435">
                  <c:v>63164</c:v>
                </c:pt>
                <c:pt idx="3436">
                  <c:v>63171</c:v>
                </c:pt>
                <c:pt idx="3437">
                  <c:v>63178</c:v>
                </c:pt>
                <c:pt idx="3438">
                  <c:v>63186</c:v>
                </c:pt>
                <c:pt idx="3439">
                  <c:v>63193</c:v>
                </c:pt>
                <c:pt idx="3440">
                  <c:v>63200</c:v>
                </c:pt>
                <c:pt idx="3441">
                  <c:v>63207</c:v>
                </c:pt>
                <c:pt idx="3442">
                  <c:v>63214</c:v>
                </c:pt>
                <c:pt idx="3443">
                  <c:v>63221</c:v>
                </c:pt>
                <c:pt idx="3444">
                  <c:v>63228</c:v>
                </c:pt>
                <c:pt idx="3445">
                  <c:v>63235</c:v>
                </c:pt>
                <c:pt idx="3446">
                  <c:v>63242</c:v>
                </c:pt>
                <c:pt idx="3447">
                  <c:v>63249</c:v>
                </c:pt>
                <c:pt idx="3448">
                  <c:v>63256</c:v>
                </c:pt>
                <c:pt idx="3449">
                  <c:v>63263</c:v>
                </c:pt>
                <c:pt idx="3450">
                  <c:v>63270</c:v>
                </c:pt>
                <c:pt idx="3451">
                  <c:v>63277</c:v>
                </c:pt>
                <c:pt idx="3452">
                  <c:v>63284</c:v>
                </c:pt>
                <c:pt idx="3453">
                  <c:v>63291</c:v>
                </c:pt>
                <c:pt idx="3454">
                  <c:v>63298</c:v>
                </c:pt>
                <c:pt idx="3455">
                  <c:v>63305</c:v>
                </c:pt>
                <c:pt idx="3456">
                  <c:v>63312</c:v>
                </c:pt>
                <c:pt idx="3457">
                  <c:v>63319</c:v>
                </c:pt>
                <c:pt idx="3458">
                  <c:v>63326</c:v>
                </c:pt>
                <c:pt idx="3459">
                  <c:v>63333</c:v>
                </c:pt>
                <c:pt idx="3460">
                  <c:v>63340</c:v>
                </c:pt>
                <c:pt idx="3461">
                  <c:v>63347</c:v>
                </c:pt>
                <c:pt idx="3462">
                  <c:v>63354</c:v>
                </c:pt>
                <c:pt idx="3463">
                  <c:v>63361</c:v>
                </c:pt>
                <c:pt idx="3464">
                  <c:v>63368</c:v>
                </c:pt>
                <c:pt idx="3465">
                  <c:v>63375</c:v>
                </c:pt>
                <c:pt idx="3466">
                  <c:v>63382</c:v>
                </c:pt>
                <c:pt idx="3467">
                  <c:v>63389</c:v>
                </c:pt>
                <c:pt idx="3468">
                  <c:v>63396</c:v>
                </c:pt>
                <c:pt idx="3469">
                  <c:v>63403</c:v>
                </c:pt>
                <c:pt idx="3470">
                  <c:v>63410</c:v>
                </c:pt>
                <c:pt idx="3471">
                  <c:v>63417</c:v>
                </c:pt>
                <c:pt idx="3472">
                  <c:v>63424</c:v>
                </c:pt>
                <c:pt idx="3473">
                  <c:v>63431</c:v>
                </c:pt>
                <c:pt idx="3474">
                  <c:v>63438</c:v>
                </c:pt>
                <c:pt idx="3475">
                  <c:v>63445</c:v>
                </c:pt>
                <c:pt idx="3476">
                  <c:v>63452</c:v>
                </c:pt>
                <c:pt idx="3477">
                  <c:v>63459</c:v>
                </c:pt>
                <c:pt idx="3478">
                  <c:v>63466</c:v>
                </c:pt>
                <c:pt idx="3479">
                  <c:v>63473</c:v>
                </c:pt>
                <c:pt idx="3480">
                  <c:v>63480</c:v>
                </c:pt>
                <c:pt idx="3481">
                  <c:v>63487</c:v>
                </c:pt>
                <c:pt idx="3482">
                  <c:v>63494</c:v>
                </c:pt>
                <c:pt idx="3483">
                  <c:v>63501</c:v>
                </c:pt>
                <c:pt idx="3484">
                  <c:v>63508</c:v>
                </c:pt>
                <c:pt idx="3485">
                  <c:v>63515</c:v>
                </c:pt>
                <c:pt idx="3486">
                  <c:v>63522</c:v>
                </c:pt>
                <c:pt idx="3487">
                  <c:v>63529</c:v>
                </c:pt>
                <c:pt idx="3488">
                  <c:v>63536</c:v>
                </c:pt>
                <c:pt idx="3489">
                  <c:v>63543</c:v>
                </c:pt>
                <c:pt idx="3490">
                  <c:v>63550</c:v>
                </c:pt>
                <c:pt idx="3491">
                  <c:v>63557</c:v>
                </c:pt>
                <c:pt idx="3492">
                  <c:v>63564</c:v>
                </c:pt>
                <c:pt idx="3493">
                  <c:v>63571</c:v>
                </c:pt>
                <c:pt idx="3494">
                  <c:v>63578</c:v>
                </c:pt>
                <c:pt idx="3495">
                  <c:v>63585</c:v>
                </c:pt>
                <c:pt idx="3496">
                  <c:v>63592</c:v>
                </c:pt>
                <c:pt idx="3497">
                  <c:v>63599</c:v>
                </c:pt>
                <c:pt idx="3498">
                  <c:v>63606</c:v>
                </c:pt>
                <c:pt idx="3499">
                  <c:v>63613</c:v>
                </c:pt>
                <c:pt idx="3500">
                  <c:v>63620</c:v>
                </c:pt>
                <c:pt idx="3501">
                  <c:v>63627</c:v>
                </c:pt>
                <c:pt idx="3502">
                  <c:v>63634</c:v>
                </c:pt>
                <c:pt idx="3503">
                  <c:v>63641</c:v>
                </c:pt>
                <c:pt idx="3504">
                  <c:v>63648</c:v>
                </c:pt>
                <c:pt idx="3505">
                  <c:v>63655</c:v>
                </c:pt>
                <c:pt idx="3506">
                  <c:v>63662</c:v>
                </c:pt>
                <c:pt idx="3507">
                  <c:v>63669</c:v>
                </c:pt>
                <c:pt idx="3508">
                  <c:v>63676</c:v>
                </c:pt>
                <c:pt idx="3509">
                  <c:v>63683</c:v>
                </c:pt>
                <c:pt idx="3510">
                  <c:v>63690</c:v>
                </c:pt>
                <c:pt idx="3511">
                  <c:v>63697</c:v>
                </c:pt>
                <c:pt idx="3512">
                  <c:v>63704</c:v>
                </c:pt>
                <c:pt idx="3513">
                  <c:v>63711</c:v>
                </c:pt>
                <c:pt idx="3514">
                  <c:v>63718</c:v>
                </c:pt>
                <c:pt idx="3515">
                  <c:v>63725</c:v>
                </c:pt>
                <c:pt idx="3516">
                  <c:v>63732</c:v>
                </c:pt>
                <c:pt idx="3517">
                  <c:v>63739</c:v>
                </c:pt>
                <c:pt idx="3518">
                  <c:v>63746</c:v>
                </c:pt>
                <c:pt idx="3519">
                  <c:v>63753</c:v>
                </c:pt>
                <c:pt idx="3520">
                  <c:v>63760</c:v>
                </c:pt>
                <c:pt idx="3521">
                  <c:v>63767</c:v>
                </c:pt>
                <c:pt idx="3522">
                  <c:v>63774</c:v>
                </c:pt>
                <c:pt idx="3523">
                  <c:v>63781</c:v>
                </c:pt>
                <c:pt idx="3524">
                  <c:v>63788</c:v>
                </c:pt>
                <c:pt idx="3525">
                  <c:v>63795</c:v>
                </c:pt>
                <c:pt idx="3526">
                  <c:v>63802</c:v>
                </c:pt>
                <c:pt idx="3527">
                  <c:v>63809</c:v>
                </c:pt>
                <c:pt idx="3528">
                  <c:v>63816</c:v>
                </c:pt>
                <c:pt idx="3529">
                  <c:v>63823</c:v>
                </c:pt>
                <c:pt idx="3530">
                  <c:v>63830</c:v>
                </c:pt>
                <c:pt idx="3531">
                  <c:v>63837</c:v>
                </c:pt>
                <c:pt idx="3532">
                  <c:v>63844</c:v>
                </c:pt>
                <c:pt idx="3533">
                  <c:v>63851</c:v>
                </c:pt>
              </c:numCache>
            </c:numRef>
          </c:cat>
          <c:val>
            <c:numRef>
              <c:f>Monitor!$Z$19:$Z$3552</c:f>
              <c:numCache>
                <c:formatCode>0.0000%</c:formatCode>
                <c:ptCount val="3534"/>
                <c:pt idx="0">
                  <c:v>5.6279999999997556E-3</c:v>
                </c:pt>
                <c:pt idx="1">
                  <c:v>5.6334566622922768E-3</c:v>
                </c:pt>
                <c:pt idx="2">
                  <c:v>5.6390750810316088E-3</c:v>
                </c:pt>
                <c:pt idx="3">
                  <c:v>5.6508135012037514E-3</c:v>
                </c:pt>
                <c:pt idx="4">
                  <c:v>5.6630677047802749E-3</c:v>
                </c:pt>
                <c:pt idx="5">
                  <c:v>5.6694209438903666E-3</c:v>
                </c:pt>
                <c:pt idx="6">
                  <c:v>5.675906354607161E-3</c:v>
                </c:pt>
                <c:pt idx="7">
                  <c:v>5.6825190060696487E-3</c:v>
                </c:pt>
                <c:pt idx="8">
                  <c:v>5.6965765233211981E-3</c:v>
                </c:pt>
                <c:pt idx="9">
                  <c:v>5.7101434013952174E-3</c:v>
                </c:pt>
                <c:pt idx="10">
                  <c:v>5.7173182928940448E-3</c:v>
                </c:pt>
                <c:pt idx="11">
                  <c:v>5.7245908394888741E-3</c:v>
                </c:pt>
                <c:pt idx="12">
                  <c:v>5.7319561101460336E-3</c:v>
                </c:pt>
                <c:pt idx="13">
                  <c:v>5.7479864781528655E-3</c:v>
                </c:pt>
                <c:pt idx="14">
                  <c:v>5.7622458116418276E-3</c:v>
                </c:pt>
                <c:pt idx="15">
                  <c:v>5.7700007360140535E-3</c:v>
                </c:pt>
                <c:pt idx="16">
                  <c:v>5.7778187975779374E-3</c:v>
                </c:pt>
                <c:pt idx="17">
                  <c:v>5.7856950650707634E-3</c:v>
                </c:pt>
                <c:pt idx="18">
                  <c:v>5.7888432610727659E-3</c:v>
                </c:pt>
                <c:pt idx="19">
                  <c:v>5.8176835677469247E-3</c:v>
                </c:pt>
                <c:pt idx="20">
                  <c:v>5.8257768946178914E-3</c:v>
                </c:pt>
                <c:pt idx="21">
                  <c:v>5.8338988390433675E-3</c:v>
                </c:pt>
                <c:pt idx="22">
                  <c:v>5.8420444694928311E-3</c:v>
                </c:pt>
                <c:pt idx="23">
                  <c:v>5.8611255183138233E-3</c:v>
                </c:pt>
                <c:pt idx="24">
                  <c:v>5.8748209594293981E-3</c:v>
                </c:pt>
                <c:pt idx="25">
                  <c:v>5.883087430253525E-3</c:v>
                </c:pt>
                <c:pt idx="26">
                  <c:v>5.8913975442047468E-3</c:v>
                </c:pt>
                <c:pt idx="27">
                  <c:v>5.899758756508439E-3</c:v>
                </c:pt>
                <c:pt idx="28">
                  <c:v>5.9202366294627655E-3</c:v>
                </c:pt>
                <c:pt idx="29">
                  <c:v>5.9338636960687297E-3</c:v>
                </c:pt>
                <c:pt idx="30">
                  <c:v>5.9425922308357733E-3</c:v>
                </c:pt>
                <c:pt idx="31">
                  <c:v>5.9514165967135086E-3</c:v>
                </c:pt>
                <c:pt idx="32">
                  <c:v>5.9603442494074212E-3</c:v>
                </c:pt>
                <c:pt idx="33">
                  <c:v>5.982531062408732E-3</c:v>
                </c:pt>
                <c:pt idx="34">
                  <c:v>5.9972368450911971E-3</c:v>
                </c:pt>
                <c:pt idx="35">
                  <c:v>6.0067927701254456E-3</c:v>
                </c:pt>
                <c:pt idx="36">
                  <c:v>6.0164967178482093E-3</c:v>
                </c:pt>
                <c:pt idx="37">
                  <c:v>6.0263561445349396E-3</c:v>
                </c:pt>
                <c:pt idx="38">
                  <c:v>6.029348191793074E-3</c:v>
                </c:pt>
                <c:pt idx="39">
                  <c:v>6.0602739391130327E-3</c:v>
                </c:pt>
                <c:pt idx="40">
                  <c:v>6.0636974224836694E-3</c:v>
                </c:pt>
                <c:pt idx="41">
                  <c:v>6.0745277088260809E-3</c:v>
                </c:pt>
                <c:pt idx="42">
                  <c:v>6.085569902975165E-3</c:v>
                </c:pt>
                <c:pt idx="43">
                  <c:v>6.0968316274011688E-3</c:v>
                </c:pt>
                <c:pt idx="44">
                  <c:v>6.1396000154907964E-3</c:v>
                </c:pt>
                <c:pt idx="45">
                  <c:v>6.1442237158656618E-3</c:v>
                </c:pt>
                <c:pt idx="46">
                  <c:v>6.1566794731470944E-3</c:v>
                </c:pt>
                <c:pt idx="47">
                  <c:v>6.1693697095622658E-3</c:v>
                </c:pt>
                <c:pt idx="48">
                  <c:v>6.1822866539056956E-3</c:v>
                </c:pt>
                <c:pt idx="49">
                  <c:v>6.2301814625601425E-3</c:v>
                </c:pt>
                <c:pt idx="50">
                  <c:v>6.2360660842848172E-3</c:v>
                </c:pt>
                <c:pt idx="51">
                  <c:v>6.2499999979549348E-3</c:v>
                </c:pt>
                <c:pt idx="52">
                  <c:v>6.2641139810648934E-3</c:v>
                </c:pt>
                <c:pt idx="53">
                  <c:v>6.2784002126251822E-3</c:v>
                </c:pt>
                <c:pt idx="54">
                  <c:v>6.3302502338024903E-3</c:v>
                </c:pt>
                <c:pt idx="55">
                  <c:v>6.3371110032933598E-3</c:v>
                </c:pt>
                <c:pt idx="56">
                  <c:v>6.3521410112238955E-3</c:v>
                </c:pt>
                <c:pt idx="57">
                  <c:v>6.4371547477362406E-3</c:v>
                </c:pt>
                <c:pt idx="58">
                  <c:v>6.444677441575385E-3</c:v>
                </c:pt>
                <c:pt idx="59">
                  <c:v>6.4604198136569832E-3</c:v>
                </c:pt>
                <c:pt idx="60">
                  <c:v>6.4921080408308421E-3</c:v>
                </c:pt>
                <c:pt idx="61">
                  <c:v>6.5564498416580911E-3</c:v>
                </c:pt>
                <c:pt idx="62">
                  <c:v>6.5642935172706618E-3</c:v>
                </c:pt>
                <c:pt idx="63">
                  <c:v>6.5721500766147013E-3</c:v>
                </c:pt>
                <c:pt idx="64">
                  <c:v>6.5882379403932297E-3</c:v>
                </c:pt>
                <c:pt idx="65">
                  <c:v>6.6043413549295871E-3</c:v>
                </c:pt>
                <c:pt idx="66">
                  <c:v>6.6610038264637407E-3</c:v>
                </c:pt>
                <c:pt idx="67">
                  <c:v>6.6689093415109747E-3</c:v>
                </c:pt>
                <c:pt idx="68">
                  <c:v>6.6850896254648674E-3</c:v>
                </c:pt>
                <c:pt idx="69">
                  <c:v>6.7012851064194795E-3</c:v>
                </c:pt>
                <c:pt idx="70">
                  <c:v>6.7174957254127416E-3</c:v>
                </c:pt>
                <c:pt idx="71">
                  <c:v>6.7745281166891732E-3</c:v>
                </c:pt>
                <c:pt idx="72">
                  <c:v>6.7824884024912692E-3</c:v>
                </c:pt>
                <c:pt idx="73">
                  <c:v>6.7987738272116127E-3</c:v>
                </c:pt>
                <c:pt idx="74">
                  <c:v>6.8150740361783771E-3</c:v>
                </c:pt>
                <c:pt idx="75">
                  <c:v>6.8313889704240873E-3</c:v>
                </c:pt>
                <c:pt idx="76">
                  <c:v>6.8887808514546296E-3</c:v>
                </c:pt>
                <c:pt idx="77">
                  <c:v>6.8967947808073167E-3</c:v>
                </c:pt>
                <c:pt idx="78">
                  <c:v>6.9131824568996469E-3</c:v>
                </c:pt>
                <c:pt idx="79">
                  <c:v>6.929584504445376E-3</c:v>
                </c:pt>
                <c:pt idx="80">
                  <c:v>6.9460008644734268E-3</c:v>
                </c:pt>
                <c:pt idx="81">
                  <c:v>7.0121531728819346E-3</c:v>
                </c:pt>
                <c:pt idx="82">
                  <c:v>7.0202217181692204E-3</c:v>
                </c:pt>
                <c:pt idx="83">
                  <c:v>7.028295287684401E-3</c:v>
                </c:pt>
                <c:pt idx="84">
                  <c:v>7.036373871276886E-3</c:v>
                </c:pt>
                <c:pt idx="85">
                  <c:v>7.0528821632166085E-3</c:v>
                </c:pt>
                <c:pt idx="86">
                  <c:v>7.1193916397678785E-3</c:v>
                </c:pt>
                <c:pt idx="87">
                  <c:v>7.1275085812345165E-3</c:v>
                </c:pt>
                <c:pt idx="88">
                  <c:v>7.1356304123221933E-3</c:v>
                </c:pt>
                <c:pt idx="89">
                  <c:v>7.1522210024919323E-3</c:v>
                </c:pt>
                <c:pt idx="90">
                  <c:v>7.1688251002637367E-3</c:v>
                </c:pt>
                <c:pt idx="91">
                  <c:v>7.2357096810776672E-3</c:v>
                </c:pt>
                <c:pt idx="92">
                  <c:v>7.2438755444020281E-3</c:v>
                </c:pt>
                <c:pt idx="93">
                  <c:v>7.2520461153378043E-3</c:v>
                </c:pt>
                <c:pt idx="94">
                  <c:v>7.268730006023333E-3</c:v>
                </c:pt>
                <c:pt idx="95">
                  <c:v>7.2854269867368131E-3</c:v>
                </c:pt>
                <c:pt idx="96">
                  <c:v>7.3612225884988561E-3</c:v>
                </c:pt>
                <c:pt idx="97">
                  <c:v>7.3694374022957023E-3</c:v>
                </c:pt>
                <c:pt idx="98">
                  <c:v>7.3776566890704593E-3</c:v>
                </c:pt>
                <c:pt idx="99">
                  <c:v>7.3858804207776957E-3</c:v>
                </c:pt>
                <c:pt idx="100">
                  <c:v>7.4197975466355455E-3</c:v>
                </c:pt>
                <c:pt idx="101">
                  <c:v>7.4788610049850148E-3</c:v>
                </c:pt>
                <c:pt idx="102">
                  <c:v>7.4957165859942214E-3</c:v>
                </c:pt>
                <c:pt idx="103">
                  <c:v>7.5125845170990954E-3</c:v>
                </c:pt>
                <c:pt idx="104">
                  <c:v>7.5294647405832341E-3</c:v>
                </c:pt>
                <c:pt idx="105">
                  <c:v>7.5635991464986022E-3</c:v>
                </c:pt>
                <c:pt idx="106">
                  <c:v>7.5971074039808259E-3</c:v>
                </c:pt>
                <c:pt idx="107">
                  <c:v>7.6140482236020093E-3</c:v>
                </c:pt>
                <c:pt idx="108">
                  <c:v>7.6310009892943424E-3</c:v>
                </c:pt>
                <c:pt idx="109">
                  <c:v>7.6479656433334929E-3</c:v>
                </c:pt>
                <c:pt idx="110">
                  <c:v>7.6822700796824383E-3</c:v>
                </c:pt>
                <c:pt idx="111">
                  <c:v>7.7159419885068446E-3</c:v>
                </c:pt>
                <c:pt idx="112">
                  <c:v>7.7329652184318278E-3</c:v>
                </c:pt>
                <c:pt idx="113">
                  <c:v>7.7500000000021389E-3</c:v>
                </c:pt>
                <c:pt idx="114">
                  <c:v>7.7670463363239657E-3</c:v>
                </c:pt>
                <c:pt idx="115">
                  <c:v>7.8015187968355727E-3</c:v>
                </c:pt>
                <c:pt idx="116">
                  <c:v>7.8353486183636301E-3</c:v>
                </c:pt>
                <c:pt idx="117">
                  <c:v>7.8524538018922146E-3</c:v>
                </c:pt>
                <c:pt idx="118">
                  <c:v>7.8695709821670155E-3</c:v>
                </c:pt>
                <c:pt idx="119">
                  <c:v>7.8867002349574979E-3</c:v>
                </c:pt>
                <c:pt idx="120">
                  <c:v>7.9213486469351772E-3</c:v>
                </c:pt>
                <c:pt idx="121">
                  <c:v>7.9553394867482984E-3</c:v>
                </c:pt>
                <c:pt idx="122">
                  <c:v>7.9637564252163107E-3</c:v>
                </c:pt>
                <c:pt idx="123">
                  <c:v>7.980952638579555E-3</c:v>
                </c:pt>
                <c:pt idx="124">
                  <c:v>7.9981613889127112E-3</c:v>
                </c:pt>
                <c:pt idx="125">
                  <c:v>8.0843958764658785E-3</c:v>
                </c:pt>
                <c:pt idx="126">
                  <c:v>8.1016814574477406E-3</c:v>
                </c:pt>
                <c:pt idx="127">
                  <c:v>8.1189801116898774E-3</c:v>
                </c:pt>
                <c:pt idx="128">
                  <c:v>8.136291915812199E-3</c:v>
                </c:pt>
                <c:pt idx="129">
                  <c:v>8.188306993669129E-3</c:v>
                </c:pt>
                <c:pt idx="130">
                  <c:v>8.2056721635299576E-3</c:v>
                </c:pt>
                <c:pt idx="131">
                  <c:v>8.2230508663865345E-3</c:v>
                </c:pt>
                <c:pt idx="132">
                  <c:v>8.240443178867676E-3</c:v>
                </c:pt>
                <c:pt idx="133">
                  <c:v>8.2578491776013011E-3</c:v>
                </c:pt>
                <c:pt idx="134">
                  <c:v>8.310150057633723E-3</c:v>
                </c:pt>
                <c:pt idx="135">
                  <c:v>8.3276115677001564E-3</c:v>
                </c:pt>
                <c:pt idx="136">
                  <c:v>8.3450871471871888E-3</c:v>
                </c:pt>
                <c:pt idx="137">
                  <c:v>8.3625768727325373E-3</c:v>
                </c:pt>
                <c:pt idx="138">
                  <c:v>8.3800808209765956E-3</c:v>
                </c:pt>
                <c:pt idx="139">
                  <c:v>8.4326787683111672E-3</c:v>
                </c:pt>
                <c:pt idx="140">
                  <c:v>8.4502403737708922E-3</c:v>
                </c:pt>
                <c:pt idx="141">
                  <c:v>8.4678165851473156E-3</c:v>
                </c:pt>
                <c:pt idx="142">
                  <c:v>8.4944186142580889E-3</c:v>
                </c:pt>
                <c:pt idx="143">
                  <c:v>8.5300913597173896E-3</c:v>
                </c:pt>
                <c:pt idx="144">
                  <c:v>8.5826398380356786E-3</c:v>
                </c:pt>
                <c:pt idx="145">
                  <c:v>8.6003293205923134E-3</c:v>
                </c:pt>
                <c:pt idx="146">
                  <c:v>8.6180340593554634E-3</c:v>
                </c:pt>
                <c:pt idx="147">
                  <c:v>8.6539367488802053E-3</c:v>
                </c:pt>
                <c:pt idx="148">
                  <c:v>8.6890070931759586E-3</c:v>
                </c:pt>
                <c:pt idx="149">
                  <c:v>8.7067892505117359E-3</c:v>
                </c:pt>
                <c:pt idx="150">
                  <c:v>8.7245871190813253E-3</c:v>
                </c:pt>
                <c:pt idx="151">
                  <c:v>8.7424007747273057E-3</c:v>
                </c:pt>
                <c:pt idx="152">
                  <c:v>8.77854048825971E-3</c:v>
                </c:pt>
                <c:pt idx="153">
                  <c:v>8.8138147850025383E-3</c:v>
                </c:pt>
                <c:pt idx="154">
                  <c:v>8.831708513736148E-3</c:v>
                </c:pt>
                <c:pt idx="155">
                  <c:v>8.8496184846386366E-3</c:v>
                </c:pt>
                <c:pt idx="156">
                  <c:v>8.8675447735649168E-3</c:v>
                </c:pt>
                <c:pt idx="157">
                  <c:v>8.9039280428671996E-3</c:v>
                </c:pt>
                <c:pt idx="158">
                  <c:v>8.9574236435439082E-3</c:v>
                </c:pt>
                <c:pt idx="159">
                  <c:v>8.9754494336322099E-3</c:v>
                </c:pt>
                <c:pt idx="160">
                  <c:v>8.9934920727665815E-3</c:v>
                </c:pt>
                <c:pt idx="161">
                  <c:v>9.0022749082483196E-3</c:v>
                </c:pt>
                <c:pt idx="162">
                  <c:v>9.0658326371220611E-3</c:v>
                </c:pt>
                <c:pt idx="163">
                  <c:v>9.083960659518402E-3</c:v>
                </c:pt>
                <c:pt idx="164">
                  <c:v>9.1021059861854416E-3</c:v>
                </c:pt>
                <c:pt idx="165">
                  <c:v>9.1202686929992352E-3</c:v>
                </c:pt>
                <c:pt idx="166">
                  <c:v>9.1571564765588528E-3</c:v>
                </c:pt>
                <c:pt idx="167">
                  <c:v>9.1930948392994656E-3</c:v>
                </c:pt>
                <c:pt idx="168">
                  <c:v>9.2113455850460213E-3</c:v>
                </c:pt>
                <c:pt idx="169">
                  <c:v>9.2296141662317911E-3</c:v>
                </c:pt>
                <c:pt idx="170">
                  <c:v>9.2479006587425187E-3</c:v>
                </c:pt>
                <c:pt idx="171">
                  <c:v>9.2850483045597374E-3</c:v>
                </c:pt>
                <c:pt idx="172">
                  <c:v>9.3212272598556765E-3</c:v>
                </c:pt>
                <c:pt idx="173">
                  <c:v>9.3396044473681439E-3</c:v>
                </c:pt>
                <c:pt idx="174">
                  <c:v>9.3580000015667398E-3</c:v>
                </c:pt>
                <c:pt idx="175">
                  <c:v>9.3764139763992203E-3</c:v>
                </c:pt>
                <c:pt idx="176">
                  <c:v>9.4138244582812856E-3</c:v>
                </c:pt>
                <c:pt idx="177">
                  <c:v>9.4502523784496008E-3</c:v>
                </c:pt>
                <c:pt idx="178">
                  <c:v>9.4687569599451356E-3</c:v>
                </c:pt>
                <c:pt idx="179">
                  <c:v>9.4872792709039411E-3</c:v>
                </c:pt>
                <c:pt idx="180">
                  <c:v>9.5058191798583803E-3</c:v>
                </c:pt>
                <c:pt idx="181">
                  <c:v>9.54347966702003E-3</c:v>
                </c:pt>
                <c:pt idx="182">
                  <c:v>9.5801521661748636E-3</c:v>
                </c:pt>
                <c:pt idx="183">
                  <c:v>9.5987780929959864E-3</c:v>
                </c:pt>
                <c:pt idx="184">
                  <c:v>9.6174208289531715E-3</c:v>
                </c:pt>
                <c:pt idx="185">
                  <c:v>9.6360802425620434E-3</c:v>
                </c:pt>
                <c:pt idx="186">
                  <c:v>9.673973042706582E-3</c:v>
                </c:pt>
                <c:pt idx="187">
                  <c:v>9.7108820437493519E-3</c:v>
                </c:pt>
                <c:pt idx="188">
                  <c:v>9.7296228732734902E-3</c:v>
                </c:pt>
                <c:pt idx="189">
                  <c:v>9.7483795914946048E-3</c:v>
                </c:pt>
                <c:pt idx="190">
                  <c:v>9.7671520669133424E-3</c:v>
                </c:pt>
                <c:pt idx="191">
                  <c:v>9.8052604464405734E-3</c:v>
                </c:pt>
                <c:pt idx="192">
                  <c:v>9.8423969104805831E-3</c:v>
                </c:pt>
                <c:pt idx="193">
                  <c:v>9.8612461993037755E-3</c:v>
                </c:pt>
                <c:pt idx="194">
                  <c:v>9.8801104562738582E-3</c:v>
                </c:pt>
                <c:pt idx="195">
                  <c:v>9.8989895498756229E-3</c:v>
                </c:pt>
                <c:pt idx="196">
                  <c:v>9.9372977338613513E-3</c:v>
                </c:pt>
                <c:pt idx="197">
                  <c:v>9.9746516601816708E-3</c:v>
                </c:pt>
                <c:pt idx="198">
                  <c:v>9.9936029641088716E-3</c:v>
                </c:pt>
                <c:pt idx="199">
                  <c:v>1.0012568315520118E-2</c:v>
                </c:pt>
                <c:pt idx="200">
                  <c:v>1.003154758288082E-2</c:v>
                </c:pt>
                <c:pt idx="201">
                  <c:v>1.0070040755058325E-2</c:v>
                </c:pt>
                <c:pt idx="202">
                  <c:v>1.0107601181084102E-2</c:v>
                </c:pt>
                <c:pt idx="203">
                  <c:v>1.0126648055118613E-2</c:v>
                </c:pt>
                <c:pt idx="204">
                  <c:v>1.0145708055856279E-2</c:v>
                </c:pt>
                <c:pt idx="205">
                  <c:v>1.0164781051746653E-2</c:v>
                </c:pt>
                <c:pt idx="206">
                  <c:v>1.0174082545447204E-2</c:v>
                </c:pt>
                <c:pt idx="207">
                  <c:v>1.0241200355762861E-2</c:v>
                </c:pt>
                <c:pt idx="208">
                  <c:v>1.0260336354090476E-2</c:v>
                </c:pt>
                <c:pt idx="209">
                  <c:v>1.027948455822319E-2</c:v>
                </c:pt>
                <c:pt idx="210">
                  <c:v>1.0298644836594697E-2</c:v>
                </c:pt>
                <c:pt idx="211">
                  <c:v>1.0337467370906779E-2</c:v>
                </c:pt>
                <c:pt idx="212">
                  <c:v>1.0375404061051866E-2</c:v>
                </c:pt>
                <c:pt idx="213">
                  <c:v>1.0394622737033819E-2</c:v>
                </c:pt>
                <c:pt idx="214">
                  <c:v>1.0413852697804767E-2</c:v>
                </c:pt>
                <c:pt idx="215">
                  <c:v>1.0433093811779908E-2</c:v>
                </c:pt>
                <c:pt idx="216">
                  <c:v>1.0472062637274304E-2</c:v>
                </c:pt>
                <c:pt idx="217">
                  <c:v>1.0510167167977889E-2</c:v>
                </c:pt>
                <c:pt idx="218">
                  <c:v>1.0529462074140282E-2</c:v>
                </c:pt>
                <c:pt idx="219">
                  <c:v>1.0548767343954881E-2</c:v>
                </c:pt>
                <c:pt idx="220">
                  <c:v>1.0568082845820146E-2</c:v>
                </c:pt>
                <c:pt idx="221">
                  <c:v>1.06071869807113E-2</c:v>
                </c:pt>
                <c:pt idx="222">
                  <c:v>1.064544454169449E-2</c:v>
                </c:pt>
                <c:pt idx="223">
                  <c:v>1.0664809229717727E-2</c:v>
                </c:pt>
                <c:pt idx="224">
                  <c:v>1.0684183360135692E-2</c:v>
                </c:pt>
                <c:pt idx="225">
                  <c:v>1.0703566801330989E-2</c:v>
                </c:pt>
                <c:pt idx="226">
                  <c:v>1.0742796222422796E-2</c:v>
                </c:pt>
                <c:pt idx="227">
                  <c:v>1.0790688729603577E-2</c:v>
                </c:pt>
                <c:pt idx="228">
                  <c:v>1.081012131636928E-2</c:v>
                </c:pt>
                <c:pt idx="229">
                  <c:v>1.0829562312896968E-2</c:v>
                </c:pt>
                <c:pt idx="230">
                  <c:v>1.0849011586105083E-2</c:v>
                </c:pt>
                <c:pt idx="231">
                  <c:v>1.0907407734937657E-2</c:v>
                </c:pt>
                <c:pt idx="232">
                  <c:v>1.092688878398335E-2</c:v>
                </c:pt>
                <c:pt idx="233">
                  <c:v>1.0946377444257161E-2</c:v>
                </c:pt>
                <c:pt idx="234">
                  <c:v>1.0965873582657942E-2</c:v>
                </c:pt>
                <c:pt idx="235">
                  <c:v>1.0985377066088107E-2</c:v>
                </c:pt>
                <c:pt idx="236">
                  <c:v>1.1043930255497988E-2</c:v>
                </c:pt>
                <c:pt idx="237">
                  <c:v>1.1063461787980757E-2</c:v>
                </c:pt>
                <c:pt idx="238">
                  <c:v>1.1082999999949756E-2</c:v>
                </c:pt>
                <c:pt idx="239">
                  <c:v>1.1102544710737688E-2</c:v>
                </c:pt>
                <c:pt idx="240">
                  <c:v>1.1122095571673655E-2</c:v>
                </c:pt>
                <c:pt idx="241">
                  <c:v>1.1180782069937381E-2</c:v>
                </c:pt>
                <c:pt idx="242">
                  <c:v>1.1200354590410844E-2</c:v>
                </c:pt>
                <c:pt idx="243">
                  <c:v>1.1219931812681867E-2</c:v>
                </c:pt>
                <c:pt idx="244">
                  <c:v>1.1239513451501383E-2</c:v>
                </c:pt>
                <c:pt idx="245">
                  <c:v>1.1299139958973598E-2</c:v>
                </c:pt>
                <c:pt idx="246">
                  <c:v>1.1327891163852926E-2</c:v>
                </c:pt>
                <c:pt idx="247">
                  <c:v>1.1337477909836583E-2</c:v>
                </c:pt>
                <c:pt idx="248">
                  <c:v>1.1367093290866543E-2</c:v>
                </c:pt>
                <c:pt idx="249">
                  <c:v>1.141673041606334E-2</c:v>
                </c:pt>
                <c:pt idx="250">
                  <c:v>1.1426325983369585E-2</c:v>
                </c:pt>
                <c:pt idx="251">
                  <c:v>1.1465131854483522E-2</c:v>
                </c:pt>
                <c:pt idx="252">
                  <c:v>1.1484743008840757E-2</c:v>
                </c:pt>
                <c:pt idx="253">
                  <c:v>1.1504354651886801E-2</c:v>
                </c:pt>
                <c:pt idx="254">
                  <c:v>1.1523966501383272E-2</c:v>
                </c:pt>
                <c:pt idx="255">
                  <c:v>1.1563579427981236E-2</c:v>
                </c:pt>
                <c:pt idx="256">
                  <c:v>1.1602410318992009E-2</c:v>
                </c:pt>
                <c:pt idx="257">
                  <c:v>1.1622018967024722E-2</c:v>
                </c:pt>
                <c:pt idx="258">
                  <c:v>1.1641626127979752E-2</c:v>
                </c:pt>
                <c:pt idx="259">
                  <c:v>1.1661231519582595E-2</c:v>
                </c:pt>
                <c:pt idx="260">
                  <c:v>1.1700795416102354E-2</c:v>
                </c:pt>
                <c:pt idx="261">
                  <c:v>1.1739629746792556E-2</c:v>
                </c:pt>
                <c:pt idx="262">
                  <c:v>1.1759222057324823E-2</c:v>
                </c:pt>
                <c:pt idx="263">
                  <c:v>1.1778810904742466E-2</c:v>
                </c:pt>
                <c:pt idx="264">
                  <c:v>1.1798396006732213E-2</c:v>
                </c:pt>
                <c:pt idx="265">
                  <c:v>1.1837879180671165E-2</c:v>
                </c:pt>
                <c:pt idx="266">
                  <c:v>1.187669331394256E-2</c:v>
                </c:pt>
                <c:pt idx="267">
                  <c:v>1.1896255453895629E-2</c:v>
                </c:pt>
                <c:pt idx="268">
                  <c:v>1.1915812154424037E-2</c:v>
                </c:pt>
                <c:pt idx="269">
                  <c:v>1.1935363133174877E-2</c:v>
                </c:pt>
                <c:pt idx="270">
                  <c:v>1.1944987075531576E-2</c:v>
                </c:pt>
                <c:pt idx="271">
                  <c:v>1.2013504183177868E-2</c:v>
                </c:pt>
                <c:pt idx="272">
                  <c:v>1.203302231757016E-2</c:v>
                </c:pt>
                <c:pt idx="273">
                  <c:v>1.205253303595819E-2</c:v>
                </c:pt>
                <c:pt idx="274">
                  <c:v>1.207203605594941E-2</c:v>
                </c:pt>
                <c:pt idx="275">
                  <c:v>1.2111270904284719E-2</c:v>
                </c:pt>
                <c:pt idx="276">
                  <c:v>1.2149965503953315E-2</c:v>
                </c:pt>
                <c:pt idx="277">
                  <c:v>1.2169425795913638E-2</c:v>
                </c:pt>
                <c:pt idx="278">
                  <c:v>1.2188876695020534E-2</c:v>
                </c:pt>
                <c:pt idx="279">
                  <c:v>1.2208317918842689E-2</c:v>
                </c:pt>
                <c:pt idx="280">
                  <c:v>1.224738926274279E-2</c:v>
                </c:pt>
                <c:pt idx="281">
                  <c:v>1.2285980412524638E-2</c:v>
                </c:pt>
                <c:pt idx="282">
                  <c:v>1.2305369023302763E-2</c:v>
                </c:pt>
                <c:pt idx="283">
                  <c:v>1.2324746264109607E-2</c:v>
                </c:pt>
                <c:pt idx="284">
                  <c:v>1.2344111852477741E-2</c:v>
                </c:pt>
                <c:pt idx="285">
                  <c:v>1.2382996196629539E-2</c:v>
                </c:pt>
                <c:pt idx="286">
                  <c:v>1.2421452032037461E-2</c:v>
                </c:pt>
                <c:pt idx="287">
                  <c:v>1.2440755121020856E-2</c:v>
                </c:pt>
                <c:pt idx="288">
                  <c:v>1.2460044862649953E-2</c:v>
                </c:pt>
                <c:pt idx="289">
                  <c:v>1.2479320974421206E-2</c:v>
                </c:pt>
                <c:pt idx="290">
                  <c:v>1.2517996872893416E-2</c:v>
                </c:pt>
                <c:pt idx="291">
                  <c:v>1.2546593861151506E-2</c:v>
                </c:pt>
                <c:pt idx="292">
                  <c:v>1.2565806333607136E-2</c:v>
                </c:pt>
                <c:pt idx="293">
                  <c:v>1.2585003527247297E-2</c:v>
                </c:pt>
                <c:pt idx="294">
                  <c:v>1.2604185156441745E-2</c:v>
                </c:pt>
                <c:pt idx="295">
                  <c:v>1.2623350935554884E-2</c:v>
                </c:pt>
                <c:pt idx="296">
                  <c:v>1.268075031597036E-2</c:v>
                </c:pt>
                <c:pt idx="297">
                  <c:v>1.2699849838294568E-2</c:v>
                </c:pt>
                <c:pt idx="298">
                  <c:v>1.2718932082280235E-2</c:v>
                </c:pt>
                <c:pt idx="299">
                  <c:v>1.2737996762260596E-2</c:v>
                </c:pt>
                <c:pt idx="300">
                  <c:v>1.2757043592561763E-2</c:v>
                </c:pt>
                <c:pt idx="301">
                  <c:v>1.2814074128595084E-2</c:v>
                </c:pt>
                <c:pt idx="302">
                  <c:v>1.2833046703355963E-2</c:v>
                </c:pt>
                <c:pt idx="303">
                  <c:v>1.2852000000000511E-2</c:v>
                </c:pt>
                <c:pt idx="304">
                  <c:v>1.2870933796562557E-2</c:v>
                </c:pt>
                <c:pt idx="305">
                  <c:v>1.2889848126025266E-2</c:v>
                </c:pt>
                <c:pt idx="306">
                  <c:v>1.2946475279078907E-2</c:v>
                </c:pt>
                <c:pt idx="307">
                  <c:v>1.2965312707411145E-2</c:v>
                </c:pt>
                <c:pt idx="308">
                  <c:v>1.2984131152284611E-2</c:v>
                </c:pt>
                <c:pt idx="309">
                  <c:v>1.3002930710436502E-2</c:v>
                </c:pt>
                <c:pt idx="310">
                  <c:v>1.3096648586195581E-2</c:v>
                </c:pt>
                <c:pt idx="311">
                  <c:v>1.3115336855545463E-2</c:v>
                </c:pt>
                <c:pt idx="312">
                  <c:v>1.3134006915372445E-2</c:v>
                </c:pt>
                <c:pt idx="313">
                  <c:v>1.3208506994481195E-2</c:v>
                </c:pt>
                <c:pt idx="314">
                  <c:v>1.3227087457988533E-2</c:v>
                </c:pt>
                <c:pt idx="315">
                  <c:v>1.3245650292508371E-2</c:v>
                </c:pt>
                <c:pt idx="316">
                  <c:v>1.3264195594801954E-2</c:v>
                </c:pt>
                <c:pt idx="317">
                  <c:v>1.3282723461635865E-2</c:v>
                </c:pt>
                <c:pt idx="318">
                  <c:v>1.3338203417055255E-2</c:v>
                </c:pt>
                <c:pt idx="319">
                  <c:v>1.3356662509737738E-2</c:v>
                </c:pt>
                <c:pt idx="320">
                  <c:v>1.3375104650815754E-2</c:v>
                </c:pt>
                <c:pt idx="321">
                  <c:v>1.3393529937066578E-2</c:v>
                </c:pt>
                <c:pt idx="322">
                  <c:v>1.3411938465269268E-2</c:v>
                </c:pt>
                <c:pt idx="323">
                  <c:v>1.3467064469405795E-2</c:v>
                </c:pt>
                <c:pt idx="324">
                  <c:v>1.3485406933244796E-2</c:v>
                </c:pt>
                <c:pt idx="325">
                  <c:v>1.3503733122960333E-2</c:v>
                </c:pt>
                <c:pt idx="326">
                  <c:v>1.352204313534393E-2</c:v>
                </c:pt>
                <c:pt idx="327">
                  <c:v>1.3540337067187999E-2</c:v>
                </c:pt>
                <c:pt idx="328">
                  <c:v>1.3595123347441949E-2</c:v>
                </c:pt>
                <c:pt idx="329">
                  <c:v>1.3613353925097495E-2</c:v>
                </c:pt>
                <c:pt idx="330">
                  <c:v>1.3631568906206764E-2</c:v>
                </c:pt>
                <c:pt idx="331">
                  <c:v>1.364976838757553E-2</c:v>
                </c:pt>
                <c:pt idx="332">
                  <c:v>1.366795246600957E-2</c:v>
                </c:pt>
                <c:pt idx="333">
                  <c:v>1.3731620815660728E-2</c:v>
                </c:pt>
                <c:pt idx="334">
                  <c:v>1.3740536686603006E-2</c:v>
                </c:pt>
                <c:pt idx="335">
                  <c:v>1.3749445775120286E-2</c:v>
                </c:pt>
                <c:pt idx="336">
                  <c:v>1.3767545090364671E-2</c:v>
                </c:pt>
                <c:pt idx="337">
                  <c:v>1.3785629635927554E-2</c:v>
                </c:pt>
                <c:pt idx="338">
                  <c:v>1.3848967387786766E-2</c:v>
                </c:pt>
                <c:pt idx="339">
                  <c:v>1.3857822079352156E-2</c:v>
                </c:pt>
                <c:pt idx="340">
                  <c:v>1.3875834245013905E-2</c:v>
                </c:pt>
                <c:pt idx="341">
                  <c:v>1.3893832228406788E-2</c:v>
                </c:pt>
                <c:pt idx="342">
                  <c:v>1.3911816127442819E-2</c:v>
                </c:pt>
                <c:pt idx="343">
                  <c:v>1.3974818965297779E-2</c:v>
                </c:pt>
                <c:pt idx="344">
                  <c:v>1.3983612838246933E-2</c:v>
                </c:pt>
                <c:pt idx="345">
                  <c:v>1.4001527784189678E-2</c:v>
                </c:pt>
                <c:pt idx="346">
                  <c:v>1.4019429233267452E-2</c:v>
                </c:pt>
                <c:pt idx="347">
                  <c:v>1.4037317283402172E-2</c:v>
                </c:pt>
                <c:pt idx="348">
                  <c:v>1.4100001198780651E-2</c:v>
                </c:pt>
                <c:pt idx="349">
                  <c:v>1.4108737453008299E-2</c:v>
                </c:pt>
                <c:pt idx="350">
                  <c:v>1.4126559977319549E-2</c:v>
                </c:pt>
                <c:pt idx="351">
                  <c:v>1.4144369690257971E-2</c:v>
                </c:pt>
                <c:pt idx="352">
                  <c:v>1.4162166689758992E-2</c:v>
                </c:pt>
                <c:pt idx="353">
                  <c:v>1.4233609311362106E-2</c:v>
                </c:pt>
                <c:pt idx="354">
                  <c:v>1.4251346809024026E-2</c:v>
                </c:pt>
                <c:pt idx="355">
                  <c:v>1.4269072115558152E-2</c:v>
                </c:pt>
                <c:pt idx="356">
                  <c:v>1.4286785326782332E-2</c:v>
                </c:pt>
                <c:pt idx="357">
                  <c:v>1.4322563521575366E-2</c:v>
                </c:pt>
                <c:pt idx="358">
                  <c:v>1.4357519135006104E-2</c:v>
                </c:pt>
                <c:pt idx="359">
                  <c:v>1.4375173307016077E-2</c:v>
                </c:pt>
                <c:pt idx="360">
                  <c:v>1.4392815958661064E-2</c:v>
                </c:pt>
                <c:pt idx="361">
                  <c:v>1.4410447185773884E-2</c:v>
                </c:pt>
                <c:pt idx="362">
                  <c:v>1.4446077965714562E-2</c:v>
                </c:pt>
                <c:pt idx="363">
                  <c:v>1.4480859765569643E-2</c:v>
                </c:pt>
                <c:pt idx="364">
                  <c:v>1.4498435307540398E-2</c:v>
                </c:pt>
                <c:pt idx="365">
                  <c:v>1.4515999999999706E-2</c:v>
                </c:pt>
                <c:pt idx="366">
                  <c:v>1.4533553928957934E-2</c:v>
                </c:pt>
                <c:pt idx="367">
                  <c:v>1.456904279332967E-2</c:v>
                </c:pt>
                <c:pt idx="368">
                  <c:v>1.4603662844973414E-2</c:v>
                </c:pt>
                <c:pt idx="369">
                  <c:v>1.4621163558247729E-2</c:v>
                </c:pt>
                <c:pt idx="370">
                  <c:v>1.4638653738920936E-2</c:v>
                </c:pt>
                <c:pt idx="371">
                  <c:v>1.4656133423841785E-2</c:v>
                </c:pt>
                <c:pt idx="372">
                  <c:v>1.474337570185099E-2</c:v>
                </c:pt>
                <c:pt idx="373">
                  <c:v>1.4760793186085811E-2</c:v>
                </c:pt>
                <c:pt idx="374">
                  <c:v>1.4769280538705069E-2</c:v>
                </c:pt>
                <c:pt idx="375">
                  <c:v>1.4786681747117223E-2</c:v>
                </c:pt>
                <c:pt idx="376">
                  <c:v>1.4838824349383051E-2</c:v>
                </c:pt>
                <c:pt idx="377">
                  <c:v>1.4856185000019543E-2</c:v>
                </c:pt>
                <c:pt idx="378">
                  <c:v>1.4873535604365691E-2</c:v>
                </c:pt>
                <c:pt idx="379">
                  <c:v>1.4890876199685862E-2</c:v>
                </c:pt>
                <c:pt idx="380">
                  <c:v>1.4908206823243534E-2</c:v>
                </c:pt>
                <c:pt idx="381">
                  <c:v>1.496013923599413E-2</c:v>
                </c:pt>
                <c:pt idx="382">
                  <c:v>1.4977430345157054E-2</c:v>
                </c:pt>
                <c:pt idx="383">
                  <c:v>1.4994711668888222E-2</c:v>
                </c:pt>
                <c:pt idx="384">
                  <c:v>1.5011983244456453E-2</c:v>
                </c:pt>
                <c:pt idx="385">
                  <c:v>1.5029245109130568E-2</c:v>
                </c:pt>
                <c:pt idx="386">
                  <c:v>1.5080972810487113E-2</c:v>
                </c:pt>
                <c:pt idx="387">
                  <c:v>1.509819620428811E-2</c:v>
                </c:pt>
                <c:pt idx="388">
                  <c:v>1.5115410073549784E-2</c:v>
                </c:pt>
                <c:pt idx="389">
                  <c:v>1.5132614455547184E-2</c:v>
                </c:pt>
                <c:pt idx="390">
                  <c:v>1.5149809387552698E-2</c:v>
                </c:pt>
                <c:pt idx="391">
                  <c:v>1.5201337856371133E-2</c:v>
                </c:pt>
                <c:pt idx="392">
                  <c:v>1.5218495361164985E-2</c:v>
                </c:pt>
                <c:pt idx="393">
                  <c:v>1.5235643602347569E-2</c:v>
                </c:pt>
                <c:pt idx="394">
                  <c:v>1.5252782617197501E-2</c:v>
                </c:pt>
                <c:pt idx="395">
                  <c:v>1.5269912442993397E-2</c:v>
                </c:pt>
                <c:pt idx="396">
                  <c:v>1.5347137398667068E-2</c:v>
                </c:pt>
                <c:pt idx="397">
                  <c:v>1.5364218492089004E-2</c:v>
                </c:pt>
                <c:pt idx="398">
                  <c:v>1.5381290637989205E-2</c:v>
                </c:pt>
                <c:pt idx="399">
                  <c:v>1.5415921987547793E-2</c:v>
                </c:pt>
                <c:pt idx="400">
                  <c:v>1.5449490483961669E-2</c:v>
                </c:pt>
                <c:pt idx="401">
                  <c:v>1.5466518445444286E-2</c:v>
                </c:pt>
                <c:pt idx="402">
                  <c:v>1.5483537680684419E-2</c:v>
                </c:pt>
                <c:pt idx="403">
                  <c:v>1.5500548226564296E-2</c:v>
                </c:pt>
                <c:pt idx="404">
                  <c:v>1.5535072925947286E-2</c:v>
                </c:pt>
                <c:pt idx="405">
                  <c:v>1.5568504254145969E-2</c:v>
                </c:pt>
                <c:pt idx="406">
                  <c:v>1.5585471906479062E-2</c:v>
                </c:pt>
                <c:pt idx="407">
                  <c:v>1.5602431090757578E-2</c:v>
                </c:pt>
                <c:pt idx="408">
                  <c:v>1.5619381843869904E-2</c:v>
                </c:pt>
                <c:pt idx="409">
                  <c:v>1.5653803048079253E-2</c:v>
                </c:pt>
                <c:pt idx="410">
                  <c:v>1.5687101282411058E-2</c:v>
                </c:pt>
                <c:pt idx="411">
                  <c:v>1.5704010433015666E-2</c:v>
                </c:pt>
                <c:pt idx="412">
                  <c:v>1.5720911373787956E-2</c:v>
                </c:pt>
                <c:pt idx="413">
                  <c:v>1.5737804141621601E-2</c:v>
                </c:pt>
                <c:pt idx="414">
                  <c:v>1.5780840110638995E-2</c:v>
                </c:pt>
                <c:pt idx="415">
                  <c:v>1.5822146677941313E-2</c:v>
                </c:pt>
                <c:pt idx="416">
                  <c:v>1.5838991182896216E-2</c:v>
                </c:pt>
                <c:pt idx="417">
                  <c:v>1.5855827773171738E-2</c:v>
                </c:pt>
                <c:pt idx="418">
                  <c:v>1.5890050374722478E-2</c:v>
                </c:pt>
                <c:pt idx="419">
                  <c:v>1.5923095725426648E-2</c:v>
                </c:pt>
                <c:pt idx="420">
                  <c:v>1.593989329577207E-2</c:v>
                </c:pt>
                <c:pt idx="421">
                  <c:v>1.5956683172830118E-2</c:v>
                </c:pt>
                <c:pt idx="422">
                  <c:v>1.5973465393501522E-2</c:v>
                </c:pt>
                <c:pt idx="423">
                  <c:v>1.6007592348907605E-2</c:v>
                </c:pt>
                <c:pt idx="424">
                  <c:v>1.6040518450365963E-2</c:v>
                </c:pt>
                <c:pt idx="425">
                  <c:v>1.6057262942643175E-2</c:v>
                </c:pt>
                <c:pt idx="426">
                  <c:v>1.6073999999954822E-2</c:v>
                </c:pt>
                <c:pt idx="427">
                  <c:v>1.6090729610302529E-2</c:v>
                </c:pt>
                <c:pt idx="428">
                  <c:v>1.6124759976642478E-2</c:v>
                </c:pt>
                <c:pt idx="429">
                  <c:v>1.6157568546138479E-2</c:v>
                </c:pt>
                <c:pt idx="430">
                  <c:v>1.6174256942263269E-2</c:v>
                </c:pt>
                <c:pt idx="431">
                  <c:v>1.6190936216193091E-2</c:v>
                </c:pt>
                <c:pt idx="432">
                  <c:v>1.620760607438889E-2</c:v>
                </c:pt>
                <c:pt idx="433">
                  <c:v>1.6241508052241255E-2</c:v>
                </c:pt>
                <c:pt idx="434">
                  <c:v>1.6274185478870957E-2</c:v>
                </c:pt>
                <c:pt idx="435">
                  <c:v>1.629080385513457E-2</c:v>
                </c:pt>
                <c:pt idx="436">
                  <c:v>1.6307411054326742E-2</c:v>
                </c:pt>
                <c:pt idx="437">
                  <c:v>1.6324006782874937E-2</c:v>
                </c:pt>
                <c:pt idx="438">
                  <c:v>1.6357740618533571E-2</c:v>
                </c:pt>
                <c:pt idx="439">
                  <c:v>1.6390269118986132E-2</c:v>
                </c:pt>
                <c:pt idx="440">
                  <c:v>1.6406803090544975E-2</c:v>
                </c:pt>
                <c:pt idx="441">
                  <c:v>1.6423323829920691E-2</c:v>
                </c:pt>
                <c:pt idx="442">
                  <c:v>1.643983104350551E-2</c:v>
                </c:pt>
                <c:pt idx="443">
                  <c:v>1.6473359110676353E-2</c:v>
                </c:pt>
                <c:pt idx="444">
                  <c:v>1.6505718767651764E-2</c:v>
                </c:pt>
                <c:pt idx="445">
                  <c:v>1.652215394802458E-2</c:v>
                </c:pt>
                <c:pt idx="446">
                  <c:v>1.6538573840870013E-2</c:v>
                </c:pt>
                <c:pt idx="447">
                  <c:v>1.6554978152547702E-2</c:v>
                </c:pt>
                <c:pt idx="448">
                  <c:v>1.6588264952399873E-2</c:v>
                </c:pt>
                <c:pt idx="449">
                  <c:v>1.6620433714641558E-2</c:v>
                </c:pt>
                <c:pt idx="450">
                  <c:v>1.6636755715733208E-2</c:v>
                </c:pt>
                <c:pt idx="451">
                  <c:v>1.6653060373724184E-2</c:v>
                </c:pt>
                <c:pt idx="452">
                  <c:v>1.6669347394943284E-2</c:v>
                </c:pt>
                <c:pt idx="453">
                  <c:v>1.6702359556181021E-2</c:v>
                </c:pt>
                <c:pt idx="454">
                  <c:v>1.6734313238509598E-2</c:v>
                </c:pt>
                <c:pt idx="455">
                  <c:v>1.6750507670636617E-2</c:v>
                </c:pt>
                <c:pt idx="456">
                  <c:v>1.6766682703865023E-2</c:v>
                </c:pt>
                <c:pt idx="457">
                  <c:v>1.6782838044494552E-2</c:v>
                </c:pt>
                <c:pt idx="458">
                  <c:v>1.6815544323436481E-2</c:v>
                </c:pt>
                <c:pt idx="459">
                  <c:v>1.6847256606785026E-2</c:v>
                </c:pt>
                <c:pt idx="460">
                  <c:v>1.6863309078706448E-2</c:v>
                </c:pt>
                <c:pt idx="461">
                  <c:v>1.6879340095714616E-2</c:v>
                </c:pt>
                <c:pt idx="462">
                  <c:v>1.6895349364074899E-2</c:v>
                </c:pt>
                <c:pt idx="463">
                  <c:v>1.6927720644735644E-2</c:v>
                </c:pt>
                <c:pt idx="464">
                  <c:v>1.695916307619845E-2</c:v>
                </c:pt>
                <c:pt idx="465">
                  <c:v>1.6975059195152815E-2</c:v>
                </c:pt>
                <c:pt idx="466">
                  <c:v>1.6990931802961684E-2</c:v>
                </c:pt>
                <c:pt idx="467">
                  <c:v>1.7006780605862245E-2</c:v>
                </c:pt>
                <c:pt idx="468">
                  <c:v>1.7038789900045516E-2</c:v>
                </c:pt>
                <c:pt idx="469">
                  <c:v>1.7069931892933016E-2</c:v>
                </c:pt>
                <c:pt idx="470">
                  <c:v>1.7085657264670952E-2</c:v>
                </c:pt>
                <c:pt idx="471">
                  <c:v>1.710135706882502E-2</c:v>
                </c:pt>
                <c:pt idx="472">
                  <c:v>1.7117031011600684E-2</c:v>
                </c:pt>
                <c:pt idx="473">
                  <c:v>1.7148653458997961E-2</c:v>
                </c:pt>
                <c:pt idx="474">
                  <c:v>1.7179462292894836E-2</c:v>
                </c:pt>
                <c:pt idx="475">
                  <c:v>1.7195002521725768E-2</c:v>
                </c:pt>
                <c:pt idx="476">
                  <c:v>1.7210515126329189E-2</c:v>
                </c:pt>
                <c:pt idx="477">
                  <c:v>1.7225999812883266E-2</c:v>
                </c:pt>
                <c:pt idx="478">
                  <c:v>1.7257212681182882E-2</c:v>
                </c:pt>
                <c:pt idx="479">
                  <c:v>1.7302994190850469E-2</c:v>
                </c:pt>
                <c:pt idx="480">
                  <c:v>1.7310490846149662E-2</c:v>
                </c:pt>
                <c:pt idx="481">
                  <c:v>1.7325788005291984E-2</c:v>
                </c:pt>
                <c:pt idx="482">
                  <c:v>1.7341054941800604E-2</c:v>
                </c:pt>
                <c:pt idx="483">
                  <c:v>1.7386671444860131E-2</c:v>
                </c:pt>
                <c:pt idx="484">
                  <c:v>1.7401814520151108E-2</c:v>
                </c:pt>
                <c:pt idx="485">
                  <c:v>1.7416925887450935E-2</c:v>
                </c:pt>
                <c:pt idx="486">
                  <c:v>1.7432005249673331E-2</c:v>
                </c:pt>
                <c:pt idx="487">
                  <c:v>1.7447052309735585E-2</c:v>
                </c:pt>
                <c:pt idx="488">
                  <c:v>1.7491996706023947E-2</c:v>
                </c:pt>
                <c:pt idx="489">
                  <c:v>1.7506911586497389E-2</c:v>
                </c:pt>
                <c:pt idx="490">
                  <c:v>1.7521792679320535E-2</c:v>
                </c:pt>
                <c:pt idx="491">
                  <c:v>1.7536639687385735E-2</c:v>
                </c:pt>
                <c:pt idx="492">
                  <c:v>1.7551452363037817E-2</c:v>
                </c:pt>
                <c:pt idx="493">
                  <c:v>1.7595684094985086E-2</c:v>
                </c:pt>
                <c:pt idx="494">
                  <c:v>1.7610359239371844E-2</c:v>
                </c:pt>
                <c:pt idx="495">
                  <c:v>1.7625000000000442E-2</c:v>
                </c:pt>
                <c:pt idx="496">
                  <c:v>1.7639606401896366E-2</c:v>
                </c:pt>
                <c:pt idx="497">
                  <c:v>1.7654178571700221E-2</c:v>
                </c:pt>
                <c:pt idx="498">
                  <c:v>1.7712461180905952E-2</c:v>
                </c:pt>
                <c:pt idx="499">
                  <c:v>1.7719502307510321E-2</c:v>
                </c:pt>
                <c:pt idx="500">
                  <c:v>1.7726531260971744E-2</c:v>
                </c:pt>
                <c:pt idx="501">
                  <c:v>1.774090123124893E-2</c:v>
                </c:pt>
                <c:pt idx="502">
                  <c:v>1.7755238033805056E-2</c:v>
                </c:pt>
                <c:pt idx="503">
                  <c:v>1.7805334467855247E-2</c:v>
                </c:pt>
                <c:pt idx="504">
                  <c:v>1.7819525446332751E-2</c:v>
                </c:pt>
                <c:pt idx="505">
                  <c:v>1.7833684145485234E-2</c:v>
                </c:pt>
                <c:pt idx="506">
                  <c:v>1.784781071574076E-2</c:v>
                </c:pt>
                <c:pt idx="507">
                  <c:v>1.787633052211611E-2</c:v>
                </c:pt>
                <c:pt idx="508">
                  <c:v>1.7903998716471716E-2</c:v>
                </c:pt>
                <c:pt idx="509">
                  <c:v>1.7917966898777043E-2</c:v>
                </c:pt>
                <c:pt idx="510">
                  <c:v>1.7931903854818989E-2</c:v>
                </c:pt>
                <c:pt idx="511">
                  <c:v>1.7945809735046749E-2</c:v>
                </c:pt>
                <c:pt idx="512">
                  <c:v>1.7973918360412438E-2</c:v>
                </c:pt>
                <c:pt idx="513">
                  <c:v>1.8001125506893503E-2</c:v>
                </c:pt>
                <c:pt idx="514">
                  <c:v>1.8014878264883596E-2</c:v>
                </c:pt>
                <c:pt idx="515">
                  <c:v>1.802860084981113E-2</c:v>
                </c:pt>
                <c:pt idx="516">
                  <c:v>1.8042293412147328E-2</c:v>
                </c:pt>
                <c:pt idx="517">
                  <c:v>1.8070008807398317E-2</c:v>
                </c:pt>
                <c:pt idx="518">
                  <c:v>1.8164652376220992E-2</c:v>
                </c:pt>
                <c:pt idx="519">
                  <c:v>1.8257899586589015E-2</c:v>
                </c:pt>
                <c:pt idx="520">
                  <c:v>1.8349800964587715E-2</c:v>
                </c:pt>
                <c:pt idx="521">
                  <c:v>1.8440407042501612E-2</c:v>
                </c:pt>
                <c:pt idx="522">
                  <c:v>1.8529768358641098E-2</c:v>
                </c:pt>
                <c:pt idx="523">
                  <c:v>1.8591655135574012E-2</c:v>
                </c:pt>
                <c:pt idx="524">
                  <c:v>1.8678953908194667E-2</c:v>
                </c:pt>
                <c:pt idx="525">
                  <c:v>1.8765155872572291E-2</c:v>
                </c:pt>
                <c:pt idx="526">
                  <c:v>1.8850313625774596E-2</c:v>
                </c:pt>
                <c:pt idx="527">
                  <c:v>1.8940769449058242E-2</c:v>
                </c:pt>
                <c:pt idx="528">
                  <c:v>1.901760373325127E-2</c:v>
                </c:pt>
                <c:pt idx="529">
                  <c:v>1.9099739174746871E-2</c:v>
                </c:pt>
                <c:pt idx="530">
                  <c:v>1.9180868126589812E-2</c:v>
                </c:pt>
                <c:pt idx="531">
                  <c:v>1.9260990528597831E-2</c:v>
                </c:pt>
                <c:pt idx="532">
                  <c:v>1.9334130760639511E-2</c:v>
                </c:pt>
                <c:pt idx="533">
                  <c:v>1.9412307655371941E-2</c:v>
                </c:pt>
                <c:pt idx="534">
                  <c:v>1.9489477865227128E-2</c:v>
                </c:pt>
                <c:pt idx="535">
                  <c:v>1.9565641333590143E-2</c:v>
                </c:pt>
                <c:pt idx="536">
                  <c:v>1.9669256378309123E-2</c:v>
                </c:pt>
                <c:pt idx="537">
                  <c:v>1.9743066451113286E-2</c:v>
                </c:pt>
                <c:pt idx="538">
                  <c:v>1.9815869399521645E-2</c:v>
                </c:pt>
                <c:pt idx="539">
                  <c:v>1.988766516711736E-2</c:v>
                </c:pt>
                <c:pt idx="540">
                  <c:v>1.994221376100451E-2</c:v>
                </c:pt>
                <c:pt idx="541">
                  <c:v>2.0012199398314424E-2</c:v>
                </c:pt>
                <c:pt idx="542">
                  <c:v>2.0120141836768218E-2</c:v>
                </c:pt>
                <c:pt idx="543">
                  <c:v>2.0187537405889151E-2</c:v>
                </c:pt>
                <c:pt idx="544">
                  <c:v>2.0259033440097364E-2</c:v>
                </c:pt>
                <c:pt idx="545">
                  <c:v>2.0324345940727882E-2</c:v>
                </c:pt>
                <c:pt idx="546">
                  <c:v>2.0388650954827732E-2</c:v>
                </c:pt>
                <c:pt idx="547">
                  <c:v>2.0451948433622039E-2</c:v>
                </c:pt>
                <c:pt idx="548">
                  <c:v>2.0514238329100563E-2</c:v>
                </c:pt>
                <c:pt idx="549">
                  <c:v>2.0575520594017731E-2</c:v>
                </c:pt>
                <c:pt idx="550">
                  <c:v>2.0635795181889977E-2</c:v>
                </c:pt>
                <c:pt idx="551">
                  <c:v>2.069506204700015E-2</c:v>
                </c:pt>
                <c:pt idx="552">
                  <c:v>2.0753321144393114E-2</c:v>
                </c:pt>
                <c:pt idx="553">
                  <c:v>2.081057242987662E-2</c:v>
                </c:pt>
                <c:pt idx="554">
                  <c:v>2.0866816050641286E-2</c:v>
                </c:pt>
                <c:pt idx="555">
                  <c:v>2.0922068762212823E-2</c:v>
                </c:pt>
                <c:pt idx="556">
                  <c:v>2.0976376582009647E-2</c:v>
                </c:pt>
                <c:pt idx="557">
                  <c:v>2.1029788509134908E-2</c:v>
                </c:pt>
                <c:pt idx="558">
                  <c:v>2.1082353545943313E-2</c:v>
                </c:pt>
                <c:pt idx="559">
                  <c:v>2.1134120697935386E-2</c:v>
                </c:pt>
                <c:pt idx="560">
                  <c:v>2.1185138973657931E-2</c:v>
                </c:pt>
                <c:pt idx="561">
                  <c:v>2.1235457384607147E-2</c:v>
                </c:pt>
                <c:pt idx="562">
                  <c:v>2.1281066814697245E-2</c:v>
                </c:pt>
                <c:pt idx="563">
                  <c:v>2.1330160797352383E-2</c:v>
                </c:pt>
                <c:pt idx="564">
                  <c:v>2.1378699914936673E-2</c:v>
                </c:pt>
                <c:pt idx="565">
                  <c:v>2.1430712709019022E-2</c:v>
                </c:pt>
                <c:pt idx="566">
                  <c:v>2.1478267065894219E-2</c:v>
                </c:pt>
                <c:pt idx="567">
                  <c:v>2.1525415660525505E-2</c:v>
                </c:pt>
                <c:pt idx="568">
                  <c:v>2.1572195392874891E-2</c:v>
                </c:pt>
                <c:pt idx="569">
                  <c:v>2.1618611397529065E-2</c:v>
                </c:pt>
                <c:pt idx="570">
                  <c:v>2.1664663661777859E-2</c:v>
                </c:pt>
                <c:pt idx="571">
                  <c:v>2.1710352173010646E-2</c:v>
                </c:pt>
                <c:pt idx="572">
                  <c:v>2.1755676918716348E-2</c:v>
                </c:pt>
                <c:pt idx="573">
                  <c:v>2.1800637886484318E-2</c:v>
                </c:pt>
                <c:pt idx="574">
                  <c:v>2.1845235064002558E-2</c:v>
                </c:pt>
                <c:pt idx="575">
                  <c:v>2.1881974882146001E-2</c:v>
                </c:pt>
                <c:pt idx="576">
                  <c:v>2.1925891161086071E-2</c:v>
                </c:pt>
                <c:pt idx="577">
                  <c:v>2.1969443648303236E-2</c:v>
                </c:pt>
                <c:pt idx="578">
                  <c:v>2.2018772445194901E-2</c:v>
                </c:pt>
                <c:pt idx="579">
                  <c:v>2.2061545339558817E-2</c:v>
                </c:pt>
                <c:pt idx="580">
                  <c:v>2.2103954405860476E-2</c:v>
                </c:pt>
                <c:pt idx="581">
                  <c:v>2.2145999632736287E-2</c:v>
                </c:pt>
                <c:pt idx="582">
                  <c:v>2.218768100892532E-2</c:v>
                </c:pt>
                <c:pt idx="583">
                  <c:v>2.2225439321812597E-2</c:v>
                </c:pt>
                <c:pt idx="584">
                  <c:v>2.2269952164670304E-2</c:v>
                </c:pt>
                <c:pt idx="585">
                  <c:v>2.2307029741225524E-2</c:v>
                </c:pt>
                <c:pt idx="586">
                  <c:v>2.2347279141897301E-2</c:v>
                </c:pt>
                <c:pt idx="587">
                  <c:v>2.2397553589489371E-2</c:v>
                </c:pt>
                <c:pt idx="588">
                  <c:v>2.2437004472465771E-2</c:v>
                </c:pt>
                <c:pt idx="589">
                  <c:v>2.2476091390923564E-2</c:v>
                </c:pt>
                <c:pt idx="590">
                  <c:v>2.2514814334159354E-2</c:v>
                </c:pt>
                <c:pt idx="591">
                  <c:v>2.2553173291568411E-2</c:v>
                </c:pt>
                <c:pt idx="592">
                  <c:v>2.258782547434162E-2</c:v>
                </c:pt>
                <c:pt idx="593">
                  <c:v>2.2625480104337459E-2</c:v>
                </c:pt>
                <c:pt idx="594">
                  <c:v>2.266277073669062E-2</c:v>
                </c:pt>
                <c:pt idx="595">
                  <c:v>2.2699697361299714E-2</c:v>
                </c:pt>
                <c:pt idx="596">
                  <c:v>2.2739507927005697E-2</c:v>
                </c:pt>
                <c:pt idx="597">
                  <c:v>2.2775682752327848E-2</c:v>
                </c:pt>
                <c:pt idx="598">
                  <c:v>2.2811493520376567E-2</c:v>
                </c:pt>
                <c:pt idx="599">
                  <c:v>2.284694022134701E-2</c:v>
                </c:pt>
                <c:pt idx="600">
                  <c:v>2.2882022845529489E-2</c:v>
                </c:pt>
                <c:pt idx="601">
                  <c:v>2.2916741383314725E-2</c:v>
                </c:pt>
                <c:pt idx="602">
                  <c:v>2.2951095825194761E-2</c:v>
                </c:pt>
                <c:pt idx="603">
                  <c:v>2.2985086161760301E-2</c:v>
                </c:pt>
                <c:pt idx="604">
                  <c:v>2.3018712383702473E-2</c:v>
                </c:pt>
                <c:pt idx="605">
                  <c:v>2.3051974481810192E-2</c:v>
                </c:pt>
                <c:pt idx="606">
                  <c:v>2.3084872613395167E-2</c:v>
                </c:pt>
                <c:pt idx="607">
                  <c:v>2.3117412433995493E-2</c:v>
                </c:pt>
                <c:pt idx="608">
                  <c:v>2.3149606225580387E-2</c:v>
                </c:pt>
                <c:pt idx="609">
                  <c:v>2.3181466665099886E-2</c:v>
                </c:pt>
                <c:pt idx="610">
                  <c:v>2.3213006429994708E-2</c:v>
                </c:pt>
                <c:pt idx="611">
                  <c:v>2.3244238198186554E-2</c:v>
                </c:pt>
                <c:pt idx="612">
                  <c:v>2.3275174648064913E-2</c:v>
                </c:pt>
                <c:pt idx="613">
                  <c:v>2.3305828458484407E-2</c:v>
                </c:pt>
                <c:pt idx="614">
                  <c:v>2.333334488083556E-2</c:v>
                </c:pt>
                <c:pt idx="615">
                  <c:v>2.3363484877831641E-2</c:v>
                </c:pt>
                <c:pt idx="616">
                  <c:v>2.3393379770352957E-2</c:v>
                </c:pt>
                <c:pt idx="617">
                  <c:v>2.3425870898230543E-2</c:v>
                </c:pt>
                <c:pt idx="618">
                  <c:v>2.3455301709642527E-2</c:v>
                </c:pt>
                <c:pt idx="619">
                  <c:v>2.3484525914585195E-2</c:v>
                </c:pt>
                <c:pt idx="620">
                  <c:v>2.3513551848981261E-2</c:v>
                </c:pt>
                <c:pt idx="621">
                  <c:v>2.3542380279059891E-2</c:v>
                </c:pt>
                <c:pt idx="622">
                  <c:v>2.3571011200539716E-2</c:v>
                </c:pt>
                <c:pt idx="623">
                  <c:v>2.3599444609164934E-2</c:v>
                </c:pt>
                <c:pt idx="624">
                  <c:v>2.3627680500712327E-2</c:v>
                </c:pt>
                <c:pt idx="625">
                  <c:v>2.3655718870985984E-2</c:v>
                </c:pt>
                <c:pt idx="626">
                  <c:v>2.3683559715821714E-2</c:v>
                </c:pt>
                <c:pt idx="627">
                  <c:v>2.3705790575954851E-2</c:v>
                </c:pt>
                <c:pt idx="628">
                  <c:v>2.373326101713686E-2</c:v>
                </c:pt>
                <c:pt idx="629">
                  <c:v>2.3760533942667517E-2</c:v>
                </c:pt>
                <c:pt idx="630">
                  <c:v>2.3791461139433857E-2</c:v>
                </c:pt>
                <c:pt idx="631">
                  <c:v>2.3818310803827496E-2</c:v>
                </c:pt>
                <c:pt idx="632">
                  <c:v>2.3844962940207524E-2</c:v>
                </c:pt>
                <c:pt idx="633">
                  <c:v>2.3871417544700829E-2</c:v>
                </c:pt>
                <c:pt idx="634">
                  <c:v>2.3897674613460412E-2</c:v>
                </c:pt>
                <c:pt idx="635">
                  <c:v>2.3921127031361105E-2</c:v>
                </c:pt>
                <c:pt idx="636">
                  <c:v>2.3947001436008149E-2</c:v>
                </c:pt>
                <c:pt idx="637">
                  <c:v>2.397267830493954E-2</c:v>
                </c:pt>
                <c:pt idx="638">
                  <c:v>2.3998157634461757E-2</c:v>
                </c:pt>
                <c:pt idx="639">
                  <c:v>2.4031108291078202E-2</c:v>
                </c:pt>
                <c:pt idx="640">
                  <c:v>2.405615513267035E-2</c:v>
                </c:pt>
                <c:pt idx="641">
                  <c:v>2.4081004389327788E-2</c:v>
                </c:pt>
                <c:pt idx="642">
                  <c:v>2.4105656057356751E-2</c:v>
                </c:pt>
                <c:pt idx="643">
                  <c:v>2.4130110133094292E-2</c:v>
                </c:pt>
                <c:pt idx="644">
                  <c:v>2.4151873854404635E-2</c:v>
                </c:pt>
                <c:pt idx="645">
                  <c:v>2.4175945260388392E-2</c:v>
                </c:pt>
                <c:pt idx="646">
                  <c:v>2.4199819075005194E-2</c:v>
                </c:pt>
                <c:pt idx="647">
                  <c:v>2.4223495294746895E-2</c:v>
                </c:pt>
                <c:pt idx="648">
                  <c:v>2.4249416501278952E-2</c:v>
                </c:pt>
                <c:pt idx="649">
                  <c:v>2.4272684947997135E-2</c:v>
                </c:pt>
                <c:pt idx="650">
                  <c:v>2.4295755777605243E-2</c:v>
                </c:pt>
                <c:pt idx="651">
                  <c:v>2.4318628986675542E-2</c:v>
                </c:pt>
                <c:pt idx="652">
                  <c:v>2.4341304571811134E-2</c:v>
                </c:pt>
                <c:pt idx="653">
                  <c:v>2.4363782529641553E-2</c:v>
                </c:pt>
                <c:pt idx="654">
                  <c:v>2.4386062856825406E-2</c:v>
                </c:pt>
                <c:pt idx="655">
                  <c:v>2.440814555005388E-2</c:v>
                </c:pt>
                <c:pt idx="656">
                  <c:v>2.4430030606044612E-2</c:v>
                </c:pt>
                <c:pt idx="657">
                  <c:v>2.4451718021546935E-2</c:v>
                </c:pt>
                <c:pt idx="658">
                  <c:v>2.4473208770139872E-2</c:v>
                </c:pt>
                <c:pt idx="659">
                  <c:v>2.4494520232785918E-2</c:v>
                </c:pt>
                <c:pt idx="660">
                  <c:v>2.4515683405185014E-2</c:v>
                </c:pt>
                <c:pt idx="661">
                  <c:v>2.4536729695808439E-2</c:v>
                </c:pt>
                <c:pt idx="662">
                  <c:v>2.4557690513803153E-2</c:v>
                </c:pt>
                <c:pt idx="663">
                  <c:v>2.4578597268982112E-2</c:v>
                </c:pt>
                <c:pt idx="664">
                  <c:v>2.4599481371818964E-2</c:v>
                </c:pt>
                <c:pt idx="665">
                  <c:v>2.4620374233448074E-2</c:v>
                </c:pt>
                <c:pt idx="666">
                  <c:v>2.4638964960712252E-2</c:v>
                </c:pt>
                <c:pt idx="667">
                  <c:v>2.4659955667946733E-2</c:v>
                </c:pt>
                <c:pt idx="668">
                  <c:v>2.4681048130287448E-2</c:v>
                </c:pt>
                <c:pt idx="669">
                  <c:v>2.4704661513619539E-2</c:v>
                </c:pt>
                <c:pt idx="670">
                  <c:v>2.4726069359341095E-2</c:v>
                </c:pt>
                <c:pt idx="671">
                  <c:v>2.4747674032500933E-2</c:v>
                </c:pt>
                <c:pt idx="672">
                  <c:v>2.4769492921631463E-2</c:v>
                </c:pt>
                <c:pt idx="673">
                  <c:v>2.4791527007123105E-2</c:v>
                </c:pt>
                <c:pt idx="674">
                  <c:v>2.4813776292539263E-2</c:v>
                </c:pt>
                <c:pt idx="675">
                  <c:v>2.4836240781475914E-2</c:v>
                </c:pt>
                <c:pt idx="676">
                  <c:v>2.4858920477564293E-2</c:v>
                </c:pt>
                <c:pt idx="677">
                  <c:v>2.4881815384470863E-2</c:v>
                </c:pt>
                <c:pt idx="678">
                  <c:v>2.4904925505897318E-2</c:v>
                </c:pt>
                <c:pt idx="679">
                  <c:v>2.4925694798386907E-2</c:v>
                </c:pt>
                <c:pt idx="680">
                  <c:v>2.494921838451674E-2</c:v>
                </c:pt>
                <c:pt idx="681">
                  <c:v>2.4972957180018816E-2</c:v>
                </c:pt>
                <c:pt idx="682">
                  <c:v>2.5000350758569653E-2</c:v>
                </c:pt>
                <c:pt idx="683">
                  <c:v>2.5024550729834349E-2</c:v>
                </c:pt>
                <c:pt idx="684">
                  <c:v>2.5059550513715351E-2</c:v>
                </c:pt>
                <c:pt idx="685">
                  <c:v>2.5073596340519099E-2</c:v>
                </c:pt>
                <c:pt idx="686">
                  <c:v>2.5098441987781054E-2</c:v>
                </c:pt>
                <c:pt idx="687">
                  <c:v>2.5120809864728127E-2</c:v>
                </c:pt>
                <c:pt idx="688">
                  <c:v>2.5146068874036847E-2</c:v>
                </c:pt>
                <c:pt idx="689">
                  <c:v>2.5171543107801085E-2</c:v>
                </c:pt>
                <c:pt idx="690">
                  <c:v>2.5197232570048838E-2</c:v>
                </c:pt>
                <c:pt idx="691">
                  <c:v>2.5225898803238115E-2</c:v>
                </c:pt>
                <c:pt idx="692">
                  <c:v>2.5260382659444507E-2</c:v>
                </c:pt>
                <c:pt idx="693">
                  <c:v>2.528678661907827E-2</c:v>
                </c:pt>
                <c:pt idx="694">
                  <c:v>2.5313405891970186E-2</c:v>
                </c:pt>
                <c:pt idx="695">
                  <c:v>2.5340240482518317E-2</c:v>
                </c:pt>
                <c:pt idx="696">
                  <c:v>2.5358736960754205E-2</c:v>
                </c:pt>
                <c:pt idx="697">
                  <c:v>2.5401597591864004E-2</c:v>
                </c:pt>
                <c:pt idx="698">
                  <c:v>2.5429149328632827E-2</c:v>
                </c:pt>
                <c:pt idx="699">
                  <c:v>2.5456916351516708E-2</c:v>
                </c:pt>
                <c:pt idx="700">
                  <c:v>2.5487827095047162E-2</c:v>
                </c:pt>
                <c:pt idx="701">
                  <c:v>2.551604204709336E-2</c:v>
                </c:pt>
                <c:pt idx="702">
                  <c:v>2.5544472316191797E-2</c:v>
                </c:pt>
                <c:pt idx="703">
                  <c:v>2.5573117906940095E-2</c:v>
                </c:pt>
                <c:pt idx="704">
                  <c:v>2.5601978823966694E-2</c:v>
                </c:pt>
                <c:pt idx="705">
                  <c:v>2.5631055071940575E-2</c:v>
                </c:pt>
                <c:pt idx="706">
                  <c:v>2.5660346655560651E-2</c:v>
                </c:pt>
                <c:pt idx="707">
                  <c:v>2.5689853579562848E-2</c:v>
                </c:pt>
                <c:pt idx="708">
                  <c:v>2.5719575848719204E-2</c:v>
                </c:pt>
                <c:pt idx="709">
                  <c:v>2.5749513467833475E-2</c:v>
                </c:pt>
                <c:pt idx="710">
                  <c:v>2.5779659289228016E-2</c:v>
                </c:pt>
                <c:pt idx="711">
                  <c:v>2.580997755474549E-2</c:v>
                </c:pt>
                <c:pt idx="712">
                  <c:v>2.5840425352540271E-2</c:v>
                </c:pt>
                <c:pt idx="713">
                  <c:v>2.5870959769476162E-2</c:v>
                </c:pt>
                <c:pt idx="714">
                  <c:v>2.5901537891107895E-2</c:v>
                </c:pt>
                <c:pt idx="715">
                  <c:v>2.5932116801682004E-2</c:v>
                </c:pt>
                <c:pt idx="716">
                  <c:v>2.5962653584129788E-2</c:v>
                </c:pt>
                <c:pt idx="717">
                  <c:v>2.599003446580991E-2</c:v>
                </c:pt>
                <c:pt idx="718">
                  <c:v>2.602037588429371E-2</c:v>
                </c:pt>
                <c:pt idx="719">
                  <c:v>2.6050548379391338E-2</c:v>
                </c:pt>
                <c:pt idx="720">
                  <c:v>2.6080508560411386E-2</c:v>
                </c:pt>
                <c:pt idx="721">
                  <c:v>2.6110213035405793E-2</c:v>
                </c:pt>
                <c:pt idx="722">
                  <c:v>2.6142586068280366E-2</c:v>
                </c:pt>
                <c:pt idx="723">
                  <c:v>2.6171630671822883E-2</c:v>
                </c:pt>
                <c:pt idx="724">
                  <c:v>2.6200326573800406E-2</c:v>
                </c:pt>
                <c:pt idx="725">
                  <c:v>2.622867374583529E-2</c:v>
                </c:pt>
                <c:pt idx="726">
                  <c:v>2.6256672180500349E-2</c:v>
                </c:pt>
                <c:pt idx="727">
                  <c:v>2.628432187045825E-2</c:v>
                </c:pt>
                <c:pt idx="728">
                  <c:v>2.6311622808462394E-2</c:v>
                </c:pt>
                <c:pt idx="729">
                  <c:v>2.633857498735781E-2</c:v>
                </c:pt>
                <c:pt idx="730">
                  <c:v>2.6359607652366029E-2</c:v>
                </c:pt>
                <c:pt idx="731">
                  <c:v>2.6385908329181026E-2</c:v>
                </c:pt>
                <c:pt idx="732">
                  <c:v>2.6411860273481649E-2</c:v>
                </c:pt>
                <c:pt idx="733">
                  <c:v>2.6437463478614004E-2</c:v>
                </c:pt>
                <c:pt idx="734">
                  <c:v>2.6462717938016037E-2</c:v>
                </c:pt>
                <c:pt idx="735">
                  <c:v>2.6490294727333177E-2</c:v>
                </c:pt>
                <c:pt idx="736">
                  <c:v>2.6512180593815007E-2</c:v>
                </c:pt>
                <c:pt idx="737">
                  <c:v>2.6536388777530003E-2</c:v>
                </c:pt>
                <c:pt idx="738">
                  <c:v>2.6560248190149894E-2</c:v>
                </c:pt>
                <c:pt idx="739">
                  <c:v>2.6586337217263653E-2</c:v>
                </c:pt>
                <c:pt idx="740">
                  <c:v>2.6606920677729247E-2</c:v>
                </c:pt>
                <c:pt idx="741">
                  <c:v>2.6629733740719974E-2</c:v>
                </c:pt>
                <c:pt idx="742">
                  <c:v>2.6652198008684434E-2</c:v>
                </c:pt>
                <c:pt idx="743">
                  <c:v>2.6679281996218881E-2</c:v>
                </c:pt>
                <c:pt idx="744">
                  <c:v>2.6701001992037138E-2</c:v>
                </c:pt>
                <c:pt idx="745">
                  <c:v>2.6722373126697063E-2</c:v>
                </c:pt>
                <c:pt idx="746">
                  <c:v>2.6743395394597656E-2</c:v>
                </c:pt>
                <c:pt idx="747">
                  <c:v>2.6764068790228648E-2</c:v>
                </c:pt>
                <c:pt idx="748">
                  <c:v>2.6782027017748997E-2</c:v>
                </c:pt>
                <c:pt idx="749">
                  <c:v>2.680202611017736E-2</c:v>
                </c:pt>
                <c:pt idx="750">
                  <c:v>2.6821676339184825E-2</c:v>
                </c:pt>
                <c:pt idx="751">
                  <c:v>2.6840977699677946E-2</c:v>
                </c:pt>
                <c:pt idx="752">
                  <c:v>2.6862202497902329E-2</c:v>
                </c:pt>
                <c:pt idx="753">
                  <c:v>2.6880782549331596E-2</c:v>
                </c:pt>
                <c:pt idx="754">
                  <c:v>2.6899013692482928E-2</c:v>
                </c:pt>
                <c:pt idx="755">
                  <c:v>2.6916895922579002E-2</c:v>
                </c:pt>
                <c:pt idx="756">
                  <c:v>2.6934429234931466E-2</c:v>
                </c:pt>
                <c:pt idx="757">
                  <c:v>2.6951613624944463E-2</c:v>
                </c:pt>
                <c:pt idx="758">
                  <c:v>2.6968449088115524E-2</c:v>
                </c:pt>
                <c:pt idx="759">
                  <c:v>2.6984935620031153E-2</c:v>
                </c:pt>
                <c:pt idx="760">
                  <c:v>2.7001073216370342E-2</c:v>
                </c:pt>
                <c:pt idx="761">
                  <c:v>2.7016861872902836E-2</c:v>
                </c:pt>
                <c:pt idx="762">
                  <c:v>2.7032304303232536E-2</c:v>
                </c:pt>
                <c:pt idx="763">
                  <c:v>2.7047419993147595E-2</c:v>
                </c:pt>
                <c:pt idx="764">
                  <c:v>2.7062234820586287E-2</c:v>
                </c:pt>
                <c:pt idx="765">
                  <c:v>2.7076774676528283E-2</c:v>
                </c:pt>
                <c:pt idx="766">
                  <c:v>2.7091065452387559E-2</c:v>
                </c:pt>
                <c:pt idx="767">
                  <c:v>2.7105133040000062E-2</c:v>
                </c:pt>
                <c:pt idx="768">
                  <c:v>2.7119003331608733E-2</c:v>
                </c:pt>
                <c:pt idx="769">
                  <c:v>2.7130743312639163E-2</c:v>
                </c:pt>
                <c:pt idx="770">
                  <c:v>2.7144299573574272E-2</c:v>
                </c:pt>
                <c:pt idx="771">
                  <c:v>2.7157735006509354E-2</c:v>
                </c:pt>
                <c:pt idx="772">
                  <c:v>2.7171075787798902E-2</c:v>
                </c:pt>
                <c:pt idx="773">
                  <c:v>2.7186301604816287E-2</c:v>
                </c:pt>
                <c:pt idx="774">
                  <c:v>2.7199531878651467E-2</c:v>
                </c:pt>
                <c:pt idx="775">
                  <c:v>2.7212744539746758E-2</c:v>
                </c:pt>
                <c:pt idx="776">
                  <c:v>2.7225948458762948E-2</c:v>
                </c:pt>
                <c:pt idx="777">
                  <c:v>2.7239143736275829E-2</c:v>
                </c:pt>
                <c:pt idx="778">
                  <c:v>2.7252330372200827E-2</c:v>
                </c:pt>
                <c:pt idx="779">
                  <c:v>2.7265508366448973E-2</c:v>
                </c:pt>
                <c:pt idx="780">
                  <c:v>2.7278677718936571E-2</c:v>
                </c:pt>
                <c:pt idx="781">
                  <c:v>2.7291838429576415E-2</c:v>
                </c:pt>
                <c:pt idx="782">
                  <c:v>2.7301077262699359E-2</c:v>
                </c:pt>
                <c:pt idx="783">
                  <c:v>2.7314219963867726E-2</c:v>
                </c:pt>
                <c:pt idx="784">
                  <c:v>2.73273540232945E-2</c:v>
                </c:pt>
                <c:pt idx="785">
                  <c:v>2.7340479440895932E-2</c:v>
                </c:pt>
                <c:pt idx="786">
                  <c:v>2.7355469336218796E-2</c:v>
                </c:pt>
                <c:pt idx="787">
                  <c:v>2.7368576235341207E-2</c:v>
                </c:pt>
                <c:pt idx="788">
                  <c:v>2.7381674492373526E-2</c:v>
                </c:pt>
                <c:pt idx="789">
                  <c:v>2.7394764107235601E-2</c:v>
                </c:pt>
                <c:pt idx="790">
                  <c:v>2.7407845079842792E-2</c:v>
                </c:pt>
                <c:pt idx="791">
                  <c:v>2.7420917410109547E-2</c:v>
                </c:pt>
                <c:pt idx="792">
                  <c:v>2.743202100737269E-2</c:v>
                </c:pt>
                <c:pt idx="793">
                  <c:v>2.7445075691899738E-2</c:v>
                </c:pt>
                <c:pt idx="794">
                  <c:v>2.7458121734030227E-2</c:v>
                </c:pt>
                <c:pt idx="795">
                  <c:v>2.7477043047734906E-2</c:v>
                </c:pt>
                <c:pt idx="796">
                  <c:v>2.7490072885682695E-2</c:v>
                </c:pt>
                <c:pt idx="797">
                  <c:v>2.7503094080406701E-2</c:v>
                </c:pt>
                <c:pt idx="798">
                  <c:v>2.7516106631824119E-2</c:v>
                </c:pt>
                <c:pt idx="799">
                  <c:v>2.7529110539847735E-2</c:v>
                </c:pt>
                <c:pt idx="800">
                  <c:v>2.7540142567747838E-2</c:v>
                </c:pt>
                <c:pt idx="801">
                  <c:v>2.7553128829373399E-2</c:v>
                </c:pt>
                <c:pt idx="802">
                  <c:v>2.7566106447549376E-2</c:v>
                </c:pt>
                <c:pt idx="803">
                  <c:v>2.757907542219383E-2</c:v>
                </c:pt>
                <c:pt idx="804">
                  <c:v>2.7594000426109388E-2</c:v>
                </c:pt>
                <c:pt idx="805">
                  <c:v>2.7606952471999503E-2</c:v>
                </c:pt>
                <c:pt idx="806">
                  <c:v>2.7619895873904704E-2</c:v>
                </c:pt>
                <c:pt idx="807">
                  <c:v>2.7632830631742183E-2</c:v>
                </c:pt>
                <c:pt idx="808">
                  <c:v>2.7645756745425614E-2</c:v>
                </c:pt>
                <c:pt idx="809">
                  <c:v>2.7658674214872184E-2</c:v>
                </c:pt>
                <c:pt idx="810">
                  <c:v>2.7671583039996443E-2</c:v>
                </c:pt>
                <c:pt idx="811">
                  <c:v>2.7684483220716465E-2</c:v>
                </c:pt>
                <c:pt idx="812">
                  <c:v>2.7697374756947675E-2</c:v>
                </c:pt>
                <c:pt idx="813">
                  <c:v>2.7710257648604627E-2</c:v>
                </c:pt>
                <c:pt idx="814">
                  <c:v>2.772313269531107E-2</c:v>
                </c:pt>
                <c:pt idx="815">
                  <c:v>2.773600563193707E-2</c:v>
                </c:pt>
                <c:pt idx="816">
                  <c:v>2.7748884074230727E-2</c:v>
                </c:pt>
                <c:pt idx="817">
                  <c:v>2.7761775641740521E-2</c:v>
                </c:pt>
                <c:pt idx="818">
                  <c:v>2.7774687954111813E-2</c:v>
                </c:pt>
                <c:pt idx="819">
                  <c:v>2.7787628631089537E-2</c:v>
                </c:pt>
                <c:pt idx="820">
                  <c:v>2.7800605292519025E-2</c:v>
                </c:pt>
                <c:pt idx="821">
                  <c:v>2.7811628187280949E-2</c:v>
                </c:pt>
                <c:pt idx="822">
                  <c:v>2.7824693111837061E-2</c:v>
                </c:pt>
                <c:pt idx="823">
                  <c:v>2.7837816517166415E-2</c:v>
                </c:pt>
                <c:pt idx="824">
                  <c:v>2.7851006106654762E-2</c:v>
                </c:pt>
                <c:pt idx="825">
                  <c:v>2.7864269583789389E-2</c:v>
                </c:pt>
                <c:pt idx="826">
                  <c:v>2.7879647658558739E-2</c:v>
                </c:pt>
                <c:pt idx="827">
                  <c:v>2.7893089112481926E-2</c:v>
                </c:pt>
                <c:pt idx="828">
                  <c:v>2.7906622040972526E-2</c:v>
                </c:pt>
                <c:pt idx="829">
                  <c:v>2.7920246474578823E-2</c:v>
                </c:pt>
                <c:pt idx="830">
                  <c:v>2.7933962414236367E-2</c:v>
                </c:pt>
                <c:pt idx="831">
                  <c:v>2.7947769860888649E-2</c:v>
                </c:pt>
                <c:pt idx="832">
                  <c:v>2.7961668815482673E-2</c:v>
                </c:pt>
                <c:pt idx="833">
                  <c:v>2.7975659278973379E-2</c:v>
                </c:pt>
                <c:pt idx="834">
                  <c:v>2.7985554709839742E-2</c:v>
                </c:pt>
                <c:pt idx="835">
                  <c:v>2.7999712956520942E-2</c:v>
                </c:pt>
                <c:pt idx="836">
                  <c:v>2.8013962699773187E-2</c:v>
                </c:pt>
                <c:pt idx="837">
                  <c:v>2.8028303940551929E-2</c:v>
                </c:pt>
                <c:pt idx="838">
                  <c:v>2.8042736679822516E-2</c:v>
                </c:pt>
                <c:pt idx="839">
                  <c:v>2.80572609185539E-2</c:v>
                </c:pt>
                <c:pt idx="840">
                  <c:v>2.8071876657722237E-2</c:v>
                </c:pt>
                <c:pt idx="841">
                  <c:v>2.8086583898309994E-2</c:v>
                </c:pt>
                <c:pt idx="842">
                  <c:v>2.8101382641304129E-2</c:v>
                </c:pt>
                <c:pt idx="843">
                  <c:v>2.8116272887700616E-2</c:v>
                </c:pt>
                <c:pt idx="844">
                  <c:v>2.8129086103153504E-2</c:v>
                </c:pt>
                <c:pt idx="845">
                  <c:v>2.8144151665742721E-2</c:v>
                </c:pt>
                <c:pt idx="846">
                  <c:v>2.8159308727028633E-2</c:v>
                </c:pt>
                <c:pt idx="847">
                  <c:v>2.8181134751617046E-2</c:v>
                </c:pt>
                <c:pt idx="848">
                  <c:v>2.8196497967399987E-2</c:v>
                </c:pt>
                <c:pt idx="849">
                  <c:v>2.8211952708209583E-2</c:v>
                </c:pt>
                <c:pt idx="850">
                  <c:v>2.8227498975108237E-2</c:v>
                </c:pt>
                <c:pt idx="851">
                  <c:v>2.8243136769163655E-2</c:v>
                </c:pt>
                <c:pt idx="852">
                  <c:v>2.8256634081155477E-2</c:v>
                </c:pt>
                <c:pt idx="853">
                  <c:v>2.8272447174580152E-2</c:v>
                </c:pt>
                <c:pt idx="854">
                  <c:v>2.8288351790574585E-2</c:v>
                </c:pt>
                <c:pt idx="855">
                  <c:v>2.830434793022087E-2</c:v>
                </c:pt>
                <c:pt idx="856">
                  <c:v>2.8322698684602861E-2</c:v>
                </c:pt>
                <c:pt idx="857">
                  <c:v>2.8338885664374602E-2</c:v>
                </c:pt>
                <c:pt idx="858">
                  <c:v>2.8355164178953163E-2</c:v>
                </c:pt>
                <c:pt idx="859">
                  <c:v>2.8371534229458224E-2</c:v>
                </c:pt>
                <c:pt idx="860">
                  <c:v>2.8387995817013855E-2</c:v>
                </c:pt>
                <c:pt idx="861">
                  <c:v>2.8404548942751181E-2</c:v>
                </c:pt>
                <c:pt idx="862">
                  <c:v>2.8421193607806615E-2</c:v>
                </c:pt>
                <c:pt idx="863">
                  <c:v>2.8437929813324495E-2</c:v>
                </c:pt>
                <c:pt idx="864">
                  <c:v>2.8454757560451797E-2</c:v>
                </c:pt>
                <c:pt idx="865">
                  <c:v>2.8471676850347842E-2</c:v>
                </c:pt>
                <c:pt idx="866">
                  <c:v>2.848868759225048E-2</c:v>
                </c:pt>
                <c:pt idx="867">
                  <c:v>2.8505786658589025E-2</c:v>
                </c:pt>
                <c:pt idx="868">
                  <c:v>2.8522967261877526E-2</c:v>
                </c:pt>
                <c:pt idx="869">
                  <c:v>2.8540222396634923E-2</c:v>
                </c:pt>
                <c:pt idx="870">
                  <c:v>2.8557545057260346E-2</c:v>
                </c:pt>
                <c:pt idx="871">
                  <c:v>2.8574928238033998E-2</c:v>
                </c:pt>
                <c:pt idx="872">
                  <c:v>2.8592364933120677E-2</c:v>
                </c:pt>
                <c:pt idx="873">
                  <c:v>2.8609848136561856E-2</c:v>
                </c:pt>
                <c:pt idx="874">
                  <c:v>2.8624994032551532E-2</c:v>
                </c:pt>
                <c:pt idx="875">
                  <c:v>2.8642547213435621E-2</c:v>
                </c:pt>
                <c:pt idx="876">
                  <c:v>2.8660126167196421E-2</c:v>
                </c:pt>
                <c:pt idx="877">
                  <c:v>2.86777238109483E-2</c:v>
                </c:pt>
                <c:pt idx="878">
                  <c:v>2.8697716562091982E-2</c:v>
                </c:pt>
                <c:pt idx="879">
                  <c:v>2.8715331710987266E-2</c:v>
                </c:pt>
                <c:pt idx="880">
                  <c:v>2.8732946750671805E-2</c:v>
                </c:pt>
                <c:pt idx="881">
                  <c:v>2.8750561255554839E-2</c:v>
                </c:pt>
                <c:pt idx="882">
                  <c:v>2.8768175225627562E-2</c:v>
                </c:pt>
                <c:pt idx="883">
                  <c:v>2.8785788660882928E-2</c:v>
                </c:pt>
                <c:pt idx="884">
                  <c:v>2.8803401561313002E-2</c:v>
                </c:pt>
                <c:pt idx="885">
                  <c:v>2.8821013926910742E-2</c:v>
                </c:pt>
                <c:pt idx="886">
                  <c:v>2.8838625757666457E-2</c:v>
                </c:pt>
                <c:pt idx="887">
                  <c:v>2.885384144050121E-2</c:v>
                </c:pt>
                <c:pt idx="888">
                  <c:v>2.887145085221136E-2</c:v>
                </c:pt>
                <c:pt idx="889">
                  <c:v>2.888905972825636E-2</c:v>
                </c:pt>
                <c:pt idx="890">
                  <c:v>2.8906668068629973E-2</c:v>
                </c:pt>
                <c:pt idx="891">
                  <c:v>2.8924275873322403E-2</c:v>
                </c:pt>
                <c:pt idx="892">
                  <c:v>2.8941883142327419E-2</c:v>
                </c:pt>
                <c:pt idx="893">
                  <c:v>2.8959489875637002E-2</c:v>
                </c:pt>
                <c:pt idx="894">
                  <c:v>2.8977096073243138E-2</c:v>
                </c:pt>
                <c:pt idx="895">
                  <c:v>2.899229556085961E-2</c:v>
                </c:pt>
                <c:pt idx="896">
                  <c:v>2.9009899331517222E-2</c:v>
                </c:pt>
                <c:pt idx="897">
                  <c:v>2.9027502565647557E-2</c:v>
                </c:pt>
                <c:pt idx="898">
                  <c:v>2.9045105263243408E-2</c:v>
                </c:pt>
                <c:pt idx="899">
                  <c:v>2.9062707424298471E-2</c:v>
                </c:pt>
                <c:pt idx="900">
                  <c:v>2.9085135225625523E-2</c:v>
                </c:pt>
                <c:pt idx="901">
                  <c:v>2.9102739032839962E-2</c:v>
                </c:pt>
                <c:pt idx="902">
                  <c:v>2.9120342305089045E-2</c:v>
                </c:pt>
                <c:pt idx="903">
                  <c:v>2.9137945042363961E-2</c:v>
                </c:pt>
                <c:pt idx="904">
                  <c:v>2.9153128583940532E-2</c:v>
                </c:pt>
                <c:pt idx="905">
                  <c:v>2.9170728888304655E-2</c:v>
                </c:pt>
                <c:pt idx="906">
                  <c:v>2.9188328656874492E-2</c:v>
                </c:pt>
                <c:pt idx="907">
                  <c:v>2.9205927889640236E-2</c:v>
                </c:pt>
                <c:pt idx="908">
                  <c:v>2.9225950703884666E-2</c:v>
                </c:pt>
                <c:pt idx="909">
                  <c:v>2.924355023116218E-2</c:v>
                </c:pt>
                <c:pt idx="910">
                  <c:v>2.9261149223412674E-2</c:v>
                </c:pt>
                <c:pt idx="911">
                  <c:v>2.9278747680629096E-2</c:v>
                </c:pt>
                <c:pt idx="912">
                  <c:v>2.9296345602802639E-2</c:v>
                </c:pt>
                <c:pt idx="913">
                  <c:v>2.9313942989926255E-2</c:v>
                </c:pt>
                <c:pt idx="914">
                  <c:v>2.9331539841992015E-2</c:v>
                </c:pt>
                <c:pt idx="915">
                  <c:v>2.934913615899111E-2</c:v>
                </c:pt>
                <c:pt idx="916">
                  <c:v>2.9366731940918253E-2</c:v>
                </c:pt>
                <c:pt idx="917">
                  <c:v>2.9384327187763758E-2</c:v>
                </c:pt>
                <c:pt idx="918">
                  <c:v>2.9401921792513053E-2</c:v>
                </c:pt>
                <c:pt idx="919">
                  <c:v>2.9419512112933949E-2</c:v>
                </c:pt>
                <c:pt idx="920">
                  <c:v>2.9437090246218583E-2</c:v>
                </c:pt>
                <c:pt idx="921">
                  <c:v>2.9454648035774113E-2</c:v>
                </c:pt>
                <c:pt idx="922">
                  <c:v>2.9472177324859697E-2</c:v>
                </c:pt>
                <c:pt idx="923">
                  <c:v>2.9489669956597075E-2</c:v>
                </c:pt>
                <c:pt idx="924">
                  <c:v>2.9507117773961745E-2</c:v>
                </c:pt>
                <c:pt idx="925">
                  <c:v>2.9524512619790902E-2</c:v>
                </c:pt>
                <c:pt idx="926">
                  <c:v>2.9539429764155693E-2</c:v>
                </c:pt>
                <c:pt idx="927">
                  <c:v>2.95566996979044E-2</c:v>
                </c:pt>
                <c:pt idx="928">
                  <c:v>2.9573892526212085E-2</c:v>
                </c:pt>
                <c:pt idx="929">
                  <c:v>2.9595797804024829E-2</c:v>
                </c:pt>
                <c:pt idx="930">
                  <c:v>2.9610406765429909E-2</c:v>
                </c:pt>
                <c:pt idx="931">
                  <c:v>2.9627312505557689E-2</c:v>
                </c:pt>
                <c:pt idx="932">
                  <c:v>2.9644110996112274E-2</c:v>
                </c:pt>
                <c:pt idx="933">
                  <c:v>2.9660801740303746E-2</c:v>
                </c:pt>
                <c:pt idx="934">
                  <c:v>2.9677384736782511E-2</c:v>
                </c:pt>
                <c:pt idx="935">
                  <c:v>2.9693859984206896E-2</c:v>
                </c:pt>
                <c:pt idx="936">
                  <c:v>2.9710227481244928E-2</c:v>
                </c:pt>
                <c:pt idx="937">
                  <c:v>2.9726487226569911E-2</c:v>
                </c:pt>
                <c:pt idx="938">
                  <c:v>2.9742639218868373E-2</c:v>
                </c:pt>
                <c:pt idx="939">
                  <c:v>2.975401168887689E-2</c:v>
                </c:pt>
                <c:pt idx="940">
                  <c:v>2.9769960973371382E-2</c:v>
                </c:pt>
                <c:pt idx="941">
                  <c:v>2.9785802517264409E-2</c:v>
                </c:pt>
                <c:pt idx="942">
                  <c:v>2.9806011901818544E-2</c:v>
                </c:pt>
                <c:pt idx="943">
                  <c:v>2.9821607176786169E-2</c:v>
                </c:pt>
                <c:pt idx="944">
                  <c:v>2.9837094707064898E-2</c:v>
                </c:pt>
                <c:pt idx="945">
                  <c:v>2.9852474491429127E-2</c:v>
                </c:pt>
                <c:pt idx="946">
                  <c:v>2.986774652866226E-2</c:v>
                </c:pt>
                <c:pt idx="947">
                  <c:v>2.9880627478216883E-2</c:v>
                </c:pt>
                <c:pt idx="948">
                  <c:v>2.9895690485047151E-2</c:v>
                </c:pt>
                <c:pt idx="949">
                  <c:v>2.9910645749408861E-2</c:v>
                </c:pt>
                <c:pt idx="950">
                  <c:v>2.9925493270131855E-2</c:v>
                </c:pt>
                <c:pt idx="951">
                  <c:v>2.9944747387999758E-2</c:v>
                </c:pt>
                <c:pt idx="952">
                  <c:v>2.9966114683328597E-2</c:v>
                </c:pt>
                <c:pt idx="953">
                  <c:v>2.9980606410676729E-2</c:v>
                </c:pt>
                <c:pt idx="954">
                  <c:v>2.999499034813026E-2</c:v>
                </c:pt>
                <c:pt idx="955">
                  <c:v>3.0009266494499365E-2</c:v>
                </c:pt>
                <c:pt idx="956">
                  <c:v>3.001676487740278E-2</c:v>
                </c:pt>
                <c:pt idx="957">
                  <c:v>3.003084507487529E-2</c:v>
                </c:pt>
                <c:pt idx="958">
                  <c:v>3.0052753360766991E-2</c:v>
                </c:pt>
                <c:pt idx="959">
                  <c:v>3.0066556434537161E-2</c:v>
                </c:pt>
                <c:pt idx="960">
                  <c:v>3.0082445576933809E-2</c:v>
                </c:pt>
                <c:pt idx="961">
                  <c:v>3.0096026522081907E-2</c:v>
                </c:pt>
                <c:pt idx="962">
                  <c:v>3.0109499684305333E-2</c:v>
                </c:pt>
                <c:pt idx="963">
                  <c:v>3.0122865062511717E-2</c:v>
                </c:pt>
                <c:pt idx="964">
                  <c:v>3.0136122655621034E-2</c:v>
                </c:pt>
                <c:pt idx="965">
                  <c:v>3.0149272462559423E-2</c:v>
                </c:pt>
                <c:pt idx="966">
                  <c:v>3.0162314482264471E-2</c:v>
                </c:pt>
                <c:pt idx="967">
                  <c:v>3.0175248713679048E-2</c:v>
                </c:pt>
                <c:pt idx="968">
                  <c:v>3.0188075155759247E-2</c:v>
                </c:pt>
                <c:pt idx="969">
                  <c:v>3.0200793807464682E-2</c:v>
                </c:pt>
                <c:pt idx="970">
                  <c:v>3.0213404667768177E-2</c:v>
                </c:pt>
                <c:pt idx="971">
                  <c:v>3.0225907735647844E-2</c:v>
                </c:pt>
                <c:pt idx="972">
                  <c:v>3.0238303010092369E-2</c:v>
                </c:pt>
                <c:pt idx="973">
                  <c:v>3.0250590490098362E-2</c:v>
                </c:pt>
                <c:pt idx="974">
                  <c:v>3.0262770174674766E-2</c:v>
                </c:pt>
                <c:pt idx="975">
                  <c:v>3.0274842062831406E-2</c:v>
                </c:pt>
                <c:pt idx="976">
                  <c:v>3.028680615359397E-2</c:v>
                </c:pt>
                <c:pt idx="977">
                  <c:v>3.0296581668781516E-2</c:v>
                </c:pt>
                <c:pt idx="978">
                  <c:v>3.0308336889596454E-2</c:v>
                </c:pt>
                <c:pt idx="979">
                  <c:v>3.0319984318751946E-2</c:v>
                </c:pt>
                <c:pt idx="980">
                  <c:v>3.0331523955315517E-2</c:v>
                </c:pt>
                <c:pt idx="981">
                  <c:v>3.0345009612917782E-2</c:v>
                </c:pt>
                <c:pt idx="982">
                  <c:v>3.0356326899292158E-2</c:v>
                </c:pt>
                <c:pt idx="983">
                  <c:v>3.0367536381677752E-2</c:v>
                </c:pt>
                <c:pt idx="984">
                  <c:v>3.0378638059168083E-2</c:v>
                </c:pt>
                <c:pt idx="985">
                  <c:v>3.0389631930866353E-2</c:v>
                </c:pt>
                <c:pt idx="986">
                  <c:v>3.0400517995882819E-2</c:v>
                </c:pt>
                <c:pt idx="987">
                  <c:v>3.0411296253335659E-2</c:v>
                </c:pt>
                <c:pt idx="988">
                  <c:v>3.0421966702352747E-2</c:v>
                </c:pt>
                <c:pt idx="989">
                  <c:v>3.043252934207076E-2</c:v>
                </c:pt>
                <c:pt idx="990">
                  <c:v>3.0438998344811577E-2</c:v>
                </c:pt>
                <c:pt idx="991">
                  <c:v>3.0449359043053348E-2</c:v>
                </c:pt>
                <c:pt idx="992">
                  <c:v>3.0459611946918548E-2</c:v>
                </c:pt>
                <c:pt idx="993">
                  <c:v>3.0469757055594012E-2</c:v>
                </c:pt>
                <c:pt idx="994">
                  <c:v>3.0479794368278277E-2</c:v>
                </c:pt>
                <c:pt idx="995">
                  <c:v>3.0491682785187033E-2</c:v>
                </c:pt>
                <c:pt idx="996">
                  <c:v>3.0499545602503418E-2</c:v>
                </c:pt>
                <c:pt idx="997">
                  <c:v>3.0509259522480098E-2</c:v>
                </c:pt>
                <c:pt idx="998">
                  <c:v>3.0518865643338094E-2</c:v>
                </c:pt>
                <c:pt idx="999">
                  <c:v>3.0530295280753735E-2</c:v>
                </c:pt>
                <c:pt idx="1000">
                  <c:v>3.0537754484665114E-2</c:v>
                </c:pt>
                <c:pt idx="1001">
                  <c:v>3.0547037203639285E-2</c:v>
                </c:pt>
                <c:pt idx="1002">
                  <c:v>3.055812265620321E-2</c:v>
                </c:pt>
                <c:pt idx="1003">
                  <c:v>3.0569085859009502E-2</c:v>
                </c:pt>
                <c:pt idx="1004">
                  <c:v>3.0578031261569206E-2</c:v>
                </c:pt>
                <c:pt idx="1005">
                  <c:v>3.0586868842202474E-2</c:v>
                </c:pt>
                <c:pt idx="1006">
                  <c:v>3.0595598600192227E-2</c:v>
                </c:pt>
                <c:pt idx="1007">
                  <c:v>3.0602345372776837E-2</c:v>
                </c:pt>
                <c:pt idx="1008">
                  <c:v>3.0610866473305815E-2</c:v>
                </c:pt>
                <c:pt idx="1009">
                  <c:v>3.0619279757962102E-2</c:v>
                </c:pt>
                <c:pt idx="1010">
                  <c:v>3.0627585226069724E-2</c:v>
                </c:pt>
                <c:pt idx="1011">
                  <c:v>3.0635782876966944E-2</c:v>
                </c:pt>
                <c:pt idx="1012">
                  <c:v>3.0645712833704045E-2</c:v>
                </c:pt>
                <c:pt idx="1013">
                  <c:v>3.0653687813908956E-2</c:v>
                </c:pt>
                <c:pt idx="1014">
                  <c:v>3.0661554966065797E-2</c:v>
                </c:pt>
                <c:pt idx="1015">
                  <c:v>3.0669314289536766E-2</c:v>
                </c:pt>
                <c:pt idx="1016">
                  <c:v>3.0676965783694634E-2</c:v>
                </c:pt>
                <c:pt idx="1017">
                  <c:v>3.0684509447919225E-2</c:v>
                </c:pt>
                <c:pt idx="1018">
                  <c:v>3.0691945281601806E-2</c:v>
                </c:pt>
                <c:pt idx="1019">
                  <c:v>3.0699273284138937E-2</c:v>
                </c:pt>
                <c:pt idx="1020">
                  <c:v>3.070649345493863E-2</c:v>
                </c:pt>
                <c:pt idx="1021">
                  <c:v>3.071360579341682E-2</c:v>
                </c:pt>
                <c:pt idx="1022">
                  <c:v>3.0720611301203349E-2</c:v>
                </c:pt>
                <c:pt idx="1023">
                  <c:v>3.0727514988779271E-2</c:v>
                </c:pt>
                <c:pt idx="1024">
                  <c:v>3.0734322868877419E-2</c:v>
                </c:pt>
                <c:pt idx="1025">
                  <c:v>3.0741040954278202E-2</c:v>
                </c:pt>
                <c:pt idx="1026">
                  <c:v>3.0747675257810476E-2</c:v>
                </c:pt>
                <c:pt idx="1027">
                  <c:v>3.0754231792345387E-2</c:v>
                </c:pt>
                <c:pt idx="1028">
                  <c:v>3.0760716570800765E-2</c:v>
                </c:pt>
                <c:pt idx="1029">
                  <c:v>3.0765394578818665E-2</c:v>
                </c:pt>
                <c:pt idx="1030">
                  <c:v>3.0771756122259381E-2</c:v>
                </c:pt>
                <c:pt idx="1031">
                  <c:v>3.0778063679305613E-2</c:v>
                </c:pt>
                <c:pt idx="1032">
                  <c:v>3.0784323328610991E-2</c:v>
                </c:pt>
                <c:pt idx="1033">
                  <c:v>3.0790541148870126E-2</c:v>
                </c:pt>
                <c:pt idx="1034">
                  <c:v>3.0798455092550633E-2</c:v>
                </c:pt>
                <c:pt idx="1035">
                  <c:v>3.0804605312498009E-2</c:v>
                </c:pt>
                <c:pt idx="1036">
                  <c:v>3.0810726723934388E-2</c:v>
                </c:pt>
                <c:pt idx="1037">
                  <c:v>3.0816819329651461E-2</c:v>
                </c:pt>
                <c:pt idx="1038">
                  <c:v>3.0822883129516202E-2</c:v>
                </c:pt>
                <c:pt idx="1039">
                  <c:v>3.0828918123397359E-2</c:v>
                </c:pt>
                <c:pt idx="1040">
                  <c:v>3.0834924311165423E-2</c:v>
                </c:pt>
                <c:pt idx="1041">
                  <c:v>3.0840901692688265E-2</c:v>
                </c:pt>
                <c:pt idx="1042">
                  <c:v>3.0843411245087691E-2</c:v>
                </c:pt>
                <c:pt idx="1043">
                  <c:v>3.0849334131583358E-2</c:v>
                </c:pt>
                <c:pt idx="1044">
                  <c:v>3.085522821612911E-2</c:v>
                </c:pt>
                <c:pt idx="1045">
                  <c:v>3.086109349859888E-2</c:v>
                </c:pt>
                <c:pt idx="1046">
                  <c:v>3.0868643267258775E-2</c:v>
                </c:pt>
                <c:pt idx="1047">
                  <c:v>3.0872737656818788E-2</c:v>
                </c:pt>
                <c:pt idx="1048">
                  <c:v>3.0878516532322185E-2</c:v>
                </c:pt>
                <c:pt idx="1049">
                  <c:v>3.0884266605257019E-2</c:v>
                </c:pt>
                <c:pt idx="1050">
                  <c:v>3.0889987875503518E-2</c:v>
                </c:pt>
                <c:pt idx="1051">
                  <c:v>3.0897385767155838E-2</c:v>
                </c:pt>
                <c:pt idx="1052">
                  <c:v>3.0901344007443439E-2</c:v>
                </c:pt>
                <c:pt idx="1053">
                  <c:v>3.0906978868899124E-2</c:v>
                </c:pt>
                <c:pt idx="1054">
                  <c:v>3.0912584927183802E-2</c:v>
                </c:pt>
                <c:pt idx="1055">
                  <c:v>3.0921560307218564E-2</c:v>
                </c:pt>
                <c:pt idx="1056">
                  <c:v>3.0927105579931124E-2</c:v>
                </c:pt>
                <c:pt idx="1057">
                  <c:v>3.0932622044406659E-2</c:v>
                </c:pt>
                <c:pt idx="1058">
                  <c:v>3.0938109700527117E-2</c:v>
                </c:pt>
                <c:pt idx="1059">
                  <c:v>3.0943568548173577E-2</c:v>
                </c:pt>
                <c:pt idx="1060">
                  <c:v>3.0947307524297793E-2</c:v>
                </c:pt>
                <c:pt idx="1061">
                  <c:v>3.0952710356024881E-2</c:v>
                </c:pt>
                <c:pt idx="1062">
                  <c:v>3.0958084381288917E-2</c:v>
                </c:pt>
                <c:pt idx="1063">
                  <c:v>3.0963429599974123E-2</c:v>
                </c:pt>
                <c:pt idx="1064">
                  <c:v>3.0970430655179251E-2</c:v>
                </c:pt>
                <c:pt idx="1065">
                  <c:v>3.0975716649523012E-2</c:v>
                </c:pt>
                <c:pt idx="1066">
                  <c:v>3.098097383457879E-2</c:v>
                </c:pt>
                <c:pt idx="1067">
                  <c:v>3.0986202210233817E-2</c:v>
                </c:pt>
                <c:pt idx="1068">
                  <c:v>3.099140177637446E-2</c:v>
                </c:pt>
                <c:pt idx="1069">
                  <c:v>3.0996572532888834E-2</c:v>
                </c:pt>
                <c:pt idx="1070">
                  <c:v>3.1001714479665061E-2</c:v>
                </c:pt>
                <c:pt idx="1071">
                  <c:v>3.1006827616591265E-2</c:v>
                </c:pt>
                <c:pt idx="1072">
                  <c:v>3.1011911943559966E-2</c:v>
                </c:pt>
                <c:pt idx="1073">
                  <c:v>3.1016967460456651E-2</c:v>
                </c:pt>
                <c:pt idx="1074">
                  <c:v>3.1021994167173838E-2</c:v>
                </c:pt>
                <c:pt idx="1075">
                  <c:v>3.1026992063604052E-2</c:v>
                </c:pt>
                <c:pt idx="1076">
                  <c:v>3.1031961149638066E-2</c:v>
                </c:pt>
                <c:pt idx="1077">
                  <c:v>3.1036901425168396E-2</c:v>
                </c:pt>
                <c:pt idx="1078">
                  <c:v>3.1041812890090212E-2</c:v>
                </c:pt>
                <c:pt idx="1079">
                  <c:v>3.1046695544294279E-2</c:v>
                </c:pt>
                <c:pt idx="1080">
                  <c:v>3.1051549387675768E-2</c:v>
                </c:pt>
                <c:pt idx="1081">
                  <c:v>3.1054717484060874E-2</c:v>
                </c:pt>
                <c:pt idx="1082">
                  <c:v>3.1059515356738586E-2</c:v>
                </c:pt>
                <c:pt idx="1083">
                  <c:v>3.106428442066881E-2</c:v>
                </c:pt>
                <c:pt idx="1084">
                  <c:v>3.1069024675750019E-2</c:v>
                </c:pt>
                <c:pt idx="1085">
                  <c:v>3.1075386438610634E-2</c:v>
                </c:pt>
                <c:pt idx="1086">
                  <c:v>3.1080067414878964E-2</c:v>
                </c:pt>
                <c:pt idx="1087">
                  <c:v>3.1084719579604986E-2</c:v>
                </c:pt>
                <c:pt idx="1088">
                  <c:v>3.1089342932687392E-2</c:v>
                </c:pt>
                <c:pt idx="1089">
                  <c:v>3.1093937474024877E-2</c:v>
                </c:pt>
                <c:pt idx="1090">
                  <c:v>3.1098503203520537E-2</c:v>
                </c:pt>
                <c:pt idx="1091">
                  <c:v>3.1103040121073944E-2</c:v>
                </c:pt>
                <c:pt idx="1092">
                  <c:v>3.1107548226586432E-2</c:v>
                </c:pt>
                <c:pt idx="1093">
                  <c:v>3.1112027519961984E-2</c:v>
                </c:pt>
                <c:pt idx="1094">
                  <c:v>3.1114842717837526E-2</c:v>
                </c:pt>
                <c:pt idx="1095">
                  <c:v>3.1119266069018346E-2</c:v>
                </c:pt>
                <c:pt idx="1096">
                  <c:v>3.112366061017453E-2</c:v>
                </c:pt>
                <c:pt idx="1097">
                  <c:v>3.1128026341211677E-2</c:v>
                </c:pt>
                <c:pt idx="1098">
                  <c:v>3.1132980470294055E-2</c:v>
                </c:pt>
                <c:pt idx="1099">
                  <c:v>3.1137284465047311E-2</c:v>
                </c:pt>
                <c:pt idx="1100">
                  <c:v>3.1141559649388518E-2</c:v>
                </c:pt>
                <c:pt idx="1101">
                  <c:v>3.1145806023229496E-2</c:v>
                </c:pt>
                <c:pt idx="1102">
                  <c:v>3.1150023586476738E-2</c:v>
                </c:pt>
                <c:pt idx="1103">
                  <c:v>3.1152592456071347E-2</c:v>
                </c:pt>
                <c:pt idx="1104">
                  <c:v>3.1156754101906031E-2</c:v>
                </c:pt>
                <c:pt idx="1105">
                  <c:v>3.116088693928909E-2</c:v>
                </c:pt>
                <c:pt idx="1106">
                  <c:v>3.1164990968134076E-2</c:v>
                </c:pt>
                <c:pt idx="1107">
                  <c:v>3.1172292220927961E-2</c:v>
                </c:pt>
                <c:pt idx="1108">
                  <c:v>3.1176335204743808E-2</c:v>
                </c:pt>
                <c:pt idx="1109">
                  <c:v>3.1180349374934812E-2</c:v>
                </c:pt>
                <c:pt idx="1110">
                  <c:v>3.1184334731414642E-2</c:v>
                </c:pt>
                <c:pt idx="1111">
                  <c:v>3.1188291274096086E-2</c:v>
                </c:pt>
                <c:pt idx="1112">
                  <c:v>3.1190614616807607E-2</c:v>
                </c:pt>
                <c:pt idx="1113">
                  <c:v>3.1194515257716875E-2</c:v>
                </c:pt>
                <c:pt idx="1114">
                  <c:v>3.1198387086991273E-2</c:v>
                </c:pt>
                <c:pt idx="1115">
                  <c:v>3.120223010454886E-2</c:v>
                </c:pt>
                <c:pt idx="1116">
                  <c:v>3.1207641777571921E-2</c:v>
                </c:pt>
                <c:pt idx="1117">
                  <c:v>3.121142543569411E-2</c:v>
                </c:pt>
                <c:pt idx="1118">
                  <c:v>3.1215180279432965E-2</c:v>
                </c:pt>
                <c:pt idx="1119">
                  <c:v>3.1218906308706565E-2</c:v>
                </c:pt>
                <c:pt idx="1120">
                  <c:v>3.1222603523435623E-2</c:v>
                </c:pt>
                <c:pt idx="1121">
                  <c:v>3.122627192353997E-2</c:v>
                </c:pt>
                <c:pt idx="1122">
                  <c:v>3.1229911508940326E-2</c:v>
                </c:pt>
                <c:pt idx="1123">
                  <c:v>3.1233522279556523E-2</c:v>
                </c:pt>
                <c:pt idx="1124">
                  <c:v>3.1237104235312806E-2</c:v>
                </c:pt>
                <c:pt idx="1125">
                  <c:v>3.1240657376130763E-2</c:v>
                </c:pt>
                <c:pt idx="1126">
                  <c:v>3.1244181701932876E-2</c:v>
                </c:pt>
                <c:pt idx="1127">
                  <c:v>3.1247677212643384E-2</c:v>
                </c:pt>
                <c:pt idx="1128">
                  <c:v>3.1251143908187409E-2</c:v>
                </c:pt>
                <c:pt idx="1129">
                  <c:v>3.1254581788488306E-2</c:v>
                </c:pt>
                <c:pt idx="1130">
                  <c:v>3.125799085347384E-2</c:v>
                </c:pt>
                <c:pt idx="1131">
                  <c:v>3.1261371103068251E-2</c:v>
                </c:pt>
                <c:pt idx="1132">
                  <c:v>3.1264722537200182E-2</c:v>
                </c:pt>
                <c:pt idx="1133">
                  <c:v>3.1268045155796509E-2</c:v>
                </c:pt>
                <c:pt idx="1134">
                  <c:v>3.1269773106230102E-2</c:v>
                </c:pt>
                <c:pt idx="1135">
                  <c:v>3.1273039873001778E-2</c:v>
                </c:pt>
                <c:pt idx="1136">
                  <c:v>3.1276277826460648E-2</c:v>
                </c:pt>
                <c:pt idx="1137">
                  <c:v>3.1279486966535472E-2</c:v>
                </c:pt>
                <c:pt idx="1138">
                  <c:v>3.1284226013252037E-2</c:v>
                </c:pt>
                <c:pt idx="1139">
                  <c:v>3.1287375737147759E-2</c:v>
                </c:pt>
                <c:pt idx="1140">
                  <c:v>3.1290496645018082E-2</c:v>
                </c:pt>
                <c:pt idx="1141">
                  <c:v>3.1293588736796933E-2</c:v>
                </c:pt>
                <c:pt idx="1142">
                  <c:v>3.1296652012414723E-2</c:v>
                </c:pt>
                <c:pt idx="1143">
                  <c:v>3.1299686471807142E-2</c:v>
                </c:pt>
                <c:pt idx="1144">
                  <c:v>3.1302692114906362E-2</c:v>
                </c:pt>
                <c:pt idx="1145">
                  <c:v>3.1305668941651585E-2</c:v>
                </c:pt>
                <c:pt idx="1146">
                  <c:v>3.1307072613856381E-2</c:v>
                </c:pt>
                <c:pt idx="1147">
                  <c:v>3.1308451002093007E-2</c:v>
                </c:pt>
                <c:pt idx="1148">
                  <c:v>3.1311345001410799E-2</c:v>
                </c:pt>
                <c:pt idx="1149">
                  <c:v>3.1314210189006306E-2</c:v>
                </c:pt>
                <c:pt idx="1150">
                  <c:v>3.1317046564820081E-2</c:v>
                </c:pt>
                <c:pt idx="1151">
                  <c:v>3.1319854128789994E-2</c:v>
                </c:pt>
                <c:pt idx="1152">
                  <c:v>3.1322632880859312E-2</c:v>
                </c:pt>
                <c:pt idx="1153">
                  <c:v>3.1325382820967702E-2</c:v>
                </c:pt>
                <c:pt idx="1154">
                  <c:v>3.1328103949057537E-2</c:v>
                </c:pt>
                <c:pt idx="1155">
                  <c:v>3.1329268118459395E-2</c:v>
                </c:pt>
                <c:pt idx="1156">
                  <c:v>3.133345976895098E-2</c:v>
                </c:pt>
                <c:pt idx="1157">
                  <c:v>3.1334569976656602E-2</c:v>
                </c:pt>
                <c:pt idx="1158">
                  <c:v>3.1337177691088305E-2</c:v>
                </c:pt>
                <c:pt idx="1159">
                  <c:v>3.1344318763724191E-2</c:v>
                </c:pt>
                <c:pt idx="1160">
                  <c:v>3.1346863337746493E-2</c:v>
                </c:pt>
                <c:pt idx="1161">
                  <c:v>3.1349379094457223E-2</c:v>
                </c:pt>
                <c:pt idx="1162">
                  <c:v>3.1351866033801766E-2</c:v>
                </c:pt>
                <c:pt idx="1163">
                  <c:v>3.1354324155726386E-2</c:v>
                </c:pt>
                <c:pt idx="1164">
                  <c:v>3.1355242053651596E-2</c:v>
                </c:pt>
                <c:pt idx="1165">
                  <c:v>3.135764439339097E-2</c:v>
                </c:pt>
                <c:pt idx="1166">
                  <c:v>3.1360017918006917E-2</c:v>
                </c:pt>
                <c:pt idx="1167">
                  <c:v>3.1362362627448674E-2</c:v>
                </c:pt>
                <c:pt idx="1168">
                  <c:v>3.1366182502216518E-2</c:v>
                </c:pt>
                <c:pt idx="1169">
                  <c:v>3.1368467718529233E-2</c:v>
                </c:pt>
                <c:pt idx="1170">
                  <c:v>3.137072411706348E-2</c:v>
                </c:pt>
                <c:pt idx="1171">
                  <c:v>3.1372951697768166E-2</c:v>
                </c:pt>
                <c:pt idx="1172">
                  <c:v>3.1375150460599251E-2</c:v>
                </c:pt>
                <c:pt idx="1173">
                  <c:v>3.1377320405506511E-2</c:v>
                </c:pt>
                <c:pt idx="1174">
                  <c:v>3.137946153244503E-2</c:v>
                </c:pt>
                <c:pt idx="1175">
                  <c:v>3.1381573841366341E-2</c:v>
                </c:pt>
                <c:pt idx="1176">
                  <c:v>3.1383657332225527E-2</c:v>
                </c:pt>
                <c:pt idx="1177">
                  <c:v>3.138571200497766E-2</c:v>
                </c:pt>
                <c:pt idx="1178">
                  <c:v>3.1387737835916703E-2</c:v>
                </c:pt>
                <c:pt idx="1179">
                  <c:v>3.1389734019599422E-2</c:v>
                </c:pt>
                <c:pt idx="1180">
                  <c:v>3.1391698808472444E-2</c:v>
                </c:pt>
                <c:pt idx="1181">
                  <c:v>3.1393630398884272E-2</c:v>
                </c:pt>
                <c:pt idx="1182">
                  <c:v>3.1395526987188671E-2</c:v>
                </c:pt>
                <c:pt idx="1183">
                  <c:v>3.1397386769731507E-2</c:v>
                </c:pt>
                <c:pt idx="1184">
                  <c:v>3.1399207942855986E-2</c:v>
                </c:pt>
                <c:pt idx="1185">
                  <c:v>3.1400988702907084E-2</c:v>
                </c:pt>
                <c:pt idx="1186">
                  <c:v>3.1401264302870317E-2</c:v>
                </c:pt>
                <c:pt idx="1187">
                  <c:v>3.140296225510221E-2</c:v>
                </c:pt>
                <c:pt idx="1188">
                  <c:v>3.1404614460808999E-2</c:v>
                </c:pt>
                <c:pt idx="1189">
                  <c:v>3.1407671539151118E-2</c:v>
                </c:pt>
                <c:pt idx="1190">
                  <c:v>3.1409223178904176E-2</c:v>
                </c:pt>
                <c:pt idx="1191">
                  <c:v>3.1410723590614864E-2</c:v>
                </c:pt>
                <c:pt idx="1192">
                  <c:v>3.1412171588470372E-2</c:v>
                </c:pt>
                <c:pt idx="1193">
                  <c:v>3.1413567062863537E-2</c:v>
                </c:pt>
                <c:pt idx="1194">
                  <c:v>3.1414910013739743E-2</c:v>
                </c:pt>
                <c:pt idx="1195">
                  <c:v>3.1416200441047891E-2</c:v>
                </c:pt>
                <c:pt idx="1196">
                  <c:v>3.1417438344734247E-2</c:v>
                </c:pt>
                <c:pt idx="1197">
                  <c:v>3.1418623724752126E-2</c:v>
                </c:pt>
                <c:pt idx="1198">
                  <c:v>3.1419756581054829E-2</c:v>
                </c:pt>
                <c:pt idx="1199">
                  <c:v>3.1418004496895961E-2</c:v>
                </c:pt>
                <c:pt idx="1200">
                  <c:v>3.1419039631509188E-2</c:v>
                </c:pt>
                <c:pt idx="1201">
                  <c:v>3.1420022251285151E-2</c:v>
                </c:pt>
                <c:pt idx="1202">
                  <c:v>3.142108094138394E-2</c:v>
                </c:pt>
                <c:pt idx="1203">
                  <c:v>3.1421951029241897E-2</c:v>
                </c:pt>
                <c:pt idx="1204">
                  <c:v>3.1422768602150937E-2</c:v>
                </c:pt>
                <c:pt idx="1205">
                  <c:v>3.1423533660079536E-2</c:v>
                </c:pt>
                <c:pt idx="1206">
                  <c:v>3.1424246202997982E-2</c:v>
                </c:pt>
                <c:pt idx="1207">
                  <c:v>3.142351956974241E-2</c:v>
                </c:pt>
                <c:pt idx="1208">
                  <c:v>3.14241307812161E-2</c:v>
                </c:pt>
                <c:pt idx="1209">
                  <c:v>3.1424689482107832E-2</c:v>
                </c:pt>
                <c:pt idx="1210">
                  <c:v>3.1425195672396655E-2</c:v>
                </c:pt>
                <c:pt idx="1211">
                  <c:v>3.142976404177391E-2</c:v>
                </c:pt>
                <c:pt idx="1212">
                  <c:v>3.1430154058858212E-2</c:v>
                </c:pt>
                <c:pt idx="1213">
                  <c:v>3.1430491551771904E-2</c:v>
                </c:pt>
                <c:pt idx="1214">
                  <c:v>3.1430776520502642E-2</c:v>
                </c:pt>
                <c:pt idx="1215">
                  <c:v>3.1431008965038976E-2</c:v>
                </c:pt>
                <c:pt idx="1216">
                  <c:v>3.1429836233238626E-2</c:v>
                </c:pt>
                <c:pt idx="1217">
                  <c:v>3.1429967369840175E-2</c:v>
                </c:pt>
                <c:pt idx="1218">
                  <c:v>3.143004598673288E-2</c:v>
                </c:pt>
                <c:pt idx="1219">
                  <c:v>3.1430072083909605E-2</c:v>
                </c:pt>
                <c:pt idx="1220">
                  <c:v>3.1431383324550033E-2</c:v>
                </c:pt>
                <c:pt idx="1221">
                  <c:v>3.1431300623797509E-2</c:v>
                </c:pt>
                <c:pt idx="1222">
                  <c:v>3.1431165398831201E-2</c:v>
                </c:pt>
                <c:pt idx="1223">
                  <c:v>3.1430977649653753E-2</c:v>
                </c:pt>
                <c:pt idx="1224">
                  <c:v>3.1430737376273089E-2</c:v>
                </c:pt>
                <c:pt idx="1225">
                  <c:v>3.1430444578700673E-2</c:v>
                </c:pt>
                <c:pt idx="1226">
                  <c:v>3.1430099256946183E-2</c:v>
                </c:pt>
                <c:pt idx="1227">
                  <c:v>3.1429701411023719E-2</c:v>
                </c:pt>
                <c:pt idx="1228">
                  <c:v>3.1429251040948257E-2</c:v>
                </c:pt>
                <c:pt idx="1229">
                  <c:v>3.1428748146739183E-2</c:v>
                </c:pt>
                <c:pt idx="1230">
                  <c:v>3.142819272841587E-2</c:v>
                </c:pt>
                <c:pt idx="1231">
                  <c:v>3.1427584785997699E-2</c:v>
                </c:pt>
                <c:pt idx="1232">
                  <c:v>3.1426924319512863E-2</c:v>
                </c:pt>
                <c:pt idx="1233">
                  <c:v>3.1426211328983385E-2</c:v>
                </c:pt>
                <c:pt idx="1234">
                  <c:v>3.1425445814440976E-2</c:v>
                </c:pt>
                <c:pt idx="1235">
                  <c:v>3.1424627775912067E-2</c:v>
                </c:pt>
                <c:pt idx="1236">
                  <c:v>3.1423757213432775E-2</c:v>
                </c:pt>
                <c:pt idx="1237">
                  <c:v>3.1422834127033936E-2</c:v>
                </c:pt>
                <c:pt idx="1238">
                  <c:v>3.1420589195560754E-2</c:v>
                </c:pt>
                <c:pt idx="1239">
                  <c:v>3.1419564900971378E-2</c:v>
                </c:pt>
                <c:pt idx="1240">
                  <c:v>3.1418488087075702E-2</c:v>
                </c:pt>
                <c:pt idx="1241">
                  <c:v>3.1418616543018307E-2</c:v>
                </c:pt>
                <c:pt idx="1242">
                  <c:v>3.1417430837616347E-2</c:v>
                </c:pt>
                <c:pt idx="1243">
                  <c:v>3.1416192608545036E-2</c:v>
                </c:pt>
                <c:pt idx="1244">
                  <c:v>3.1414901855855444E-2</c:v>
                </c:pt>
                <c:pt idx="1245">
                  <c:v>3.1413558579595165E-2</c:v>
                </c:pt>
                <c:pt idx="1246">
                  <c:v>3.1412162779820563E-2</c:v>
                </c:pt>
                <c:pt idx="1247">
                  <c:v>3.1410714456582736E-2</c:v>
                </c:pt>
                <c:pt idx="1248">
                  <c:v>3.1409213609941589E-2</c:v>
                </c:pt>
                <c:pt idx="1249">
                  <c:v>3.1407660239955268E-2</c:v>
                </c:pt>
                <c:pt idx="1250">
                  <c:v>3.1406054346685426E-2</c:v>
                </c:pt>
                <c:pt idx="1251">
                  <c:v>3.140195751468771E-2</c:v>
                </c:pt>
                <c:pt idx="1252">
                  <c:v>3.140025437028001E-2</c:v>
                </c:pt>
                <c:pt idx="1253">
                  <c:v>3.1398498711759967E-2</c:v>
                </c:pt>
                <c:pt idx="1254">
                  <c:v>3.1396427941970978E-2</c:v>
                </c:pt>
                <c:pt idx="1255">
                  <c:v>3.1394559753439313E-2</c:v>
                </c:pt>
                <c:pt idx="1256">
                  <c:v>3.1392639051015934E-2</c:v>
                </c:pt>
                <c:pt idx="1257">
                  <c:v>3.1390665834771979E-2</c:v>
                </c:pt>
                <c:pt idx="1258">
                  <c:v>3.1388640104785794E-2</c:v>
                </c:pt>
                <c:pt idx="1259">
                  <c:v>3.1385374060361376E-2</c:v>
                </c:pt>
                <c:pt idx="1260">
                  <c:v>3.1383247236274212E-2</c:v>
                </c:pt>
                <c:pt idx="1261">
                  <c:v>3.1381067903164077E-2</c:v>
                </c:pt>
                <c:pt idx="1262">
                  <c:v>3.1378836061112948E-2</c:v>
                </c:pt>
                <c:pt idx="1263">
                  <c:v>3.137889548274362E-2</c:v>
                </c:pt>
                <c:pt idx="1264">
                  <c:v>3.1380052193532404E-2</c:v>
                </c:pt>
                <c:pt idx="1265">
                  <c:v>3.1377643040939346E-2</c:v>
                </c:pt>
                <c:pt idx="1266">
                  <c:v>3.1375181357388926E-2</c:v>
                </c:pt>
                <c:pt idx="1267">
                  <c:v>3.1372667142979441E-2</c:v>
                </c:pt>
                <c:pt idx="1268">
                  <c:v>3.1366646495153416E-2</c:v>
                </c:pt>
                <c:pt idx="1269">
                  <c:v>3.1362525652304338E-2</c:v>
                </c:pt>
                <c:pt idx="1270">
                  <c:v>3.1359835775775523E-2</c:v>
                </c:pt>
                <c:pt idx="1271">
                  <c:v>3.1357093382271162E-2</c:v>
                </c:pt>
                <c:pt idx="1272">
                  <c:v>3.1355431879661104E-2</c:v>
                </c:pt>
                <c:pt idx="1273">
                  <c:v>3.1352580457368676E-2</c:v>
                </c:pt>
                <c:pt idx="1274">
                  <c:v>3.1349676513962491E-2</c:v>
                </c:pt>
                <c:pt idx="1275">
                  <c:v>3.1346720049557943E-2</c:v>
                </c:pt>
                <c:pt idx="1276">
                  <c:v>3.1343711064270439E-2</c:v>
                </c:pt>
                <c:pt idx="1277">
                  <c:v>3.1340649558220669E-2</c:v>
                </c:pt>
                <c:pt idx="1278">
                  <c:v>3.1337535531524907E-2</c:v>
                </c:pt>
                <c:pt idx="1279">
                  <c:v>3.1334368984310905E-2</c:v>
                </c:pt>
                <c:pt idx="1280">
                  <c:v>3.1331149916699337E-2</c:v>
                </c:pt>
                <c:pt idx="1281">
                  <c:v>3.1327878328819711E-2</c:v>
                </c:pt>
                <c:pt idx="1282">
                  <c:v>3.1324554220800639E-2</c:v>
                </c:pt>
                <c:pt idx="1283">
                  <c:v>3.1321177592771622E-2</c:v>
                </c:pt>
                <c:pt idx="1284">
                  <c:v>3.1317748444867441E-2</c:v>
                </c:pt>
                <c:pt idx="1285">
                  <c:v>3.1314266777221995E-2</c:v>
                </c:pt>
                <c:pt idx="1286">
                  <c:v>3.1310732589973592E-2</c:v>
                </c:pt>
                <c:pt idx="1287">
                  <c:v>3.1307145883258787E-2</c:v>
                </c:pt>
                <c:pt idx="1288">
                  <c:v>3.1303506657222924E-2</c:v>
                </c:pt>
                <c:pt idx="1289">
                  <c:v>3.1298750027824861E-2</c:v>
                </c:pt>
                <c:pt idx="1290">
                  <c:v>3.1295009834392651E-2</c:v>
                </c:pt>
                <c:pt idx="1291">
                  <c:v>3.1291217126509806E-2</c:v>
                </c:pt>
                <c:pt idx="1292">
                  <c:v>3.1287371904325054E-2</c:v>
                </c:pt>
                <c:pt idx="1293">
                  <c:v>3.1284522742285277E-2</c:v>
                </c:pt>
                <c:pt idx="1294">
                  <c:v>3.1280568403394042E-2</c:v>
                </c:pt>
                <c:pt idx="1295">
                  <c:v>3.1276561546226544E-2</c:v>
                </c:pt>
                <c:pt idx="1296">
                  <c:v>3.1272502170941352E-2</c:v>
                </c:pt>
                <c:pt idx="1297">
                  <c:v>3.1268390277698802E-2</c:v>
                </c:pt>
                <c:pt idx="1298">
                  <c:v>3.1264225866660098E-2</c:v>
                </c:pt>
                <c:pt idx="1299">
                  <c:v>3.1260008937989095E-2</c:v>
                </c:pt>
                <c:pt idx="1300">
                  <c:v>3.1255739491853181E-2</c:v>
                </c:pt>
                <c:pt idx="1301">
                  <c:v>3.1251417528418847E-2</c:v>
                </c:pt>
                <c:pt idx="1302">
                  <c:v>3.1246031429797261E-2</c:v>
                </c:pt>
                <c:pt idx="1303">
                  <c:v>3.1241608560621831E-2</c:v>
                </c:pt>
                <c:pt idx="1304">
                  <c:v>3.1237133179078024E-2</c:v>
                </c:pt>
                <c:pt idx="1305">
                  <c:v>3.1232605285338628E-2</c:v>
                </c:pt>
                <c:pt idx="1306">
                  <c:v>3.1228024879581758E-2</c:v>
                </c:pt>
                <c:pt idx="1307">
                  <c:v>3.1223391961982875E-2</c:v>
                </c:pt>
                <c:pt idx="1308">
                  <c:v>3.1218706532726327E-2</c:v>
                </c:pt>
                <c:pt idx="1309">
                  <c:v>3.1213968591992922E-2</c:v>
                </c:pt>
                <c:pt idx="1310">
                  <c:v>3.1209178139967004E-2</c:v>
                </c:pt>
                <c:pt idx="1311">
                  <c:v>3.1204335176836503E-2</c:v>
                </c:pt>
                <c:pt idx="1312">
                  <c:v>3.1198469223448464E-2</c:v>
                </c:pt>
                <c:pt idx="1313">
                  <c:v>3.1193525410366848E-2</c:v>
                </c:pt>
                <c:pt idx="1314">
                  <c:v>3.1188529091139734E-2</c:v>
                </c:pt>
                <c:pt idx="1315">
                  <c:v>3.1185395823244238E-2</c:v>
                </c:pt>
                <c:pt idx="1316">
                  <c:v>3.1180286121942995E-2</c:v>
                </c:pt>
                <c:pt idx="1317">
                  <c:v>3.1175123906318259E-2</c:v>
                </c:pt>
                <c:pt idx="1318">
                  <c:v>3.1169909176571763E-2</c:v>
                </c:pt>
                <c:pt idx="1319">
                  <c:v>3.1164641932908771E-2</c:v>
                </c:pt>
                <c:pt idx="1320">
                  <c:v>3.1158385540736487E-2</c:v>
                </c:pt>
                <c:pt idx="1321">
                  <c:v>3.1153017477271599E-2</c:v>
                </c:pt>
                <c:pt idx="1322">
                  <c:v>3.1147596904889486E-2</c:v>
                </c:pt>
                <c:pt idx="1323">
                  <c:v>3.1142123823803002E-2</c:v>
                </c:pt>
                <c:pt idx="1324">
                  <c:v>3.1137518013204763E-2</c:v>
                </c:pt>
                <c:pt idx="1325">
                  <c:v>3.1131935690480929E-2</c:v>
                </c:pt>
                <c:pt idx="1326">
                  <c:v>3.1126300855339073E-2</c:v>
                </c:pt>
                <c:pt idx="1327">
                  <c:v>3.1120613507998544E-2</c:v>
                </c:pt>
                <c:pt idx="1328">
                  <c:v>3.1114873648684864E-2</c:v>
                </c:pt>
                <c:pt idx="1329">
                  <c:v>3.1109081277624434E-2</c:v>
                </c:pt>
                <c:pt idx="1330">
                  <c:v>3.1103236395046297E-2</c:v>
                </c:pt>
                <c:pt idx="1331">
                  <c:v>3.1097339001179496E-2</c:v>
                </c:pt>
                <c:pt idx="1332">
                  <c:v>3.1091389096255719E-2</c:v>
                </c:pt>
                <c:pt idx="1333">
                  <c:v>3.1085386680511057E-2</c:v>
                </c:pt>
                <c:pt idx="1334">
                  <c:v>3.1079331754181604E-2</c:v>
                </c:pt>
                <c:pt idx="1335">
                  <c:v>3.107322431750521E-2</c:v>
                </c:pt>
                <c:pt idx="1336">
                  <c:v>3.1067064370723253E-2</c:v>
                </c:pt>
                <c:pt idx="1337">
                  <c:v>3.1060851914077106E-2</c:v>
                </c:pt>
                <c:pt idx="1338">
                  <c:v>3.10545869478152E-2</c:v>
                </c:pt>
                <c:pt idx="1339">
                  <c:v>3.104826947217891E-2</c:v>
                </c:pt>
                <c:pt idx="1340">
                  <c:v>3.1041899487421944E-2</c:v>
                </c:pt>
                <c:pt idx="1341">
                  <c:v>3.1034629628733146E-2</c:v>
                </c:pt>
                <c:pt idx="1342">
                  <c:v>3.1028158925109534E-2</c:v>
                </c:pt>
                <c:pt idx="1343">
                  <c:v>3.1021635717435034E-2</c:v>
                </c:pt>
                <c:pt idx="1344">
                  <c:v>3.101506000596347E-2</c:v>
                </c:pt>
                <c:pt idx="1345">
                  <c:v>3.1009261935653992E-2</c:v>
                </c:pt>
                <c:pt idx="1346">
                  <c:v>3.1002576901503532E-2</c:v>
                </c:pt>
                <c:pt idx="1347">
                  <c:v>3.0995839360032154E-2</c:v>
                </c:pt>
                <c:pt idx="1348">
                  <c:v>3.098904931150414E-2</c:v>
                </c:pt>
                <c:pt idx="1349">
                  <c:v>3.0982206756187292E-2</c:v>
                </c:pt>
                <c:pt idx="1350">
                  <c:v>3.0975311694349417E-2</c:v>
                </c:pt>
                <c:pt idx="1351">
                  <c:v>3.0968364126264487E-2</c:v>
                </c:pt>
                <c:pt idx="1352">
                  <c:v>3.0961364052205592E-2</c:v>
                </c:pt>
                <c:pt idx="1353">
                  <c:v>3.0954311472449345E-2</c:v>
                </c:pt>
                <c:pt idx="1354">
                  <c:v>3.0945623721671176E-2</c:v>
                </c:pt>
                <c:pt idx="1355">
                  <c:v>3.0938474839603044E-2</c:v>
                </c:pt>
                <c:pt idx="1356">
                  <c:v>3.0931273461222129E-2</c:v>
                </c:pt>
                <c:pt idx="1357">
                  <c:v>3.09240195868076E-2</c:v>
                </c:pt>
                <c:pt idx="1358">
                  <c:v>3.091566516411812E-2</c:v>
                </c:pt>
                <c:pt idx="1359">
                  <c:v>3.09082987991426E-2</c:v>
                </c:pt>
                <c:pt idx="1360">
                  <c:v>3.0900879939018664E-2</c:v>
                </c:pt>
                <c:pt idx="1361">
                  <c:v>3.0893408584029978E-2</c:v>
                </c:pt>
                <c:pt idx="1362">
                  <c:v>3.0885884734466507E-2</c:v>
                </c:pt>
                <c:pt idx="1363">
                  <c:v>3.0878308390617313E-2</c:v>
                </c:pt>
                <c:pt idx="1364">
                  <c:v>3.0869932014764977E-2</c:v>
                </c:pt>
                <c:pt idx="1365">
                  <c:v>3.086225507954049E-2</c:v>
                </c:pt>
                <c:pt idx="1366">
                  <c:v>3.0854525655153023E-2</c:v>
                </c:pt>
                <c:pt idx="1367">
                  <c:v>3.0848945612587143E-2</c:v>
                </c:pt>
                <c:pt idx="1368">
                  <c:v>3.0841097981699105E-2</c:v>
                </c:pt>
                <c:pt idx="1369">
                  <c:v>3.083319784984876E-2</c:v>
                </c:pt>
                <c:pt idx="1370">
                  <c:v>3.0825245217351482E-2</c:v>
                </c:pt>
                <c:pt idx="1371">
                  <c:v>3.0817240084517361E-2</c:v>
                </c:pt>
                <c:pt idx="1372">
                  <c:v>3.0808470968226268E-2</c:v>
                </c:pt>
                <c:pt idx="1373">
                  <c:v>3.0800365267124027E-2</c:v>
                </c:pt>
                <c:pt idx="1374">
                  <c:v>3.0792207070850366E-2</c:v>
                </c:pt>
                <c:pt idx="1375">
                  <c:v>3.0783996379720565E-2</c:v>
                </c:pt>
                <c:pt idx="1376">
                  <c:v>3.0776426926439723E-2</c:v>
                </c:pt>
                <c:pt idx="1377">
                  <c:v>3.0768106798291998E-2</c:v>
                </c:pt>
                <c:pt idx="1378">
                  <c:v>3.0759734172061751E-2</c:v>
                </c:pt>
                <c:pt idx="1379">
                  <c:v>3.0751309048077571E-2</c:v>
                </c:pt>
                <c:pt idx="1380">
                  <c:v>3.0742831426668928E-2</c:v>
                </c:pt>
                <c:pt idx="1381">
                  <c:v>3.0734301308175862E-2</c:v>
                </c:pt>
                <c:pt idx="1382">
                  <c:v>3.0725718692928727E-2</c:v>
                </c:pt>
                <c:pt idx="1383">
                  <c:v>3.0717083581268446E-2</c:v>
                </c:pt>
                <c:pt idx="1384">
                  <c:v>3.0708395973535061E-2</c:v>
                </c:pt>
                <c:pt idx="1385">
                  <c:v>3.0699655870070376E-2</c:v>
                </c:pt>
                <c:pt idx="1386">
                  <c:v>3.0690863271217953E-2</c:v>
                </c:pt>
                <c:pt idx="1387">
                  <c:v>3.0682018177326652E-2</c:v>
                </c:pt>
                <c:pt idx="1388">
                  <c:v>3.0673120588742671E-2</c:v>
                </c:pt>
                <c:pt idx="1389">
                  <c:v>3.066417050581751E-2</c:v>
                </c:pt>
                <c:pt idx="1390">
                  <c:v>3.0655167928904426E-2</c:v>
                </c:pt>
                <c:pt idx="1391">
                  <c:v>3.0646112858356674E-2</c:v>
                </c:pt>
                <c:pt idx="1392">
                  <c:v>3.0637005294531915E-2</c:v>
                </c:pt>
                <c:pt idx="1393">
                  <c:v>3.0627227693990285E-2</c:v>
                </c:pt>
                <c:pt idx="1394">
                  <c:v>3.0618019663757334E-2</c:v>
                </c:pt>
                <c:pt idx="1395">
                  <c:v>3.0608759145457427E-2</c:v>
                </c:pt>
                <c:pt idx="1396">
                  <c:v>3.0599446139453042E-2</c:v>
                </c:pt>
                <c:pt idx="1397">
                  <c:v>3.0590080646106663E-2</c:v>
                </c:pt>
                <c:pt idx="1398">
                  <c:v>3.0581257573000446E-2</c:v>
                </c:pt>
                <c:pt idx="1399">
                  <c:v>3.0571782566399131E-2</c:v>
                </c:pt>
                <c:pt idx="1400">
                  <c:v>3.0562255069448162E-2</c:v>
                </c:pt>
                <c:pt idx="1401">
                  <c:v>3.0552675082523705E-2</c:v>
                </c:pt>
                <c:pt idx="1402">
                  <c:v>3.0543042606003677E-2</c:v>
                </c:pt>
                <c:pt idx="1403">
                  <c:v>3.0533357640268644E-2</c:v>
                </c:pt>
                <c:pt idx="1404">
                  <c:v>3.0523620185697414E-2</c:v>
                </c:pt>
                <c:pt idx="1405">
                  <c:v>3.0513830242674952E-2</c:v>
                </c:pt>
                <c:pt idx="1406">
                  <c:v>3.050287045624641E-2</c:v>
                </c:pt>
                <c:pt idx="1407">
                  <c:v>3.0492984681644891E-2</c:v>
                </c:pt>
                <c:pt idx="1408">
                  <c:v>3.0483046427900701E-2</c:v>
                </c:pt>
                <c:pt idx="1409">
                  <c:v>3.0473055695398352E-2</c:v>
                </c:pt>
                <c:pt idx="1410">
                  <c:v>3.0463012484521473E-2</c:v>
                </c:pt>
                <c:pt idx="1411">
                  <c:v>3.0452916795658178E-2</c:v>
                </c:pt>
                <c:pt idx="1412">
                  <c:v>3.0442768629198397E-2</c:v>
                </c:pt>
                <c:pt idx="1413">
                  <c:v>3.0432567985532042E-2</c:v>
                </c:pt>
                <c:pt idx="1414">
                  <c:v>3.0422314865050846E-2</c:v>
                </c:pt>
                <c:pt idx="1415">
                  <c:v>3.0412009268153736E-2</c:v>
                </c:pt>
                <c:pt idx="1416">
                  <c:v>3.0401137803763471E-2</c:v>
                </c:pt>
                <c:pt idx="1417">
                  <c:v>3.0390731866859179E-2</c:v>
                </c:pt>
                <c:pt idx="1418">
                  <c:v>3.0380273458762326E-2</c:v>
                </c:pt>
                <c:pt idx="1419">
                  <c:v>3.0371259972765609E-2</c:v>
                </c:pt>
                <c:pt idx="1420">
                  <c:v>3.0360682750419362E-2</c:v>
                </c:pt>
                <c:pt idx="1421">
                  <c:v>3.0350053046043043E-2</c:v>
                </c:pt>
                <c:pt idx="1422">
                  <c:v>3.0339370860053328E-2</c:v>
                </c:pt>
                <c:pt idx="1423">
                  <c:v>3.0328636192871315E-2</c:v>
                </c:pt>
                <c:pt idx="1424">
                  <c:v>3.0317373492600323E-2</c:v>
                </c:pt>
                <c:pt idx="1425">
                  <c:v>3.0306538509326159E-2</c:v>
                </c:pt>
                <c:pt idx="1426">
                  <c:v>3.0295651050125057E-2</c:v>
                </c:pt>
                <c:pt idx="1427">
                  <c:v>3.0284711115420061E-2</c:v>
                </c:pt>
                <c:pt idx="1428">
                  <c:v>3.0274175653959262E-2</c:v>
                </c:pt>
                <c:pt idx="1429">
                  <c:v>3.0263126108578165E-2</c:v>
                </c:pt>
                <c:pt idx="1430">
                  <c:v>3.0252024085009644E-2</c:v>
                </c:pt>
                <c:pt idx="1431">
                  <c:v>3.0240869583690645E-2</c:v>
                </c:pt>
                <c:pt idx="1432">
                  <c:v>3.0229662605061637E-2</c:v>
                </c:pt>
                <c:pt idx="1433">
                  <c:v>3.0218403149561326E-2</c:v>
                </c:pt>
                <c:pt idx="1434">
                  <c:v>3.0207091217635464E-2</c:v>
                </c:pt>
                <c:pt idx="1435">
                  <c:v>3.0195726809728932E-2</c:v>
                </c:pt>
                <c:pt idx="1436">
                  <c:v>3.0184309926288358E-2</c:v>
                </c:pt>
                <c:pt idx="1437">
                  <c:v>3.0172840567766548E-2</c:v>
                </c:pt>
                <c:pt idx="1438">
                  <c:v>3.0161318834747222E-2</c:v>
                </c:pt>
                <c:pt idx="1439">
                  <c:v>3.014974813597969E-2</c:v>
                </c:pt>
                <c:pt idx="1440">
                  <c:v>3.0138135867013714E-2</c:v>
                </c:pt>
                <c:pt idx="1441">
                  <c:v>3.0126489660669973E-2</c:v>
                </c:pt>
                <c:pt idx="1442">
                  <c:v>3.0114817149681058E-2</c:v>
                </c:pt>
                <c:pt idx="1443">
                  <c:v>3.0103125966690573E-2</c:v>
                </c:pt>
                <c:pt idx="1444">
                  <c:v>3.0091423744254043E-2</c:v>
                </c:pt>
                <c:pt idx="1445">
                  <c:v>3.0079718114838009E-2</c:v>
                </c:pt>
                <c:pt idx="1446">
                  <c:v>3.0067614078202458E-2</c:v>
                </c:pt>
                <c:pt idx="1447">
                  <c:v>3.0055922822469959E-2</c:v>
                </c:pt>
                <c:pt idx="1448">
                  <c:v>3.0044250743171876E-2</c:v>
                </c:pt>
                <c:pt idx="1449">
                  <c:v>3.0032605555662995E-2</c:v>
                </c:pt>
                <c:pt idx="1450">
                  <c:v>3.0021405993125496E-2</c:v>
                </c:pt>
                <c:pt idx="1451">
                  <c:v>3.0009840168954353E-2</c:v>
                </c:pt>
                <c:pt idx="1452">
                  <c:v>2.9998321718372828E-2</c:v>
                </c:pt>
                <c:pt idx="1453">
                  <c:v>2.9986851104540149E-2</c:v>
                </c:pt>
                <c:pt idx="1454">
                  <c:v>2.9975428327043162E-2</c:v>
                </c:pt>
                <c:pt idx="1455">
                  <c:v>2.9964053385474872E-2</c:v>
                </c:pt>
                <c:pt idx="1456">
                  <c:v>2.9952726279422998E-2</c:v>
                </c:pt>
                <c:pt idx="1457">
                  <c:v>2.9941447008484955E-2</c:v>
                </c:pt>
                <c:pt idx="1458">
                  <c:v>2.9929784687816863E-2</c:v>
                </c:pt>
                <c:pt idx="1459">
                  <c:v>2.9918165458418241E-2</c:v>
                </c:pt>
                <c:pt idx="1460">
                  <c:v>2.9907024676518651E-2</c:v>
                </c:pt>
                <c:pt idx="1461">
                  <c:v>2.9895931719697968E-2</c:v>
                </c:pt>
                <c:pt idx="1462">
                  <c:v>2.9884886587567175E-2</c:v>
                </c:pt>
                <c:pt idx="1463">
                  <c:v>2.9873889279737248E-2</c:v>
                </c:pt>
                <c:pt idx="1464">
                  <c:v>2.9862939795825466E-2</c:v>
                </c:pt>
                <c:pt idx="1465">
                  <c:v>2.9852038135443709E-2</c:v>
                </c:pt>
                <c:pt idx="1466">
                  <c:v>2.9841184298210158E-2</c:v>
                </c:pt>
                <c:pt idx="1467">
                  <c:v>2.9829925255247171E-2</c:v>
                </c:pt>
                <c:pt idx="1468">
                  <c:v>2.981962009166671E-2</c:v>
                </c:pt>
                <c:pt idx="1469">
                  <c:v>2.9808451609467546E-2</c:v>
                </c:pt>
                <c:pt idx="1470">
                  <c:v>2.9797786512951941E-2</c:v>
                </c:pt>
                <c:pt idx="1471">
                  <c:v>2.9788559678602545E-2</c:v>
                </c:pt>
                <c:pt idx="1472">
                  <c:v>2.9777997886739623E-2</c:v>
                </c:pt>
                <c:pt idx="1473">
                  <c:v>2.9767483923719137E-2</c:v>
                </c:pt>
                <c:pt idx="1474">
                  <c:v>2.9757017789164043E-2</c:v>
                </c:pt>
                <c:pt idx="1475">
                  <c:v>2.974659948269906E-2</c:v>
                </c:pt>
                <c:pt idx="1476">
                  <c:v>2.9735752424055149E-2</c:v>
                </c:pt>
                <c:pt idx="1477">
                  <c:v>2.9725427194401823E-2</c:v>
                </c:pt>
                <c:pt idx="1478">
                  <c:v>2.9715149787578676E-2</c:v>
                </c:pt>
                <c:pt idx="1479">
                  <c:v>2.9704920203221442E-2</c:v>
                </c:pt>
                <c:pt idx="1480">
                  <c:v>2.9695225358689695E-2</c:v>
                </c:pt>
                <c:pt idx="1481">
                  <c:v>2.9685094012969961E-2</c:v>
                </c:pt>
                <c:pt idx="1482">
                  <c:v>2.9675010492760074E-2</c:v>
                </c:pt>
                <c:pt idx="1483">
                  <c:v>2.9664974797696201E-2</c:v>
                </c:pt>
                <c:pt idx="1484">
                  <c:v>2.9654986927419805E-2</c:v>
                </c:pt>
                <c:pt idx="1485">
                  <c:v>2.9645046881571463E-2</c:v>
                </c:pt>
                <c:pt idx="1486">
                  <c:v>2.9635154659795274E-2</c:v>
                </c:pt>
                <c:pt idx="1487">
                  <c:v>2.9625310261734462E-2</c:v>
                </c:pt>
                <c:pt idx="1488">
                  <c:v>2.961551368703929E-2</c:v>
                </c:pt>
                <c:pt idx="1489">
                  <c:v>2.9605764935354741E-2</c:v>
                </c:pt>
                <c:pt idx="1490">
                  <c:v>2.9596064006332846E-2</c:v>
                </c:pt>
                <c:pt idx="1491">
                  <c:v>2.9586410899624754E-2</c:v>
                </c:pt>
                <c:pt idx="1492">
                  <c:v>2.9576805614883375E-2</c:v>
                </c:pt>
                <c:pt idx="1493">
                  <c:v>2.9567248151766902E-2</c:v>
                </c:pt>
                <c:pt idx="1494">
                  <c:v>2.9557738509930015E-2</c:v>
                </c:pt>
                <c:pt idx="1495">
                  <c:v>2.9548276689032663E-2</c:v>
                </c:pt>
                <c:pt idx="1496">
                  <c:v>2.9538862688733049E-2</c:v>
                </c:pt>
                <c:pt idx="1497">
                  <c:v>2.952949650869641E-2</c:v>
                </c:pt>
                <c:pt idx="1498">
                  <c:v>2.9519643896168388E-2</c:v>
                </c:pt>
                <c:pt idx="1499">
                  <c:v>2.951037068713596E-2</c:v>
                </c:pt>
                <c:pt idx="1500">
                  <c:v>2.9501145293300217E-2</c:v>
                </c:pt>
                <c:pt idx="1501">
                  <c:v>2.949250998446867E-2</c:v>
                </c:pt>
                <c:pt idx="1502">
                  <c:v>2.948338290073263E-2</c:v>
                </c:pt>
                <c:pt idx="1503">
                  <c:v>2.9474303635267769E-2</c:v>
                </c:pt>
                <c:pt idx="1504">
                  <c:v>2.9465272187748141E-2</c:v>
                </c:pt>
                <c:pt idx="1505">
                  <c:v>2.9456288557848674E-2</c:v>
                </c:pt>
                <c:pt idx="1506">
                  <c:v>2.9447352745248713E-2</c:v>
                </c:pt>
                <c:pt idx="1507">
                  <c:v>2.9438464749627597E-2</c:v>
                </c:pt>
                <c:pt idx="1508">
                  <c:v>2.9429624570663778E-2</c:v>
                </c:pt>
                <c:pt idx="1509">
                  <c:v>2.9420832208043649E-2</c:v>
                </c:pt>
                <c:pt idx="1510">
                  <c:v>2.9412087661448306E-2</c:v>
                </c:pt>
                <c:pt idx="1511">
                  <c:v>2.9402821671724977E-2</c:v>
                </c:pt>
                <c:pt idx="1512">
                  <c:v>2.939417003520706E-2</c:v>
                </c:pt>
                <c:pt idx="1513">
                  <c:v>2.9385566209763157E-2</c:v>
                </c:pt>
                <c:pt idx="1514">
                  <c:v>2.9375791810178482E-2</c:v>
                </c:pt>
                <c:pt idx="1515">
                  <c:v>2.9367290436008768E-2</c:v>
                </c:pt>
                <c:pt idx="1516">
                  <c:v>2.9358836871958324E-2</c:v>
                </c:pt>
                <c:pt idx="1517">
                  <c:v>2.9350431117727015E-2</c:v>
                </c:pt>
                <c:pt idx="1518">
                  <c:v>2.9342073173018259E-2</c:v>
                </c:pt>
                <c:pt idx="1519">
                  <c:v>2.9333171799455656E-2</c:v>
                </c:pt>
                <c:pt idx="1520">
                  <c:v>2.9324906719765547E-2</c:v>
                </c:pt>
                <c:pt idx="1521">
                  <c:v>2.9316689444721683E-2</c:v>
                </c:pt>
                <c:pt idx="1522">
                  <c:v>2.9308519974034091E-2</c:v>
                </c:pt>
                <c:pt idx="1523">
                  <c:v>2.9300398307418214E-2</c:v>
                </c:pt>
                <c:pt idx="1524">
                  <c:v>2.929353482883364E-2</c:v>
                </c:pt>
                <c:pt idx="1525">
                  <c:v>2.928551431613664E-2</c:v>
                </c:pt>
                <c:pt idx="1526">
                  <c:v>2.9277541614612219E-2</c:v>
                </c:pt>
                <c:pt idx="1527">
                  <c:v>2.9269616723971433E-2</c:v>
                </c:pt>
                <c:pt idx="1528">
                  <c:v>2.926112318516556E-2</c:v>
                </c:pt>
                <c:pt idx="1529">
                  <c:v>2.9253291125985369E-2</c:v>
                </c:pt>
                <c:pt idx="1530">
                  <c:v>2.9245506872878371E-2</c:v>
                </c:pt>
                <c:pt idx="1531">
                  <c:v>2.9237770425568473E-2</c:v>
                </c:pt>
                <c:pt idx="1532">
                  <c:v>2.9230709424158154E-2</c:v>
                </c:pt>
                <c:pt idx="1533">
                  <c:v>2.9223071392917768E-2</c:v>
                </c:pt>
                <c:pt idx="1534">
                  <c:v>2.921548117060974E-2</c:v>
                </c:pt>
                <c:pt idx="1535">
                  <c:v>2.9207938756958332E-2</c:v>
                </c:pt>
                <c:pt idx="1536">
                  <c:v>2.9200444151694864E-2</c:v>
                </c:pt>
                <c:pt idx="1537">
                  <c:v>2.9192997354550644E-2</c:v>
                </c:pt>
                <c:pt idx="1538">
                  <c:v>2.9185598365259635E-2</c:v>
                </c:pt>
                <c:pt idx="1539">
                  <c:v>2.9178247183552265E-2</c:v>
                </c:pt>
                <c:pt idx="1540">
                  <c:v>2.9170943809169542E-2</c:v>
                </c:pt>
                <c:pt idx="1541">
                  <c:v>2.9163688241845419E-2</c:v>
                </c:pt>
                <c:pt idx="1542">
                  <c:v>2.9156480481322661E-2</c:v>
                </c:pt>
                <c:pt idx="1543">
                  <c:v>2.9149320527341399E-2</c:v>
                </c:pt>
                <c:pt idx="1544">
                  <c:v>2.914220837964351E-2</c:v>
                </c:pt>
                <c:pt idx="1545">
                  <c:v>2.913514403797705E-2</c:v>
                </c:pt>
                <c:pt idx="1546">
                  <c:v>2.9128127502085668E-2</c:v>
                </c:pt>
                <c:pt idx="1547">
                  <c:v>2.9121158771719172E-2</c:v>
                </c:pt>
                <c:pt idx="1548">
                  <c:v>2.9114237846626499E-2</c:v>
                </c:pt>
                <c:pt idx="1549">
                  <c:v>2.9107364726559223E-2</c:v>
                </c:pt>
                <c:pt idx="1550">
                  <c:v>2.9099860673166035E-2</c:v>
                </c:pt>
                <c:pt idx="1551">
                  <c:v>2.9093080286401639E-2</c:v>
                </c:pt>
                <c:pt idx="1552">
                  <c:v>2.9086347700024728E-2</c:v>
                </c:pt>
                <c:pt idx="1553">
                  <c:v>2.9082414297795938E-2</c:v>
                </c:pt>
                <c:pt idx="1554">
                  <c:v>2.9073716193041083E-2</c:v>
                </c:pt>
                <c:pt idx="1555">
                  <c:v>2.9067129898009702E-2</c:v>
                </c:pt>
                <c:pt idx="1556">
                  <c:v>2.9060591406315842E-2</c:v>
                </c:pt>
                <c:pt idx="1557">
                  <c:v>2.905410071772253E-2</c:v>
                </c:pt>
                <c:pt idx="1558">
                  <c:v>2.9047657831997198E-2</c:v>
                </c:pt>
                <c:pt idx="1559">
                  <c:v>2.9041262748908159E-2</c:v>
                </c:pt>
                <c:pt idx="1560">
                  <c:v>2.9034915468227254E-2</c:v>
                </c:pt>
                <c:pt idx="1561">
                  <c:v>2.9028615989727197E-2</c:v>
                </c:pt>
                <c:pt idx="1562">
                  <c:v>2.9022364313179824E-2</c:v>
                </c:pt>
                <c:pt idx="1563">
                  <c:v>2.9014727895493506E-2</c:v>
                </c:pt>
                <c:pt idx="1564">
                  <c:v>2.9008565969571787E-2</c:v>
                </c:pt>
                <c:pt idx="1565">
                  <c:v>2.9002451837192966E-2</c:v>
                </c:pt>
                <c:pt idx="1566">
                  <c:v>2.8993667057640823E-2</c:v>
                </c:pt>
                <c:pt idx="1567">
                  <c:v>2.8988408601995686E-2</c:v>
                </c:pt>
                <c:pt idx="1568">
                  <c:v>2.8981738262656782E-2</c:v>
                </c:pt>
                <c:pt idx="1569">
                  <c:v>2.8975845559925346E-2</c:v>
                </c:pt>
                <c:pt idx="1570">
                  <c:v>2.8970000653421316E-2</c:v>
                </c:pt>
                <c:pt idx="1571">
                  <c:v>2.8964945183251985E-2</c:v>
                </c:pt>
                <c:pt idx="1572">
                  <c:v>2.8958454228266296E-2</c:v>
                </c:pt>
                <c:pt idx="1573">
                  <c:v>2.8952752709205623E-2</c:v>
                </c:pt>
                <c:pt idx="1574">
                  <c:v>2.8947849516466638E-2</c:v>
                </c:pt>
                <c:pt idx="1575">
                  <c:v>2.8942246559254002E-2</c:v>
                </c:pt>
                <c:pt idx="1576">
                  <c:v>2.8936691400897555E-2</c:v>
                </c:pt>
                <c:pt idx="1577">
                  <c:v>2.8931184041196448E-2</c:v>
                </c:pt>
                <c:pt idx="1578">
                  <c:v>2.8925724479954222E-2</c:v>
                </c:pt>
                <c:pt idx="1579">
                  <c:v>2.8920312716972672E-2</c:v>
                </c:pt>
                <c:pt idx="1580">
                  <c:v>2.8913417529737619E-2</c:v>
                </c:pt>
                <c:pt idx="1581">
                  <c:v>2.8908105196121452E-2</c:v>
                </c:pt>
                <c:pt idx="1582">
                  <c:v>2.890284065632891E-2</c:v>
                </c:pt>
                <c:pt idx="1583">
                  <c:v>2.8897623910173854E-2</c:v>
                </c:pt>
                <c:pt idx="1584">
                  <c:v>2.8893235803285209E-2</c:v>
                </c:pt>
                <c:pt idx="1585">
                  <c:v>2.8888117654005962E-2</c:v>
                </c:pt>
                <c:pt idx="1586">
                  <c:v>2.8883047301638674E-2</c:v>
                </c:pt>
                <c:pt idx="1587">
                  <c:v>2.8878024746004514E-2</c:v>
                </c:pt>
                <c:pt idx="1588">
                  <c:v>2.8873049986921129E-2</c:v>
                </c:pt>
                <c:pt idx="1589">
                  <c:v>2.8868123024208811E-2</c:v>
                </c:pt>
                <c:pt idx="1590">
                  <c:v>2.8863243857693129E-2</c:v>
                </c:pt>
                <c:pt idx="1591">
                  <c:v>2.8858412487197897E-2</c:v>
                </c:pt>
                <c:pt idx="1592">
                  <c:v>2.8853628912551336E-2</c:v>
                </c:pt>
                <c:pt idx="1593">
                  <c:v>2.8848893133578132E-2</c:v>
                </c:pt>
                <c:pt idx="1594">
                  <c:v>2.8844205150110915E-2</c:v>
                </c:pt>
                <c:pt idx="1595">
                  <c:v>2.8839564961982301E-2</c:v>
                </c:pt>
                <c:pt idx="1596">
                  <c:v>2.883497256902403E-2</c:v>
                </c:pt>
                <c:pt idx="1597">
                  <c:v>2.8830427971073134E-2</c:v>
                </c:pt>
                <c:pt idx="1598">
                  <c:v>2.8825931167963992E-2</c:v>
                </c:pt>
                <c:pt idx="1599">
                  <c:v>2.8821482159538038E-2</c:v>
                </c:pt>
                <c:pt idx="1600">
                  <c:v>2.8817080945633181E-2</c:v>
                </c:pt>
                <c:pt idx="1601">
                  <c:v>2.8811894988376247E-2</c:v>
                </c:pt>
                <c:pt idx="1602">
                  <c:v>2.8807586288073252E-2</c:v>
                </c:pt>
                <c:pt idx="1603">
                  <c:v>2.8803325378026066E-2</c:v>
                </c:pt>
                <c:pt idx="1604">
                  <c:v>2.8799112258083279E-2</c:v>
                </c:pt>
                <c:pt idx="1605">
                  <c:v>2.8794946928096164E-2</c:v>
                </c:pt>
                <c:pt idx="1606">
                  <c:v>2.8791677338455675E-2</c:v>
                </c:pt>
                <c:pt idx="1607">
                  <c:v>2.8787610681881882E-2</c:v>
                </c:pt>
                <c:pt idx="1608">
                  <c:v>2.878359181861613E-2</c:v>
                </c:pt>
                <c:pt idx="1609">
                  <c:v>2.8779620748512189E-2</c:v>
                </c:pt>
                <c:pt idx="1610">
                  <c:v>2.8775697471429985E-2</c:v>
                </c:pt>
                <c:pt idx="1611">
                  <c:v>2.8771821987227685E-2</c:v>
                </c:pt>
                <c:pt idx="1612">
                  <c:v>2.8767994295765226E-2</c:v>
                </c:pt>
                <c:pt idx="1613">
                  <c:v>2.8764214396905179E-2</c:v>
                </c:pt>
                <c:pt idx="1614">
                  <c:v>2.8758737018066083E-2</c:v>
                </c:pt>
                <c:pt idx="1615">
                  <c:v>2.875504645607627E-2</c:v>
                </c:pt>
                <c:pt idx="1616">
                  <c:v>2.8751403678731378E-2</c:v>
                </c:pt>
                <c:pt idx="1617">
                  <c:v>2.874780868590263E-2</c:v>
                </c:pt>
                <c:pt idx="1618">
                  <c:v>2.8744261477463957E-2</c:v>
                </c:pt>
                <c:pt idx="1619">
                  <c:v>2.8740762053289289E-2</c:v>
                </c:pt>
                <c:pt idx="1620">
                  <c:v>2.8737310413257951E-2</c:v>
                </c:pt>
                <c:pt idx="1621">
                  <c:v>2.8733906557248379E-2</c:v>
                </c:pt>
                <c:pt idx="1622">
                  <c:v>2.8731448044845592E-2</c:v>
                </c:pt>
                <c:pt idx="1623">
                  <c:v>2.8728142910423485E-2</c:v>
                </c:pt>
                <c:pt idx="1624">
                  <c:v>2.8723981692162469E-2</c:v>
                </c:pt>
                <c:pt idx="1625">
                  <c:v>2.872076897106118E-2</c:v>
                </c:pt>
                <c:pt idx="1626">
                  <c:v>2.8717604033401723E-2</c:v>
                </c:pt>
                <c:pt idx="1627">
                  <c:v>2.8716313963404266E-2</c:v>
                </c:pt>
                <c:pt idx="1628">
                  <c:v>2.8713250938282028E-2</c:v>
                </c:pt>
                <c:pt idx="1629">
                  <c:v>2.8710235703798593E-2</c:v>
                </c:pt>
                <c:pt idx="1630">
                  <c:v>2.8707268259846486E-2</c:v>
                </c:pt>
                <c:pt idx="1631">
                  <c:v>2.8704348606319992E-2</c:v>
                </c:pt>
                <c:pt idx="1632">
                  <c:v>2.8700547121776113E-2</c:v>
                </c:pt>
                <c:pt idx="1633">
                  <c:v>2.8697719856725847E-2</c:v>
                </c:pt>
                <c:pt idx="1634">
                  <c:v>2.8694940378033149E-2</c:v>
                </c:pt>
                <c:pt idx="1635">
                  <c:v>2.8692208685599158E-2</c:v>
                </c:pt>
                <c:pt idx="1636">
                  <c:v>2.869046719144492E-2</c:v>
                </c:pt>
                <c:pt idx="1637">
                  <c:v>2.8687834278326149E-2</c:v>
                </c:pt>
                <c:pt idx="1638">
                  <c:v>2.868524915493529E-2</c:v>
                </c:pt>
                <c:pt idx="1639">
                  <c:v>2.8682711821177199E-2</c:v>
                </c:pt>
                <c:pt idx="1640">
                  <c:v>2.8680222276964668E-2</c:v>
                </c:pt>
                <c:pt idx="1641">
                  <c:v>2.8677780522204314E-2</c:v>
                </c:pt>
                <c:pt idx="1642">
                  <c:v>2.867538655681157E-2</c:v>
                </c:pt>
                <c:pt idx="1643">
                  <c:v>2.86730403807001E-2</c:v>
                </c:pt>
                <c:pt idx="1644">
                  <c:v>2.8670741993786216E-2</c:v>
                </c:pt>
                <c:pt idx="1645">
                  <c:v>2.8668491395985353E-2</c:v>
                </c:pt>
                <c:pt idx="1646">
                  <c:v>2.8666288587217339E-2</c:v>
                </c:pt>
                <c:pt idx="1647">
                  <c:v>2.8664133567404656E-2</c:v>
                </c:pt>
                <c:pt idx="1648">
                  <c:v>2.8662026336469776E-2</c:v>
                </c:pt>
                <c:pt idx="1649">
                  <c:v>2.8659966894334303E-2</c:v>
                </c:pt>
                <c:pt idx="1650">
                  <c:v>2.8657955240929518E-2</c:v>
                </c:pt>
                <c:pt idx="1651">
                  <c:v>2.8655991376177904E-2</c:v>
                </c:pt>
                <c:pt idx="1652">
                  <c:v>2.8654075300011621E-2</c:v>
                </c:pt>
                <c:pt idx="1653">
                  <c:v>2.8651209569728678E-2</c:v>
                </c:pt>
                <c:pt idx="1654">
                  <c:v>2.8649385799723957E-2</c:v>
                </c:pt>
                <c:pt idx="1655">
                  <c:v>2.864760981436236E-2</c:v>
                </c:pt>
                <c:pt idx="1656">
                  <c:v>2.8645881613579772E-2</c:v>
                </c:pt>
                <c:pt idx="1657">
                  <c:v>2.8645211745610782E-2</c:v>
                </c:pt>
                <c:pt idx="1658">
                  <c:v>2.8643582399571679E-2</c:v>
                </c:pt>
                <c:pt idx="1659">
                  <c:v>2.8642000841673038E-2</c:v>
                </c:pt>
                <c:pt idx="1660">
                  <c:v>2.8640467071854952E-2</c:v>
                </c:pt>
                <c:pt idx="1661">
                  <c:v>2.863898109006633E-2</c:v>
                </c:pt>
                <c:pt idx="1662">
                  <c:v>2.8637542896254319E-2</c:v>
                </c:pt>
                <c:pt idx="1663">
                  <c:v>2.8636152490362533E-2</c:v>
                </c:pt>
                <c:pt idx="1664">
                  <c:v>2.8634809872345166E-2</c:v>
                </c:pt>
                <c:pt idx="1665">
                  <c:v>2.8633515042152884E-2</c:v>
                </c:pt>
                <c:pt idx="1666">
                  <c:v>2.8630187861097365E-2</c:v>
                </c:pt>
                <c:pt idx="1667">
                  <c:v>2.862898196812912E-2</c:v>
                </c:pt>
                <c:pt idx="1668">
                  <c:v>2.8627823855381568E-2</c:v>
                </c:pt>
                <c:pt idx="1669">
                  <c:v>2.8626713522812382E-2</c:v>
                </c:pt>
                <c:pt idx="1670">
                  <c:v>2.8625503077596114E-2</c:v>
                </c:pt>
                <c:pt idx="1671">
                  <c:v>2.8624495130995176E-2</c:v>
                </c:pt>
                <c:pt idx="1672">
                  <c:v>2.8623534964456441E-2</c:v>
                </c:pt>
                <c:pt idx="1673">
                  <c:v>2.8622622577946594E-2</c:v>
                </c:pt>
                <c:pt idx="1674">
                  <c:v>2.8621757971432307E-2</c:v>
                </c:pt>
                <c:pt idx="1675">
                  <c:v>2.8620941144883869E-2</c:v>
                </c:pt>
                <c:pt idx="1676">
                  <c:v>2.8619098754521281E-2</c:v>
                </c:pt>
                <c:pt idx="1677">
                  <c:v>2.861837413159294E-2</c:v>
                </c:pt>
                <c:pt idx="1678">
                  <c:v>2.8617697284817882E-2</c:v>
                </c:pt>
                <c:pt idx="1679">
                  <c:v>2.8620319618532061E-2</c:v>
                </c:pt>
                <c:pt idx="1680">
                  <c:v>2.8619748427858992E-2</c:v>
                </c:pt>
                <c:pt idx="1681">
                  <c:v>2.8619225024470112E-2</c:v>
                </c:pt>
                <c:pt idx="1682">
                  <c:v>2.8618749408347802E-2</c:v>
                </c:pt>
                <c:pt idx="1683">
                  <c:v>2.8618321579473568E-2</c:v>
                </c:pt>
                <c:pt idx="1684">
                  <c:v>2.8616840478779836E-2</c:v>
                </c:pt>
                <c:pt idx="1685">
                  <c:v>2.8616504837209109E-2</c:v>
                </c:pt>
                <c:pt idx="1686">
                  <c:v>2.86162169791148E-2</c:v>
                </c:pt>
                <c:pt idx="1687">
                  <c:v>2.8615976904485332E-2</c:v>
                </c:pt>
                <c:pt idx="1688">
                  <c:v>2.8616899243360971E-2</c:v>
                </c:pt>
                <c:pt idx="1689">
                  <c:v>2.8616758137717933E-2</c:v>
                </c:pt>
                <c:pt idx="1690">
                  <c:v>2.8616664819252489E-2</c:v>
                </c:pt>
                <c:pt idx="1691">
                  <c:v>2.861661928796112E-2</c:v>
                </c:pt>
                <c:pt idx="1692">
                  <c:v>2.8616621543842941E-2</c:v>
                </c:pt>
                <c:pt idx="1693">
                  <c:v>2.8616671586897954E-2</c:v>
                </c:pt>
                <c:pt idx="1694">
                  <c:v>2.8616769417125279E-2</c:v>
                </c:pt>
                <c:pt idx="1695">
                  <c:v>2.8616915034531964E-2</c:v>
                </c:pt>
                <c:pt idx="1696">
                  <c:v>2.861710843912153E-2</c:v>
                </c:pt>
                <c:pt idx="1697">
                  <c:v>2.8617349630900145E-2</c:v>
                </c:pt>
                <c:pt idx="1698">
                  <c:v>2.8617637949200549E-2</c:v>
                </c:pt>
                <c:pt idx="1699">
                  <c:v>2.8617968656115312E-2</c:v>
                </c:pt>
                <c:pt idx="1700">
                  <c:v>2.861833545992299E-2</c:v>
                </c:pt>
                <c:pt idx="1701">
                  <c:v>2.8618732065840001E-2</c:v>
                </c:pt>
                <c:pt idx="1702">
                  <c:v>2.8619152179082757E-2</c:v>
                </c:pt>
                <c:pt idx="1703">
                  <c:v>2.8619589504865036E-2</c:v>
                </c:pt>
                <c:pt idx="1704">
                  <c:v>2.8620037748397966E-2</c:v>
                </c:pt>
                <c:pt idx="1705">
                  <c:v>2.8619339643106371E-2</c:v>
                </c:pt>
                <c:pt idx="1706">
                  <c:v>2.8619792503378084E-2</c:v>
                </c:pt>
                <c:pt idx="1707">
                  <c:v>2.8620237694071026E-2</c:v>
                </c:pt>
                <c:pt idx="1708">
                  <c:v>2.8620668851715339E-2</c:v>
                </c:pt>
                <c:pt idx="1709">
                  <c:v>2.8621079612828691E-2</c:v>
                </c:pt>
                <c:pt idx="1710">
                  <c:v>2.8622603973830228E-2</c:v>
                </c:pt>
                <c:pt idx="1711">
                  <c:v>2.8622952769637947E-2</c:v>
                </c:pt>
                <c:pt idx="1712">
                  <c:v>2.8623266645543842E-2</c:v>
                </c:pt>
                <c:pt idx="1713">
                  <c:v>2.8623545577071936E-2</c:v>
                </c:pt>
                <c:pt idx="1714">
                  <c:v>2.8623789564215178E-2</c:v>
                </c:pt>
                <c:pt idx="1715">
                  <c:v>2.8623998606966523E-2</c:v>
                </c:pt>
                <c:pt idx="1716">
                  <c:v>2.862417270532245E-2</c:v>
                </c:pt>
                <c:pt idx="1717">
                  <c:v>2.8624311859275026E-2</c:v>
                </c:pt>
                <c:pt idx="1718">
                  <c:v>2.8623295533729273E-2</c:v>
                </c:pt>
                <c:pt idx="1719">
                  <c:v>2.8623367289291046E-2</c:v>
                </c:pt>
                <c:pt idx="1720">
                  <c:v>2.8623404103175622E-2</c:v>
                </c:pt>
                <c:pt idx="1721">
                  <c:v>2.8623405975378553E-2</c:v>
                </c:pt>
                <c:pt idx="1722">
                  <c:v>2.8623372905900727E-2</c:v>
                </c:pt>
                <c:pt idx="1723">
                  <c:v>2.8623304894744812E-2</c:v>
                </c:pt>
                <c:pt idx="1724">
                  <c:v>2.8623201941911706E-2</c:v>
                </c:pt>
                <c:pt idx="1725">
                  <c:v>2.8623064047402291E-2</c:v>
                </c:pt>
                <c:pt idx="1726">
                  <c:v>2.8622891211223699E-2</c:v>
                </c:pt>
                <c:pt idx="1727">
                  <c:v>2.8621585227673937E-2</c:v>
                </c:pt>
                <c:pt idx="1728">
                  <c:v>2.8621345022769043E-2</c:v>
                </c:pt>
                <c:pt idx="1729">
                  <c:v>2.8621069878937672E-2</c:v>
                </c:pt>
                <c:pt idx="1730">
                  <c:v>2.862075979618792E-2</c:v>
                </c:pt>
                <c:pt idx="1731">
                  <c:v>2.8622590852092039E-2</c:v>
                </c:pt>
                <c:pt idx="1732">
                  <c:v>2.862220584009921E-2</c:v>
                </c:pt>
                <c:pt idx="1733">
                  <c:v>2.8621785883755003E-2</c:v>
                </c:pt>
                <c:pt idx="1734">
                  <c:v>2.8621330983072641E-2</c:v>
                </c:pt>
                <c:pt idx="1735">
                  <c:v>2.8620841138063569E-2</c:v>
                </c:pt>
                <c:pt idx="1736">
                  <c:v>2.8619241058940325E-2</c:v>
                </c:pt>
                <c:pt idx="1737">
                  <c:v>2.8618683864871895E-2</c:v>
                </c:pt>
                <c:pt idx="1738">
                  <c:v>2.8618091729245614E-2</c:v>
                </c:pt>
                <c:pt idx="1739">
                  <c:v>2.8617464652077509E-2</c:v>
                </c:pt>
                <c:pt idx="1740">
                  <c:v>2.8617867748595063E-2</c:v>
                </c:pt>
                <c:pt idx="1741">
                  <c:v>2.8617168237925265E-2</c:v>
                </c:pt>
                <c:pt idx="1742">
                  <c:v>2.8616433783037992E-2</c:v>
                </c:pt>
                <c:pt idx="1743">
                  <c:v>2.8615664383953514E-2</c:v>
                </c:pt>
                <c:pt idx="1744">
                  <c:v>2.8614860040689444E-2</c:v>
                </c:pt>
                <c:pt idx="1745">
                  <c:v>2.8614020753269565E-2</c:v>
                </c:pt>
                <c:pt idx="1746">
                  <c:v>2.8613146521713265E-2</c:v>
                </c:pt>
                <c:pt idx="1747">
                  <c:v>2.8612237346045205E-2</c:v>
                </c:pt>
                <c:pt idx="1748">
                  <c:v>2.861129322628829E-2</c:v>
                </c:pt>
                <c:pt idx="1749">
                  <c:v>2.8610314162468949E-2</c:v>
                </c:pt>
                <c:pt idx="1750">
                  <c:v>2.8609300154610086E-2</c:v>
                </c:pt>
                <c:pt idx="1751">
                  <c:v>2.860825120274077E-2</c:v>
                </c:pt>
                <c:pt idx="1752">
                  <c:v>2.8607167306888316E-2</c:v>
                </c:pt>
                <c:pt idx="1753">
                  <c:v>2.8606048467080026E-2</c:v>
                </c:pt>
                <c:pt idx="1754">
                  <c:v>2.8604894683344977E-2</c:v>
                </c:pt>
                <c:pt idx="1755">
                  <c:v>2.8603705955714879E-2</c:v>
                </c:pt>
                <c:pt idx="1756">
                  <c:v>2.8602482284219684E-2</c:v>
                </c:pt>
                <c:pt idx="1757">
                  <c:v>2.8601223668891985E-2</c:v>
                </c:pt>
                <c:pt idx="1758">
                  <c:v>2.8598911319921486E-2</c:v>
                </c:pt>
                <c:pt idx="1759">
                  <c:v>2.8597585416530368E-2</c:v>
                </c:pt>
                <c:pt idx="1760">
                  <c:v>2.8596224572130013E-2</c:v>
                </c:pt>
                <c:pt idx="1761">
                  <c:v>2.8595839769932747E-2</c:v>
                </c:pt>
                <c:pt idx="1762">
                  <c:v>2.8594406435956132E-2</c:v>
                </c:pt>
                <c:pt idx="1763">
                  <c:v>2.8592938158360198E-2</c:v>
                </c:pt>
                <c:pt idx="1764">
                  <c:v>2.859143493718019E-2</c:v>
                </c:pt>
                <c:pt idx="1765">
                  <c:v>2.8589896772460151E-2</c:v>
                </c:pt>
                <c:pt idx="1766">
                  <c:v>2.8588323664236203E-2</c:v>
                </c:pt>
                <c:pt idx="1767">
                  <c:v>2.8586715612551508E-2</c:v>
                </c:pt>
                <c:pt idx="1768">
                  <c:v>2.8585072617448349E-2</c:v>
                </c:pt>
                <c:pt idx="1769">
                  <c:v>2.8583394678968137E-2</c:v>
                </c:pt>
                <c:pt idx="1770">
                  <c:v>2.8581681797158438E-2</c:v>
                </c:pt>
                <c:pt idx="1771">
                  <c:v>2.8577964203462296E-2</c:v>
                </c:pt>
                <c:pt idx="1772">
                  <c:v>2.8576186704386084E-2</c:v>
                </c:pt>
                <c:pt idx="1773">
                  <c:v>2.8574374267542356E-2</c:v>
                </c:pt>
                <c:pt idx="1774">
                  <c:v>2.857226013027123E-2</c:v>
                </c:pt>
                <c:pt idx="1775">
                  <c:v>2.8570372826943625E-2</c:v>
                </c:pt>
                <c:pt idx="1776">
                  <c:v>2.8568450585997985E-2</c:v>
                </c:pt>
                <c:pt idx="1777">
                  <c:v>2.856649340748384E-2</c:v>
                </c:pt>
                <c:pt idx="1778">
                  <c:v>2.8564501291452521E-2</c:v>
                </c:pt>
                <c:pt idx="1779">
                  <c:v>2.8561510581009201E-2</c:v>
                </c:pt>
                <c:pt idx="1780">
                  <c:v>2.8559451246208064E-2</c:v>
                </c:pt>
                <c:pt idx="1781">
                  <c:v>2.8557356976752719E-2</c:v>
                </c:pt>
                <c:pt idx="1782">
                  <c:v>2.8555227772697804E-2</c:v>
                </c:pt>
                <c:pt idx="1783">
                  <c:v>2.8555922068137372E-2</c:v>
                </c:pt>
                <c:pt idx="1784">
                  <c:v>2.8553714993020021E-2</c:v>
                </c:pt>
                <c:pt idx="1785">
                  <c:v>2.8551472975349289E-2</c:v>
                </c:pt>
                <c:pt idx="1786">
                  <c:v>2.8549196015185078E-2</c:v>
                </c:pt>
                <c:pt idx="1787">
                  <c:v>2.8546884112585536E-2</c:v>
                </c:pt>
                <c:pt idx="1788">
                  <c:v>2.8543598026949078E-2</c:v>
                </c:pt>
                <c:pt idx="1789">
                  <c:v>2.8541218920927817E-2</c:v>
                </c:pt>
                <c:pt idx="1790">
                  <c:v>2.8538804875359723E-2</c:v>
                </c:pt>
                <c:pt idx="1791">
                  <c:v>2.8536355890307133E-2</c:v>
                </c:pt>
                <c:pt idx="1792">
                  <c:v>2.8534800465224924E-2</c:v>
                </c:pt>
                <c:pt idx="1793">
                  <c:v>2.853227890932333E-2</c:v>
                </c:pt>
                <c:pt idx="1794">
                  <c:v>2.852972241143216E-2</c:v>
                </c:pt>
                <c:pt idx="1795">
                  <c:v>2.8527130971616597E-2</c:v>
                </c:pt>
                <c:pt idx="1796">
                  <c:v>2.8524504589945359E-2</c:v>
                </c:pt>
                <c:pt idx="1797">
                  <c:v>2.8521843266488035E-2</c:v>
                </c:pt>
                <c:pt idx="1798">
                  <c:v>2.8519147001312462E-2</c:v>
                </c:pt>
                <c:pt idx="1799">
                  <c:v>2.8516415794492638E-2</c:v>
                </c:pt>
                <c:pt idx="1800">
                  <c:v>2.8513649646096394E-2</c:v>
                </c:pt>
                <c:pt idx="1801">
                  <c:v>2.8510848556199491E-2</c:v>
                </c:pt>
                <c:pt idx="1802">
                  <c:v>2.8508012524872405E-2</c:v>
                </c:pt>
                <c:pt idx="1803">
                  <c:v>2.8505141552192657E-2</c:v>
                </c:pt>
                <c:pt idx="1804">
                  <c:v>2.8502235638233363E-2</c:v>
                </c:pt>
                <c:pt idx="1805">
                  <c:v>2.8499294783071168E-2</c:v>
                </c:pt>
                <c:pt idx="1806">
                  <c:v>2.8496318986784477E-2</c:v>
                </c:pt>
                <c:pt idx="1807">
                  <c:v>2.8493308249449928E-2</c:v>
                </c:pt>
                <c:pt idx="1808">
                  <c:v>2.8490262571146806E-2</c:v>
                </c:pt>
                <c:pt idx="1809">
                  <c:v>2.8487181951955275E-2</c:v>
                </c:pt>
                <c:pt idx="1810">
                  <c:v>2.8483186762124021E-2</c:v>
                </c:pt>
                <c:pt idx="1811">
                  <c:v>2.8480039001924494E-2</c:v>
                </c:pt>
                <c:pt idx="1812">
                  <c:v>2.8476856303766101E-2</c:v>
                </c:pt>
                <c:pt idx="1813">
                  <c:v>2.84745100679357E-2</c:v>
                </c:pt>
                <c:pt idx="1814">
                  <c:v>2.8471254745532804E-2</c:v>
                </c:pt>
                <c:pt idx="1815">
                  <c:v>2.846796448274011E-2</c:v>
                </c:pt>
                <c:pt idx="1816">
                  <c:v>2.8464639279643073E-2</c:v>
                </c:pt>
                <c:pt idx="1817">
                  <c:v>2.8461279136330665E-2</c:v>
                </c:pt>
                <c:pt idx="1818">
                  <c:v>2.845788405288922E-2</c:v>
                </c:pt>
                <c:pt idx="1819">
                  <c:v>2.8454454029409468E-2</c:v>
                </c:pt>
                <c:pt idx="1820">
                  <c:v>2.8450989065979509E-2</c:v>
                </c:pt>
                <c:pt idx="1821">
                  <c:v>2.8447489162692723E-2</c:v>
                </c:pt>
                <c:pt idx="1822">
                  <c:v>2.8443954319639846E-2</c:v>
                </c:pt>
                <c:pt idx="1823">
                  <c:v>2.8438696727933029E-2</c:v>
                </c:pt>
                <c:pt idx="1824">
                  <c:v>2.8435097555883471E-2</c:v>
                </c:pt>
                <c:pt idx="1825">
                  <c:v>2.8431463449687364E-2</c:v>
                </c:pt>
                <c:pt idx="1826">
                  <c:v>2.8427267409078135E-2</c:v>
                </c:pt>
                <c:pt idx="1827">
                  <c:v>2.8423558444313671E-2</c:v>
                </c:pt>
                <c:pt idx="1828">
                  <c:v>2.8419814545699827E-2</c:v>
                </c:pt>
                <c:pt idx="1829">
                  <c:v>2.8416035713332954E-2</c:v>
                </c:pt>
                <c:pt idx="1830">
                  <c:v>2.8412221947308514E-2</c:v>
                </c:pt>
                <c:pt idx="1831">
                  <c:v>2.8407551681883043E-2</c:v>
                </c:pt>
                <c:pt idx="1832">
                  <c:v>2.8403670845070509E-2</c:v>
                </c:pt>
                <c:pt idx="1833">
                  <c:v>2.8399755077557733E-2</c:v>
                </c:pt>
                <c:pt idx="1834">
                  <c:v>2.8395804379444885E-2</c:v>
                </c:pt>
                <c:pt idx="1835">
                  <c:v>2.8393439254893276E-2</c:v>
                </c:pt>
                <c:pt idx="1836">
                  <c:v>2.839183371904477E-2</c:v>
                </c:pt>
                <c:pt idx="1837">
                  <c:v>2.8387764178092828E-2</c:v>
                </c:pt>
                <c:pt idx="1838">
                  <c:v>2.8383659693675661E-2</c:v>
                </c:pt>
                <c:pt idx="1839">
                  <c:v>2.8379520265901903E-2</c:v>
                </c:pt>
                <c:pt idx="1840">
                  <c:v>2.8370562826125514E-2</c:v>
                </c:pt>
                <c:pt idx="1841">
                  <c:v>2.836634201308896E-2</c:v>
                </c:pt>
                <c:pt idx="1842">
                  <c:v>2.8362086265042379E-2</c:v>
                </c:pt>
                <c:pt idx="1843">
                  <c:v>2.8357795582097101E-2</c:v>
                </c:pt>
                <c:pt idx="1844">
                  <c:v>2.8354252895293364E-2</c:v>
                </c:pt>
                <c:pt idx="1845">
                  <c:v>2.8349889509844899E-2</c:v>
                </c:pt>
                <c:pt idx="1846">
                  <c:v>2.8345491187191228E-2</c:v>
                </c:pt>
                <c:pt idx="1847">
                  <c:v>2.834105792744511E-2</c:v>
                </c:pt>
                <c:pt idx="1848">
                  <c:v>2.8336589730726353E-2</c:v>
                </c:pt>
                <c:pt idx="1849">
                  <c:v>2.8332086597149479E-2</c:v>
                </c:pt>
                <c:pt idx="1850">
                  <c:v>2.8327548526833418E-2</c:v>
                </c:pt>
                <c:pt idx="1851">
                  <c:v>2.8322975519898853E-2</c:v>
                </c:pt>
                <c:pt idx="1852">
                  <c:v>2.8318367576462951E-2</c:v>
                </c:pt>
                <c:pt idx="1853">
                  <c:v>2.8313724696649046E-2</c:v>
                </c:pt>
                <c:pt idx="1854">
                  <c:v>2.8309046880576939E-2</c:v>
                </c:pt>
                <c:pt idx="1855">
                  <c:v>2.8304334128370849E-2</c:v>
                </c:pt>
                <c:pt idx="1856">
                  <c:v>2.8299586440154106E-2</c:v>
                </c:pt>
                <c:pt idx="1857">
                  <c:v>2.8294803816050037E-2</c:v>
                </c:pt>
                <c:pt idx="1858">
                  <c:v>2.8289986256186381E-2</c:v>
                </c:pt>
                <c:pt idx="1859">
                  <c:v>2.8285133760686469E-2</c:v>
                </c:pt>
                <c:pt idx="1860">
                  <c:v>2.8280246329680681E-2</c:v>
                </c:pt>
                <c:pt idx="1861">
                  <c:v>2.8274589552627596E-2</c:v>
                </c:pt>
                <c:pt idx="1862">
                  <c:v>2.8269635128784349E-2</c:v>
                </c:pt>
                <c:pt idx="1863">
                  <c:v>2.8264645772439947E-2</c:v>
                </c:pt>
                <c:pt idx="1864">
                  <c:v>2.8259621483725315E-2</c:v>
                </c:pt>
                <c:pt idx="1865">
                  <c:v>2.8255285146559891E-2</c:v>
                </c:pt>
                <c:pt idx="1866">
                  <c:v>2.825018810523389E-2</c:v>
                </c:pt>
                <c:pt idx="1867">
                  <c:v>2.8245056129319067E-2</c:v>
                </c:pt>
                <c:pt idx="1868">
                  <c:v>2.8239889218946684E-2</c:v>
                </c:pt>
                <c:pt idx="1869">
                  <c:v>2.8234687374255048E-2</c:v>
                </c:pt>
                <c:pt idx="1870">
                  <c:v>2.8229450595378063E-2</c:v>
                </c:pt>
                <c:pt idx="1871">
                  <c:v>2.8224178882455792E-2</c:v>
                </c:pt>
                <c:pt idx="1872">
                  <c:v>2.8218872235624786E-2</c:v>
                </c:pt>
                <c:pt idx="1873">
                  <c:v>2.8213530655025992E-2</c:v>
                </c:pt>
                <c:pt idx="1874">
                  <c:v>2.8206760307901778E-2</c:v>
                </c:pt>
                <c:pt idx="1875">
                  <c:v>2.8201354683232632E-2</c:v>
                </c:pt>
                <c:pt idx="1876">
                  <c:v>2.8195914130416163E-2</c:v>
                </c:pt>
                <c:pt idx="1877">
                  <c:v>2.8190438649593749E-2</c:v>
                </c:pt>
                <c:pt idx="1878">
                  <c:v>2.8185613617432711E-2</c:v>
                </c:pt>
                <c:pt idx="1879">
                  <c:v>2.8179382904485802E-2</c:v>
                </c:pt>
                <c:pt idx="1880">
                  <c:v>2.8173802640485735E-2</c:v>
                </c:pt>
                <c:pt idx="1881">
                  <c:v>2.8168187449045246E-2</c:v>
                </c:pt>
                <c:pt idx="1882">
                  <c:v>2.8162537330309319E-2</c:v>
                </c:pt>
                <c:pt idx="1883">
                  <c:v>2.8157523026493322E-2</c:v>
                </c:pt>
                <c:pt idx="1884">
                  <c:v>2.8151132311528378E-2</c:v>
                </c:pt>
                <c:pt idx="1885">
                  <c:v>2.8145377411776931E-2</c:v>
                </c:pt>
                <c:pt idx="1886">
                  <c:v>2.8140249515667261E-2</c:v>
                </c:pt>
                <c:pt idx="1887">
                  <c:v>2.8135080561017965E-2</c:v>
                </c:pt>
                <c:pt idx="1888">
                  <c:v>2.8129214991210155E-2</c:v>
                </c:pt>
                <c:pt idx="1889">
                  <c:v>2.8123314489986666E-2</c:v>
                </c:pt>
                <c:pt idx="1890">
                  <c:v>2.8117379057499014E-2</c:v>
                </c:pt>
                <c:pt idx="1891">
                  <c:v>2.8110761750131597E-2</c:v>
                </c:pt>
                <c:pt idx="1892">
                  <c:v>2.8104759411273428E-2</c:v>
                </c:pt>
                <c:pt idx="1893">
                  <c:v>2.8098722144193532E-2</c:v>
                </c:pt>
                <c:pt idx="1894">
                  <c:v>2.8092649949047758E-2</c:v>
                </c:pt>
                <c:pt idx="1895">
                  <c:v>2.808654282599464E-2</c:v>
                </c:pt>
                <c:pt idx="1896">
                  <c:v>2.8081032914854469E-2</c:v>
                </c:pt>
                <c:pt idx="1897">
                  <c:v>2.8074852967941755E-2</c:v>
                </c:pt>
                <c:pt idx="1898">
                  <c:v>2.8068638091039599E-2</c:v>
                </c:pt>
                <c:pt idx="1899">
                  <c:v>2.8062388284308331E-2</c:v>
                </c:pt>
                <c:pt idx="1900">
                  <c:v>2.8056103547913561E-2</c:v>
                </c:pt>
                <c:pt idx="1901">
                  <c:v>2.8049783882018269E-2</c:v>
                </c:pt>
                <c:pt idx="1902">
                  <c:v>2.8043429286791596E-2</c:v>
                </c:pt>
                <c:pt idx="1903">
                  <c:v>2.803703976239651E-2</c:v>
                </c:pt>
                <c:pt idx="1904">
                  <c:v>2.8030615309002152E-2</c:v>
                </c:pt>
                <c:pt idx="1905">
                  <c:v>2.8024155926777667E-2</c:v>
                </c:pt>
                <c:pt idx="1906">
                  <c:v>2.8017661615893072E-2</c:v>
                </c:pt>
                <c:pt idx="1907">
                  <c:v>2.8011132376516628E-2</c:v>
                </c:pt>
                <c:pt idx="1908">
                  <c:v>2.8004568208820114E-2</c:v>
                </c:pt>
                <c:pt idx="1909">
                  <c:v>2.799796911297708E-2</c:v>
                </c:pt>
                <c:pt idx="1910">
                  <c:v>2.7991335089159304E-2</c:v>
                </c:pt>
                <c:pt idx="1911">
                  <c:v>2.7984666137542098E-2</c:v>
                </c:pt>
                <c:pt idx="1912">
                  <c:v>2.7977962258299002E-2</c:v>
                </c:pt>
                <c:pt idx="1913">
                  <c:v>2.7970642123796682E-2</c:v>
                </c:pt>
                <c:pt idx="1914">
                  <c:v>2.7963871401632055E-2</c:v>
                </c:pt>
                <c:pt idx="1915">
                  <c:v>2.7957065754899906E-2</c:v>
                </c:pt>
                <c:pt idx="1916">
                  <c:v>2.7950225183777464E-2</c:v>
                </c:pt>
                <c:pt idx="1917">
                  <c:v>2.7943349688443749E-2</c:v>
                </c:pt>
                <c:pt idx="1918">
                  <c:v>2.7937005512621425E-2</c:v>
                </c:pt>
                <c:pt idx="1919">
                  <c:v>2.7930057144976171E-2</c:v>
                </c:pt>
                <c:pt idx="1920">
                  <c:v>2.79230738511392E-2</c:v>
                </c:pt>
                <c:pt idx="1921">
                  <c:v>2.7916055631291098E-2</c:v>
                </c:pt>
                <c:pt idx="1922">
                  <c:v>2.7909002485617743E-2</c:v>
                </c:pt>
                <c:pt idx="1923">
                  <c:v>2.7901914414305017E-2</c:v>
                </c:pt>
                <c:pt idx="1924">
                  <c:v>2.789479141753615E-2</c:v>
                </c:pt>
                <c:pt idx="1925">
                  <c:v>2.7887633495500549E-2</c:v>
                </c:pt>
                <c:pt idx="1926">
                  <c:v>2.7879898670602934E-2</c:v>
                </c:pt>
                <c:pt idx="1927">
                  <c:v>2.7872673943103773E-2</c:v>
                </c:pt>
                <c:pt idx="1928">
                  <c:v>2.7865414293404351E-2</c:v>
                </c:pt>
                <c:pt idx="1929">
                  <c:v>2.785811972169348E-2</c:v>
                </c:pt>
                <c:pt idx="1930">
                  <c:v>2.7850790228159082E-2</c:v>
                </c:pt>
                <c:pt idx="1931">
                  <c:v>2.784342581299264E-2</c:v>
                </c:pt>
                <c:pt idx="1932">
                  <c:v>2.7836026476383852E-2</c:v>
                </c:pt>
                <c:pt idx="1933">
                  <c:v>2.7828592218525988E-2</c:v>
                </c:pt>
                <c:pt idx="1934">
                  <c:v>2.7821123039611415E-2</c:v>
                </c:pt>
                <c:pt idx="1935">
                  <c:v>2.7813618939834292E-2</c:v>
                </c:pt>
                <c:pt idx="1936">
                  <c:v>2.7805568232151044E-2</c:v>
                </c:pt>
                <c:pt idx="1937">
                  <c:v>2.7797997360257665E-2</c:v>
                </c:pt>
                <c:pt idx="1938">
                  <c:v>2.7790391570567473E-2</c:v>
                </c:pt>
                <c:pt idx="1939">
                  <c:v>2.7783755540697497E-2</c:v>
                </c:pt>
                <c:pt idx="1940">
                  <c:v>2.7776073762690322E-2</c:v>
                </c:pt>
                <c:pt idx="1941">
                  <c:v>2.7768357062527883E-2</c:v>
                </c:pt>
                <c:pt idx="1942">
                  <c:v>2.7760605440415441E-2</c:v>
                </c:pt>
                <c:pt idx="1943">
                  <c:v>2.7752818896554725E-2</c:v>
                </c:pt>
                <c:pt idx="1944">
                  <c:v>2.7744510635434119E-2</c:v>
                </c:pt>
                <c:pt idx="1945">
                  <c:v>2.7736657337886345E-2</c:v>
                </c:pt>
                <c:pt idx="1946">
                  <c:v>2.7728769121666941E-2</c:v>
                </c:pt>
                <c:pt idx="1947">
                  <c:v>2.7720845986981643E-2</c:v>
                </c:pt>
                <c:pt idx="1948">
                  <c:v>2.7713362358212895E-2</c:v>
                </c:pt>
                <c:pt idx="1949">
                  <c:v>2.7705366288185318E-2</c:v>
                </c:pt>
                <c:pt idx="1950">
                  <c:v>2.7697335297859494E-2</c:v>
                </c:pt>
                <c:pt idx="1951">
                  <c:v>2.7689269387445082E-2</c:v>
                </c:pt>
                <c:pt idx="1952">
                  <c:v>2.7681168557154395E-2</c:v>
                </c:pt>
                <c:pt idx="1953">
                  <c:v>2.7673032807197975E-2</c:v>
                </c:pt>
                <c:pt idx="1954">
                  <c:v>2.7664862137792529E-2</c:v>
                </c:pt>
                <c:pt idx="1955">
                  <c:v>2.7656656549148607E-2</c:v>
                </c:pt>
                <c:pt idx="1956">
                  <c:v>2.7648416041485557E-2</c:v>
                </c:pt>
                <c:pt idx="1957">
                  <c:v>2.7640140615014807E-2</c:v>
                </c:pt>
                <c:pt idx="1958">
                  <c:v>2.763183053853956E-2</c:v>
                </c:pt>
                <c:pt idx="1959">
                  <c:v>2.7623488719381955E-2</c:v>
                </c:pt>
                <c:pt idx="1960">
                  <c:v>2.7615119562450517E-2</c:v>
                </c:pt>
                <c:pt idx="1961">
                  <c:v>2.7606727489797707E-2</c:v>
                </c:pt>
                <c:pt idx="1962">
                  <c:v>2.7598316923446029E-2</c:v>
                </c:pt>
                <c:pt idx="1963">
                  <c:v>2.7589892285378351E-2</c:v>
                </c:pt>
                <c:pt idx="1964">
                  <c:v>2.7581457997538771E-2</c:v>
                </c:pt>
                <c:pt idx="1965">
                  <c:v>2.7573018481836156E-2</c:v>
                </c:pt>
                <c:pt idx="1966">
                  <c:v>2.7564141362448457E-2</c:v>
                </c:pt>
                <c:pt idx="1967">
                  <c:v>2.7555704011503427E-2</c:v>
                </c:pt>
                <c:pt idx="1968">
                  <c:v>2.7547274530818445E-2</c:v>
                </c:pt>
                <c:pt idx="1969">
                  <c:v>2.7539296577268006E-2</c:v>
                </c:pt>
                <c:pt idx="1970">
                  <c:v>2.7530897249575016E-2</c:v>
                </c:pt>
                <c:pt idx="1971">
                  <c:v>2.7522519087178159E-2</c:v>
                </c:pt>
                <c:pt idx="1972">
                  <c:v>2.7514164064490813E-2</c:v>
                </c:pt>
                <c:pt idx="1973">
                  <c:v>2.7505832239379135E-2</c:v>
                </c:pt>
                <c:pt idx="1974">
                  <c:v>2.7497523611700419E-2</c:v>
                </c:pt>
                <c:pt idx="1975">
                  <c:v>2.7489238181306667E-2</c:v>
                </c:pt>
                <c:pt idx="1976">
                  <c:v>2.7480975948056926E-2</c:v>
                </c:pt>
                <c:pt idx="1977">
                  <c:v>2.7472736911804078E-2</c:v>
                </c:pt>
                <c:pt idx="1978">
                  <c:v>2.7464072612389468E-2</c:v>
                </c:pt>
                <c:pt idx="1979">
                  <c:v>2.7455429546797805E-2</c:v>
                </c:pt>
                <c:pt idx="1980">
                  <c:v>2.7447258012009128E-2</c:v>
                </c:pt>
                <c:pt idx="1981">
                  <c:v>2.7439109669828494E-2</c:v>
                </c:pt>
                <c:pt idx="1982">
                  <c:v>2.74298256776992E-2</c:v>
                </c:pt>
                <c:pt idx="1983">
                  <c:v>2.7421727033496879E-2</c:v>
                </c:pt>
                <c:pt idx="1984">
                  <c:v>2.7413651581469457E-2</c:v>
                </c:pt>
                <c:pt idx="1985">
                  <c:v>2.740559932147825E-2</c:v>
                </c:pt>
                <c:pt idx="1986">
                  <c:v>2.7397570253385482E-2</c:v>
                </c:pt>
                <c:pt idx="1987">
                  <c:v>2.7389564377053373E-2</c:v>
                </c:pt>
                <c:pt idx="1988">
                  <c:v>2.7381122818095738E-2</c:v>
                </c:pt>
                <c:pt idx="1989">
                  <c:v>2.7373162263481465E-2</c:v>
                </c:pt>
                <c:pt idx="1990">
                  <c:v>2.736522489832717E-2</c:v>
                </c:pt>
                <c:pt idx="1991">
                  <c:v>2.7358697289668825E-2</c:v>
                </c:pt>
                <c:pt idx="1992">
                  <c:v>2.7350809504949794E-2</c:v>
                </c:pt>
                <c:pt idx="1993">
                  <c:v>2.7342944914962766E-2</c:v>
                </c:pt>
                <c:pt idx="1994">
                  <c:v>2.7335103519571195E-2</c:v>
                </c:pt>
                <c:pt idx="1995">
                  <c:v>2.7327285318638542E-2</c:v>
                </c:pt>
                <c:pt idx="1996">
                  <c:v>2.7319022641469234E-2</c:v>
                </c:pt>
                <c:pt idx="1997">
                  <c:v>2.7311249752070561E-2</c:v>
                </c:pt>
                <c:pt idx="1998">
                  <c:v>2.7303500054839978E-2</c:v>
                </c:pt>
                <c:pt idx="1999">
                  <c:v>2.7295773549643888E-2</c:v>
                </c:pt>
                <c:pt idx="2000">
                  <c:v>2.7288542226101033E-2</c:v>
                </c:pt>
                <c:pt idx="2001">
                  <c:v>2.7280863189075549E-2</c:v>
                </c:pt>
                <c:pt idx="2002">
                  <c:v>2.7273207345562857E-2</c:v>
                </c:pt>
                <c:pt idx="2003">
                  <c:v>2.726557469543257E-2</c:v>
                </c:pt>
                <c:pt idx="2004">
                  <c:v>2.7257965238550789E-2</c:v>
                </c:pt>
                <c:pt idx="2005">
                  <c:v>2.7250378974782729E-2</c:v>
                </c:pt>
                <c:pt idx="2006">
                  <c:v>2.7242815903999774E-2</c:v>
                </c:pt>
                <c:pt idx="2007">
                  <c:v>2.7235276026067141E-2</c:v>
                </c:pt>
                <c:pt idx="2008">
                  <c:v>2.7227759340856212E-2</c:v>
                </c:pt>
                <c:pt idx="2009">
                  <c:v>2.7220265848233966E-2</c:v>
                </c:pt>
                <c:pt idx="2010">
                  <c:v>2.7212795548072669E-2</c:v>
                </c:pt>
                <c:pt idx="2011">
                  <c:v>2.7205348440239294E-2</c:v>
                </c:pt>
                <c:pt idx="2012">
                  <c:v>2.7197924524605229E-2</c:v>
                </c:pt>
                <c:pt idx="2013">
                  <c:v>2.7190523801041856E-2</c:v>
                </c:pt>
                <c:pt idx="2014">
                  <c:v>2.7183146269419672E-2</c:v>
                </c:pt>
                <c:pt idx="2015">
                  <c:v>2.7175791929610071E-2</c:v>
                </c:pt>
                <c:pt idx="2016">
                  <c:v>2.7168460781485309E-2</c:v>
                </c:pt>
                <c:pt idx="2017">
                  <c:v>2.7161152824919411E-2</c:v>
                </c:pt>
                <c:pt idx="2018">
                  <c:v>2.7153376262815852E-2</c:v>
                </c:pt>
                <c:pt idx="2019">
                  <c:v>2.7146113570891098E-2</c:v>
                </c:pt>
                <c:pt idx="2020">
                  <c:v>2.7138874068289791E-2</c:v>
                </c:pt>
                <c:pt idx="2021">
                  <c:v>2.7131657754887253E-2</c:v>
                </c:pt>
                <c:pt idx="2022">
                  <c:v>2.7124960911002166E-2</c:v>
                </c:pt>
                <c:pt idx="2023">
                  <c:v>2.7117792101120228E-2</c:v>
                </c:pt>
                <c:pt idx="2024">
                  <c:v>2.7110646481914458E-2</c:v>
                </c:pt>
                <c:pt idx="2025">
                  <c:v>2.7103524053257996E-2</c:v>
                </c:pt>
                <c:pt idx="2026">
                  <c:v>2.70964248150284E-2</c:v>
                </c:pt>
                <c:pt idx="2027">
                  <c:v>2.7089348767101448E-2</c:v>
                </c:pt>
                <c:pt idx="2028">
                  <c:v>2.7082295909356461E-2</c:v>
                </c:pt>
                <c:pt idx="2029">
                  <c:v>2.7075266241666576E-2</c:v>
                </c:pt>
                <c:pt idx="2030">
                  <c:v>2.7067754427848468E-2</c:v>
                </c:pt>
                <c:pt idx="2031">
                  <c:v>2.706026365734112E-2</c:v>
                </c:pt>
                <c:pt idx="2032">
                  <c:v>2.705330127516338E-2</c:v>
                </c:pt>
                <c:pt idx="2033">
                  <c:v>2.7046362078882152E-2</c:v>
                </c:pt>
                <c:pt idx="2034">
                  <c:v>2.703944606838217E-2</c:v>
                </c:pt>
                <c:pt idx="2035">
                  <c:v>2.7032553243544564E-2</c:v>
                </c:pt>
                <c:pt idx="2036">
                  <c:v>2.7025683604251369E-2</c:v>
                </c:pt>
                <c:pt idx="2037">
                  <c:v>2.7018837150386419E-2</c:v>
                </c:pt>
                <c:pt idx="2038">
                  <c:v>2.7012013881832646E-2</c:v>
                </c:pt>
                <c:pt idx="2039">
                  <c:v>2.700469840574769E-2</c:v>
                </c:pt>
                <c:pt idx="2040">
                  <c:v>2.6998436900194867E-2</c:v>
                </c:pt>
                <c:pt idx="2041">
                  <c:v>2.69911654797718E-2</c:v>
                </c:pt>
                <c:pt idx="2042">
                  <c:v>2.6984433791378035E-2</c:v>
                </c:pt>
                <c:pt idx="2043">
                  <c:v>2.6979285782204356E-2</c:v>
                </c:pt>
                <c:pt idx="2044">
                  <c:v>2.6972603950910414E-2</c:v>
                </c:pt>
                <c:pt idx="2045">
                  <c:v>2.6965945307763469E-2</c:v>
                </c:pt>
                <c:pt idx="2046">
                  <c:v>2.6959309852648994E-2</c:v>
                </c:pt>
                <c:pt idx="2047">
                  <c:v>2.6952697585448947E-2</c:v>
                </c:pt>
                <c:pt idx="2048">
                  <c:v>2.6945582365652736E-2</c:v>
                </c:pt>
                <c:pt idx="2049">
                  <c:v>2.6939015300827186E-2</c:v>
                </c:pt>
                <c:pt idx="2050">
                  <c:v>2.6932471421760834E-2</c:v>
                </c:pt>
                <c:pt idx="2051">
                  <c:v>2.6925950728337901E-2</c:v>
                </c:pt>
                <c:pt idx="2052">
                  <c:v>2.6919984064173584E-2</c:v>
                </c:pt>
                <c:pt idx="2053">
                  <c:v>2.6913510922066588E-2</c:v>
                </c:pt>
                <c:pt idx="2054">
                  <c:v>2.6907060967076773E-2</c:v>
                </c:pt>
                <c:pt idx="2055">
                  <c:v>2.6900634199094015E-2</c:v>
                </c:pt>
                <c:pt idx="2056">
                  <c:v>2.689423061800468E-2</c:v>
                </c:pt>
                <c:pt idx="2057">
                  <c:v>2.6887850223699526E-2</c:v>
                </c:pt>
                <c:pt idx="2058">
                  <c:v>2.6881493016064035E-2</c:v>
                </c:pt>
                <c:pt idx="2059">
                  <c:v>2.6875158994991613E-2</c:v>
                </c:pt>
                <c:pt idx="2060">
                  <c:v>2.6868848160369496E-2</c:v>
                </c:pt>
                <c:pt idx="2061">
                  <c:v>2.6862560512087571E-2</c:v>
                </c:pt>
                <c:pt idx="2062">
                  <c:v>2.6856296050037483E-2</c:v>
                </c:pt>
                <c:pt idx="2063">
                  <c:v>2.6850054774109993E-2</c:v>
                </c:pt>
                <c:pt idx="2064">
                  <c:v>2.6843836684195866E-2</c:v>
                </c:pt>
                <c:pt idx="2065">
                  <c:v>2.6837641780186747E-2</c:v>
                </c:pt>
                <c:pt idx="2066">
                  <c:v>2.6831470061976923E-2</c:v>
                </c:pt>
                <c:pt idx="2067">
                  <c:v>2.6825321529456277E-2</c:v>
                </c:pt>
                <c:pt idx="2068">
                  <c:v>2.6819196182518216E-2</c:v>
                </c:pt>
                <c:pt idx="2069">
                  <c:v>2.6813094021057023E-2</c:v>
                </c:pt>
                <c:pt idx="2070">
                  <c:v>2.6806462678822945E-2</c:v>
                </c:pt>
                <c:pt idx="2071">
                  <c:v>2.6800405675242309E-2</c:v>
                </c:pt>
                <c:pt idx="2072">
                  <c:v>2.679437185503045E-2</c:v>
                </c:pt>
                <c:pt idx="2073">
                  <c:v>2.67889172278588E-2</c:v>
                </c:pt>
                <c:pt idx="2074">
                  <c:v>2.6782930992195402E-2</c:v>
                </c:pt>
                <c:pt idx="2075">
                  <c:v>2.6776967941375476E-2</c:v>
                </c:pt>
                <c:pt idx="2076">
                  <c:v>2.6771028075297725E-2</c:v>
                </c:pt>
                <c:pt idx="2077">
                  <c:v>2.676511139385819E-2</c:v>
                </c:pt>
                <c:pt idx="2078">
                  <c:v>2.6759217896953805E-2</c:v>
                </c:pt>
                <c:pt idx="2079">
                  <c:v>2.6753347584480617E-2</c:v>
                </c:pt>
                <c:pt idx="2080">
                  <c:v>2.67475004563382E-2</c:v>
                </c:pt>
                <c:pt idx="2081">
                  <c:v>2.6741676512424369E-2</c:v>
                </c:pt>
                <c:pt idx="2082">
                  <c:v>2.6735875752636931E-2</c:v>
                </c:pt>
                <c:pt idx="2083">
                  <c:v>2.6728961780205035E-2</c:v>
                </c:pt>
                <c:pt idx="2084">
                  <c:v>2.672320491675173E-2</c:v>
                </c:pt>
                <c:pt idx="2085">
                  <c:v>2.6717471233574833E-2</c:v>
                </c:pt>
                <c:pt idx="2086">
                  <c:v>2.6710946836686511E-2</c:v>
                </c:pt>
                <c:pt idx="2087">
                  <c:v>2.6705262825202816E-2</c:v>
                </c:pt>
                <c:pt idx="2088">
                  <c:v>2.6699601993688447E-2</c:v>
                </c:pt>
                <c:pt idx="2089">
                  <c:v>2.6693964342048848E-2</c:v>
                </c:pt>
                <c:pt idx="2090">
                  <c:v>2.668834987018677E-2</c:v>
                </c:pt>
                <c:pt idx="2091">
                  <c:v>2.6682180486244159E-2</c:v>
                </c:pt>
                <c:pt idx="2092">
                  <c:v>2.667661112376123E-2</c:v>
                </c:pt>
                <c:pt idx="2093">
                  <c:v>2.6671064939004781E-2</c:v>
                </c:pt>
                <c:pt idx="2094">
                  <c:v>2.6665541931881927E-2</c:v>
                </c:pt>
                <c:pt idx="2095">
                  <c:v>2.6661791852998745E-2</c:v>
                </c:pt>
                <c:pt idx="2096">
                  <c:v>2.6656318972381691E-2</c:v>
                </c:pt>
                <c:pt idx="2097">
                  <c:v>2.665086927440577E-2</c:v>
                </c:pt>
                <c:pt idx="2098">
                  <c:v>2.6645442758974961E-2</c:v>
                </c:pt>
                <c:pt idx="2099">
                  <c:v>2.6640039425996763E-2</c:v>
                </c:pt>
                <c:pt idx="2100">
                  <c:v>2.6634069572236418E-2</c:v>
                </c:pt>
                <c:pt idx="2101">
                  <c:v>2.6628711337684172E-2</c:v>
                </c:pt>
                <c:pt idx="2102">
                  <c:v>2.6623376283545632E-2</c:v>
                </c:pt>
                <c:pt idx="2103">
                  <c:v>2.6618064409729955E-2</c:v>
                </c:pt>
                <c:pt idx="2104">
                  <c:v>2.6613370494600243E-2</c:v>
                </c:pt>
                <c:pt idx="2105">
                  <c:v>2.6608106254368821E-2</c:v>
                </c:pt>
                <c:pt idx="2106">
                  <c:v>2.660286519594076E-2</c:v>
                </c:pt>
                <c:pt idx="2107">
                  <c:v>2.65976473192218E-2</c:v>
                </c:pt>
                <c:pt idx="2108">
                  <c:v>2.6592452624122968E-2</c:v>
                </c:pt>
                <c:pt idx="2109">
                  <c:v>2.658728111055176E-2</c:v>
                </c:pt>
                <c:pt idx="2110">
                  <c:v>2.6582132778420968E-2</c:v>
                </c:pt>
                <c:pt idx="2111">
                  <c:v>2.6577007627639853E-2</c:v>
                </c:pt>
                <c:pt idx="2112">
                  <c:v>2.6571905658117682E-2</c:v>
                </c:pt>
                <c:pt idx="2113">
                  <c:v>2.6566826869768117E-2</c:v>
                </c:pt>
                <c:pt idx="2114">
                  <c:v>2.6561771262500429E-2</c:v>
                </c:pt>
                <c:pt idx="2115">
                  <c:v>2.6556738836229159E-2</c:v>
                </c:pt>
                <c:pt idx="2116">
                  <c:v>2.6551729590863576E-2</c:v>
                </c:pt>
                <c:pt idx="2117">
                  <c:v>2.6546743526318226E-2</c:v>
                </c:pt>
                <c:pt idx="2118">
                  <c:v>2.6541780642506781E-2</c:v>
                </c:pt>
                <c:pt idx="2119">
                  <c:v>2.6536840939341142E-2</c:v>
                </c:pt>
                <c:pt idx="2120">
                  <c:v>2.6531924416737625E-2</c:v>
                </c:pt>
                <c:pt idx="2121">
                  <c:v>2.6527031074609013E-2</c:v>
                </c:pt>
                <c:pt idx="2122">
                  <c:v>2.6521542949118227E-2</c:v>
                </c:pt>
                <c:pt idx="2123">
                  <c:v>2.6516694663061266E-2</c:v>
                </c:pt>
                <c:pt idx="2124">
                  <c:v>2.6511869555489825E-2</c:v>
                </c:pt>
                <c:pt idx="2125">
                  <c:v>2.6507689509150473E-2</c:v>
                </c:pt>
                <c:pt idx="2126">
                  <c:v>2.6502912068129606E-2</c:v>
                </c:pt>
                <c:pt idx="2127">
                  <c:v>2.6498157807077108E-2</c:v>
                </c:pt>
                <c:pt idx="2128">
                  <c:v>2.6493426725913691E-2</c:v>
                </c:pt>
                <c:pt idx="2129">
                  <c:v>2.6488718824554787E-2</c:v>
                </c:pt>
                <c:pt idx="2130">
                  <c:v>2.648403410291935E-2</c:v>
                </c:pt>
                <c:pt idx="2131">
                  <c:v>2.6479372560925456E-2</c:v>
                </c:pt>
                <c:pt idx="2132">
                  <c:v>2.6474734198491171E-2</c:v>
                </c:pt>
                <c:pt idx="2133">
                  <c:v>2.6470119015538095E-2</c:v>
                </c:pt>
                <c:pt idx="2134">
                  <c:v>2.646552701198342E-2</c:v>
                </c:pt>
                <c:pt idx="2135">
                  <c:v>2.646032312873485E-2</c:v>
                </c:pt>
                <c:pt idx="2136">
                  <c:v>2.6455776156617233E-2</c:v>
                </c:pt>
                <c:pt idx="2137">
                  <c:v>2.6451252361933315E-2</c:v>
                </c:pt>
                <c:pt idx="2138">
                  <c:v>2.6446110691301174E-2</c:v>
                </c:pt>
                <c:pt idx="2139">
                  <c:v>2.6444199784939875E-2</c:v>
                </c:pt>
                <c:pt idx="2140">
                  <c:v>2.643718561047163E-2</c:v>
                </c:pt>
                <c:pt idx="2141">
                  <c:v>2.6432757835768771E-2</c:v>
                </c:pt>
                <c:pt idx="2142">
                  <c:v>2.6428353238105957E-2</c:v>
                </c:pt>
                <c:pt idx="2143">
                  <c:v>2.6423326060768436E-2</c:v>
                </c:pt>
                <c:pt idx="2144">
                  <c:v>2.6418966476035307E-2</c:v>
                </c:pt>
                <c:pt idx="2145">
                  <c:v>2.6414630066397021E-2</c:v>
                </c:pt>
                <c:pt idx="2146">
                  <c:v>2.6410316831779735E-2</c:v>
                </c:pt>
                <c:pt idx="2147">
                  <c:v>2.6406677902742051E-2</c:v>
                </c:pt>
                <c:pt idx="2148">
                  <c:v>2.6404370762219367E-2</c:v>
                </c:pt>
                <c:pt idx="2149">
                  <c:v>2.6400132451584693E-2</c:v>
                </c:pt>
                <c:pt idx="2150">
                  <c:v>2.6395917322536669E-2</c:v>
                </c:pt>
                <c:pt idx="2151">
                  <c:v>2.6391725375001146E-2</c:v>
                </c:pt>
                <c:pt idx="2152">
                  <c:v>2.6383207912748379E-2</c:v>
                </c:pt>
                <c:pt idx="2153">
                  <c:v>2.6379071501129635E-2</c:v>
                </c:pt>
                <c:pt idx="2154">
                  <c:v>2.6374958265625578E-2</c:v>
                </c:pt>
                <c:pt idx="2155">
                  <c:v>2.6370868206164074E-2</c:v>
                </c:pt>
                <c:pt idx="2156">
                  <c:v>2.6367465585948852E-2</c:v>
                </c:pt>
                <c:pt idx="2157">
                  <c:v>2.6363423242763331E-2</c:v>
                </c:pt>
                <c:pt idx="2158">
                  <c:v>2.6359404077120074E-2</c:v>
                </c:pt>
                <c:pt idx="2159">
                  <c:v>2.6355408088946843E-2</c:v>
                </c:pt>
                <c:pt idx="2160">
                  <c:v>2.6351435278178452E-2</c:v>
                </c:pt>
                <c:pt idx="2161">
                  <c:v>2.6347485644741781E-2</c:v>
                </c:pt>
                <c:pt idx="2162">
                  <c:v>2.6343559188570759E-2</c:v>
                </c:pt>
                <c:pt idx="2163">
                  <c:v>2.6339655909594913E-2</c:v>
                </c:pt>
                <c:pt idx="2164">
                  <c:v>2.6335775807747291E-2</c:v>
                </c:pt>
                <c:pt idx="2165">
                  <c:v>2.6331918882960943E-2</c:v>
                </c:pt>
                <c:pt idx="2166">
                  <c:v>2.6328085135168034E-2</c:v>
                </c:pt>
                <c:pt idx="2167">
                  <c:v>2.6324274564301614E-2</c:v>
                </c:pt>
                <c:pt idx="2168">
                  <c:v>2.6320487170295614E-2</c:v>
                </c:pt>
                <c:pt idx="2169">
                  <c:v>2.6316722953084844E-2</c:v>
                </c:pt>
                <c:pt idx="2170">
                  <c:v>2.6312981912601469E-2</c:v>
                </c:pt>
                <c:pt idx="2171">
                  <c:v>2.6309264048782945E-2</c:v>
                </c:pt>
                <c:pt idx="2172">
                  <c:v>2.6305569361563204E-2</c:v>
                </c:pt>
                <c:pt idx="2173">
                  <c:v>2.6301210161096197E-2</c:v>
                </c:pt>
                <c:pt idx="2174">
                  <c:v>2.6297560433551446E-2</c:v>
                </c:pt>
                <c:pt idx="2175">
                  <c:v>2.6293933880717768E-2</c:v>
                </c:pt>
                <c:pt idx="2176">
                  <c:v>2.6290330502533713E-2</c:v>
                </c:pt>
                <c:pt idx="2177">
                  <c:v>2.6286750298935159E-2</c:v>
                </c:pt>
                <c:pt idx="2178">
                  <c:v>2.6283887943255733E-2</c:v>
                </c:pt>
                <c:pt idx="2179">
                  <c:v>2.628035549045148E-2</c:v>
                </c:pt>
                <c:pt idx="2180">
                  <c:v>2.6276846213744754E-2</c:v>
                </c:pt>
                <c:pt idx="2181">
                  <c:v>2.6273360113070368E-2</c:v>
                </c:pt>
                <c:pt idx="2182">
                  <c:v>2.6269897188371936E-2</c:v>
                </c:pt>
                <c:pt idx="2183">
                  <c:v>2.6266457439586915E-2</c:v>
                </c:pt>
                <c:pt idx="2184">
                  <c:v>2.6263040866656283E-2</c:v>
                </c:pt>
                <c:pt idx="2185">
                  <c:v>2.625964746951925E-2</c:v>
                </c:pt>
                <c:pt idx="2186">
                  <c:v>2.6254865546558231E-2</c:v>
                </c:pt>
                <c:pt idx="2187">
                  <c:v>2.6251515670404599E-2</c:v>
                </c:pt>
                <c:pt idx="2188">
                  <c:v>2.6248188966492985E-2</c:v>
                </c:pt>
                <c:pt idx="2189">
                  <c:v>2.6244885434769355E-2</c:v>
                </c:pt>
                <c:pt idx="2190">
                  <c:v>2.6241605075175173E-2</c:v>
                </c:pt>
                <c:pt idx="2191">
                  <c:v>2.6238347887656409E-2</c:v>
                </c:pt>
                <c:pt idx="2192">
                  <c:v>2.6235113872156331E-2</c:v>
                </c:pt>
                <c:pt idx="2193">
                  <c:v>2.623261873613476E-2</c:v>
                </c:pt>
                <c:pt idx="2194">
                  <c:v>2.6228715356993414E-2</c:v>
                </c:pt>
                <c:pt idx="2195">
                  <c:v>2.6226269420225688E-2</c:v>
                </c:pt>
                <c:pt idx="2196">
                  <c:v>2.6222409529250566E-2</c:v>
                </c:pt>
                <c:pt idx="2197">
                  <c:v>2.6219291373028957E-2</c:v>
                </c:pt>
                <c:pt idx="2198">
                  <c:v>2.6216196388500049E-2</c:v>
                </c:pt>
                <c:pt idx="2199">
                  <c:v>2.6214573335679784E-2</c:v>
                </c:pt>
                <c:pt idx="2200">
                  <c:v>2.6211527568598389E-2</c:v>
                </c:pt>
                <c:pt idx="2201">
                  <c:v>2.6208504976413801E-2</c:v>
                </c:pt>
                <c:pt idx="2202">
                  <c:v>2.6205505559074048E-2</c:v>
                </c:pt>
                <c:pt idx="2203">
                  <c:v>2.6202529316528035E-2</c:v>
                </c:pt>
                <c:pt idx="2204">
                  <c:v>2.6198844579936986E-2</c:v>
                </c:pt>
                <c:pt idx="2205">
                  <c:v>2.6195913241207593E-2</c:v>
                </c:pt>
                <c:pt idx="2206">
                  <c:v>2.6193005075438321E-2</c:v>
                </c:pt>
                <c:pt idx="2207">
                  <c:v>2.6190120082581963E-2</c:v>
                </c:pt>
                <c:pt idx="2208">
                  <c:v>2.6187995723890189E-2</c:v>
                </c:pt>
                <c:pt idx="2209">
                  <c:v>2.6185158529028339E-2</c:v>
                </c:pt>
                <c:pt idx="2210">
                  <c:v>2.6182344508603447E-2</c:v>
                </c:pt>
                <c:pt idx="2211">
                  <c:v>2.6179553662568824E-2</c:v>
                </c:pt>
                <c:pt idx="2212">
                  <c:v>2.617678599087778E-2</c:v>
                </c:pt>
                <c:pt idx="2213">
                  <c:v>2.6174041493476581E-2</c:v>
                </c:pt>
                <c:pt idx="2214">
                  <c:v>2.6171320170320294E-2</c:v>
                </c:pt>
                <c:pt idx="2215">
                  <c:v>2.6168622021363993E-2</c:v>
                </c:pt>
                <c:pt idx="2216">
                  <c:v>2.6165947046557465E-2</c:v>
                </c:pt>
                <c:pt idx="2217">
                  <c:v>2.6163295245854902E-2</c:v>
                </c:pt>
                <c:pt idx="2218">
                  <c:v>2.6160666619211376E-2</c:v>
                </c:pt>
                <c:pt idx="2219">
                  <c:v>2.6158061166579313E-2</c:v>
                </c:pt>
                <c:pt idx="2220">
                  <c:v>2.6155478887914672E-2</c:v>
                </c:pt>
                <c:pt idx="2221">
                  <c:v>2.615291978317252E-2</c:v>
                </c:pt>
                <c:pt idx="2222">
                  <c:v>2.6150383852307054E-2</c:v>
                </c:pt>
                <c:pt idx="2223">
                  <c:v>2.6147871095275981E-2</c:v>
                </c:pt>
                <c:pt idx="2224">
                  <c:v>2.6145381512033501E-2</c:v>
                </c:pt>
                <c:pt idx="2225">
                  <c:v>2.614215272427441E-2</c:v>
                </c:pt>
                <c:pt idx="2226">
                  <c:v>2.6139708007748636E-2</c:v>
                </c:pt>
                <c:pt idx="2227">
                  <c:v>2.613728646321577E-2</c:v>
                </c:pt>
                <c:pt idx="2228">
                  <c:v>2.613488809063217E-2</c:v>
                </c:pt>
                <c:pt idx="2229">
                  <c:v>2.6133281201164656E-2</c:v>
                </c:pt>
                <c:pt idx="2230">
                  <c:v>2.6130930659763955E-2</c:v>
                </c:pt>
                <c:pt idx="2231">
                  <c:v>2.6128603291858492E-2</c:v>
                </c:pt>
                <c:pt idx="2232">
                  <c:v>2.6126299097407744E-2</c:v>
                </c:pt>
                <c:pt idx="2233">
                  <c:v>2.6124018076370305E-2</c:v>
                </c:pt>
                <c:pt idx="2234">
                  <c:v>2.6121760228708293E-2</c:v>
                </c:pt>
                <c:pt idx="2235">
                  <c:v>2.6119525554380307E-2</c:v>
                </c:pt>
                <c:pt idx="2236">
                  <c:v>2.6117314053347582E-2</c:v>
                </c:pt>
                <c:pt idx="2237">
                  <c:v>2.6115125725574003E-2</c:v>
                </c:pt>
                <c:pt idx="2238">
                  <c:v>2.6111397236058549E-2</c:v>
                </c:pt>
                <c:pt idx="2239">
                  <c:v>2.6109252250159577E-2</c:v>
                </c:pt>
                <c:pt idx="2240">
                  <c:v>2.6107130434081135E-2</c:v>
                </c:pt>
                <c:pt idx="2241">
                  <c:v>2.6105031787788103E-2</c:v>
                </c:pt>
                <c:pt idx="2242">
                  <c:v>2.6102661705999314E-2</c:v>
                </c:pt>
                <c:pt idx="2243">
                  <c:v>2.6100612709125264E-2</c:v>
                </c:pt>
                <c:pt idx="2244">
                  <c:v>2.6098586881924065E-2</c:v>
                </c:pt>
                <c:pt idx="2245">
                  <c:v>2.609658422436149E-2</c:v>
                </c:pt>
                <c:pt idx="2246">
                  <c:v>2.6094604736404226E-2</c:v>
                </c:pt>
                <c:pt idx="2247">
                  <c:v>2.609264841801805E-2</c:v>
                </c:pt>
                <c:pt idx="2248">
                  <c:v>2.608991856162534E-2</c:v>
                </c:pt>
                <c:pt idx="2249">
                  <c:v>2.6088007063520758E-2</c:v>
                </c:pt>
                <c:pt idx="2250">
                  <c:v>2.608611873322951E-2</c:v>
                </c:pt>
                <c:pt idx="2251">
                  <c:v>2.6086657927569749E-2</c:v>
                </c:pt>
                <c:pt idx="2252">
                  <c:v>2.6084820504702087E-2</c:v>
                </c:pt>
                <c:pt idx="2253">
                  <c:v>2.6083006254528012E-2</c:v>
                </c:pt>
                <c:pt idx="2254">
                  <c:v>2.6081215177014921E-2</c:v>
                </c:pt>
                <c:pt idx="2255">
                  <c:v>2.6079447272129342E-2</c:v>
                </c:pt>
                <c:pt idx="2256">
                  <c:v>2.6076893266544852E-2</c:v>
                </c:pt>
                <c:pt idx="2257">
                  <c:v>2.607517017435159E-2</c:v>
                </c:pt>
                <c:pt idx="2258">
                  <c:v>2.6073470253040631E-2</c:v>
                </c:pt>
                <c:pt idx="2259">
                  <c:v>2.6071793502582593E-2</c:v>
                </c:pt>
                <c:pt idx="2260">
                  <c:v>2.6070955336083446E-2</c:v>
                </c:pt>
                <c:pt idx="2261">
                  <c:v>2.6069326466342763E-2</c:v>
                </c:pt>
                <c:pt idx="2262">
                  <c:v>2.6067720769024333E-2</c:v>
                </c:pt>
                <c:pt idx="2263">
                  <c:v>2.6066138244099969E-2</c:v>
                </c:pt>
                <c:pt idx="2264">
                  <c:v>2.6064578891542359E-2</c:v>
                </c:pt>
                <c:pt idx="2265">
                  <c:v>2.6063042711324196E-2</c:v>
                </c:pt>
                <c:pt idx="2266">
                  <c:v>2.6061529703419049E-2</c:v>
                </c:pt>
                <c:pt idx="2267">
                  <c:v>2.6060039867801373E-2</c:v>
                </c:pt>
                <c:pt idx="2268">
                  <c:v>2.605857320444474E-2</c:v>
                </c:pt>
                <c:pt idx="2269">
                  <c:v>2.6057129713321841E-2</c:v>
                </c:pt>
                <c:pt idx="2270">
                  <c:v>2.6055709394409769E-2</c:v>
                </c:pt>
                <c:pt idx="2271">
                  <c:v>2.6054312247682978E-2</c:v>
                </c:pt>
                <c:pt idx="2272">
                  <c:v>2.6052938273117686E-2</c:v>
                </c:pt>
                <c:pt idx="2273">
                  <c:v>2.605158747068834E-2</c:v>
                </c:pt>
                <c:pt idx="2274">
                  <c:v>2.6050259840372923E-2</c:v>
                </c:pt>
                <c:pt idx="2275">
                  <c:v>2.6048955382149405E-2</c:v>
                </c:pt>
                <c:pt idx="2276">
                  <c:v>2.6047674095991364E-2</c:v>
                </c:pt>
                <c:pt idx="2277">
                  <c:v>2.6045574179234036E-2</c:v>
                </c:pt>
                <c:pt idx="2278">
                  <c:v>2.6044337669954756E-2</c:v>
                </c:pt>
                <c:pt idx="2279">
                  <c:v>2.6043124331025194E-2</c:v>
                </c:pt>
                <c:pt idx="2280">
                  <c:v>2.6041934162426648E-2</c:v>
                </c:pt>
                <c:pt idx="2281">
                  <c:v>2.6040767164138633E-2</c:v>
                </c:pt>
                <c:pt idx="2282">
                  <c:v>2.6040472991251708E-2</c:v>
                </c:pt>
                <c:pt idx="2283">
                  <c:v>2.6039353908967042E-2</c:v>
                </c:pt>
                <c:pt idx="2284">
                  <c:v>2.6038257998582233E-2</c:v>
                </c:pt>
                <c:pt idx="2285">
                  <c:v>2.6037185260080545E-2</c:v>
                </c:pt>
                <c:pt idx="2286">
                  <c:v>2.6036135693440834E-2</c:v>
                </c:pt>
                <c:pt idx="2287">
                  <c:v>2.6035109298644603E-2</c:v>
                </c:pt>
                <c:pt idx="2288">
                  <c:v>2.6034106075676872E-2</c:v>
                </c:pt>
                <c:pt idx="2289">
                  <c:v>2.6033126024517381E-2</c:v>
                </c:pt>
                <c:pt idx="2290">
                  <c:v>2.6030444727907796E-2</c:v>
                </c:pt>
                <c:pt idx="2291">
                  <c:v>2.6029507843274798E-2</c:v>
                </c:pt>
                <c:pt idx="2292">
                  <c:v>2.6028594127105259E-2</c:v>
                </c:pt>
                <c:pt idx="2293">
                  <c:v>2.6027703579383863E-2</c:v>
                </c:pt>
                <c:pt idx="2294">
                  <c:v>2.6026836200093509E-2</c:v>
                </c:pt>
                <c:pt idx="2295">
                  <c:v>2.6025991989220683E-2</c:v>
                </c:pt>
                <c:pt idx="2296">
                  <c:v>2.602517094675098E-2</c:v>
                </c:pt>
                <c:pt idx="2297">
                  <c:v>2.6024373072669992E-2</c:v>
                </c:pt>
                <c:pt idx="2298">
                  <c:v>2.6023598366964208E-2</c:v>
                </c:pt>
                <c:pt idx="2299">
                  <c:v>2.6022846829621023E-2</c:v>
                </c:pt>
                <c:pt idx="2300">
                  <c:v>2.6021240584730508E-2</c:v>
                </c:pt>
                <c:pt idx="2301">
                  <c:v>2.6020533779422681E-2</c:v>
                </c:pt>
                <c:pt idx="2302">
                  <c:v>2.601985014079445E-2</c:v>
                </c:pt>
                <c:pt idx="2303">
                  <c:v>2.6021838339442559E-2</c:v>
                </c:pt>
                <c:pt idx="2304">
                  <c:v>2.6021205863601633E-2</c:v>
                </c:pt>
                <c:pt idx="2305">
                  <c:v>2.6020596559343426E-2</c:v>
                </c:pt>
                <c:pt idx="2306">
                  <c:v>2.602001042666089E-2</c:v>
                </c:pt>
                <c:pt idx="2307">
                  <c:v>2.6019447465541697E-2</c:v>
                </c:pt>
                <c:pt idx="2308">
                  <c:v>2.601801652360812E-2</c:v>
                </c:pt>
                <c:pt idx="2309">
                  <c:v>2.6017498287300565E-2</c:v>
                </c:pt>
                <c:pt idx="2310">
                  <c:v>2.6017003220883166E-2</c:v>
                </c:pt>
                <c:pt idx="2311">
                  <c:v>2.6016531324347024E-2</c:v>
                </c:pt>
                <c:pt idx="2312">
                  <c:v>2.6016980233076914E-2</c:v>
                </c:pt>
                <c:pt idx="2313">
                  <c:v>2.6016556301149237E-2</c:v>
                </c:pt>
                <c:pt idx="2314">
                  <c:v>2.6016155540726754E-2</c:v>
                </c:pt>
                <c:pt idx="2315">
                  <c:v>2.6015777951800663E-2</c:v>
                </c:pt>
                <c:pt idx="2316">
                  <c:v>2.6015423534363032E-2</c:v>
                </c:pt>
                <c:pt idx="2317">
                  <c:v>2.6015092288410334E-2</c:v>
                </c:pt>
                <c:pt idx="2318">
                  <c:v>2.6014784213937291E-2</c:v>
                </c:pt>
                <c:pt idx="2319">
                  <c:v>2.6014499310935087E-2</c:v>
                </c:pt>
                <c:pt idx="2320">
                  <c:v>2.601423757940196E-2</c:v>
                </c:pt>
                <c:pt idx="2321">
                  <c:v>2.6013999019332629E-2</c:v>
                </c:pt>
                <c:pt idx="2322">
                  <c:v>2.6013783630722685E-2</c:v>
                </c:pt>
                <c:pt idx="2323">
                  <c:v>2.6013591413565965E-2</c:v>
                </c:pt>
                <c:pt idx="2324">
                  <c:v>2.6013422367862468E-2</c:v>
                </c:pt>
                <c:pt idx="2325">
                  <c:v>2.6013276493609547E-2</c:v>
                </c:pt>
                <c:pt idx="2326">
                  <c:v>2.6013153790802806E-2</c:v>
                </c:pt>
                <c:pt idx="2327">
                  <c:v>2.6013054259439592E-2</c:v>
                </c:pt>
                <c:pt idx="2328">
                  <c:v>2.6012977899519913E-2</c:v>
                </c:pt>
                <c:pt idx="2329">
                  <c:v>2.6012924711041122E-2</c:v>
                </c:pt>
                <c:pt idx="2330">
                  <c:v>2.6011967559076653E-2</c:v>
                </c:pt>
                <c:pt idx="2331">
                  <c:v>2.6011959058980128E-2</c:v>
                </c:pt>
                <c:pt idx="2332">
                  <c:v>2.6011973728678466E-2</c:v>
                </c:pt>
                <c:pt idx="2333">
                  <c:v>2.6012011568169884E-2</c:v>
                </c:pt>
                <c:pt idx="2334">
                  <c:v>2.6013006340254344E-2</c:v>
                </c:pt>
                <c:pt idx="2335">
                  <c:v>2.6013092180419126E-2</c:v>
                </c:pt>
                <c:pt idx="2336">
                  <c:v>2.6013201192029201E-2</c:v>
                </c:pt>
                <c:pt idx="2337">
                  <c:v>2.6013333375083693E-2</c:v>
                </c:pt>
                <c:pt idx="2338">
                  <c:v>2.6013488729584356E-2</c:v>
                </c:pt>
                <c:pt idx="2339">
                  <c:v>2.60136672555356E-2</c:v>
                </c:pt>
                <c:pt idx="2340">
                  <c:v>2.6013868952941829E-2</c:v>
                </c:pt>
                <c:pt idx="2341">
                  <c:v>2.6014093821803926E-2</c:v>
                </c:pt>
                <c:pt idx="2342">
                  <c:v>2.6014341862127168E-2</c:v>
                </c:pt>
                <c:pt idx="2343">
                  <c:v>2.6013664302104271E-2</c:v>
                </c:pt>
                <c:pt idx="2344">
                  <c:v>2.6013957009462962E-2</c:v>
                </c:pt>
                <c:pt idx="2345">
                  <c:v>2.6014272886649471E-2</c:v>
                </c:pt>
                <c:pt idx="2346">
                  <c:v>2.6014611933670027E-2</c:v>
                </c:pt>
                <c:pt idx="2347">
                  <c:v>2.6014974150529977E-2</c:v>
                </c:pt>
                <c:pt idx="2348">
                  <c:v>2.6015359537235553E-2</c:v>
                </c:pt>
                <c:pt idx="2349">
                  <c:v>2.6015768093793881E-2</c:v>
                </c:pt>
                <c:pt idx="2350">
                  <c:v>2.6016199820212978E-2</c:v>
                </c:pt>
                <c:pt idx="2351">
                  <c:v>2.6015692698079018E-2</c:v>
                </c:pt>
                <c:pt idx="2352">
                  <c:v>2.6016169075400487E-2</c:v>
                </c:pt>
                <c:pt idx="2353">
                  <c:v>2.601666862095578E-2</c:v>
                </c:pt>
                <c:pt idx="2354">
                  <c:v>2.6017191334756603E-2</c:v>
                </c:pt>
                <c:pt idx="2355">
                  <c:v>2.6017737216810163E-2</c:v>
                </c:pt>
                <c:pt idx="2356">
                  <c:v>2.6020247433201634E-2</c:v>
                </c:pt>
                <c:pt idx="2357">
                  <c:v>2.6020843046182129E-2</c:v>
                </c:pt>
                <c:pt idx="2358">
                  <c:v>2.6021461830742703E-2</c:v>
                </c:pt>
                <c:pt idx="2359">
                  <c:v>2.6022103786890398E-2</c:v>
                </c:pt>
                <c:pt idx="2360">
                  <c:v>2.602179142849799E-2</c:v>
                </c:pt>
                <c:pt idx="2361">
                  <c:v>2.6022478023949289E-2</c:v>
                </c:pt>
                <c:pt idx="2362">
                  <c:v>2.6023187789376248E-2</c:v>
                </c:pt>
                <c:pt idx="2363">
                  <c:v>2.6023920724788659E-2</c:v>
                </c:pt>
                <c:pt idx="2364">
                  <c:v>2.6025661141875343E-2</c:v>
                </c:pt>
                <c:pt idx="2365">
                  <c:v>2.6026442127808309E-2</c:v>
                </c:pt>
                <c:pt idx="2366">
                  <c:v>2.6027246285415612E-2</c:v>
                </c:pt>
                <c:pt idx="2367">
                  <c:v>2.6028073614713109E-2</c:v>
                </c:pt>
                <c:pt idx="2368">
                  <c:v>2.6028924115715776E-2</c:v>
                </c:pt>
                <c:pt idx="2369">
                  <c:v>2.602979778843683E-2</c:v>
                </c:pt>
                <c:pt idx="2370">
                  <c:v>2.6030694632892124E-2</c:v>
                </c:pt>
                <c:pt idx="2371">
                  <c:v>2.6031614649098398E-2</c:v>
                </c:pt>
                <c:pt idx="2372">
                  <c:v>2.6032557837067986E-2</c:v>
                </c:pt>
                <c:pt idx="2373">
                  <c:v>2.6033524196822908E-2</c:v>
                </c:pt>
                <c:pt idx="2374">
                  <c:v>2.6034513728374616E-2</c:v>
                </c:pt>
                <c:pt idx="2375">
                  <c:v>2.6035526431744258E-2</c:v>
                </c:pt>
                <c:pt idx="2376">
                  <c:v>2.6036562306946807E-2</c:v>
                </c:pt>
                <c:pt idx="2377">
                  <c:v>2.6037621354001641E-2</c:v>
                </c:pt>
                <c:pt idx="2378">
                  <c:v>2.6038703572927265E-2</c:v>
                </c:pt>
                <c:pt idx="2379">
                  <c:v>2.603980896374217E-2</c:v>
                </c:pt>
                <c:pt idx="2380">
                  <c:v>2.6040937526466627E-2</c:v>
                </c:pt>
                <c:pt idx="2381">
                  <c:v>2.6042089261115609E-2</c:v>
                </c:pt>
                <c:pt idx="2382">
                  <c:v>2.6042248814399125E-2</c:v>
                </c:pt>
                <c:pt idx="2383">
                  <c:v>2.6043445152740201E-2</c:v>
                </c:pt>
                <c:pt idx="2384">
                  <c:v>2.6044664661414967E-2</c:v>
                </c:pt>
                <c:pt idx="2385">
                  <c:v>2.6047948713283246E-2</c:v>
                </c:pt>
                <c:pt idx="2386">
                  <c:v>2.6048195514012405E-2</c:v>
                </c:pt>
                <c:pt idx="2387">
                  <c:v>2.6049486280669262E-2</c:v>
                </c:pt>
                <c:pt idx="2388">
                  <c:v>2.6050800219401281E-2</c:v>
                </c:pt>
                <c:pt idx="2389">
                  <c:v>2.6052137330233132E-2</c:v>
                </c:pt>
                <c:pt idx="2390">
                  <c:v>2.6053497613188599E-2</c:v>
                </c:pt>
                <c:pt idx="2391">
                  <c:v>2.6054881068291468E-2</c:v>
                </c:pt>
                <c:pt idx="2392">
                  <c:v>2.6056287695564641E-2</c:v>
                </c:pt>
                <c:pt idx="2393">
                  <c:v>2.6057717495031905E-2</c:v>
                </c:pt>
                <c:pt idx="2394">
                  <c:v>2.6059170466721453E-2</c:v>
                </c:pt>
                <c:pt idx="2395">
                  <c:v>2.6058570617289792E-2</c:v>
                </c:pt>
                <c:pt idx="2396">
                  <c:v>2.6060066410248793E-2</c:v>
                </c:pt>
                <c:pt idx="2397">
                  <c:v>2.6061585372192646E-2</c:v>
                </c:pt>
                <c:pt idx="2398">
                  <c:v>2.6063572367522735E-2</c:v>
                </c:pt>
                <c:pt idx="2399">
                  <c:v>2.6065144287239779E-2</c:v>
                </c:pt>
                <c:pt idx="2400">
                  <c:v>2.6066739376025428E-2</c:v>
                </c:pt>
                <c:pt idx="2401">
                  <c:v>2.6068357633908495E-2</c:v>
                </c:pt>
                <c:pt idx="2402">
                  <c:v>2.6069999060915092E-2</c:v>
                </c:pt>
                <c:pt idx="2403">
                  <c:v>2.6070611343007675E-2</c:v>
                </c:pt>
                <c:pt idx="2404">
                  <c:v>2.607229733335371E-2</c:v>
                </c:pt>
                <c:pt idx="2405">
                  <c:v>2.6074006491247179E-2</c:v>
                </c:pt>
                <c:pt idx="2406">
                  <c:v>2.607573881671995E-2</c:v>
                </c:pt>
                <c:pt idx="2407">
                  <c:v>2.6079613378090529E-2</c:v>
                </c:pt>
                <c:pt idx="2408">
                  <c:v>2.6084581204345834E-2</c:v>
                </c:pt>
                <c:pt idx="2409">
                  <c:v>2.6086391951678063E-2</c:v>
                </c:pt>
                <c:pt idx="2410">
                  <c:v>2.6088225875017683E-2</c:v>
                </c:pt>
                <c:pt idx="2411">
                  <c:v>2.6090082974396595E-2</c:v>
                </c:pt>
                <c:pt idx="2412">
                  <c:v>2.6089837989050759E-2</c:v>
                </c:pt>
                <c:pt idx="2413">
                  <c:v>2.6091749309201454E-2</c:v>
                </c:pt>
                <c:pt idx="2414">
                  <c:v>2.6093683800520347E-2</c:v>
                </c:pt>
                <c:pt idx="2415">
                  <c:v>2.6095641463038603E-2</c:v>
                </c:pt>
                <c:pt idx="2416">
                  <c:v>2.6098699287094414E-2</c:v>
                </c:pt>
                <c:pt idx="2417">
                  <c:v>2.6100705090163729E-2</c:v>
                </c:pt>
                <c:pt idx="2418">
                  <c:v>2.61027340662006E-2</c:v>
                </c:pt>
                <c:pt idx="2419">
                  <c:v>2.6104786215243782E-2</c:v>
                </c:pt>
                <c:pt idx="2420">
                  <c:v>2.6106861537324118E-2</c:v>
                </c:pt>
                <c:pt idx="2421">
                  <c:v>2.6108960032482122E-2</c:v>
                </c:pt>
                <c:pt idx="2422">
                  <c:v>2.6111081700750393E-2</c:v>
                </c:pt>
                <c:pt idx="2423">
                  <c:v>2.6113226542168574E-2</c:v>
                </c:pt>
                <c:pt idx="2424">
                  <c:v>2.6115394556772781E-2</c:v>
                </c:pt>
                <c:pt idx="2425">
                  <c:v>2.6117585744602656E-2</c:v>
                </c:pt>
                <c:pt idx="2426">
                  <c:v>2.611980010569432E-2</c:v>
                </c:pt>
                <c:pt idx="2427">
                  <c:v>2.6122037640087414E-2</c:v>
                </c:pt>
                <c:pt idx="2428">
                  <c:v>2.6124298347819819E-2</c:v>
                </c:pt>
                <c:pt idx="2429">
                  <c:v>2.6126582228931175E-2</c:v>
                </c:pt>
                <c:pt idx="2430">
                  <c:v>2.6128889283461128E-2</c:v>
                </c:pt>
                <c:pt idx="2431">
                  <c:v>2.6131219511452839E-2</c:v>
                </c:pt>
                <c:pt idx="2432">
                  <c:v>2.6133572912942431E-2</c:v>
                </c:pt>
                <c:pt idx="2433">
                  <c:v>2.6134841704134461E-2</c:v>
                </c:pt>
                <c:pt idx="2434">
                  <c:v>2.6137239626334081E-2</c:v>
                </c:pt>
                <c:pt idx="2435">
                  <c:v>2.613966072048475E-2</c:v>
                </c:pt>
                <c:pt idx="2436">
                  <c:v>2.6142104986627439E-2</c:v>
                </c:pt>
                <c:pt idx="2437">
                  <c:v>2.6145687524335024E-2</c:v>
                </c:pt>
                <c:pt idx="2438">
                  <c:v>2.6148179967698113E-2</c:v>
                </c:pt>
                <c:pt idx="2439">
                  <c:v>2.6150695584856838E-2</c:v>
                </c:pt>
                <c:pt idx="2440">
                  <c:v>2.6153234375851722E-2</c:v>
                </c:pt>
                <c:pt idx="2441">
                  <c:v>2.6155796340732101E-2</c:v>
                </c:pt>
                <c:pt idx="2442">
                  <c:v>2.6158381479539371E-2</c:v>
                </c:pt>
                <c:pt idx="2443">
                  <c:v>2.6160989792319348E-2</c:v>
                </c:pt>
                <c:pt idx="2444">
                  <c:v>2.6163621279116075E-2</c:v>
                </c:pt>
                <c:pt idx="2445">
                  <c:v>2.6166275939978008E-2</c:v>
                </c:pt>
                <c:pt idx="2446">
                  <c:v>2.6166690689481509E-2</c:v>
                </c:pt>
                <c:pt idx="2447">
                  <c:v>2.6169388002465724E-2</c:v>
                </c:pt>
                <c:pt idx="2448">
                  <c:v>2.6172108486293453E-2</c:v>
                </c:pt>
                <c:pt idx="2449">
                  <c:v>2.6174852141012426E-2</c:v>
                </c:pt>
                <c:pt idx="2450">
                  <c:v>2.6178757796166671E-2</c:v>
                </c:pt>
                <c:pt idx="2451">
                  <c:v>2.6180408963311409E-2</c:v>
                </c:pt>
                <c:pt idx="2452">
                  <c:v>2.618322213098687E-2</c:v>
                </c:pt>
                <c:pt idx="2453">
                  <c:v>2.6186058469740883E-2</c:v>
                </c:pt>
                <c:pt idx="2454">
                  <c:v>2.6188917979623874E-2</c:v>
                </c:pt>
                <c:pt idx="2455">
                  <c:v>2.6192948780333649E-2</c:v>
                </c:pt>
                <c:pt idx="2456">
                  <c:v>2.6194706512971302E-2</c:v>
                </c:pt>
                <c:pt idx="2457">
                  <c:v>2.6197635536534796E-2</c:v>
                </c:pt>
                <c:pt idx="2458">
                  <c:v>2.620174144536544E-2</c:v>
                </c:pt>
                <c:pt idx="2459">
                  <c:v>2.6205874495351205E-2</c:v>
                </c:pt>
                <c:pt idx="2460">
                  <c:v>2.6208876772940183E-2</c:v>
                </c:pt>
                <c:pt idx="2461">
                  <c:v>2.6211902225382801E-2</c:v>
                </c:pt>
                <c:pt idx="2462">
                  <c:v>2.6214950852726633E-2</c:v>
                </c:pt>
                <c:pt idx="2463">
                  <c:v>2.6216859349013077E-2</c:v>
                </c:pt>
                <c:pt idx="2464">
                  <c:v>2.6219952449498977E-2</c:v>
                </c:pt>
                <c:pt idx="2465">
                  <c:v>2.6223068723358244E-2</c:v>
                </c:pt>
                <c:pt idx="2466">
                  <c:v>2.6226208170647875E-2</c:v>
                </c:pt>
                <c:pt idx="2467">
                  <c:v>2.6229370791420417E-2</c:v>
                </c:pt>
                <c:pt idx="2468">
                  <c:v>2.6233729292792215E-2</c:v>
                </c:pt>
                <c:pt idx="2469">
                  <c:v>2.623694014597561E-2</c:v>
                </c:pt>
                <c:pt idx="2470">
                  <c:v>2.6240174174498924E-2</c:v>
                </c:pt>
                <c:pt idx="2471">
                  <c:v>2.62434313784203E-2</c:v>
                </c:pt>
                <c:pt idx="2472">
                  <c:v>2.6246711757794354E-2</c:v>
                </c:pt>
                <c:pt idx="2473">
                  <c:v>2.625001531267835E-2</c:v>
                </c:pt>
                <c:pt idx="2474">
                  <c:v>2.6253342043129551E-2</c:v>
                </c:pt>
                <c:pt idx="2475">
                  <c:v>2.6256691949206972E-2</c:v>
                </c:pt>
                <c:pt idx="2476">
                  <c:v>2.6260065030967884E-2</c:v>
                </c:pt>
                <c:pt idx="2477">
                  <c:v>2.6263461288472182E-2</c:v>
                </c:pt>
                <c:pt idx="2478">
                  <c:v>2.6266880440724488E-2</c:v>
                </c:pt>
                <c:pt idx="2479">
                  <c:v>2.6270321082512666E-2</c:v>
                </c:pt>
                <c:pt idx="2480">
                  <c:v>2.6273781527564016E-2</c:v>
                </c:pt>
                <c:pt idx="2481">
                  <c:v>2.6277260089605837E-2</c:v>
                </c:pt>
                <c:pt idx="2482">
                  <c:v>2.628075508235397E-2</c:v>
                </c:pt>
                <c:pt idx="2483">
                  <c:v>2.6284264819519856E-2</c:v>
                </c:pt>
                <c:pt idx="2484">
                  <c:v>2.628778761481405E-2</c:v>
                </c:pt>
                <c:pt idx="2485">
                  <c:v>2.6290122878338113E-2</c:v>
                </c:pt>
                <c:pt idx="2486">
                  <c:v>2.6293666203711138E-2</c:v>
                </c:pt>
                <c:pt idx="2487">
                  <c:v>2.6297217604448305E-2</c:v>
                </c:pt>
                <c:pt idx="2488">
                  <c:v>2.6300775375831042E-2</c:v>
                </c:pt>
                <c:pt idx="2489">
                  <c:v>2.6304337813120308E-2</c:v>
                </c:pt>
                <c:pt idx="2490">
                  <c:v>2.630910417403785E-2</c:v>
                </c:pt>
                <c:pt idx="2491">
                  <c:v>2.6312671336491372E-2</c:v>
                </c:pt>
                <c:pt idx="2492">
                  <c:v>2.6316239512768683E-2</c:v>
                </c:pt>
                <c:pt idx="2493">
                  <c:v>2.6319808702054026E-2</c:v>
                </c:pt>
                <c:pt idx="2494">
                  <c:v>2.6323378904346523E-2</c:v>
                </c:pt>
                <c:pt idx="2495">
                  <c:v>2.6326950119650579E-2</c:v>
                </c:pt>
                <c:pt idx="2496">
                  <c:v>2.6330522347969721E-2</c:v>
                </c:pt>
                <c:pt idx="2497">
                  <c:v>2.6334095589309228E-2</c:v>
                </c:pt>
                <c:pt idx="2498">
                  <c:v>2.6335262743754528E-2</c:v>
                </c:pt>
                <c:pt idx="2499">
                  <c:v>2.6338837352186537E-2</c:v>
                </c:pt>
                <c:pt idx="2500">
                  <c:v>2.6342412973427803E-2</c:v>
                </c:pt>
                <c:pt idx="2501">
                  <c:v>2.6345989607481024E-2</c:v>
                </c:pt>
                <c:pt idx="2502">
                  <c:v>2.634956725435161E-2</c:v>
                </c:pt>
                <c:pt idx="2503">
                  <c:v>2.6353145914038652E-2</c:v>
                </c:pt>
                <c:pt idx="2504">
                  <c:v>2.6356725586545757E-2</c:v>
                </c:pt>
                <c:pt idx="2505">
                  <c:v>2.6361512085739912E-2</c:v>
                </c:pt>
                <c:pt idx="2506">
                  <c:v>2.6363887970031863E-2</c:v>
                </c:pt>
                <c:pt idx="2507">
                  <c:v>2.6368677155414667E-2</c:v>
                </c:pt>
                <c:pt idx="2508">
                  <c:v>2.6371054404831538E-2</c:v>
                </c:pt>
                <c:pt idx="2509">
                  <c:v>2.637463914148128E-2</c:v>
                </c:pt>
                <c:pt idx="2510">
                  <c:v>2.6378224890967295E-2</c:v>
                </c:pt>
                <c:pt idx="2511">
                  <c:v>2.6384227336370858E-2</c:v>
                </c:pt>
                <c:pt idx="2512">
                  <c:v>2.6387815773292501E-2</c:v>
                </c:pt>
                <c:pt idx="2513">
                  <c:v>2.6391405223277677E-2</c:v>
                </c:pt>
                <c:pt idx="2514">
                  <c:v>2.6394995686325508E-2</c:v>
                </c:pt>
                <c:pt idx="2515">
                  <c:v>2.6398587162438633E-2</c:v>
                </c:pt>
                <c:pt idx="2516">
                  <c:v>2.6400970109746284E-2</c:v>
                </c:pt>
                <c:pt idx="2517">
                  <c:v>2.6404563280564518E-2</c:v>
                </c:pt>
                <c:pt idx="2518">
                  <c:v>2.6408157464349043E-2</c:v>
                </c:pt>
                <c:pt idx="2519">
                  <c:v>2.6411752661101642E-2</c:v>
                </c:pt>
                <c:pt idx="2520">
                  <c:v>2.6416559739099982E-2</c:v>
                </c:pt>
                <c:pt idx="2521">
                  <c:v>2.6420157293670074E-2</c:v>
                </c:pt>
                <c:pt idx="2522">
                  <c:v>2.6423755861324841E-2</c:v>
                </c:pt>
                <c:pt idx="2523">
                  <c:v>2.6427355442067809E-2</c:v>
                </c:pt>
                <c:pt idx="2524">
                  <c:v>2.6430956035901617E-2</c:v>
                </c:pt>
                <c:pt idx="2525">
                  <c:v>2.6434557642828035E-2</c:v>
                </c:pt>
                <c:pt idx="2526">
                  <c:v>2.6438160262854102E-2</c:v>
                </c:pt>
                <c:pt idx="2527">
                  <c:v>2.6441763895975419E-2</c:v>
                </c:pt>
                <c:pt idx="2528">
                  <c:v>2.6445368542200792E-2</c:v>
                </c:pt>
                <c:pt idx="2529">
                  <c:v>2.6448974201529338E-2</c:v>
                </c:pt>
                <c:pt idx="2530">
                  <c:v>2.6452580873966351E-2</c:v>
                </c:pt>
                <c:pt idx="2531">
                  <c:v>2.6456188559512702E-2</c:v>
                </c:pt>
                <c:pt idx="2532">
                  <c:v>2.6459797258171925E-2</c:v>
                </c:pt>
                <c:pt idx="2533">
                  <c:v>2.6463406969948415E-2</c:v>
                </c:pt>
                <c:pt idx="2534">
                  <c:v>2.6467017694840417E-2</c:v>
                </c:pt>
                <c:pt idx="2535">
                  <c:v>2.6470629432854973E-2</c:v>
                </c:pt>
                <c:pt idx="2536">
                  <c:v>2.6474242183992087E-2</c:v>
                </c:pt>
                <c:pt idx="2537">
                  <c:v>2.6476639423402313E-2</c:v>
                </c:pt>
                <c:pt idx="2538">
                  <c:v>2.6480253867076441E-2</c:v>
                </c:pt>
                <c:pt idx="2539">
                  <c:v>2.648386932377297E-2</c:v>
                </c:pt>
                <c:pt idx="2540">
                  <c:v>2.6487485793497245E-2</c:v>
                </c:pt>
                <c:pt idx="2541">
                  <c:v>2.6492321136634061E-2</c:v>
                </c:pt>
                <c:pt idx="2542">
                  <c:v>2.6495939966571704E-2</c:v>
                </c:pt>
                <c:pt idx="2543">
                  <c:v>2.6499559809653048E-2</c:v>
                </c:pt>
                <c:pt idx="2544">
                  <c:v>2.6503180665880737E-2</c:v>
                </c:pt>
                <c:pt idx="2545">
                  <c:v>2.6506802535255645E-2</c:v>
                </c:pt>
                <c:pt idx="2546">
                  <c:v>2.6510425417782185E-2</c:v>
                </c:pt>
                <c:pt idx="2547">
                  <c:v>2.6514049313462112E-2</c:v>
                </c:pt>
                <c:pt idx="2548">
                  <c:v>2.6517674222299833E-2</c:v>
                </c:pt>
                <c:pt idx="2549">
                  <c:v>2.6521300144296229E-2</c:v>
                </c:pt>
                <c:pt idx="2550">
                  <c:v>2.652370620773619E-2</c:v>
                </c:pt>
                <c:pt idx="2551">
                  <c:v>2.6527333820920623E-2</c:v>
                </c:pt>
                <c:pt idx="2552">
                  <c:v>2.6530962447163083E-2</c:v>
                </c:pt>
                <c:pt idx="2553">
                  <c:v>2.6534592086468911E-2</c:v>
                </c:pt>
                <c:pt idx="2554">
                  <c:v>2.6538741486158497E-2</c:v>
                </c:pt>
                <c:pt idx="2555">
                  <c:v>2.6542373296316566E-2</c:v>
                </c:pt>
                <c:pt idx="2556">
                  <c:v>2.6546006119546019E-2</c:v>
                </c:pt>
                <c:pt idx="2557">
                  <c:v>2.6549639955845077E-2</c:v>
                </c:pt>
                <c:pt idx="2558">
                  <c:v>2.6553274805220864E-2</c:v>
                </c:pt>
                <c:pt idx="2559">
                  <c:v>2.6555686818962306E-2</c:v>
                </c:pt>
                <c:pt idx="2560">
                  <c:v>2.6559323358390188E-2</c:v>
                </c:pt>
                <c:pt idx="2561">
                  <c:v>2.656296091079122E-2</c:v>
                </c:pt>
                <c:pt idx="2562">
                  <c:v>2.6566599476169007E-2</c:v>
                </c:pt>
                <c:pt idx="2563">
                  <c:v>2.6572689533464196E-2</c:v>
                </c:pt>
                <c:pt idx="2564">
                  <c:v>2.6576330797926782E-2</c:v>
                </c:pt>
                <c:pt idx="2565">
                  <c:v>2.6579973075592969E-2</c:v>
                </c:pt>
                <c:pt idx="2566">
                  <c:v>2.6583616366467163E-2</c:v>
                </c:pt>
                <c:pt idx="2567">
                  <c:v>2.6587260670551126E-2</c:v>
                </c:pt>
                <c:pt idx="2568">
                  <c:v>2.6589679018705573E-2</c:v>
                </c:pt>
                <c:pt idx="2569">
                  <c:v>2.6593325012086579E-2</c:v>
                </c:pt>
                <c:pt idx="2570">
                  <c:v>2.6596972018577265E-2</c:v>
                </c:pt>
                <c:pt idx="2571">
                  <c:v>2.6600620038176741E-2</c:v>
                </c:pt>
                <c:pt idx="2572">
                  <c:v>2.6605497389205587E-2</c:v>
                </c:pt>
                <c:pt idx="2573">
                  <c:v>2.6609147772603668E-2</c:v>
                </c:pt>
                <c:pt idx="2574">
                  <c:v>2.6612799169231781E-2</c:v>
                </c:pt>
                <c:pt idx="2575">
                  <c:v>2.6616451579090806E-2</c:v>
                </c:pt>
                <c:pt idx="2576">
                  <c:v>2.6620105002184265E-2</c:v>
                </c:pt>
                <c:pt idx="2577">
                  <c:v>2.6623759438514805E-2</c:v>
                </c:pt>
                <c:pt idx="2578">
                  <c:v>2.6627414888086828E-2</c:v>
                </c:pt>
                <c:pt idx="2579">
                  <c:v>2.6631071350899455E-2</c:v>
                </c:pt>
                <c:pt idx="2580">
                  <c:v>2.663472882695973E-2</c:v>
                </c:pt>
                <c:pt idx="2581">
                  <c:v>2.6638387316265891E-2</c:v>
                </c:pt>
                <c:pt idx="2582">
                  <c:v>2.6642046818825874E-2</c:v>
                </c:pt>
                <c:pt idx="2583">
                  <c:v>2.664570733463879E-2</c:v>
                </c:pt>
                <c:pt idx="2584">
                  <c:v>2.6649368863707282E-2</c:v>
                </c:pt>
                <c:pt idx="2585">
                  <c:v>2.6653031406036642E-2</c:v>
                </c:pt>
                <c:pt idx="2586">
                  <c:v>2.6656694961627748E-2</c:v>
                </c:pt>
                <c:pt idx="2587">
                  <c:v>2.6660359530483239E-2</c:v>
                </c:pt>
                <c:pt idx="2588">
                  <c:v>2.6664025112608403E-2</c:v>
                </c:pt>
                <c:pt idx="2589">
                  <c:v>2.6667691708003243E-2</c:v>
                </c:pt>
                <c:pt idx="2590">
                  <c:v>2.6670124905246662E-2</c:v>
                </c:pt>
                <c:pt idx="2591">
                  <c:v>2.6673793187637379E-2</c:v>
                </c:pt>
                <c:pt idx="2592">
                  <c:v>2.6677462483194775E-2</c:v>
                </c:pt>
                <c:pt idx="2593">
                  <c:v>2.6681132791922413E-2</c:v>
                </c:pt>
                <c:pt idx="2594">
                  <c:v>2.6686039884132654E-2</c:v>
                </c:pt>
                <c:pt idx="2595">
                  <c:v>2.6689712559209842E-2</c:v>
                </c:pt>
                <c:pt idx="2596">
                  <c:v>2.6693386247576965E-2</c:v>
                </c:pt>
                <c:pt idx="2597">
                  <c:v>2.6697060949235785E-2</c:v>
                </c:pt>
                <c:pt idx="2598">
                  <c:v>2.6700736664192468E-2</c:v>
                </c:pt>
                <c:pt idx="2599">
                  <c:v>2.6704413392447016E-2</c:v>
                </c:pt>
                <c:pt idx="2600">
                  <c:v>2.6708091134002066E-2</c:v>
                </c:pt>
                <c:pt idx="2601">
                  <c:v>2.6711769888861151E-2</c:v>
                </c:pt>
                <c:pt idx="2602">
                  <c:v>2.6714211163635333E-2</c:v>
                </c:pt>
                <c:pt idx="2603">
                  <c:v>2.6716652862705723E-2</c:v>
                </c:pt>
                <c:pt idx="2604">
                  <c:v>2.6720333975536675E-2</c:v>
                </c:pt>
                <c:pt idx="2605">
                  <c:v>2.6724016101463244E-2</c:v>
                </c:pt>
                <c:pt idx="2606">
                  <c:v>2.6727699240485434E-2</c:v>
                </c:pt>
                <c:pt idx="2607">
                  <c:v>2.6731383392605047E-2</c:v>
                </c:pt>
                <c:pt idx="2608">
                  <c:v>2.6735068557826581E-2</c:v>
                </c:pt>
                <c:pt idx="2609">
                  <c:v>2.6738754736152739E-2</c:v>
                </c:pt>
                <c:pt idx="2610">
                  <c:v>2.6742441927584425E-2</c:v>
                </c:pt>
                <c:pt idx="2611">
                  <c:v>2.6744888752845981E-2</c:v>
                </c:pt>
                <c:pt idx="2612">
                  <c:v>2.6749819349782378E-2</c:v>
                </c:pt>
                <c:pt idx="2613">
                  <c:v>2.6752267517533082E-2</c:v>
                </c:pt>
                <c:pt idx="2614">
                  <c:v>2.6755958419383299E-2</c:v>
                </c:pt>
                <c:pt idx="2615">
                  <c:v>2.6763378855385708E-2</c:v>
                </c:pt>
                <c:pt idx="2616">
                  <c:v>2.6767072810141759E-2</c:v>
                </c:pt>
                <c:pt idx="2617">
                  <c:v>2.677076777824677E-2</c:v>
                </c:pt>
                <c:pt idx="2618">
                  <c:v>2.677446375970426E-2</c:v>
                </c:pt>
                <c:pt idx="2619">
                  <c:v>2.6778160754515116E-2</c:v>
                </c:pt>
                <c:pt idx="2620">
                  <c:v>2.6780614116358837E-2</c:v>
                </c:pt>
                <c:pt idx="2621">
                  <c:v>2.6784312795000417E-2</c:v>
                </c:pt>
                <c:pt idx="2622">
                  <c:v>2.6788012486891503E-2</c:v>
                </c:pt>
                <c:pt idx="2623">
                  <c:v>2.6791713192038335E-2</c:v>
                </c:pt>
                <c:pt idx="2624">
                  <c:v>2.6796660928986991E-2</c:v>
                </c:pt>
                <c:pt idx="2625">
                  <c:v>2.6800364003984972E-2</c:v>
                </c:pt>
                <c:pt idx="2626">
                  <c:v>2.6804068092353934E-2</c:v>
                </c:pt>
                <c:pt idx="2627">
                  <c:v>2.6807773194103567E-2</c:v>
                </c:pt>
                <c:pt idx="2628">
                  <c:v>2.6811479309232111E-2</c:v>
                </c:pt>
                <c:pt idx="2629">
                  <c:v>2.6815186437742208E-2</c:v>
                </c:pt>
                <c:pt idx="2630">
                  <c:v>2.6818894579637379E-2</c:v>
                </c:pt>
                <c:pt idx="2631">
                  <c:v>2.6822603734921152E-2</c:v>
                </c:pt>
                <c:pt idx="2632">
                  <c:v>2.682631390359793E-2</c:v>
                </c:pt>
                <c:pt idx="2633">
                  <c:v>2.683002508566595E-2</c:v>
                </c:pt>
                <c:pt idx="2634">
                  <c:v>2.6833737281131382E-2</c:v>
                </c:pt>
                <c:pt idx="2635">
                  <c:v>2.6837450489995984E-2</c:v>
                </c:pt>
                <c:pt idx="2636">
                  <c:v>2.6841164712264162E-2</c:v>
                </c:pt>
                <c:pt idx="2637">
                  <c:v>2.6844879947935912E-2</c:v>
                </c:pt>
                <c:pt idx="2638">
                  <c:v>2.6848596197017408E-2</c:v>
                </c:pt>
                <c:pt idx="2639">
                  <c:v>2.6852313459508649E-2</c:v>
                </c:pt>
                <c:pt idx="2640">
                  <c:v>2.6856031735414034E-2</c:v>
                </c:pt>
                <c:pt idx="2641">
                  <c:v>2.685975102473533E-2</c:v>
                </c:pt>
                <c:pt idx="2642">
                  <c:v>2.686221911180988E-2</c:v>
                </c:pt>
                <c:pt idx="2643">
                  <c:v>2.6865940082623756E-2</c:v>
                </c:pt>
                <c:pt idx="2644">
                  <c:v>2.6869662066749483E-2</c:v>
                </c:pt>
                <c:pt idx="2645">
                  <c:v>2.6874638316241265E-2</c:v>
                </c:pt>
                <c:pt idx="2646">
                  <c:v>2.6878362672686156E-2</c:v>
                </c:pt>
                <c:pt idx="2647">
                  <c:v>2.688208804256545E-2</c:v>
                </c:pt>
                <c:pt idx="2648">
                  <c:v>2.6885814425880918E-2</c:v>
                </c:pt>
                <c:pt idx="2649">
                  <c:v>2.688954182263608E-2</c:v>
                </c:pt>
                <c:pt idx="2650">
                  <c:v>2.6893270232832698E-2</c:v>
                </c:pt>
                <c:pt idx="2651">
                  <c:v>2.6896999656473415E-2</c:v>
                </c:pt>
                <c:pt idx="2652">
                  <c:v>2.6900730093561757E-2</c:v>
                </c:pt>
                <c:pt idx="2653">
                  <c:v>2.6904461544102126E-2</c:v>
                </c:pt>
                <c:pt idx="2654">
                  <c:v>2.6908194008094518E-2</c:v>
                </c:pt>
                <c:pt idx="2655">
                  <c:v>2.6909414152237184E-2</c:v>
                </c:pt>
                <c:pt idx="2656">
                  <c:v>2.691314794956047E-2</c:v>
                </c:pt>
                <c:pt idx="2657">
                  <c:v>2.6916882760118055E-2</c:v>
                </c:pt>
                <c:pt idx="2658">
                  <c:v>2.6921152355744563E-2</c:v>
                </c:pt>
                <c:pt idx="2659">
                  <c:v>2.6924889337533814E-2</c:v>
                </c:pt>
                <c:pt idx="2660">
                  <c:v>2.6928627332569066E-2</c:v>
                </c:pt>
                <c:pt idx="2661">
                  <c:v>2.693236634085213E-2</c:v>
                </c:pt>
                <c:pt idx="2662">
                  <c:v>2.6936106362384801E-2</c:v>
                </c:pt>
                <c:pt idx="2663">
                  <c:v>2.6938588045727289E-2</c:v>
                </c:pt>
                <c:pt idx="2664">
                  <c:v>2.694232974611507E-2</c:v>
                </c:pt>
                <c:pt idx="2665">
                  <c:v>2.6946072459649657E-2</c:v>
                </c:pt>
                <c:pt idx="2666">
                  <c:v>2.6949816186331962E-2</c:v>
                </c:pt>
                <c:pt idx="2667">
                  <c:v>2.6957343439562693E-2</c:v>
                </c:pt>
                <c:pt idx="2668">
                  <c:v>2.6961090236983627E-2</c:v>
                </c:pt>
                <c:pt idx="2669">
                  <c:v>2.6964838047898874E-2</c:v>
                </c:pt>
                <c:pt idx="2670">
                  <c:v>2.6968586872314598E-2</c:v>
                </c:pt>
                <c:pt idx="2671">
                  <c:v>2.6972336710231685E-2</c:v>
                </c:pt>
                <c:pt idx="2672">
                  <c:v>2.6974824886764524E-2</c:v>
                </c:pt>
                <c:pt idx="2673">
                  <c:v>2.6978576402949074E-2</c:v>
                </c:pt>
                <c:pt idx="2674">
                  <c:v>2.6982328932530979E-2</c:v>
                </c:pt>
                <c:pt idx="2675">
                  <c:v>2.6986082475512017E-2</c:v>
                </c:pt>
                <c:pt idx="2676">
                  <c:v>2.699110110244499E-2</c:v>
                </c:pt>
                <c:pt idx="2677">
                  <c:v>2.6994857021435427E-2</c:v>
                </c:pt>
                <c:pt idx="2678">
                  <c:v>2.699861395394396E-2</c:v>
                </c:pt>
                <c:pt idx="2679">
                  <c:v>2.7002371899978519E-2</c:v>
                </c:pt>
                <c:pt idx="2680">
                  <c:v>2.700613085954175E-2</c:v>
                </c:pt>
                <c:pt idx="2681">
                  <c:v>2.7009890832633648E-2</c:v>
                </c:pt>
                <c:pt idx="2682">
                  <c:v>2.7013651819259504E-2</c:v>
                </c:pt>
                <c:pt idx="2683">
                  <c:v>2.7017413819421954E-2</c:v>
                </c:pt>
                <c:pt idx="2684">
                  <c:v>2.7021176833123644E-2</c:v>
                </c:pt>
                <c:pt idx="2685">
                  <c:v>2.7024940860366338E-2</c:v>
                </c:pt>
                <c:pt idx="2686">
                  <c:v>2.7028705901153558E-2</c:v>
                </c:pt>
                <c:pt idx="2687">
                  <c:v>2.7032471955488829E-2</c:v>
                </c:pt>
                <c:pt idx="2688">
                  <c:v>2.7036239023373911E-2</c:v>
                </c:pt>
                <c:pt idx="2689">
                  <c:v>2.7040007104814089E-2</c:v>
                </c:pt>
                <c:pt idx="2690">
                  <c:v>2.7043776199807603E-2</c:v>
                </c:pt>
                <c:pt idx="2691">
                  <c:v>2.7047546308363261E-2</c:v>
                </c:pt>
                <c:pt idx="2692">
                  <c:v>2.7051317430479303E-2</c:v>
                </c:pt>
                <c:pt idx="2693">
                  <c:v>2.7055089566160134E-2</c:v>
                </c:pt>
                <c:pt idx="2694">
                  <c:v>2.7057592341927891E-2</c:v>
                </c:pt>
                <c:pt idx="2695">
                  <c:v>2.7061366153503432E-2</c:v>
                </c:pt>
                <c:pt idx="2696">
                  <c:v>2.7065140978536892E-2</c:v>
                </c:pt>
                <c:pt idx="2697">
                  <c:v>2.707018824458771E-2</c:v>
                </c:pt>
                <c:pt idx="2698">
                  <c:v>2.7073965448133883E-2</c:v>
                </c:pt>
                <c:pt idx="2699">
                  <c:v>2.7077743665263342E-2</c:v>
                </c:pt>
                <c:pt idx="2700">
                  <c:v>2.708152289597697E-2</c:v>
                </c:pt>
                <c:pt idx="2701">
                  <c:v>2.7085303140278291E-2</c:v>
                </c:pt>
                <c:pt idx="2702">
                  <c:v>2.7089084398171707E-2</c:v>
                </c:pt>
                <c:pt idx="2703">
                  <c:v>2.7092866669657219E-2</c:v>
                </c:pt>
                <c:pt idx="2704">
                  <c:v>2.7096649954738355E-2</c:v>
                </c:pt>
                <c:pt idx="2705">
                  <c:v>2.7100434253419511E-2</c:v>
                </c:pt>
                <c:pt idx="2706">
                  <c:v>2.7104219565704218E-2</c:v>
                </c:pt>
                <c:pt idx="2707">
                  <c:v>2.7105456091073562E-2</c:v>
                </c:pt>
                <c:pt idx="2708">
                  <c:v>2.7109242725155334E-2</c:v>
                </c:pt>
                <c:pt idx="2709">
                  <c:v>2.7113030372620892E-2</c:v>
                </c:pt>
                <c:pt idx="2710">
                  <c:v>2.7117360353459269E-2</c:v>
                </c:pt>
                <c:pt idx="2711">
                  <c:v>2.7121150172466267E-2</c:v>
                </c:pt>
                <c:pt idx="2712">
                  <c:v>2.7124941004864254E-2</c:v>
                </c:pt>
                <c:pt idx="2713">
                  <c:v>2.712873285065593E-2</c:v>
                </c:pt>
                <c:pt idx="2714">
                  <c:v>2.7132525709845801E-2</c:v>
                </c:pt>
                <c:pt idx="2715">
                  <c:v>2.7135041952048692E-2</c:v>
                </c:pt>
                <c:pt idx="2716">
                  <c:v>2.713883648445618E-2</c:v>
                </c:pt>
                <c:pt idx="2717">
                  <c:v>2.7142632030155267E-2</c:v>
                </c:pt>
                <c:pt idx="2718">
                  <c:v>2.714642858914686E-2</c:v>
                </c:pt>
                <c:pt idx="2719">
                  <c:v>2.7152784349207395E-2</c:v>
                </c:pt>
                <c:pt idx="2720">
                  <c:v>2.7160422714418028E-2</c:v>
                </c:pt>
                <c:pt idx="2721">
                  <c:v>2.7164224084456033E-2</c:v>
                </c:pt>
                <c:pt idx="2722">
                  <c:v>2.7168026468370077E-2</c:v>
                </c:pt>
                <c:pt idx="2723">
                  <c:v>2.7170160822745305E-2</c:v>
                </c:pt>
                <c:pt idx="2724">
                  <c:v>2.7173964749757928E-2</c:v>
                </c:pt>
                <c:pt idx="2725">
                  <c:v>2.7177769690314851E-2</c:v>
                </c:pt>
                <c:pt idx="2726">
                  <c:v>2.7181575644418754E-2</c:v>
                </c:pt>
                <c:pt idx="2727">
                  <c:v>2.7185382612073195E-2</c:v>
                </c:pt>
                <c:pt idx="2728">
                  <c:v>2.7190473226726707E-2</c:v>
                </c:pt>
                <c:pt idx="2729">
                  <c:v>2.7194282576701381E-2</c:v>
                </c:pt>
                <c:pt idx="2730">
                  <c:v>2.7198092940350079E-2</c:v>
                </c:pt>
                <c:pt idx="2731">
                  <c:v>2.7201904317677206E-2</c:v>
                </c:pt>
                <c:pt idx="2732">
                  <c:v>2.7205716708679238E-2</c:v>
                </c:pt>
                <c:pt idx="2733">
                  <c:v>2.7209530113365868E-2</c:v>
                </c:pt>
                <c:pt idx="2734">
                  <c:v>2.7213344531737089E-2</c:v>
                </c:pt>
                <c:pt idx="2735">
                  <c:v>2.7217159963794667E-2</c:v>
                </c:pt>
                <c:pt idx="2736">
                  <c:v>2.7220976409544771E-2</c:v>
                </c:pt>
                <c:pt idx="2737">
                  <c:v>2.7224793868986515E-2</c:v>
                </c:pt>
                <c:pt idx="2738">
                  <c:v>2.7228612342126951E-2</c:v>
                </c:pt>
                <c:pt idx="2739">
                  <c:v>2.7232431828966078E-2</c:v>
                </c:pt>
                <c:pt idx="2740">
                  <c:v>2.7236252329505658E-2</c:v>
                </c:pt>
                <c:pt idx="2741">
                  <c:v>2.7240073843753616E-2</c:v>
                </c:pt>
                <c:pt idx="2742">
                  <c:v>2.7243896371707311E-2</c:v>
                </c:pt>
                <c:pt idx="2743">
                  <c:v>2.7247719913372912E-2</c:v>
                </c:pt>
                <c:pt idx="2744">
                  <c:v>2.7251544468752179E-2</c:v>
                </c:pt>
                <c:pt idx="2745">
                  <c:v>2.7254081350110444E-2</c:v>
                </c:pt>
                <c:pt idx="2746">
                  <c:v>2.7257907575752346E-2</c:v>
                </c:pt>
                <c:pt idx="2747">
                  <c:v>2.7261734815003567E-2</c:v>
                </c:pt>
                <c:pt idx="2748">
                  <c:v>2.7265563067864998E-2</c:v>
                </c:pt>
                <c:pt idx="2749">
                  <c:v>2.7270682451459218E-2</c:v>
                </c:pt>
                <c:pt idx="2750">
                  <c:v>2.7274513089182148E-2</c:v>
                </c:pt>
                <c:pt idx="2751">
                  <c:v>2.7278344740638123E-2</c:v>
                </c:pt>
                <c:pt idx="2752">
                  <c:v>2.7282177405835075E-2</c:v>
                </c:pt>
                <c:pt idx="2753">
                  <c:v>2.7286011084769479E-2</c:v>
                </c:pt>
                <c:pt idx="2754">
                  <c:v>2.7289845777447499E-2</c:v>
                </c:pt>
                <c:pt idx="2755">
                  <c:v>2.7293681483870898E-2</c:v>
                </c:pt>
                <c:pt idx="2756">
                  <c:v>2.7297518204044965E-2</c:v>
                </c:pt>
                <c:pt idx="2757">
                  <c:v>2.7301355937968817E-2</c:v>
                </c:pt>
                <c:pt idx="2758">
                  <c:v>2.7303901345649997E-2</c:v>
                </c:pt>
                <c:pt idx="2759">
                  <c:v>2.7307740748410757E-2</c:v>
                </c:pt>
                <c:pt idx="2760">
                  <c:v>2.7311581164814681E-2</c:v>
                </c:pt>
                <c:pt idx="2761">
                  <c:v>2.731542259486533E-2</c:v>
                </c:pt>
                <c:pt idx="2762">
                  <c:v>2.731926503856983E-2</c:v>
                </c:pt>
                <c:pt idx="2763">
                  <c:v>2.7323108495924613E-2</c:v>
                </c:pt>
                <c:pt idx="2764">
                  <c:v>2.7326952966935922E-2</c:v>
                </c:pt>
                <c:pt idx="2765">
                  <c:v>2.733079845160731E-2</c:v>
                </c:pt>
                <c:pt idx="2766">
                  <c:v>2.7334644949939674E-2</c:v>
                </c:pt>
                <c:pt idx="2767">
                  <c:v>2.7338492461937466E-2</c:v>
                </c:pt>
                <c:pt idx="2768">
                  <c:v>2.7341044154467972E-2</c:v>
                </c:pt>
                <c:pt idx="2769">
                  <c:v>2.73448933340034E-2</c:v>
                </c:pt>
                <c:pt idx="2770">
                  <c:v>2.7348743527099116E-2</c:v>
                </c:pt>
                <c:pt idx="2771">
                  <c:v>2.7355190658472153E-2</c:v>
                </c:pt>
                <c:pt idx="2772">
                  <c:v>2.7359043599023341E-2</c:v>
                </c:pt>
                <c:pt idx="2773">
                  <c:v>2.7362897553370118E-2</c:v>
                </c:pt>
                <c:pt idx="2774">
                  <c:v>2.73667525215213E-2</c:v>
                </c:pt>
                <c:pt idx="2775">
                  <c:v>2.7370608503474239E-2</c:v>
                </c:pt>
                <c:pt idx="2776">
                  <c:v>2.7373165685303583E-2</c:v>
                </c:pt>
                <c:pt idx="2777">
                  <c:v>2.7377023334106167E-2</c:v>
                </c:pt>
                <c:pt idx="2778">
                  <c:v>2.7380881996606238E-2</c:v>
                </c:pt>
                <c:pt idx="2779">
                  <c:v>2.7384741672805579E-2</c:v>
                </c:pt>
                <c:pt idx="2780">
                  <c:v>2.7389903620413342E-2</c:v>
                </c:pt>
                <c:pt idx="2781">
                  <c:v>2.7393765685256127E-2</c:v>
                </c:pt>
                <c:pt idx="2782">
                  <c:v>2.7397628763920934E-2</c:v>
                </c:pt>
                <c:pt idx="2783">
                  <c:v>2.740149285641481E-2</c:v>
                </c:pt>
                <c:pt idx="2784">
                  <c:v>2.7405357962741277E-2</c:v>
                </c:pt>
                <c:pt idx="2785">
                  <c:v>2.7409224082900339E-2</c:v>
                </c:pt>
                <c:pt idx="2786">
                  <c:v>2.7413091216893753E-2</c:v>
                </c:pt>
                <c:pt idx="2787">
                  <c:v>2.7416959364728571E-2</c:v>
                </c:pt>
                <c:pt idx="2788">
                  <c:v>2.7420828526405674E-2</c:v>
                </c:pt>
                <c:pt idx="2789">
                  <c:v>2.742469870192682E-2</c:v>
                </c:pt>
                <c:pt idx="2790">
                  <c:v>2.7428569891298177E-2</c:v>
                </c:pt>
                <c:pt idx="2791">
                  <c:v>2.7432442094520629E-2</c:v>
                </c:pt>
                <c:pt idx="2792">
                  <c:v>2.7436315311596814E-2</c:v>
                </c:pt>
                <c:pt idx="2793">
                  <c:v>2.7440189542529376E-2</c:v>
                </c:pt>
                <c:pt idx="2794">
                  <c:v>2.744406478732184E-2</c:v>
                </c:pt>
                <c:pt idx="2795">
                  <c:v>2.7447941045978613E-2</c:v>
                </c:pt>
                <c:pt idx="2796">
                  <c:v>2.7451818318500572E-2</c:v>
                </c:pt>
                <c:pt idx="2797">
                  <c:v>2.7454389190324953E-2</c:v>
                </c:pt>
                <c:pt idx="2798">
                  <c:v>2.7458268127367971E-2</c:v>
                </c:pt>
                <c:pt idx="2799">
                  <c:v>2.7462148078167263E-2</c:v>
                </c:pt>
                <c:pt idx="2800">
                  <c:v>2.7466029042725496E-2</c:v>
                </c:pt>
                <c:pt idx="2801">
                  <c:v>2.7471219889202699E-2</c:v>
                </c:pt>
                <c:pt idx="2802">
                  <c:v>2.7475103244983617E-2</c:v>
                </c:pt>
                <c:pt idx="2803">
                  <c:v>2.747898761464998E-2</c:v>
                </c:pt>
                <c:pt idx="2804">
                  <c:v>2.7482872998204438E-2</c:v>
                </c:pt>
                <c:pt idx="2805">
                  <c:v>2.7486759395654033E-2</c:v>
                </c:pt>
                <c:pt idx="2806">
                  <c:v>2.7490646806996127E-2</c:v>
                </c:pt>
                <c:pt idx="2807">
                  <c:v>2.7494535232240408E-2</c:v>
                </c:pt>
                <c:pt idx="2808">
                  <c:v>2.7498424671382467E-2</c:v>
                </c:pt>
                <c:pt idx="2809">
                  <c:v>2.750231512443024E-2</c:v>
                </c:pt>
                <c:pt idx="2810">
                  <c:v>2.7503582400669191E-2</c:v>
                </c:pt>
                <c:pt idx="2811">
                  <c:v>2.7507474152079735E-2</c:v>
                </c:pt>
                <c:pt idx="2812">
                  <c:v>2.7511366917168528E-2</c:v>
                </c:pt>
                <c:pt idx="2813">
                  <c:v>2.7515260695938275E-2</c:v>
                </c:pt>
                <c:pt idx="2814">
                  <c:v>2.7519711970063261E-2</c:v>
                </c:pt>
                <c:pt idx="2815">
                  <c:v>2.7523607921015616E-2</c:v>
                </c:pt>
                <c:pt idx="2816">
                  <c:v>2.752750488565793E-2</c:v>
                </c:pt>
                <c:pt idx="2817">
                  <c:v>2.7531402863992905E-2</c:v>
                </c:pt>
                <c:pt idx="2818">
                  <c:v>2.753530185602324E-2</c:v>
                </c:pt>
                <c:pt idx="2819">
                  <c:v>2.7539201861754344E-2</c:v>
                </c:pt>
                <c:pt idx="2820">
                  <c:v>2.7541787232263838E-2</c:v>
                </c:pt>
                <c:pt idx="2821">
                  <c:v>2.7545688899535001E-2</c:v>
                </c:pt>
                <c:pt idx="2822">
                  <c:v>2.7549591580399182E-2</c:v>
                </c:pt>
                <c:pt idx="2823">
                  <c:v>2.7557445818338269E-2</c:v>
                </c:pt>
                <c:pt idx="2824">
                  <c:v>2.7561351625154659E-2</c:v>
                </c:pt>
                <c:pt idx="2825">
                  <c:v>2.7565258445924331E-2</c:v>
                </c:pt>
                <c:pt idx="2826">
                  <c:v>2.7569166280649929E-2</c:v>
                </c:pt>
                <c:pt idx="2827">
                  <c:v>2.757307512933057E-2</c:v>
                </c:pt>
                <c:pt idx="2828">
                  <c:v>2.757566621052478E-2</c:v>
                </c:pt>
                <c:pt idx="2829">
                  <c:v>2.7579576720245511E-2</c:v>
                </c:pt>
                <c:pt idx="2830">
                  <c:v>2.7583488243816914E-2</c:v>
                </c:pt>
                <c:pt idx="2831">
                  <c:v>2.7587400781238103E-2</c:v>
                </c:pt>
                <c:pt idx="2832">
                  <c:v>2.7592634582217102E-2</c:v>
                </c:pt>
                <c:pt idx="2833">
                  <c:v>2.7596549514711688E-2</c:v>
                </c:pt>
                <c:pt idx="2834">
                  <c:v>2.7600465461182461E-2</c:v>
                </c:pt>
                <c:pt idx="2835">
                  <c:v>2.7604382421635588E-2</c:v>
                </c:pt>
                <c:pt idx="2836">
                  <c:v>2.7608300396073707E-2</c:v>
                </c:pt>
                <c:pt idx="2837">
                  <c:v>2.7612219384501226E-2</c:v>
                </c:pt>
                <c:pt idx="2838">
                  <c:v>2.7616139386917263E-2</c:v>
                </c:pt>
                <c:pt idx="2839">
                  <c:v>2.762006040332711E-2</c:v>
                </c:pt>
                <c:pt idx="2840">
                  <c:v>2.7623982433735161E-2</c:v>
                </c:pt>
                <c:pt idx="2841">
                  <c:v>2.762790547814142E-2</c:v>
                </c:pt>
                <c:pt idx="2842">
                  <c:v>2.763182953655206E-2</c:v>
                </c:pt>
                <c:pt idx="2843">
                  <c:v>2.7635754608966188E-2</c:v>
                </c:pt>
                <c:pt idx="2844">
                  <c:v>2.7639680695391744E-2</c:v>
                </c:pt>
                <c:pt idx="2845">
                  <c:v>2.7643607795825198E-2</c:v>
                </c:pt>
                <c:pt idx="2846">
                  <c:v>2.7647535910275359E-2</c:v>
                </c:pt>
                <c:pt idx="2847">
                  <c:v>2.765146503874135E-2</c:v>
                </c:pt>
                <c:pt idx="2848">
                  <c:v>2.7655395181230218E-2</c:v>
                </c:pt>
                <c:pt idx="2849">
                  <c:v>2.765799982683782E-2</c:v>
                </c:pt>
                <c:pt idx="2850">
                  <c:v>2.7661931628001651E-2</c:v>
                </c:pt>
                <c:pt idx="2851">
                  <c:v>2.7665864443076719E-2</c:v>
                </c:pt>
                <c:pt idx="2852">
                  <c:v>2.7669798272063915E-2</c:v>
                </c:pt>
                <c:pt idx="2853">
                  <c:v>2.7673733114969477E-2</c:v>
                </c:pt>
                <c:pt idx="2854">
                  <c:v>2.7678997330755673E-2</c:v>
                </c:pt>
                <c:pt idx="2855">
                  <c:v>2.7682934571471619E-2</c:v>
                </c:pt>
                <c:pt idx="2856">
                  <c:v>2.7686872826232462E-2</c:v>
                </c:pt>
                <c:pt idx="2857">
                  <c:v>2.7690812095039086E-2</c:v>
                </c:pt>
                <c:pt idx="2858">
                  <c:v>2.7694752377896772E-2</c:v>
                </c:pt>
                <c:pt idx="2859">
                  <c:v>2.7698693674808171E-2</c:v>
                </c:pt>
                <c:pt idx="2860">
                  <c:v>2.7702635985773275E-2</c:v>
                </c:pt>
                <c:pt idx="2861">
                  <c:v>2.7706579310800897E-2</c:v>
                </c:pt>
                <c:pt idx="2862">
                  <c:v>2.7707861108297979E-2</c:v>
                </c:pt>
                <c:pt idx="2863">
                  <c:v>2.7711805719648944E-2</c:v>
                </c:pt>
                <c:pt idx="2864">
                  <c:v>2.7715751344828548E-2</c:v>
                </c:pt>
                <c:pt idx="2865">
                  <c:v>2.7719697983841295E-2</c:v>
                </c:pt>
                <c:pt idx="2866">
                  <c:v>2.7723645636688981E-2</c:v>
                </c:pt>
                <c:pt idx="2867">
                  <c:v>2.7727594303377012E-2</c:v>
                </c:pt>
                <c:pt idx="2868">
                  <c:v>2.7731543983905392E-2</c:v>
                </c:pt>
                <c:pt idx="2869">
                  <c:v>2.7735494678277715E-2</c:v>
                </c:pt>
                <c:pt idx="2870">
                  <c:v>2.7739446386499389E-2</c:v>
                </c:pt>
                <c:pt idx="2871">
                  <c:v>2.7743399108571317E-2</c:v>
                </c:pt>
                <c:pt idx="2872">
                  <c:v>2.7746018013643216E-2</c:v>
                </c:pt>
                <c:pt idx="2873">
                  <c:v>2.7749972391388343E-2</c:v>
                </c:pt>
                <c:pt idx="2874">
                  <c:v>2.7753927782870367E-2</c:v>
                </c:pt>
                <c:pt idx="2875">
                  <c:v>2.7761892339092736E-2</c:v>
                </c:pt>
                <c:pt idx="2876">
                  <c:v>2.7765850875369973E-2</c:v>
                </c:pt>
                <c:pt idx="2877">
                  <c:v>2.7769810425755537E-2</c:v>
                </c:pt>
                <c:pt idx="2878">
                  <c:v>2.7773770990249427E-2</c:v>
                </c:pt>
                <c:pt idx="2879">
                  <c:v>2.7777732568858689E-2</c:v>
                </c:pt>
                <c:pt idx="2880">
                  <c:v>2.7780357144664057E-2</c:v>
                </c:pt>
                <c:pt idx="2881">
                  <c:v>2.7784320378432686E-2</c:v>
                </c:pt>
                <c:pt idx="2882">
                  <c:v>2.7788284626206066E-2</c:v>
                </c:pt>
                <c:pt idx="2883">
                  <c:v>2.779224988798509E-2</c:v>
                </c:pt>
                <c:pt idx="2884">
                  <c:v>2.7797555673711376E-2</c:v>
                </c:pt>
                <c:pt idx="2885">
                  <c:v>2.7801523337062213E-2</c:v>
                </c:pt>
                <c:pt idx="2886">
                  <c:v>2.7805492014549568E-2</c:v>
                </c:pt>
                <c:pt idx="2887">
                  <c:v>2.7809461706175202E-2</c:v>
                </c:pt>
                <c:pt idx="2888">
                  <c:v>2.7813432411939995E-2</c:v>
                </c:pt>
                <c:pt idx="2889">
                  <c:v>2.7817404131848352E-2</c:v>
                </c:pt>
                <c:pt idx="2890">
                  <c:v>2.7821376865904676E-2</c:v>
                </c:pt>
                <c:pt idx="2891">
                  <c:v>2.782535061411073E-2</c:v>
                </c:pt>
                <c:pt idx="2892">
                  <c:v>2.7829325376467397E-2</c:v>
                </c:pt>
                <c:pt idx="2893">
                  <c:v>2.7833301152979079E-2</c:v>
                </c:pt>
                <c:pt idx="2894">
                  <c:v>2.7837277943651064E-2</c:v>
                </c:pt>
                <c:pt idx="2895">
                  <c:v>2.7841255748485994E-2</c:v>
                </c:pt>
                <c:pt idx="2896">
                  <c:v>2.7845234567483865E-2</c:v>
                </c:pt>
                <c:pt idx="2897">
                  <c:v>2.7849214400649087E-2</c:v>
                </c:pt>
                <c:pt idx="2898">
                  <c:v>2.7853195247986063E-2</c:v>
                </c:pt>
                <c:pt idx="2899">
                  <c:v>2.7857177109495673E-2</c:v>
                </c:pt>
                <c:pt idx="2900">
                  <c:v>2.7861159985182325E-2</c:v>
                </c:pt>
                <c:pt idx="2901">
                  <c:v>2.7865143875048657E-2</c:v>
                </c:pt>
                <c:pt idx="2902">
                  <c:v>2.7867782526798075E-2</c:v>
                </c:pt>
                <c:pt idx="2903">
                  <c:v>2.7871768069314299E-2</c:v>
                </c:pt>
                <c:pt idx="2904">
                  <c:v>2.7875754625898509E-2</c:v>
                </c:pt>
                <c:pt idx="2905">
                  <c:v>2.787974219655516E-2</c:v>
                </c:pt>
                <c:pt idx="2906">
                  <c:v>2.7885078537188315E-2</c:v>
                </c:pt>
                <c:pt idx="2907">
                  <c:v>2.7889068512197048E-2</c:v>
                </c:pt>
                <c:pt idx="2908">
                  <c:v>2.7893059501406609E-2</c:v>
                </c:pt>
                <c:pt idx="2909">
                  <c:v>2.7897051504821396E-2</c:v>
                </c:pt>
                <c:pt idx="2910">
                  <c:v>2.7901044522442294E-2</c:v>
                </c:pt>
                <c:pt idx="2911">
                  <c:v>2.7905038554275473E-2</c:v>
                </c:pt>
                <c:pt idx="2912">
                  <c:v>2.7909033600320043E-2</c:v>
                </c:pt>
                <c:pt idx="2913">
                  <c:v>2.7913029660582178E-2</c:v>
                </c:pt>
                <c:pt idx="2914">
                  <c:v>2.7915675966154997E-2</c:v>
                </c:pt>
                <c:pt idx="2915">
                  <c:v>2.7918322636239751E-2</c:v>
                </c:pt>
                <c:pt idx="2916">
                  <c:v>2.7922320984627498E-2</c:v>
                </c:pt>
                <c:pt idx="2917">
                  <c:v>2.7926320347002376E-2</c:v>
                </c:pt>
                <c:pt idx="2918">
                  <c:v>2.7930320723363485E-2</c:v>
                </c:pt>
                <c:pt idx="2919">
                  <c:v>2.7934322113720725E-2</c:v>
                </c:pt>
                <c:pt idx="2920">
                  <c:v>2.7938324518070497E-2</c:v>
                </c:pt>
                <c:pt idx="2921">
                  <c:v>2.7942327936419105E-2</c:v>
                </c:pt>
                <c:pt idx="2922">
                  <c:v>2.794633236876835E-2</c:v>
                </c:pt>
                <c:pt idx="2923">
                  <c:v>2.7948983857226099E-2</c:v>
                </c:pt>
                <c:pt idx="2924">
                  <c:v>2.7954344275483156E-2</c:v>
                </c:pt>
                <c:pt idx="2925">
                  <c:v>2.7956997035478253E-2</c:v>
                </c:pt>
                <c:pt idx="2926">
                  <c:v>2.7961005145440521E-2</c:v>
                </c:pt>
                <c:pt idx="2927">
                  <c:v>2.7969080998629849E-2</c:v>
                </c:pt>
                <c:pt idx="2928">
                  <c:v>2.7973092272498109E-2</c:v>
                </c:pt>
                <c:pt idx="2929">
                  <c:v>2.7977104560631499E-2</c:v>
                </c:pt>
                <c:pt idx="2930">
                  <c:v>2.7981117863030907E-2</c:v>
                </c:pt>
                <c:pt idx="2931">
                  <c:v>2.7985132179703373E-2</c:v>
                </c:pt>
                <c:pt idx="2932">
                  <c:v>2.7987789934155047E-2</c:v>
                </c:pt>
                <c:pt idx="2933">
                  <c:v>2.7991805900025438E-2</c:v>
                </c:pt>
                <c:pt idx="2934">
                  <c:v>2.7995822880053766E-2</c:v>
                </c:pt>
                <c:pt idx="2935">
                  <c:v>2.7999840874242708E-2</c:v>
                </c:pt>
                <c:pt idx="2936">
                  <c:v>2.8005218977231228E-2</c:v>
                </c:pt>
                <c:pt idx="2937">
                  <c:v>2.8009239379592279E-2</c:v>
                </c:pt>
                <c:pt idx="2938">
                  <c:v>2.8013260796246654E-2</c:v>
                </c:pt>
                <c:pt idx="2939">
                  <c:v>2.8017283227195232E-2</c:v>
                </c:pt>
                <c:pt idx="2940">
                  <c:v>2.8021306672441539E-2</c:v>
                </c:pt>
                <c:pt idx="2941">
                  <c:v>2.8025331131989979E-2</c:v>
                </c:pt>
                <c:pt idx="2942">
                  <c:v>2.8029356605844956E-2</c:v>
                </c:pt>
                <c:pt idx="2943">
                  <c:v>2.8033383094004705E-2</c:v>
                </c:pt>
                <c:pt idx="2944">
                  <c:v>2.8037410596474518E-2</c:v>
                </c:pt>
                <c:pt idx="2945">
                  <c:v>2.8041439113259677E-2</c:v>
                </c:pt>
                <c:pt idx="2946">
                  <c:v>2.8045468644361946E-2</c:v>
                </c:pt>
                <c:pt idx="2947">
                  <c:v>2.8049499189783965E-2</c:v>
                </c:pt>
                <c:pt idx="2948">
                  <c:v>2.8053530749527499E-2</c:v>
                </c:pt>
                <c:pt idx="2949">
                  <c:v>2.8057563323599592E-2</c:v>
                </c:pt>
                <c:pt idx="2950">
                  <c:v>2.8061596911996722E-2</c:v>
                </c:pt>
                <c:pt idx="2951">
                  <c:v>2.8065631514729461E-2</c:v>
                </c:pt>
                <c:pt idx="2952">
                  <c:v>2.8069667131795165E-2</c:v>
                </c:pt>
                <c:pt idx="2953">
                  <c:v>2.8073703763200002E-2</c:v>
                </c:pt>
                <c:pt idx="2954">
                  <c:v>2.8076375458548006E-2</c:v>
                </c:pt>
                <c:pt idx="2955">
                  <c:v>2.8080413736602888E-2</c:v>
                </c:pt>
                <c:pt idx="2956">
                  <c:v>2.8084453028883394E-2</c:v>
                </c:pt>
                <c:pt idx="2957">
                  <c:v>2.8089860432261762E-2</c:v>
                </c:pt>
                <c:pt idx="2958">
                  <c:v>2.8093902135403661E-2</c:v>
                </c:pt>
                <c:pt idx="2959">
                  <c:v>2.8097944852900552E-2</c:v>
                </c:pt>
                <c:pt idx="2960">
                  <c:v>2.8101988584758594E-2</c:v>
                </c:pt>
                <c:pt idx="2961">
                  <c:v>2.8106033330978678E-2</c:v>
                </c:pt>
                <c:pt idx="2962">
                  <c:v>2.8110079091565199E-2</c:v>
                </c:pt>
                <c:pt idx="2963">
                  <c:v>2.8114125866520803E-2</c:v>
                </c:pt>
                <c:pt idx="2964">
                  <c:v>2.8118173655847255E-2</c:v>
                </c:pt>
                <c:pt idx="2965">
                  <c:v>2.8122222459549838E-2</c:v>
                </c:pt>
                <c:pt idx="2966">
                  <c:v>2.8126272277629434E-2</c:v>
                </c:pt>
                <c:pt idx="2967">
                  <c:v>2.8128952183672593E-2</c:v>
                </c:pt>
                <c:pt idx="2968">
                  <c:v>2.8133003646887728E-2</c:v>
                </c:pt>
                <c:pt idx="2969">
                  <c:v>2.8137056124368568E-2</c:v>
                </c:pt>
                <c:pt idx="2970">
                  <c:v>2.814168876916389E-2</c:v>
                </c:pt>
                <c:pt idx="2971">
                  <c:v>2.8145743420078872E-2</c:v>
                </c:pt>
                <c:pt idx="2972">
                  <c:v>2.8149799085269357E-2</c:v>
                </c:pt>
                <c:pt idx="2973">
                  <c:v>2.8153855764735343E-2</c:v>
                </c:pt>
                <c:pt idx="2974">
                  <c:v>2.8157913458482172E-2</c:v>
                </c:pt>
                <c:pt idx="2975">
                  <c:v>2.816059821977214E-2</c:v>
                </c:pt>
                <c:pt idx="2976">
                  <c:v>2.816465755749974E-2</c:v>
                </c:pt>
                <c:pt idx="2977">
                  <c:v>2.8168717909392769E-2</c:v>
                </c:pt>
                <c:pt idx="2978">
                  <c:v>2.8172779275456635E-2</c:v>
                </c:pt>
                <c:pt idx="2979">
                  <c:v>2.8176841655692231E-2</c:v>
                </c:pt>
                <c:pt idx="2980">
                  <c:v>2.8183656899230487E-2</c:v>
                </c:pt>
                <c:pt idx="2981">
                  <c:v>2.8187722078268033E-2</c:v>
                </c:pt>
                <c:pt idx="2982">
                  <c:v>2.8191788271735452E-2</c:v>
                </c:pt>
                <c:pt idx="2983">
                  <c:v>2.8195855479633616E-2</c:v>
                </c:pt>
                <c:pt idx="2984">
                  <c:v>2.8198546182027506E-2</c:v>
                </c:pt>
                <c:pt idx="2985">
                  <c:v>2.8202615033058674E-2</c:v>
                </c:pt>
                <c:pt idx="2986">
                  <c:v>2.8206684898404531E-2</c:v>
                </c:pt>
                <c:pt idx="2987">
                  <c:v>2.8210755778071313E-2</c:v>
                </c:pt>
                <c:pt idx="2988">
                  <c:v>2.8216206735696688E-2</c:v>
                </c:pt>
                <c:pt idx="2989">
                  <c:v>2.8220280030245425E-2</c:v>
                </c:pt>
                <c:pt idx="2990">
                  <c:v>2.8224354339246929E-2</c:v>
                </c:pt>
                <c:pt idx="2991">
                  <c:v>2.822842966270209E-2</c:v>
                </c:pt>
                <c:pt idx="2992">
                  <c:v>2.8232506000618832E-2</c:v>
                </c:pt>
                <c:pt idx="2993">
                  <c:v>2.8236583352995396E-2</c:v>
                </c:pt>
                <c:pt idx="2994">
                  <c:v>2.8240661719838828E-2</c:v>
                </c:pt>
                <c:pt idx="2995">
                  <c:v>2.8244741101149128E-2</c:v>
                </c:pt>
                <c:pt idx="2996">
                  <c:v>2.8248821496930702E-2</c:v>
                </c:pt>
                <c:pt idx="2997">
                  <c:v>2.825290290718795E-2</c:v>
                </c:pt>
                <c:pt idx="2998">
                  <c:v>2.8256985323089477E-2</c:v>
                </c:pt>
                <c:pt idx="2999">
                  <c:v>2.8261068444082191E-2</c:v>
                </c:pt>
                <c:pt idx="3000">
                  <c:v>2.8265151618030723E-2</c:v>
                </c:pt>
                <c:pt idx="3001">
                  <c:v>2.8269234171860686E-2</c:v>
                </c:pt>
                <c:pt idx="3002">
                  <c:v>2.8273315432500334E-2</c:v>
                </c:pt>
                <c:pt idx="3003">
                  <c:v>2.827739472687088E-2</c:v>
                </c:pt>
                <c:pt idx="3004">
                  <c:v>2.8281471381896173E-2</c:v>
                </c:pt>
                <c:pt idx="3005">
                  <c:v>2.8285544724492136E-2</c:v>
                </c:pt>
                <c:pt idx="3006">
                  <c:v>2.8288230708430347E-2</c:v>
                </c:pt>
                <c:pt idx="3007">
                  <c:v>2.8292295586364424E-2</c:v>
                </c:pt>
                <c:pt idx="3008">
                  <c:v>2.8296355160445534E-2</c:v>
                </c:pt>
                <c:pt idx="3009">
                  <c:v>2.8305940071423247E-2</c:v>
                </c:pt>
                <c:pt idx="3010">
                  <c:v>2.8305838192981003E-2</c:v>
                </c:pt>
                <c:pt idx="3011">
                  <c:v>2.8309877528746946E-2</c:v>
                </c:pt>
                <c:pt idx="3012">
                  <c:v>2.8313909073622891E-2</c:v>
                </c:pt>
                <c:pt idx="3013">
                  <c:v>2.8317932786705132E-2</c:v>
                </c:pt>
                <c:pt idx="3014">
                  <c:v>2.8321948667969884E-2</c:v>
                </c:pt>
                <c:pt idx="3015">
                  <c:v>2.8325956717394241E-2</c:v>
                </c:pt>
                <c:pt idx="3016">
                  <c:v>2.8329956934951776E-2</c:v>
                </c:pt>
                <c:pt idx="3017">
                  <c:v>2.833394932062135E-2</c:v>
                </c:pt>
                <c:pt idx="3018">
                  <c:v>2.8337933874379172E-2</c:v>
                </c:pt>
                <c:pt idx="3019">
                  <c:v>2.8339150097560523E-2</c:v>
                </c:pt>
                <c:pt idx="3020">
                  <c:v>2.8343119491951934E-2</c:v>
                </c:pt>
                <c:pt idx="3021">
                  <c:v>2.8347081055491406E-2</c:v>
                </c:pt>
                <c:pt idx="3022">
                  <c:v>2.8356049239613986E-2</c:v>
                </c:pt>
                <c:pt idx="3023">
                  <c:v>2.8358611043087106E-2</c:v>
                </c:pt>
                <c:pt idx="3024">
                  <c:v>2.8362544384290582E-2</c:v>
                </c:pt>
                <c:pt idx="3025">
                  <c:v>2.8366469893969678E-2</c:v>
                </c:pt>
                <c:pt idx="3026">
                  <c:v>2.8370387572103913E-2</c:v>
                </c:pt>
                <c:pt idx="3027">
                  <c:v>2.8375675510682992E-2</c:v>
                </c:pt>
                <c:pt idx="3028">
                  <c:v>2.8378199433648731E-2</c:v>
                </c:pt>
                <c:pt idx="3029">
                  <c:v>2.838209361701122E-2</c:v>
                </c:pt>
                <c:pt idx="3030">
                  <c:v>2.8387357287618313E-2</c:v>
                </c:pt>
                <c:pt idx="3031">
                  <c:v>2.839123554884147E-2</c:v>
                </c:pt>
                <c:pt idx="3032">
                  <c:v>2.8395105977815478E-2</c:v>
                </c:pt>
                <c:pt idx="3033">
                  <c:v>2.8398968574517434E-2</c:v>
                </c:pt>
                <c:pt idx="3034">
                  <c:v>2.8402823338924431E-2</c:v>
                </c:pt>
                <c:pt idx="3035">
                  <c:v>2.8405843211743179E-2</c:v>
                </c:pt>
                <c:pt idx="3036">
                  <c:v>2.8409681454354931E-2</c:v>
                </c:pt>
                <c:pt idx="3037">
                  <c:v>2.8413511865168883E-2</c:v>
                </c:pt>
                <c:pt idx="3038">
                  <c:v>2.8417334444162775E-2</c:v>
                </c:pt>
                <c:pt idx="3039">
                  <c:v>2.8421149191317895E-2</c:v>
                </c:pt>
                <c:pt idx="3040">
                  <c:v>2.8426330773699739E-2</c:v>
                </c:pt>
                <c:pt idx="3041">
                  <c:v>2.8430129592490735E-2</c:v>
                </c:pt>
                <c:pt idx="3042">
                  <c:v>2.8433920578801775E-2</c:v>
                </c:pt>
                <c:pt idx="3043">
                  <c:v>2.8437703732612601E-2</c:v>
                </c:pt>
                <c:pt idx="3044">
                  <c:v>2.8441479053902069E-2</c:v>
                </c:pt>
                <c:pt idx="3045">
                  <c:v>2.8445246542645509E-2</c:v>
                </c:pt>
                <c:pt idx="3046">
                  <c:v>2.8449006198823547E-2</c:v>
                </c:pt>
                <c:pt idx="3047">
                  <c:v>2.8452758022411512E-2</c:v>
                </c:pt>
                <c:pt idx="3048">
                  <c:v>2.8456502013389142E-2</c:v>
                </c:pt>
                <c:pt idx="3049">
                  <c:v>2.8460238171733536E-2</c:v>
                </c:pt>
                <c:pt idx="3050">
                  <c:v>2.8463966497423551E-2</c:v>
                </c:pt>
                <c:pt idx="3051">
                  <c:v>2.8467686990436277E-2</c:v>
                </c:pt>
                <c:pt idx="3052">
                  <c:v>2.847139965075058E-2</c:v>
                </c:pt>
                <c:pt idx="3053">
                  <c:v>2.847510447834355E-2</c:v>
                </c:pt>
                <c:pt idx="3054">
                  <c:v>2.8478801473194929E-2</c:v>
                </c:pt>
                <c:pt idx="3055">
                  <c:v>2.8482490635281809E-2</c:v>
                </c:pt>
                <c:pt idx="3056">
                  <c:v>2.8486171964582169E-2</c:v>
                </c:pt>
                <c:pt idx="3057">
                  <c:v>2.8488475370171792E-2</c:v>
                </c:pt>
                <c:pt idx="3058">
                  <c:v>2.8492141308178599E-2</c:v>
                </c:pt>
                <c:pt idx="3059">
                  <c:v>2.8495799413908458E-2</c:v>
                </c:pt>
                <c:pt idx="3060">
                  <c:v>2.8499449687339987E-2</c:v>
                </c:pt>
                <c:pt idx="3061">
                  <c:v>2.8503092128455379E-2</c:v>
                </c:pt>
                <c:pt idx="3062">
                  <c:v>2.8508095450673714E-2</c:v>
                </c:pt>
                <c:pt idx="3063">
                  <c:v>2.8511721949868511E-2</c:v>
                </c:pt>
                <c:pt idx="3064">
                  <c:v>2.8515340616106763E-2</c:v>
                </c:pt>
                <c:pt idx="3065">
                  <c:v>2.8518951449366451E-2</c:v>
                </c:pt>
                <c:pt idx="3066">
                  <c:v>2.8522554449624669E-2</c:v>
                </c:pt>
                <c:pt idx="3067">
                  <c:v>2.8526149616861157E-2</c:v>
                </c:pt>
                <c:pt idx="3068">
                  <c:v>2.8529736951056529E-2</c:v>
                </c:pt>
                <c:pt idx="3069">
                  <c:v>2.8533316452186125E-2</c:v>
                </c:pt>
                <c:pt idx="3070">
                  <c:v>2.853415520512121E-2</c:v>
                </c:pt>
                <c:pt idx="3071">
                  <c:v>2.8537719603655243E-2</c:v>
                </c:pt>
                <c:pt idx="3072">
                  <c:v>2.8541276170215291E-2</c:v>
                </c:pt>
                <c:pt idx="3073">
                  <c:v>2.8544824904782447E-2</c:v>
                </c:pt>
                <c:pt idx="3074">
                  <c:v>2.8548365807336898E-2</c:v>
                </c:pt>
                <c:pt idx="3075">
                  <c:v>2.8551898877857029E-2</c:v>
                </c:pt>
                <c:pt idx="3076">
                  <c:v>2.8556788852590036E-2</c:v>
                </c:pt>
                <c:pt idx="3077">
                  <c:v>2.8558941522716E-2</c:v>
                </c:pt>
                <c:pt idx="3078">
                  <c:v>2.8562451097014312E-2</c:v>
                </c:pt>
                <c:pt idx="3079">
                  <c:v>2.8567316718030582E-2</c:v>
                </c:pt>
                <c:pt idx="3080">
                  <c:v>2.8569446749246837E-2</c:v>
                </c:pt>
                <c:pt idx="3081">
                  <c:v>2.8572932827139626E-2</c:v>
                </c:pt>
                <c:pt idx="3082">
                  <c:v>2.8576411072859416E-2</c:v>
                </c:pt>
                <c:pt idx="3083">
                  <c:v>2.8582606984604585E-2</c:v>
                </c:pt>
                <c:pt idx="3084">
                  <c:v>2.8586068987278241E-2</c:v>
                </c:pt>
                <c:pt idx="3085">
                  <c:v>2.8589523156554005E-2</c:v>
                </c:pt>
                <c:pt idx="3086">
                  <c:v>2.859296949241602E-2</c:v>
                </c:pt>
                <c:pt idx="3087">
                  <c:v>2.8596407994842265E-2</c:v>
                </c:pt>
                <c:pt idx="3088">
                  <c:v>2.8598477345617889E-2</c:v>
                </c:pt>
                <c:pt idx="3089">
                  <c:v>2.8601900473363522E-2</c:v>
                </c:pt>
                <c:pt idx="3090">
                  <c:v>2.8605315768195409E-2</c:v>
                </c:pt>
                <c:pt idx="3091">
                  <c:v>2.8608723230091289E-2</c:v>
                </c:pt>
                <c:pt idx="3092">
                  <c:v>2.8613483004729511E-2</c:v>
                </c:pt>
                <c:pt idx="3093">
                  <c:v>2.8616874506117388E-2</c:v>
                </c:pt>
                <c:pt idx="3094">
                  <c:v>2.8620258173929429E-2</c:v>
                </c:pt>
                <c:pt idx="3095">
                  <c:v>2.8623634008146246E-2</c:v>
                </c:pt>
                <c:pt idx="3096">
                  <c:v>2.8627002008744056E-2</c:v>
                </c:pt>
                <c:pt idx="3097">
                  <c:v>2.8630362175707004E-2</c:v>
                </c:pt>
                <c:pt idx="3098">
                  <c:v>2.8633714509015706E-2</c:v>
                </c:pt>
                <c:pt idx="3099">
                  <c:v>2.8637059008648137E-2</c:v>
                </c:pt>
                <c:pt idx="3100">
                  <c:v>2.8640395674584044E-2</c:v>
                </c:pt>
                <c:pt idx="3101">
                  <c:v>2.8643724506806679E-2</c:v>
                </c:pt>
                <c:pt idx="3102">
                  <c:v>2.8647045505295787E-2</c:v>
                </c:pt>
                <c:pt idx="3103">
                  <c:v>2.8650358670029342E-2</c:v>
                </c:pt>
                <c:pt idx="3104">
                  <c:v>2.8653664000990609E-2</c:v>
                </c:pt>
                <c:pt idx="3105">
                  <c:v>2.8656961498157558E-2</c:v>
                </c:pt>
                <c:pt idx="3106">
                  <c:v>2.8660251161514341E-2</c:v>
                </c:pt>
                <c:pt idx="3107">
                  <c:v>2.8663532991038927E-2</c:v>
                </c:pt>
                <c:pt idx="3108">
                  <c:v>2.8666806986711937E-2</c:v>
                </c:pt>
                <c:pt idx="3109">
                  <c:v>2.8668718089968889E-2</c:v>
                </c:pt>
                <c:pt idx="3110">
                  <c:v>2.8671976722384526E-2</c:v>
                </c:pt>
                <c:pt idx="3111">
                  <c:v>2.8675227521480297E-2</c:v>
                </c:pt>
                <c:pt idx="3112">
                  <c:v>2.8678470487233047E-2</c:v>
                </c:pt>
                <c:pt idx="3113">
                  <c:v>2.8683059456644434E-2</c:v>
                </c:pt>
                <c:pt idx="3114">
                  <c:v>2.8686286448808936E-2</c:v>
                </c:pt>
                <c:pt idx="3115">
                  <c:v>2.8689505606989719E-2</c:v>
                </c:pt>
                <c:pt idx="3116">
                  <c:v>2.8692716931165645E-2</c:v>
                </c:pt>
                <c:pt idx="3117">
                  <c:v>2.8695920421320856E-2</c:v>
                </c:pt>
                <c:pt idx="3118">
                  <c:v>2.8699116077433327E-2</c:v>
                </c:pt>
                <c:pt idx="3119">
                  <c:v>2.8702303899487205E-2</c:v>
                </c:pt>
                <c:pt idx="3120">
                  <c:v>2.8705483887461348E-2</c:v>
                </c:pt>
                <c:pt idx="3121">
                  <c:v>2.870865604133813E-2</c:v>
                </c:pt>
                <c:pt idx="3122">
                  <c:v>2.8709118293389291E-2</c:v>
                </c:pt>
                <c:pt idx="3123">
                  <c:v>2.8712275403217132E-2</c:v>
                </c:pt>
                <c:pt idx="3124">
                  <c:v>2.8715424680069615E-2</c:v>
                </c:pt>
                <c:pt idx="3125">
                  <c:v>2.8718566123926034E-2</c:v>
                </c:pt>
                <c:pt idx="3126">
                  <c:v>2.8722146754030967E-2</c:v>
                </c:pt>
                <c:pt idx="3127">
                  <c:v>2.8725271412837022E-2</c:v>
                </c:pt>
                <c:pt idx="3128">
                  <c:v>2.8728388238592081E-2</c:v>
                </c:pt>
                <c:pt idx="3129">
                  <c:v>2.8731497231279029E-2</c:v>
                </c:pt>
                <c:pt idx="3130">
                  <c:v>2.873459839087536E-2</c:v>
                </c:pt>
                <c:pt idx="3131">
                  <c:v>2.8737691717368459E-2</c:v>
                </c:pt>
                <c:pt idx="3132">
                  <c:v>2.8739429430011149E-2</c:v>
                </c:pt>
                <c:pt idx="3133">
                  <c:v>2.8742507408219427E-2</c:v>
                </c:pt>
                <c:pt idx="3134">
                  <c:v>2.8745577553859241E-2</c:v>
                </c:pt>
                <c:pt idx="3135">
                  <c:v>2.875268046181681E-2</c:v>
                </c:pt>
                <c:pt idx="3136">
                  <c:v>2.8755733982818766E-2</c:v>
                </c:pt>
                <c:pt idx="3137">
                  <c:v>2.8758779669424729E-2</c:v>
                </c:pt>
                <c:pt idx="3138">
                  <c:v>2.8761817521621481E-2</c:v>
                </c:pt>
                <c:pt idx="3139">
                  <c:v>2.8764847539389647E-2</c:v>
                </c:pt>
                <c:pt idx="3140">
                  <c:v>2.8766524423114684E-2</c:v>
                </c:pt>
                <c:pt idx="3141">
                  <c:v>2.8769539094810066E-2</c:v>
                </c:pt>
                <c:pt idx="3142">
                  <c:v>2.8772545932614694E-2</c:v>
                </c:pt>
                <c:pt idx="3143">
                  <c:v>2.8775544936510754E-2</c:v>
                </c:pt>
                <c:pt idx="3144">
                  <c:v>2.8779880111168239E-2</c:v>
                </c:pt>
                <c:pt idx="3145">
                  <c:v>2.878286312198871E-2</c:v>
                </c:pt>
                <c:pt idx="3146">
                  <c:v>2.8785838298257257E-2</c:v>
                </c:pt>
                <c:pt idx="3147">
                  <c:v>2.8788805639955388E-2</c:v>
                </c:pt>
                <c:pt idx="3148">
                  <c:v>2.8791765147063716E-2</c:v>
                </c:pt>
                <c:pt idx="3149">
                  <c:v>2.8794716819569032E-2</c:v>
                </c:pt>
                <c:pt idx="3150">
                  <c:v>2.8797660657450187E-2</c:v>
                </c:pt>
                <c:pt idx="3151">
                  <c:v>2.8800596660693095E-2</c:v>
                </c:pt>
                <c:pt idx="3152">
                  <c:v>2.8803524829277484E-2</c:v>
                </c:pt>
                <c:pt idx="3153">
                  <c:v>2.8806445163188386E-2</c:v>
                </c:pt>
                <c:pt idx="3154">
                  <c:v>2.8809357662408181E-2</c:v>
                </c:pt>
                <c:pt idx="3155">
                  <c:v>2.8812262326917484E-2</c:v>
                </c:pt>
                <c:pt idx="3156">
                  <c:v>2.8815159156702207E-2</c:v>
                </c:pt>
                <c:pt idx="3157">
                  <c:v>2.8818048151743842E-2</c:v>
                </c:pt>
                <c:pt idx="3158">
                  <c:v>2.8820929312025657E-2</c:v>
                </c:pt>
                <c:pt idx="3159">
                  <c:v>2.8823802637530913E-2</c:v>
                </c:pt>
                <c:pt idx="3160">
                  <c:v>2.882666812824199E-2</c:v>
                </c:pt>
                <c:pt idx="3161">
                  <c:v>2.8828187388714691E-2</c:v>
                </c:pt>
                <c:pt idx="3162">
                  <c:v>2.8831037545094595E-2</c:v>
                </c:pt>
                <c:pt idx="3163">
                  <c:v>2.8833879867228393E-2</c:v>
                </c:pt>
                <c:pt idx="3164">
                  <c:v>2.883671435509827E-2</c:v>
                </c:pt>
                <c:pt idx="3165">
                  <c:v>2.8839541008684629E-2</c:v>
                </c:pt>
                <c:pt idx="3166">
                  <c:v>2.8843696540903966E-2</c:v>
                </c:pt>
                <c:pt idx="3167">
                  <c:v>2.88465071875889E-2</c:v>
                </c:pt>
                <c:pt idx="3168">
                  <c:v>2.8849309999349274E-2</c:v>
                </c:pt>
                <c:pt idx="3169">
                  <c:v>2.8852104976163952E-2</c:v>
                </c:pt>
                <c:pt idx="3170">
                  <c:v>2.8854892118018834E-2</c:v>
                </c:pt>
                <c:pt idx="3171">
                  <c:v>2.8857671424898063E-2</c:v>
                </c:pt>
                <c:pt idx="3172">
                  <c:v>2.8860442896784907E-2</c:v>
                </c:pt>
                <c:pt idx="3173">
                  <c:v>2.8863206533660857E-2</c:v>
                </c:pt>
                <c:pt idx="3174">
                  <c:v>2.8864628345609336E-2</c:v>
                </c:pt>
                <c:pt idx="3175">
                  <c:v>2.8867376655485961E-2</c:v>
                </c:pt>
                <c:pt idx="3176">
                  <c:v>2.8870117130903619E-2</c:v>
                </c:pt>
                <c:pt idx="3177">
                  <c:v>2.8872849771844497E-2</c:v>
                </c:pt>
                <c:pt idx="3178">
                  <c:v>2.8875574578295236E-2</c:v>
                </c:pt>
                <c:pt idx="3179">
                  <c:v>2.8878291550236246E-2</c:v>
                </c:pt>
                <c:pt idx="3180">
                  <c:v>2.8881000687655051E-2</c:v>
                </c:pt>
                <c:pt idx="3181">
                  <c:v>2.8883701990534735E-2</c:v>
                </c:pt>
                <c:pt idx="3182">
                  <c:v>2.8886395458860157E-2</c:v>
                </c:pt>
                <c:pt idx="3183">
                  <c:v>2.8887750248583505E-2</c:v>
                </c:pt>
                <c:pt idx="3184">
                  <c:v>2.8890428396141261E-2</c:v>
                </c:pt>
                <c:pt idx="3185">
                  <c:v>2.8893098709693477E-2</c:v>
                </c:pt>
                <c:pt idx="3186">
                  <c:v>2.8895761189231147E-2</c:v>
                </c:pt>
                <c:pt idx="3187">
                  <c:v>2.890107476494682E-2</c:v>
                </c:pt>
                <c:pt idx="3188">
                  <c:v>2.890372087476014E-2</c:v>
                </c:pt>
                <c:pt idx="3189">
                  <c:v>2.8906359149309738E-2</c:v>
                </c:pt>
                <c:pt idx="3190">
                  <c:v>2.8908989588580646E-2</c:v>
                </c:pt>
                <c:pt idx="3191">
                  <c:v>2.8911612192555239E-2</c:v>
                </c:pt>
                <c:pt idx="3192">
                  <c:v>2.8912899238174312E-2</c:v>
                </c:pt>
                <c:pt idx="3193">
                  <c:v>2.8915506525373284E-2</c:v>
                </c:pt>
                <c:pt idx="3194">
                  <c:v>2.8918105977831857E-2</c:v>
                </c:pt>
                <c:pt idx="3195">
                  <c:v>2.8920697595534887E-2</c:v>
                </c:pt>
                <c:pt idx="3196">
                  <c:v>2.8924607682473447E-2</c:v>
                </c:pt>
                <c:pt idx="3197">
                  <c:v>2.8927183274359194E-2</c:v>
                </c:pt>
                <c:pt idx="3198">
                  <c:v>2.8929751030841153E-2</c:v>
                </c:pt>
                <c:pt idx="3199">
                  <c:v>2.8932310951906109E-2</c:v>
                </c:pt>
                <c:pt idx="3200">
                  <c:v>2.8934863037539969E-2</c:v>
                </c:pt>
                <c:pt idx="3201">
                  <c:v>2.893740728772776E-2</c:v>
                </c:pt>
                <c:pt idx="3202">
                  <c:v>2.8939943702450975E-2</c:v>
                </c:pt>
                <c:pt idx="3203">
                  <c:v>2.894247228169905E-2</c:v>
                </c:pt>
                <c:pt idx="3204">
                  <c:v>2.8944993025455244E-2</c:v>
                </c:pt>
                <c:pt idx="3205">
                  <c:v>2.8947505933704577E-2</c:v>
                </c:pt>
                <c:pt idx="3206">
                  <c:v>2.8950011006432082E-2</c:v>
                </c:pt>
                <c:pt idx="3207">
                  <c:v>2.8952508243624539E-2</c:v>
                </c:pt>
                <c:pt idx="3208">
                  <c:v>2.895499764526609E-2</c:v>
                </c:pt>
                <c:pt idx="3209">
                  <c:v>2.8957479211341765E-2</c:v>
                </c:pt>
                <c:pt idx="3210">
                  <c:v>2.8959952941836582E-2</c:v>
                </c:pt>
                <c:pt idx="3211">
                  <c:v>2.8962418836737329E-2</c:v>
                </c:pt>
                <c:pt idx="3212">
                  <c:v>2.8964876896031673E-2</c:v>
                </c:pt>
                <c:pt idx="3213">
                  <c:v>2.8967327119699352E-2</c:v>
                </c:pt>
                <c:pt idx="3214">
                  <c:v>2.8968449708683366E-2</c:v>
                </c:pt>
                <c:pt idx="3215">
                  <c:v>2.8970884628182422E-2</c:v>
                </c:pt>
                <c:pt idx="3216">
                  <c:v>2.8973311712616891E-2</c:v>
                </c:pt>
                <c:pt idx="3217">
                  <c:v>2.8977049657847958E-2</c:v>
                </c:pt>
                <c:pt idx="3218">
                  <c:v>2.8979460703184107E-2</c:v>
                </c:pt>
                <c:pt idx="3219">
                  <c:v>2.8981863912809901E-2</c:v>
                </c:pt>
                <c:pt idx="3220">
                  <c:v>2.8984259286712125E-2</c:v>
                </c:pt>
                <c:pt idx="3221">
                  <c:v>2.8986646824876689E-2</c:v>
                </c:pt>
                <c:pt idx="3222">
                  <c:v>2.8989026527290376E-2</c:v>
                </c:pt>
                <c:pt idx="3223">
                  <c:v>2.899139839393821E-2</c:v>
                </c:pt>
                <c:pt idx="3224">
                  <c:v>2.8993762424805215E-2</c:v>
                </c:pt>
                <c:pt idx="3225">
                  <c:v>2.8996118619880822E-2</c:v>
                </c:pt>
                <c:pt idx="3226">
                  <c:v>2.8998466979148291E-2</c:v>
                </c:pt>
                <c:pt idx="3227">
                  <c:v>2.8998177577668181E-2</c:v>
                </c:pt>
                <c:pt idx="3228">
                  <c:v>2.9000511015190671E-2</c:v>
                </c:pt>
                <c:pt idx="3229">
                  <c:v>2.9002836618079959E-2</c:v>
                </c:pt>
                <c:pt idx="3230">
                  <c:v>2.900548485650466E-2</c:v>
                </c:pt>
                <c:pt idx="3231">
                  <c:v>2.9007793670841487E-2</c:v>
                </c:pt>
                <c:pt idx="3232">
                  <c:v>2.9010094650503689E-2</c:v>
                </c:pt>
                <c:pt idx="3233">
                  <c:v>2.9012387795474156E-2</c:v>
                </c:pt>
                <c:pt idx="3234">
                  <c:v>2.9014673105740279E-2</c:v>
                </c:pt>
                <c:pt idx="3235">
                  <c:v>2.9015638739251278E-2</c:v>
                </c:pt>
                <c:pt idx="3236">
                  <c:v>2.9017908759859507E-2</c:v>
                </c:pt>
                <c:pt idx="3237">
                  <c:v>2.9020170946334804E-2</c:v>
                </c:pt>
                <c:pt idx="3238">
                  <c:v>2.9022425298660781E-2</c:v>
                </c:pt>
                <c:pt idx="3239">
                  <c:v>2.9028602872757523E-2</c:v>
                </c:pt>
                <c:pt idx="3240">
                  <c:v>2.9030840409863905E-2</c:v>
                </c:pt>
                <c:pt idx="3241">
                  <c:v>2.9033070110956894E-2</c:v>
                </c:pt>
                <c:pt idx="3242">
                  <c:v>2.9035291976027673E-2</c:v>
                </c:pt>
                <c:pt idx="3243">
                  <c:v>2.9037506005056869E-2</c:v>
                </c:pt>
                <c:pt idx="3244">
                  <c:v>2.9038403731235632E-2</c:v>
                </c:pt>
                <c:pt idx="3245">
                  <c:v>2.9040602473562084E-2</c:v>
                </c:pt>
                <c:pt idx="3246">
                  <c:v>2.9042793380423169E-2</c:v>
                </c:pt>
                <c:pt idx="3247">
                  <c:v>2.9044976451800184E-2</c:v>
                </c:pt>
                <c:pt idx="3248">
                  <c:v>2.904845860919144E-2</c:v>
                </c:pt>
                <c:pt idx="3249">
                  <c:v>2.9050625621725334E-2</c:v>
                </c:pt>
                <c:pt idx="3250">
                  <c:v>2.9052784798128669E-2</c:v>
                </c:pt>
                <c:pt idx="3251">
                  <c:v>2.9054936138390875E-2</c:v>
                </c:pt>
                <c:pt idx="3252">
                  <c:v>2.9057079642502256E-2</c:v>
                </c:pt>
                <c:pt idx="3253">
                  <c:v>2.9059215310446074E-2</c:v>
                </c:pt>
                <c:pt idx="3254">
                  <c:v>2.9061343142211763E-2</c:v>
                </c:pt>
                <c:pt idx="3255">
                  <c:v>2.9063463137786988E-2</c:v>
                </c:pt>
                <c:pt idx="3256">
                  <c:v>2.9065575297157656E-2</c:v>
                </c:pt>
                <c:pt idx="3257">
                  <c:v>2.9067679620312308E-2</c:v>
                </c:pt>
                <c:pt idx="3258">
                  <c:v>2.9069776107239497E-2</c:v>
                </c:pt>
                <c:pt idx="3259">
                  <c:v>2.9071864757926006E-2</c:v>
                </c:pt>
                <c:pt idx="3260">
                  <c:v>2.9073945572360389E-2</c:v>
                </c:pt>
                <c:pt idx="3261">
                  <c:v>2.9076018550525901E-2</c:v>
                </c:pt>
                <c:pt idx="3262">
                  <c:v>2.907808369241726E-2</c:v>
                </c:pt>
                <c:pt idx="3263">
                  <c:v>2.908014099801861E-2</c:v>
                </c:pt>
                <c:pt idx="3264">
                  <c:v>2.9082190467318494E-2</c:v>
                </c:pt>
                <c:pt idx="3265">
                  <c:v>2.9084232100302823E-2</c:v>
                </c:pt>
                <c:pt idx="3266">
                  <c:v>2.9084966050086682E-2</c:v>
                </c:pt>
                <c:pt idx="3267">
                  <c:v>2.9086992409249404E-2</c:v>
                </c:pt>
                <c:pt idx="3268">
                  <c:v>2.9089010932672452E-2</c:v>
                </c:pt>
                <c:pt idx="3269">
                  <c:v>2.9092320268869605E-2</c:v>
                </c:pt>
                <c:pt idx="3270">
                  <c:v>2.9094322720107004E-2</c:v>
                </c:pt>
                <c:pt idx="3271">
                  <c:v>2.9096317334961014E-2</c:v>
                </c:pt>
                <c:pt idx="3272">
                  <c:v>2.9098304113415775E-2</c:v>
                </c:pt>
                <c:pt idx="3273">
                  <c:v>2.9100283055463361E-2</c:v>
                </c:pt>
                <c:pt idx="3274">
                  <c:v>2.910225416109144E-2</c:v>
                </c:pt>
                <c:pt idx="3275">
                  <c:v>2.9104217430287675E-2</c:v>
                </c:pt>
                <c:pt idx="3276">
                  <c:v>2.9106172863037974E-2</c:v>
                </c:pt>
                <c:pt idx="3277">
                  <c:v>2.9108120459336171E-2</c:v>
                </c:pt>
                <c:pt idx="3278">
                  <c:v>2.911006021916817E-2</c:v>
                </c:pt>
                <c:pt idx="3279">
                  <c:v>2.9109402943919678E-2</c:v>
                </c:pt>
                <c:pt idx="3280">
                  <c:v>2.9111327844317976E-2</c:v>
                </c:pt>
                <c:pt idx="3281">
                  <c:v>2.9113244909443708E-2</c:v>
                </c:pt>
                <c:pt idx="3282">
                  <c:v>2.911542624678877E-2</c:v>
                </c:pt>
                <c:pt idx="3283">
                  <c:v>2.9117326522005865E-2</c:v>
                </c:pt>
                <c:pt idx="3284">
                  <c:v>2.9119218961913471E-2</c:v>
                </c:pt>
                <c:pt idx="3285">
                  <c:v>2.9121103566503489E-2</c:v>
                </c:pt>
                <c:pt idx="3286">
                  <c:v>2.9122980335764204E-2</c:v>
                </c:pt>
                <c:pt idx="3287">
                  <c:v>2.9123558044233444E-2</c:v>
                </c:pt>
                <c:pt idx="3288">
                  <c:v>2.9125419554453597E-2</c:v>
                </c:pt>
                <c:pt idx="3289">
                  <c:v>2.9127273229927052E-2</c:v>
                </c:pt>
                <c:pt idx="3290">
                  <c:v>2.9129119070643791E-2</c:v>
                </c:pt>
                <c:pt idx="3291">
                  <c:v>2.91335362557694E-2</c:v>
                </c:pt>
                <c:pt idx="3292">
                  <c:v>2.9139233340837196E-2</c:v>
                </c:pt>
                <c:pt idx="3293">
                  <c:v>2.9141053602826903E-2</c:v>
                </c:pt>
                <c:pt idx="3294">
                  <c:v>2.9142866026941158E-2</c:v>
                </c:pt>
                <c:pt idx="3295">
                  <c:v>2.9141834998458925E-2</c:v>
                </c:pt>
                <c:pt idx="3296">
                  <c:v>2.9143628519441814E-2</c:v>
                </c:pt>
                <c:pt idx="3297">
                  <c:v>2.9145414204356387E-2</c:v>
                </c:pt>
                <c:pt idx="3298">
                  <c:v>2.9147192053196411E-2</c:v>
                </c:pt>
                <c:pt idx="3299">
                  <c:v>2.914896206594586E-2</c:v>
                </c:pt>
                <c:pt idx="3300">
                  <c:v>2.9152009885158287E-2</c:v>
                </c:pt>
                <c:pt idx="3301">
                  <c:v>2.9153763805547756E-2</c:v>
                </c:pt>
                <c:pt idx="3302">
                  <c:v>2.9155509889201459E-2</c:v>
                </c:pt>
                <c:pt idx="3303">
                  <c:v>2.9157248136112347E-2</c:v>
                </c:pt>
                <c:pt idx="3304">
                  <c:v>2.9158978546267214E-2</c:v>
                </c:pt>
                <c:pt idx="3305">
                  <c:v>2.9160701119656358E-2</c:v>
                </c:pt>
                <c:pt idx="3306">
                  <c:v>2.9162415856270097E-2</c:v>
                </c:pt>
                <c:pt idx="3307">
                  <c:v>2.916412275609874E-2</c:v>
                </c:pt>
                <c:pt idx="3308">
                  <c:v>2.9165821819129068E-2</c:v>
                </c:pt>
                <c:pt idx="3309">
                  <c:v>2.916751304535492E-2</c:v>
                </c:pt>
                <c:pt idx="3310">
                  <c:v>2.9169196434766603E-2</c:v>
                </c:pt>
                <c:pt idx="3311">
                  <c:v>2.9170871987350903E-2</c:v>
                </c:pt>
                <c:pt idx="3312">
                  <c:v>2.9172539703101654E-2</c:v>
                </c:pt>
                <c:pt idx="3313">
                  <c:v>2.9174199582005643E-2</c:v>
                </c:pt>
                <c:pt idx="3314">
                  <c:v>2.9175851624056698E-2</c:v>
                </c:pt>
                <c:pt idx="3315">
                  <c:v>2.9177495829239852E-2</c:v>
                </c:pt>
                <c:pt idx="3316">
                  <c:v>2.9179132197551572E-2</c:v>
                </c:pt>
                <c:pt idx="3317">
                  <c:v>2.9179482312878129E-2</c:v>
                </c:pt>
                <c:pt idx="3318">
                  <c:v>2.9181103438052292E-2</c:v>
                </c:pt>
                <c:pt idx="3319">
                  <c:v>2.9182716726939936E-2</c:v>
                </c:pt>
                <c:pt idx="3320">
                  <c:v>2.9184322179532159E-2</c:v>
                </c:pt>
                <c:pt idx="3321">
                  <c:v>2.918719648565201E-2</c:v>
                </c:pt>
                <c:pt idx="3322">
                  <c:v>2.918878583251492E-2</c:v>
                </c:pt>
                <c:pt idx="3323">
                  <c:v>2.9190367342438569E-2</c:v>
                </c:pt>
                <c:pt idx="3324">
                  <c:v>2.919194101541062E-2</c:v>
                </c:pt>
                <c:pt idx="3325">
                  <c:v>2.9193506851424033E-2</c:v>
                </c:pt>
                <c:pt idx="3326">
                  <c:v>2.919506485046823E-2</c:v>
                </c:pt>
                <c:pt idx="3327">
                  <c:v>2.9196615012535284E-2</c:v>
                </c:pt>
                <c:pt idx="3328">
                  <c:v>2.9198157337615507E-2</c:v>
                </c:pt>
                <c:pt idx="3329">
                  <c:v>2.9199691825700088E-2</c:v>
                </c:pt>
                <c:pt idx="3330">
                  <c:v>2.9198672963465025E-2</c:v>
                </c:pt>
                <c:pt idx="3331">
                  <c:v>2.9200192654810997E-2</c:v>
                </c:pt>
                <c:pt idx="3332">
                  <c:v>2.9201704510372014E-2</c:v>
                </c:pt>
                <c:pt idx="3333">
                  <c:v>2.9203208530140863E-2</c:v>
                </c:pt>
                <c:pt idx="3334">
                  <c:v>2.9204704714105845E-2</c:v>
                </c:pt>
                <c:pt idx="3335">
                  <c:v>2.9206193062259751E-2</c:v>
                </c:pt>
                <c:pt idx="3336">
                  <c:v>2.9207673574595382E-2</c:v>
                </c:pt>
                <c:pt idx="3337">
                  <c:v>2.9210415911651837E-2</c:v>
                </c:pt>
                <c:pt idx="3338">
                  <c:v>2.9210611091773982E-2</c:v>
                </c:pt>
                <c:pt idx="3339">
                  <c:v>2.9213336870658472E-2</c:v>
                </c:pt>
                <c:pt idx="3340">
                  <c:v>2.9213517265575011E-2</c:v>
                </c:pt>
                <c:pt idx="3341">
                  <c:v>2.9214958598687776E-2</c:v>
                </c:pt>
                <c:pt idx="3342">
                  <c:v>2.9217659535599908E-2</c:v>
                </c:pt>
                <c:pt idx="3343">
                  <c:v>2.922035176933194E-2</c:v>
                </c:pt>
                <c:pt idx="3344">
                  <c:v>2.9221768701418602E-2</c:v>
                </c:pt>
                <c:pt idx="3345">
                  <c:v>2.9223177796371316E-2</c:v>
                </c:pt>
                <c:pt idx="3346">
                  <c:v>2.9224579054181271E-2</c:v>
                </c:pt>
                <c:pt idx="3347">
                  <c:v>2.9224707247098372E-2</c:v>
                </c:pt>
                <c:pt idx="3348">
                  <c:v>2.9226093279813556E-2</c:v>
                </c:pt>
                <c:pt idx="3349">
                  <c:v>2.9227471475982158E-2</c:v>
                </c:pt>
                <c:pt idx="3350">
                  <c:v>2.9228841835595282E-2</c:v>
                </c:pt>
                <c:pt idx="3351">
                  <c:v>2.9230204358644016E-2</c:v>
                </c:pt>
                <c:pt idx="3352">
                  <c:v>2.9232822020573531E-2</c:v>
                </c:pt>
                <c:pt idx="3353">
                  <c:v>2.9234168418153371E-2</c:v>
                </c:pt>
                <c:pt idx="3354">
                  <c:v>2.9235506978525262E-2</c:v>
                </c:pt>
                <c:pt idx="3355">
                  <c:v>2.9236837701680396E-2</c:v>
                </c:pt>
                <c:pt idx="3356">
                  <c:v>2.9238160587611726E-2</c:v>
                </c:pt>
                <c:pt idx="3357">
                  <c:v>2.9239475636313086E-2</c:v>
                </c:pt>
                <c:pt idx="3358">
                  <c:v>2.9240782847774781E-2</c:v>
                </c:pt>
                <c:pt idx="3359">
                  <c:v>2.9242082221990651E-2</c:v>
                </c:pt>
                <c:pt idx="3360">
                  <c:v>2.9243373758951884E-2</c:v>
                </c:pt>
                <c:pt idx="3361">
                  <c:v>2.9244657458650548E-2</c:v>
                </c:pt>
                <c:pt idx="3362">
                  <c:v>2.9245933321079599E-2</c:v>
                </c:pt>
                <c:pt idx="3363">
                  <c:v>2.9247201346231991E-2</c:v>
                </c:pt>
                <c:pt idx="3364">
                  <c:v>2.9248461534100673E-2</c:v>
                </c:pt>
                <c:pt idx="3365">
                  <c:v>2.924971388467772E-2</c:v>
                </c:pt>
                <c:pt idx="3366">
                  <c:v>2.9250958397952557E-2</c:v>
                </c:pt>
                <c:pt idx="3367">
                  <c:v>2.9252195073923425E-2</c:v>
                </c:pt>
                <c:pt idx="3368">
                  <c:v>2.9253423912578867E-2</c:v>
                </c:pt>
                <c:pt idx="3369">
                  <c:v>2.9253389712431396E-2</c:v>
                </c:pt>
                <c:pt idx="3370">
                  <c:v>2.9254603339327299E-2</c:v>
                </c:pt>
                <c:pt idx="3371">
                  <c:v>2.925580912951186E-2</c:v>
                </c:pt>
                <c:pt idx="3372">
                  <c:v>2.9257007082975284E-2</c:v>
                </c:pt>
                <c:pt idx="3373">
                  <c:v>2.9258197199710446E-2</c:v>
                </c:pt>
                <c:pt idx="3374">
                  <c:v>2.9260632360524726E-2</c:v>
                </c:pt>
                <c:pt idx="3375">
                  <c:v>2.9261806337786335E-2</c:v>
                </c:pt>
                <c:pt idx="3376">
                  <c:v>2.9262972477674384E-2</c:v>
                </c:pt>
                <c:pt idx="3377">
                  <c:v>2.9264130780186224E-2</c:v>
                </c:pt>
                <c:pt idx="3378">
                  <c:v>2.9265281245313048E-2</c:v>
                </c:pt>
                <c:pt idx="3379">
                  <c:v>2.9266423873051332E-2</c:v>
                </c:pt>
                <c:pt idx="3380">
                  <c:v>2.9267558663390505E-2</c:v>
                </c:pt>
                <c:pt idx="3381">
                  <c:v>2.9268685616325282E-2</c:v>
                </c:pt>
                <c:pt idx="3382">
                  <c:v>2.9268555596494352E-2</c:v>
                </c:pt>
                <c:pt idx="3383">
                  <c:v>2.9269667345587079E-2</c:v>
                </c:pt>
                <c:pt idx="3384">
                  <c:v>2.9270771257876728E-2</c:v>
                </c:pt>
                <c:pt idx="3385">
                  <c:v>2.9271867333363302E-2</c:v>
                </c:pt>
                <c:pt idx="3386">
                  <c:v>2.9272955572034336E-2</c:v>
                </c:pt>
                <c:pt idx="3387">
                  <c:v>2.927403597388448E-2</c:v>
                </c:pt>
                <c:pt idx="3388">
                  <c:v>2.9275108538910178E-2</c:v>
                </c:pt>
                <c:pt idx="3389">
                  <c:v>2.92761732671043E-2</c:v>
                </c:pt>
                <c:pt idx="3390">
                  <c:v>2.9277230158459722E-2</c:v>
                </c:pt>
                <c:pt idx="3391">
                  <c:v>2.9278279212968428E-2</c:v>
                </c:pt>
                <c:pt idx="3392">
                  <c:v>2.9278076053984359E-2</c:v>
                </c:pt>
                <c:pt idx="3393">
                  <c:v>2.9279109911925949E-2</c:v>
                </c:pt>
                <c:pt idx="3394">
                  <c:v>2.9280135933627823E-2</c:v>
                </c:pt>
                <c:pt idx="3395">
                  <c:v>2.9283640026343018E-2</c:v>
                </c:pt>
                <c:pt idx="3396">
                  <c:v>2.9284649417446303E-2</c:v>
                </c:pt>
                <c:pt idx="3397">
                  <c:v>2.9285650971043884E-2</c:v>
                </c:pt>
                <c:pt idx="3398">
                  <c:v>2.9286644687128712E-2</c:v>
                </c:pt>
                <c:pt idx="3399">
                  <c:v>2.9287630565699909E-2</c:v>
                </c:pt>
                <c:pt idx="3400">
                  <c:v>2.9287368044555787E-2</c:v>
                </c:pt>
                <c:pt idx="3401">
                  <c:v>2.9288338730290971E-2</c:v>
                </c:pt>
                <c:pt idx="3402">
                  <c:v>2.9289301579114427E-2</c:v>
                </c:pt>
                <c:pt idx="3403">
                  <c:v>2.9290256591026152E-2</c:v>
                </c:pt>
                <c:pt idx="3404">
                  <c:v>2.9292442395600322E-2</c:v>
                </c:pt>
                <c:pt idx="3405">
                  <c:v>2.9293381248950531E-2</c:v>
                </c:pt>
                <c:pt idx="3406">
                  <c:v>2.9294312264743938E-2</c:v>
                </c:pt>
                <c:pt idx="3407">
                  <c:v>2.9295235442977022E-2</c:v>
                </c:pt>
                <c:pt idx="3408">
                  <c:v>2.9296150783643619E-2</c:v>
                </c:pt>
                <c:pt idx="3409">
                  <c:v>2.9297058286735799E-2</c:v>
                </c:pt>
                <c:pt idx="3410">
                  <c:v>2.9297957952251798E-2</c:v>
                </c:pt>
                <c:pt idx="3411">
                  <c:v>2.9298849780184568E-2</c:v>
                </c:pt>
                <c:pt idx="3412">
                  <c:v>2.9299733770527945E-2</c:v>
                </c:pt>
                <c:pt idx="3413">
                  <c:v>2.9300609923278403E-2</c:v>
                </c:pt>
                <c:pt idx="3414">
                  <c:v>2.9301478238429782E-2</c:v>
                </c:pt>
                <c:pt idx="3415">
                  <c:v>2.9302338715978548E-2</c:v>
                </c:pt>
                <c:pt idx="3416">
                  <c:v>2.9303191355917659E-2</c:v>
                </c:pt>
                <c:pt idx="3417">
                  <c:v>2.9304036158242709E-2</c:v>
                </c:pt>
                <c:pt idx="3418">
                  <c:v>2.9304873122948417E-2</c:v>
                </c:pt>
                <c:pt idx="3419">
                  <c:v>2.9305702250033015E-2</c:v>
                </c:pt>
                <c:pt idx="3420">
                  <c:v>2.9306523539485055E-2</c:v>
                </c:pt>
                <c:pt idx="3421">
                  <c:v>2.9307336991306294E-2</c:v>
                </c:pt>
                <c:pt idx="3422">
                  <c:v>2.9306912796369166E-2</c:v>
                </c:pt>
                <c:pt idx="3423">
                  <c:v>2.9307711068873345E-2</c:v>
                </c:pt>
                <c:pt idx="3424">
                  <c:v>2.930850150435714E-2</c:v>
                </c:pt>
                <c:pt idx="3425">
                  <c:v>2.9310512422159062E-2</c:v>
                </c:pt>
                <c:pt idx="3426">
                  <c:v>2.9311286685742625E-2</c:v>
                </c:pt>
                <c:pt idx="3427">
                  <c:v>2.9312053111662791E-2</c:v>
                </c:pt>
                <c:pt idx="3428">
                  <c:v>2.9312811699917805E-2</c:v>
                </c:pt>
                <c:pt idx="3429">
                  <c:v>2.9313562450501499E-2</c:v>
                </c:pt>
                <c:pt idx="3430">
                  <c:v>2.9314305363412108E-2</c:v>
                </c:pt>
                <c:pt idx="3431">
                  <c:v>2.9315040438640826E-2</c:v>
                </c:pt>
                <c:pt idx="3432">
                  <c:v>2.9315767676187651E-2</c:v>
                </c:pt>
                <c:pt idx="3433">
                  <c:v>2.9316487076047299E-2</c:v>
                </c:pt>
                <c:pt idx="3434">
                  <c:v>2.931597482198732E-2</c:v>
                </c:pt>
                <c:pt idx="3435">
                  <c:v>2.9315455754382078E-2</c:v>
                </c:pt>
                <c:pt idx="3436">
                  <c:v>2.9316152649272752E-2</c:v>
                </c:pt>
                <c:pt idx="3437">
                  <c:v>2.9316841707711181E-2</c:v>
                </c:pt>
                <c:pt idx="3438">
                  <c:v>2.9317619607408568E-2</c:v>
                </c:pt>
                <c:pt idx="3439">
                  <c:v>2.9318291873435834E-2</c:v>
                </c:pt>
                <c:pt idx="3440">
                  <c:v>2.9318956302999154E-2</c:v>
                </c:pt>
                <c:pt idx="3441">
                  <c:v>2.9319612896094024E-2</c:v>
                </c:pt>
                <c:pt idx="3442">
                  <c:v>2.9320261652717741E-2</c:v>
                </c:pt>
                <c:pt idx="3443">
                  <c:v>2.9320902572863104E-2</c:v>
                </c:pt>
                <c:pt idx="3444">
                  <c:v>2.9320317008879618E-2</c:v>
                </c:pt>
                <c:pt idx="3445">
                  <c:v>2.9320942765723862E-2</c:v>
                </c:pt>
                <c:pt idx="3446">
                  <c:v>2.9321560686705883E-2</c:v>
                </c:pt>
                <c:pt idx="3447">
                  <c:v>2.9325822170714222E-2</c:v>
                </c:pt>
                <c:pt idx="3448">
                  <c:v>2.9326422885095599E-2</c:v>
                </c:pt>
                <c:pt idx="3449">
                  <c:v>2.9327015761727252E-2</c:v>
                </c:pt>
                <c:pt idx="3450">
                  <c:v>2.9327600800601254E-2</c:v>
                </c:pt>
                <c:pt idx="3451">
                  <c:v>2.9328178001720245E-2</c:v>
                </c:pt>
                <c:pt idx="3452">
                  <c:v>2.9327532780762857E-2</c:v>
                </c:pt>
                <c:pt idx="3453">
                  <c:v>2.9328094821199382E-2</c:v>
                </c:pt>
                <c:pt idx="3454">
                  <c:v>2.9328649024494394E-2</c:v>
                </c:pt>
                <c:pt idx="3455">
                  <c:v>2.932919539064701E-2</c:v>
                </c:pt>
                <c:pt idx="3456">
                  <c:v>2.9330946440833235E-2</c:v>
                </c:pt>
                <c:pt idx="3457">
                  <c:v>2.9331476615336714E-2</c:v>
                </c:pt>
                <c:pt idx="3458">
                  <c:v>2.9331998952059634E-2</c:v>
                </c:pt>
                <c:pt idx="3459">
                  <c:v>2.9332513451000235E-2</c:v>
                </c:pt>
                <c:pt idx="3460">
                  <c:v>2.9333020112155873E-2</c:v>
                </c:pt>
                <c:pt idx="3461">
                  <c:v>2.9333518935518624E-2</c:v>
                </c:pt>
                <c:pt idx="3462">
                  <c:v>2.9334009921091121E-2</c:v>
                </c:pt>
                <c:pt idx="3463">
                  <c:v>2.933449306886721E-2</c:v>
                </c:pt>
                <c:pt idx="3464">
                  <c:v>2.9334968378848643E-2</c:v>
                </c:pt>
                <c:pt idx="3465">
                  <c:v>2.9335435851024855E-2</c:v>
                </c:pt>
                <c:pt idx="3466">
                  <c:v>2.9335895485400245E-2</c:v>
                </c:pt>
                <c:pt idx="3467">
                  <c:v>2.9336347281968652E-2</c:v>
                </c:pt>
                <c:pt idx="3468">
                  <c:v>2.9336791240727429E-2</c:v>
                </c:pt>
                <c:pt idx="3469">
                  <c:v>2.9337227361675697E-2</c:v>
                </c:pt>
                <c:pt idx="3470">
                  <c:v>2.9337655644810813E-2</c:v>
                </c:pt>
                <c:pt idx="3471">
                  <c:v>2.933807609012749E-2</c:v>
                </c:pt>
                <c:pt idx="3472">
                  <c:v>2.9338488697623968E-2</c:v>
                </c:pt>
                <c:pt idx="3473">
                  <c:v>2.933889346730113E-2</c:v>
                </c:pt>
                <c:pt idx="3474">
                  <c:v>2.9338087286232575E-2</c:v>
                </c:pt>
                <c:pt idx="3475">
                  <c:v>2.93384769088995E-2</c:v>
                </c:pt>
                <c:pt idx="3476">
                  <c:v>2.9338858694363465E-2</c:v>
                </c:pt>
                <c:pt idx="3477">
                  <c:v>2.9339232642627135E-2</c:v>
                </c:pt>
                <c:pt idx="3478">
                  <c:v>2.9340799748279984E-2</c:v>
                </c:pt>
                <c:pt idx="3479">
                  <c:v>2.9341157490977803E-2</c:v>
                </c:pt>
                <c:pt idx="3480">
                  <c:v>2.934150739584045E-2</c:v>
                </c:pt>
                <c:pt idx="3481">
                  <c:v>2.9341849462862633E-2</c:v>
                </c:pt>
                <c:pt idx="3482">
                  <c:v>2.9342183692043472E-2</c:v>
                </c:pt>
                <c:pt idx="3483">
                  <c:v>2.934251008338121E-2</c:v>
                </c:pt>
                <c:pt idx="3484">
                  <c:v>2.9342828636873201E-2</c:v>
                </c:pt>
                <c:pt idx="3485">
                  <c:v>2.9343139352519445E-2</c:v>
                </c:pt>
                <c:pt idx="3486">
                  <c:v>2.934224550249194E-2</c:v>
                </c:pt>
                <c:pt idx="3487">
                  <c:v>2.9341344899650543E-2</c:v>
                </c:pt>
                <c:pt idx="3488">
                  <c:v>2.9341633175253207E-2</c:v>
                </c:pt>
                <c:pt idx="3489">
                  <c:v>2.9341913614256841E-2</c:v>
                </c:pt>
                <c:pt idx="3490">
                  <c:v>2.9342186216659655E-2</c:v>
                </c:pt>
                <c:pt idx="3491">
                  <c:v>2.9342450982462541E-2</c:v>
                </c:pt>
                <c:pt idx="3492">
                  <c:v>2.9342707911660101E-2</c:v>
                </c:pt>
                <c:pt idx="3493">
                  <c:v>2.9342957004253233E-2</c:v>
                </c:pt>
                <c:pt idx="3494">
                  <c:v>2.9343198260239234E-2</c:v>
                </c:pt>
                <c:pt idx="3495">
                  <c:v>2.9342239823916559E-2</c:v>
                </c:pt>
                <c:pt idx="3496">
                  <c:v>2.9343657262388054E-2</c:v>
                </c:pt>
                <c:pt idx="3497">
                  <c:v>2.9342684236760713E-2</c:v>
                </c:pt>
                <c:pt idx="3498">
                  <c:v>2.9342894689207331E-2</c:v>
                </c:pt>
                <c:pt idx="3499">
                  <c:v>2.9346666396677244E-2</c:v>
                </c:pt>
                <c:pt idx="3500">
                  <c:v>2.9346859544423218E-2</c:v>
                </c:pt>
                <c:pt idx="3501">
                  <c:v>2.9347044854297896E-2</c:v>
                </c:pt>
                <c:pt idx="3502">
                  <c:v>2.9347222326301284E-2</c:v>
                </c:pt>
                <c:pt idx="3503">
                  <c:v>2.9347391960431613E-2</c:v>
                </c:pt>
                <c:pt idx="3504">
                  <c:v>2.9346366775980879E-2</c:v>
                </c:pt>
                <c:pt idx="3505">
                  <c:v>2.934652128183397E-2</c:v>
                </c:pt>
                <c:pt idx="3506">
                  <c:v>2.9346667950438679E-2</c:v>
                </c:pt>
                <c:pt idx="3507">
                  <c:v>2.9346806781794115E-2</c:v>
                </c:pt>
                <c:pt idx="3508">
                  <c:v>2.934812256295747E-2</c:v>
                </c:pt>
                <c:pt idx="3509">
                  <c:v>2.9348245169831845E-2</c:v>
                </c:pt>
                <c:pt idx="3510">
                  <c:v>2.9348359938825234E-2</c:v>
                </c:pt>
                <c:pt idx="3511">
                  <c:v>2.9348466869942046E-2</c:v>
                </c:pt>
                <c:pt idx="3512">
                  <c:v>2.9348565963176112E-2</c:v>
                </c:pt>
                <c:pt idx="3513">
                  <c:v>2.9348657218529191E-2</c:v>
                </c:pt>
                <c:pt idx="3514">
                  <c:v>2.9348740636004813E-2</c:v>
                </c:pt>
                <c:pt idx="3515">
                  <c:v>2.9348816215594164E-2</c:v>
                </c:pt>
                <c:pt idx="3516">
                  <c:v>2.9348883957302528E-2</c:v>
                </c:pt>
                <c:pt idx="3517">
                  <c:v>2.934894386112815E-2</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56083200"/>
        <c:axId val="656118144"/>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8"/>
                <c:pt idx="0">
                  <c:v>41990</c:v>
                </c:pt>
                <c:pt idx="1">
                  <c:v>42081</c:v>
                </c:pt>
                <c:pt idx="2">
                  <c:v>42172</c:v>
                </c:pt>
                <c:pt idx="3">
                  <c:v>42263</c:v>
                </c:pt>
                <c:pt idx="4">
                  <c:v>42354</c:v>
                </c:pt>
                <c:pt idx="5">
                  <c:v>42445</c:v>
                </c:pt>
                <c:pt idx="6">
                  <c:v>42536</c:v>
                </c:pt>
                <c:pt idx="7">
                  <c:v>42634</c:v>
                </c:pt>
              </c:numCache>
            </c:numRef>
          </c:xVal>
          <c:yVal>
            <c:numRef>
              <c:f>[0]!IMMFutSeries</c:f>
              <c:numCache>
                <c:formatCode>0.0000%</c:formatCode>
                <c:ptCount val="8"/>
                <c:pt idx="0">
                  <c:v>6.2499999999999778E-3</c:v>
                </c:pt>
                <c:pt idx="1">
                  <c:v>7.7500000000000346E-3</c:v>
                </c:pt>
                <c:pt idx="2">
                  <c:v>9.3579999999999774E-3</c:v>
                </c:pt>
                <c:pt idx="3">
                  <c:v>1.1083000000000176E-2</c:v>
                </c:pt>
                <c:pt idx="4">
                  <c:v>1.2852000000000086E-2</c:v>
                </c:pt>
                <c:pt idx="5">
                  <c:v>1.4515999999999973E-2</c:v>
                </c:pt>
                <c:pt idx="6">
                  <c:v>1.6074000000000033E-2</c:v>
                </c:pt>
                <c:pt idx="7">
                  <c:v>1.7625000000000002E-2</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6"/>
                <c:pt idx="0">
                  <c:v>41950</c:v>
                </c:pt>
                <c:pt idx="1">
                  <c:v>41981</c:v>
                </c:pt>
                <c:pt idx="2">
                  <c:v>42011</c:v>
                </c:pt>
                <c:pt idx="3">
                  <c:v>42044</c:v>
                </c:pt>
                <c:pt idx="4">
                  <c:v>42072</c:v>
                </c:pt>
                <c:pt idx="5">
                  <c:v>42101</c:v>
                </c:pt>
              </c:numCache>
            </c:numRef>
          </c:xVal>
          <c:yVal>
            <c:numRef>
              <c:f>[0]!FRASeries</c:f>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0</c:v>
                </c:pt>
                <c:pt idx="1">
                  <c:v>0</c:v>
                </c:pt>
                <c:pt idx="2">
                  <c:v>0</c:v>
                </c:pt>
                <c:pt idx="3">
                  <c:v>0</c:v>
                </c:pt>
                <c:pt idx="4">
                  <c:v>0</c:v>
                </c:pt>
                <c:pt idx="5">
                  <c:v>0</c:v>
                </c:pt>
                <c:pt idx="6">
                  <c:v>0</c:v>
                </c:pt>
                <c:pt idx="7">
                  <c:v>0</c:v>
                </c:pt>
              </c:numCache>
            </c:numRef>
          </c:xVal>
          <c:yVal>
            <c:numRef>
              <c:f>[0]!SerialFutSeries</c:f>
            </c:numRef>
          </c:yVal>
          <c:smooth val="0"/>
        </c:ser>
        <c:dLbls>
          <c:showLegendKey val="0"/>
          <c:showVal val="0"/>
          <c:showCatName val="0"/>
          <c:showSerName val="0"/>
          <c:showPercent val="0"/>
          <c:showBubbleSize val="0"/>
        </c:dLbls>
        <c:axId val="656083200"/>
        <c:axId val="656118144"/>
      </c:scatterChart>
      <c:dateAx>
        <c:axId val="656083200"/>
        <c:scaling>
          <c:orientation val="minMax"/>
          <c:max val="42650"/>
          <c:min val="41912"/>
        </c:scaling>
        <c:delete val="0"/>
        <c:axPos val="b"/>
        <c:numFmt formatCode="[$-409]mmm\-yy;@" sourceLinked="0"/>
        <c:majorTickMark val="out"/>
        <c:minorTickMark val="none"/>
        <c:tickLblPos val="nextTo"/>
        <c:txPr>
          <a:bodyPr rot="-2700000" vert="horz"/>
          <a:lstStyle/>
          <a:p>
            <a:pPr>
              <a:defRPr/>
            </a:pPr>
            <a:endParaRPr lang="en-US"/>
          </a:p>
        </c:txPr>
        <c:crossAx val="656118144"/>
        <c:crosses val="autoZero"/>
        <c:auto val="1"/>
        <c:lblOffset val="100"/>
        <c:baseTimeUnit val="days"/>
        <c:majorUnit val="3"/>
        <c:majorTimeUnit val="months"/>
        <c:minorUnit val="1"/>
        <c:minorTimeUnit val="years"/>
      </c:dateAx>
      <c:valAx>
        <c:axId val="656118144"/>
        <c:scaling>
          <c:orientation val="minMax"/>
          <c:max val="0.02"/>
          <c:min val="5.0000000000000001E-3"/>
        </c:scaling>
        <c:delete val="0"/>
        <c:axPos val="l"/>
        <c:majorGridlines/>
        <c:numFmt formatCode="0.00%" sourceLinked="0"/>
        <c:majorTickMark val="out"/>
        <c:minorTickMark val="none"/>
        <c:tickLblPos val="nextTo"/>
        <c:crossAx val="656083200"/>
        <c:crosses val="autoZero"/>
        <c:crossBetween val="between"/>
        <c:majorUnit val="2.5000000000000001E-3"/>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41919</c:v>
                </c:pt>
                <c:pt idx="1">
                  <c:v>41920</c:v>
                </c:pt>
                <c:pt idx="2">
                  <c:v>41921</c:v>
                </c:pt>
                <c:pt idx="3">
                  <c:v>41922</c:v>
                </c:pt>
                <c:pt idx="4">
                  <c:v>41925</c:v>
                </c:pt>
                <c:pt idx="5">
                  <c:v>41926</c:v>
                </c:pt>
                <c:pt idx="6">
                  <c:v>41927</c:v>
                </c:pt>
                <c:pt idx="7">
                  <c:v>41928</c:v>
                </c:pt>
                <c:pt idx="8">
                  <c:v>41929</c:v>
                </c:pt>
                <c:pt idx="9">
                  <c:v>41932</c:v>
                </c:pt>
                <c:pt idx="10">
                  <c:v>41933</c:v>
                </c:pt>
                <c:pt idx="11">
                  <c:v>41934</c:v>
                </c:pt>
                <c:pt idx="12">
                  <c:v>41935</c:v>
                </c:pt>
                <c:pt idx="13">
                  <c:v>41936</c:v>
                </c:pt>
                <c:pt idx="14">
                  <c:v>41939</c:v>
                </c:pt>
                <c:pt idx="15">
                  <c:v>41940</c:v>
                </c:pt>
                <c:pt idx="16">
                  <c:v>41941</c:v>
                </c:pt>
                <c:pt idx="17">
                  <c:v>41942</c:v>
                </c:pt>
                <c:pt idx="18">
                  <c:v>41943</c:v>
                </c:pt>
                <c:pt idx="19">
                  <c:v>41946</c:v>
                </c:pt>
                <c:pt idx="20">
                  <c:v>41947</c:v>
                </c:pt>
                <c:pt idx="21">
                  <c:v>41948</c:v>
                </c:pt>
                <c:pt idx="22">
                  <c:v>41949</c:v>
                </c:pt>
                <c:pt idx="23">
                  <c:v>41950</c:v>
                </c:pt>
                <c:pt idx="24">
                  <c:v>41953</c:v>
                </c:pt>
                <c:pt idx="25">
                  <c:v>41954</c:v>
                </c:pt>
                <c:pt idx="26">
                  <c:v>41955</c:v>
                </c:pt>
                <c:pt idx="27">
                  <c:v>41956</c:v>
                </c:pt>
                <c:pt idx="28">
                  <c:v>41957</c:v>
                </c:pt>
                <c:pt idx="29">
                  <c:v>41960</c:v>
                </c:pt>
                <c:pt idx="30">
                  <c:v>41961</c:v>
                </c:pt>
                <c:pt idx="31">
                  <c:v>41962</c:v>
                </c:pt>
                <c:pt idx="32">
                  <c:v>41963</c:v>
                </c:pt>
                <c:pt idx="33">
                  <c:v>41964</c:v>
                </c:pt>
                <c:pt idx="34">
                  <c:v>41967</c:v>
                </c:pt>
                <c:pt idx="35">
                  <c:v>41968</c:v>
                </c:pt>
                <c:pt idx="36">
                  <c:v>41969</c:v>
                </c:pt>
                <c:pt idx="37">
                  <c:v>41970</c:v>
                </c:pt>
                <c:pt idx="38">
                  <c:v>41971</c:v>
                </c:pt>
                <c:pt idx="39">
                  <c:v>41974</c:v>
                </c:pt>
                <c:pt idx="40">
                  <c:v>41975</c:v>
                </c:pt>
                <c:pt idx="41">
                  <c:v>41976</c:v>
                </c:pt>
                <c:pt idx="42">
                  <c:v>41977</c:v>
                </c:pt>
                <c:pt idx="43">
                  <c:v>41978</c:v>
                </c:pt>
                <c:pt idx="44">
                  <c:v>41981</c:v>
                </c:pt>
                <c:pt idx="45">
                  <c:v>41982</c:v>
                </c:pt>
                <c:pt idx="46">
                  <c:v>41983</c:v>
                </c:pt>
                <c:pt idx="47">
                  <c:v>41984</c:v>
                </c:pt>
                <c:pt idx="48">
                  <c:v>41985</c:v>
                </c:pt>
                <c:pt idx="49">
                  <c:v>41988</c:v>
                </c:pt>
                <c:pt idx="50">
                  <c:v>41989</c:v>
                </c:pt>
                <c:pt idx="51">
                  <c:v>41990</c:v>
                </c:pt>
                <c:pt idx="52">
                  <c:v>41991</c:v>
                </c:pt>
                <c:pt idx="53">
                  <c:v>41992</c:v>
                </c:pt>
                <c:pt idx="54">
                  <c:v>41995</c:v>
                </c:pt>
                <c:pt idx="55">
                  <c:v>41996</c:v>
                </c:pt>
                <c:pt idx="56">
                  <c:v>41997</c:v>
                </c:pt>
                <c:pt idx="57">
                  <c:v>42002</c:v>
                </c:pt>
                <c:pt idx="58">
                  <c:v>42003</c:v>
                </c:pt>
                <c:pt idx="59">
                  <c:v>42004</c:v>
                </c:pt>
                <c:pt idx="60">
                  <c:v>42006</c:v>
                </c:pt>
                <c:pt idx="61">
                  <c:v>42009</c:v>
                </c:pt>
                <c:pt idx="62">
                  <c:v>42010</c:v>
                </c:pt>
                <c:pt idx="63">
                  <c:v>42011</c:v>
                </c:pt>
                <c:pt idx="64">
                  <c:v>42012</c:v>
                </c:pt>
                <c:pt idx="65">
                  <c:v>42013</c:v>
                </c:pt>
                <c:pt idx="66">
                  <c:v>42016</c:v>
                </c:pt>
                <c:pt idx="67">
                  <c:v>42017</c:v>
                </c:pt>
                <c:pt idx="68">
                  <c:v>42018</c:v>
                </c:pt>
                <c:pt idx="69">
                  <c:v>42019</c:v>
                </c:pt>
                <c:pt idx="70">
                  <c:v>42020</c:v>
                </c:pt>
                <c:pt idx="71">
                  <c:v>42023</c:v>
                </c:pt>
                <c:pt idx="72">
                  <c:v>42024</c:v>
                </c:pt>
                <c:pt idx="73">
                  <c:v>42025</c:v>
                </c:pt>
                <c:pt idx="74">
                  <c:v>42026</c:v>
                </c:pt>
                <c:pt idx="75">
                  <c:v>42027</c:v>
                </c:pt>
                <c:pt idx="76">
                  <c:v>42030</c:v>
                </c:pt>
                <c:pt idx="77">
                  <c:v>42031</c:v>
                </c:pt>
                <c:pt idx="78">
                  <c:v>42032</c:v>
                </c:pt>
                <c:pt idx="79">
                  <c:v>42033</c:v>
                </c:pt>
                <c:pt idx="80">
                  <c:v>42034</c:v>
                </c:pt>
                <c:pt idx="81">
                  <c:v>42037</c:v>
                </c:pt>
                <c:pt idx="82">
                  <c:v>42038</c:v>
                </c:pt>
                <c:pt idx="83">
                  <c:v>42039</c:v>
                </c:pt>
                <c:pt idx="84">
                  <c:v>42040</c:v>
                </c:pt>
                <c:pt idx="85">
                  <c:v>42041</c:v>
                </c:pt>
                <c:pt idx="86">
                  <c:v>42044</c:v>
                </c:pt>
                <c:pt idx="87">
                  <c:v>42045</c:v>
                </c:pt>
                <c:pt idx="88">
                  <c:v>42046</c:v>
                </c:pt>
                <c:pt idx="89">
                  <c:v>42047</c:v>
                </c:pt>
                <c:pt idx="90">
                  <c:v>42048</c:v>
                </c:pt>
                <c:pt idx="91">
                  <c:v>42051</c:v>
                </c:pt>
                <c:pt idx="92">
                  <c:v>42052</c:v>
                </c:pt>
                <c:pt idx="93">
                  <c:v>42053</c:v>
                </c:pt>
                <c:pt idx="94">
                  <c:v>42054</c:v>
                </c:pt>
                <c:pt idx="95">
                  <c:v>42055</c:v>
                </c:pt>
                <c:pt idx="96">
                  <c:v>42058</c:v>
                </c:pt>
                <c:pt idx="97">
                  <c:v>42059</c:v>
                </c:pt>
                <c:pt idx="98">
                  <c:v>42060</c:v>
                </c:pt>
                <c:pt idx="99">
                  <c:v>42061</c:v>
                </c:pt>
                <c:pt idx="100">
                  <c:v>42062</c:v>
                </c:pt>
                <c:pt idx="101">
                  <c:v>42065</c:v>
                </c:pt>
                <c:pt idx="102">
                  <c:v>42066</c:v>
                </c:pt>
                <c:pt idx="103">
                  <c:v>42067</c:v>
                </c:pt>
                <c:pt idx="104">
                  <c:v>42068</c:v>
                </c:pt>
                <c:pt idx="105">
                  <c:v>42069</c:v>
                </c:pt>
                <c:pt idx="106">
                  <c:v>42072</c:v>
                </c:pt>
                <c:pt idx="107">
                  <c:v>42073</c:v>
                </c:pt>
                <c:pt idx="108">
                  <c:v>42074</c:v>
                </c:pt>
                <c:pt idx="109">
                  <c:v>42075</c:v>
                </c:pt>
                <c:pt idx="110">
                  <c:v>42076</c:v>
                </c:pt>
                <c:pt idx="111">
                  <c:v>42079</c:v>
                </c:pt>
                <c:pt idx="112">
                  <c:v>42080</c:v>
                </c:pt>
                <c:pt idx="113">
                  <c:v>42081</c:v>
                </c:pt>
                <c:pt idx="114">
                  <c:v>42082</c:v>
                </c:pt>
                <c:pt idx="115">
                  <c:v>42083</c:v>
                </c:pt>
                <c:pt idx="116">
                  <c:v>42086</c:v>
                </c:pt>
                <c:pt idx="117">
                  <c:v>42087</c:v>
                </c:pt>
                <c:pt idx="118">
                  <c:v>42088</c:v>
                </c:pt>
                <c:pt idx="119">
                  <c:v>42089</c:v>
                </c:pt>
                <c:pt idx="120">
                  <c:v>42090</c:v>
                </c:pt>
                <c:pt idx="121">
                  <c:v>42093</c:v>
                </c:pt>
                <c:pt idx="122">
                  <c:v>42094</c:v>
                </c:pt>
                <c:pt idx="123">
                  <c:v>42095</c:v>
                </c:pt>
                <c:pt idx="124">
                  <c:v>42096</c:v>
                </c:pt>
                <c:pt idx="125">
                  <c:v>42101</c:v>
                </c:pt>
                <c:pt idx="126">
                  <c:v>42102</c:v>
                </c:pt>
                <c:pt idx="127">
                  <c:v>42103</c:v>
                </c:pt>
                <c:pt idx="128">
                  <c:v>42104</c:v>
                </c:pt>
                <c:pt idx="129">
                  <c:v>42107</c:v>
                </c:pt>
                <c:pt idx="130">
                  <c:v>42108</c:v>
                </c:pt>
                <c:pt idx="131">
                  <c:v>42109</c:v>
                </c:pt>
                <c:pt idx="132">
                  <c:v>42110</c:v>
                </c:pt>
                <c:pt idx="133">
                  <c:v>42111</c:v>
                </c:pt>
                <c:pt idx="134">
                  <c:v>42114</c:v>
                </c:pt>
                <c:pt idx="135">
                  <c:v>42115</c:v>
                </c:pt>
                <c:pt idx="136">
                  <c:v>42116</c:v>
                </c:pt>
                <c:pt idx="137">
                  <c:v>42117</c:v>
                </c:pt>
                <c:pt idx="138">
                  <c:v>42118</c:v>
                </c:pt>
                <c:pt idx="139">
                  <c:v>42121</c:v>
                </c:pt>
                <c:pt idx="140">
                  <c:v>42122</c:v>
                </c:pt>
                <c:pt idx="141">
                  <c:v>42123</c:v>
                </c:pt>
                <c:pt idx="142">
                  <c:v>42124</c:v>
                </c:pt>
                <c:pt idx="143">
                  <c:v>42125</c:v>
                </c:pt>
                <c:pt idx="144">
                  <c:v>42129</c:v>
                </c:pt>
                <c:pt idx="145">
                  <c:v>42130</c:v>
                </c:pt>
                <c:pt idx="146">
                  <c:v>42131</c:v>
                </c:pt>
                <c:pt idx="147">
                  <c:v>42132</c:v>
                </c:pt>
                <c:pt idx="148">
                  <c:v>42135</c:v>
                </c:pt>
                <c:pt idx="149">
                  <c:v>42136</c:v>
                </c:pt>
                <c:pt idx="150">
                  <c:v>42137</c:v>
                </c:pt>
                <c:pt idx="151">
                  <c:v>42138</c:v>
                </c:pt>
                <c:pt idx="152">
                  <c:v>42139</c:v>
                </c:pt>
                <c:pt idx="153">
                  <c:v>42142</c:v>
                </c:pt>
                <c:pt idx="154">
                  <c:v>42143</c:v>
                </c:pt>
                <c:pt idx="155">
                  <c:v>42144</c:v>
                </c:pt>
                <c:pt idx="156">
                  <c:v>42145</c:v>
                </c:pt>
                <c:pt idx="157">
                  <c:v>42146</c:v>
                </c:pt>
                <c:pt idx="158">
                  <c:v>42150</c:v>
                </c:pt>
                <c:pt idx="159">
                  <c:v>42151</c:v>
                </c:pt>
                <c:pt idx="160">
                  <c:v>42152</c:v>
                </c:pt>
                <c:pt idx="161">
                  <c:v>42153</c:v>
                </c:pt>
                <c:pt idx="162">
                  <c:v>42156</c:v>
                </c:pt>
                <c:pt idx="163">
                  <c:v>42157</c:v>
                </c:pt>
                <c:pt idx="164">
                  <c:v>42158</c:v>
                </c:pt>
                <c:pt idx="165">
                  <c:v>42159</c:v>
                </c:pt>
                <c:pt idx="166">
                  <c:v>42160</c:v>
                </c:pt>
                <c:pt idx="167">
                  <c:v>42163</c:v>
                </c:pt>
                <c:pt idx="168">
                  <c:v>42164</c:v>
                </c:pt>
                <c:pt idx="169">
                  <c:v>42165</c:v>
                </c:pt>
                <c:pt idx="170">
                  <c:v>42166</c:v>
                </c:pt>
                <c:pt idx="171">
                  <c:v>42167</c:v>
                </c:pt>
                <c:pt idx="172">
                  <c:v>42170</c:v>
                </c:pt>
                <c:pt idx="173">
                  <c:v>42171</c:v>
                </c:pt>
                <c:pt idx="174">
                  <c:v>42172</c:v>
                </c:pt>
                <c:pt idx="175">
                  <c:v>42173</c:v>
                </c:pt>
                <c:pt idx="176">
                  <c:v>42174</c:v>
                </c:pt>
                <c:pt idx="177">
                  <c:v>42177</c:v>
                </c:pt>
                <c:pt idx="178">
                  <c:v>42178</c:v>
                </c:pt>
                <c:pt idx="179">
                  <c:v>42179</c:v>
                </c:pt>
                <c:pt idx="180">
                  <c:v>42180</c:v>
                </c:pt>
                <c:pt idx="181">
                  <c:v>42181</c:v>
                </c:pt>
                <c:pt idx="182">
                  <c:v>42184</c:v>
                </c:pt>
                <c:pt idx="183">
                  <c:v>42185</c:v>
                </c:pt>
                <c:pt idx="184">
                  <c:v>42186</c:v>
                </c:pt>
                <c:pt idx="185">
                  <c:v>42187</c:v>
                </c:pt>
                <c:pt idx="186">
                  <c:v>42188</c:v>
                </c:pt>
                <c:pt idx="187">
                  <c:v>42191</c:v>
                </c:pt>
                <c:pt idx="188">
                  <c:v>42192</c:v>
                </c:pt>
                <c:pt idx="189">
                  <c:v>42193</c:v>
                </c:pt>
                <c:pt idx="190">
                  <c:v>42194</c:v>
                </c:pt>
                <c:pt idx="191">
                  <c:v>42195</c:v>
                </c:pt>
                <c:pt idx="192">
                  <c:v>42198</c:v>
                </c:pt>
                <c:pt idx="193">
                  <c:v>42199</c:v>
                </c:pt>
                <c:pt idx="194">
                  <c:v>42200</c:v>
                </c:pt>
                <c:pt idx="195">
                  <c:v>42201</c:v>
                </c:pt>
                <c:pt idx="196">
                  <c:v>42202</c:v>
                </c:pt>
                <c:pt idx="197">
                  <c:v>42205</c:v>
                </c:pt>
                <c:pt idx="198">
                  <c:v>42206</c:v>
                </c:pt>
                <c:pt idx="199">
                  <c:v>42207</c:v>
                </c:pt>
                <c:pt idx="200">
                  <c:v>42208</c:v>
                </c:pt>
                <c:pt idx="201">
                  <c:v>42209</c:v>
                </c:pt>
                <c:pt idx="202">
                  <c:v>42212</c:v>
                </c:pt>
                <c:pt idx="203">
                  <c:v>42213</c:v>
                </c:pt>
                <c:pt idx="204">
                  <c:v>42214</c:v>
                </c:pt>
                <c:pt idx="205">
                  <c:v>42215</c:v>
                </c:pt>
                <c:pt idx="206">
                  <c:v>42216</c:v>
                </c:pt>
                <c:pt idx="207">
                  <c:v>42219</c:v>
                </c:pt>
                <c:pt idx="208">
                  <c:v>42220</c:v>
                </c:pt>
                <c:pt idx="209">
                  <c:v>42221</c:v>
                </c:pt>
                <c:pt idx="210">
                  <c:v>42222</c:v>
                </c:pt>
                <c:pt idx="211">
                  <c:v>42223</c:v>
                </c:pt>
                <c:pt idx="212">
                  <c:v>42226</c:v>
                </c:pt>
                <c:pt idx="213">
                  <c:v>42227</c:v>
                </c:pt>
                <c:pt idx="214">
                  <c:v>42228</c:v>
                </c:pt>
                <c:pt idx="215">
                  <c:v>42229</c:v>
                </c:pt>
                <c:pt idx="216">
                  <c:v>42230</c:v>
                </c:pt>
                <c:pt idx="217">
                  <c:v>42233</c:v>
                </c:pt>
                <c:pt idx="218">
                  <c:v>42234</c:v>
                </c:pt>
                <c:pt idx="219">
                  <c:v>42235</c:v>
                </c:pt>
                <c:pt idx="220">
                  <c:v>42236</c:v>
                </c:pt>
                <c:pt idx="221">
                  <c:v>42237</c:v>
                </c:pt>
                <c:pt idx="222">
                  <c:v>42240</c:v>
                </c:pt>
                <c:pt idx="223">
                  <c:v>42241</c:v>
                </c:pt>
                <c:pt idx="224">
                  <c:v>42242</c:v>
                </c:pt>
                <c:pt idx="225">
                  <c:v>42243</c:v>
                </c:pt>
                <c:pt idx="226">
                  <c:v>42244</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42282</c:v>
                </c:pt>
                <c:pt idx="252">
                  <c:v>42283</c:v>
                </c:pt>
                <c:pt idx="253">
                  <c:v>42284</c:v>
                </c:pt>
                <c:pt idx="254">
                  <c:v>42285</c:v>
                </c:pt>
                <c:pt idx="255">
                  <c:v>42286</c:v>
                </c:pt>
                <c:pt idx="256">
                  <c:v>42289</c:v>
                </c:pt>
                <c:pt idx="257">
                  <c:v>42290</c:v>
                </c:pt>
                <c:pt idx="258">
                  <c:v>42291</c:v>
                </c:pt>
                <c:pt idx="259">
                  <c:v>42292</c:v>
                </c:pt>
                <c:pt idx="260">
                  <c:v>42293</c:v>
                </c:pt>
                <c:pt idx="261">
                  <c:v>42296</c:v>
                </c:pt>
                <c:pt idx="262">
                  <c:v>42297</c:v>
                </c:pt>
                <c:pt idx="263">
                  <c:v>42298</c:v>
                </c:pt>
                <c:pt idx="264">
                  <c:v>42299</c:v>
                </c:pt>
                <c:pt idx="265">
                  <c:v>42300</c:v>
                </c:pt>
                <c:pt idx="266">
                  <c:v>42303</c:v>
                </c:pt>
                <c:pt idx="267">
                  <c:v>42304</c:v>
                </c:pt>
                <c:pt idx="268">
                  <c:v>42305</c:v>
                </c:pt>
                <c:pt idx="269">
                  <c:v>42306</c:v>
                </c:pt>
                <c:pt idx="270">
                  <c:v>42307</c:v>
                </c:pt>
                <c:pt idx="271">
                  <c:v>42310</c:v>
                </c:pt>
                <c:pt idx="272">
                  <c:v>42311</c:v>
                </c:pt>
                <c:pt idx="273">
                  <c:v>42312</c:v>
                </c:pt>
                <c:pt idx="274">
                  <c:v>42313</c:v>
                </c:pt>
                <c:pt idx="275">
                  <c:v>42314</c:v>
                </c:pt>
                <c:pt idx="276">
                  <c:v>42317</c:v>
                </c:pt>
                <c:pt idx="277">
                  <c:v>42318</c:v>
                </c:pt>
                <c:pt idx="278">
                  <c:v>42319</c:v>
                </c:pt>
                <c:pt idx="279">
                  <c:v>42320</c:v>
                </c:pt>
                <c:pt idx="280">
                  <c:v>42321</c:v>
                </c:pt>
                <c:pt idx="281">
                  <c:v>42324</c:v>
                </c:pt>
                <c:pt idx="282">
                  <c:v>42325</c:v>
                </c:pt>
                <c:pt idx="283">
                  <c:v>42326</c:v>
                </c:pt>
                <c:pt idx="284">
                  <c:v>42327</c:v>
                </c:pt>
                <c:pt idx="285">
                  <c:v>42328</c:v>
                </c:pt>
                <c:pt idx="286">
                  <c:v>42331</c:v>
                </c:pt>
                <c:pt idx="287">
                  <c:v>42332</c:v>
                </c:pt>
                <c:pt idx="288">
                  <c:v>42333</c:v>
                </c:pt>
                <c:pt idx="289">
                  <c:v>42334</c:v>
                </c:pt>
                <c:pt idx="290">
                  <c:v>42335</c:v>
                </c:pt>
                <c:pt idx="291">
                  <c:v>42338</c:v>
                </c:pt>
                <c:pt idx="292">
                  <c:v>42339</c:v>
                </c:pt>
                <c:pt idx="293">
                  <c:v>42340</c:v>
                </c:pt>
                <c:pt idx="294">
                  <c:v>42341</c:v>
                </c:pt>
                <c:pt idx="295">
                  <c:v>42342</c:v>
                </c:pt>
                <c:pt idx="296">
                  <c:v>42345</c:v>
                </c:pt>
                <c:pt idx="297">
                  <c:v>42346</c:v>
                </c:pt>
                <c:pt idx="298">
                  <c:v>42347</c:v>
                </c:pt>
                <c:pt idx="299">
                  <c:v>42348</c:v>
                </c:pt>
                <c:pt idx="300">
                  <c:v>42349</c:v>
                </c:pt>
                <c:pt idx="301">
                  <c:v>42352</c:v>
                </c:pt>
                <c:pt idx="302">
                  <c:v>42353</c:v>
                </c:pt>
                <c:pt idx="303">
                  <c:v>42354</c:v>
                </c:pt>
                <c:pt idx="304">
                  <c:v>42355</c:v>
                </c:pt>
                <c:pt idx="305">
                  <c:v>42356</c:v>
                </c:pt>
                <c:pt idx="306">
                  <c:v>42359</c:v>
                </c:pt>
                <c:pt idx="307">
                  <c:v>42360</c:v>
                </c:pt>
                <c:pt idx="308">
                  <c:v>42361</c:v>
                </c:pt>
                <c:pt idx="309">
                  <c:v>42362</c:v>
                </c:pt>
                <c:pt idx="310">
                  <c:v>42367</c:v>
                </c:pt>
                <c:pt idx="311">
                  <c:v>42368</c:v>
                </c:pt>
                <c:pt idx="312">
                  <c:v>42369</c:v>
                </c:pt>
                <c:pt idx="313">
                  <c:v>42373</c:v>
                </c:pt>
                <c:pt idx="314">
                  <c:v>42374</c:v>
                </c:pt>
                <c:pt idx="315">
                  <c:v>42375</c:v>
                </c:pt>
                <c:pt idx="316">
                  <c:v>42376</c:v>
                </c:pt>
                <c:pt idx="317">
                  <c:v>42377</c:v>
                </c:pt>
                <c:pt idx="318">
                  <c:v>42380</c:v>
                </c:pt>
                <c:pt idx="319">
                  <c:v>42381</c:v>
                </c:pt>
                <c:pt idx="320">
                  <c:v>42382</c:v>
                </c:pt>
                <c:pt idx="321">
                  <c:v>42383</c:v>
                </c:pt>
                <c:pt idx="322">
                  <c:v>42384</c:v>
                </c:pt>
                <c:pt idx="323">
                  <c:v>42387</c:v>
                </c:pt>
                <c:pt idx="324">
                  <c:v>42388</c:v>
                </c:pt>
                <c:pt idx="325">
                  <c:v>42389</c:v>
                </c:pt>
                <c:pt idx="326">
                  <c:v>42390</c:v>
                </c:pt>
                <c:pt idx="327">
                  <c:v>42391</c:v>
                </c:pt>
                <c:pt idx="328">
                  <c:v>42394</c:v>
                </c:pt>
                <c:pt idx="329">
                  <c:v>42395</c:v>
                </c:pt>
                <c:pt idx="330">
                  <c:v>42396</c:v>
                </c:pt>
                <c:pt idx="331">
                  <c:v>42397</c:v>
                </c:pt>
                <c:pt idx="332">
                  <c:v>42398</c:v>
                </c:pt>
                <c:pt idx="333">
                  <c:v>42401</c:v>
                </c:pt>
                <c:pt idx="334">
                  <c:v>42402</c:v>
                </c:pt>
                <c:pt idx="335">
                  <c:v>42403</c:v>
                </c:pt>
                <c:pt idx="336">
                  <c:v>42404</c:v>
                </c:pt>
                <c:pt idx="337">
                  <c:v>42405</c:v>
                </c:pt>
                <c:pt idx="338">
                  <c:v>42408</c:v>
                </c:pt>
                <c:pt idx="339">
                  <c:v>42409</c:v>
                </c:pt>
                <c:pt idx="340">
                  <c:v>42410</c:v>
                </c:pt>
                <c:pt idx="341">
                  <c:v>42411</c:v>
                </c:pt>
                <c:pt idx="342">
                  <c:v>42412</c:v>
                </c:pt>
                <c:pt idx="343">
                  <c:v>42415</c:v>
                </c:pt>
                <c:pt idx="344">
                  <c:v>42416</c:v>
                </c:pt>
                <c:pt idx="345">
                  <c:v>42417</c:v>
                </c:pt>
                <c:pt idx="346">
                  <c:v>42418</c:v>
                </c:pt>
                <c:pt idx="347">
                  <c:v>42419</c:v>
                </c:pt>
                <c:pt idx="348">
                  <c:v>42422</c:v>
                </c:pt>
                <c:pt idx="349">
                  <c:v>42423</c:v>
                </c:pt>
                <c:pt idx="350">
                  <c:v>42424</c:v>
                </c:pt>
                <c:pt idx="351">
                  <c:v>42425</c:v>
                </c:pt>
                <c:pt idx="352">
                  <c:v>42426</c:v>
                </c:pt>
                <c:pt idx="353">
                  <c:v>42429</c:v>
                </c:pt>
                <c:pt idx="354">
                  <c:v>42430</c:v>
                </c:pt>
                <c:pt idx="355">
                  <c:v>42431</c:v>
                </c:pt>
                <c:pt idx="356">
                  <c:v>42432</c:v>
                </c:pt>
                <c:pt idx="357">
                  <c:v>42433</c:v>
                </c:pt>
                <c:pt idx="358">
                  <c:v>42436</c:v>
                </c:pt>
                <c:pt idx="359">
                  <c:v>42437</c:v>
                </c:pt>
                <c:pt idx="360">
                  <c:v>42438</c:v>
                </c:pt>
                <c:pt idx="361">
                  <c:v>42439</c:v>
                </c:pt>
                <c:pt idx="362">
                  <c:v>42440</c:v>
                </c:pt>
                <c:pt idx="363">
                  <c:v>42443</c:v>
                </c:pt>
                <c:pt idx="364">
                  <c:v>42444</c:v>
                </c:pt>
                <c:pt idx="365">
                  <c:v>42445</c:v>
                </c:pt>
                <c:pt idx="366">
                  <c:v>42446</c:v>
                </c:pt>
                <c:pt idx="367">
                  <c:v>42447</c:v>
                </c:pt>
                <c:pt idx="368">
                  <c:v>42450</c:v>
                </c:pt>
                <c:pt idx="369">
                  <c:v>42451</c:v>
                </c:pt>
                <c:pt idx="370">
                  <c:v>42452</c:v>
                </c:pt>
                <c:pt idx="371">
                  <c:v>42453</c:v>
                </c:pt>
                <c:pt idx="372">
                  <c:v>42458</c:v>
                </c:pt>
                <c:pt idx="373">
                  <c:v>42459</c:v>
                </c:pt>
                <c:pt idx="374">
                  <c:v>42460</c:v>
                </c:pt>
                <c:pt idx="375">
                  <c:v>42461</c:v>
                </c:pt>
                <c:pt idx="376">
                  <c:v>42464</c:v>
                </c:pt>
                <c:pt idx="377">
                  <c:v>42465</c:v>
                </c:pt>
                <c:pt idx="378">
                  <c:v>42466</c:v>
                </c:pt>
                <c:pt idx="379">
                  <c:v>42467</c:v>
                </c:pt>
                <c:pt idx="380">
                  <c:v>42468</c:v>
                </c:pt>
                <c:pt idx="381">
                  <c:v>42471</c:v>
                </c:pt>
                <c:pt idx="382">
                  <c:v>42472</c:v>
                </c:pt>
                <c:pt idx="383">
                  <c:v>42473</c:v>
                </c:pt>
                <c:pt idx="384">
                  <c:v>42474</c:v>
                </c:pt>
                <c:pt idx="385">
                  <c:v>42475</c:v>
                </c:pt>
                <c:pt idx="386">
                  <c:v>42478</c:v>
                </c:pt>
                <c:pt idx="387">
                  <c:v>42479</c:v>
                </c:pt>
                <c:pt idx="388">
                  <c:v>42480</c:v>
                </c:pt>
                <c:pt idx="389">
                  <c:v>42481</c:v>
                </c:pt>
                <c:pt idx="390">
                  <c:v>42482</c:v>
                </c:pt>
                <c:pt idx="391">
                  <c:v>42485</c:v>
                </c:pt>
                <c:pt idx="392">
                  <c:v>42486</c:v>
                </c:pt>
                <c:pt idx="393">
                  <c:v>42487</c:v>
                </c:pt>
                <c:pt idx="394">
                  <c:v>42488</c:v>
                </c:pt>
                <c:pt idx="395">
                  <c:v>42489</c:v>
                </c:pt>
                <c:pt idx="396">
                  <c:v>42493</c:v>
                </c:pt>
                <c:pt idx="397">
                  <c:v>42494</c:v>
                </c:pt>
                <c:pt idx="398">
                  <c:v>42495</c:v>
                </c:pt>
                <c:pt idx="399">
                  <c:v>42496</c:v>
                </c:pt>
                <c:pt idx="400">
                  <c:v>42499</c:v>
                </c:pt>
                <c:pt idx="401">
                  <c:v>42500</c:v>
                </c:pt>
                <c:pt idx="402">
                  <c:v>42501</c:v>
                </c:pt>
                <c:pt idx="403">
                  <c:v>42502</c:v>
                </c:pt>
                <c:pt idx="404">
                  <c:v>42503</c:v>
                </c:pt>
                <c:pt idx="405">
                  <c:v>42506</c:v>
                </c:pt>
                <c:pt idx="406">
                  <c:v>42507</c:v>
                </c:pt>
                <c:pt idx="407">
                  <c:v>42508</c:v>
                </c:pt>
                <c:pt idx="408">
                  <c:v>42509</c:v>
                </c:pt>
                <c:pt idx="409">
                  <c:v>42510</c:v>
                </c:pt>
                <c:pt idx="410">
                  <c:v>42513</c:v>
                </c:pt>
                <c:pt idx="411">
                  <c:v>42514</c:v>
                </c:pt>
                <c:pt idx="412">
                  <c:v>42515</c:v>
                </c:pt>
                <c:pt idx="413">
                  <c:v>42516</c:v>
                </c:pt>
                <c:pt idx="414">
                  <c:v>42517</c:v>
                </c:pt>
                <c:pt idx="415">
                  <c:v>42521</c:v>
                </c:pt>
                <c:pt idx="416">
                  <c:v>42522</c:v>
                </c:pt>
                <c:pt idx="417">
                  <c:v>42523</c:v>
                </c:pt>
                <c:pt idx="418">
                  <c:v>42524</c:v>
                </c:pt>
                <c:pt idx="419">
                  <c:v>42527</c:v>
                </c:pt>
                <c:pt idx="420">
                  <c:v>42528</c:v>
                </c:pt>
                <c:pt idx="421">
                  <c:v>42529</c:v>
                </c:pt>
                <c:pt idx="422">
                  <c:v>42530</c:v>
                </c:pt>
                <c:pt idx="423">
                  <c:v>42531</c:v>
                </c:pt>
                <c:pt idx="424">
                  <c:v>42534</c:v>
                </c:pt>
                <c:pt idx="425">
                  <c:v>42535</c:v>
                </c:pt>
                <c:pt idx="426">
                  <c:v>42536</c:v>
                </c:pt>
                <c:pt idx="427">
                  <c:v>42537</c:v>
                </c:pt>
                <c:pt idx="428">
                  <c:v>42538</c:v>
                </c:pt>
                <c:pt idx="429">
                  <c:v>42541</c:v>
                </c:pt>
                <c:pt idx="430">
                  <c:v>42542</c:v>
                </c:pt>
                <c:pt idx="431">
                  <c:v>42543</c:v>
                </c:pt>
                <c:pt idx="432">
                  <c:v>42544</c:v>
                </c:pt>
                <c:pt idx="433">
                  <c:v>42545</c:v>
                </c:pt>
                <c:pt idx="434">
                  <c:v>42548</c:v>
                </c:pt>
                <c:pt idx="435">
                  <c:v>42549</c:v>
                </c:pt>
                <c:pt idx="436">
                  <c:v>42550</c:v>
                </c:pt>
                <c:pt idx="437">
                  <c:v>42551</c:v>
                </c:pt>
                <c:pt idx="438">
                  <c:v>42552</c:v>
                </c:pt>
                <c:pt idx="439">
                  <c:v>42555</c:v>
                </c:pt>
                <c:pt idx="440">
                  <c:v>42556</c:v>
                </c:pt>
                <c:pt idx="441">
                  <c:v>42557</c:v>
                </c:pt>
                <c:pt idx="442">
                  <c:v>42558</c:v>
                </c:pt>
                <c:pt idx="443">
                  <c:v>42559</c:v>
                </c:pt>
                <c:pt idx="444">
                  <c:v>42562</c:v>
                </c:pt>
                <c:pt idx="445">
                  <c:v>42563</c:v>
                </c:pt>
                <c:pt idx="446">
                  <c:v>42564</c:v>
                </c:pt>
                <c:pt idx="447">
                  <c:v>42565</c:v>
                </c:pt>
                <c:pt idx="448">
                  <c:v>42566</c:v>
                </c:pt>
                <c:pt idx="449">
                  <c:v>42569</c:v>
                </c:pt>
                <c:pt idx="450">
                  <c:v>42570</c:v>
                </c:pt>
                <c:pt idx="451">
                  <c:v>42571</c:v>
                </c:pt>
                <c:pt idx="452">
                  <c:v>42572</c:v>
                </c:pt>
                <c:pt idx="453">
                  <c:v>42573</c:v>
                </c:pt>
                <c:pt idx="454">
                  <c:v>42576</c:v>
                </c:pt>
                <c:pt idx="455">
                  <c:v>42577</c:v>
                </c:pt>
                <c:pt idx="456">
                  <c:v>42578</c:v>
                </c:pt>
                <c:pt idx="457">
                  <c:v>42579</c:v>
                </c:pt>
                <c:pt idx="458">
                  <c:v>42580</c:v>
                </c:pt>
                <c:pt idx="459">
                  <c:v>42583</c:v>
                </c:pt>
                <c:pt idx="460">
                  <c:v>42584</c:v>
                </c:pt>
                <c:pt idx="461">
                  <c:v>42585</c:v>
                </c:pt>
                <c:pt idx="462">
                  <c:v>42586</c:v>
                </c:pt>
                <c:pt idx="463">
                  <c:v>42587</c:v>
                </c:pt>
                <c:pt idx="464">
                  <c:v>42590</c:v>
                </c:pt>
                <c:pt idx="465">
                  <c:v>42591</c:v>
                </c:pt>
                <c:pt idx="466">
                  <c:v>42592</c:v>
                </c:pt>
                <c:pt idx="467">
                  <c:v>42593</c:v>
                </c:pt>
                <c:pt idx="468">
                  <c:v>42594</c:v>
                </c:pt>
                <c:pt idx="469">
                  <c:v>42597</c:v>
                </c:pt>
                <c:pt idx="470">
                  <c:v>42598</c:v>
                </c:pt>
                <c:pt idx="471">
                  <c:v>42599</c:v>
                </c:pt>
                <c:pt idx="472">
                  <c:v>42600</c:v>
                </c:pt>
                <c:pt idx="473">
                  <c:v>42601</c:v>
                </c:pt>
                <c:pt idx="474">
                  <c:v>42604</c:v>
                </c:pt>
                <c:pt idx="475">
                  <c:v>42605</c:v>
                </c:pt>
                <c:pt idx="476">
                  <c:v>42606</c:v>
                </c:pt>
                <c:pt idx="477">
                  <c:v>42607</c:v>
                </c:pt>
                <c:pt idx="478">
                  <c:v>42608</c:v>
                </c:pt>
                <c:pt idx="479">
                  <c:v>42612</c:v>
                </c:pt>
                <c:pt idx="480">
                  <c:v>42613</c:v>
                </c:pt>
                <c:pt idx="481">
                  <c:v>42614</c:v>
                </c:pt>
                <c:pt idx="482">
                  <c:v>42615</c:v>
                </c:pt>
                <c:pt idx="483">
                  <c:v>42618</c:v>
                </c:pt>
                <c:pt idx="484">
                  <c:v>42619</c:v>
                </c:pt>
                <c:pt idx="485">
                  <c:v>42620</c:v>
                </c:pt>
                <c:pt idx="486">
                  <c:v>42621</c:v>
                </c:pt>
                <c:pt idx="487">
                  <c:v>42622</c:v>
                </c:pt>
                <c:pt idx="488">
                  <c:v>42625</c:v>
                </c:pt>
                <c:pt idx="489">
                  <c:v>42626</c:v>
                </c:pt>
                <c:pt idx="490">
                  <c:v>42627</c:v>
                </c:pt>
                <c:pt idx="491">
                  <c:v>42628</c:v>
                </c:pt>
                <c:pt idx="492">
                  <c:v>42629</c:v>
                </c:pt>
                <c:pt idx="493">
                  <c:v>42632</c:v>
                </c:pt>
                <c:pt idx="494">
                  <c:v>42633</c:v>
                </c:pt>
                <c:pt idx="495">
                  <c:v>42634</c:v>
                </c:pt>
                <c:pt idx="496">
                  <c:v>42635</c:v>
                </c:pt>
                <c:pt idx="497">
                  <c:v>42636</c:v>
                </c:pt>
                <c:pt idx="498">
                  <c:v>42639</c:v>
                </c:pt>
                <c:pt idx="499">
                  <c:v>42640</c:v>
                </c:pt>
                <c:pt idx="500">
                  <c:v>42641</c:v>
                </c:pt>
                <c:pt idx="501">
                  <c:v>42642</c:v>
                </c:pt>
                <c:pt idx="502">
                  <c:v>42643</c:v>
                </c:pt>
                <c:pt idx="503">
                  <c:v>42646</c:v>
                </c:pt>
                <c:pt idx="504">
                  <c:v>42647</c:v>
                </c:pt>
                <c:pt idx="505">
                  <c:v>42648</c:v>
                </c:pt>
                <c:pt idx="506">
                  <c:v>42649</c:v>
                </c:pt>
                <c:pt idx="507">
                  <c:v>42650</c:v>
                </c:pt>
                <c:pt idx="508">
                  <c:v>42653</c:v>
                </c:pt>
                <c:pt idx="509">
                  <c:v>42654</c:v>
                </c:pt>
                <c:pt idx="510">
                  <c:v>42655</c:v>
                </c:pt>
                <c:pt idx="511">
                  <c:v>42656</c:v>
                </c:pt>
                <c:pt idx="512">
                  <c:v>42657</c:v>
                </c:pt>
                <c:pt idx="513">
                  <c:v>42660</c:v>
                </c:pt>
                <c:pt idx="514">
                  <c:v>42661</c:v>
                </c:pt>
                <c:pt idx="515">
                  <c:v>42662</c:v>
                </c:pt>
                <c:pt idx="516">
                  <c:v>42663</c:v>
                </c:pt>
                <c:pt idx="517">
                  <c:v>42664</c:v>
                </c:pt>
                <c:pt idx="518">
                  <c:v>42671</c:v>
                </c:pt>
                <c:pt idx="519">
                  <c:v>42678</c:v>
                </c:pt>
                <c:pt idx="520">
                  <c:v>42685</c:v>
                </c:pt>
                <c:pt idx="521">
                  <c:v>42692</c:v>
                </c:pt>
                <c:pt idx="522">
                  <c:v>42699</c:v>
                </c:pt>
                <c:pt idx="523">
                  <c:v>42706</c:v>
                </c:pt>
                <c:pt idx="524">
                  <c:v>42713</c:v>
                </c:pt>
                <c:pt idx="525">
                  <c:v>42720</c:v>
                </c:pt>
                <c:pt idx="526">
                  <c:v>42727</c:v>
                </c:pt>
                <c:pt idx="527">
                  <c:v>42734</c:v>
                </c:pt>
                <c:pt idx="528">
                  <c:v>42741</c:v>
                </c:pt>
                <c:pt idx="529">
                  <c:v>42748</c:v>
                </c:pt>
                <c:pt idx="530">
                  <c:v>42755</c:v>
                </c:pt>
                <c:pt idx="531">
                  <c:v>42762</c:v>
                </c:pt>
                <c:pt idx="532">
                  <c:v>42769</c:v>
                </c:pt>
                <c:pt idx="533">
                  <c:v>42776</c:v>
                </c:pt>
                <c:pt idx="534">
                  <c:v>42783</c:v>
                </c:pt>
                <c:pt idx="535">
                  <c:v>42790</c:v>
                </c:pt>
                <c:pt idx="536">
                  <c:v>42797</c:v>
                </c:pt>
                <c:pt idx="537">
                  <c:v>42804</c:v>
                </c:pt>
                <c:pt idx="538">
                  <c:v>42811</c:v>
                </c:pt>
                <c:pt idx="539">
                  <c:v>42818</c:v>
                </c:pt>
                <c:pt idx="540">
                  <c:v>42825</c:v>
                </c:pt>
                <c:pt idx="541">
                  <c:v>42832</c:v>
                </c:pt>
                <c:pt idx="542">
                  <c:v>42843</c:v>
                </c:pt>
                <c:pt idx="543">
                  <c:v>42850</c:v>
                </c:pt>
                <c:pt idx="544">
                  <c:v>42857</c:v>
                </c:pt>
                <c:pt idx="545">
                  <c:v>42864</c:v>
                </c:pt>
                <c:pt idx="546">
                  <c:v>42871</c:v>
                </c:pt>
                <c:pt idx="547">
                  <c:v>42878</c:v>
                </c:pt>
                <c:pt idx="548">
                  <c:v>42885</c:v>
                </c:pt>
                <c:pt idx="549">
                  <c:v>42892</c:v>
                </c:pt>
                <c:pt idx="550">
                  <c:v>42899</c:v>
                </c:pt>
                <c:pt idx="551">
                  <c:v>42906</c:v>
                </c:pt>
                <c:pt idx="552">
                  <c:v>42913</c:v>
                </c:pt>
                <c:pt idx="553">
                  <c:v>42920</c:v>
                </c:pt>
                <c:pt idx="554">
                  <c:v>42927</c:v>
                </c:pt>
                <c:pt idx="555">
                  <c:v>42934</c:v>
                </c:pt>
                <c:pt idx="556">
                  <c:v>42941</c:v>
                </c:pt>
                <c:pt idx="557">
                  <c:v>42948</c:v>
                </c:pt>
                <c:pt idx="558">
                  <c:v>42955</c:v>
                </c:pt>
                <c:pt idx="559">
                  <c:v>42962</c:v>
                </c:pt>
                <c:pt idx="560">
                  <c:v>42969</c:v>
                </c:pt>
                <c:pt idx="561">
                  <c:v>42976</c:v>
                </c:pt>
                <c:pt idx="562">
                  <c:v>42983</c:v>
                </c:pt>
                <c:pt idx="563">
                  <c:v>42990</c:v>
                </c:pt>
                <c:pt idx="564">
                  <c:v>42997</c:v>
                </c:pt>
                <c:pt idx="565">
                  <c:v>43004</c:v>
                </c:pt>
                <c:pt idx="566">
                  <c:v>43011</c:v>
                </c:pt>
                <c:pt idx="567">
                  <c:v>43018</c:v>
                </c:pt>
                <c:pt idx="568">
                  <c:v>43025</c:v>
                </c:pt>
                <c:pt idx="569">
                  <c:v>43032</c:v>
                </c:pt>
                <c:pt idx="570">
                  <c:v>43039</c:v>
                </c:pt>
                <c:pt idx="571">
                  <c:v>43046</c:v>
                </c:pt>
                <c:pt idx="572">
                  <c:v>43053</c:v>
                </c:pt>
                <c:pt idx="573">
                  <c:v>43060</c:v>
                </c:pt>
                <c:pt idx="574">
                  <c:v>43067</c:v>
                </c:pt>
                <c:pt idx="575">
                  <c:v>43074</c:v>
                </c:pt>
                <c:pt idx="576">
                  <c:v>43081</c:v>
                </c:pt>
                <c:pt idx="577">
                  <c:v>43088</c:v>
                </c:pt>
                <c:pt idx="578">
                  <c:v>43096</c:v>
                </c:pt>
                <c:pt idx="579">
                  <c:v>43103</c:v>
                </c:pt>
                <c:pt idx="580">
                  <c:v>43110</c:v>
                </c:pt>
                <c:pt idx="581">
                  <c:v>43117</c:v>
                </c:pt>
                <c:pt idx="582">
                  <c:v>43124</c:v>
                </c:pt>
                <c:pt idx="583">
                  <c:v>43131</c:v>
                </c:pt>
                <c:pt idx="584">
                  <c:v>43138</c:v>
                </c:pt>
                <c:pt idx="585">
                  <c:v>43145</c:v>
                </c:pt>
                <c:pt idx="586">
                  <c:v>43152</c:v>
                </c:pt>
                <c:pt idx="587">
                  <c:v>43159</c:v>
                </c:pt>
                <c:pt idx="588">
                  <c:v>43166</c:v>
                </c:pt>
                <c:pt idx="589">
                  <c:v>43173</c:v>
                </c:pt>
                <c:pt idx="590">
                  <c:v>43180</c:v>
                </c:pt>
                <c:pt idx="591">
                  <c:v>43187</c:v>
                </c:pt>
                <c:pt idx="592">
                  <c:v>43194</c:v>
                </c:pt>
                <c:pt idx="593">
                  <c:v>43201</c:v>
                </c:pt>
                <c:pt idx="594">
                  <c:v>43208</c:v>
                </c:pt>
                <c:pt idx="595">
                  <c:v>43215</c:v>
                </c:pt>
                <c:pt idx="596">
                  <c:v>43222</c:v>
                </c:pt>
                <c:pt idx="597">
                  <c:v>43229</c:v>
                </c:pt>
                <c:pt idx="598">
                  <c:v>43236</c:v>
                </c:pt>
                <c:pt idx="599">
                  <c:v>43243</c:v>
                </c:pt>
                <c:pt idx="600">
                  <c:v>43250</c:v>
                </c:pt>
                <c:pt idx="601">
                  <c:v>43257</c:v>
                </c:pt>
                <c:pt idx="602">
                  <c:v>43264</c:v>
                </c:pt>
                <c:pt idx="603">
                  <c:v>43271</c:v>
                </c:pt>
                <c:pt idx="604">
                  <c:v>43278</c:v>
                </c:pt>
                <c:pt idx="605">
                  <c:v>43285</c:v>
                </c:pt>
                <c:pt idx="606">
                  <c:v>43292</c:v>
                </c:pt>
                <c:pt idx="607">
                  <c:v>43299</c:v>
                </c:pt>
                <c:pt idx="608">
                  <c:v>43306</c:v>
                </c:pt>
                <c:pt idx="609">
                  <c:v>43313</c:v>
                </c:pt>
                <c:pt idx="610">
                  <c:v>43320</c:v>
                </c:pt>
                <c:pt idx="611">
                  <c:v>43327</c:v>
                </c:pt>
                <c:pt idx="612">
                  <c:v>43334</c:v>
                </c:pt>
                <c:pt idx="613">
                  <c:v>43341</c:v>
                </c:pt>
                <c:pt idx="614">
                  <c:v>43348</c:v>
                </c:pt>
                <c:pt idx="615">
                  <c:v>43355</c:v>
                </c:pt>
                <c:pt idx="616">
                  <c:v>43362</c:v>
                </c:pt>
                <c:pt idx="617">
                  <c:v>43369</c:v>
                </c:pt>
                <c:pt idx="618">
                  <c:v>43376</c:v>
                </c:pt>
                <c:pt idx="619">
                  <c:v>43383</c:v>
                </c:pt>
                <c:pt idx="620">
                  <c:v>43390</c:v>
                </c:pt>
                <c:pt idx="621">
                  <c:v>43397</c:v>
                </c:pt>
                <c:pt idx="622">
                  <c:v>43404</c:v>
                </c:pt>
                <c:pt idx="623">
                  <c:v>43411</c:v>
                </c:pt>
                <c:pt idx="624">
                  <c:v>43418</c:v>
                </c:pt>
                <c:pt idx="625">
                  <c:v>43425</c:v>
                </c:pt>
                <c:pt idx="626">
                  <c:v>43432</c:v>
                </c:pt>
                <c:pt idx="627">
                  <c:v>43439</c:v>
                </c:pt>
                <c:pt idx="628">
                  <c:v>43446</c:v>
                </c:pt>
                <c:pt idx="629">
                  <c:v>43453</c:v>
                </c:pt>
                <c:pt idx="630">
                  <c:v>43461</c:v>
                </c:pt>
                <c:pt idx="631">
                  <c:v>43468</c:v>
                </c:pt>
                <c:pt idx="632">
                  <c:v>43475</c:v>
                </c:pt>
                <c:pt idx="633">
                  <c:v>43482</c:v>
                </c:pt>
                <c:pt idx="634">
                  <c:v>43489</c:v>
                </c:pt>
                <c:pt idx="635">
                  <c:v>43496</c:v>
                </c:pt>
                <c:pt idx="636">
                  <c:v>43503</c:v>
                </c:pt>
                <c:pt idx="637">
                  <c:v>43510</c:v>
                </c:pt>
                <c:pt idx="638">
                  <c:v>43517</c:v>
                </c:pt>
                <c:pt idx="639">
                  <c:v>43524</c:v>
                </c:pt>
                <c:pt idx="640">
                  <c:v>43531</c:v>
                </c:pt>
                <c:pt idx="641">
                  <c:v>43538</c:v>
                </c:pt>
                <c:pt idx="642">
                  <c:v>43545</c:v>
                </c:pt>
                <c:pt idx="643">
                  <c:v>43552</c:v>
                </c:pt>
                <c:pt idx="644">
                  <c:v>43559</c:v>
                </c:pt>
                <c:pt idx="645">
                  <c:v>43566</c:v>
                </c:pt>
                <c:pt idx="646">
                  <c:v>43573</c:v>
                </c:pt>
                <c:pt idx="647">
                  <c:v>43580</c:v>
                </c:pt>
                <c:pt idx="648">
                  <c:v>43587</c:v>
                </c:pt>
                <c:pt idx="649">
                  <c:v>43594</c:v>
                </c:pt>
                <c:pt idx="650">
                  <c:v>43601</c:v>
                </c:pt>
                <c:pt idx="651">
                  <c:v>43608</c:v>
                </c:pt>
                <c:pt idx="652">
                  <c:v>43615</c:v>
                </c:pt>
                <c:pt idx="653">
                  <c:v>43622</c:v>
                </c:pt>
                <c:pt idx="654">
                  <c:v>43629</c:v>
                </c:pt>
                <c:pt idx="655">
                  <c:v>43636</c:v>
                </c:pt>
                <c:pt idx="656">
                  <c:v>43643</c:v>
                </c:pt>
                <c:pt idx="657">
                  <c:v>43650</c:v>
                </c:pt>
                <c:pt idx="658">
                  <c:v>43657</c:v>
                </c:pt>
                <c:pt idx="659">
                  <c:v>43664</c:v>
                </c:pt>
                <c:pt idx="660">
                  <c:v>43671</c:v>
                </c:pt>
                <c:pt idx="661">
                  <c:v>43678</c:v>
                </c:pt>
                <c:pt idx="662">
                  <c:v>43685</c:v>
                </c:pt>
                <c:pt idx="663">
                  <c:v>43692</c:v>
                </c:pt>
                <c:pt idx="664">
                  <c:v>43699</c:v>
                </c:pt>
                <c:pt idx="665">
                  <c:v>43706</c:v>
                </c:pt>
                <c:pt idx="666">
                  <c:v>43713</c:v>
                </c:pt>
                <c:pt idx="667">
                  <c:v>43720</c:v>
                </c:pt>
                <c:pt idx="668">
                  <c:v>43727</c:v>
                </c:pt>
                <c:pt idx="669">
                  <c:v>43734</c:v>
                </c:pt>
                <c:pt idx="670">
                  <c:v>43741</c:v>
                </c:pt>
                <c:pt idx="671">
                  <c:v>43748</c:v>
                </c:pt>
                <c:pt idx="672">
                  <c:v>43755</c:v>
                </c:pt>
                <c:pt idx="673">
                  <c:v>43762</c:v>
                </c:pt>
                <c:pt idx="674">
                  <c:v>43769</c:v>
                </c:pt>
                <c:pt idx="675">
                  <c:v>43776</c:v>
                </c:pt>
                <c:pt idx="676">
                  <c:v>43783</c:v>
                </c:pt>
                <c:pt idx="677">
                  <c:v>43790</c:v>
                </c:pt>
                <c:pt idx="678">
                  <c:v>43797</c:v>
                </c:pt>
                <c:pt idx="679">
                  <c:v>43804</c:v>
                </c:pt>
                <c:pt idx="680">
                  <c:v>43811</c:v>
                </c:pt>
                <c:pt idx="681">
                  <c:v>43818</c:v>
                </c:pt>
                <c:pt idx="682">
                  <c:v>43826</c:v>
                </c:pt>
                <c:pt idx="683">
                  <c:v>43833</c:v>
                </c:pt>
                <c:pt idx="684">
                  <c:v>43840</c:v>
                </c:pt>
                <c:pt idx="685">
                  <c:v>43847</c:v>
                </c:pt>
                <c:pt idx="686">
                  <c:v>43854</c:v>
                </c:pt>
                <c:pt idx="687">
                  <c:v>43861</c:v>
                </c:pt>
                <c:pt idx="688">
                  <c:v>43868</c:v>
                </c:pt>
                <c:pt idx="689">
                  <c:v>43875</c:v>
                </c:pt>
                <c:pt idx="690">
                  <c:v>43882</c:v>
                </c:pt>
                <c:pt idx="691">
                  <c:v>43889</c:v>
                </c:pt>
                <c:pt idx="692">
                  <c:v>43896</c:v>
                </c:pt>
                <c:pt idx="693">
                  <c:v>43903</c:v>
                </c:pt>
                <c:pt idx="694">
                  <c:v>43910</c:v>
                </c:pt>
                <c:pt idx="695">
                  <c:v>43917</c:v>
                </c:pt>
                <c:pt idx="696">
                  <c:v>43924</c:v>
                </c:pt>
                <c:pt idx="697">
                  <c:v>43935</c:v>
                </c:pt>
                <c:pt idx="698">
                  <c:v>43942</c:v>
                </c:pt>
                <c:pt idx="699">
                  <c:v>43949</c:v>
                </c:pt>
                <c:pt idx="700">
                  <c:v>43956</c:v>
                </c:pt>
                <c:pt idx="701">
                  <c:v>43963</c:v>
                </c:pt>
                <c:pt idx="702">
                  <c:v>43970</c:v>
                </c:pt>
                <c:pt idx="703">
                  <c:v>43977</c:v>
                </c:pt>
                <c:pt idx="704">
                  <c:v>43984</c:v>
                </c:pt>
                <c:pt idx="705">
                  <c:v>43991</c:v>
                </c:pt>
                <c:pt idx="706">
                  <c:v>43998</c:v>
                </c:pt>
                <c:pt idx="707">
                  <c:v>44005</c:v>
                </c:pt>
                <c:pt idx="708">
                  <c:v>44012</c:v>
                </c:pt>
                <c:pt idx="709">
                  <c:v>44019</c:v>
                </c:pt>
                <c:pt idx="710">
                  <c:v>44026</c:v>
                </c:pt>
                <c:pt idx="711">
                  <c:v>44033</c:v>
                </c:pt>
                <c:pt idx="712">
                  <c:v>44040</c:v>
                </c:pt>
                <c:pt idx="713">
                  <c:v>44047</c:v>
                </c:pt>
                <c:pt idx="714">
                  <c:v>44054</c:v>
                </c:pt>
                <c:pt idx="715">
                  <c:v>44061</c:v>
                </c:pt>
                <c:pt idx="716">
                  <c:v>44068</c:v>
                </c:pt>
                <c:pt idx="717">
                  <c:v>44075</c:v>
                </c:pt>
                <c:pt idx="718">
                  <c:v>44082</c:v>
                </c:pt>
                <c:pt idx="719">
                  <c:v>44089</c:v>
                </c:pt>
                <c:pt idx="720">
                  <c:v>44096</c:v>
                </c:pt>
                <c:pt idx="721">
                  <c:v>44103</c:v>
                </c:pt>
                <c:pt idx="722">
                  <c:v>44110</c:v>
                </c:pt>
                <c:pt idx="723">
                  <c:v>44117</c:v>
                </c:pt>
                <c:pt idx="724">
                  <c:v>44124</c:v>
                </c:pt>
                <c:pt idx="725">
                  <c:v>44131</c:v>
                </c:pt>
                <c:pt idx="726">
                  <c:v>44138</c:v>
                </c:pt>
                <c:pt idx="727">
                  <c:v>44145</c:v>
                </c:pt>
                <c:pt idx="728">
                  <c:v>44152</c:v>
                </c:pt>
                <c:pt idx="729">
                  <c:v>44159</c:v>
                </c:pt>
                <c:pt idx="730">
                  <c:v>44166</c:v>
                </c:pt>
                <c:pt idx="731">
                  <c:v>44173</c:v>
                </c:pt>
                <c:pt idx="732">
                  <c:v>44180</c:v>
                </c:pt>
                <c:pt idx="733">
                  <c:v>44187</c:v>
                </c:pt>
                <c:pt idx="734">
                  <c:v>44194</c:v>
                </c:pt>
                <c:pt idx="735">
                  <c:v>44201</c:v>
                </c:pt>
                <c:pt idx="736">
                  <c:v>44208</c:v>
                </c:pt>
                <c:pt idx="737">
                  <c:v>44215</c:v>
                </c:pt>
                <c:pt idx="738">
                  <c:v>44222</c:v>
                </c:pt>
                <c:pt idx="739">
                  <c:v>44229</c:v>
                </c:pt>
                <c:pt idx="740">
                  <c:v>44236</c:v>
                </c:pt>
                <c:pt idx="741">
                  <c:v>44243</c:v>
                </c:pt>
                <c:pt idx="742">
                  <c:v>44250</c:v>
                </c:pt>
                <c:pt idx="743">
                  <c:v>44257</c:v>
                </c:pt>
                <c:pt idx="744">
                  <c:v>44264</c:v>
                </c:pt>
                <c:pt idx="745">
                  <c:v>44271</c:v>
                </c:pt>
                <c:pt idx="746">
                  <c:v>44278</c:v>
                </c:pt>
                <c:pt idx="747">
                  <c:v>44285</c:v>
                </c:pt>
                <c:pt idx="748">
                  <c:v>44292</c:v>
                </c:pt>
                <c:pt idx="749">
                  <c:v>44299</c:v>
                </c:pt>
                <c:pt idx="750">
                  <c:v>44306</c:v>
                </c:pt>
                <c:pt idx="751">
                  <c:v>44313</c:v>
                </c:pt>
                <c:pt idx="752">
                  <c:v>44320</c:v>
                </c:pt>
                <c:pt idx="753">
                  <c:v>44327</c:v>
                </c:pt>
                <c:pt idx="754">
                  <c:v>44334</c:v>
                </c:pt>
                <c:pt idx="755">
                  <c:v>44341</c:v>
                </c:pt>
                <c:pt idx="756">
                  <c:v>44348</c:v>
                </c:pt>
                <c:pt idx="757">
                  <c:v>44355</c:v>
                </c:pt>
                <c:pt idx="758">
                  <c:v>44362</c:v>
                </c:pt>
                <c:pt idx="759">
                  <c:v>44369</c:v>
                </c:pt>
                <c:pt idx="760">
                  <c:v>44376</c:v>
                </c:pt>
                <c:pt idx="761">
                  <c:v>44383</c:v>
                </c:pt>
                <c:pt idx="762">
                  <c:v>44390</c:v>
                </c:pt>
                <c:pt idx="763">
                  <c:v>44397</c:v>
                </c:pt>
                <c:pt idx="764">
                  <c:v>44404</c:v>
                </c:pt>
                <c:pt idx="765">
                  <c:v>44411</c:v>
                </c:pt>
                <c:pt idx="766">
                  <c:v>44418</c:v>
                </c:pt>
                <c:pt idx="767">
                  <c:v>44425</c:v>
                </c:pt>
                <c:pt idx="768">
                  <c:v>44432</c:v>
                </c:pt>
                <c:pt idx="769">
                  <c:v>44439</c:v>
                </c:pt>
                <c:pt idx="770">
                  <c:v>44446</c:v>
                </c:pt>
                <c:pt idx="771">
                  <c:v>44453</c:v>
                </c:pt>
                <c:pt idx="772">
                  <c:v>44460</c:v>
                </c:pt>
                <c:pt idx="773">
                  <c:v>44467</c:v>
                </c:pt>
                <c:pt idx="774">
                  <c:v>44474</c:v>
                </c:pt>
                <c:pt idx="775">
                  <c:v>44481</c:v>
                </c:pt>
                <c:pt idx="776">
                  <c:v>44488</c:v>
                </c:pt>
                <c:pt idx="777">
                  <c:v>44495</c:v>
                </c:pt>
                <c:pt idx="778">
                  <c:v>44502</c:v>
                </c:pt>
                <c:pt idx="779">
                  <c:v>44509</c:v>
                </c:pt>
                <c:pt idx="780">
                  <c:v>44516</c:v>
                </c:pt>
                <c:pt idx="781">
                  <c:v>44523</c:v>
                </c:pt>
                <c:pt idx="782">
                  <c:v>44530</c:v>
                </c:pt>
                <c:pt idx="783">
                  <c:v>44537</c:v>
                </c:pt>
                <c:pt idx="784">
                  <c:v>44544</c:v>
                </c:pt>
                <c:pt idx="785">
                  <c:v>44551</c:v>
                </c:pt>
                <c:pt idx="786">
                  <c:v>44559</c:v>
                </c:pt>
                <c:pt idx="787">
                  <c:v>44566</c:v>
                </c:pt>
                <c:pt idx="788">
                  <c:v>44573</c:v>
                </c:pt>
                <c:pt idx="789">
                  <c:v>44580</c:v>
                </c:pt>
                <c:pt idx="790">
                  <c:v>44587</c:v>
                </c:pt>
                <c:pt idx="791">
                  <c:v>44594</c:v>
                </c:pt>
                <c:pt idx="792">
                  <c:v>44601</c:v>
                </c:pt>
                <c:pt idx="793">
                  <c:v>44608</c:v>
                </c:pt>
                <c:pt idx="794">
                  <c:v>44615</c:v>
                </c:pt>
                <c:pt idx="795">
                  <c:v>44622</c:v>
                </c:pt>
                <c:pt idx="796">
                  <c:v>44629</c:v>
                </c:pt>
                <c:pt idx="797">
                  <c:v>44636</c:v>
                </c:pt>
                <c:pt idx="798">
                  <c:v>44643</c:v>
                </c:pt>
                <c:pt idx="799">
                  <c:v>44650</c:v>
                </c:pt>
                <c:pt idx="800">
                  <c:v>44657</c:v>
                </c:pt>
                <c:pt idx="801">
                  <c:v>44664</c:v>
                </c:pt>
                <c:pt idx="802">
                  <c:v>44671</c:v>
                </c:pt>
                <c:pt idx="803">
                  <c:v>44678</c:v>
                </c:pt>
                <c:pt idx="804">
                  <c:v>44685</c:v>
                </c:pt>
                <c:pt idx="805">
                  <c:v>44692</c:v>
                </c:pt>
                <c:pt idx="806">
                  <c:v>44699</c:v>
                </c:pt>
                <c:pt idx="807">
                  <c:v>44706</c:v>
                </c:pt>
                <c:pt idx="808">
                  <c:v>44713</c:v>
                </c:pt>
                <c:pt idx="809">
                  <c:v>44720</c:v>
                </c:pt>
                <c:pt idx="810">
                  <c:v>44727</c:v>
                </c:pt>
                <c:pt idx="811">
                  <c:v>44734</c:v>
                </c:pt>
                <c:pt idx="812">
                  <c:v>44741</c:v>
                </c:pt>
                <c:pt idx="813">
                  <c:v>44748</c:v>
                </c:pt>
                <c:pt idx="814">
                  <c:v>44755</c:v>
                </c:pt>
                <c:pt idx="815">
                  <c:v>44762</c:v>
                </c:pt>
                <c:pt idx="816">
                  <c:v>44769</c:v>
                </c:pt>
                <c:pt idx="817">
                  <c:v>44776</c:v>
                </c:pt>
                <c:pt idx="818">
                  <c:v>44783</c:v>
                </c:pt>
                <c:pt idx="819">
                  <c:v>44790</c:v>
                </c:pt>
                <c:pt idx="820">
                  <c:v>44797</c:v>
                </c:pt>
                <c:pt idx="821">
                  <c:v>44804</c:v>
                </c:pt>
                <c:pt idx="822">
                  <c:v>44811</c:v>
                </c:pt>
                <c:pt idx="823">
                  <c:v>44818</c:v>
                </c:pt>
                <c:pt idx="824">
                  <c:v>44825</c:v>
                </c:pt>
                <c:pt idx="825">
                  <c:v>44832</c:v>
                </c:pt>
                <c:pt idx="826">
                  <c:v>44839</c:v>
                </c:pt>
                <c:pt idx="827">
                  <c:v>44846</c:v>
                </c:pt>
                <c:pt idx="828">
                  <c:v>44853</c:v>
                </c:pt>
                <c:pt idx="829">
                  <c:v>44860</c:v>
                </c:pt>
                <c:pt idx="830">
                  <c:v>44867</c:v>
                </c:pt>
                <c:pt idx="831">
                  <c:v>44874</c:v>
                </c:pt>
                <c:pt idx="832">
                  <c:v>44881</c:v>
                </c:pt>
                <c:pt idx="833">
                  <c:v>44888</c:v>
                </c:pt>
                <c:pt idx="834">
                  <c:v>44895</c:v>
                </c:pt>
                <c:pt idx="835">
                  <c:v>44902</c:v>
                </c:pt>
                <c:pt idx="836">
                  <c:v>44909</c:v>
                </c:pt>
                <c:pt idx="837">
                  <c:v>44916</c:v>
                </c:pt>
                <c:pt idx="838">
                  <c:v>44923</c:v>
                </c:pt>
                <c:pt idx="839">
                  <c:v>44930</c:v>
                </c:pt>
                <c:pt idx="840">
                  <c:v>44937</c:v>
                </c:pt>
                <c:pt idx="841">
                  <c:v>44944</c:v>
                </c:pt>
                <c:pt idx="842">
                  <c:v>44951</c:v>
                </c:pt>
                <c:pt idx="843">
                  <c:v>44958</c:v>
                </c:pt>
                <c:pt idx="844">
                  <c:v>44965</c:v>
                </c:pt>
                <c:pt idx="845">
                  <c:v>44972</c:v>
                </c:pt>
                <c:pt idx="846">
                  <c:v>44979</c:v>
                </c:pt>
                <c:pt idx="847">
                  <c:v>44986</c:v>
                </c:pt>
                <c:pt idx="848">
                  <c:v>44993</c:v>
                </c:pt>
                <c:pt idx="849">
                  <c:v>45000</c:v>
                </c:pt>
                <c:pt idx="850">
                  <c:v>45007</c:v>
                </c:pt>
                <c:pt idx="851">
                  <c:v>45014</c:v>
                </c:pt>
                <c:pt idx="852">
                  <c:v>45021</c:v>
                </c:pt>
                <c:pt idx="853">
                  <c:v>45028</c:v>
                </c:pt>
                <c:pt idx="854">
                  <c:v>45035</c:v>
                </c:pt>
                <c:pt idx="855">
                  <c:v>45042</c:v>
                </c:pt>
                <c:pt idx="856">
                  <c:v>45049</c:v>
                </c:pt>
                <c:pt idx="857">
                  <c:v>45056</c:v>
                </c:pt>
                <c:pt idx="858">
                  <c:v>45063</c:v>
                </c:pt>
                <c:pt idx="859">
                  <c:v>45070</c:v>
                </c:pt>
                <c:pt idx="860">
                  <c:v>45077</c:v>
                </c:pt>
                <c:pt idx="861">
                  <c:v>45084</c:v>
                </c:pt>
                <c:pt idx="862">
                  <c:v>45091</c:v>
                </c:pt>
                <c:pt idx="863">
                  <c:v>45098</c:v>
                </c:pt>
                <c:pt idx="864">
                  <c:v>45105</c:v>
                </c:pt>
                <c:pt idx="865">
                  <c:v>45112</c:v>
                </c:pt>
                <c:pt idx="866">
                  <c:v>45119</c:v>
                </c:pt>
                <c:pt idx="867">
                  <c:v>45126</c:v>
                </c:pt>
                <c:pt idx="868">
                  <c:v>45133</c:v>
                </c:pt>
                <c:pt idx="869">
                  <c:v>45140</c:v>
                </c:pt>
                <c:pt idx="870">
                  <c:v>45147</c:v>
                </c:pt>
                <c:pt idx="871">
                  <c:v>45154</c:v>
                </c:pt>
                <c:pt idx="872">
                  <c:v>45161</c:v>
                </c:pt>
                <c:pt idx="873">
                  <c:v>45168</c:v>
                </c:pt>
                <c:pt idx="874">
                  <c:v>45175</c:v>
                </c:pt>
                <c:pt idx="875">
                  <c:v>45182</c:v>
                </c:pt>
                <c:pt idx="876">
                  <c:v>45189</c:v>
                </c:pt>
                <c:pt idx="877">
                  <c:v>45196</c:v>
                </c:pt>
                <c:pt idx="878">
                  <c:v>45203</c:v>
                </c:pt>
                <c:pt idx="879">
                  <c:v>45210</c:v>
                </c:pt>
                <c:pt idx="880">
                  <c:v>45217</c:v>
                </c:pt>
                <c:pt idx="881">
                  <c:v>45224</c:v>
                </c:pt>
                <c:pt idx="882">
                  <c:v>45231</c:v>
                </c:pt>
                <c:pt idx="883">
                  <c:v>45238</c:v>
                </c:pt>
                <c:pt idx="884">
                  <c:v>45245</c:v>
                </c:pt>
                <c:pt idx="885">
                  <c:v>45252</c:v>
                </c:pt>
                <c:pt idx="886">
                  <c:v>45259</c:v>
                </c:pt>
                <c:pt idx="887">
                  <c:v>45266</c:v>
                </c:pt>
                <c:pt idx="888">
                  <c:v>45273</c:v>
                </c:pt>
                <c:pt idx="889">
                  <c:v>45280</c:v>
                </c:pt>
                <c:pt idx="890">
                  <c:v>45287</c:v>
                </c:pt>
                <c:pt idx="891">
                  <c:v>45294</c:v>
                </c:pt>
                <c:pt idx="892">
                  <c:v>45301</c:v>
                </c:pt>
                <c:pt idx="893">
                  <c:v>45308</c:v>
                </c:pt>
                <c:pt idx="894">
                  <c:v>45315</c:v>
                </c:pt>
                <c:pt idx="895">
                  <c:v>45322</c:v>
                </c:pt>
                <c:pt idx="896">
                  <c:v>45329</c:v>
                </c:pt>
                <c:pt idx="897">
                  <c:v>45336</c:v>
                </c:pt>
                <c:pt idx="898">
                  <c:v>45343</c:v>
                </c:pt>
                <c:pt idx="899">
                  <c:v>45350</c:v>
                </c:pt>
                <c:pt idx="900">
                  <c:v>45357</c:v>
                </c:pt>
                <c:pt idx="901">
                  <c:v>45364</c:v>
                </c:pt>
                <c:pt idx="902">
                  <c:v>45371</c:v>
                </c:pt>
                <c:pt idx="903">
                  <c:v>45378</c:v>
                </c:pt>
                <c:pt idx="904">
                  <c:v>45385</c:v>
                </c:pt>
                <c:pt idx="905">
                  <c:v>45392</c:v>
                </c:pt>
                <c:pt idx="906">
                  <c:v>45399</c:v>
                </c:pt>
                <c:pt idx="907">
                  <c:v>45406</c:v>
                </c:pt>
                <c:pt idx="908">
                  <c:v>45413</c:v>
                </c:pt>
                <c:pt idx="909">
                  <c:v>45420</c:v>
                </c:pt>
                <c:pt idx="910">
                  <c:v>45427</c:v>
                </c:pt>
                <c:pt idx="911">
                  <c:v>45434</c:v>
                </c:pt>
                <c:pt idx="912">
                  <c:v>45441</c:v>
                </c:pt>
                <c:pt idx="913">
                  <c:v>45448</c:v>
                </c:pt>
                <c:pt idx="914">
                  <c:v>45455</c:v>
                </c:pt>
                <c:pt idx="915">
                  <c:v>45462</c:v>
                </c:pt>
                <c:pt idx="916">
                  <c:v>45469</c:v>
                </c:pt>
                <c:pt idx="917">
                  <c:v>45476</c:v>
                </c:pt>
                <c:pt idx="918">
                  <c:v>45483</c:v>
                </c:pt>
                <c:pt idx="919">
                  <c:v>45490</c:v>
                </c:pt>
                <c:pt idx="920">
                  <c:v>45497</c:v>
                </c:pt>
                <c:pt idx="921">
                  <c:v>45504</c:v>
                </c:pt>
                <c:pt idx="922">
                  <c:v>45511</c:v>
                </c:pt>
                <c:pt idx="923">
                  <c:v>45518</c:v>
                </c:pt>
                <c:pt idx="924">
                  <c:v>45525</c:v>
                </c:pt>
                <c:pt idx="925">
                  <c:v>45532</c:v>
                </c:pt>
                <c:pt idx="926">
                  <c:v>45539</c:v>
                </c:pt>
                <c:pt idx="927">
                  <c:v>45546</c:v>
                </c:pt>
                <c:pt idx="928">
                  <c:v>45553</c:v>
                </c:pt>
                <c:pt idx="929">
                  <c:v>45560</c:v>
                </c:pt>
                <c:pt idx="930">
                  <c:v>45567</c:v>
                </c:pt>
                <c:pt idx="931">
                  <c:v>45574</c:v>
                </c:pt>
                <c:pt idx="932">
                  <c:v>45581</c:v>
                </c:pt>
                <c:pt idx="933">
                  <c:v>45588</c:v>
                </c:pt>
                <c:pt idx="934">
                  <c:v>45595</c:v>
                </c:pt>
                <c:pt idx="935">
                  <c:v>45602</c:v>
                </c:pt>
                <c:pt idx="936">
                  <c:v>45609</c:v>
                </c:pt>
                <c:pt idx="937">
                  <c:v>45616</c:v>
                </c:pt>
                <c:pt idx="938">
                  <c:v>45623</c:v>
                </c:pt>
                <c:pt idx="939">
                  <c:v>45630</c:v>
                </c:pt>
                <c:pt idx="940">
                  <c:v>45637</c:v>
                </c:pt>
                <c:pt idx="941">
                  <c:v>45644</c:v>
                </c:pt>
                <c:pt idx="942">
                  <c:v>45653</c:v>
                </c:pt>
                <c:pt idx="943">
                  <c:v>45660</c:v>
                </c:pt>
                <c:pt idx="944">
                  <c:v>45667</c:v>
                </c:pt>
                <c:pt idx="945">
                  <c:v>45674</c:v>
                </c:pt>
                <c:pt idx="946">
                  <c:v>45681</c:v>
                </c:pt>
                <c:pt idx="947">
                  <c:v>45688</c:v>
                </c:pt>
                <c:pt idx="948">
                  <c:v>45695</c:v>
                </c:pt>
                <c:pt idx="949">
                  <c:v>45702</c:v>
                </c:pt>
                <c:pt idx="950">
                  <c:v>45709</c:v>
                </c:pt>
                <c:pt idx="951">
                  <c:v>45716</c:v>
                </c:pt>
                <c:pt idx="952">
                  <c:v>45723</c:v>
                </c:pt>
                <c:pt idx="953">
                  <c:v>45730</c:v>
                </c:pt>
                <c:pt idx="954">
                  <c:v>45737</c:v>
                </c:pt>
                <c:pt idx="955">
                  <c:v>45744</c:v>
                </c:pt>
                <c:pt idx="956">
                  <c:v>45751</c:v>
                </c:pt>
                <c:pt idx="957">
                  <c:v>45758</c:v>
                </c:pt>
                <c:pt idx="958">
                  <c:v>45769</c:v>
                </c:pt>
                <c:pt idx="959">
                  <c:v>45776</c:v>
                </c:pt>
                <c:pt idx="960">
                  <c:v>45783</c:v>
                </c:pt>
                <c:pt idx="961">
                  <c:v>45790</c:v>
                </c:pt>
                <c:pt idx="962">
                  <c:v>45797</c:v>
                </c:pt>
                <c:pt idx="963">
                  <c:v>45804</c:v>
                </c:pt>
                <c:pt idx="964">
                  <c:v>45811</c:v>
                </c:pt>
                <c:pt idx="965">
                  <c:v>45818</c:v>
                </c:pt>
                <c:pt idx="966">
                  <c:v>45825</c:v>
                </c:pt>
                <c:pt idx="967">
                  <c:v>45832</c:v>
                </c:pt>
                <c:pt idx="968">
                  <c:v>45839</c:v>
                </c:pt>
                <c:pt idx="969">
                  <c:v>45846</c:v>
                </c:pt>
                <c:pt idx="970">
                  <c:v>45853</c:v>
                </c:pt>
                <c:pt idx="971">
                  <c:v>45860</c:v>
                </c:pt>
                <c:pt idx="972">
                  <c:v>45867</c:v>
                </c:pt>
                <c:pt idx="973">
                  <c:v>45874</c:v>
                </c:pt>
                <c:pt idx="974">
                  <c:v>45881</c:v>
                </c:pt>
                <c:pt idx="975">
                  <c:v>45888</c:v>
                </c:pt>
                <c:pt idx="976">
                  <c:v>45895</c:v>
                </c:pt>
                <c:pt idx="977">
                  <c:v>45902</c:v>
                </c:pt>
                <c:pt idx="978">
                  <c:v>45909</c:v>
                </c:pt>
                <c:pt idx="979">
                  <c:v>45916</c:v>
                </c:pt>
                <c:pt idx="980">
                  <c:v>45923</c:v>
                </c:pt>
                <c:pt idx="981">
                  <c:v>45930</c:v>
                </c:pt>
                <c:pt idx="982">
                  <c:v>45937</c:v>
                </c:pt>
                <c:pt idx="983">
                  <c:v>45944</c:v>
                </c:pt>
                <c:pt idx="984">
                  <c:v>45951</c:v>
                </c:pt>
                <c:pt idx="985">
                  <c:v>45958</c:v>
                </c:pt>
                <c:pt idx="986">
                  <c:v>45965</c:v>
                </c:pt>
                <c:pt idx="987">
                  <c:v>45972</c:v>
                </c:pt>
                <c:pt idx="988">
                  <c:v>45979</c:v>
                </c:pt>
                <c:pt idx="989">
                  <c:v>45986</c:v>
                </c:pt>
                <c:pt idx="990">
                  <c:v>45993</c:v>
                </c:pt>
                <c:pt idx="991">
                  <c:v>46000</c:v>
                </c:pt>
                <c:pt idx="992">
                  <c:v>46007</c:v>
                </c:pt>
                <c:pt idx="993">
                  <c:v>46014</c:v>
                </c:pt>
                <c:pt idx="994">
                  <c:v>46021</c:v>
                </c:pt>
                <c:pt idx="995">
                  <c:v>46028</c:v>
                </c:pt>
                <c:pt idx="996">
                  <c:v>46035</c:v>
                </c:pt>
                <c:pt idx="997">
                  <c:v>46042</c:v>
                </c:pt>
                <c:pt idx="998">
                  <c:v>46049</c:v>
                </c:pt>
                <c:pt idx="999">
                  <c:v>46056</c:v>
                </c:pt>
                <c:pt idx="1000">
                  <c:v>46063</c:v>
                </c:pt>
                <c:pt idx="1001">
                  <c:v>46070</c:v>
                </c:pt>
                <c:pt idx="1002">
                  <c:v>46077</c:v>
                </c:pt>
                <c:pt idx="1003">
                  <c:v>46084</c:v>
                </c:pt>
                <c:pt idx="1004">
                  <c:v>46091</c:v>
                </c:pt>
                <c:pt idx="1005">
                  <c:v>46098</c:v>
                </c:pt>
                <c:pt idx="1006">
                  <c:v>46105</c:v>
                </c:pt>
                <c:pt idx="1007">
                  <c:v>46112</c:v>
                </c:pt>
                <c:pt idx="1008">
                  <c:v>46119</c:v>
                </c:pt>
                <c:pt idx="1009">
                  <c:v>46126</c:v>
                </c:pt>
                <c:pt idx="1010">
                  <c:v>46133</c:v>
                </c:pt>
                <c:pt idx="1011">
                  <c:v>46140</c:v>
                </c:pt>
                <c:pt idx="1012">
                  <c:v>46147</c:v>
                </c:pt>
                <c:pt idx="1013">
                  <c:v>46154</c:v>
                </c:pt>
                <c:pt idx="1014">
                  <c:v>46161</c:v>
                </c:pt>
                <c:pt idx="1015">
                  <c:v>46168</c:v>
                </c:pt>
                <c:pt idx="1016">
                  <c:v>46175</c:v>
                </c:pt>
                <c:pt idx="1017">
                  <c:v>46182</c:v>
                </c:pt>
                <c:pt idx="1018">
                  <c:v>46189</c:v>
                </c:pt>
                <c:pt idx="1019">
                  <c:v>46196</c:v>
                </c:pt>
                <c:pt idx="1020">
                  <c:v>46203</c:v>
                </c:pt>
                <c:pt idx="1021">
                  <c:v>46210</c:v>
                </c:pt>
                <c:pt idx="1022">
                  <c:v>46217</c:v>
                </c:pt>
                <c:pt idx="1023">
                  <c:v>46224</c:v>
                </c:pt>
                <c:pt idx="1024">
                  <c:v>46231</c:v>
                </c:pt>
                <c:pt idx="1025">
                  <c:v>46238</c:v>
                </c:pt>
                <c:pt idx="1026">
                  <c:v>46245</c:v>
                </c:pt>
                <c:pt idx="1027">
                  <c:v>46252</c:v>
                </c:pt>
                <c:pt idx="1028">
                  <c:v>46259</c:v>
                </c:pt>
                <c:pt idx="1029">
                  <c:v>46266</c:v>
                </c:pt>
                <c:pt idx="1030">
                  <c:v>46273</c:v>
                </c:pt>
                <c:pt idx="1031">
                  <c:v>46280</c:v>
                </c:pt>
                <c:pt idx="1032">
                  <c:v>46287</c:v>
                </c:pt>
                <c:pt idx="1033">
                  <c:v>46294</c:v>
                </c:pt>
                <c:pt idx="1034">
                  <c:v>46301</c:v>
                </c:pt>
                <c:pt idx="1035">
                  <c:v>46308</c:v>
                </c:pt>
                <c:pt idx="1036">
                  <c:v>46315</c:v>
                </c:pt>
                <c:pt idx="1037">
                  <c:v>46322</c:v>
                </c:pt>
                <c:pt idx="1038">
                  <c:v>46329</c:v>
                </c:pt>
                <c:pt idx="1039">
                  <c:v>46336</c:v>
                </c:pt>
                <c:pt idx="1040">
                  <c:v>46343</c:v>
                </c:pt>
                <c:pt idx="1041">
                  <c:v>46350</c:v>
                </c:pt>
                <c:pt idx="1042">
                  <c:v>46357</c:v>
                </c:pt>
                <c:pt idx="1043">
                  <c:v>46364</c:v>
                </c:pt>
                <c:pt idx="1044">
                  <c:v>46371</c:v>
                </c:pt>
                <c:pt idx="1045">
                  <c:v>46378</c:v>
                </c:pt>
                <c:pt idx="1046">
                  <c:v>46385</c:v>
                </c:pt>
                <c:pt idx="1047">
                  <c:v>46392</c:v>
                </c:pt>
                <c:pt idx="1048">
                  <c:v>46399</c:v>
                </c:pt>
                <c:pt idx="1049">
                  <c:v>46406</c:v>
                </c:pt>
                <c:pt idx="1050">
                  <c:v>46413</c:v>
                </c:pt>
                <c:pt idx="1051">
                  <c:v>46420</c:v>
                </c:pt>
                <c:pt idx="1052">
                  <c:v>46427</c:v>
                </c:pt>
                <c:pt idx="1053">
                  <c:v>46434</c:v>
                </c:pt>
                <c:pt idx="1054">
                  <c:v>46441</c:v>
                </c:pt>
                <c:pt idx="1055">
                  <c:v>46448</c:v>
                </c:pt>
                <c:pt idx="1056">
                  <c:v>46455</c:v>
                </c:pt>
                <c:pt idx="1057">
                  <c:v>46462</c:v>
                </c:pt>
                <c:pt idx="1058">
                  <c:v>46469</c:v>
                </c:pt>
                <c:pt idx="1059">
                  <c:v>46476</c:v>
                </c:pt>
                <c:pt idx="1060">
                  <c:v>46483</c:v>
                </c:pt>
                <c:pt idx="1061">
                  <c:v>46490</c:v>
                </c:pt>
                <c:pt idx="1062">
                  <c:v>46497</c:v>
                </c:pt>
                <c:pt idx="1063">
                  <c:v>46504</c:v>
                </c:pt>
                <c:pt idx="1064">
                  <c:v>46511</c:v>
                </c:pt>
                <c:pt idx="1065">
                  <c:v>46518</c:v>
                </c:pt>
                <c:pt idx="1066">
                  <c:v>46525</c:v>
                </c:pt>
                <c:pt idx="1067">
                  <c:v>46532</c:v>
                </c:pt>
                <c:pt idx="1068">
                  <c:v>46539</c:v>
                </c:pt>
                <c:pt idx="1069">
                  <c:v>46546</c:v>
                </c:pt>
                <c:pt idx="1070">
                  <c:v>46553</c:v>
                </c:pt>
                <c:pt idx="1071">
                  <c:v>46560</c:v>
                </c:pt>
                <c:pt idx="1072">
                  <c:v>46567</c:v>
                </c:pt>
                <c:pt idx="1073">
                  <c:v>46574</c:v>
                </c:pt>
                <c:pt idx="1074">
                  <c:v>46581</c:v>
                </c:pt>
                <c:pt idx="1075">
                  <c:v>46588</c:v>
                </c:pt>
                <c:pt idx="1076">
                  <c:v>46595</c:v>
                </c:pt>
                <c:pt idx="1077">
                  <c:v>46602</c:v>
                </c:pt>
                <c:pt idx="1078">
                  <c:v>46609</c:v>
                </c:pt>
                <c:pt idx="1079">
                  <c:v>46616</c:v>
                </c:pt>
                <c:pt idx="1080">
                  <c:v>46623</c:v>
                </c:pt>
                <c:pt idx="1081">
                  <c:v>46630</c:v>
                </c:pt>
                <c:pt idx="1082">
                  <c:v>46637</c:v>
                </c:pt>
                <c:pt idx="1083">
                  <c:v>46644</c:v>
                </c:pt>
                <c:pt idx="1084">
                  <c:v>46651</c:v>
                </c:pt>
                <c:pt idx="1085">
                  <c:v>46658</c:v>
                </c:pt>
                <c:pt idx="1086">
                  <c:v>46665</c:v>
                </c:pt>
                <c:pt idx="1087">
                  <c:v>46672</c:v>
                </c:pt>
                <c:pt idx="1088">
                  <c:v>46679</c:v>
                </c:pt>
                <c:pt idx="1089">
                  <c:v>46686</c:v>
                </c:pt>
                <c:pt idx="1090">
                  <c:v>46693</c:v>
                </c:pt>
                <c:pt idx="1091">
                  <c:v>46700</c:v>
                </c:pt>
                <c:pt idx="1092">
                  <c:v>46707</c:v>
                </c:pt>
                <c:pt idx="1093">
                  <c:v>46714</c:v>
                </c:pt>
                <c:pt idx="1094">
                  <c:v>46721</c:v>
                </c:pt>
                <c:pt idx="1095">
                  <c:v>46728</c:v>
                </c:pt>
                <c:pt idx="1096">
                  <c:v>46735</c:v>
                </c:pt>
                <c:pt idx="1097">
                  <c:v>46742</c:v>
                </c:pt>
                <c:pt idx="1098">
                  <c:v>46750</c:v>
                </c:pt>
                <c:pt idx="1099">
                  <c:v>46757</c:v>
                </c:pt>
                <c:pt idx="1100">
                  <c:v>46764</c:v>
                </c:pt>
                <c:pt idx="1101">
                  <c:v>46771</c:v>
                </c:pt>
                <c:pt idx="1102">
                  <c:v>46778</c:v>
                </c:pt>
                <c:pt idx="1103">
                  <c:v>46785</c:v>
                </c:pt>
                <c:pt idx="1104">
                  <c:v>46792</c:v>
                </c:pt>
                <c:pt idx="1105">
                  <c:v>46799</c:v>
                </c:pt>
                <c:pt idx="1106">
                  <c:v>46806</c:v>
                </c:pt>
                <c:pt idx="1107">
                  <c:v>46813</c:v>
                </c:pt>
                <c:pt idx="1108">
                  <c:v>46820</c:v>
                </c:pt>
                <c:pt idx="1109">
                  <c:v>46827</c:v>
                </c:pt>
                <c:pt idx="1110">
                  <c:v>46834</c:v>
                </c:pt>
                <c:pt idx="1111">
                  <c:v>46841</c:v>
                </c:pt>
                <c:pt idx="1112">
                  <c:v>46848</c:v>
                </c:pt>
                <c:pt idx="1113">
                  <c:v>46855</c:v>
                </c:pt>
                <c:pt idx="1114">
                  <c:v>46862</c:v>
                </c:pt>
                <c:pt idx="1115">
                  <c:v>46869</c:v>
                </c:pt>
                <c:pt idx="1116">
                  <c:v>46876</c:v>
                </c:pt>
                <c:pt idx="1117">
                  <c:v>46883</c:v>
                </c:pt>
                <c:pt idx="1118">
                  <c:v>46890</c:v>
                </c:pt>
                <c:pt idx="1119">
                  <c:v>46897</c:v>
                </c:pt>
                <c:pt idx="1120">
                  <c:v>46904</c:v>
                </c:pt>
                <c:pt idx="1121">
                  <c:v>46911</c:v>
                </c:pt>
                <c:pt idx="1122">
                  <c:v>46918</c:v>
                </c:pt>
                <c:pt idx="1123">
                  <c:v>46925</c:v>
                </c:pt>
                <c:pt idx="1124">
                  <c:v>46932</c:v>
                </c:pt>
                <c:pt idx="1125">
                  <c:v>46939</c:v>
                </c:pt>
                <c:pt idx="1126">
                  <c:v>46946</c:v>
                </c:pt>
                <c:pt idx="1127">
                  <c:v>46953</c:v>
                </c:pt>
                <c:pt idx="1128">
                  <c:v>46960</c:v>
                </c:pt>
                <c:pt idx="1129">
                  <c:v>46967</c:v>
                </c:pt>
                <c:pt idx="1130">
                  <c:v>46974</c:v>
                </c:pt>
                <c:pt idx="1131">
                  <c:v>46981</c:v>
                </c:pt>
                <c:pt idx="1132">
                  <c:v>46988</c:v>
                </c:pt>
                <c:pt idx="1133">
                  <c:v>46995</c:v>
                </c:pt>
                <c:pt idx="1134">
                  <c:v>47002</c:v>
                </c:pt>
                <c:pt idx="1135">
                  <c:v>47009</c:v>
                </c:pt>
                <c:pt idx="1136">
                  <c:v>47016</c:v>
                </c:pt>
                <c:pt idx="1137">
                  <c:v>47023</c:v>
                </c:pt>
                <c:pt idx="1138">
                  <c:v>47030</c:v>
                </c:pt>
                <c:pt idx="1139">
                  <c:v>47037</c:v>
                </c:pt>
                <c:pt idx="1140">
                  <c:v>47044</c:v>
                </c:pt>
                <c:pt idx="1141">
                  <c:v>47051</c:v>
                </c:pt>
                <c:pt idx="1142">
                  <c:v>47058</c:v>
                </c:pt>
                <c:pt idx="1143">
                  <c:v>47065</c:v>
                </c:pt>
                <c:pt idx="1144">
                  <c:v>47072</c:v>
                </c:pt>
                <c:pt idx="1145">
                  <c:v>47079</c:v>
                </c:pt>
                <c:pt idx="1146">
                  <c:v>47086</c:v>
                </c:pt>
                <c:pt idx="1147">
                  <c:v>47093</c:v>
                </c:pt>
                <c:pt idx="1148">
                  <c:v>47100</c:v>
                </c:pt>
                <c:pt idx="1149">
                  <c:v>47107</c:v>
                </c:pt>
                <c:pt idx="1150">
                  <c:v>47114</c:v>
                </c:pt>
                <c:pt idx="1151">
                  <c:v>47121</c:v>
                </c:pt>
                <c:pt idx="1152">
                  <c:v>47128</c:v>
                </c:pt>
                <c:pt idx="1153">
                  <c:v>47135</c:v>
                </c:pt>
                <c:pt idx="1154">
                  <c:v>47142</c:v>
                </c:pt>
                <c:pt idx="1155">
                  <c:v>47149</c:v>
                </c:pt>
                <c:pt idx="1156">
                  <c:v>47156</c:v>
                </c:pt>
                <c:pt idx="1157">
                  <c:v>47163</c:v>
                </c:pt>
                <c:pt idx="1158">
                  <c:v>47170</c:v>
                </c:pt>
                <c:pt idx="1159">
                  <c:v>47177</c:v>
                </c:pt>
                <c:pt idx="1160">
                  <c:v>47184</c:v>
                </c:pt>
                <c:pt idx="1161">
                  <c:v>47191</c:v>
                </c:pt>
                <c:pt idx="1162">
                  <c:v>47198</c:v>
                </c:pt>
                <c:pt idx="1163">
                  <c:v>47205</c:v>
                </c:pt>
                <c:pt idx="1164">
                  <c:v>47212</c:v>
                </c:pt>
                <c:pt idx="1165">
                  <c:v>47219</c:v>
                </c:pt>
                <c:pt idx="1166">
                  <c:v>47226</c:v>
                </c:pt>
                <c:pt idx="1167">
                  <c:v>47233</c:v>
                </c:pt>
                <c:pt idx="1168">
                  <c:v>47240</c:v>
                </c:pt>
                <c:pt idx="1169">
                  <c:v>47247</c:v>
                </c:pt>
                <c:pt idx="1170">
                  <c:v>47254</c:v>
                </c:pt>
                <c:pt idx="1171">
                  <c:v>47261</c:v>
                </c:pt>
                <c:pt idx="1172">
                  <c:v>47268</c:v>
                </c:pt>
                <c:pt idx="1173">
                  <c:v>47275</c:v>
                </c:pt>
                <c:pt idx="1174">
                  <c:v>47282</c:v>
                </c:pt>
                <c:pt idx="1175">
                  <c:v>47289</c:v>
                </c:pt>
                <c:pt idx="1176">
                  <c:v>47296</c:v>
                </c:pt>
                <c:pt idx="1177">
                  <c:v>47303</c:v>
                </c:pt>
                <c:pt idx="1178">
                  <c:v>47310</c:v>
                </c:pt>
                <c:pt idx="1179">
                  <c:v>47317</c:v>
                </c:pt>
                <c:pt idx="1180">
                  <c:v>47324</c:v>
                </c:pt>
                <c:pt idx="1181">
                  <c:v>47331</c:v>
                </c:pt>
                <c:pt idx="1182">
                  <c:v>47338</c:v>
                </c:pt>
                <c:pt idx="1183">
                  <c:v>47345</c:v>
                </c:pt>
                <c:pt idx="1184">
                  <c:v>47352</c:v>
                </c:pt>
                <c:pt idx="1185">
                  <c:v>47359</c:v>
                </c:pt>
                <c:pt idx="1186">
                  <c:v>47366</c:v>
                </c:pt>
                <c:pt idx="1187">
                  <c:v>47373</c:v>
                </c:pt>
                <c:pt idx="1188">
                  <c:v>47380</c:v>
                </c:pt>
                <c:pt idx="1189">
                  <c:v>47387</c:v>
                </c:pt>
                <c:pt idx="1190">
                  <c:v>47394</c:v>
                </c:pt>
                <c:pt idx="1191">
                  <c:v>47401</c:v>
                </c:pt>
                <c:pt idx="1192">
                  <c:v>47408</c:v>
                </c:pt>
                <c:pt idx="1193">
                  <c:v>47415</c:v>
                </c:pt>
                <c:pt idx="1194">
                  <c:v>47422</c:v>
                </c:pt>
                <c:pt idx="1195">
                  <c:v>47429</c:v>
                </c:pt>
                <c:pt idx="1196">
                  <c:v>47436</c:v>
                </c:pt>
                <c:pt idx="1197">
                  <c:v>47443</c:v>
                </c:pt>
                <c:pt idx="1198">
                  <c:v>47450</c:v>
                </c:pt>
                <c:pt idx="1199">
                  <c:v>47457</c:v>
                </c:pt>
                <c:pt idx="1200">
                  <c:v>47464</c:v>
                </c:pt>
                <c:pt idx="1201">
                  <c:v>47471</c:v>
                </c:pt>
                <c:pt idx="1202">
                  <c:v>47479</c:v>
                </c:pt>
                <c:pt idx="1203">
                  <c:v>47486</c:v>
                </c:pt>
                <c:pt idx="1204">
                  <c:v>47493</c:v>
                </c:pt>
                <c:pt idx="1205">
                  <c:v>47500</c:v>
                </c:pt>
                <c:pt idx="1206">
                  <c:v>47507</c:v>
                </c:pt>
                <c:pt idx="1207">
                  <c:v>47514</c:v>
                </c:pt>
                <c:pt idx="1208">
                  <c:v>47521</c:v>
                </c:pt>
                <c:pt idx="1209">
                  <c:v>47528</c:v>
                </c:pt>
                <c:pt idx="1210">
                  <c:v>47535</c:v>
                </c:pt>
                <c:pt idx="1211">
                  <c:v>47542</c:v>
                </c:pt>
                <c:pt idx="1212">
                  <c:v>47549</c:v>
                </c:pt>
                <c:pt idx="1213">
                  <c:v>47556</c:v>
                </c:pt>
                <c:pt idx="1214">
                  <c:v>47563</c:v>
                </c:pt>
                <c:pt idx="1215">
                  <c:v>47570</c:v>
                </c:pt>
                <c:pt idx="1216">
                  <c:v>47577</c:v>
                </c:pt>
                <c:pt idx="1217">
                  <c:v>47584</c:v>
                </c:pt>
                <c:pt idx="1218">
                  <c:v>47591</c:v>
                </c:pt>
                <c:pt idx="1219">
                  <c:v>47598</c:v>
                </c:pt>
                <c:pt idx="1220">
                  <c:v>47605</c:v>
                </c:pt>
                <c:pt idx="1221">
                  <c:v>47612</c:v>
                </c:pt>
                <c:pt idx="1222">
                  <c:v>47619</c:v>
                </c:pt>
                <c:pt idx="1223">
                  <c:v>47626</c:v>
                </c:pt>
                <c:pt idx="1224">
                  <c:v>47633</c:v>
                </c:pt>
                <c:pt idx="1225">
                  <c:v>47640</c:v>
                </c:pt>
                <c:pt idx="1226">
                  <c:v>47647</c:v>
                </c:pt>
                <c:pt idx="1227">
                  <c:v>47654</c:v>
                </c:pt>
                <c:pt idx="1228">
                  <c:v>47661</c:v>
                </c:pt>
                <c:pt idx="1229">
                  <c:v>47668</c:v>
                </c:pt>
                <c:pt idx="1230">
                  <c:v>47675</c:v>
                </c:pt>
                <c:pt idx="1231">
                  <c:v>47682</c:v>
                </c:pt>
                <c:pt idx="1232">
                  <c:v>47689</c:v>
                </c:pt>
                <c:pt idx="1233">
                  <c:v>47696</c:v>
                </c:pt>
                <c:pt idx="1234">
                  <c:v>47703</c:v>
                </c:pt>
                <c:pt idx="1235">
                  <c:v>47710</c:v>
                </c:pt>
                <c:pt idx="1236">
                  <c:v>47717</c:v>
                </c:pt>
                <c:pt idx="1237">
                  <c:v>47724</c:v>
                </c:pt>
                <c:pt idx="1238">
                  <c:v>47731</c:v>
                </c:pt>
                <c:pt idx="1239">
                  <c:v>47738</c:v>
                </c:pt>
                <c:pt idx="1240">
                  <c:v>47745</c:v>
                </c:pt>
                <c:pt idx="1241">
                  <c:v>47752</c:v>
                </c:pt>
                <c:pt idx="1242">
                  <c:v>47759</c:v>
                </c:pt>
                <c:pt idx="1243">
                  <c:v>47766</c:v>
                </c:pt>
                <c:pt idx="1244">
                  <c:v>47773</c:v>
                </c:pt>
                <c:pt idx="1245">
                  <c:v>47780</c:v>
                </c:pt>
                <c:pt idx="1246">
                  <c:v>47787</c:v>
                </c:pt>
                <c:pt idx="1247">
                  <c:v>47794</c:v>
                </c:pt>
                <c:pt idx="1248">
                  <c:v>47801</c:v>
                </c:pt>
                <c:pt idx="1249">
                  <c:v>47808</c:v>
                </c:pt>
                <c:pt idx="1250">
                  <c:v>47815</c:v>
                </c:pt>
                <c:pt idx="1251">
                  <c:v>47822</c:v>
                </c:pt>
                <c:pt idx="1252">
                  <c:v>47829</c:v>
                </c:pt>
                <c:pt idx="1253">
                  <c:v>47836</c:v>
                </c:pt>
                <c:pt idx="1254">
                  <c:v>47844</c:v>
                </c:pt>
                <c:pt idx="1255">
                  <c:v>47851</c:v>
                </c:pt>
                <c:pt idx="1256">
                  <c:v>47858</c:v>
                </c:pt>
                <c:pt idx="1257">
                  <c:v>47865</c:v>
                </c:pt>
                <c:pt idx="1258">
                  <c:v>47872</c:v>
                </c:pt>
                <c:pt idx="1259">
                  <c:v>47879</c:v>
                </c:pt>
                <c:pt idx="1260">
                  <c:v>47886</c:v>
                </c:pt>
                <c:pt idx="1261">
                  <c:v>47893</c:v>
                </c:pt>
                <c:pt idx="1262">
                  <c:v>47900</c:v>
                </c:pt>
                <c:pt idx="1263">
                  <c:v>47907</c:v>
                </c:pt>
                <c:pt idx="1264">
                  <c:v>47914</c:v>
                </c:pt>
                <c:pt idx="1265">
                  <c:v>47921</c:v>
                </c:pt>
                <c:pt idx="1266">
                  <c:v>47928</c:v>
                </c:pt>
                <c:pt idx="1267">
                  <c:v>47935</c:v>
                </c:pt>
                <c:pt idx="1268">
                  <c:v>47942</c:v>
                </c:pt>
                <c:pt idx="1269">
                  <c:v>47953</c:v>
                </c:pt>
                <c:pt idx="1270">
                  <c:v>47960</c:v>
                </c:pt>
                <c:pt idx="1271">
                  <c:v>47967</c:v>
                </c:pt>
                <c:pt idx="1272">
                  <c:v>47974</c:v>
                </c:pt>
                <c:pt idx="1273">
                  <c:v>47981</c:v>
                </c:pt>
                <c:pt idx="1274">
                  <c:v>47988</c:v>
                </c:pt>
                <c:pt idx="1275">
                  <c:v>47995</c:v>
                </c:pt>
                <c:pt idx="1276">
                  <c:v>48002</c:v>
                </c:pt>
                <c:pt idx="1277">
                  <c:v>48009</c:v>
                </c:pt>
                <c:pt idx="1278">
                  <c:v>48016</c:v>
                </c:pt>
                <c:pt idx="1279">
                  <c:v>48023</c:v>
                </c:pt>
                <c:pt idx="1280">
                  <c:v>48030</c:v>
                </c:pt>
                <c:pt idx="1281">
                  <c:v>48037</c:v>
                </c:pt>
                <c:pt idx="1282">
                  <c:v>48044</c:v>
                </c:pt>
                <c:pt idx="1283">
                  <c:v>48051</c:v>
                </c:pt>
                <c:pt idx="1284">
                  <c:v>48058</c:v>
                </c:pt>
                <c:pt idx="1285">
                  <c:v>48065</c:v>
                </c:pt>
                <c:pt idx="1286">
                  <c:v>48072</c:v>
                </c:pt>
                <c:pt idx="1287">
                  <c:v>48079</c:v>
                </c:pt>
                <c:pt idx="1288">
                  <c:v>48086</c:v>
                </c:pt>
                <c:pt idx="1289">
                  <c:v>48093</c:v>
                </c:pt>
                <c:pt idx="1290">
                  <c:v>48100</c:v>
                </c:pt>
                <c:pt idx="1291">
                  <c:v>48107</c:v>
                </c:pt>
                <c:pt idx="1292">
                  <c:v>48114</c:v>
                </c:pt>
                <c:pt idx="1293">
                  <c:v>48121</c:v>
                </c:pt>
                <c:pt idx="1294">
                  <c:v>48128</c:v>
                </c:pt>
                <c:pt idx="1295">
                  <c:v>48135</c:v>
                </c:pt>
                <c:pt idx="1296">
                  <c:v>48142</c:v>
                </c:pt>
                <c:pt idx="1297">
                  <c:v>48149</c:v>
                </c:pt>
                <c:pt idx="1298">
                  <c:v>48156</c:v>
                </c:pt>
                <c:pt idx="1299">
                  <c:v>48163</c:v>
                </c:pt>
                <c:pt idx="1300">
                  <c:v>48170</c:v>
                </c:pt>
                <c:pt idx="1301">
                  <c:v>48177</c:v>
                </c:pt>
                <c:pt idx="1302">
                  <c:v>48184</c:v>
                </c:pt>
                <c:pt idx="1303">
                  <c:v>48191</c:v>
                </c:pt>
                <c:pt idx="1304">
                  <c:v>48198</c:v>
                </c:pt>
                <c:pt idx="1305">
                  <c:v>48205</c:v>
                </c:pt>
                <c:pt idx="1306">
                  <c:v>48212</c:v>
                </c:pt>
                <c:pt idx="1307">
                  <c:v>48219</c:v>
                </c:pt>
                <c:pt idx="1308">
                  <c:v>48226</c:v>
                </c:pt>
                <c:pt idx="1309">
                  <c:v>48233</c:v>
                </c:pt>
                <c:pt idx="1310">
                  <c:v>48240</c:v>
                </c:pt>
                <c:pt idx="1311">
                  <c:v>48247</c:v>
                </c:pt>
                <c:pt idx="1312">
                  <c:v>48254</c:v>
                </c:pt>
                <c:pt idx="1313">
                  <c:v>48261</c:v>
                </c:pt>
                <c:pt idx="1314">
                  <c:v>48268</c:v>
                </c:pt>
                <c:pt idx="1315">
                  <c:v>48275</c:v>
                </c:pt>
                <c:pt idx="1316">
                  <c:v>48282</c:v>
                </c:pt>
                <c:pt idx="1317">
                  <c:v>48289</c:v>
                </c:pt>
                <c:pt idx="1318">
                  <c:v>48296</c:v>
                </c:pt>
                <c:pt idx="1319">
                  <c:v>48303</c:v>
                </c:pt>
                <c:pt idx="1320">
                  <c:v>48310</c:v>
                </c:pt>
                <c:pt idx="1321">
                  <c:v>48317</c:v>
                </c:pt>
                <c:pt idx="1322">
                  <c:v>48324</c:v>
                </c:pt>
                <c:pt idx="1323">
                  <c:v>48331</c:v>
                </c:pt>
                <c:pt idx="1324">
                  <c:v>48338</c:v>
                </c:pt>
                <c:pt idx="1325">
                  <c:v>48345</c:v>
                </c:pt>
                <c:pt idx="1326">
                  <c:v>48352</c:v>
                </c:pt>
                <c:pt idx="1327">
                  <c:v>48359</c:v>
                </c:pt>
                <c:pt idx="1328">
                  <c:v>48366</c:v>
                </c:pt>
                <c:pt idx="1329">
                  <c:v>48373</c:v>
                </c:pt>
                <c:pt idx="1330">
                  <c:v>48380</c:v>
                </c:pt>
                <c:pt idx="1331">
                  <c:v>48387</c:v>
                </c:pt>
                <c:pt idx="1332">
                  <c:v>48394</c:v>
                </c:pt>
                <c:pt idx="1333">
                  <c:v>48401</c:v>
                </c:pt>
                <c:pt idx="1334">
                  <c:v>48408</c:v>
                </c:pt>
                <c:pt idx="1335">
                  <c:v>48415</c:v>
                </c:pt>
                <c:pt idx="1336">
                  <c:v>48422</c:v>
                </c:pt>
                <c:pt idx="1337">
                  <c:v>48429</c:v>
                </c:pt>
                <c:pt idx="1338">
                  <c:v>48436</c:v>
                </c:pt>
                <c:pt idx="1339">
                  <c:v>48443</c:v>
                </c:pt>
                <c:pt idx="1340">
                  <c:v>48450</c:v>
                </c:pt>
                <c:pt idx="1341">
                  <c:v>48457</c:v>
                </c:pt>
                <c:pt idx="1342">
                  <c:v>48464</c:v>
                </c:pt>
                <c:pt idx="1343">
                  <c:v>48471</c:v>
                </c:pt>
                <c:pt idx="1344">
                  <c:v>48478</c:v>
                </c:pt>
                <c:pt idx="1345">
                  <c:v>48485</c:v>
                </c:pt>
                <c:pt idx="1346">
                  <c:v>48492</c:v>
                </c:pt>
                <c:pt idx="1347">
                  <c:v>48499</c:v>
                </c:pt>
                <c:pt idx="1348">
                  <c:v>48506</c:v>
                </c:pt>
                <c:pt idx="1349">
                  <c:v>48513</c:v>
                </c:pt>
                <c:pt idx="1350">
                  <c:v>48520</c:v>
                </c:pt>
                <c:pt idx="1351">
                  <c:v>48527</c:v>
                </c:pt>
                <c:pt idx="1352">
                  <c:v>48534</c:v>
                </c:pt>
                <c:pt idx="1353">
                  <c:v>48541</c:v>
                </c:pt>
                <c:pt idx="1354">
                  <c:v>48548</c:v>
                </c:pt>
                <c:pt idx="1355">
                  <c:v>48555</c:v>
                </c:pt>
                <c:pt idx="1356">
                  <c:v>48562</c:v>
                </c:pt>
                <c:pt idx="1357">
                  <c:v>48569</c:v>
                </c:pt>
                <c:pt idx="1358">
                  <c:v>48577</c:v>
                </c:pt>
                <c:pt idx="1359">
                  <c:v>48584</c:v>
                </c:pt>
                <c:pt idx="1360">
                  <c:v>48591</c:v>
                </c:pt>
                <c:pt idx="1361">
                  <c:v>48598</c:v>
                </c:pt>
                <c:pt idx="1362">
                  <c:v>48605</c:v>
                </c:pt>
                <c:pt idx="1363">
                  <c:v>48612</c:v>
                </c:pt>
                <c:pt idx="1364">
                  <c:v>48619</c:v>
                </c:pt>
                <c:pt idx="1365">
                  <c:v>48626</c:v>
                </c:pt>
                <c:pt idx="1366">
                  <c:v>48633</c:v>
                </c:pt>
                <c:pt idx="1367">
                  <c:v>48640</c:v>
                </c:pt>
                <c:pt idx="1368">
                  <c:v>48647</c:v>
                </c:pt>
                <c:pt idx="1369">
                  <c:v>48654</c:v>
                </c:pt>
                <c:pt idx="1370">
                  <c:v>48661</c:v>
                </c:pt>
                <c:pt idx="1371">
                  <c:v>48668</c:v>
                </c:pt>
                <c:pt idx="1372">
                  <c:v>48675</c:v>
                </c:pt>
                <c:pt idx="1373">
                  <c:v>48682</c:v>
                </c:pt>
                <c:pt idx="1374">
                  <c:v>48689</c:v>
                </c:pt>
                <c:pt idx="1375">
                  <c:v>48696</c:v>
                </c:pt>
                <c:pt idx="1376">
                  <c:v>48703</c:v>
                </c:pt>
                <c:pt idx="1377">
                  <c:v>48710</c:v>
                </c:pt>
                <c:pt idx="1378">
                  <c:v>48717</c:v>
                </c:pt>
                <c:pt idx="1379">
                  <c:v>48724</c:v>
                </c:pt>
                <c:pt idx="1380">
                  <c:v>48731</c:v>
                </c:pt>
                <c:pt idx="1381">
                  <c:v>48738</c:v>
                </c:pt>
                <c:pt idx="1382">
                  <c:v>48745</c:v>
                </c:pt>
                <c:pt idx="1383">
                  <c:v>48752</c:v>
                </c:pt>
                <c:pt idx="1384">
                  <c:v>48759</c:v>
                </c:pt>
                <c:pt idx="1385">
                  <c:v>48766</c:v>
                </c:pt>
                <c:pt idx="1386">
                  <c:v>48773</c:v>
                </c:pt>
                <c:pt idx="1387">
                  <c:v>48780</c:v>
                </c:pt>
                <c:pt idx="1388">
                  <c:v>48787</c:v>
                </c:pt>
                <c:pt idx="1389">
                  <c:v>48794</c:v>
                </c:pt>
                <c:pt idx="1390">
                  <c:v>48801</c:v>
                </c:pt>
                <c:pt idx="1391">
                  <c:v>48808</c:v>
                </c:pt>
                <c:pt idx="1392">
                  <c:v>48815</c:v>
                </c:pt>
                <c:pt idx="1393">
                  <c:v>48822</c:v>
                </c:pt>
                <c:pt idx="1394">
                  <c:v>48829</c:v>
                </c:pt>
                <c:pt idx="1395">
                  <c:v>48836</c:v>
                </c:pt>
                <c:pt idx="1396">
                  <c:v>48843</c:v>
                </c:pt>
                <c:pt idx="1397">
                  <c:v>48850</c:v>
                </c:pt>
                <c:pt idx="1398">
                  <c:v>48857</c:v>
                </c:pt>
                <c:pt idx="1399">
                  <c:v>48864</c:v>
                </c:pt>
                <c:pt idx="1400">
                  <c:v>48871</c:v>
                </c:pt>
                <c:pt idx="1401">
                  <c:v>48878</c:v>
                </c:pt>
                <c:pt idx="1402">
                  <c:v>48885</c:v>
                </c:pt>
                <c:pt idx="1403">
                  <c:v>48892</c:v>
                </c:pt>
                <c:pt idx="1404">
                  <c:v>48899</c:v>
                </c:pt>
                <c:pt idx="1405">
                  <c:v>48906</c:v>
                </c:pt>
                <c:pt idx="1406">
                  <c:v>48913</c:v>
                </c:pt>
                <c:pt idx="1407">
                  <c:v>48920</c:v>
                </c:pt>
                <c:pt idx="1408">
                  <c:v>48927</c:v>
                </c:pt>
                <c:pt idx="1409">
                  <c:v>48934</c:v>
                </c:pt>
                <c:pt idx="1410">
                  <c:v>48941</c:v>
                </c:pt>
                <c:pt idx="1411">
                  <c:v>48948</c:v>
                </c:pt>
                <c:pt idx="1412">
                  <c:v>48955</c:v>
                </c:pt>
                <c:pt idx="1413">
                  <c:v>48962</c:v>
                </c:pt>
                <c:pt idx="1414">
                  <c:v>48969</c:v>
                </c:pt>
                <c:pt idx="1415">
                  <c:v>48976</c:v>
                </c:pt>
                <c:pt idx="1416">
                  <c:v>48983</c:v>
                </c:pt>
                <c:pt idx="1417">
                  <c:v>48990</c:v>
                </c:pt>
                <c:pt idx="1418">
                  <c:v>48997</c:v>
                </c:pt>
                <c:pt idx="1419">
                  <c:v>49004</c:v>
                </c:pt>
                <c:pt idx="1420">
                  <c:v>49011</c:v>
                </c:pt>
                <c:pt idx="1421">
                  <c:v>49018</c:v>
                </c:pt>
                <c:pt idx="1422">
                  <c:v>49025</c:v>
                </c:pt>
                <c:pt idx="1423">
                  <c:v>49032</c:v>
                </c:pt>
                <c:pt idx="1424">
                  <c:v>49039</c:v>
                </c:pt>
                <c:pt idx="1425">
                  <c:v>49046</c:v>
                </c:pt>
                <c:pt idx="1426">
                  <c:v>49053</c:v>
                </c:pt>
                <c:pt idx="1427">
                  <c:v>49060</c:v>
                </c:pt>
                <c:pt idx="1428">
                  <c:v>49067</c:v>
                </c:pt>
                <c:pt idx="1429">
                  <c:v>49074</c:v>
                </c:pt>
                <c:pt idx="1430">
                  <c:v>49081</c:v>
                </c:pt>
                <c:pt idx="1431">
                  <c:v>49088</c:v>
                </c:pt>
                <c:pt idx="1432">
                  <c:v>49095</c:v>
                </c:pt>
                <c:pt idx="1433">
                  <c:v>49102</c:v>
                </c:pt>
                <c:pt idx="1434">
                  <c:v>49109</c:v>
                </c:pt>
                <c:pt idx="1435">
                  <c:v>49116</c:v>
                </c:pt>
                <c:pt idx="1436">
                  <c:v>49123</c:v>
                </c:pt>
                <c:pt idx="1437">
                  <c:v>49130</c:v>
                </c:pt>
                <c:pt idx="1438">
                  <c:v>49137</c:v>
                </c:pt>
                <c:pt idx="1439">
                  <c:v>49144</c:v>
                </c:pt>
                <c:pt idx="1440">
                  <c:v>49151</c:v>
                </c:pt>
                <c:pt idx="1441">
                  <c:v>49158</c:v>
                </c:pt>
                <c:pt idx="1442">
                  <c:v>49165</c:v>
                </c:pt>
                <c:pt idx="1443">
                  <c:v>49172</c:v>
                </c:pt>
                <c:pt idx="1444">
                  <c:v>49179</c:v>
                </c:pt>
                <c:pt idx="1445">
                  <c:v>49186</c:v>
                </c:pt>
                <c:pt idx="1446">
                  <c:v>49193</c:v>
                </c:pt>
                <c:pt idx="1447">
                  <c:v>49200</c:v>
                </c:pt>
                <c:pt idx="1448">
                  <c:v>49207</c:v>
                </c:pt>
                <c:pt idx="1449">
                  <c:v>49214</c:v>
                </c:pt>
                <c:pt idx="1450">
                  <c:v>49221</c:v>
                </c:pt>
                <c:pt idx="1451">
                  <c:v>49228</c:v>
                </c:pt>
                <c:pt idx="1452">
                  <c:v>49235</c:v>
                </c:pt>
                <c:pt idx="1453">
                  <c:v>49242</c:v>
                </c:pt>
                <c:pt idx="1454">
                  <c:v>49249</c:v>
                </c:pt>
                <c:pt idx="1455">
                  <c:v>49256</c:v>
                </c:pt>
                <c:pt idx="1456">
                  <c:v>49263</c:v>
                </c:pt>
                <c:pt idx="1457">
                  <c:v>49270</c:v>
                </c:pt>
                <c:pt idx="1458">
                  <c:v>49277</c:v>
                </c:pt>
                <c:pt idx="1459">
                  <c:v>49284</c:v>
                </c:pt>
                <c:pt idx="1460">
                  <c:v>49291</c:v>
                </c:pt>
                <c:pt idx="1461">
                  <c:v>49298</c:v>
                </c:pt>
                <c:pt idx="1462">
                  <c:v>49305</c:v>
                </c:pt>
                <c:pt idx="1463">
                  <c:v>49312</c:v>
                </c:pt>
                <c:pt idx="1464">
                  <c:v>49319</c:v>
                </c:pt>
                <c:pt idx="1465">
                  <c:v>49326</c:v>
                </c:pt>
                <c:pt idx="1466">
                  <c:v>49333</c:v>
                </c:pt>
                <c:pt idx="1467">
                  <c:v>49340</c:v>
                </c:pt>
                <c:pt idx="1468">
                  <c:v>49347</c:v>
                </c:pt>
                <c:pt idx="1469">
                  <c:v>49354</c:v>
                </c:pt>
                <c:pt idx="1470">
                  <c:v>49361</c:v>
                </c:pt>
                <c:pt idx="1471">
                  <c:v>49368</c:v>
                </c:pt>
                <c:pt idx="1472">
                  <c:v>49375</c:v>
                </c:pt>
                <c:pt idx="1473">
                  <c:v>49382</c:v>
                </c:pt>
                <c:pt idx="1474">
                  <c:v>49389</c:v>
                </c:pt>
                <c:pt idx="1475">
                  <c:v>49396</c:v>
                </c:pt>
                <c:pt idx="1476">
                  <c:v>49403</c:v>
                </c:pt>
                <c:pt idx="1477">
                  <c:v>49410</c:v>
                </c:pt>
                <c:pt idx="1478">
                  <c:v>49417</c:v>
                </c:pt>
                <c:pt idx="1479">
                  <c:v>49424</c:v>
                </c:pt>
                <c:pt idx="1480">
                  <c:v>49431</c:v>
                </c:pt>
                <c:pt idx="1481">
                  <c:v>49438</c:v>
                </c:pt>
                <c:pt idx="1482">
                  <c:v>49445</c:v>
                </c:pt>
                <c:pt idx="1483">
                  <c:v>49452</c:v>
                </c:pt>
                <c:pt idx="1484">
                  <c:v>49459</c:v>
                </c:pt>
                <c:pt idx="1485">
                  <c:v>49466</c:v>
                </c:pt>
                <c:pt idx="1486">
                  <c:v>49473</c:v>
                </c:pt>
                <c:pt idx="1487">
                  <c:v>49480</c:v>
                </c:pt>
                <c:pt idx="1488">
                  <c:v>49487</c:v>
                </c:pt>
                <c:pt idx="1489">
                  <c:v>49494</c:v>
                </c:pt>
                <c:pt idx="1490">
                  <c:v>49501</c:v>
                </c:pt>
                <c:pt idx="1491">
                  <c:v>49508</c:v>
                </c:pt>
                <c:pt idx="1492">
                  <c:v>49515</c:v>
                </c:pt>
                <c:pt idx="1493">
                  <c:v>49522</c:v>
                </c:pt>
                <c:pt idx="1494">
                  <c:v>49529</c:v>
                </c:pt>
                <c:pt idx="1495">
                  <c:v>49536</c:v>
                </c:pt>
                <c:pt idx="1496">
                  <c:v>49543</c:v>
                </c:pt>
                <c:pt idx="1497">
                  <c:v>49550</c:v>
                </c:pt>
                <c:pt idx="1498">
                  <c:v>49557</c:v>
                </c:pt>
                <c:pt idx="1499">
                  <c:v>49564</c:v>
                </c:pt>
                <c:pt idx="1500">
                  <c:v>49571</c:v>
                </c:pt>
                <c:pt idx="1501">
                  <c:v>49578</c:v>
                </c:pt>
                <c:pt idx="1502">
                  <c:v>49585</c:v>
                </c:pt>
                <c:pt idx="1503">
                  <c:v>49592</c:v>
                </c:pt>
                <c:pt idx="1504">
                  <c:v>49599</c:v>
                </c:pt>
                <c:pt idx="1505">
                  <c:v>49606</c:v>
                </c:pt>
                <c:pt idx="1506">
                  <c:v>49613</c:v>
                </c:pt>
                <c:pt idx="1507">
                  <c:v>49620</c:v>
                </c:pt>
                <c:pt idx="1508">
                  <c:v>49627</c:v>
                </c:pt>
                <c:pt idx="1509">
                  <c:v>49634</c:v>
                </c:pt>
                <c:pt idx="1510">
                  <c:v>49641</c:v>
                </c:pt>
                <c:pt idx="1511">
                  <c:v>49648</c:v>
                </c:pt>
                <c:pt idx="1512">
                  <c:v>49655</c:v>
                </c:pt>
                <c:pt idx="1513">
                  <c:v>49662</c:v>
                </c:pt>
                <c:pt idx="1514">
                  <c:v>49670</c:v>
                </c:pt>
                <c:pt idx="1515">
                  <c:v>49677</c:v>
                </c:pt>
                <c:pt idx="1516">
                  <c:v>49684</c:v>
                </c:pt>
                <c:pt idx="1517">
                  <c:v>49691</c:v>
                </c:pt>
                <c:pt idx="1518">
                  <c:v>49698</c:v>
                </c:pt>
                <c:pt idx="1519">
                  <c:v>49705</c:v>
                </c:pt>
                <c:pt idx="1520">
                  <c:v>49712</c:v>
                </c:pt>
                <c:pt idx="1521">
                  <c:v>49719</c:v>
                </c:pt>
                <c:pt idx="1522">
                  <c:v>49726</c:v>
                </c:pt>
                <c:pt idx="1523">
                  <c:v>49733</c:v>
                </c:pt>
                <c:pt idx="1524">
                  <c:v>49740</c:v>
                </c:pt>
                <c:pt idx="1525">
                  <c:v>49747</c:v>
                </c:pt>
                <c:pt idx="1526">
                  <c:v>49754</c:v>
                </c:pt>
                <c:pt idx="1527">
                  <c:v>49761</c:v>
                </c:pt>
                <c:pt idx="1528">
                  <c:v>49768</c:v>
                </c:pt>
                <c:pt idx="1529">
                  <c:v>49775</c:v>
                </c:pt>
                <c:pt idx="1530">
                  <c:v>49782</c:v>
                </c:pt>
                <c:pt idx="1531">
                  <c:v>49789</c:v>
                </c:pt>
                <c:pt idx="1532">
                  <c:v>49796</c:v>
                </c:pt>
                <c:pt idx="1533">
                  <c:v>49803</c:v>
                </c:pt>
                <c:pt idx="1534">
                  <c:v>49810</c:v>
                </c:pt>
                <c:pt idx="1535">
                  <c:v>49817</c:v>
                </c:pt>
                <c:pt idx="1536">
                  <c:v>49824</c:v>
                </c:pt>
                <c:pt idx="1537">
                  <c:v>49831</c:v>
                </c:pt>
                <c:pt idx="1538">
                  <c:v>49838</c:v>
                </c:pt>
                <c:pt idx="1539">
                  <c:v>49845</c:v>
                </c:pt>
                <c:pt idx="1540">
                  <c:v>49852</c:v>
                </c:pt>
                <c:pt idx="1541">
                  <c:v>49859</c:v>
                </c:pt>
                <c:pt idx="1542">
                  <c:v>49866</c:v>
                </c:pt>
                <c:pt idx="1543">
                  <c:v>49873</c:v>
                </c:pt>
                <c:pt idx="1544">
                  <c:v>49880</c:v>
                </c:pt>
                <c:pt idx="1545">
                  <c:v>49887</c:v>
                </c:pt>
                <c:pt idx="1546">
                  <c:v>49894</c:v>
                </c:pt>
                <c:pt idx="1547">
                  <c:v>49901</c:v>
                </c:pt>
                <c:pt idx="1548">
                  <c:v>49908</c:v>
                </c:pt>
                <c:pt idx="1549">
                  <c:v>49915</c:v>
                </c:pt>
                <c:pt idx="1550">
                  <c:v>49922</c:v>
                </c:pt>
                <c:pt idx="1551">
                  <c:v>49929</c:v>
                </c:pt>
                <c:pt idx="1552">
                  <c:v>49936</c:v>
                </c:pt>
                <c:pt idx="1553">
                  <c:v>49943</c:v>
                </c:pt>
                <c:pt idx="1554">
                  <c:v>49950</c:v>
                </c:pt>
                <c:pt idx="1555">
                  <c:v>49957</c:v>
                </c:pt>
                <c:pt idx="1556">
                  <c:v>49964</c:v>
                </c:pt>
                <c:pt idx="1557">
                  <c:v>49971</c:v>
                </c:pt>
                <c:pt idx="1558">
                  <c:v>49978</c:v>
                </c:pt>
                <c:pt idx="1559">
                  <c:v>49985</c:v>
                </c:pt>
                <c:pt idx="1560">
                  <c:v>49992</c:v>
                </c:pt>
                <c:pt idx="1561">
                  <c:v>49999</c:v>
                </c:pt>
                <c:pt idx="1562">
                  <c:v>50006</c:v>
                </c:pt>
                <c:pt idx="1563">
                  <c:v>50013</c:v>
                </c:pt>
                <c:pt idx="1564">
                  <c:v>50020</c:v>
                </c:pt>
                <c:pt idx="1565">
                  <c:v>50027</c:v>
                </c:pt>
                <c:pt idx="1566">
                  <c:v>50038</c:v>
                </c:pt>
                <c:pt idx="1567">
                  <c:v>50045</c:v>
                </c:pt>
                <c:pt idx="1568">
                  <c:v>50052</c:v>
                </c:pt>
                <c:pt idx="1569">
                  <c:v>50059</c:v>
                </c:pt>
                <c:pt idx="1570">
                  <c:v>50066</c:v>
                </c:pt>
                <c:pt idx="1571">
                  <c:v>50073</c:v>
                </c:pt>
                <c:pt idx="1572">
                  <c:v>50080</c:v>
                </c:pt>
                <c:pt idx="1573">
                  <c:v>50087</c:v>
                </c:pt>
                <c:pt idx="1574">
                  <c:v>50094</c:v>
                </c:pt>
                <c:pt idx="1575">
                  <c:v>50101</c:v>
                </c:pt>
                <c:pt idx="1576">
                  <c:v>50108</c:v>
                </c:pt>
                <c:pt idx="1577">
                  <c:v>50115</c:v>
                </c:pt>
                <c:pt idx="1578">
                  <c:v>50122</c:v>
                </c:pt>
                <c:pt idx="1579">
                  <c:v>50129</c:v>
                </c:pt>
                <c:pt idx="1580">
                  <c:v>50137</c:v>
                </c:pt>
                <c:pt idx="1581">
                  <c:v>50144</c:v>
                </c:pt>
                <c:pt idx="1582">
                  <c:v>50151</c:v>
                </c:pt>
                <c:pt idx="1583">
                  <c:v>50158</c:v>
                </c:pt>
                <c:pt idx="1584">
                  <c:v>50165</c:v>
                </c:pt>
                <c:pt idx="1585">
                  <c:v>50172</c:v>
                </c:pt>
                <c:pt idx="1586">
                  <c:v>50179</c:v>
                </c:pt>
                <c:pt idx="1587">
                  <c:v>50186</c:v>
                </c:pt>
                <c:pt idx="1588">
                  <c:v>50193</c:v>
                </c:pt>
                <c:pt idx="1589">
                  <c:v>50200</c:v>
                </c:pt>
                <c:pt idx="1590">
                  <c:v>50207</c:v>
                </c:pt>
                <c:pt idx="1591">
                  <c:v>50214</c:v>
                </c:pt>
                <c:pt idx="1592">
                  <c:v>50221</c:v>
                </c:pt>
                <c:pt idx="1593">
                  <c:v>50228</c:v>
                </c:pt>
                <c:pt idx="1594">
                  <c:v>50235</c:v>
                </c:pt>
                <c:pt idx="1595">
                  <c:v>50242</c:v>
                </c:pt>
                <c:pt idx="1596">
                  <c:v>50249</c:v>
                </c:pt>
                <c:pt idx="1597">
                  <c:v>50256</c:v>
                </c:pt>
                <c:pt idx="1598">
                  <c:v>50263</c:v>
                </c:pt>
                <c:pt idx="1599">
                  <c:v>50270</c:v>
                </c:pt>
                <c:pt idx="1600">
                  <c:v>50277</c:v>
                </c:pt>
                <c:pt idx="1601">
                  <c:v>50284</c:v>
                </c:pt>
                <c:pt idx="1602">
                  <c:v>50291</c:v>
                </c:pt>
                <c:pt idx="1603">
                  <c:v>50298</c:v>
                </c:pt>
                <c:pt idx="1604">
                  <c:v>50305</c:v>
                </c:pt>
                <c:pt idx="1605">
                  <c:v>50312</c:v>
                </c:pt>
                <c:pt idx="1606">
                  <c:v>50319</c:v>
                </c:pt>
                <c:pt idx="1607">
                  <c:v>50326</c:v>
                </c:pt>
                <c:pt idx="1608">
                  <c:v>50333</c:v>
                </c:pt>
                <c:pt idx="1609">
                  <c:v>50340</c:v>
                </c:pt>
                <c:pt idx="1610">
                  <c:v>50347</c:v>
                </c:pt>
                <c:pt idx="1611">
                  <c:v>50354</c:v>
                </c:pt>
                <c:pt idx="1612">
                  <c:v>50361</c:v>
                </c:pt>
                <c:pt idx="1613">
                  <c:v>50368</c:v>
                </c:pt>
                <c:pt idx="1614">
                  <c:v>50375</c:v>
                </c:pt>
                <c:pt idx="1615">
                  <c:v>50382</c:v>
                </c:pt>
                <c:pt idx="1616">
                  <c:v>50389</c:v>
                </c:pt>
                <c:pt idx="1617">
                  <c:v>50396</c:v>
                </c:pt>
                <c:pt idx="1618">
                  <c:v>50403</c:v>
                </c:pt>
                <c:pt idx="1619">
                  <c:v>50410</c:v>
                </c:pt>
                <c:pt idx="1620">
                  <c:v>50417</c:v>
                </c:pt>
                <c:pt idx="1621">
                  <c:v>50424</c:v>
                </c:pt>
                <c:pt idx="1622">
                  <c:v>50431</c:v>
                </c:pt>
                <c:pt idx="1623">
                  <c:v>50438</c:v>
                </c:pt>
                <c:pt idx="1624">
                  <c:v>50445</c:v>
                </c:pt>
                <c:pt idx="1625">
                  <c:v>50452</c:v>
                </c:pt>
                <c:pt idx="1626">
                  <c:v>50459</c:v>
                </c:pt>
                <c:pt idx="1627">
                  <c:v>50466</c:v>
                </c:pt>
                <c:pt idx="1628">
                  <c:v>50473</c:v>
                </c:pt>
                <c:pt idx="1629">
                  <c:v>50480</c:v>
                </c:pt>
                <c:pt idx="1630">
                  <c:v>50487</c:v>
                </c:pt>
                <c:pt idx="1631">
                  <c:v>50494</c:v>
                </c:pt>
                <c:pt idx="1632">
                  <c:v>50501</c:v>
                </c:pt>
                <c:pt idx="1633">
                  <c:v>50508</c:v>
                </c:pt>
                <c:pt idx="1634">
                  <c:v>50515</c:v>
                </c:pt>
                <c:pt idx="1635">
                  <c:v>50522</c:v>
                </c:pt>
                <c:pt idx="1636">
                  <c:v>50529</c:v>
                </c:pt>
                <c:pt idx="1637">
                  <c:v>50536</c:v>
                </c:pt>
                <c:pt idx="1638">
                  <c:v>50543</c:v>
                </c:pt>
                <c:pt idx="1639">
                  <c:v>50550</c:v>
                </c:pt>
                <c:pt idx="1640">
                  <c:v>50557</c:v>
                </c:pt>
                <c:pt idx="1641">
                  <c:v>50564</c:v>
                </c:pt>
                <c:pt idx="1642">
                  <c:v>50571</c:v>
                </c:pt>
                <c:pt idx="1643">
                  <c:v>50578</c:v>
                </c:pt>
                <c:pt idx="1644">
                  <c:v>50585</c:v>
                </c:pt>
                <c:pt idx="1645">
                  <c:v>50592</c:v>
                </c:pt>
                <c:pt idx="1646">
                  <c:v>50599</c:v>
                </c:pt>
                <c:pt idx="1647">
                  <c:v>50606</c:v>
                </c:pt>
                <c:pt idx="1648">
                  <c:v>50613</c:v>
                </c:pt>
                <c:pt idx="1649">
                  <c:v>50620</c:v>
                </c:pt>
                <c:pt idx="1650">
                  <c:v>50627</c:v>
                </c:pt>
                <c:pt idx="1651">
                  <c:v>50634</c:v>
                </c:pt>
                <c:pt idx="1652">
                  <c:v>50641</c:v>
                </c:pt>
                <c:pt idx="1653">
                  <c:v>50648</c:v>
                </c:pt>
                <c:pt idx="1654">
                  <c:v>50655</c:v>
                </c:pt>
                <c:pt idx="1655">
                  <c:v>50662</c:v>
                </c:pt>
                <c:pt idx="1656">
                  <c:v>50669</c:v>
                </c:pt>
                <c:pt idx="1657">
                  <c:v>50676</c:v>
                </c:pt>
                <c:pt idx="1658">
                  <c:v>50683</c:v>
                </c:pt>
                <c:pt idx="1659">
                  <c:v>50690</c:v>
                </c:pt>
                <c:pt idx="1660">
                  <c:v>50697</c:v>
                </c:pt>
                <c:pt idx="1661">
                  <c:v>50704</c:v>
                </c:pt>
                <c:pt idx="1662">
                  <c:v>50711</c:v>
                </c:pt>
                <c:pt idx="1663">
                  <c:v>50718</c:v>
                </c:pt>
                <c:pt idx="1664">
                  <c:v>50725</c:v>
                </c:pt>
                <c:pt idx="1665">
                  <c:v>50732</c:v>
                </c:pt>
                <c:pt idx="1666">
                  <c:v>50739</c:v>
                </c:pt>
                <c:pt idx="1667">
                  <c:v>50746</c:v>
                </c:pt>
                <c:pt idx="1668">
                  <c:v>50753</c:v>
                </c:pt>
                <c:pt idx="1669">
                  <c:v>50760</c:v>
                </c:pt>
                <c:pt idx="1670">
                  <c:v>50768</c:v>
                </c:pt>
                <c:pt idx="1671">
                  <c:v>50775</c:v>
                </c:pt>
                <c:pt idx="1672">
                  <c:v>50782</c:v>
                </c:pt>
                <c:pt idx="1673">
                  <c:v>50789</c:v>
                </c:pt>
                <c:pt idx="1674">
                  <c:v>50796</c:v>
                </c:pt>
                <c:pt idx="1675">
                  <c:v>50803</c:v>
                </c:pt>
                <c:pt idx="1676">
                  <c:v>50810</c:v>
                </c:pt>
                <c:pt idx="1677">
                  <c:v>50817</c:v>
                </c:pt>
                <c:pt idx="1678">
                  <c:v>50824</c:v>
                </c:pt>
                <c:pt idx="1679">
                  <c:v>50831</c:v>
                </c:pt>
                <c:pt idx="1680">
                  <c:v>50838</c:v>
                </c:pt>
                <c:pt idx="1681">
                  <c:v>50845</c:v>
                </c:pt>
                <c:pt idx="1682">
                  <c:v>50852</c:v>
                </c:pt>
                <c:pt idx="1683">
                  <c:v>50859</c:v>
                </c:pt>
                <c:pt idx="1684">
                  <c:v>50866</c:v>
                </c:pt>
                <c:pt idx="1685">
                  <c:v>50873</c:v>
                </c:pt>
                <c:pt idx="1686">
                  <c:v>50880</c:v>
                </c:pt>
                <c:pt idx="1687">
                  <c:v>50887</c:v>
                </c:pt>
                <c:pt idx="1688">
                  <c:v>50894</c:v>
                </c:pt>
                <c:pt idx="1689">
                  <c:v>50901</c:v>
                </c:pt>
                <c:pt idx="1690">
                  <c:v>50908</c:v>
                </c:pt>
                <c:pt idx="1691">
                  <c:v>50915</c:v>
                </c:pt>
                <c:pt idx="1692">
                  <c:v>50922</c:v>
                </c:pt>
                <c:pt idx="1693">
                  <c:v>50929</c:v>
                </c:pt>
                <c:pt idx="1694">
                  <c:v>50936</c:v>
                </c:pt>
                <c:pt idx="1695">
                  <c:v>50943</c:v>
                </c:pt>
                <c:pt idx="1696">
                  <c:v>50950</c:v>
                </c:pt>
                <c:pt idx="1697">
                  <c:v>50957</c:v>
                </c:pt>
                <c:pt idx="1698">
                  <c:v>50964</c:v>
                </c:pt>
                <c:pt idx="1699">
                  <c:v>50971</c:v>
                </c:pt>
                <c:pt idx="1700">
                  <c:v>50978</c:v>
                </c:pt>
                <c:pt idx="1701">
                  <c:v>50985</c:v>
                </c:pt>
                <c:pt idx="1702">
                  <c:v>50992</c:v>
                </c:pt>
                <c:pt idx="1703">
                  <c:v>50999</c:v>
                </c:pt>
                <c:pt idx="1704">
                  <c:v>51006</c:v>
                </c:pt>
                <c:pt idx="1705">
                  <c:v>51013</c:v>
                </c:pt>
                <c:pt idx="1706">
                  <c:v>51020</c:v>
                </c:pt>
                <c:pt idx="1707">
                  <c:v>51027</c:v>
                </c:pt>
                <c:pt idx="1708">
                  <c:v>51034</c:v>
                </c:pt>
                <c:pt idx="1709">
                  <c:v>51041</c:v>
                </c:pt>
                <c:pt idx="1710">
                  <c:v>51048</c:v>
                </c:pt>
                <c:pt idx="1711">
                  <c:v>51055</c:v>
                </c:pt>
                <c:pt idx="1712">
                  <c:v>51062</c:v>
                </c:pt>
                <c:pt idx="1713">
                  <c:v>51069</c:v>
                </c:pt>
                <c:pt idx="1714">
                  <c:v>51076</c:v>
                </c:pt>
                <c:pt idx="1715">
                  <c:v>51083</c:v>
                </c:pt>
                <c:pt idx="1716">
                  <c:v>51090</c:v>
                </c:pt>
                <c:pt idx="1717">
                  <c:v>51097</c:v>
                </c:pt>
                <c:pt idx="1718">
                  <c:v>51104</c:v>
                </c:pt>
                <c:pt idx="1719">
                  <c:v>51111</c:v>
                </c:pt>
                <c:pt idx="1720">
                  <c:v>51118</c:v>
                </c:pt>
                <c:pt idx="1721">
                  <c:v>51125</c:v>
                </c:pt>
                <c:pt idx="1722">
                  <c:v>51132</c:v>
                </c:pt>
                <c:pt idx="1723">
                  <c:v>51139</c:v>
                </c:pt>
                <c:pt idx="1724">
                  <c:v>51146</c:v>
                </c:pt>
                <c:pt idx="1725">
                  <c:v>51153</c:v>
                </c:pt>
                <c:pt idx="1726">
                  <c:v>51160</c:v>
                </c:pt>
                <c:pt idx="1727">
                  <c:v>51167</c:v>
                </c:pt>
                <c:pt idx="1728">
                  <c:v>51174</c:v>
                </c:pt>
                <c:pt idx="1729">
                  <c:v>51181</c:v>
                </c:pt>
                <c:pt idx="1730">
                  <c:v>51188</c:v>
                </c:pt>
                <c:pt idx="1731">
                  <c:v>51195</c:v>
                </c:pt>
                <c:pt idx="1732">
                  <c:v>51202</c:v>
                </c:pt>
                <c:pt idx="1733">
                  <c:v>51209</c:v>
                </c:pt>
                <c:pt idx="1734">
                  <c:v>51216</c:v>
                </c:pt>
                <c:pt idx="1735">
                  <c:v>51223</c:v>
                </c:pt>
                <c:pt idx="1736">
                  <c:v>51230</c:v>
                </c:pt>
                <c:pt idx="1737">
                  <c:v>51237</c:v>
                </c:pt>
                <c:pt idx="1738">
                  <c:v>51244</c:v>
                </c:pt>
                <c:pt idx="1739">
                  <c:v>51251</c:v>
                </c:pt>
                <c:pt idx="1740">
                  <c:v>51258</c:v>
                </c:pt>
                <c:pt idx="1741">
                  <c:v>51265</c:v>
                </c:pt>
                <c:pt idx="1742">
                  <c:v>51272</c:v>
                </c:pt>
                <c:pt idx="1743">
                  <c:v>51279</c:v>
                </c:pt>
                <c:pt idx="1744">
                  <c:v>51286</c:v>
                </c:pt>
                <c:pt idx="1745">
                  <c:v>51293</c:v>
                </c:pt>
                <c:pt idx="1746">
                  <c:v>51300</c:v>
                </c:pt>
                <c:pt idx="1747">
                  <c:v>51307</c:v>
                </c:pt>
                <c:pt idx="1748">
                  <c:v>51314</c:v>
                </c:pt>
                <c:pt idx="1749">
                  <c:v>51321</c:v>
                </c:pt>
                <c:pt idx="1750">
                  <c:v>51328</c:v>
                </c:pt>
                <c:pt idx="1751">
                  <c:v>51335</c:v>
                </c:pt>
                <c:pt idx="1752">
                  <c:v>51342</c:v>
                </c:pt>
                <c:pt idx="1753">
                  <c:v>51349</c:v>
                </c:pt>
                <c:pt idx="1754">
                  <c:v>51356</c:v>
                </c:pt>
                <c:pt idx="1755">
                  <c:v>51363</c:v>
                </c:pt>
                <c:pt idx="1756">
                  <c:v>51370</c:v>
                </c:pt>
                <c:pt idx="1757">
                  <c:v>51377</c:v>
                </c:pt>
                <c:pt idx="1758">
                  <c:v>51384</c:v>
                </c:pt>
                <c:pt idx="1759">
                  <c:v>51391</c:v>
                </c:pt>
                <c:pt idx="1760">
                  <c:v>51398</c:v>
                </c:pt>
                <c:pt idx="1761">
                  <c:v>51405</c:v>
                </c:pt>
                <c:pt idx="1762">
                  <c:v>51412</c:v>
                </c:pt>
                <c:pt idx="1763">
                  <c:v>51419</c:v>
                </c:pt>
                <c:pt idx="1764">
                  <c:v>51426</c:v>
                </c:pt>
                <c:pt idx="1765">
                  <c:v>51433</c:v>
                </c:pt>
                <c:pt idx="1766">
                  <c:v>51440</c:v>
                </c:pt>
                <c:pt idx="1767">
                  <c:v>51447</c:v>
                </c:pt>
                <c:pt idx="1768">
                  <c:v>51454</c:v>
                </c:pt>
                <c:pt idx="1769">
                  <c:v>51461</c:v>
                </c:pt>
                <c:pt idx="1770">
                  <c:v>51468</c:v>
                </c:pt>
                <c:pt idx="1771">
                  <c:v>51475</c:v>
                </c:pt>
                <c:pt idx="1772">
                  <c:v>51482</c:v>
                </c:pt>
                <c:pt idx="1773">
                  <c:v>51489</c:v>
                </c:pt>
                <c:pt idx="1774">
                  <c:v>51497</c:v>
                </c:pt>
                <c:pt idx="1775">
                  <c:v>51504</c:v>
                </c:pt>
                <c:pt idx="1776">
                  <c:v>51511</c:v>
                </c:pt>
                <c:pt idx="1777">
                  <c:v>51518</c:v>
                </c:pt>
                <c:pt idx="1778">
                  <c:v>51525</c:v>
                </c:pt>
                <c:pt idx="1779">
                  <c:v>51532</c:v>
                </c:pt>
                <c:pt idx="1780">
                  <c:v>51539</c:v>
                </c:pt>
                <c:pt idx="1781">
                  <c:v>51546</c:v>
                </c:pt>
                <c:pt idx="1782">
                  <c:v>51553</c:v>
                </c:pt>
                <c:pt idx="1783">
                  <c:v>51560</c:v>
                </c:pt>
                <c:pt idx="1784">
                  <c:v>51567</c:v>
                </c:pt>
                <c:pt idx="1785">
                  <c:v>51574</c:v>
                </c:pt>
                <c:pt idx="1786">
                  <c:v>51581</c:v>
                </c:pt>
                <c:pt idx="1787">
                  <c:v>51588</c:v>
                </c:pt>
                <c:pt idx="1788">
                  <c:v>51595</c:v>
                </c:pt>
                <c:pt idx="1789">
                  <c:v>51602</c:v>
                </c:pt>
                <c:pt idx="1790">
                  <c:v>51609</c:v>
                </c:pt>
                <c:pt idx="1791">
                  <c:v>51616</c:v>
                </c:pt>
                <c:pt idx="1792">
                  <c:v>51623</c:v>
                </c:pt>
                <c:pt idx="1793">
                  <c:v>51630</c:v>
                </c:pt>
                <c:pt idx="1794">
                  <c:v>51637</c:v>
                </c:pt>
                <c:pt idx="1795">
                  <c:v>51644</c:v>
                </c:pt>
                <c:pt idx="1796">
                  <c:v>51651</c:v>
                </c:pt>
                <c:pt idx="1797">
                  <c:v>51658</c:v>
                </c:pt>
                <c:pt idx="1798">
                  <c:v>51665</c:v>
                </c:pt>
                <c:pt idx="1799">
                  <c:v>51672</c:v>
                </c:pt>
                <c:pt idx="1800">
                  <c:v>51679</c:v>
                </c:pt>
                <c:pt idx="1801">
                  <c:v>51686</c:v>
                </c:pt>
                <c:pt idx="1802">
                  <c:v>51693</c:v>
                </c:pt>
                <c:pt idx="1803">
                  <c:v>51700</c:v>
                </c:pt>
                <c:pt idx="1804">
                  <c:v>51707</c:v>
                </c:pt>
                <c:pt idx="1805">
                  <c:v>51714</c:v>
                </c:pt>
                <c:pt idx="1806">
                  <c:v>51721</c:v>
                </c:pt>
                <c:pt idx="1807">
                  <c:v>51728</c:v>
                </c:pt>
                <c:pt idx="1808">
                  <c:v>51735</c:v>
                </c:pt>
                <c:pt idx="1809">
                  <c:v>51742</c:v>
                </c:pt>
                <c:pt idx="1810">
                  <c:v>51749</c:v>
                </c:pt>
                <c:pt idx="1811">
                  <c:v>51756</c:v>
                </c:pt>
                <c:pt idx="1812">
                  <c:v>51763</c:v>
                </c:pt>
                <c:pt idx="1813">
                  <c:v>51770</c:v>
                </c:pt>
                <c:pt idx="1814">
                  <c:v>51777</c:v>
                </c:pt>
                <c:pt idx="1815">
                  <c:v>51784</c:v>
                </c:pt>
                <c:pt idx="1816">
                  <c:v>51791</c:v>
                </c:pt>
                <c:pt idx="1817">
                  <c:v>51798</c:v>
                </c:pt>
                <c:pt idx="1818">
                  <c:v>51805</c:v>
                </c:pt>
                <c:pt idx="1819">
                  <c:v>51812</c:v>
                </c:pt>
                <c:pt idx="1820">
                  <c:v>51819</c:v>
                </c:pt>
                <c:pt idx="1821">
                  <c:v>51826</c:v>
                </c:pt>
                <c:pt idx="1822">
                  <c:v>51833</c:v>
                </c:pt>
                <c:pt idx="1823">
                  <c:v>51840</c:v>
                </c:pt>
                <c:pt idx="1824">
                  <c:v>51847</c:v>
                </c:pt>
                <c:pt idx="1825">
                  <c:v>51854</c:v>
                </c:pt>
                <c:pt idx="1826">
                  <c:v>51862</c:v>
                </c:pt>
                <c:pt idx="1827">
                  <c:v>51869</c:v>
                </c:pt>
                <c:pt idx="1828">
                  <c:v>51876</c:v>
                </c:pt>
                <c:pt idx="1829">
                  <c:v>51883</c:v>
                </c:pt>
                <c:pt idx="1830">
                  <c:v>51890</c:v>
                </c:pt>
                <c:pt idx="1831">
                  <c:v>51897</c:v>
                </c:pt>
                <c:pt idx="1832">
                  <c:v>51904</c:v>
                </c:pt>
                <c:pt idx="1833">
                  <c:v>51911</c:v>
                </c:pt>
                <c:pt idx="1834">
                  <c:v>51918</c:v>
                </c:pt>
                <c:pt idx="1835">
                  <c:v>51925</c:v>
                </c:pt>
                <c:pt idx="1836">
                  <c:v>51932</c:v>
                </c:pt>
                <c:pt idx="1837">
                  <c:v>51939</c:v>
                </c:pt>
                <c:pt idx="1838">
                  <c:v>51946</c:v>
                </c:pt>
                <c:pt idx="1839">
                  <c:v>51953</c:v>
                </c:pt>
                <c:pt idx="1840">
                  <c:v>51964</c:v>
                </c:pt>
                <c:pt idx="1841">
                  <c:v>51971</c:v>
                </c:pt>
                <c:pt idx="1842">
                  <c:v>51978</c:v>
                </c:pt>
                <c:pt idx="1843">
                  <c:v>51985</c:v>
                </c:pt>
                <c:pt idx="1844">
                  <c:v>51992</c:v>
                </c:pt>
                <c:pt idx="1845">
                  <c:v>51999</c:v>
                </c:pt>
                <c:pt idx="1846">
                  <c:v>52006</c:v>
                </c:pt>
                <c:pt idx="1847">
                  <c:v>52013</c:v>
                </c:pt>
                <c:pt idx="1848">
                  <c:v>52020</c:v>
                </c:pt>
                <c:pt idx="1849">
                  <c:v>52027</c:v>
                </c:pt>
                <c:pt idx="1850">
                  <c:v>52034</c:v>
                </c:pt>
                <c:pt idx="1851">
                  <c:v>52041</c:v>
                </c:pt>
                <c:pt idx="1852">
                  <c:v>52048</c:v>
                </c:pt>
                <c:pt idx="1853">
                  <c:v>52055</c:v>
                </c:pt>
                <c:pt idx="1854">
                  <c:v>52062</c:v>
                </c:pt>
                <c:pt idx="1855">
                  <c:v>52069</c:v>
                </c:pt>
                <c:pt idx="1856">
                  <c:v>52076</c:v>
                </c:pt>
                <c:pt idx="1857">
                  <c:v>52083</c:v>
                </c:pt>
                <c:pt idx="1858">
                  <c:v>52090</c:v>
                </c:pt>
                <c:pt idx="1859">
                  <c:v>52097</c:v>
                </c:pt>
                <c:pt idx="1860">
                  <c:v>52104</c:v>
                </c:pt>
                <c:pt idx="1861">
                  <c:v>52111</c:v>
                </c:pt>
                <c:pt idx="1862">
                  <c:v>52118</c:v>
                </c:pt>
                <c:pt idx="1863">
                  <c:v>52125</c:v>
                </c:pt>
                <c:pt idx="1864">
                  <c:v>52132</c:v>
                </c:pt>
                <c:pt idx="1865">
                  <c:v>52139</c:v>
                </c:pt>
                <c:pt idx="1866">
                  <c:v>52146</c:v>
                </c:pt>
                <c:pt idx="1867">
                  <c:v>52153</c:v>
                </c:pt>
                <c:pt idx="1868">
                  <c:v>52160</c:v>
                </c:pt>
                <c:pt idx="1869">
                  <c:v>52167</c:v>
                </c:pt>
                <c:pt idx="1870">
                  <c:v>52174</c:v>
                </c:pt>
                <c:pt idx="1871">
                  <c:v>52181</c:v>
                </c:pt>
                <c:pt idx="1872">
                  <c:v>52188</c:v>
                </c:pt>
                <c:pt idx="1873">
                  <c:v>52195</c:v>
                </c:pt>
                <c:pt idx="1874">
                  <c:v>52202</c:v>
                </c:pt>
                <c:pt idx="1875">
                  <c:v>52209</c:v>
                </c:pt>
                <c:pt idx="1876">
                  <c:v>52216</c:v>
                </c:pt>
                <c:pt idx="1877">
                  <c:v>52223</c:v>
                </c:pt>
                <c:pt idx="1878">
                  <c:v>52230</c:v>
                </c:pt>
                <c:pt idx="1879">
                  <c:v>52237</c:v>
                </c:pt>
                <c:pt idx="1880">
                  <c:v>52244</c:v>
                </c:pt>
                <c:pt idx="1881">
                  <c:v>52251</c:v>
                </c:pt>
                <c:pt idx="1882">
                  <c:v>52258</c:v>
                </c:pt>
                <c:pt idx="1883">
                  <c:v>52265</c:v>
                </c:pt>
                <c:pt idx="1884">
                  <c:v>52272</c:v>
                </c:pt>
                <c:pt idx="1885">
                  <c:v>52279</c:v>
                </c:pt>
                <c:pt idx="1886">
                  <c:v>52286</c:v>
                </c:pt>
                <c:pt idx="1887">
                  <c:v>52293</c:v>
                </c:pt>
                <c:pt idx="1888">
                  <c:v>52300</c:v>
                </c:pt>
                <c:pt idx="1889">
                  <c:v>52307</c:v>
                </c:pt>
                <c:pt idx="1890">
                  <c:v>52314</c:v>
                </c:pt>
                <c:pt idx="1891">
                  <c:v>52321</c:v>
                </c:pt>
                <c:pt idx="1892">
                  <c:v>52328</c:v>
                </c:pt>
                <c:pt idx="1893">
                  <c:v>52335</c:v>
                </c:pt>
                <c:pt idx="1894">
                  <c:v>52342</c:v>
                </c:pt>
                <c:pt idx="1895">
                  <c:v>52349</c:v>
                </c:pt>
                <c:pt idx="1896">
                  <c:v>52356</c:v>
                </c:pt>
                <c:pt idx="1897">
                  <c:v>52363</c:v>
                </c:pt>
                <c:pt idx="1898">
                  <c:v>52370</c:v>
                </c:pt>
                <c:pt idx="1899">
                  <c:v>52377</c:v>
                </c:pt>
                <c:pt idx="1900">
                  <c:v>52384</c:v>
                </c:pt>
                <c:pt idx="1901">
                  <c:v>52391</c:v>
                </c:pt>
                <c:pt idx="1902">
                  <c:v>52398</c:v>
                </c:pt>
                <c:pt idx="1903">
                  <c:v>52405</c:v>
                </c:pt>
                <c:pt idx="1904">
                  <c:v>52412</c:v>
                </c:pt>
                <c:pt idx="1905">
                  <c:v>52419</c:v>
                </c:pt>
                <c:pt idx="1906">
                  <c:v>52426</c:v>
                </c:pt>
                <c:pt idx="1907">
                  <c:v>52433</c:v>
                </c:pt>
                <c:pt idx="1908">
                  <c:v>52440</c:v>
                </c:pt>
                <c:pt idx="1909">
                  <c:v>52447</c:v>
                </c:pt>
                <c:pt idx="1910">
                  <c:v>52454</c:v>
                </c:pt>
                <c:pt idx="1911">
                  <c:v>52461</c:v>
                </c:pt>
                <c:pt idx="1912">
                  <c:v>52468</c:v>
                </c:pt>
                <c:pt idx="1913">
                  <c:v>52475</c:v>
                </c:pt>
                <c:pt idx="1914">
                  <c:v>52482</c:v>
                </c:pt>
                <c:pt idx="1915">
                  <c:v>52489</c:v>
                </c:pt>
                <c:pt idx="1916">
                  <c:v>52496</c:v>
                </c:pt>
                <c:pt idx="1917">
                  <c:v>52503</c:v>
                </c:pt>
                <c:pt idx="1918">
                  <c:v>52510</c:v>
                </c:pt>
                <c:pt idx="1919">
                  <c:v>52517</c:v>
                </c:pt>
                <c:pt idx="1920">
                  <c:v>52524</c:v>
                </c:pt>
                <c:pt idx="1921">
                  <c:v>52531</c:v>
                </c:pt>
                <c:pt idx="1922">
                  <c:v>52538</c:v>
                </c:pt>
                <c:pt idx="1923">
                  <c:v>52545</c:v>
                </c:pt>
                <c:pt idx="1924">
                  <c:v>52552</c:v>
                </c:pt>
                <c:pt idx="1925">
                  <c:v>52559</c:v>
                </c:pt>
                <c:pt idx="1926">
                  <c:v>52566</c:v>
                </c:pt>
                <c:pt idx="1927">
                  <c:v>52573</c:v>
                </c:pt>
                <c:pt idx="1928">
                  <c:v>52580</c:v>
                </c:pt>
                <c:pt idx="1929">
                  <c:v>52587</c:v>
                </c:pt>
                <c:pt idx="1930">
                  <c:v>52594</c:v>
                </c:pt>
                <c:pt idx="1931">
                  <c:v>52601</c:v>
                </c:pt>
                <c:pt idx="1932">
                  <c:v>52608</c:v>
                </c:pt>
                <c:pt idx="1933">
                  <c:v>52615</c:v>
                </c:pt>
                <c:pt idx="1934">
                  <c:v>52622</c:v>
                </c:pt>
                <c:pt idx="1935">
                  <c:v>52629</c:v>
                </c:pt>
                <c:pt idx="1936">
                  <c:v>52636</c:v>
                </c:pt>
                <c:pt idx="1937">
                  <c:v>52643</c:v>
                </c:pt>
                <c:pt idx="1938">
                  <c:v>52650</c:v>
                </c:pt>
                <c:pt idx="1939">
                  <c:v>52657</c:v>
                </c:pt>
                <c:pt idx="1940">
                  <c:v>52664</c:v>
                </c:pt>
                <c:pt idx="1941">
                  <c:v>52671</c:v>
                </c:pt>
                <c:pt idx="1942">
                  <c:v>52678</c:v>
                </c:pt>
                <c:pt idx="1943">
                  <c:v>52685</c:v>
                </c:pt>
                <c:pt idx="1944">
                  <c:v>52692</c:v>
                </c:pt>
                <c:pt idx="1945">
                  <c:v>52699</c:v>
                </c:pt>
                <c:pt idx="1946">
                  <c:v>52706</c:v>
                </c:pt>
                <c:pt idx="1947">
                  <c:v>52713</c:v>
                </c:pt>
                <c:pt idx="1948">
                  <c:v>52720</c:v>
                </c:pt>
                <c:pt idx="1949">
                  <c:v>52727</c:v>
                </c:pt>
                <c:pt idx="1950">
                  <c:v>52734</c:v>
                </c:pt>
                <c:pt idx="1951">
                  <c:v>52741</c:v>
                </c:pt>
                <c:pt idx="1952">
                  <c:v>52748</c:v>
                </c:pt>
                <c:pt idx="1953">
                  <c:v>52755</c:v>
                </c:pt>
                <c:pt idx="1954">
                  <c:v>52762</c:v>
                </c:pt>
                <c:pt idx="1955">
                  <c:v>52769</c:v>
                </c:pt>
                <c:pt idx="1956">
                  <c:v>52776</c:v>
                </c:pt>
                <c:pt idx="1957">
                  <c:v>52783</c:v>
                </c:pt>
                <c:pt idx="1958">
                  <c:v>52790</c:v>
                </c:pt>
                <c:pt idx="1959">
                  <c:v>52797</c:v>
                </c:pt>
                <c:pt idx="1960">
                  <c:v>52804</c:v>
                </c:pt>
                <c:pt idx="1961">
                  <c:v>52811</c:v>
                </c:pt>
                <c:pt idx="1962">
                  <c:v>52818</c:v>
                </c:pt>
                <c:pt idx="1963">
                  <c:v>52825</c:v>
                </c:pt>
                <c:pt idx="1964">
                  <c:v>52832</c:v>
                </c:pt>
                <c:pt idx="1965">
                  <c:v>52839</c:v>
                </c:pt>
                <c:pt idx="1966">
                  <c:v>52846</c:v>
                </c:pt>
                <c:pt idx="1967">
                  <c:v>52853</c:v>
                </c:pt>
                <c:pt idx="1968">
                  <c:v>52860</c:v>
                </c:pt>
                <c:pt idx="1969">
                  <c:v>52867</c:v>
                </c:pt>
                <c:pt idx="1970">
                  <c:v>52874</c:v>
                </c:pt>
                <c:pt idx="1971">
                  <c:v>52881</c:v>
                </c:pt>
                <c:pt idx="1972">
                  <c:v>52888</c:v>
                </c:pt>
                <c:pt idx="1973">
                  <c:v>52895</c:v>
                </c:pt>
                <c:pt idx="1974">
                  <c:v>52902</c:v>
                </c:pt>
                <c:pt idx="1975">
                  <c:v>52909</c:v>
                </c:pt>
                <c:pt idx="1976">
                  <c:v>52916</c:v>
                </c:pt>
                <c:pt idx="1977">
                  <c:v>52923</c:v>
                </c:pt>
                <c:pt idx="1978">
                  <c:v>52930</c:v>
                </c:pt>
                <c:pt idx="1979">
                  <c:v>52937</c:v>
                </c:pt>
                <c:pt idx="1980">
                  <c:v>52944</c:v>
                </c:pt>
                <c:pt idx="1981">
                  <c:v>52951</c:v>
                </c:pt>
                <c:pt idx="1982">
                  <c:v>52959</c:v>
                </c:pt>
                <c:pt idx="1983">
                  <c:v>52966</c:v>
                </c:pt>
                <c:pt idx="1984">
                  <c:v>52973</c:v>
                </c:pt>
                <c:pt idx="1985">
                  <c:v>52980</c:v>
                </c:pt>
                <c:pt idx="1986">
                  <c:v>52987</c:v>
                </c:pt>
                <c:pt idx="1987">
                  <c:v>52994</c:v>
                </c:pt>
                <c:pt idx="1988">
                  <c:v>53001</c:v>
                </c:pt>
                <c:pt idx="1989">
                  <c:v>53008</c:v>
                </c:pt>
                <c:pt idx="1990">
                  <c:v>53015</c:v>
                </c:pt>
                <c:pt idx="1991">
                  <c:v>53022</c:v>
                </c:pt>
                <c:pt idx="1992">
                  <c:v>53029</c:v>
                </c:pt>
                <c:pt idx="1993">
                  <c:v>53036</c:v>
                </c:pt>
                <c:pt idx="1994">
                  <c:v>53043</c:v>
                </c:pt>
                <c:pt idx="1995">
                  <c:v>53050</c:v>
                </c:pt>
                <c:pt idx="1996">
                  <c:v>53057</c:v>
                </c:pt>
                <c:pt idx="1997">
                  <c:v>53064</c:v>
                </c:pt>
                <c:pt idx="1998">
                  <c:v>53071</c:v>
                </c:pt>
                <c:pt idx="1999">
                  <c:v>53078</c:v>
                </c:pt>
                <c:pt idx="2000">
                  <c:v>53085</c:v>
                </c:pt>
                <c:pt idx="2001">
                  <c:v>53092</c:v>
                </c:pt>
                <c:pt idx="2002">
                  <c:v>53099</c:v>
                </c:pt>
                <c:pt idx="2003">
                  <c:v>53106</c:v>
                </c:pt>
                <c:pt idx="2004">
                  <c:v>53113</c:v>
                </c:pt>
                <c:pt idx="2005">
                  <c:v>53120</c:v>
                </c:pt>
                <c:pt idx="2006">
                  <c:v>53127</c:v>
                </c:pt>
                <c:pt idx="2007">
                  <c:v>53134</c:v>
                </c:pt>
                <c:pt idx="2008">
                  <c:v>53141</c:v>
                </c:pt>
                <c:pt idx="2009">
                  <c:v>53148</c:v>
                </c:pt>
                <c:pt idx="2010">
                  <c:v>53155</c:v>
                </c:pt>
                <c:pt idx="2011">
                  <c:v>53162</c:v>
                </c:pt>
                <c:pt idx="2012">
                  <c:v>53169</c:v>
                </c:pt>
                <c:pt idx="2013">
                  <c:v>53176</c:v>
                </c:pt>
                <c:pt idx="2014">
                  <c:v>53183</c:v>
                </c:pt>
                <c:pt idx="2015">
                  <c:v>53190</c:v>
                </c:pt>
                <c:pt idx="2016">
                  <c:v>53197</c:v>
                </c:pt>
                <c:pt idx="2017">
                  <c:v>53204</c:v>
                </c:pt>
                <c:pt idx="2018">
                  <c:v>53211</c:v>
                </c:pt>
                <c:pt idx="2019">
                  <c:v>53218</c:v>
                </c:pt>
                <c:pt idx="2020">
                  <c:v>53225</c:v>
                </c:pt>
                <c:pt idx="2021">
                  <c:v>53232</c:v>
                </c:pt>
                <c:pt idx="2022">
                  <c:v>53239</c:v>
                </c:pt>
                <c:pt idx="2023">
                  <c:v>53246</c:v>
                </c:pt>
                <c:pt idx="2024">
                  <c:v>53253</c:v>
                </c:pt>
                <c:pt idx="2025">
                  <c:v>53260</c:v>
                </c:pt>
                <c:pt idx="2026">
                  <c:v>53267</c:v>
                </c:pt>
                <c:pt idx="2027">
                  <c:v>53274</c:v>
                </c:pt>
                <c:pt idx="2028">
                  <c:v>53281</c:v>
                </c:pt>
                <c:pt idx="2029">
                  <c:v>53288</c:v>
                </c:pt>
                <c:pt idx="2030">
                  <c:v>53295</c:v>
                </c:pt>
                <c:pt idx="2031">
                  <c:v>53302</c:v>
                </c:pt>
                <c:pt idx="2032">
                  <c:v>53309</c:v>
                </c:pt>
                <c:pt idx="2033">
                  <c:v>53316</c:v>
                </c:pt>
                <c:pt idx="2034">
                  <c:v>53323</c:v>
                </c:pt>
                <c:pt idx="2035">
                  <c:v>53330</c:v>
                </c:pt>
                <c:pt idx="2036">
                  <c:v>53337</c:v>
                </c:pt>
                <c:pt idx="2037">
                  <c:v>53344</c:v>
                </c:pt>
                <c:pt idx="2038">
                  <c:v>53351</c:v>
                </c:pt>
                <c:pt idx="2039">
                  <c:v>53358</c:v>
                </c:pt>
                <c:pt idx="2040">
                  <c:v>53365</c:v>
                </c:pt>
                <c:pt idx="2041">
                  <c:v>53372</c:v>
                </c:pt>
                <c:pt idx="2042">
                  <c:v>53379</c:v>
                </c:pt>
                <c:pt idx="2043">
                  <c:v>53386</c:v>
                </c:pt>
                <c:pt idx="2044">
                  <c:v>53393</c:v>
                </c:pt>
                <c:pt idx="2045">
                  <c:v>53400</c:v>
                </c:pt>
                <c:pt idx="2046">
                  <c:v>53407</c:v>
                </c:pt>
                <c:pt idx="2047">
                  <c:v>53414</c:v>
                </c:pt>
                <c:pt idx="2048">
                  <c:v>53421</c:v>
                </c:pt>
                <c:pt idx="2049">
                  <c:v>53428</c:v>
                </c:pt>
                <c:pt idx="2050">
                  <c:v>53435</c:v>
                </c:pt>
                <c:pt idx="2051">
                  <c:v>53442</c:v>
                </c:pt>
                <c:pt idx="2052">
                  <c:v>53449</c:v>
                </c:pt>
                <c:pt idx="2053">
                  <c:v>53456</c:v>
                </c:pt>
                <c:pt idx="2054">
                  <c:v>53463</c:v>
                </c:pt>
                <c:pt idx="2055">
                  <c:v>53470</c:v>
                </c:pt>
                <c:pt idx="2056">
                  <c:v>53477</c:v>
                </c:pt>
                <c:pt idx="2057">
                  <c:v>53484</c:v>
                </c:pt>
                <c:pt idx="2058">
                  <c:v>53491</c:v>
                </c:pt>
                <c:pt idx="2059">
                  <c:v>53498</c:v>
                </c:pt>
                <c:pt idx="2060">
                  <c:v>53505</c:v>
                </c:pt>
                <c:pt idx="2061">
                  <c:v>53512</c:v>
                </c:pt>
                <c:pt idx="2062">
                  <c:v>53519</c:v>
                </c:pt>
                <c:pt idx="2063">
                  <c:v>53526</c:v>
                </c:pt>
                <c:pt idx="2064">
                  <c:v>53533</c:v>
                </c:pt>
                <c:pt idx="2065">
                  <c:v>53540</c:v>
                </c:pt>
                <c:pt idx="2066">
                  <c:v>53547</c:v>
                </c:pt>
                <c:pt idx="2067">
                  <c:v>53554</c:v>
                </c:pt>
                <c:pt idx="2068">
                  <c:v>53561</c:v>
                </c:pt>
                <c:pt idx="2069">
                  <c:v>53568</c:v>
                </c:pt>
                <c:pt idx="2070">
                  <c:v>53575</c:v>
                </c:pt>
                <c:pt idx="2071">
                  <c:v>53582</c:v>
                </c:pt>
                <c:pt idx="2072">
                  <c:v>53589</c:v>
                </c:pt>
                <c:pt idx="2073">
                  <c:v>53596</c:v>
                </c:pt>
                <c:pt idx="2074">
                  <c:v>53603</c:v>
                </c:pt>
                <c:pt idx="2075">
                  <c:v>53610</c:v>
                </c:pt>
                <c:pt idx="2076">
                  <c:v>53617</c:v>
                </c:pt>
                <c:pt idx="2077">
                  <c:v>53624</c:v>
                </c:pt>
                <c:pt idx="2078">
                  <c:v>53631</c:v>
                </c:pt>
                <c:pt idx="2079">
                  <c:v>53638</c:v>
                </c:pt>
                <c:pt idx="2080">
                  <c:v>53645</c:v>
                </c:pt>
                <c:pt idx="2081">
                  <c:v>53652</c:v>
                </c:pt>
                <c:pt idx="2082">
                  <c:v>53659</c:v>
                </c:pt>
                <c:pt idx="2083">
                  <c:v>53666</c:v>
                </c:pt>
                <c:pt idx="2084">
                  <c:v>53673</c:v>
                </c:pt>
                <c:pt idx="2085">
                  <c:v>53680</c:v>
                </c:pt>
                <c:pt idx="2086">
                  <c:v>53688</c:v>
                </c:pt>
                <c:pt idx="2087">
                  <c:v>53695</c:v>
                </c:pt>
                <c:pt idx="2088">
                  <c:v>53702</c:v>
                </c:pt>
                <c:pt idx="2089">
                  <c:v>53709</c:v>
                </c:pt>
                <c:pt idx="2090">
                  <c:v>53716</c:v>
                </c:pt>
                <c:pt idx="2091">
                  <c:v>53723</c:v>
                </c:pt>
                <c:pt idx="2092">
                  <c:v>53730</c:v>
                </c:pt>
                <c:pt idx="2093">
                  <c:v>53737</c:v>
                </c:pt>
                <c:pt idx="2094">
                  <c:v>53744</c:v>
                </c:pt>
                <c:pt idx="2095">
                  <c:v>53751</c:v>
                </c:pt>
                <c:pt idx="2096">
                  <c:v>53758</c:v>
                </c:pt>
                <c:pt idx="2097">
                  <c:v>53765</c:v>
                </c:pt>
                <c:pt idx="2098">
                  <c:v>53772</c:v>
                </c:pt>
                <c:pt idx="2099">
                  <c:v>53779</c:v>
                </c:pt>
                <c:pt idx="2100">
                  <c:v>53786</c:v>
                </c:pt>
                <c:pt idx="2101">
                  <c:v>53793</c:v>
                </c:pt>
                <c:pt idx="2102">
                  <c:v>53800</c:v>
                </c:pt>
                <c:pt idx="2103">
                  <c:v>53807</c:v>
                </c:pt>
                <c:pt idx="2104">
                  <c:v>53814</c:v>
                </c:pt>
                <c:pt idx="2105">
                  <c:v>53821</c:v>
                </c:pt>
                <c:pt idx="2106">
                  <c:v>53828</c:v>
                </c:pt>
                <c:pt idx="2107">
                  <c:v>53835</c:v>
                </c:pt>
                <c:pt idx="2108">
                  <c:v>53842</c:v>
                </c:pt>
                <c:pt idx="2109">
                  <c:v>53849</c:v>
                </c:pt>
                <c:pt idx="2110">
                  <c:v>53856</c:v>
                </c:pt>
                <c:pt idx="2111">
                  <c:v>53863</c:v>
                </c:pt>
                <c:pt idx="2112">
                  <c:v>53870</c:v>
                </c:pt>
                <c:pt idx="2113">
                  <c:v>53877</c:v>
                </c:pt>
                <c:pt idx="2114">
                  <c:v>53884</c:v>
                </c:pt>
                <c:pt idx="2115">
                  <c:v>53891</c:v>
                </c:pt>
                <c:pt idx="2116">
                  <c:v>53898</c:v>
                </c:pt>
                <c:pt idx="2117">
                  <c:v>53905</c:v>
                </c:pt>
                <c:pt idx="2118">
                  <c:v>53912</c:v>
                </c:pt>
                <c:pt idx="2119">
                  <c:v>53919</c:v>
                </c:pt>
                <c:pt idx="2120">
                  <c:v>53926</c:v>
                </c:pt>
                <c:pt idx="2121">
                  <c:v>53933</c:v>
                </c:pt>
                <c:pt idx="2122">
                  <c:v>53940</c:v>
                </c:pt>
                <c:pt idx="2123">
                  <c:v>53947</c:v>
                </c:pt>
                <c:pt idx="2124">
                  <c:v>53954</c:v>
                </c:pt>
                <c:pt idx="2125">
                  <c:v>53961</c:v>
                </c:pt>
                <c:pt idx="2126">
                  <c:v>53968</c:v>
                </c:pt>
                <c:pt idx="2127">
                  <c:v>53975</c:v>
                </c:pt>
                <c:pt idx="2128">
                  <c:v>53982</c:v>
                </c:pt>
                <c:pt idx="2129">
                  <c:v>53989</c:v>
                </c:pt>
                <c:pt idx="2130">
                  <c:v>53996</c:v>
                </c:pt>
                <c:pt idx="2131">
                  <c:v>54003</c:v>
                </c:pt>
                <c:pt idx="2132">
                  <c:v>54010</c:v>
                </c:pt>
                <c:pt idx="2133">
                  <c:v>54017</c:v>
                </c:pt>
                <c:pt idx="2134">
                  <c:v>54024</c:v>
                </c:pt>
                <c:pt idx="2135">
                  <c:v>54031</c:v>
                </c:pt>
                <c:pt idx="2136">
                  <c:v>54038</c:v>
                </c:pt>
                <c:pt idx="2137">
                  <c:v>54045</c:v>
                </c:pt>
                <c:pt idx="2138">
                  <c:v>54053</c:v>
                </c:pt>
                <c:pt idx="2139">
                  <c:v>54060</c:v>
                </c:pt>
                <c:pt idx="2140">
                  <c:v>54067</c:v>
                </c:pt>
                <c:pt idx="2141">
                  <c:v>54074</c:v>
                </c:pt>
                <c:pt idx="2142">
                  <c:v>54081</c:v>
                </c:pt>
                <c:pt idx="2143">
                  <c:v>54088</c:v>
                </c:pt>
                <c:pt idx="2144">
                  <c:v>54095</c:v>
                </c:pt>
                <c:pt idx="2145">
                  <c:v>54102</c:v>
                </c:pt>
                <c:pt idx="2146">
                  <c:v>54109</c:v>
                </c:pt>
                <c:pt idx="2147">
                  <c:v>54116</c:v>
                </c:pt>
                <c:pt idx="2148">
                  <c:v>54123</c:v>
                </c:pt>
                <c:pt idx="2149">
                  <c:v>54130</c:v>
                </c:pt>
                <c:pt idx="2150">
                  <c:v>54137</c:v>
                </c:pt>
                <c:pt idx="2151">
                  <c:v>54144</c:v>
                </c:pt>
                <c:pt idx="2152">
                  <c:v>54155</c:v>
                </c:pt>
                <c:pt idx="2153">
                  <c:v>54162</c:v>
                </c:pt>
                <c:pt idx="2154">
                  <c:v>54169</c:v>
                </c:pt>
                <c:pt idx="2155">
                  <c:v>54176</c:v>
                </c:pt>
                <c:pt idx="2156">
                  <c:v>54183</c:v>
                </c:pt>
                <c:pt idx="2157">
                  <c:v>54190</c:v>
                </c:pt>
                <c:pt idx="2158">
                  <c:v>54197</c:v>
                </c:pt>
                <c:pt idx="2159">
                  <c:v>54204</c:v>
                </c:pt>
                <c:pt idx="2160">
                  <c:v>54211</c:v>
                </c:pt>
                <c:pt idx="2161">
                  <c:v>54218</c:v>
                </c:pt>
                <c:pt idx="2162">
                  <c:v>54225</c:v>
                </c:pt>
                <c:pt idx="2163">
                  <c:v>54232</c:v>
                </c:pt>
                <c:pt idx="2164">
                  <c:v>54239</c:v>
                </c:pt>
                <c:pt idx="2165">
                  <c:v>54246</c:v>
                </c:pt>
                <c:pt idx="2166">
                  <c:v>54253</c:v>
                </c:pt>
                <c:pt idx="2167">
                  <c:v>54260</c:v>
                </c:pt>
                <c:pt idx="2168">
                  <c:v>54267</c:v>
                </c:pt>
                <c:pt idx="2169">
                  <c:v>54274</c:v>
                </c:pt>
                <c:pt idx="2170">
                  <c:v>54281</c:v>
                </c:pt>
                <c:pt idx="2171">
                  <c:v>54288</c:v>
                </c:pt>
                <c:pt idx="2172">
                  <c:v>54295</c:v>
                </c:pt>
                <c:pt idx="2173">
                  <c:v>54302</c:v>
                </c:pt>
                <c:pt idx="2174">
                  <c:v>54309</c:v>
                </c:pt>
                <c:pt idx="2175">
                  <c:v>54316</c:v>
                </c:pt>
                <c:pt idx="2176">
                  <c:v>54323</c:v>
                </c:pt>
                <c:pt idx="2177">
                  <c:v>54330</c:v>
                </c:pt>
                <c:pt idx="2178">
                  <c:v>54337</c:v>
                </c:pt>
                <c:pt idx="2179">
                  <c:v>54344</c:v>
                </c:pt>
                <c:pt idx="2180">
                  <c:v>54351</c:v>
                </c:pt>
                <c:pt idx="2181">
                  <c:v>54358</c:v>
                </c:pt>
                <c:pt idx="2182">
                  <c:v>54365</c:v>
                </c:pt>
                <c:pt idx="2183">
                  <c:v>54372</c:v>
                </c:pt>
                <c:pt idx="2184">
                  <c:v>54379</c:v>
                </c:pt>
                <c:pt idx="2185">
                  <c:v>54386</c:v>
                </c:pt>
                <c:pt idx="2186">
                  <c:v>54393</c:v>
                </c:pt>
                <c:pt idx="2187">
                  <c:v>54400</c:v>
                </c:pt>
                <c:pt idx="2188">
                  <c:v>54407</c:v>
                </c:pt>
                <c:pt idx="2189">
                  <c:v>54414</c:v>
                </c:pt>
                <c:pt idx="2190">
                  <c:v>54421</c:v>
                </c:pt>
                <c:pt idx="2191">
                  <c:v>54428</c:v>
                </c:pt>
                <c:pt idx="2192">
                  <c:v>54435</c:v>
                </c:pt>
                <c:pt idx="2193">
                  <c:v>54442</c:v>
                </c:pt>
                <c:pt idx="2194">
                  <c:v>54449</c:v>
                </c:pt>
                <c:pt idx="2195">
                  <c:v>54456</c:v>
                </c:pt>
                <c:pt idx="2196">
                  <c:v>54463</c:v>
                </c:pt>
                <c:pt idx="2197">
                  <c:v>54470</c:v>
                </c:pt>
                <c:pt idx="2198">
                  <c:v>54477</c:v>
                </c:pt>
                <c:pt idx="2199">
                  <c:v>54484</c:v>
                </c:pt>
                <c:pt idx="2200">
                  <c:v>54491</c:v>
                </c:pt>
                <c:pt idx="2201">
                  <c:v>54498</c:v>
                </c:pt>
                <c:pt idx="2202">
                  <c:v>54505</c:v>
                </c:pt>
                <c:pt idx="2203">
                  <c:v>54512</c:v>
                </c:pt>
                <c:pt idx="2204">
                  <c:v>54519</c:v>
                </c:pt>
                <c:pt idx="2205">
                  <c:v>54526</c:v>
                </c:pt>
                <c:pt idx="2206">
                  <c:v>54533</c:v>
                </c:pt>
                <c:pt idx="2207">
                  <c:v>54540</c:v>
                </c:pt>
                <c:pt idx="2208">
                  <c:v>54547</c:v>
                </c:pt>
                <c:pt idx="2209">
                  <c:v>54554</c:v>
                </c:pt>
                <c:pt idx="2210">
                  <c:v>54561</c:v>
                </c:pt>
                <c:pt idx="2211">
                  <c:v>54568</c:v>
                </c:pt>
                <c:pt idx="2212">
                  <c:v>54575</c:v>
                </c:pt>
                <c:pt idx="2213">
                  <c:v>54582</c:v>
                </c:pt>
                <c:pt idx="2214">
                  <c:v>54589</c:v>
                </c:pt>
                <c:pt idx="2215">
                  <c:v>54596</c:v>
                </c:pt>
                <c:pt idx="2216">
                  <c:v>54603</c:v>
                </c:pt>
                <c:pt idx="2217">
                  <c:v>54610</c:v>
                </c:pt>
                <c:pt idx="2218">
                  <c:v>54617</c:v>
                </c:pt>
                <c:pt idx="2219">
                  <c:v>54624</c:v>
                </c:pt>
                <c:pt idx="2220">
                  <c:v>54631</c:v>
                </c:pt>
                <c:pt idx="2221">
                  <c:v>54638</c:v>
                </c:pt>
                <c:pt idx="2222">
                  <c:v>54645</c:v>
                </c:pt>
                <c:pt idx="2223">
                  <c:v>54652</c:v>
                </c:pt>
                <c:pt idx="2224">
                  <c:v>54659</c:v>
                </c:pt>
                <c:pt idx="2225">
                  <c:v>54666</c:v>
                </c:pt>
                <c:pt idx="2226">
                  <c:v>54673</c:v>
                </c:pt>
                <c:pt idx="2227">
                  <c:v>54680</c:v>
                </c:pt>
                <c:pt idx="2228">
                  <c:v>54687</c:v>
                </c:pt>
                <c:pt idx="2229">
                  <c:v>54694</c:v>
                </c:pt>
                <c:pt idx="2230">
                  <c:v>54701</c:v>
                </c:pt>
                <c:pt idx="2231">
                  <c:v>54708</c:v>
                </c:pt>
                <c:pt idx="2232">
                  <c:v>54715</c:v>
                </c:pt>
                <c:pt idx="2233">
                  <c:v>54722</c:v>
                </c:pt>
                <c:pt idx="2234">
                  <c:v>54729</c:v>
                </c:pt>
                <c:pt idx="2235">
                  <c:v>54736</c:v>
                </c:pt>
                <c:pt idx="2236">
                  <c:v>54743</c:v>
                </c:pt>
                <c:pt idx="2237">
                  <c:v>54750</c:v>
                </c:pt>
                <c:pt idx="2238">
                  <c:v>54757</c:v>
                </c:pt>
                <c:pt idx="2239">
                  <c:v>54764</c:v>
                </c:pt>
                <c:pt idx="2240">
                  <c:v>54771</c:v>
                </c:pt>
                <c:pt idx="2241">
                  <c:v>54778</c:v>
                </c:pt>
                <c:pt idx="2242">
                  <c:v>54786</c:v>
                </c:pt>
                <c:pt idx="2243">
                  <c:v>54793</c:v>
                </c:pt>
                <c:pt idx="2244">
                  <c:v>54800</c:v>
                </c:pt>
                <c:pt idx="2245">
                  <c:v>54807</c:v>
                </c:pt>
                <c:pt idx="2246">
                  <c:v>54814</c:v>
                </c:pt>
                <c:pt idx="2247">
                  <c:v>54821</c:v>
                </c:pt>
                <c:pt idx="2248">
                  <c:v>54828</c:v>
                </c:pt>
                <c:pt idx="2249">
                  <c:v>54835</c:v>
                </c:pt>
                <c:pt idx="2250">
                  <c:v>54842</c:v>
                </c:pt>
                <c:pt idx="2251">
                  <c:v>54849</c:v>
                </c:pt>
                <c:pt idx="2252">
                  <c:v>54856</c:v>
                </c:pt>
                <c:pt idx="2253">
                  <c:v>54863</c:v>
                </c:pt>
                <c:pt idx="2254">
                  <c:v>54870</c:v>
                </c:pt>
                <c:pt idx="2255">
                  <c:v>54877</c:v>
                </c:pt>
                <c:pt idx="2256">
                  <c:v>54884</c:v>
                </c:pt>
                <c:pt idx="2257">
                  <c:v>54891</c:v>
                </c:pt>
                <c:pt idx="2258">
                  <c:v>54898</c:v>
                </c:pt>
                <c:pt idx="2259">
                  <c:v>54905</c:v>
                </c:pt>
                <c:pt idx="2260">
                  <c:v>54912</c:v>
                </c:pt>
                <c:pt idx="2261">
                  <c:v>54919</c:v>
                </c:pt>
                <c:pt idx="2262">
                  <c:v>54926</c:v>
                </c:pt>
                <c:pt idx="2263">
                  <c:v>54933</c:v>
                </c:pt>
                <c:pt idx="2264">
                  <c:v>54940</c:v>
                </c:pt>
                <c:pt idx="2265">
                  <c:v>54947</c:v>
                </c:pt>
                <c:pt idx="2266">
                  <c:v>54954</c:v>
                </c:pt>
                <c:pt idx="2267">
                  <c:v>54961</c:v>
                </c:pt>
                <c:pt idx="2268">
                  <c:v>54968</c:v>
                </c:pt>
                <c:pt idx="2269">
                  <c:v>54975</c:v>
                </c:pt>
                <c:pt idx="2270">
                  <c:v>54982</c:v>
                </c:pt>
                <c:pt idx="2271">
                  <c:v>54989</c:v>
                </c:pt>
                <c:pt idx="2272">
                  <c:v>54996</c:v>
                </c:pt>
                <c:pt idx="2273">
                  <c:v>55003</c:v>
                </c:pt>
                <c:pt idx="2274">
                  <c:v>55010</c:v>
                </c:pt>
                <c:pt idx="2275">
                  <c:v>55017</c:v>
                </c:pt>
                <c:pt idx="2276">
                  <c:v>55024</c:v>
                </c:pt>
                <c:pt idx="2277">
                  <c:v>55031</c:v>
                </c:pt>
                <c:pt idx="2278">
                  <c:v>55038</c:v>
                </c:pt>
                <c:pt idx="2279">
                  <c:v>55045</c:v>
                </c:pt>
                <c:pt idx="2280">
                  <c:v>55052</c:v>
                </c:pt>
                <c:pt idx="2281">
                  <c:v>55059</c:v>
                </c:pt>
                <c:pt idx="2282">
                  <c:v>55066</c:v>
                </c:pt>
                <c:pt idx="2283">
                  <c:v>55073</c:v>
                </c:pt>
                <c:pt idx="2284">
                  <c:v>55080</c:v>
                </c:pt>
                <c:pt idx="2285">
                  <c:v>55087</c:v>
                </c:pt>
                <c:pt idx="2286">
                  <c:v>55094</c:v>
                </c:pt>
                <c:pt idx="2287">
                  <c:v>55101</c:v>
                </c:pt>
                <c:pt idx="2288">
                  <c:v>55108</c:v>
                </c:pt>
                <c:pt idx="2289">
                  <c:v>55115</c:v>
                </c:pt>
                <c:pt idx="2290">
                  <c:v>55122</c:v>
                </c:pt>
                <c:pt idx="2291">
                  <c:v>55129</c:v>
                </c:pt>
                <c:pt idx="2292">
                  <c:v>55136</c:v>
                </c:pt>
                <c:pt idx="2293">
                  <c:v>55143</c:v>
                </c:pt>
                <c:pt idx="2294">
                  <c:v>55150</c:v>
                </c:pt>
                <c:pt idx="2295">
                  <c:v>55157</c:v>
                </c:pt>
                <c:pt idx="2296">
                  <c:v>55164</c:v>
                </c:pt>
                <c:pt idx="2297">
                  <c:v>55171</c:v>
                </c:pt>
                <c:pt idx="2298">
                  <c:v>55178</c:v>
                </c:pt>
                <c:pt idx="2299">
                  <c:v>55185</c:v>
                </c:pt>
                <c:pt idx="2300">
                  <c:v>55192</c:v>
                </c:pt>
                <c:pt idx="2301">
                  <c:v>55199</c:v>
                </c:pt>
                <c:pt idx="2302">
                  <c:v>55206</c:v>
                </c:pt>
                <c:pt idx="2303">
                  <c:v>55213</c:v>
                </c:pt>
                <c:pt idx="2304">
                  <c:v>55220</c:v>
                </c:pt>
                <c:pt idx="2305">
                  <c:v>55227</c:v>
                </c:pt>
                <c:pt idx="2306">
                  <c:v>55234</c:v>
                </c:pt>
                <c:pt idx="2307">
                  <c:v>55241</c:v>
                </c:pt>
                <c:pt idx="2308">
                  <c:v>55248</c:v>
                </c:pt>
                <c:pt idx="2309">
                  <c:v>55255</c:v>
                </c:pt>
                <c:pt idx="2310">
                  <c:v>55262</c:v>
                </c:pt>
                <c:pt idx="2311">
                  <c:v>55269</c:v>
                </c:pt>
                <c:pt idx="2312">
                  <c:v>55276</c:v>
                </c:pt>
                <c:pt idx="2313">
                  <c:v>55283</c:v>
                </c:pt>
                <c:pt idx="2314">
                  <c:v>55290</c:v>
                </c:pt>
                <c:pt idx="2315">
                  <c:v>55297</c:v>
                </c:pt>
                <c:pt idx="2316">
                  <c:v>55304</c:v>
                </c:pt>
                <c:pt idx="2317">
                  <c:v>55311</c:v>
                </c:pt>
                <c:pt idx="2318">
                  <c:v>55318</c:v>
                </c:pt>
                <c:pt idx="2319">
                  <c:v>55325</c:v>
                </c:pt>
                <c:pt idx="2320">
                  <c:v>55332</c:v>
                </c:pt>
                <c:pt idx="2321">
                  <c:v>55339</c:v>
                </c:pt>
                <c:pt idx="2322">
                  <c:v>55346</c:v>
                </c:pt>
                <c:pt idx="2323">
                  <c:v>55353</c:v>
                </c:pt>
                <c:pt idx="2324">
                  <c:v>55360</c:v>
                </c:pt>
                <c:pt idx="2325">
                  <c:v>55367</c:v>
                </c:pt>
                <c:pt idx="2326">
                  <c:v>55374</c:v>
                </c:pt>
                <c:pt idx="2327">
                  <c:v>55381</c:v>
                </c:pt>
                <c:pt idx="2328">
                  <c:v>55388</c:v>
                </c:pt>
                <c:pt idx="2329">
                  <c:v>55395</c:v>
                </c:pt>
                <c:pt idx="2330">
                  <c:v>55402</c:v>
                </c:pt>
                <c:pt idx="2331">
                  <c:v>55409</c:v>
                </c:pt>
                <c:pt idx="2332">
                  <c:v>55416</c:v>
                </c:pt>
                <c:pt idx="2333">
                  <c:v>55423</c:v>
                </c:pt>
                <c:pt idx="2334">
                  <c:v>55430</c:v>
                </c:pt>
                <c:pt idx="2335">
                  <c:v>55437</c:v>
                </c:pt>
                <c:pt idx="2336">
                  <c:v>55444</c:v>
                </c:pt>
                <c:pt idx="2337">
                  <c:v>55451</c:v>
                </c:pt>
                <c:pt idx="2338">
                  <c:v>55458</c:v>
                </c:pt>
                <c:pt idx="2339">
                  <c:v>55465</c:v>
                </c:pt>
                <c:pt idx="2340">
                  <c:v>55472</c:v>
                </c:pt>
                <c:pt idx="2341">
                  <c:v>55479</c:v>
                </c:pt>
                <c:pt idx="2342">
                  <c:v>55486</c:v>
                </c:pt>
                <c:pt idx="2343">
                  <c:v>55493</c:v>
                </c:pt>
                <c:pt idx="2344">
                  <c:v>55500</c:v>
                </c:pt>
                <c:pt idx="2345">
                  <c:v>55507</c:v>
                </c:pt>
                <c:pt idx="2346">
                  <c:v>55514</c:v>
                </c:pt>
                <c:pt idx="2347">
                  <c:v>55521</c:v>
                </c:pt>
                <c:pt idx="2348">
                  <c:v>55528</c:v>
                </c:pt>
                <c:pt idx="2349">
                  <c:v>55535</c:v>
                </c:pt>
                <c:pt idx="2350">
                  <c:v>55542</c:v>
                </c:pt>
                <c:pt idx="2351">
                  <c:v>55549</c:v>
                </c:pt>
                <c:pt idx="2352">
                  <c:v>55556</c:v>
                </c:pt>
                <c:pt idx="2353">
                  <c:v>55563</c:v>
                </c:pt>
                <c:pt idx="2354">
                  <c:v>55570</c:v>
                </c:pt>
                <c:pt idx="2355">
                  <c:v>55577</c:v>
                </c:pt>
                <c:pt idx="2356">
                  <c:v>55584</c:v>
                </c:pt>
                <c:pt idx="2357">
                  <c:v>55591</c:v>
                </c:pt>
                <c:pt idx="2358">
                  <c:v>55598</c:v>
                </c:pt>
                <c:pt idx="2359">
                  <c:v>55605</c:v>
                </c:pt>
                <c:pt idx="2360">
                  <c:v>55612</c:v>
                </c:pt>
                <c:pt idx="2361">
                  <c:v>55619</c:v>
                </c:pt>
                <c:pt idx="2362">
                  <c:v>55626</c:v>
                </c:pt>
                <c:pt idx="2363">
                  <c:v>55633</c:v>
                </c:pt>
                <c:pt idx="2364">
                  <c:v>55640</c:v>
                </c:pt>
                <c:pt idx="2365">
                  <c:v>55647</c:v>
                </c:pt>
                <c:pt idx="2366">
                  <c:v>55654</c:v>
                </c:pt>
                <c:pt idx="2367">
                  <c:v>55661</c:v>
                </c:pt>
                <c:pt idx="2368">
                  <c:v>55668</c:v>
                </c:pt>
                <c:pt idx="2369">
                  <c:v>55675</c:v>
                </c:pt>
                <c:pt idx="2370">
                  <c:v>55682</c:v>
                </c:pt>
                <c:pt idx="2371">
                  <c:v>55689</c:v>
                </c:pt>
                <c:pt idx="2372">
                  <c:v>55696</c:v>
                </c:pt>
                <c:pt idx="2373">
                  <c:v>55703</c:v>
                </c:pt>
                <c:pt idx="2374">
                  <c:v>55710</c:v>
                </c:pt>
                <c:pt idx="2375">
                  <c:v>55717</c:v>
                </c:pt>
                <c:pt idx="2376">
                  <c:v>55724</c:v>
                </c:pt>
                <c:pt idx="2377">
                  <c:v>55731</c:v>
                </c:pt>
                <c:pt idx="2378">
                  <c:v>55738</c:v>
                </c:pt>
                <c:pt idx="2379">
                  <c:v>55745</c:v>
                </c:pt>
                <c:pt idx="2380">
                  <c:v>55752</c:v>
                </c:pt>
                <c:pt idx="2381">
                  <c:v>55759</c:v>
                </c:pt>
                <c:pt idx="2382">
                  <c:v>55766</c:v>
                </c:pt>
                <c:pt idx="2383">
                  <c:v>55773</c:v>
                </c:pt>
                <c:pt idx="2384">
                  <c:v>55780</c:v>
                </c:pt>
                <c:pt idx="2385">
                  <c:v>55787</c:v>
                </c:pt>
                <c:pt idx="2386">
                  <c:v>55794</c:v>
                </c:pt>
                <c:pt idx="2387">
                  <c:v>55801</c:v>
                </c:pt>
                <c:pt idx="2388">
                  <c:v>55808</c:v>
                </c:pt>
                <c:pt idx="2389">
                  <c:v>55815</c:v>
                </c:pt>
                <c:pt idx="2390">
                  <c:v>55822</c:v>
                </c:pt>
                <c:pt idx="2391">
                  <c:v>55829</c:v>
                </c:pt>
                <c:pt idx="2392">
                  <c:v>55836</c:v>
                </c:pt>
                <c:pt idx="2393">
                  <c:v>55843</c:v>
                </c:pt>
                <c:pt idx="2394">
                  <c:v>55850</c:v>
                </c:pt>
                <c:pt idx="2395">
                  <c:v>55857</c:v>
                </c:pt>
                <c:pt idx="2396">
                  <c:v>55864</c:v>
                </c:pt>
                <c:pt idx="2397">
                  <c:v>55871</c:v>
                </c:pt>
                <c:pt idx="2398">
                  <c:v>55880</c:v>
                </c:pt>
                <c:pt idx="2399">
                  <c:v>55887</c:v>
                </c:pt>
                <c:pt idx="2400">
                  <c:v>55894</c:v>
                </c:pt>
                <c:pt idx="2401">
                  <c:v>55901</c:v>
                </c:pt>
                <c:pt idx="2402">
                  <c:v>55908</c:v>
                </c:pt>
                <c:pt idx="2403">
                  <c:v>55915</c:v>
                </c:pt>
                <c:pt idx="2404">
                  <c:v>55922</c:v>
                </c:pt>
                <c:pt idx="2405">
                  <c:v>55929</c:v>
                </c:pt>
                <c:pt idx="2406">
                  <c:v>55936</c:v>
                </c:pt>
                <c:pt idx="2407">
                  <c:v>55943</c:v>
                </c:pt>
                <c:pt idx="2408">
                  <c:v>55950</c:v>
                </c:pt>
                <c:pt idx="2409">
                  <c:v>55957</c:v>
                </c:pt>
                <c:pt idx="2410">
                  <c:v>55964</c:v>
                </c:pt>
                <c:pt idx="2411">
                  <c:v>55971</c:v>
                </c:pt>
                <c:pt idx="2412">
                  <c:v>55982</c:v>
                </c:pt>
                <c:pt idx="2413">
                  <c:v>55989</c:v>
                </c:pt>
                <c:pt idx="2414">
                  <c:v>55996</c:v>
                </c:pt>
                <c:pt idx="2415">
                  <c:v>56003</c:v>
                </c:pt>
                <c:pt idx="2416">
                  <c:v>56010</c:v>
                </c:pt>
                <c:pt idx="2417">
                  <c:v>56017</c:v>
                </c:pt>
                <c:pt idx="2418">
                  <c:v>56024</c:v>
                </c:pt>
                <c:pt idx="2419">
                  <c:v>56031</c:v>
                </c:pt>
                <c:pt idx="2420">
                  <c:v>56038</c:v>
                </c:pt>
                <c:pt idx="2421">
                  <c:v>56045</c:v>
                </c:pt>
                <c:pt idx="2422">
                  <c:v>56052</c:v>
                </c:pt>
                <c:pt idx="2423">
                  <c:v>56059</c:v>
                </c:pt>
                <c:pt idx="2424">
                  <c:v>56066</c:v>
                </c:pt>
                <c:pt idx="2425">
                  <c:v>56073</c:v>
                </c:pt>
                <c:pt idx="2426">
                  <c:v>56080</c:v>
                </c:pt>
                <c:pt idx="2427">
                  <c:v>56087</c:v>
                </c:pt>
                <c:pt idx="2428">
                  <c:v>56094</c:v>
                </c:pt>
                <c:pt idx="2429">
                  <c:v>56101</c:v>
                </c:pt>
                <c:pt idx="2430">
                  <c:v>56108</c:v>
                </c:pt>
                <c:pt idx="2431">
                  <c:v>56115</c:v>
                </c:pt>
                <c:pt idx="2432">
                  <c:v>56122</c:v>
                </c:pt>
                <c:pt idx="2433">
                  <c:v>56129</c:v>
                </c:pt>
                <c:pt idx="2434">
                  <c:v>56136</c:v>
                </c:pt>
                <c:pt idx="2435">
                  <c:v>56143</c:v>
                </c:pt>
                <c:pt idx="2436">
                  <c:v>56150</c:v>
                </c:pt>
                <c:pt idx="2437">
                  <c:v>56157</c:v>
                </c:pt>
                <c:pt idx="2438">
                  <c:v>56164</c:v>
                </c:pt>
                <c:pt idx="2439">
                  <c:v>56171</c:v>
                </c:pt>
                <c:pt idx="2440">
                  <c:v>56178</c:v>
                </c:pt>
                <c:pt idx="2441">
                  <c:v>56185</c:v>
                </c:pt>
                <c:pt idx="2442">
                  <c:v>56192</c:v>
                </c:pt>
                <c:pt idx="2443">
                  <c:v>56199</c:v>
                </c:pt>
                <c:pt idx="2444">
                  <c:v>56206</c:v>
                </c:pt>
                <c:pt idx="2445">
                  <c:v>56213</c:v>
                </c:pt>
                <c:pt idx="2446">
                  <c:v>56220</c:v>
                </c:pt>
                <c:pt idx="2447">
                  <c:v>56227</c:v>
                </c:pt>
                <c:pt idx="2448">
                  <c:v>56234</c:v>
                </c:pt>
                <c:pt idx="2449">
                  <c:v>56241</c:v>
                </c:pt>
                <c:pt idx="2450">
                  <c:v>56248</c:v>
                </c:pt>
                <c:pt idx="2451">
                  <c:v>56255</c:v>
                </c:pt>
                <c:pt idx="2452">
                  <c:v>56262</c:v>
                </c:pt>
                <c:pt idx="2453">
                  <c:v>56269</c:v>
                </c:pt>
                <c:pt idx="2454">
                  <c:v>56276</c:v>
                </c:pt>
                <c:pt idx="2455">
                  <c:v>56283</c:v>
                </c:pt>
                <c:pt idx="2456">
                  <c:v>56290</c:v>
                </c:pt>
                <c:pt idx="2457">
                  <c:v>56297</c:v>
                </c:pt>
                <c:pt idx="2458">
                  <c:v>56304</c:v>
                </c:pt>
                <c:pt idx="2459">
                  <c:v>56311</c:v>
                </c:pt>
                <c:pt idx="2460">
                  <c:v>56318</c:v>
                </c:pt>
                <c:pt idx="2461">
                  <c:v>56325</c:v>
                </c:pt>
                <c:pt idx="2462">
                  <c:v>56332</c:v>
                </c:pt>
                <c:pt idx="2463">
                  <c:v>56339</c:v>
                </c:pt>
                <c:pt idx="2464">
                  <c:v>56346</c:v>
                </c:pt>
                <c:pt idx="2465">
                  <c:v>56353</c:v>
                </c:pt>
                <c:pt idx="2466">
                  <c:v>56360</c:v>
                </c:pt>
                <c:pt idx="2467">
                  <c:v>56367</c:v>
                </c:pt>
                <c:pt idx="2468">
                  <c:v>56374</c:v>
                </c:pt>
                <c:pt idx="2469">
                  <c:v>56381</c:v>
                </c:pt>
                <c:pt idx="2470">
                  <c:v>56388</c:v>
                </c:pt>
                <c:pt idx="2471">
                  <c:v>56395</c:v>
                </c:pt>
                <c:pt idx="2472">
                  <c:v>56402</c:v>
                </c:pt>
                <c:pt idx="2473">
                  <c:v>56409</c:v>
                </c:pt>
                <c:pt idx="2474">
                  <c:v>56416</c:v>
                </c:pt>
                <c:pt idx="2475">
                  <c:v>56423</c:v>
                </c:pt>
                <c:pt idx="2476">
                  <c:v>56430</c:v>
                </c:pt>
                <c:pt idx="2477">
                  <c:v>56437</c:v>
                </c:pt>
                <c:pt idx="2478">
                  <c:v>56444</c:v>
                </c:pt>
                <c:pt idx="2479">
                  <c:v>56451</c:v>
                </c:pt>
                <c:pt idx="2480">
                  <c:v>56458</c:v>
                </c:pt>
                <c:pt idx="2481">
                  <c:v>56465</c:v>
                </c:pt>
                <c:pt idx="2482">
                  <c:v>56472</c:v>
                </c:pt>
                <c:pt idx="2483">
                  <c:v>56479</c:v>
                </c:pt>
                <c:pt idx="2484">
                  <c:v>56486</c:v>
                </c:pt>
                <c:pt idx="2485">
                  <c:v>56493</c:v>
                </c:pt>
                <c:pt idx="2486">
                  <c:v>56500</c:v>
                </c:pt>
                <c:pt idx="2487">
                  <c:v>56507</c:v>
                </c:pt>
                <c:pt idx="2488">
                  <c:v>56514</c:v>
                </c:pt>
                <c:pt idx="2489">
                  <c:v>56521</c:v>
                </c:pt>
                <c:pt idx="2490">
                  <c:v>56528</c:v>
                </c:pt>
                <c:pt idx="2491">
                  <c:v>56535</c:v>
                </c:pt>
                <c:pt idx="2492">
                  <c:v>56542</c:v>
                </c:pt>
                <c:pt idx="2493">
                  <c:v>56549</c:v>
                </c:pt>
                <c:pt idx="2494">
                  <c:v>56556</c:v>
                </c:pt>
                <c:pt idx="2495">
                  <c:v>56563</c:v>
                </c:pt>
                <c:pt idx="2496">
                  <c:v>56570</c:v>
                </c:pt>
                <c:pt idx="2497">
                  <c:v>56577</c:v>
                </c:pt>
                <c:pt idx="2498">
                  <c:v>56584</c:v>
                </c:pt>
                <c:pt idx="2499">
                  <c:v>56591</c:v>
                </c:pt>
                <c:pt idx="2500">
                  <c:v>56598</c:v>
                </c:pt>
                <c:pt idx="2501">
                  <c:v>56605</c:v>
                </c:pt>
                <c:pt idx="2502">
                  <c:v>56612</c:v>
                </c:pt>
                <c:pt idx="2503">
                  <c:v>56619</c:v>
                </c:pt>
                <c:pt idx="2504">
                  <c:v>56626</c:v>
                </c:pt>
                <c:pt idx="2505">
                  <c:v>56633</c:v>
                </c:pt>
                <c:pt idx="2506">
                  <c:v>56640</c:v>
                </c:pt>
                <c:pt idx="2507">
                  <c:v>56647</c:v>
                </c:pt>
                <c:pt idx="2508">
                  <c:v>56654</c:v>
                </c:pt>
                <c:pt idx="2509">
                  <c:v>56661</c:v>
                </c:pt>
                <c:pt idx="2510">
                  <c:v>56668</c:v>
                </c:pt>
                <c:pt idx="2511">
                  <c:v>56675</c:v>
                </c:pt>
                <c:pt idx="2512">
                  <c:v>56682</c:v>
                </c:pt>
                <c:pt idx="2513">
                  <c:v>56689</c:v>
                </c:pt>
                <c:pt idx="2514">
                  <c:v>56696</c:v>
                </c:pt>
                <c:pt idx="2515">
                  <c:v>56703</c:v>
                </c:pt>
                <c:pt idx="2516">
                  <c:v>56710</c:v>
                </c:pt>
                <c:pt idx="2517">
                  <c:v>56717</c:v>
                </c:pt>
                <c:pt idx="2518">
                  <c:v>56724</c:v>
                </c:pt>
                <c:pt idx="2519">
                  <c:v>56731</c:v>
                </c:pt>
                <c:pt idx="2520">
                  <c:v>56738</c:v>
                </c:pt>
                <c:pt idx="2521">
                  <c:v>56745</c:v>
                </c:pt>
                <c:pt idx="2522">
                  <c:v>56752</c:v>
                </c:pt>
                <c:pt idx="2523">
                  <c:v>56759</c:v>
                </c:pt>
                <c:pt idx="2524">
                  <c:v>56766</c:v>
                </c:pt>
                <c:pt idx="2525">
                  <c:v>56773</c:v>
                </c:pt>
                <c:pt idx="2526">
                  <c:v>56780</c:v>
                </c:pt>
                <c:pt idx="2527">
                  <c:v>56787</c:v>
                </c:pt>
                <c:pt idx="2528">
                  <c:v>56794</c:v>
                </c:pt>
                <c:pt idx="2529">
                  <c:v>56801</c:v>
                </c:pt>
                <c:pt idx="2530">
                  <c:v>56808</c:v>
                </c:pt>
                <c:pt idx="2531">
                  <c:v>56815</c:v>
                </c:pt>
                <c:pt idx="2532">
                  <c:v>56822</c:v>
                </c:pt>
                <c:pt idx="2533">
                  <c:v>56829</c:v>
                </c:pt>
                <c:pt idx="2534">
                  <c:v>56836</c:v>
                </c:pt>
                <c:pt idx="2535">
                  <c:v>56843</c:v>
                </c:pt>
                <c:pt idx="2536">
                  <c:v>56850</c:v>
                </c:pt>
                <c:pt idx="2537">
                  <c:v>56857</c:v>
                </c:pt>
                <c:pt idx="2538">
                  <c:v>56864</c:v>
                </c:pt>
                <c:pt idx="2539">
                  <c:v>56871</c:v>
                </c:pt>
                <c:pt idx="2540">
                  <c:v>56878</c:v>
                </c:pt>
                <c:pt idx="2541">
                  <c:v>56885</c:v>
                </c:pt>
                <c:pt idx="2542">
                  <c:v>56892</c:v>
                </c:pt>
                <c:pt idx="2543">
                  <c:v>56899</c:v>
                </c:pt>
                <c:pt idx="2544">
                  <c:v>56906</c:v>
                </c:pt>
                <c:pt idx="2545">
                  <c:v>56913</c:v>
                </c:pt>
                <c:pt idx="2546">
                  <c:v>56920</c:v>
                </c:pt>
                <c:pt idx="2547">
                  <c:v>56927</c:v>
                </c:pt>
                <c:pt idx="2548">
                  <c:v>56934</c:v>
                </c:pt>
                <c:pt idx="2549">
                  <c:v>56941</c:v>
                </c:pt>
                <c:pt idx="2550">
                  <c:v>56948</c:v>
                </c:pt>
                <c:pt idx="2551">
                  <c:v>56955</c:v>
                </c:pt>
                <c:pt idx="2552">
                  <c:v>56962</c:v>
                </c:pt>
                <c:pt idx="2553">
                  <c:v>56969</c:v>
                </c:pt>
                <c:pt idx="2554">
                  <c:v>56977</c:v>
                </c:pt>
                <c:pt idx="2555">
                  <c:v>56984</c:v>
                </c:pt>
                <c:pt idx="2556">
                  <c:v>56991</c:v>
                </c:pt>
                <c:pt idx="2557">
                  <c:v>56998</c:v>
                </c:pt>
                <c:pt idx="2558">
                  <c:v>57005</c:v>
                </c:pt>
                <c:pt idx="2559">
                  <c:v>57012</c:v>
                </c:pt>
                <c:pt idx="2560">
                  <c:v>57019</c:v>
                </c:pt>
                <c:pt idx="2561">
                  <c:v>57026</c:v>
                </c:pt>
                <c:pt idx="2562">
                  <c:v>57033</c:v>
                </c:pt>
                <c:pt idx="2563">
                  <c:v>57040</c:v>
                </c:pt>
                <c:pt idx="2564">
                  <c:v>57047</c:v>
                </c:pt>
                <c:pt idx="2565">
                  <c:v>57054</c:v>
                </c:pt>
                <c:pt idx="2566">
                  <c:v>57061</c:v>
                </c:pt>
                <c:pt idx="2567">
                  <c:v>57068</c:v>
                </c:pt>
                <c:pt idx="2568">
                  <c:v>57075</c:v>
                </c:pt>
                <c:pt idx="2569">
                  <c:v>57082</c:v>
                </c:pt>
                <c:pt idx="2570">
                  <c:v>57089</c:v>
                </c:pt>
                <c:pt idx="2571">
                  <c:v>57096</c:v>
                </c:pt>
                <c:pt idx="2572">
                  <c:v>57103</c:v>
                </c:pt>
                <c:pt idx="2573">
                  <c:v>57110</c:v>
                </c:pt>
                <c:pt idx="2574">
                  <c:v>57117</c:v>
                </c:pt>
                <c:pt idx="2575">
                  <c:v>57124</c:v>
                </c:pt>
                <c:pt idx="2576">
                  <c:v>57131</c:v>
                </c:pt>
                <c:pt idx="2577">
                  <c:v>57138</c:v>
                </c:pt>
                <c:pt idx="2578">
                  <c:v>57145</c:v>
                </c:pt>
                <c:pt idx="2579">
                  <c:v>57152</c:v>
                </c:pt>
                <c:pt idx="2580">
                  <c:v>57159</c:v>
                </c:pt>
                <c:pt idx="2581">
                  <c:v>57166</c:v>
                </c:pt>
                <c:pt idx="2582">
                  <c:v>57173</c:v>
                </c:pt>
                <c:pt idx="2583">
                  <c:v>57180</c:v>
                </c:pt>
                <c:pt idx="2584">
                  <c:v>57187</c:v>
                </c:pt>
                <c:pt idx="2585">
                  <c:v>57194</c:v>
                </c:pt>
                <c:pt idx="2586">
                  <c:v>57201</c:v>
                </c:pt>
                <c:pt idx="2587">
                  <c:v>57208</c:v>
                </c:pt>
                <c:pt idx="2588">
                  <c:v>57215</c:v>
                </c:pt>
                <c:pt idx="2589">
                  <c:v>57222</c:v>
                </c:pt>
                <c:pt idx="2590">
                  <c:v>57229</c:v>
                </c:pt>
                <c:pt idx="2591">
                  <c:v>57236</c:v>
                </c:pt>
                <c:pt idx="2592">
                  <c:v>57243</c:v>
                </c:pt>
                <c:pt idx="2593">
                  <c:v>57250</c:v>
                </c:pt>
                <c:pt idx="2594">
                  <c:v>57257</c:v>
                </c:pt>
                <c:pt idx="2595">
                  <c:v>57264</c:v>
                </c:pt>
                <c:pt idx="2596">
                  <c:v>57271</c:v>
                </c:pt>
                <c:pt idx="2597">
                  <c:v>57278</c:v>
                </c:pt>
                <c:pt idx="2598">
                  <c:v>57285</c:v>
                </c:pt>
                <c:pt idx="2599">
                  <c:v>57292</c:v>
                </c:pt>
                <c:pt idx="2600">
                  <c:v>57299</c:v>
                </c:pt>
                <c:pt idx="2601">
                  <c:v>57306</c:v>
                </c:pt>
                <c:pt idx="2602">
                  <c:v>57313</c:v>
                </c:pt>
                <c:pt idx="2603">
                  <c:v>57320</c:v>
                </c:pt>
                <c:pt idx="2604">
                  <c:v>57327</c:v>
                </c:pt>
                <c:pt idx="2605">
                  <c:v>57334</c:v>
                </c:pt>
                <c:pt idx="2606">
                  <c:v>57341</c:v>
                </c:pt>
                <c:pt idx="2607">
                  <c:v>57348</c:v>
                </c:pt>
                <c:pt idx="2608">
                  <c:v>57355</c:v>
                </c:pt>
                <c:pt idx="2609">
                  <c:v>57362</c:v>
                </c:pt>
                <c:pt idx="2610">
                  <c:v>57369</c:v>
                </c:pt>
                <c:pt idx="2611">
                  <c:v>57376</c:v>
                </c:pt>
                <c:pt idx="2612">
                  <c:v>57383</c:v>
                </c:pt>
                <c:pt idx="2613">
                  <c:v>57390</c:v>
                </c:pt>
                <c:pt idx="2614">
                  <c:v>57397</c:v>
                </c:pt>
                <c:pt idx="2615">
                  <c:v>57404</c:v>
                </c:pt>
                <c:pt idx="2616">
                  <c:v>57411</c:v>
                </c:pt>
                <c:pt idx="2617">
                  <c:v>57418</c:v>
                </c:pt>
                <c:pt idx="2618">
                  <c:v>57425</c:v>
                </c:pt>
                <c:pt idx="2619">
                  <c:v>57432</c:v>
                </c:pt>
                <c:pt idx="2620">
                  <c:v>57439</c:v>
                </c:pt>
                <c:pt idx="2621">
                  <c:v>57446</c:v>
                </c:pt>
                <c:pt idx="2622">
                  <c:v>57453</c:v>
                </c:pt>
                <c:pt idx="2623">
                  <c:v>57460</c:v>
                </c:pt>
                <c:pt idx="2624">
                  <c:v>57467</c:v>
                </c:pt>
                <c:pt idx="2625">
                  <c:v>57474</c:v>
                </c:pt>
                <c:pt idx="2626">
                  <c:v>57481</c:v>
                </c:pt>
                <c:pt idx="2627">
                  <c:v>57488</c:v>
                </c:pt>
                <c:pt idx="2628">
                  <c:v>57495</c:v>
                </c:pt>
                <c:pt idx="2629">
                  <c:v>57502</c:v>
                </c:pt>
                <c:pt idx="2630">
                  <c:v>57509</c:v>
                </c:pt>
                <c:pt idx="2631">
                  <c:v>57516</c:v>
                </c:pt>
                <c:pt idx="2632">
                  <c:v>57523</c:v>
                </c:pt>
                <c:pt idx="2633">
                  <c:v>57530</c:v>
                </c:pt>
                <c:pt idx="2634">
                  <c:v>57537</c:v>
                </c:pt>
                <c:pt idx="2635">
                  <c:v>57544</c:v>
                </c:pt>
                <c:pt idx="2636">
                  <c:v>57551</c:v>
                </c:pt>
                <c:pt idx="2637">
                  <c:v>57558</c:v>
                </c:pt>
                <c:pt idx="2638">
                  <c:v>57565</c:v>
                </c:pt>
                <c:pt idx="2639">
                  <c:v>57572</c:v>
                </c:pt>
                <c:pt idx="2640">
                  <c:v>57579</c:v>
                </c:pt>
                <c:pt idx="2641">
                  <c:v>57586</c:v>
                </c:pt>
                <c:pt idx="2642">
                  <c:v>57593</c:v>
                </c:pt>
                <c:pt idx="2643">
                  <c:v>57600</c:v>
                </c:pt>
                <c:pt idx="2644">
                  <c:v>57607</c:v>
                </c:pt>
                <c:pt idx="2645">
                  <c:v>57614</c:v>
                </c:pt>
                <c:pt idx="2646">
                  <c:v>57621</c:v>
                </c:pt>
                <c:pt idx="2647">
                  <c:v>57628</c:v>
                </c:pt>
                <c:pt idx="2648">
                  <c:v>57635</c:v>
                </c:pt>
                <c:pt idx="2649">
                  <c:v>57642</c:v>
                </c:pt>
                <c:pt idx="2650">
                  <c:v>57649</c:v>
                </c:pt>
                <c:pt idx="2651">
                  <c:v>57656</c:v>
                </c:pt>
                <c:pt idx="2652">
                  <c:v>57663</c:v>
                </c:pt>
                <c:pt idx="2653">
                  <c:v>57670</c:v>
                </c:pt>
                <c:pt idx="2654">
                  <c:v>57677</c:v>
                </c:pt>
                <c:pt idx="2655">
                  <c:v>57684</c:v>
                </c:pt>
                <c:pt idx="2656">
                  <c:v>57691</c:v>
                </c:pt>
                <c:pt idx="2657">
                  <c:v>57698</c:v>
                </c:pt>
                <c:pt idx="2658">
                  <c:v>57706</c:v>
                </c:pt>
                <c:pt idx="2659">
                  <c:v>57713</c:v>
                </c:pt>
                <c:pt idx="2660">
                  <c:v>57720</c:v>
                </c:pt>
                <c:pt idx="2661">
                  <c:v>57727</c:v>
                </c:pt>
                <c:pt idx="2662">
                  <c:v>57734</c:v>
                </c:pt>
                <c:pt idx="2663">
                  <c:v>57741</c:v>
                </c:pt>
                <c:pt idx="2664">
                  <c:v>57748</c:v>
                </c:pt>
                <c:pt idx="2665">
                  <c:v>57755</c:v>
                </c:pt>
                <c:pt idx="2666">
                  <c:v>57762</c:v>
                </c:pt>
                <c:pt idx="2667">
                  <c:v>57769</c:v>
                </c:pt>
                <c:pt idx="2668">
                  <c:v>57776</c:v>
                </c:pt>
                <c:pt idx="2669">
                  <c:v>57783</c:v>
                </c:pt>
                <c:pt idx="2670">
                  <c:v>57790</c:v>
                </c:pt>
                <c:pt idx="2671">
                  <c:v>57797</c:v>
                </c:pt>
                <c:pt idx="2672">
                  <c:v>57804</c:v>
                </c:pt>
                <c:pt idx="2673">
                  <c:v>57811</c:v>
                </c:pt>
                <c:pt idx="2674">
                  <c:v>57818</c:v>
                </c:pt>
                <c:pt idx="2675">
                  <c:v>57825</c:v>
                </c:pt>
                <c:pt idx="2676">
                  <c:v>57832</c:v>
                </c:pt>
                <c:pt idx="2677">
                  <c:v>57839</c:v>
                </c:pt>
                <c:pt idx="2678">
                  <c:v>57846</c:v>
                </c:pt>
                <c:pt idx="2679">
                  <c:v>57853</c:v>
                </c:pt>
                <c:pt idx="2680">
                  <c:v>57860</c:v>
                </c:pt>
                <c:pt idx="2681">
                  <c:v>57867</c:v>
                </c:pt>
                <c:pt idx="2682">
                  <c:v>57874</c:v>
                </c:pt>
                <c:pt idx="2683">
                  <c:v>57881</c:v>
                </c:pt>
                <c:pt idx="2684">
                  <c:v>57888</c:v>
                </c:pt>
                <c:pt idx="2685">
                  <c:v>57895</c:v>
                </c:pt>
                <c:pt idx="2686">
                  <c:v>57902</c:v>
                </c:pt>
                <c:pt idx="2687">
                  <c:v>57909</c:v>
                </c:pt>
                <c:pt idx="2688">
                  <c:v>57916</c:v>
                </c:pt>
                <c:pt idx="2689">
                  <c:v>57923</c:v>
                </c:pt>
                <c:pt idx="2690">
                  <c:v>57930</c:v>
                </c:pt>
                <c:pt idx="2691">
                  <c:v>57937</c:v>
                </c:pt>
                <c:pt idx="2692">
                  <c:v>57944</c:v>
                </c:pt>
                <c:pt idx="2693">
                  <c:v>57951</c:v>
                </c:pt>
                <c:pt idx="2694">
                  <c:v>57958</c:v>
                </c:pt>
                <c:pt idx="2695">
                  <c:v>57965</c:v>
                </c:pt>
                <c:pt idx="2696">
                  <c:v>57972</c:v>
                </c:pt>
                <c:pt idx="2697">
                  <c:v>57979</c:v>
                </c:pt>
                <c:pt idx="2698">
                  <c:v>57986</c:v>
                </c:pt>
                <c:pt idx="2699">
                  <c:v>57993</c:v>
                </c:pt>
                <c:pt idx="2700">
                  <c:v>58000</c:v>
                </c:pt>
                <c:pt idx="2701">
                  <c:v>58007</c:v>
                </c:pt>
                <c:pt idx="2702">
                  <c:v>58014</c:v>
                </c:pt>
                <c:pt idx="2703">
                  <c:v>58021</c:v>
                </c:pt>
                <c:pt idx="2704">
                  <c:v>58028</c:v>
                </c:pt>
                <c:pt idx="2705">
                  <c:v>58035</c:v>
                </c:pt>
                <c:pt idx="2706">
                  <c:v>58042</c:v>
                </c:pt>
                <c:pt idx="2707">
                  <c:v>58049</c:v>
                </c:pt>
                <c:pt idx="2708">
                  <c:v>58056</c:v>
                </c:pt>
                <c:pt idx="2709">
                  <c:v>58063</c:v>
                </c:pt>
                <c:pt idx="2710">
                  <c:v>58071</c:v>
                </c:pt>
                <c:pt idx="2711">
                  <c:v>58078</c:v>
                </c:pt>
                <c:pt idx="2712">
                  <c:v>58085</c:v>
                </c:pt>
                <c:pt idx="2713">
                  <c:v>58092</c:v>
                </c:pt>
                <c:pt idx="2714">
                  <c:v>58099</c:v>
                </c:pt>
                <c:pt idx="2715">
                  <c:v>58106</c:v>
                </c:pt>
                <c:pt idx="2716">
                  <c:v>58113</c:v>
                </c:pt>
                <c:pt idx="2717">
                  <c:v>58120</c:v>
                </c:pt>
                <c:pt idx="2718">
                  <c:v>58127</c:v>
                </c:pt>
                <c:pt idx="2719">
                  <c:v>58134</c:v>
                </c:pt>
                <c:pt idx="2720">
                  <c:v>58141</c:v>
                </c:pt>
                <c:pt idx="2721">
                  <c:v>58148</c:v>
                </c:pt>
                <c:pt idx="2722">
                  <c:v>58155</c:v>
                </c:pt>
                <c:pt idx="2723">
                  <c:v>58166</c:v>
                </c:pt>
                <c:pt idx="2724">
                  <c:v>58173</c:v>
                </c:pt>
                <c:pt idx="2725">
                  <c:v>58180</c:v>
                </c:pt>
                <c:pt idx="2726">
                  <c:v>58187</c:v>
                </c:pt>
                <c:pt idx="2727">
                  <c:v>58194</c:v>
                </c:pt>
                <c:pt idx="2728">
                  <c:v>58201</c:v>
                </c:pt>
                <c:pt idx="2729">
                  <c:v>58208</c:v>
                </c:pt>
                <c:pt idx="2730">
                  <c:v>58215</c:v>
                </c:pt>
                <c:pt idx="2731">
                  <c:v>58222</c:v>
                </c:pt>
                <c:pt idx="2732">
                  <c:v>58229</c:v>
                </c:pt>
                <c:pt idx="2733">
                  <c:v>58236</c:v>
                </c:pt>
                <c:pt idx="2734">
                  <c:v>58243</c:v>
                </c:pt>
                <c:pt idx="2735">
                  <c:v>58250</c:v>
                </c:pt>
                <c:pt idx="2736">
                  <c:v>58257</c:v>
                </c:pt>
                <c:pt idx="2737">
                  <c:v>58264</c:v>
                </c:pt>
                <c:pt idx="2738">
                  <c:v>58271</c:v>
                </c:pt>
                <c:pt idx="2739">
                  <c:v>58278</c:v>
                </c:pt>
                <c:pt idx="2740">
                  <c:v>58285</c:v>
                </c:pt>
                <c:pt idx="2741">
                  <c:v>58292</c:v>
                </c:pt>
                <c:pt idx="2742">
                  <c:v>58299</c:v>
                </c:pt>
                <c:pt idx="2743">
                  <c:v>58306</c:v>
                </c:pt>
                <c:pt idx="2744">
                  <c:v>58313</c:v>
                </c:pt>
                <c:pt idx="2745">
                  <c:v>58320</c:v>
                </c:pt>
                <c:pt idx="2746">
                  <c:v>58327</c:v>
                </c:pt>
                <c:pt idx="2747">
                  <c:v>58334</c:v>
                </c:pt>
                <c:pt idx="2748">
                  <c:v>58341</c:v>
                </c:pt>
                <c:pt idx="2749">
                  <c:v>58348</c:v>
                </c:pt>
                <c:pt idx="2750">
                  <c:v>58355</c:v>
                </c:pt>
                <c:pt idx="2751">
                  <c:v>58362</c:v>
                </c:pt>
                <c:pt idx="2752">
                  <c:v>58369</c:v>
                </c:pt>
                <c:pt idx="2753">
                  <c:v>58376</c:v>
                </c:pt>
                <c:pt idx="2754">
                  <c:v>58383</c:v>
                </c:pt>
                <c:pt idx="2755">
                  <c:v>58390</c:v>
                </c:pt>
                <c:pt idx="2756">
                  <c:v>58397</c:v>
                </c:pt>
                <c:pt idx="2757">
                  <c:v>58404</c:v>
                </c:pt>
                <c:pt idx="2758">
                  <c:v>58411</c:v>
                </c:pt>
                <c:pt idx="2759">
                  <c:v>58418</c:v>
                </c:pt>
                <c:pt idx="2760">
                  <c:v>58425</c:v>
                </c:pt>
                <c:pt idx="2761">
                  <c:v>58432</c:v>
                </c:pt>
                <c:pt idx="2762">
                  <c:v>58439</c:v>
                </c:pt>
                <c:pt idx="2763">
                  <c:v>58446</c:v>
                </c:pt>
                <c:pt idx="2764">
                  <c:v>58453</c:v>
                </c:pt>
                <c:pt idx="2765">
                  <c:v>58460</c:v>
                </c:pt>
                <c:pt idx="2766">
                  <c:v>58467</c:v>
                </c:pt>
                <c:pt idx="2767">
                  <c:v>58474</c:v>
                </c:pt>
                <c:pt idx="2768">
                  <c:v>58481</c:v>
                </c:pt>
                <c:pt idx="2769">
                  <c:v>58488</c:v>
                </c:pt>
                <c:pt idx="2770">
                  <c:v>58495</c:v>
                </c:pt>
                <c:pt idx="2771">
                  <c:v>58502</c:v>
                </c:pt>
                <c:pt idx="2772">
                  <c:v>58509</c:v>
                </c:pt>
                <c:pt idx="2773">
                  <c:v>58516</c:v>
                </c:pt>
                <c:pt idx="2774">
                  <c:v>58523</c:v>
                </c:pt>
                <c:pt idx="2775">
                  <c:v>58530</c:v>
                </c:pt>
                <c:pt idx="2776">
                  <c:v>58537</c:v>
                </c:pt>
                <c:pt idx="2777">
                  <c:v>58544</c:v>
                </c:pt>
                <c:pt idx="2778">
                  <c:v>58551</c:v>
                </c:pt>
                <c:pt idx="2779">
                  <c:v>58558</c:v>
                </c:pt>
                <c:pt idx="2780">
                  <c:v>58565</c:v>
                </c:pt>
                <c:pt idx="2781">
                  <c:v>58572</c:v>
                </c:pt>
                <c:pt idx="2782">
                  <c:v>58579</c:v>
                </c:pt>
                <c:pt idx="2783">
                  <c:v>58586</c:v>
                </c:pt>
                <c:pt idx="2784">
                  <c:v>58593</c:v>
                </c:pt>
                <c:pt idx="2785">
                  <c:v>58600</c:v>
                </c:pt>
                <c:pt idx="2786">
                  <c:v>58607</c:v>
                </c:pt>
                <c:pt idx="2787">
                  <c:v>58614</c:v>
                </c:pt>
                <c:pt idx="2788">
                  <c:v>58621</c:v>
                </c:pt>
                <c:pt idx="2789">
                  <c:v>58628</c:v>
                </c:pt>
                <c:pt idx="2790">
                  <c:v>58635</c:v>
                </c:pt>
                <c:pt idx="2791">
                  <c:v>58642</c:v>
                </c:pt>
                <c:pt idx="2792">
                  <c:v>58649</c:v>
                </c:pt>
                <c:pt idx="2793">
                  <c:v>58656</c:v>
                </c:pt>
                <c:pt idx="2794">
                  <c:v>58663</c:v>
                </c:pt>
                <c:pt idx="2795">
                  <c:v>58670</c:v>
                </c:pt>
                <c:pt idx="2796">
                  <c:v>58677</c:v>
                </c:pt>
                <c:pt idx="2797">
                  <c:v>58684</c:v>
                </c:pt>
                <c:pt idx="2798">
                  <c:v>58691</c:v>
                </c:pt>
                <c:pt idx="2799">
                  <c:v>58698</c:v>
                </c:pt>
                <c:pt idx="2800">
                  <c:v>58705</c:v>
                </c:pt>
                <c:pt idx="2801">
                  <c:v>58712</c:v>
                </c:pt>
                <c:pt idx="2802">
                  <c:v>58719</c:v>
                </c:pt>
                <c:pt idx="2803">
                  <c:v>58726</c:v>
                </c:pt>
                <c:pt idx="2804">
                  <c:v>58733</c:v>
                </c:pt>
                <c:pt idx="2805">
                  <c:v>58740</c:v>
                </c:pt>
                <c:pt idx="2806">
                  <c:v>58747</c:v>
                </c:pt>
                <c:pt idx="2807">
                  <c:v>58754</c:v>
                </c:pt>
                <c:pt idx="2808">
                  <c:v>58761</c:v>
                </c:pt>
                <c:pt idx="2809">
                  <c:v>58768</c:v>
                </c:pt>
                <c:pt idx="2810">
                  <c:v>58775</c:v>
                </c:pt>
                <c:pt idx="2811">
                  <c:v>58782</c:v>
                </c:pt>
                <c:pt idx="2812">
                  <c:v>58789</c:v>
                </c:pt>
                <c:pt idx="2813">
                  <c:v>58796</c:v>
                </c:pt>
                <c:pt idx="2814">
                  <c:v>58804</c:v>
                </c:pt>
                <c:pt idx="2815">
                  <c:v>58811</c:v>
                </c:pt>
                <c:pt idx="2816">
                  <c:v>58818</c:v>
                </c:pt>
                <c:pt idx="2817">
                  <c:v>58825</c:v>
                </c:pt>
                <c:pt idx="2818">
                  <c:v>58832</c:v>
                </c:pt>
                <c:pt idx="2819">
                  <c:v>58839</c:v>
                </c:pt>
                <c:pt idx="2820">
                  <c:v>58846</c:v>
                </c:pt>
                <c:pt idx="2821">
                  <c:v>58853</c:v>
                </c:pt>
                <c:pt idx="2822">
                  <c:v>58860</c:v>
                </c:pt>
                <c:pt idx="2823">
                  <c:v>58867</c:v>
                </c:pt>
                <c:pt idx="2824">
                  <c:v>58874</c:v>
                </c:pt>
                <c:pt idx="2825">
                  <c:v>58881</c:v>
                </c:pt>
                <c:pt idx="2826">
                  <c:v>58888</c:v>
                </c:pt>
                <c:pt idx="2827">
                  <c:v>58895</c:v>
                </c:pt>
                <c:pt idx="2828">
                  <c:v>58902</c:v>
                </c:pt>
                <c:pt idx="2829">
                  <c:v>58909</c:v>
                </c:pt>
                <c:pt idx="2830">
                  <c:v>58916</c:v>
                </c:pt>
                <c:pt idx="2831">
                  <c:v>58923</c:v>
                </c:pt>
                <c:pt idx="2832">
                  <c:v>58930</c:v>
                </c:pt>
                <c:pt idx="2833">
                  <c:v>58937</c:v>
                </c:pt>
                <c:pt idx="2834">
                  <c:v>58944</c:v>
                </c:pt>
                <c:pt idx="2835">
                  <c:v>58951</c:v>
                </c:pt>
                <c:pt idx="2836">
                  <c:v>58958</c:v>
                </c:pt>
                <c:pt idx="2837">
                  <c:v>58965</c:v>
                </c:pt>
                <c:pt idx="2838">
                  <c:v>58972</c:v>
                </c:pt>
                <c:pt idx="2839">
                  <c:v>58979</c:v>
                </c:pt>
                <c:pt idx="2840">
                  <c:v>58986</c:v>
                </c:pt>
                <c:pt idx="2841">
                  <c:v>58993</c:v>
                </c:pt>
                <c:pt idx="2842">
                  <c:v>59000</c:v>
                </c:pt>
                <c:pt idx="2843">
                  <c:v>59007</c:v>
                </c:pt>
                <c:pt idx="2844">
                  <c:v>59014</c:v>
                </c:pt>
                <c:pt idx="2845">
                  <c:v>59021</c:v>
                </c:pt>
                <c:pt idx="2846">
                  <c:v>59028</c:v>
                </c:pt>
                <c:pt idx="2847">
                  <c:v>59035</c:v>
                </c:pt>
                <c:pt idx="2848">
                  <c:v>59042</c:v>
                </c:pt>
                <c:pt idx="2849">
                  <c:v>59049</c:v>
                </c:pt>
                <c:pt idx="2850">
                  <c:v>59056</c:v>
                </c:pt>
                <c:pt idx="2851">
                  <c:v>59063</c:v>
                </c:pt>
                <c:pt idx="2852">
                  <c:v>59070</c:v>
                </c:pt>
                <c:pt idx="2853">
                  <c:v>59077</c:v>
                </c:pt>
                <c:pt idx="2854">
                  <c:v>59084</c:v>
                </c:pt>
                <c:pt idx="2855">
                  <c:v>59091</c:v>
                </c:pt>
                <c:pt idx="2856">
                  <c:v>59098</c:v>
                </c:pt>
                <c:pt idx="2857">
                  <c:v>59105</c:v>
                </c:pt>
                <c:pt idx="2858">
                  <c:v>59112</c:v>
                </c:pt>
                <c:pt idx="2859">
                  <c:v>59119</c:v>
                </c:pt>
                <c:pt idx="2860">
                  <c:v>59126</c:v>
                </c:pt>
                <c:pt idx="2861">
                  <c:v>59133</c:v>
                </c:pt>
                <c:pt idx="2862">
                  <c:v>59140</c:v>
                </c:pt>
                <c:pt idx="2863">
                  <c:v>59147</c:v>
                </c:pt>
                <c:pt idx="2864">
                  <c:v>59154</c:v>
                </c:pt>
                <c:pt idx="2865">
                  <c:v>59161</c:v>
                </c:pt>
                <c:pt idx="2866">
                  <c:v>59168</c:v>
                </c:pt>
                <c:pt idx="2867">
                  <c:v>59175</c:v>
                </c:pt>
                <c:pt idx="2868">
                  <c:v>59182</c:v>
                </c:pt>
                <c:pt idx="2869">
                  <c:v>59189</c:v>
                </c:pt>
                <c:pt idx="2870">
                  <c:v>59196</c:v>
                </c:pt>
                <c:pt idx="2871">
                  <c:v>59203</c:v>
                </c:pt>
                <c:pt idx="2872">
                  <c:v>59210</c:v>
                </c:pt>
                <c:pt idx="2873">
                  <c:v>59217</c:v>
                </c:pt>
                <c:pt idx="2874">
                  <c:v>59224</c:v>
                </c:pt>
                <c:pt idx="2875">
                  <c:v>59231</c:v>
                </c:pt>
                <c:pt idx="2876">
                  <c:v>59238</c:v>
                </c:pt>
                <c:pt idx="2877">
                  <c:v>59245</c:v>
                </c:pt>
                <c:pt idx="2878">
                  <c:v>59252</c:v>
                </c:pt>
                <c:pt idx="2879">
                  <c:v>59259</c:v>
                </c:pt>
                <c:pt idx="2880">
                  <c:v>59266</c:v>
                </c:pt>
                <c:pt idx="2881">
                  <c:v>59273</c:v>
                </c:pt>
                <c:pt idx="2882">
                  <c:v>59280</c:v>
                </c:pt>
                <c:pt idx="2883">
                  <c:v>59287</c:v>
                </c:pt>
                <c:pt idx="2884">
                  <c:v>59294</c:v>
                </c:pt>
                <c:pt idx="2885">
                  <c:v>59301</c:v>
                </c:pt>
                <c:pt idx="2886">
                  <c:v>59308</c:v>
                </c:pt>
                <c:pt idx="2887">
                  <c:v>59315</c:v>
                </c:pt>
                <c:pt idx="2888">
                  <c:v>59322</c:v>
                </c:pt>
                <c:pt idx="2889">
                  <c:v>59329</c:v>
                </c:pt>
                <c:pt idx="2890">
                  <c:v>59336</c:v>
                </c:pt>
                <c:pt idx="2891">
                  <c:v>59343</c:v>
                </c:pt>
                <c:pt idx="2892">
                  <c:v>59350</c:v>
                </c:pt>
                <c:pt idx="2893">
                  <c:v>59357</c:v>
                </c:pt>
                <c:pt idx="2894">
                  <c:v>59364</c:v>
                </c:pt>
                <c:pt idx="2895">
                  <c:v>59371</c:v>
                </c:pt>
                <c:pt idx="2896">
                  <c:v>59378</c:v>
                </c:pt>
                <c:pt idx="2897">
                  <c:v>59385</c:v>
                </c:pt>
                <c:pt idx="2898">
                  <c:v>59392</c:v>
                </c:pt>
                <c:pt idx="2899">
                  <c:v>59399</c:v>
                </c:pt>
                <c:pt idx="2900">
                  <c:v>59406</c:v>
                </c:pt>
                <c:pt idx="2901">
                  <c:v>59413</c:v>
                </c:pt>
                <c:pt idx="2902">
                  <c:v>59420</c:v>
                </c:pt>
                <c:pt idx="2903">
                  <c:v>59427</c:v>
                </c:pt>
                <c:pt idx="2904">
                  <c:v>59434</c:v>
                </c:pt>
                <c:pt idx="2905">
                  <c:v>59441</c:v>
                </c:pt>
                <c:pt idx="2906">
                  <c:v>59448</c:v>
                </c:pt>
                <c:pt idx="2907">
                  <c:v>59455</c:v>
                </c:pt>
                <c:pt idx="2908">
                  <c:v>59462</c:v>
                </c:pt>
                <c:pt idx="2909">
                  <c:v>59469</c:v>
                </c:pt>
                <c:pt idx="2910">
                  <c:v>59476</c:v>
                </c:pt>
                <c:pt idx="2911">
                  <c:v>59483</c:v>
                </c:pt>
                <c:pt idx="2912">
                  <c:v>59490</c:v>
                </c:pt>
                <c:pt idx="2913">
                  <c:v>59497</c:v>
                </c:pt>
                <c:pt idx="2914">
                  <c:v>59504</c:v>
                </c:pt>
                <c:pt idx="2915">
                  <c:v>59511</c:v>
                </c:pt>
                <c:pt idx="2916">
                  <c:v>59518</c:v>
                </c:pt>
                <c:pt idx="2917">
                  <c:v>59525</c:v>
                </c:pt>
                <c:pt idx="2918">
                  <c:v>59532</c:v>
                </c:pt>
                <c:pt idx="2919">
                  <c:v>59539</c:v>
                </c:pt>
                <c:pt idx="2920">
                  <c:v>59546</c:v>
                </c:pt>
                <c:pt idx="2921">
                  <c:v>59553</c:v>
                </c:pt>
                <c:pt idx="2922">
                  <c:v>59560</c:v>
                </c:pt>
                <c:pt idx="2923">
                  <c:v>59567</c:v>
                </c:pt>
                <c:pt idx="2924">
                  <c:v>59574</c:v>
                </c:pt>
                <c:pt idx="2925">
                  <c:v>59581</c:v>
                </c:pt>
                <c:pt idx="2926">
                  <c:v>59588</c:v>
                </c:pt>
                <c:pt idx="2927">
                  <c:v>59595</c:v>
                </c:pt>
                <c:pt idx="2928">
                  <c:v>59602</c:v>
                </c:pt>
                <c:pt idx="2929">
                  <c:v>59609</c:v>
                </c:pt>
                <c:pt idx="2930">
                  <c:v>59616</c:v>
                </c:pt>
                <c:pt idx="2931">
                  <c:v>59623</c:v>
                </c:pt>
                <c:pt idx="2932">
                  <c:v>59630</c:v>
                </c:pt>
                <c:pt idx="2933">
                  <c:v>59637</c:v>
                </c:pt>
                <c:pt idx="2934">
                  <c:v>59644</c:v>
                </c:pt>
                <c:pt idx="2935">
                  <c:v>59651</c:v>
                </c:pt>
                <c:pt idx="2936">
                  <c:v>59658</c:v>
                </c:pt>
                <c:pt idx="2937">
                  <c:v>59665</c:v>
                </c:pt>
                <c:pt idx="2938">
                  <c:v>59672</c:v>
                </c:pt>
                <c:pt idx="2939">
                  <c:v>59679</c:v>
                </c:pt>
                <c:pt idx="2940">
                  <c:v>59686</c:v>
                </c:pt>
                <c:pt idx="2941">
                  <c:v>59693</c:v>
                </c:pt>
                <c:pt idx="2942">
                  <c:v>59700</c:v>
                </c:pt>
                <c:pt idx="2943">
                  <c:v>59707</c:v>
                </c:pt>
                <c:pt idx="2944">
                  <c:v>59714</c:v>
                </c:pt>
                <c:pt idx="2945">
                  <c:v>59721</c:v>
                </c:pt>
                <c:pt idx="2946">
                  <c:v>59728</c:v>
                </c:pt>
                <c:pt idx="2947">
                  <c:v>59735</c:v>
                </c:pt>
                <c:pt idx="2948">
                  <c:v>59742</c:v>
                </c:pt>
                <c:pt idx="2949">
                  <c:v>59749</c:v>
                </c:pt>
                <c:pt idx="2950">
                  <c:v>59756</c:v>
                </c:pt>
                <c:pt idx="2951">
                  <c:v>59763</c:v>
                </c:pt>
                <c:pt idx="2952">
                  <c:v>59770</c:v>
                </c:pt>
                <c:pt idx="2953">
                  <c:v>59777</c:v>
                </c:pt>
                <c:pt idx="2954">
                  <c:v>59784</c:v>
                </c:pt>
                <c:pt idx="2955">
                  <c:v>59791</c:v>
                </c:pt>
                <c:pt idx="2956">
                  <c:v>59798</c:v>
                </c:pt>
                <c:pt idx="2957">
                  <c:v>59805</c:v>
                </c:pt>
                <c:pt idx="2958">
                  <c:v>59812</c:v>
                </c:pt>
                <c:pt idx="2959">
                  <c:v>59819</c:v>
                </c:pt>
                <c:pt idx="2960">
                  <c:v>59826</c:v>
                </c:pt>
                <c:pt idx="2961">
                  <c:v>59833</c:v>
                </c:pt>
                <c:pt idx="2962">
                  <c:v>59840</c:v>
                </c:pt>
                <c:pt idx="2963">
                  <c:v>59847</c:v>
                </c:pt>
                <c:pt idx="2964">
                  <c:v>59854</c:v>
                </c:pt>
                <c:pt idx="2965">
                  <c:v>59861</c:v>
                </c:pt>
                <c:pt idx="2966">
                  <c:v>59868</c:v>
                </c:pt>
                <c:pt idx="2967">
                  <c:v>59875</c:v>
                </c:pt>
                <c:pt idx="2968">
                  <c:v>59882</c:v>
                </c:pt>
                <c:pt idx="2969">
                  <c:v>59889</c:v>
                </c:pt>
                <c:pt idx="2970">
                  <c:v>59897</c:v>
                </c:pt>
                <c:pt idx="2971">
                  <c:v>59904</c:v>
                </c:pt>
                <c:pt idx="2972">
                  <c:v>59911</c:v>
                </c:pt>
                <c:pt idx="2973">
                  <c:v>59918</c:v>
                </c:pt>
                <c:pt idx="2974">
                  <c:v>59925</c:v>
                </c:pt>
                <c:pt idx="2975">
                  <c:v>59932</c:v>
                </c:pt>
                <c:pt idx="2976">
                  <c:v>59939</c:v>
                </c:pt>
                <c:pt idx="2977">
                  <c:v>59946</c:v>
                </c:pt>
                <c:pt idx="2978">
                  <c:v>59953</c:v>
                </c:pt>
                <c:pt idx="2979">
                  <c:v>59960</c:v>
                </c:pt>
                <c:pt idx="2980">
                  <c:v>59967</c:v>
                </c:pt>
                <c:pt idx="2981">
                  <c:v>59974</c:v>
                </c:pt>
                <c:pt idx="2982">
                  <c:v>59981</c:v>
                </c:pt>
                <c:pt idx="2983">
                  <c:v>59988</c:v>
                </c:pt>
                <c:pt idx="2984">
                  <c:v>59995</c:v>
                </c:pt>
                <c:pt idx="2985">
                  <c:v>60002</c:v>
                </c:pt>
                <c:pt idx="2986">
                  <c:v>60009</c:v>
                </c:pt>
                <c:pt idx="2987">
                  <c:v>60016</c:v>
                </c:pt>
                <c:pt idx="2988">
                  <c:v>60023</c:v>
                </c:pt>
                <c:pt idx="2989">
                  <c:v>60030</c:v>
                </c:pt>
                <c:pt idx="2990">
                  <c:v>60037</c:v>
                </c:pt>
                <c:pt idx="2991">
                  <c:v>60044</c:v>
                </c:pt>
                <c:pt idx="2992">
                  <c:v>60051</c:v>
                </c:pt>
                <c:pt idx="2993">
                  <c:v>60058</c:v>
                </c:pt>
                <c:pt idx="2994">
                  <c:v>60065</c:v>
                </c:pt>
                <c:pt idx="2995">
                  <c:v>60072</c:v>
                </c:pt>
                <c:pt idx="2996">
                  <c:v>60079</c:v>
                </c:pt>
                <c:pt idx="2997">
                  <c:v>60086</c:v>
                </c:pt>
                <c:pt idx="2998">
                  <c:v>60093</c:v>
                </c:pt>
                <c:pt idx="2999">
                  <c:v>60100</c:v>
                </c:pt>
                <c:pt idx="3000">
                  <c:v>60107</c:v>
                </c:pt>
                <c:pt idx="3001">
                  <c:v>60114</c:v>
                </c:pt>
                <c:pt idx="3002">
                  <c:v>60121</c:v>
                </c:pt>
                <c:pt idx="3003">
                  <c:v>60128</c:v>
                </c:pt>
                <c:pt idx="3004">
                  <c:v>60135</c:v>
                </c:pt>
                <c:pt idx="3005">
                  <c:v>60142</c:v>
                </c:pt>
                <c:pt idx="3006">
                  <c:v>60149</c:v>
                </c:pt>
                <c:pt idx="3007">
                  <c:v>60156</c:v>
                </c:pt>
                <c:pt idx="3008">
                  <c:v>60163</c:v>
                </c:pt>
                <c:pt idx="3009">
                  <c:v>60170</c:v>
                </c:pt>
                <c:pt idx="3010">
                  <c:v>60177</c:v>
                </c:pt>
                <c:pt idx="3011">
                  <c:v>60184</c:v>
                </c:pt>
                <c:pt idx="3012">
                  <c:v>60191</c:v>
                </c:pt>
                <c:pt idx="3013">
                  <c:v>60198</c:v>
                </c:pt>
                <c:pt idx="3014">
                  <c:v>60205</c:v>
                </c:pt>
                <c:pt idx="3015">
                  <c:v>60212</c:v>
                </c:pt>
                <c:pt idx="3016">
                  <c:v>60219</c:v>
                </c:pt>
                <c:pt idx="3017">
                  <c:v>60226</c:v>
                </c:pt>
                <c:pt idx="3018">
                  <c:v>60233</c:v>
                </c:pt>
                <c:pt idx="3019">
                  <c:v>60240</c:v>
                </c:pt>
                <c:pt idx="3020">
                  <c:v>60247</c:v>
                </c:pt>
                <c:pt idx="3021">
                  <c:v>60254</c:v>
                </c:pt>
                <c:pt idx="3022">
                  <c:v>60265</c:v>
                </c:pt>
                <c:pt idx="3023">
                  <c:v>60272</c:v>
                </c:pt>
                <c:pt idx="3024">
                  <c:v>60279</c:v>
                </c:pt>
                <c:pt idx="3025">
                  <c:v>60286</c:v>
                </c:pt>
                <c:pt idx="3026">
                  <c:v>60293</c:v>
                </c:pt>
                <c:pt idx="3027">
                  <c:v>60300</c:v>
                </c:pt>
                <c:pt idx="3028">
                  <c:v>60307</c:v>
                </c:pt>
                <c:pt idx="3029">
                  <c:v>60314</c:v>
                </c:pt>
                <c:pt idx="3030">
                  <c:v>60321</c:v>
                </c:pt>
                <c:pt idx="3031">
                  <c:v>60328</c:v>
                </c:pt>
                <c:pt idx="3032">
                  <c:v>60335</c:v>
                </c:pt>
                <c:pt idx="3033">
                  <c:v>60342</c:v>
                </c:pt>
                <c:pt idx="3034">
                  <c:v>60349</c:v>
                </c:pt>
                <c:pt idx="3035">
                  <c:v>60357</c:v>
                </c:pt>
                <c:pt idx="3036">
                  <c:v>60364</c:v>
                </c:pt>
                <c:pt idx="3037">
                  <c:v>60371</c:v>
                </c:pt>
                <c:pt idx="3038">
                  <c:v>60378</c:v>
                </c:pt>
                <c:pt idx="3039">
                  <c:v>60385</c:v>
                </c:pt>
                <c:pt idx="3040">
                  <c:v>60392</c:v>
                </c:pt>
                <c:pt idx="3041">
                  <c:v>60399</c:v>
                </c:pt>
                <c:pt idx="3042">
                  <c:v>60406</c:v>
                </c:pt>
                <c:pt idx="3043">
                  <c:v>60413</c:v>
                </c:pt>
                <c:pt idx="3044">
                  <c:v>60420</c:v>
                </c:pt>
                <c:pt idx="3045">
                  <c:v>60427</c:v>
                </c:pt>
                <c:pt idx="3046">
                  <c:v>60434</c:v>
                </c:pt>
                <c:pt idx="3047">
                  <c:v>60441</c:v>
                </c:pt>
                <c:pt idx="3048">
                  <c:v>60448</c:v>
                </c:pt>
                <c:pt idx="3049">
                  <c:v>60455</c:v>
                </c:pt>
                <c:pt idx="3050">
                  <c:v>60462</c:v>
                </c:pt>
                <c:pt idx="3051">
                  <c:v>60469</c:v>
                </c:pt>
                <c:pt idx="3052">
                  <c:v>60476</c:v>
                </c:pt>
                <c:pt idx="3053">
                  <c:v>60483</c:v>
                </c:pt>
                <c:pt idx="3054">
                  <c:v>60490</c:v>
                </c:pt>
                <c:pt idx="3055">
                  <c:v>60497</c:v>
                </c:pt>
                <c:pt idx="3056">
                  <c:v>60504</c:v>
                </c:pt>
                <c:pt idx="3057">
                  <c:v>60511</c:v>
                </c:pt>
                <c:pt idx="3058">
                  <c:v>60518</c:v>
                </c:pt>
                <c:pt idx="3059">
                  <c:v>60525</c:v>
                </c:pt>
                <c:pt idx="3060">
                  <c:v>60532</c:v>
                </c:pt>
                <c:pt idx="3061">
                  <c:v>60539</c:v>
                </c:pt>
                <c:pt idx="3062">
                  <c:v>60546</c:v>
                </c:pt>
                <c:pt idx="3063">
                  <c:v>60553</c:v>
                </c:pt>
                <c:pt idx="3064">
                  <c:v>60560</c:v>
                </c:pt>
                <c:pt idx="3065">
                  <c:v>60567</c:v>
                </c:pt>
                <c:pt idx="3066">
                  <c:v>60574</c:v>
                </c:pt>
                <c:pt idx="3067">
                  <c:v>60581</c:v>
                </c:pt>
                <c:pt idx="3068">
                  <c:v>60588</c:v>
                </c:pt>
                <c:pt idx="3069">
                  <c:v>60595</c:v>
                </c:pt>
                <c:pt idx="3070">
                  <c:v>60602</c:v>
                </c:pt>
                <c:pt idx="3071">
                  <c:v>60609</c:v>
                </c:pt>
                <c:pt idx="3072">
                  <c:v>60616</c:v>
                </c:pt>
                <c:pt idx="3073">
                  <c:v>60623</c:v>
                </c:pt>
                <c:pt idx="3074">
                  <c:v>60630</c:v>
                </c:pt>
                <c:pt idx="3075">
                  <c:v>60637</c:v>
                </c:pt>
                <c:pt idx="3076">
                  <c:v>60644</c:v>
                </c:pt>
                <c:pt idx="3077">
                  <c:v>60651</c:v>
                </c:pt>
                <c:pt idx="3078">
                  <c:v>60658</c:v>
                </c:pt>
                <c:pt idx="3079">
                  <c:v>60665</c:v>
                </c:pt>
                <c:pt idx="3080">
                  <c:v>60672</c:v>
                </c:pt>
                <c:pt idx="3081">
                  <c:v>60679</c:v>
                </c:pt>
                <c:pt idx="3082">
                  <c:v>60686</c:v>
                </c:pt>
                <c:pt idx="3083">
                  <c:v>60693</c:v>
                </c:pt>
                <c:pt idx="3084">
                  <c:v>60700</c:v>
                </c:pt>
                <c:pt idx="3085">
                  <c:v>60707</c:v>
                </c:pt>
                <c:pt idx="3086">
                  <c:v>60714</c:v>
                </c:pt>
                <c:pt idx="3087">
                  <c:v>60721</c:v>
                </c:pt>
                <c:pt idx="3088">
                  <c:v>60728</c:v>
                </c:pt>
                <c:pt idx="3089">
                  <c:v>60735</c:v>
                </c:pt>
                <c:pt idx="3090">
                  <c:v>60742</c:v>
                </c:pt>
                <c:pt idx="3091">
                  <c:v>60749</c:v>
                </c:pt>
                <c:pt idx="3092">
                  <c:v>60756</c:v>
                </c:pt>
                <c:pt idx="3093">
                  <c:v>60763</c:v>
                </c:pt>
                <c:pt idx="3094">
                  <c:v>60770</c:v>
                </c:pt>
                <c:pt idx="3095">
                  <c:v>60777</c:v>
                </c:pt>
                <c:pt idx="3096">
                  <c:v>60784</c:v>
                </c:pt>
                <c:pt idx="3097">
                  <c:v>60791</c:v>
                </c:pt>
                <c:pt idx="3098">
                  <c:v>60798</c:v>
                </c:pt>
                <c:pt idx="3099">
                  <c:v>60805</c:v>
                </c:pt>
                <c:pt idx="3100">
                  <c:v>60812</c:v>
                </c:pt>
                <c:pt idx="3101">
                  <c:v>60819</c:v>
                </c:pt>
                <c:pt idx="3102">
                  <c:v>60826</c:v>
                </c:pt>
                <c:pt idx="3103">
                  <c:v>60833</c:v>
                </c:pt>
                <c:pt idx="3104">
                  <c:v>60840</c:v>
                </c:pt>
                <c:pt idx="3105">
                  <c:v>60847</c:v>
                </c:pt>
                <c:pt idx="3106">
                  <c:v>60854</c:v>
                </c:pt>
                <c:pt idx="3107">
                  <c:v>60861</c:v>
                </c:pt>
                <c:pt idx="3108">
                  <c:v>60868</c:v>
                </c:pt>
                <c:pt idx="3109">
                  <c:v>60875</c:v>
                </c:pt>
                <c:pt idx="3110">
                  <c:v>60882</c:v>
                </c:pt>
                <c:pt idx="3111">
                  <c:v>60889</c:v>
                </c:pt>
                <c:pt idx="3112">
                  <c:v>60896</c:v>
                </c:pt>
                <c:pt idx="3113">
                  <c:v>60903</c:v>
                </c:pt>
                <c:pt idx="3114">
                  <c:v>60910</c:v>
                </c:pt>
                <c:pt idx="3115">
                  <c:v>60917</c:v>
                </c:pt>
                <c:pt idx="3116">
                  <c:v>60924</c:v>
                </c:pt>
                <c:pt idx="3117">
                  <c:v>60931</c:v>
                </c:pt>
                <c:pt idx="3118">
                  <c:v>60938</c:v>
                </c:pt>
                <c:pt idx="3119">
                  <c:v>60945</c:v>
                </c:pt>
                <c:pt idx="3120">
                  <c:v>60952</c:v>
                </c:pt>
                <c:pt idx="3121">
                  <c:v>60959</c:v>
                </c:pt>
                <c:pt idx="3122">
                  <c:v>60966</c:v>
                </c:pt>
                <c:pt idx="3123">
                  <c:v>60973</c:v>
                </c:pt>
                <c:pt idx="3124">
                  <c:v>60980</c:v>
                </c:pt>
                <c:pt idx="3125">
                  <c:v>60987</c:v>
                </c:pt>
                <c:pt idx="3126">
                  <c:v>60995</c:v>
                </c:pt>
                <c:pt idx="3127">
                  <c:v>61002</c:v>
                </c:pt>
                <c:pt idx="3128">
                  <c:v>61009</c:v>
                </c:pt>
                <c:pt idx="3129">
                  <c:v>61016</c:v>
                </c:pt>
                <c:pt idx="3130">
                  <c:v>61023</c:v>
                </c:pt>
                <c:pt idx="3131">
                  <c:v>61030</c:v>
                </c:pt>
                <c:pt idx="3132">
                  <c:v>61037</c:v>
                </c:pt>
                <c:pt idx="3133">
                  <c:v>61044</c:v>
                </c:pt>
                <c:pt idx="3134">
                  <c:v>61051</c:v>
                </c:pt>
                <c:pt idx="3135">
                  <c:v>61058</c:v>
                </c:pt>
                <c:pt idx="3136">
                  <c:v>61065</c:v>
                </c:pt>
                <c:pt idx="3137">
                  <c:v>61072</c:v>
                </c:pt>
                <c:pt idx="3138">
                  <c:v>61079</c:v>
                </c:pt>
                <c:pt idx="3139">
                  <c:v>61086</c:v>
                </c:pt>
                <c:pt idx="3140">
                  <c:v>61093</c:v>
                </c:pt>
                <c:pt idx="3141">
                  <c:v>61100</c:v>
                </c:pt>
                <c:pt idx="3142">
                  <c:v>61107</c:v>
                </c:pt>
                <c:pt idx="3143">
                  <c:v>61114</c:v>
                </c:pt>
                <c:pt idx="3144">
                  <c:v>61121</c:v>
                </c:pt>
                <c:pt idx="3145">
                  <c:v>61128</c:v>
                </c:pt>
                <c:pt idx="3146">
                  <c:v>61135</c:v>
                </c:pt>
                <c:pt idx="3147">
                  <c:v>61142</c:v>
                </c:pt>
                <c:pt idx="3148">
                  <c:v>61149</c:v>
                </c:pt>
                <c:pt idx="3149">
                  <c:v>61156</c:v>
                </c:pt>
                <c:pt idx="3150">
                  <c:v>61163</c:v>
                </c:pt>
                <c:pt idx="3151">
                  <c:v>61170</c:v>
                </c:pt>
                <c:pt idx="3152">
                  <c:v>61177</c:v>
                </c:pt>
                <c:pt idx="3153">
                  <c:v>61184</c:v>
                </c:pt>
                <c:pt idx="3154">
                  <c:v>61191</c:v>
                </c:pt>
                <c:pt idx="3155">
                  <c:v>61198</c:v>
                </c:pt>
                <c:pt idx="3156">
                  <c:v>61205</c:v>
                </c:pt>
                <c:pt idx="3157">
                  <c:v>61212</c:v>
                </c:pt>
                <c:pt idx="3158">
                  <c:v>61219</c:v>
                </c:pt>
                <c:pt idx="3159">
                  <c:v>61226</c:v>
                </c:pt>
                <c:pt idx="3160">
                  <c:v>61233</c:v>
                </c:pt>
                <c:pt idx="3161">
                  <c:v>61240</c:v>
                </c:pt>
                <c:pt idx="3162">
                  <c:v>61247</c:v>
                </c:pt>
                <c:pt idx="3163">
                  <c:v>61254</c:v>
                </c:pt>
                <c:pt idx="3164">
                  <c:v>61261</c:v>
                </c:pt>
                <c:pt idx="3165">
                  <c:v>61268</c:v>
                </c:pt>
                <c:pt idx="3166">
                  <c:v>61275</c:v>
                </c:pt>
                <c:pt idx="3167">
                  <c:v>61282</c:v>
                </c:pt>
                <c:pt idx="3168">
                  <c:v>61289</c:v>
                </c:pt>
                <c:pt idx="3169">
                  <c:v>61296</c:v>
                </c:pt>
                <c:pt idx="3170">
                  <c:v>61303</c:v>
                </c:pt>
                <c:pt idx="3171">
                  <c:v>61310</c:v>
                </c:pt>
                <c:pt idx="3172">
                  <c:v>61317</c:v>
                </c:pt>
                <c:pt idx="3173">
                  <c:v>61324</c:v>
                </c:pt>
                <c:pt idx="3174">
                  <c:v>61331</c:v>
                </c:pt>
                <c:pt idx="3175">
                  <c:v>61338</c:v>
                </c:pt>
                <c:pt idx="3176">
                  <c:v>61345</c:v>
                </c:pt>
                <c:pt idx="3177">
                  <c:v>61352</c:v>
                </c:pt>
                <c:pt idx="3178">
                  <c:v>61359</c:v>
                </c:pt>
                <c:pt idx="3179">
                  <c:v>61366</c:v>
                </c:pt>
                <c:pt idx="3180">
                  <c:v>61373</c:v>
                </c:pt>
                <c:pt idx="3181">
                  <c:v>61380</c:v>
                </c:pt>
                <c:pt idx="3182">
                  <c:v>61387</c:v>
                </c:pt>
                <c:pt idx="3183">
                  <c:v>61394</c:v>
                </c:pt>
                <c:pt idx="3184">
                  <c:v>61401</c:v>
                </c:pt>
                <c:pt idx="3185">
                  <c:v>61408</c:v>
                </c:pt>
                <c:pt idx="3186">
                  <c:v>61415</c:v>
                </c:pt>
                <c:pt idx="3187">
                  <c:v>61422</c:v>
                </c:pt>
                <c:pt idx="3188">
                  <c:v>61429</c:v>
                </c:pt>
                <c:pt idx="3189">
                  <c:v>61436</c:v>
                </c:pt>
                <c:pt idx="3190">
                  <c:v>61443</c:v>
                </c:pt>
                <c:pt idx="3191">
                  <c:v>61450</c:v>
                </c:pt>
                <c:pt idx="3192">
                  <c:v>61457</c:v>
                </c:pt>
                <c:pt idx="3193">
                  <c:v>61464</c:v>
                </c:pt>
                <c:pt idx="3194">
                  <c:v>61471</c:v>
                </c:pt>
                <c:pt idx="3195">
                  <c:v>61478</c:v>
                </c:pt>
                <c:pt idx="3196">
                  <c:v>61485</c:v>
                </c:pt>
                <c:pt idx="3197">
                  <c:v>61492</c:v>
                </c:pt>
                <c:pt idx="3198">
                  <c:v>61499</c:v>
                </c:pt>
                <c:pt idx="3199">
                  <c:v>61506</c:v>
                </c:pt>
                <c:pt idx="3200">
                  <c:v>61513</c:v>
                </c:pt>
                <c:pt idx="3201">
                  <c:v>61520</c:v>
                </c:pt>
                <c:pt idx="3202">
                  <c:v>61527</c:v>
                </c:pt>
                <c:pt idx="3203">
                  <c:v>61534</c:v>
                </c:pt>
                <c:pt idx="3204">
                  <c:v>61541</c:v>
                </c:pt>
                <c:pt idx="3205">
                  <c:v>61548</c:v>
                </c:pt>
                <c:pt idx="3206">
                  <c:v>61555</c:v>
                </c:pt>
                <c:pt idx="3207">
                  <c:v>61562</c:v>
                </c:pt>
                <c:pt idx="3208">
                  <c:v>61569</c:v>
                </c:pt>
                <c:pt idx="3209">
                  <c:v>61576</c:v>
                </c:pt>
                <c:pt idx="3210">
                  <c:v>61583</c:v>
                </c:pt>
                <c:pt idx="3211">
                  <c:v>61590</c:v>
                </c:pt>
                <c:pt idx="3212">
                  <c:v>61597</c:v>
                </c:pt>
                <c:pt idx="3213">
                  <c:v>61604</c:v>
                </c:pt>
                <c:pt idx="3214">
                  <c:v>61611</c:v>
                </c:pt>
                <c:pt idx="3215">
                  <c:v>61618</c:v>
                </c:pt>
                <c:pt idx="3216">
                  <c:v>61625</c:v>
                </c:pt>
                <c:pt idx="3217">
                  <c:v>61632</c:v>
                </c:pt>
                <c:pt idx="3218">
                  <c:v>61639</c:v>
                </c:pt>
                <c:pt idx="3219">
                  <c:v>61646</c:v>
                </c:pt>
                <c:pt idx="3220">
                  <c:v>61653</c:v>
                </c:pt>
                <c:pt idx="3221">
                  <c:v>61660</c:v>
                </c:pt>
                <c:pt idx="3222">
                  <c:v>61667</c:v>
                </c:pt>
                <c:pt idx="3223">
                  <c:v>61674</c:v>
                </c:pt>
                <c:pt idx="3224">
                  <c:v>61681</c:v>
                </c:pt>
                <c:pt idx="3225">
                  <c:v>61688</c:v>
                </c:pt>
                <c:pt idx="3226">
                  <c:v>61695</c:v>
                </c:pt>
                <c:pt idx="3227">
                  <c:v>61702</c:v>
                </c:pt>
                <c:pt idx="3228">
                  <c:v>61709</c:v>
                </c:pt>
                <c:pt idx="3229">
                  <c:v>61716</c:v>
                </c:pt>
                <c:pt idx="3230">
                  <c:v>61724</c:v>
                </c:pt>
                <c:pt idx="3231">
                  <c:v>61731</c:v>
                </c:pt>
                <c:pt idx="3232">
                  <c:v>61738</c:v>
                </c:pt>
                <c:pt idx="3233">
                  <c:v>61745</c:v>
                </c:pt>
                <c:pt idx="3234">
                  <c:v>61752</c:v>
                </c:pt>
                <c:pt idx="3235">
                  <c:v>61759</c:v>
                </c:pt>
                <c:pt idx="3236">
                  <c:v>61766</c:v>
                </c:pt>
                <c:pt idx="3237">
                  <c:v>61773</c:v>
                </c:pt>
                <c:pt idx="3238">
                  <c:v>61780</c:v>
                </c:pt>
                <c:pt idx="3239">
                  <c:v>61787</c:v>
                </c:pt>
                <c:pt idx="3240">
                  <c:v>61794</c:v>
                </c:pt>
                <c:pt idx="3241">
                  <c:v>61801</c:v>
                </c:pt>
                <c:pt idx="3242">
                  <c:v>61808</c:v>
                </c:pt>
                <c:pt idx="3243">
                  <c:v>61815</c:v>
                </c:pt>
                <c:pt idx="3244">
                  <c:v>61822</c:v>
                </c:pt>
                <c:pt idx="3245">
                  <c:v>61829</c:v>
                </c:pt>
                <c:pt idx="3246">
                  <c:v>61836</c:v>
                </c:pt>
                <c:pt idx="3247">
                  <c:v>61843</c:v>
                </c:pt>
                <c:pt idx="3248">
                  <c:v>61850</c:v>
                </c:pt>
                <c:pt idx="3249">
                  <c:v>61857</c:v>
                </c:pt>
                <c:pt idx="3250">
                  <c:v>61864</c:v>
                </c:pt>
                <c:pt idx="3251">
                  <c:v>61871</c:v>
                </c:pt>
                <c:pt idx="3252">
                  <c:v>61878</c:v>
                </c:pt>
                <c:pt idx="3253">
                  <c:v>61885</c:v>
                </c:pt>
                <c:pt idx="3254">
                  <c:v>61892</c:v>
                </c:pt>
                <c:pt idx="3255">
                  <c:v>61899</c:v>
                </c:pt>
                <c:pt idx="3256">
                  <c:v>61906</c:v>
                </c:pt>
                <c:pt idx="3257">
                  <c:v>61913</c:v>
                </c:pt>
                <c:pt idx="3258">
                  <c:v>61920</c:v>
                </c:pt>
                <c:pt idx="3259">
                  <c:v>61927</c:v>
                </c:pt>
                <c:pt idx="3260">
                  <c:v>61934</c:v>
                </c:pt>
                <c:pt idx="3261">
                  <c:v>61941</c:v>
                </c:pt>
                <c:pt idx="3262">
                  <c:v>61948</c:v>
                </c:pt>
                <c:pt idx="3263">
                  <c:v>61955</c:v>
                </c:pt>
                <c:pt idx="3264">
                  <c:v>61962</c:v>
                </c:pt>
                <c:pt idx="3265">
                  <c:v>61969</c:v>
                </c:pt>
                <c:pt idx="3266">
                  <c:v>61976</c:v>
                </c:pt>
                <c:pt idx="3267">
                  <c:v>61983</c:v>
                </c:pt>
                <c:pt idx="3268">
                  <c:v>61990</c:v>
                </c:pt>
                <c:pt idx="3269">
                  <c:v>61997</c:v>
                </c:pt>
                <c:pt idx="3270">
                  <c:v>62004</c:v>
                </c:pt>
                <c:pt idx="3271">
                  <c:v>62011</c:v>
                </c:pt>
                <c:pt idx="3272">
                  <c:v>62018</c:v>
                </c:pt>
                <c:pt idx="3273">
                  <c:v>62025</c:v>
                </c:pt>
                <c:pt idx="3274">
                  <c:v>62032</c:v>
                </c:pt>
                <c:pt idx="3275">
                  <c:v>62039</c:v>
                </c:pt>
                <c:pt idx="3276">
                  <c:v>62046</c:v>
                </c:pt>
                <c:pt idx="3277">
                  <c:v>62053</c:v>
                </c:pt>
                <c:pt idx="3278">
                  <c:v>62060</c:v>
                </c:pt>
                <c:pt idx="3279">
                  <c:v>62067</c:v>
                </c:pt>
                <c:pt idx="3280">
                  <c:v>62074</c:v>
                </c:pt>
                <c:pt idx="3281">
                  <c:v>62081</c:v>
                </c:pt>
                <c:pt idx="3282">
                  <c:v>62089</c:v>
                </c:pt>
                <c:pt idx="3283">
                  <c:v>62096</c:v>
                </c:pt>
                <c:pt idx="3284">
                  <c:v>62103</c:v>
                </c:pt>
                <c:pt idx="3285">
                  <c:v>62110</c:v>
                </c:pt>
                <c:pt idx="3286">
                  <c:v>62117</c:v>
                </c:pt>
                <c:pt idx="3287">
                  <c:v>62124</c:v>
                </c:pt>
                <c:pt idx="3288">
                  <c:v>62131</c:v>
                </c:pt>
                <c:pt idx="3289">
                  <c:v>62138</c:v>
                </c:pt>
                <c:pt idx="3290">
                  <c:v>62145</c:v>
                </c:pt>
                <c:pt idx="3291">
                  <c:v>62152</c:v>
                </c:pt>
                <c:pt idx="3292">
                  <c:v>62159</c:v>
                </c:pt>
                <c:pt idx="3293">
                  <c:v>62166</c:v>
                </c:pt>
                <c:pt idx="3294">
                  <c:v>62173</c:v>
                </c:pt>
                <c:pt idx="3295">
                  <c:v>62184</c:v>
                </c:pt>
                <c:pt idx="3296">
                  <c:v>62191</c:v>
                </c:pt>
                <c:pt idx="3297">
                  <c:v>62198</c:v>
                </c:pt>
                <c:pt idx="3298">
                  <c:v>62205</c:v>
                </c:pt>
                <c:pt idx="3299">
                  <c:v>62212</c:v>
                </c:pt>
                <c:pt idx="3300">
                  <c:v>62219</c:v>
                </c:pt>
                <c:pt idx="3301">
                  <c:v>62226</c:v>
                </c:pt>
                <c:pt idx="3302">
                  <c:v>62233</c:v>
                </c:pt>
                <c:pt idx="3303">
                  <c:v>62240</c:v>
                </c:pt>
                <c:pt idx="3304">
                  <c:v>62247</c:v>
                </c:pt>
                <c:pt idx="3305">
                  <c:v>62254</c:v>
                </c:pt>
                <c:pt idx="3306">
                  <c:v>62261</c:v>
                </c:pt>
                <c:pt idx="3307">
                  <c:v>62268</c:v>
                </c:pt>
                <c:pt idx="3308">
                  <c:v>62275</c:v>
                </c:pt>
                <c:pt idx="3309">
                  <c:v>62282</c:v>
                </c:pt>
                <c:pt idx="3310">
                  <c:v>62289</c:v>
                </c:pt>
                <c:pt idx="3311">
                  <c:v>62296</c:v>
                </c:pt>
                <c:pt idx="3312">
                  <c:v>62303</c:v>
                </c:pt>
                <c:pt idx="3313">
                  <c:v>62310</c:v>
                </c:pt>
                <c:pt idx="3314">
                  <c:v>62317</c:v>
                </c:pt>
                <c:pt idx="3315">
                  <c:v>62324</c:v>
                </c:pt>
                <c:pt idx="3316">
                  <c:v>62331</c:v>
                </c:pt>
                <c:pt idx="3317">
                  <c:v>62338</c:v>
                </c:pt>
                <c:pt idx="3318">
                  <c:v>62345</c:v>
                </c:pt>
                <c:pt idx="3319">
                  <c:v>62352</c:v>
                </c:pt>
                <c:pt idx="3320">
                  <c:v>62359</c:v>
                </c:pt>
                <c:pt idx="3321">
                  <c:v>62366</c:v>
                </c:pt>
                <c:pt idx="3322">
                  <c:v>62373</c:v>
                </c:pt>
                <c:pt idx="3323">
                  <c:v>62380</c:v>
                </c:pt>
                <c:pt idx="3324">
                  <c:v>62387</c:v>
                </c:pt>
                <c:pt idx="3325">
                  <c:v>62394</c:v>
                </c:pt>
                <c:pt idx="3326">
                  <c:v>62401</c:v>
                </c:pt>
                <c:pt idx="3327">
                  <c:v>62408</c:v>
                </c:pt>
                <c:pt idx="3328">
                  <c:v>62415</c:v>
                </c:pt>
                <c:pt idx="3329">
                  <c:v>62422</c:v>
                </c:pt>
                <c:pt idx="3330">
                  <c:v>62429</c:v>
                </c:pt>
                <c:pt idx="3331">
                  <c:v>62436</c:v>
                </c:pt>
                <c:pt idx="3332">
                  <c:v>62443</c:v>
                </c:pt>
                <c:pt idx="3333">
                  <c:v>62450</c:v>
                </c:pt>
                <c:pt idx="3334">
                  <c:v>62457</c:v>
                </c:pt>
                <c:pt idx="3335">
                  <c:v>62464</c:v>
                </c:pt>
                <c:pt idx="3336">
                  <c:v>62471</c:v>
                </c:pt>
                <c:pt idx="3337">
                  <c:v>62478</c:v>
                </c:pt>
                <c:pt idx="3338">
                  <c:v>62485</c:v>
                </c:pt>
                <c:pt idx="3339">
                  <c:v>62492</c:v>
                </c:pt>
                <c:pt idx="3340">
                  <c:v>62499</c:v>
                </c:pt>
                <c:pt idx="3341">
                  <c:v>62506</c:v>
                </c:pt>
                <c:pt idx="3342">
                  <c:v>62513</c:v>
                </c:pt>
                <c:pt idx="3343">
                  <c:v>62520</c:v>
                </c:pt>
                <c:pt idx="3344">
                  <c:v>62527</c:v>
                </c:pt>
                <c:pt idx="3345">
                  <c:v>62534</c:v>
                </c:pt>
                <c:pt idx="3346">
                  <c:v>62541</c:v>
                </c:pt>
                <c:pt idx="3347">
                  <c:v>62548</c:v>
                </c:pt>
                <c:pt idx="3348">
                  <c:v>62555</c:v>
                </c:pt>
                <c:pt idx="3349">
                  <c:v>62562</c:v>
                </c:pt>
                <c:pt idx="3350">
                  <c:v>62569</c:v>
                </c:pt>
                <c:pt idx="3351">
                  <c:v>62576</c:v>
                </c:pt>
                <c:pt idx="3352">
                  <c:v>62583</c:v>
                </c:pt>
                <c:pt idx="3353">
                  <c:v>62590</c:v>
                </c:pt>
                <c:pt idx="3354">
                  <c:v>62597</c:v>
                </c:pt>
                <c:pt idx="3355">
                  <c:v>62604</c:v>
                </c:pt>
                <c:pt idx="3356">
                  <c:v>62611</c:v>
                </c:pt>
                <c:pt idx="3357">
                  <c:v>62618</c:v>
                </c:pt>
                <c:pt idx="3358">
                  <c:v>62625</c:v>
                </c:pt>
                <c:pt idx="3359">
                  <c:v>62632</c:v>
                </c:pt>
                <c:pt idx="3360">
                  <c:v>62639</c:v>
                </c:pt>
                <c:pt idx="3361">
                  <c:v>62646</c:v>
                </c:pt>
                <c:pt idx="3362">
                  <c:v>62653</c:v>
                </c:pt>
                <c:pt idx="3363">
                  <c:v>62660</c:v>
                </c:pt>
                <c:pt idx="3364">
                  <c:v>62667</c:v>
                </c:pt>
                <c:pt idx="3365">
                  <c:v>62674</c:v>
                </c:pt>
                <c:pt idx="3366">
                  <c:v>62681</c:v>
                </c:pt>
                <c:pt idx="3367">
                  <c:v>62688</c:v>
                </c:pt>
                <c:pt idx="3368">
                  <c:v>62695</c:v>
                </c:pt>
                <c:pt idx="3369">
                  <c:v>62702</c:v>
                </c:pt>
                <c:pt idx="3370">
                  <c:v>62709</c:v>
                </c:pt>
                <c:pt idx="3371">
                  <c:v>62716</c:v>
                </c:pt>
                <c:pt idx="3372">
                  <c:v>62723</c:v>
                </c:pt>
                <c:pt idx="3373">
                  <c:v>62730</c:v>
                </c:pt>
                <c:pt idx="3374">
                  <c:v>62737</c:v>
                </c:pt>
                <c:pt idx="3375">
                  <c:v>62744</c:v>
                </c:pt>
                <c:pt idx="3376">
                  <c:v>62751</c:v>
                </c:pt>
                <c:pt idx="3377">
                  <c:v>62758</c:v>
                </c:pt>
                <c:pt idx="3378">
                  <c:v>62765</c:v>
                </c:pt>
                <c:pt idx="3379">
                  <c:v>62772</c:v>
                </c:pt>
                <c:pt idx="3380">
                  <c:v>62779</c:v>
                </c:pt>
                <c:pt idx="3381">
                  <c:v>62786</c:v>
                </c:pt>
                <c:pt idx="3382">
                  <c:v>62793</c:v>
                </c:pt>
                <c:pt idx="3383">
                  <c:v>62800</c:v>
                </c:pt>
                <c:pt idx="3384">
                  <c:v>62807</c:v>
                </c:pt>
                <c:pt idx="3385">
                  <c:v>62814</c:v>
                </c:pt>
                <c:pt idx="3386">
                  <c:v>62821</c:v>
                </c:pt>
                <c:pt idx="3387">
                  <c:v>62828</c:v>
                </c:pt>
                <c:pt idx="3388">
                  <c:v>62835</c:v>
                </c:pt>
                <c:pt idx="3389">
                  <c:v>62842</c:v>
                </c:pt>
                <c:pt idx="3390">
                  <c:v>62849</c:v>
                </c:pt>
                <c:pt idx="3391">
                  <c:v>62856</c:v>
                </c:pt>
                <c:pt idx="3392">
                  <c:v>62863</c:v>
                </c:pt>
                <c:pt idx="3393">
                  <c:v>62870</c:v>
                </c:pt>
                <c:pt idx="3394">
                  <c:v>62877</c:v>
                </c:pt>
                <c:pt idx="3395">
                  <c:v>62884</c:v>
                </c:pt>
                <c:pt idx="3396">
                  <c:v>62891</c:v>
                </c:pt>
                <c:pt idx="3397">
                  <c:v>62898</c:v>
                </c:pt>
                <c:pt idx="3398">
                  <c:v>62905</c:v>
                </c:pt>
                <c:pt idx="3399">
                  <c:v>62912</c:v>
                </c:pt>
                <c:pt idx="3400">
                  <c:v>62919</c:v>
                </c:pt>
                <c:pt idx="3401">
                  <c:v>62926</c:v>
                </c:pt>
                <c:pt idx="3402">
                  <c:v>62933</c:v>
                </c:pt>
                <c:pt idx="3403">
                  <c:v>62940</c:v>
                </c:pt>
                <c:pt idx="3404">
                  <c:v>62947</c:v>
                </c:pt>
                <c:pt idx="3405">
                  <c:v>62954</c:v>
                </c:pt>
                <c:pt idx="3406">
                  <c:v>62961</c:v>
                </c:pt>
                <c:pt idx="3407">
                  <c:v>62968</c:v>
                </c:pt>
                <c:pt idx="3408">
                  <c:v>62975</c:v>
                </c:pt>
                <c:pt idx="3409">
                  <c:v>62982</c:v>
                </c:pt>
                <c:pt idx="3410">
                  <c:v>62989</c:v>
                </c:pt>
                <c:pt idx="3411">
                  <c:v>62996</c:v>
                </c:pt>
                <c:pt idx="3412">
                  <c:v>63003</c:v>
                </c:pt>
                <c:pt idx="3413">
                  <c:v>63010</c:v>
                </c:pt>
                <c:pt idx="3414">
                  <c:v>63017</c:v>
                </c:pt>
                <c:pt idx="3415">
                  <c:v>63024</c:v>
                </c:pt>
                <c:pt idx="3416">
                  <c:v>63031</c:v>
                </c:pt>
                <c:pt idx="3417">
                  <c:v>63038</c:v>
                </c:pt>
                <c:pt idx="3418">
                  <c:v>63045</c:v>
                </c:pt>
                <c:pt idx="3419">
                  <c:v>63052</c:v>
                </c:pt>
                <c:pt idx="3420">
                  <c:v>63059</c:v>
                </c:pt>
                <c:pt idx="3421">
                  <c:v>63066</c:v>
                </c:pt>
                <c:pt idx="3422">
                  <c:v>63073</c:v>
                </c:pt>
                <c:pt idx="3423">
                  <c:v>63080</c:v>
                </c:pt>
                <c:pt idx="3424">
                  <c:v>63087</c:v>
                </c:pt>
                <c:pt idx="3425">
                  <c:v>63094</c:v>
                </c:pt>
                <c:pt idx="3426">
                  <c:v>63101</c:v>
                </c:pt>
                <c:pt idx="3427">
                  <c:v>63108</c:v>
                </c:pt>
                <c:pt idx="3428">
                  <c:v>63115</c:v>
                </c:pt>
                <c:pt idx="3429">
                  <c:v>63122</c:v>
                </c:pt>
                <c:pt idx="3430">
                  <c:v>63129</c:v>
                </c:pt>
                <c:pt idx="3431">
                  <c:v>63136</c:v>
                </c:pt>
                <c:pt idx="3432">
                  <c:v>63143</c:v>
                </c:pt>
                <c:pt idx="3433">
                  <c:v>63150</c:v>
                </c:pt>
                <c:pt idx="3434">
                  <c:v>63157</c:v>
                </c:pt>
                <c:pt idx="3435">
                  <c:v>63164</c:v>
                </c:pt>
                <c:pt idx="3436">
                  <c:v>63171</c:v>
                </c:pt>
                <c:pt idx="3437">
                  <c:v>63178</c:v>
                </c:pt>
                <c:pt idx="3438">
                  <c:v>63186</c:v>
                </c:pt>
                <c:pt idx="3439">
                  <c:v>63193</c:v>
                </c:pt>
                <c:pt idx="3440">
                  <c:v>63200</c:v>
                </c:pt>
                <c:pt idx="3441">
                  <c:v>63207</c:v>
                </c:pt>
                <c:pt idx="3442">
                  <c:v>63214</c:v>
                </c:pt>
                <c:pt idx="3443">
                  <c:v>63221</c:v>
                </c:pt>
                <c:pt idx="3444">
                  <c:v>63228</c:v>
                </c:pt>
                <c:pt idx="3445">
                  <c:v>63235</c:v>
                </c:pt>
                <c:pt idx="3446">
                  <c:v>63242</c:v>
                </c:pt>
                <c:pt idx="3447">
                  <c:v>63249</c:v>
                </c:pt>
                <c:pt idx="3448">
                  <c:v>63256</c:v>
                </c:pt>
                <c:pt idx="3449">
                  <c:v>63263</c:v>
                </c:pt>
                <c:pt idx="3450">
                  <c:v>63270</c:v>
                </c:pt>
                <c:pt idx="3451">
                  <c:v>63277</c:v>
                </c:pt>
                <c:pt idx="3452">
                  <c:v>63284</c:v>
                </c:pt>
                <c:pt idx="3453">
                  <c:v>63291</c:v>
                </c:pt>
                <c:pt idx="3454">
                  <c:v>63298</c:v>
                </c:pt>
                <c:pt idx="3455">
                  <c:v>63305</c:v>
                </c:pt>
                <c:pt idx="3456">
                  <c:v>63312</c:v>
                </c:pt>
                <c:pt idx="3457">
                  <c:v>63319</c:v>
                </c:pt>
                <c:pt idx="3458">
                  <c:v>63326</c:v>
                </c:pt>
                <c:pt idx="3459">
                  <c:v>63333</c:v>
                </c:pt>
                <c:pt idx="3460">
                  <c:v>63340</c:v>
                </c:pt>
                <c:pt idx="3461">
                  <c:v>63347</c:v>
                </c:pt>
                <c:pt idx="3462">
                  <c:v>63354</c:v>
                </c:pt>
                <c:pt idx="3463">
                  <c:v>63361</c:v>
                </c:pt>
                <c:pt idx="3464">
                  <c:v>63368</c:v>
                </c:pt>
                <c:pt idx="3465">
                  <c:v>63375</c:v>
                </c:pt>
                <c:pt idx="3466">
                  <c:v>63382</c:v>
                </c:pt>
                <c:pt idx="3467">
                  <c:v>63389</c:v>
                </c:pt>
                <c:pt idx="3468">
                  <c:v>63396</c:v>
                </c:pt>
                <c:pt idx="3469">
                  <c:v>63403</c:v>
                </c:pt>
                <c:pt idx="3470">
                  <c:v>63410</c:v>
                </c:pt>
                <c:pt idx="3471">
                  <c:v>63417</c:v>
                </c:pt>
                <c:pt idx="3472">
                  <c:v>63424</c:v>
                </c:pt>
                <c:pt idx="3473">
                  <c:v>63431</c:v>
                </c:pt>
                <c:pt idx="3474">
                  <c:v>63438</c:v>
                </c:pt>
                <c:pt idx="3475">
                  <c:v>63445</c:v>
                </c:pt>
                <c:pt idx="3476">
                  <c:v>63452</c:v>
                </c:pt>
                <c:pt idx="3477">
                  <c:v>63459</c:v>
                </c:pt>
                <c:pt idx="3478">
                  <c:v>63466</c:v>
                </c:pt>
                <c:pt idx="3479">
                  <c:v>63473</c:v>
                </c:pt>
                <c:pt idx="3480">
                  <c:v>63480</c:v>
                </c:pt>
                <c:pt idx="3481">
                  <c:v>63487</c:v>
                </c:pt>
                <c:pt idx="3482">
                  <c:v>63494</c:v>
                </c:pt>
                <c:pt idx="3483">
                  <c:v>63501</c:v>
                </c:pt>
                <c:pt idx="3484">
                  <c:v>63508</c:v>
                </c:pt>
                <c:pt idx="3485">
                  <c:v>63515</c:v>
                </c:pt>
                <c:pt idx="3486">
                  <c:v>63522</c:v>
                </c:pt>
                <c:pt idx="3487">
                  <c:v>63529</c:v>
                </c:pt>
                <c:pt idx="3488">
                  <c:v>63536</c:v>
                </c:pt>
                <c:pt idx="3489">
                  <c:v>63543</c:v>
                </c:pt>
                <c:pt idx="3490">
                  <c:v>63550</c:v>
                </c:pt>
                <c:pt idx="3491">
                  <c:v>63557</c:v>
                </c:pt>
                <c:pt idx="3492">
                  <c:v>63564</c:v>
                </c:pt>
                <c:pt idx="3493">
                  <c:v>63571</c:v>
                </c:pt>
                <c:pt idx="3494">
                  <c:v>63578</c:v>
                </c:pt>
                <c:pt idx="3495">
                  <c:v>63585</c:v>
                </c:pt>
                <c:pt idx="3496">
                  <c:v>63592</c:v>
                </c:pt>
                <c:pt idx="3497">
                  <c:v>63599</c:v>
                </c:pt>
                <c:pt idx="3498">
                  <c:v>63606</c:v>
                </c:pt>
                <c:pt idx="3499">
                  <c:v>63613</c:v>
                </c:pt>
                <c:pt idx="3500">
                  <c:v>63620</c:v>
                </c:pt>
                <c:pt idx="3501">
                  <c:v>63627</c:v>
                </c:pt>
                <c:pt idx="3502">
                  <c:v>63634</c:v>
                </c:pt>
                <c:pt idx="3503">
                  <c:v>63641</c:v>
                </c:pt>
                <c:pt idx="3504">
                  <c:v>63648</c:v>
                </c:pt>
                <c:pt idx="3505">
                  <c:v>63655</c:v>
                </c:pt>
                <c:pt idx="3506">
                  <c:v>63662</c:v>
                </c:pt>
                <c:pt idx="3507">
                  <c:v>63669</c:v>
                </c:pt>
                <c:pt idx="3508">
                  <c:v>63676</c:v>
                </c:pt>
                <c:pt idx="3509">
                  <c:v>63683</c:v>
                </c:pt>
                <c:pt idx="3510">
                  <c:v>63690</c:v>
                </c:pt>
                <c:pt idx="3511">
                  <c:v>63697</c:v>
                </c:pt>
                <c:pt idx="3512">
                  <c:v>63704</c:v>
                </c:pt>
                <c:pt idx="3513">
                  <c:v>63711</c:v>
                </c:pt>
                <c:pt idx="3514">
                  <c:v>63718</c:v>
                </c:pt>
                <c:pt idx="3515">
                  <c:v>63725</c:v>
                </c:pt>
                <c:pt idx="3516">
                  <c:v>63732</c:v>
                </c:pt>
                <c:pt idx="3517">
                  <c:v>63739</c:v>
                </c:pt>
                <c:pt idx="3518">
                  <c:v>63746</c:v>
                </c:pt>
                <c:pt idx="3519">
                  <c:v>63753</c:v>
                </c:pt>
                <c:pt idx="3520">
                  <c:v>63760</c:v>
                </c:pt>
                <c:pt idx="3521">
                  <c:v>63767</c:v>
                </c:pt>
                <c:pt idx="3522">
                  <c:v>63774</c:v>
                </c:pt>
                <c:pt idx="3523">
                  <c:v>63781</c:v>
                </c:pt>
                <c:pt idx="3524">
                  <c:v>63788</c:v>
                </c:pt>
                <c:pt idx="3525">
                  <c:v>63795</c:v>
                </c:pt>
                <c:pt idx="3526">
                  <c:v>63802</c:v>
                </c:pt>
                <c:pt idx="3527">
                  <c:v>63809</c:v>
                </c:pt>
                <c:pt idx="3528">
                  <c:v>63816</c:v>
                </c:pt>
                <c:pt idx="3529">
                  <c:v>63823</c:v>
                </c:pt>
                <c:pt idx="3530">
                  <c:v>63830</c:v>
                </c:pt>
                <c:pt idx="3531">
                  <c:v>63837</c:v>
                </c:pt>
                <c:pt idx="3532">
                  <c:v>63844</c:v>
                </c:pt>
                <c:pt idx="3533">
                  <c:v>63851</c:v>
                </c:pt>
              </c:numCache>
            </c:numRef>
          </c:cat>
          <c:val>
            <c:numRef>
              <c:f>Monitor!$AA$19:$AA$3552</c:f>
              <c:numCache>
                <c:formatCode>0.0000%</c:formatCode>
                <c:ptCount val="3534"/>
                <c:pt idx="0">
                  <c:v>5.361614245926738E-3</c:v>
                </c:pt>
                <c:pt idx="1">
                  <c:v>5.3620840635981715E-3</c:v>
                </c:pt>
                <c:pt idx="2">
                  <c:v>5.3630236990220848E-3</c:v>
                </c:pt>
                <c:pt idx="3">
                  <c:v>5.3665479306519446E-3</c:v>
                </c:pt>
                <c:pt idx="4">
                  <c:v>5.3714804179183506E-3</c:v>
                </c:pt>
                <c:pt idx="5">
                  <c:v>5.3747691419425703E-3</c:v>
                </c:pt>
                <c:pt idx="6">
                  <c:v>5.378527683800316E-3</c:v>
                </c:pt>
                <c:pt idx="7">
                  <c:v>5.3827560433294952E-3</c:v>
                </c:pt>
                <c:pt idx="8">
                  <c:v>5.3928584990799635E-3</c:v>
                </c:pt>
                <c:pt idx="9">
                  <c:v>5.4043676597814727E-3</c:v>
                </c:pt>
                <c:pt idx="10">
                  <c:v>5.4109451084782823E-3</c:v>
                </c:pt>
                <c:pt idx="11">
                  <c:v>5.4179923750896641E-3</c:v>
                </c:pt>
                <c:pt idx="12">
                  <c:v>5.4255094596966646E-3</c:v>
                </c:pt>
                <c:pt idx="13">
                  <c:v>5.4421908302441464E-3</c:v>
                </c:pt>
                <c:pt idx="14">
                  <c:v>5.4602759777566678E-3</c:v>
                </c:pt>
                <c:pt idx="15">
                  <c:v>5.4701421524228078E-3</c:v>
                </c:pt>
                <c:pt idx="16">
                  <c:v>5.4804781450845663E-3</c:v>
                </c:pt>
                <c:pt idx="17">
                  <c:v>5.4912839560661286E-3</c:v>
                </c:pt>
                <c:pt idx="18">
                  <c:v>5.5145449521324759E-3</c:v>
                </c:pt>
                <c:pt idx="19">
                  <c:v>5.5392053823799525E-3</c:v>
                </c:pt>
                <c:pt idx="20">
                  <c:v>5.552360284798441E-3</c:v>
                </c:pt>
                <c:pt idx="21">
                  <c:v>5.5659850056988258E-3</c:v>
                </c:pt>
                <c:pt idx="22">
                  <c:v>5.5800795450811069E-3</c:v>
                </c:pt>
                <c:pt idx="23">
                  <c:v>5.6082139963020703E-3</c:v>
                </c:pt>
                <c:pt idx="24">
                  <c:v>5.6341388090985767E-3</c:v>
                </c:pt>
                <c:pt idx="25">
                  <c:v>5.6460308221917277E-3</c:v>
                </c:pt>
                <c:pt idx="26">
                  <c:v>5.657254748909768E-3</c:v>
                </c:pt>
                <c:pt idx="27">
                  <c:v>5.6678105891716513E-3</c:v>
                </c:pt>
                <c:pt idx="28">
                  <c:v>5.6867839137442209E-3</c:v>
                </c:pt>
                <c:pt idx="29">
                  <c:v>5.7033530849281977E-3</c:v>
                </c:pt>
                <c:pt idx="30">
                  <c:v>5.7105684921798794E-3</c:v>
                </c:pt>
                <c:pt idx="31">
                  <c:v>5.7171158127322652E-3</c:v>
                </c:pt>
                <c:pt idx="32">
                  <c:v>5.7229950465853552E-3</c:v>
                </c:pt>
                <c:pt idx="33">
                  <c:v>5.732616591103505E-3</c:v>
                </c:pt>
                <c:pt idx="34">
                  <c:v>5.7398311135459235E-3</c:v>
                </c:pt>
                <c:pt idx="35">
                  <c:v>5.7423699130920713E-3</c:v>
                </c:pt>
                <c:pt idx="36">
                  <c:v>5.7442406257768308E-3</c:v>
                </c:pt>
                <c:pt idx="37">
                  <c:v>5.7454432515191556E-3</c:v>
                </c:pt>
                <c:pt idx="38">
                  <c:v>5.7457119913687888E-3</c:v>
                </c:pt>
                <c:pt idx="39">
                  <c:v>5.7435728853072465E-3</c:v>
                </c:pt>
                <c:pt idx="40">
                  <c:v>5.7414350764184441E-3</c:v>
                </c:pt>
                <c:pt idx="41">
                  <c:v>5.7386291806682532E-3</c:v>
                </c:pt>
                <c:pt idx="42">
                  <c:v>5.7351551979756277E-3</c:v>
                </c:pt>
                <c:pt idx="43">
                  <c:v>5.7260701039770403E-3</c:v>
                </c:pt>
                <c:pt idx="44">
                  <c:v>5.7148089657776957E-3</c:v>
                </c:pt>
                <c:pt idx="45">
                  <c:v>5.7093779493033736E-3</c:v>
                </c:pt>
                <c:pt idx="46">
                  <c:v>5.7046622463308161E-3</c:v>
                </c:pt>
                <c:pt idx="47">
                  <c:v>5.7006618567789769E-3</c:v>
                </c:pt>
                <c:pt idx="48">
                  <c:v>5.6951343152918579E-3</c:v>
                </c:pt>
                <c:pt idx="49">
                  <c:v>5.6918134327788028E-3</c:v>
                </c:pt>
                <c:pt idx="50">
                  <c:v>5.6913896102495087E-3</c:v>
                </c:pt>
                <c:pt idx="51">
                  <c:v>5.6916811010598867E-3</c:v>
                </c:pt>
                <c:pt idx="52">
                  <c:v>5.6926879052909829E-3</c:v>
                </c:pt>
                <c:pt idx="53">
                  <c:v>5.6971748147479264E-3</c:v>
                </c:pt>
                <c:pt idx="54">
                  <c:v>5.703868255936273E-3</c:v>
                </c:pt>
                <c:pt idx="55">
                  <c:v>5.7084516271899144E-3</c:v>
                </c:pt>
                <c:pt idx="56">
                  <c:v>5.7273886691417975E-3</c:v>
                </c:pt>
                <c:pt idx="57">
                  <c:v>5.7509734386540501E-3</c:v>
                </c:pt>
                <c:pt idx="58">
                  <c:v>5.7605640049873674E-3</c:v>
                </c:pt>
                <c:pt idx="59">
                  <c:v>5.7764261896481317E-3</c:v>
                </c:pt>
                <c:pt idx="60">
                  <c:v>5.8064102123208308E-3</c:v>
                </c:pt>
                <c:pt idx="61">
                  <c:v>5.8331289945479092E-3</c:v>
                </c:pt>
                <c:pt idx="62">
                  <c:v>5.8477267587164761E-3</c:v>
                </c:pt>
                <c:pt idx="63">
                  <c:v>5.8629234117024698E-3</c:v>
                </c:pt>
                <c:pt idx="64">
                  <c:v>5.878253252012966E-3</c:v>
                </c:pt>
                <c:pt idx="65">
                  <c:v>5.9090644655135369E-3</c:v>
                </c:pt>
                <c:pt idx="66">
                  <c:v>5.939740230984647E-3</c:v>
                </c:pt>
                <c:pt idx="67">
                  <c:v>5.9551538802005144E-3</c:v>
                </c:pt>
                <c:pt idx="68">
                  <c:v>5.9705842912460838E-3</c:v>
                </c:pt>
                <c:pt idx="69">
                  <c:v>5.9860314641213552E-3</c:v>
                </c:pt>
                <c:pt idx="70">
                  <c:v>6.0170808720738664E-3</c:v>
                </c:pt>
                <c:pt idx="71">
                  <c:v>6.0479877735952758E-3</c:v>
                </c:pt>
                <c:pt idx="72">
                  <c:v>6.0635187554569647E-3</c:v>
                </c:pt>
                <c:pt idx="73">
                  <c:v>6.0790664992294019E-3</c:v>
                </c:pt>
                <c:pt idx="74">
                  <c:v>6.0946310047504948E-3</c:v>
                </c:pt>
                <c:pt idx="75">
                  <c:v>6.1259186988453047E-3</c:v>
                </c:pt>
                <c:pt idx="76">
                  <c:v>6.1570566451318864E-3</c:v>
                </c:pt>
                <c:pt idx="77">
                  <c:v>6.1727049598825356E-3</c:v>
                </c:pt>
                <c:pt idx="78">
                  <c:v>6.1883700363818406E-3</c:v>
                </c:pt>
                <c:pt idx="79">
                  <c:v>6.2040518746298012E-3</c:v>
                </c:pt>
                <c:pt idx="80">
                  <c:v>6.2355779480971494E-3</c:v>
                </c:pt>
                <c:pt idx="81">
                  <c:v>6.2669468464049416E-3</c:v>
                </c:pt>
                <c:pt idx="82">
                  <c:v>6.2827124939635048E-3</c:v>
                </c:pt>
                <c:pt idx="83">
                  <c:v>6.2984949033517701E-3</c:v>
                </c:pt>
                <c:pt idx="84">
                  <c:v>6.3142940746507836E-3</c:v>
                </c:pt>
                <c:pt idx="85">
                  <c:v>6.3460586219906325E-3</c:v>
                </c:pt>
                <c:pt idx="86">
                  <c:v>6.3776583780628116E-3</c:v>
                </c:pt>
                <c:pt idx="87">
                  <c:v>6.3935413585913814E-3</c:v>
                </c:pt>
                <c:pt idx="88">
                  <c:v>6.4094411009496532E-3</c:v>
                </c:pt>
                <c:pt idx="89">
                  <c:v>6.4253576052186734E-3</c:v>
                </c:pt>
                <c:pt idx="90">
                  <c:v>6.4573607227680361E-3</c:v>
                </c:pt>
                <c:pt idx="91">
                  <c:v>6.4891912409159591E-3</c:v>
                </c:pt>
                <c:pt idx="92">
                  <c:v>6.5051915545766281E-3</c:v>
                </c:pt>
                <c:pt idx="93">
                  <c:v>6.5212086299859529E-3</c:v>
                </c:pt>
                <c:pt idx="94">
                  <c:v>6.5372424673870722E-3</c:v>
                </c:pt>
                <c:pt idx="95">
                  <c:v>6.5694842527256698E-3</c:v>
                </c:pt>
                <c:pt idx="96">
                  <c:v>6.6015454356938008E-3</c:v>
                </c:pt>
                <c:pt idx="97">
                  <c:v>6.6176630825676153E-3</c:v>
                </c:pt>
                <c:pt idx="98">
                  <c:v>6.6337974911900854E-3</c:v>
                </c:pt>
                <c:pt idx="99">
                  <c:v>6.6499486618043502E-3</c:v>
                </c:pt>
                <c:pt idx="100">
                  <c:v>6.6824292141058157E-3</c:v>
                </c:pt>
                <c:pt idx="101">
                  <c:v>6.7147209631257532E-3</c:v>
                </c:pt>
                <c:pt idx="102">
                  <c:v>6.7309559432937593E-3</c:v>
                </c:pt>
                <c:pt idx="103">
                  <c:v>6.7472076852914675E-3</c:v>
                </c:pt>
                <c:pt idx="104">
                  <c:v>6.763476189199924E-3</c:v>
                </c:pt>
                <c:pt idx="105">
                  <c:v>6.7961956091507538E-3</c:v>
                </c:pt>
                <c:pt idx="106">
                  <c:v>6.8287178241033253E-3</c:v>
                </c:pt>
                <c:pt idx="107">
                  <c:v>6.8450701375655232E-3</c:v>
                </c:pt>
                <c:pt idx="108">
                  <c:v>6.8614392131005619E-3</c:v>
                </c:pt>
                <c:pt idx="109">
                  <c:v>6.8778250503842564E-3</c:v>
                </c:pt>
                <c:pt idx="110">
                  <c:v>6.9107834402648569E-3</c:v>
                </c:pt>
                <c:pt idx="111">
                  <c:v>6.9435360191938411E-3</c:v>
                </c:pt>
                <c:pt idx="112">
                  <c:v>6.9600047806006593E-3</c:v>
                </c:pt>
                <c:pt idx="113">
                  <c:v>6.9764858753063042E-3</c:v>
                </c:pt>
                <c:pt idx="114">
                  <c:v>6.9929784177991117E-3</c:v>
                </c:pt>
                <c:pt idx="115">
                  <c:v>7.0261369080023197E-3</c:v>
                </c:pt>
                <c:pt idx="116">
                  <c:v>7.0590630645883667E-3</c:v>
                </c:pt>
                <c:pt idx="117">
                  <c:v>7.0756128455307099E-3</c:v>
                </c:pt>
                <c:pt idx="118">
                  <c:v>7.0921740742602157E-3</c:v>
                </c:pt>
                <c:pt idx="119">
                  <c:v>7.1087467506147917E-3</c:v>
                </c:pt>
                <c:pt idx="120">
                  <c:v>7.1420700088253861E-3</c:v>
                </c:pt>
                <c:pt idx="121">
                  <c:v>7.1751519334184444E-3</c:v>
                </c:pt>
                <c:pt idx="122">
                  <c:v>7.1917818483846485E-3</c:v>
                </c:pt>
                <c:pt idx="123">
                  <c:v>7.2084232111380153E-3</c:v>
                </c:pt>
                <c:pt idx="124">
                  <c:v>7.2587161219761498E-3</c:v>
                </c:pt>
                <c:pt idx="125">
                  <c:v>7.3085117896487528E-3</c:v>
                </c:pt>
                <c:pt idx="126">
                  <c:v>7.3252332864259806E-3</c:v>
                </c:pt>
                <c:pt idx="127">
                  <c:v>7.341966230990371E-3</c:v>
                </c:pt>
                <c:pt idx="128">
                  <c:v>7.3756193143888673E-3</c:v>
                </c:pt>
                <c:pt idx="129">
                  <c:v>7.4090124865522355E-3</c:v>
                </c:pt>
                <c:pt idx="130">
                  <c:v>7.4258026698093005E-3</c:v>
                </c:pt>
                <c:pt idx="131">
                  <c:v>7.4426043007724818E-3</c:v>
                </c:pt>
                <c:pt idx="132">
                  <c:v>7.4594173796038721E-3</c:v>
                </c:pt>
                <c:pt idx="133">
                  <c:v>7.4932355223711342E-3</c:v>
                </c:pt>
                <c:pt idx="134">
                  <c:v>7.526784171990597E-3</c:v>
                </c:pt>
                <c:pt idx="135">
                  <c:v>7.5436544895146618E-3</c:v>
                </c:pt>
                <c:pt idx="136">
                  <c:v>7.5605362547448429E-3</c:v>
                </c:pt>
                <c:pt idx="137">
                  <c:v>7.5774294676811405E-3</c:v>
                </c:pt>
                <c:pt idx="138">
                  <c:v>7.6114127693690161E-3</c:v>
                </c:pt>
                <c:pt idx="139">
                  <c:v>7.6451167972979572E-3</c:v>
                </c:pt>
                <c:pt idx="140">
                  <c:v>7.6620672491700681E-3</c:v>
                </c:pt>
                <c:pt idx="141">
                  <c:v>7.6790291487482953E-3</c:v>
                </c:pt>
                <c:pt idx="142">
                  <c:v>7.696002496032639E-3</c:v>
                </c:pt>
                <c:pt idx="143">
                  <c:v>7.7387392060462856E-3</c:v>
                </c:pt>
                <c:pt idx="144">
                  <c:v>7.7810409494238897E-3</c:v>
                </c:pt>
                <c:pt idx="145">
                  <c:v>7.798082983350163E-3</c:v>
                </c:pt>
                <c:pt idx="146">
                  <c:v>7.8151364651446453E-3</c:v>
                </c:pt>
                <c:pt idx="147">
                  <c:v>7.8494503867602532E-3</c:v>
                </c:pt>
                <c:pt idx="148">
                  <c:v>7.8834648700321086E-3</c:v>
                </c:pt>
                <c:pt idx="149">
                  <c:v>7.9005755907624042E-3</c:v>
                </c:pt>
                <c:pt idx="150">
                  <c:v>7.9176977591988162E-3</c:v>
                </c:pt>
                <c:pt idx="151">
                  <c:v>7.9348313754223909E-3</c:v>
                </c:pt>
                <c:pt idx="152">
                  <c:v>7.969310760476505E-3</c:v>
                </c:pt>
                <c:pt idx="153">
                  <c:v>8.0034803185125014E-3</c:v>
                </c:pt>
                <c:pt idx="154">
                  <c:v>8.0206711737529357E-3</c:v>
                </c:pt>
                <c:pt idx="155">
                  <c:v>8.0378734767805327E-3</c:v>
                </c:pt>
                <c:pt idx="156">
                  <c:v>8.0550872275952923E-3</c:v>
                </c:pt>
                <c:pt idx="157">
                  <c:v>8.0984483561669096E-3</c:v>
                </c:pt>
                <c:pt idx="158">
                  <c:v>8.1413276989628081E-3</c:v>
                </c:pt>
                <c:pt idx="159">
                  <c:v>8.1586101366626362E-3</c:v>
                </c:pt>
                <c:pt idx="160">
                  <c:v>8.1759040221496271E-3</c:v>
                </c:pt>
                <c:pt idx="161">
                  <c:v>8.2107146462710272E-3</c:v>
                </c:pt>
                <c:pt idx="162">
                  <c:v>8.2451940423744485E-3</c:v>
                </c:pt>
                <c:pt idx="163">
                  <c:v>8.2625451669593453E-3</c:v>
                </c:pt>
                <c:pt idx="164">
                  <c:v>8.2799077393314047E-3</c:v>
                </c:pt>
                <c:pt idx="165">
                  <c:v>8.2972817596527193E-3</c:v>
                </c:pt>
                <c:pt idx="166">
                  <c:v>8.3322581616721951E-3</c:v>
                </c:pt>
                <c:pt idx="167">
                  <c:v>8.3668923188906508E-3</c:v>
                </c:pt>
                <c:pt idx="168">
                  <c:v>8.384323578228825E-3</c:v>
                </c:pt>
                <c:pt idx="169">
                  <c:v>8.4017662855162545E-3</c:v>
                </c:pt>
                <c:pt idx="170">
                  <c:v>8.4192204405908466E-3</c:v>
                </c:pt>
                <c:pt idx="171">
                  <c:v>8.4543627276785962E-3</c:v>
                </c:pt>
                <c:pt idx="172">
                  <c:v>8.4891515392471195E-3</c:v>
                </c:pt>
                <c:pt idx="173">
                  <c:v>8.5066629335006638E-3</c:v>
                </c:pt>
                <c:pt idx="174">
                  <c:v>8.5241857756224171E-3</c:v>
                </c:pt>
                <c:pt idx="175">
                  <c:v>8.5417212227911765E-3</c:v>
                </c:pt>
                <c:pt idx="176">
                  <c:v>8.5770526479086086E-3</c:v>
                </c:pt>
                <c:pt idx="177">
                  <c:v>8.6120422920799022E-3</c:v>
                </c:pt>
                <c:pt idx="178">
                  <c:v>8.6296685368558723E-3</c:v>
                </c:pt>
                <c:pt idx="179">
                  <c:v>8.6473131725728347E-3</c:v>
                </c:pt>
                <c:pt idx="180">
                  <c:v>8.6649761992307894E-3</c:v>
                </c:pt>
                <c:pt idx="181">
                  <c:v>8.7005709443088719E-3</c:v>
                </c:pt>
                <c:pt idx="182">
                  <c:v>8.7358122155156703E-3</c:v>
                </c:pt>
                <c:pt idx="183">
                  <c:v>8.7535671970406792E-3</c:v>
                </c:pt>
                <c:pt idx="184">
                  <c:v>8.7713405695877267E-3</c:v>
                </c:pt>
                <c:pt idx="185">
                  <c:v>8.7891323330757665E-3</c:v>
                </c:pt>
                <c:pt idx="186">
                  <c:v>8.8249905255462693E-3</c:v>
                </c:pt>
                <c:pt idx="187">
                  <c:v>8.8604832968430802E-3</c:v>
                </c:pt>
                <c:pt idx="188">
                  <c:v>8.8783670153602667E-3</c:v>
                </c:pt>
                <c:pt idx="189">
                  <c:v>8.8962691247373993E-3</c:v>
                </c:pt>
                <c:pt idx="190">
                  <c:v>8.9141896251365704E-3</c:v>
                </c:pt>
                <c:pt idx="191">
                  <c:v>8.9503113943223429E-3</c:v>
                </c:pt>
                <c:pt idx="192">
                  <c:v>8.9860555370346873E-3</c:v>
                </c:pt>
                <c:pt idx="193">
                  <c:v>9.0040679924630052E-3</c:v>
                </c:pt>
                <c:pt idx="194">
                  <c:v>9.0220988389944079E-3</c:v>
                </c:pt>
                <c:pt idx="195">
                  <c:v>9.0401480765478492E-3</c:v>
                </c:pt>
                <c:pt idx="196">
                  <c:v>9.0765335534737108E-3</c:v>
                </c:pt>
                <c:pt idx="197">
                  <c:v>9.1125289369009543E-3</c:v>
                </c:pt>
                <c:pt idx="198">
                  <c:v>9.1306701295645887E-3</c:v>
                </c:pt>
                <c:pt idx="199">
                  <c:v>9.1488297133313079E-3</c:v>
                </c:pt>
                <c:pt idx="200">
                  <c:v>9.1670076880390194E-3</c:v>
                </c:pt>
                <c:pt idx="201">
                  <c:v>9.2036570057559466E-3</c:v>
                </c:pt>
                <c:pt idx="202">
                  <c:v>9.239903497495483E-3</c:v>
                </c:pt>
                <c:pt idx="203">
                  <c:v>9.2581734274754801E-3</c:v>
                </c:pt>
                <c:pt idx="204">
                  <c:v>9.2764617484775158E-3</c:v>
                </c:pt>
                <c:pt idx="205">
                  <c:v>9.2947684606636827E-3</c:v>
                </c:pt>
                <c:pt idx="206">
                  <c:v>9.3316817540597032E-3</c:v>
                </c:pt>
                <c:pt idx="207">
                  <c:v>9.3681792197908287E-3</c:v>
                </c:pt>
                <c:pt idx="208">
                  <c:v>9.3865778871682348E-3</c:v>
                </c:pt>
                <c:pt idx="209">
                  <c:v>9.4049949457297721E-3</c:v>
                </c:pt>
                <c:pt idx="210">
                  <c:v>9.423430395313348E-3</c:v>
                </c:pt>
                <c:pt idx="211">
                  <c:v>9.4606078011675691E-3</c:v>
                </c:pt>
                <c:pt idx="212">
                  <c:v>9.4973561045974542E-3</c:v>
                </c:pt>
                <c:pt idx="213">
                  <c:v>9.5158835095343619E-3</c:v>
                </c:pt>
                <c:pt idx="214">
                  <c:v>9.5344293057364471E-3</c:v>
                </c:pt>
                <c:pt idx="215">
                  <c:v>9.5529934928795246E-3</c:v>
                </c:pt>
                <c:pt idx="216">
                  <c:v>9.5904351499972087E-3</c:v>
                </c:pt>
                <c:pt idx="217">
                  <c:v>9.6274341528879148E-3</c:v>
                </c:pt>
                <c:pt idx="218">
                  <c:v>9.646090295627463E-3</c:v>
                </c:pt>
                <c:pt idx="219">
                  <c:v>9.6647648295511424E-3</c:v>
                </c:pt>
                <c:pt idx="220">
                  <c:v>9.6834577545779066E-3</c:v>
                </c:pt>
                <c:pt idx="221">
                  <c:v>9.7211638033852434E-3</c:v>
                </c:pt>
                <c:pt idx="222">
                  <c:v>9.7584133657158123E-3</c:v>
                </c:pt>
                <c:pt idx="223">
                  <c:v>9.7771982464200935E-3</c:v>
                </c:pt>
                <c:pt idx="224">
                  <c:v>9.7960015181464133E-3</c:v>
                </c:pt>
                <c:pt idx="225">
                  <c:v>9.8148231810568642E-3</c:v>
                </c:pt>
                <c:pt idx="226">
                  <c:v>9.8623689928306613E-3</c:v>
                </c:pt>
                <c:pt idx="227">
                  <c:v>9.9092073627227162E-3</c:v>
                </c:pt>
                <c:pt idx="228">
                  <c:v>9.9281393724948153E-3</c:v>
                </c:pt>
                <c:pt idx="229">
                  <c:v>9.9470897734510455E-3</c:v>
                </c:pt>
                <c:pt idx="230">
                  <c:v>9.9853250355341778E-3</c:v>
                </c:pt>
                <c:pt idx="231">
                  <c:v>1.0023075288874139E-2</c:v>
                </c:pt>
                <c:pt idx="232">
                  <c:v>1.0042117645669979E-2</c:v>
                </c:pt>
                <c:pt idx="233">
                  <c:v>1.006117839364995E-2</c:v>
                </c:pt>
                <c:pt idx="234">
                  <c:v>1.0080257532733006E-2</c:v>
                </c:pt>
                <c:pt idx="235">
                  <c:v>1.0118757620184439E-2</c:v>
                </c:pt>
                <c:pt idx="236">
                  <c:v>1.0156758001149679E-2</c:v>
                </c:pt>
                <c:pt idx="237">
                  <c:v>1.0175929096153391E-2</c:v>
                </c:pt>
                <c:pt idx="238">
                  <c:v>1.019511858242228E-2</c:v>
                </c:pt>
                <c:pt idx="239">
                  <c:v>1.021432444506476E-2</c:v>
                </c:pt>
                <c:pt idx="240">
                  <c:v>1.0253049206530401E-2</c:v>
                </c:pt>
                <c:pt idx="241">
                  <c:v>1.0291218974762817E-2</c:v>
                </c:pt>
                <c:pt idx="242">
                  <c:v>1.0310458362199348E-2</c:v>
                </c:pt>
                <c:pt idx="243">
                  <c:v>1.0329704051632582E-2</c:v>
                </c:pt>
                <c:pt idx="244">
                  <c:v>1.0348956043062518E-2</c:v>
                </c:pt>
                <c:pt idx="245">
                  <c:v>1.0387776650859401E-2</c:v>
                </c:pt>
                <c:pt idx="246">
                  <c:v>1.0426027028749285E-2</c:v>
                </c:pt>
                <c:pt idx="247">
                  <c:v>1.0445310530162732E-2</c:v>
                </c:pt>
                <c:pt idx="248">
                  <c:v>1.0464600333653928E-2</c:v>
                </c:pt>
                <c:pt idx="249">
                  <c:v>1.048389643906078E-2</c:v>
                </c:pt>
                <c:pt idx="250">
                  <c:v>1.0522813010462874E-2</c:v>
                </c:pt>
                <c:pt idx="251">
                  <c:v>1.0561143880898349E-2</c:v>
                </c:pt>
                <c:pt idx="252">
                  <c:v>1.0580471496369759E-2</c:v>
                </c:pt>
                <c:pt idx="253">
                  <c:v>1.0599805413837871E-2</c:v>
                </c:pt>
                <c:pt idx="254">
                  <c:v>1.0619145633302685E-2</c:v>
                </c:pt>
                <c:pt idx="255">
                  <c:v>1.0658158286448451E-2</c:v>
                </c:pt>
                <c:pt idx="256">
                  <c:v>1.0696569531453148E-2</c:v>
                </c:pt>
                <c:pt idx="257">
                  <c:v>1.0715941261144613E-2</c:v>
                </c:pt>
                <c:pt idx="258">
                  <c:v>1.0735319292670686E-2</c:v>
                </c:pt>
                <c:pt idx="259">
                  <c:v>1.0754703626274509E-2</c:v>
                </c:pt>
                <c:pt idx="260">
                  <c:v>1.0793812479734656E-2</c:v>
                </c:pt>
                <c:pt idx="261">
                  <c:v>1.0832303980981006E-2</c:v>
                </c:pt>
                <c:pt idx="262">
                  <c:v>1.0851719824649386E-2</c:v>
                </c:pt>
                <c:pt idx="263">
                  <c:v>1.0871141970395515E-2</c:v>
                </c:pt>
                <c:pt idx="264">
                  <c:v>1.0890570418219392E-2</c:v>
                </c:pt>
                <c:pt idx="265">
                  <c:v>1.0929775591483153E-2</c:v>
                </c:pt>
                <c:pt idx="266">
                  <c:v>1.0968347229562969E-2</c:v>
                </c:pt>
                <c:pt idx="267">
                  <c:v>1.0987807187451404E-2</c:v>
                </c:pt>
                <c:pt idx="268">
                  <c:v>1.1007273447417587E-2</c:v>
                </c:pt>
                <c:pt idx="269">
                  <c:v>1.1026746009461519E-2</c:v>
                </c:pt>
                <c:pt idx="270">
                  <c:v>1.1066047622612468E-2</c:v>
                </c:pt>
                <c:pt idx="271">
                  <c:v>1.1104699277766361E-2</c:v>
                </c:pt>
                <c:pt idx="272">
                  <c:v>1.112420334987485E-2</c:v>
                </c:pt>
                <c:pt idx="273">
                  <c:v>1.1143713724142135E-2</c:v>
                </c:pt>
                <c:pt idx="274">
                  <c:v>1.1163230400325075E-2</c:v>
                </c:pt>
                <c:pt idx="275">
                  <c:v>1.1202628574257247E-2</c:v>
                </c:pt>
                <c:pt idx="276">
                  <c:v>1.1241360125753275E-2</c:v>
                </c:pt>
                <c:pt idx="277">
                  <c:v>1.1260908312162865E-2</c:v>
                </c:pt>
                <c:pt idx="278">
                  <c:v>1.1280462800650204E-2</c:v>
                </c:pt>
                <c:pt idx="279">
                  <c:v>1.1300023591215291E-2</c:v>
                </c:pt>
                <c:pt idx="280">
                  <c:v>1.133951844736303E-2</c:v>
                </c:pt>
                <c:pt idx="281">
                  <c:v>1.1378329773928941E-2</c:v>
                </c:pt>
                <c:pt idx="282">
                  <c:v>1.1397922074801725E-2</c:v>
                </c:pt>
                <c:pt idx="283">
                  <c:v>1.1417520677590165E-2</c:v>
                </c:pt>
                <c:pt idx="284">
                  <c:v>1.14371255825374E-2</c:v>
                </c:pt>
                <c:pt idx="285">
                  <c:v>1.1476717243064465E-2</c:v>
                </c:pt>
                <c:pt idx="286">
                  <c:v>1.1515608222698592E-2</c:v>
                </c:pt>
                <c:pt idx="287">
                  <c:v>1.1535244637953523E-2</c:v>
                </c:pt>
                <c:pt idx="288">
                  <c:v>1.1554887355205157E-2</c:v>
                </c:pt>
                <c:pt idx="289">
                  <c:v>1.1574536374534539E-2</c:v>
                </c:pt>
                <c:pt idx="290">
                  <c:v>1.1614224962334109E-2</c:v>
                </c:pt>
                <c:pt idx="291">
                  <c:v>1.1653195472467459E-2</c:v>
                </c:pt>
                <c:pt idx="292">
                  <c:v>1.1672876002104537E-2</c:v>
                </c:pt>
                <c:pt idx="293">
                  <c:v>1.1692562833819364E-2</c:v>
                </c:pt>
                <c:pt idx="294">
                  <c:v>1.171225596761194E-2</c:v>
                </c:pt>
                <c:pt idx="295">
                  <c:v>1.1752041606252577E-2</c:v>
                </c:pt>
                <c:pt idx="296">
                  <c:v>1.1791091523397634E-2</c:v>
                </c:pt>
                <c:pt idx="297">
                  <c:v>1.1810816167578952E-2</c:v>
                </c:pt>
                <c:pt idx="298">
                  <c:v>1.1830547113756973E-2</c:v>
                </c:pt>
                <c:pt idx="299">
                  <c:v>1.1850284362093788E-2</c:v>
                </c:pt>
                <c:pt idx="300">
                  <c:v>1.1890167175873472E-2</c:v>
                </c:pt>
                <c:pt idx="301">
                  <c:v>1.1929296375975396E-2</c:v>
                </c:pt>
                <c:pt idx="302">
                  <c:v>1.1949065134700954E-2</c:v>
                </c:pt>
                <c:pt idx="303">
                  <c:v>1.1968835880113993E-2</c:v>
                </c:pt>
                <c:pt idx="304">
                  <c:v>1.1988591351058675E-2</c:v>
                </c:pt>
                <c:pt idx="305">
                  <c:v>1.202843336387131E-2</c:v>
                </c:pt>
                <c:pt idx="306">
                  <c:v>1.2067417336818487E-2</c:v>
                </c:pt>
                <c:pt idx="307">
                  <c:v>1.2087074858713187E-2</c:v>
                </c:pt>
                <c:pt idx="308">
                  <c:v>1.2106712790749263E-2</c:v>
                </c:pt>
                <c:pt idx="309">
                  <c:v>1.2166300438313904E-2</c:v>
                </c:pt>
                <c:pt idx="310">
                  <c:v>1.2224128996745076E-2</c:v>
                </c:pt>
                <c:pt idx="311">
                  <c:v>1.2243629799932876E-2</c:v>
                </c:pt>
                <c:pt idx="312">
                  <c:v>1.2292904831930351E-2</c:v>
                </c:pt>
                <c:pt idx="313">
                  <c:v>1.2340839968235651E-2</c:v>
                </c:pt>
                <c:pt idx="314">
                  <c:v>1.2360223232271705E-2</c:v>
                </c:pt>
                <c:pt idx="315">
                  <c:v>1.2379586906530182E-2</c:v>
                </c:pt>
                <c:pt idx="316">
                  <c:v>1.2398930990848989E-2</c:v>
                </c:pt>
                <c:pt idx="317">
                  <c:v>1.2437977680190839E-2</c:v>
                </c:pt>
                <c:pt idx="318">
                  <c:v>1.2476111429456926E-2</c:v>
                </c:pt>
                <c:pt idx="319">
                  <c:v>1.2495357564401566E-2</c:v>
                </c:pt>
                <c:pt idx="320">
                  <c:v>1.2514584109487581E-2</c:v>
                </c:pt>
                <c:pt idx="321">
                  <c:v>1.2533791064633926E-2</c:v>
                </c:pt>
                <c:pt idx="322">
                  <c:v>1.2572572717481913E-2</c:v>
                </c:pt>
                <c:pt idx="323">
                  <c:v>1.2610422986308878E-2</c:v>
                </c:pt>
                <c:pt idx="324">
                  <c:v>1.2629531992000009E-2</c:v>
                </c:pt>
                <c:pt idx="325">
                  <c:v>1.2648621407670424E-2</c:v>
                </c:pt>
                <c:pt idx="326">
                  <c:v>1.2667691233563261E-2</c:v>
                </c:pt>
                <c:pt idx="327">
                  <c:v>1.2706207882011713E-2</c:v>
                </c:pt>
                <c:pt idx="328">
                  <c:v>1.2743774637656857E-2</c:v>
                </c:pt>
                <c:pt idx="329">
                  <c:v>1.2762746513932388E-2</c:v>
                </c:pt>
                <c:pt idx="330">
                  <c:v>1.2781698800187202E-2</c:v>
                </c:pt>
                <c:pt idx="331">
                  <c:v>1.2800631496502346E-2</c:v>
                </c:pt>
                <c:pt idx="332">
                  <c:v>1.2838883170646447E-2</c:v>
                </c:pt>
                <c:pt idx="333">
                  <c:v>1.2876166382528309E-2</c:v>
                </c:pt>
                <c:pt idx="334">
                  <c:v>1.2895001129145101E-2</c:v>
                </c:pt>
                <c:pt idx="335">
                  <c:v>1.2913816285822222E-2</c:v>
                </c:pt>
                <c:pt idx="336">
                  <c:v>1.2932611852559672E-2</c:v>
                </c:pt>
                <c:pt idx="337">
                  <c:v>1.2970598580225314E-2</c:v>
                </c:pt>
                <c:pt idx="338">
                  <c:v>1.3007598219788585E-2</c:v>
                </c:pt>
                <c:pt idx="339">
                  <c:v>1.3026295836665591E-2</c:v>
                </c:pt>
                <c:pt idx="340">
                  <c:v>1.3044973863602927E-2</c:v>
                </c:pt>
                <c:pt idx="341">
                  <c:v>1.3063632300600592E-2</c:v>
                </c:pt>
                <c:pt idx="342">
                  <c:v>1.3101354107641535E-2</c:v>
                </c:pt>
                <c:pt idx="343">
                  <c:v>1.3138070148465131E-2</c:v>
                </c:pt>
                <c:pt idx="344">
                  <c:v>1.3156630635521305E-2</c:v>
                </c:pt>
                <c:pt idx="345">
                  <c:v>1.3175171532475716E-2</c:v>
                </c:pt>
                <c:pt idx="346">
                  <c:v>1.3193692839571503E-2</c:v>
                </c:pt>
                <c:pt idx="347">
                  <c:v>1.3231149749788342E-2</c:v>
                </c:pt>
                <c:pt idx="348">
                  <c:v>1.326758216758539E-2</c:v>
                </c:pt>
                <c:pt idx="349">
                  <c:v>1.3286005524496547E-2</c:v>
                </c:pt>
                <c:pt idx="350">
                  <c:v>1.3304409291468033E-2</c:v>
                </c:pt>
                <c:pt idx="351">
                  <c:v>1.3322793468418803E-2</c:v>
                </c:pt>
                <c:pt idx="352">
                  <c:v>1.3359985503640001E-2</c:v>
                </c:pt>
                <c:pt idx="353">
                  <c:v>1.3396134275933669E-2</c:v>
                </c:pt>
                <c:pt idx="354">
                  <c:v>1.3414420502699809E-2</c:v>
                </c:pt>
                <c:pt idx="355">
                  <c:v>1.3432687139526278E-2</c:v>
                </c:pt>
                <c:pt idx="356">
                  <c:v>1.3450934186250985E-2</c:v>
                </c:pt>
                <c:pt idx="357">
                  <c:v>1.3487861366089742E-2</c:v>
                </c:pt>
                <c:pt idx="358">
                  <c:v>1.3523726472618458E-2</c:v>
                </c:pt>
                <c:pt idx="359">
                  <c:v>1.3541875569158535E-2</c:v>
                </c:pt>
                <c:pt idx="360">
                  <c:v>1.3560005075596848E-2</c:v>
                </c:pt>
                <c:pt idx="361">
                  <c:v>1.3578114991933399E-2</c:v>
                </c:pt>
                <c:pt idx="362">
                  <c:v>1.3614777334138852E-2</c:v>
                </c:pt>
                <c:pt idx="363">
                  <c:v>1.3650358756748249E-2</c:v>
                </c:pt>
                <c:pt idx="364">
                  <c:v>1.3668370722738077E-2</c:v>
                </c:pt>
                <c:pt idx="365">
                  <c:v>1.3686364565158593E-2</c:v>
                </c:pt>
                <c:pt idx="366">
                  <c:v>1.3704346149977509E-2</c:v>
                </c:pt>
                <c:pt idx="367">
                  <c:v>1.3740790602228733E-2</c:v>
                </c:pt>
                <c:pt idx="368">
                  <c:v>1.3776164577832262E-2</c:v>
                </c:pt>
                <c:pt idx="369">
                  <c:v>1.3794092206900199E-2</c:v>
                </c:pt>
                <c:pt idx="370">
                  <c:v>1.3812009044898987E-2</c:v>
                </c:pt>
                <c:pt idx="371">
                  <c:v>1.3866737524006911E-2</c:v>
                </c:pt>
                <c:pt idx="372">
                  <c:v>1.3919283458575515E-2</c:v>
                </c:pt>
                <c:pt idx="373">
                  <c:v>1.3937124758522934E-2</c:v>
                </c:pt>
                <c:pt idx="374">
                  <c:v>1.3954955267320157E-2</c:v>
                </c:pt>
                <c:pt idx="375">
                  <c:v>1.3991116584767632E-2</c:v>
                </c:pt>
                <c:pt idx="376">
                  <c:v>1.4026169390682908E-2</c:v>
                </c:pt>
                <c:pt idx="377">
                  <c:v>1.4043945943648106E-2</c:v>
                </c:pt>
                <c:pt idx="378">
                  <c:v>1.4061711705463109E-2</c:v>
                </c:pt>
                <c:pt idx="379">
                  <c:v>1.407946667604687E-2</c:v>
                </c:pt>
                <c:pt idx="380">
                  <c:v>1.4115486493360882E-2</c:v>
                </c:pt>
                <c:pt idx="381">
                  <c:v>1.4150378646798911E-2</c:v>
                </c:pt>
                <c:pt idx="382">
                  <c:v>1.4168079661550648E-2</c:v>
                </c:pt>
                <c:pt idx="383">
                  <c:v>1.4185769885152189E-2</c:v>
                </c:pt>
                <c:pt idx="384">
                  <c:v>1.4203449317603534E-2</c:v>
                </c:pt>
                <c:pt idx="385">
                  <c:v>1.4239327678008767E-2</c:v>
                </c:pt>
                <c:pt idx="386">
                  <c:v>1.427405913542068E-2</c:v>
                </c:pt>
                <c:pt idx="387">
                  <c:v>1.4291684611877908E-2</c:v>
                </c:pt>
                <c:pt idx="388">
                  <c:v>1.4309299297184941E-2</c:v>
                </c:pt>
                <c:pt idx="389">
                  <c:v>1.4326903191260731E-2</c:v>
                </c:pt>
                <c:pt idx="390">
                  <c:v>1.4362640137063344E-2</c:v>
                </c:pt>
                <c:pt idx="391">
                  <c:v>1.4397210855737752E-2</c:v>
                </c:pt>
                <c:pt idx="392">
                  <c:v>1.4414760793900472E-2</c:v>
                </c:pt>
                <c:pt idx="393">
                  <c:v>1.443229994083195E-2</c:v>
                </c:pt>
                <c:pt idx="394">
                  <c:v>1.4449828296532186E-2</c:v>
                </c:pt>
                <c:pt idx="395">
                  <c:v>1.44944585301926E-2</c:v>
                </c:pt>
                <c:pt idx="396">
                  <c:v>1.4537308207213107E-2</c:v>
                </c:pt>
                <c:pt idx="397">
                  <c:v>1.4554771815687984E-2</c:v>
                </c:pt>
                <c:pt idx="398">
                  <c:v>1.4572224633012665E-2</c:v>
                </c:pt>
                <c:pt idx="399">
                  <c:v>1.4607678872043952E-2</c:v>
                </c:pt>
                <c:pt idx="400">
                  <c:v>1.4641927989998971E-2</c:v>
                </c:pt>
                <c:pt idx="401">
                  <c:v>1.4659326851167442E-2</c:v>
                </c:pt>
                <c:pt idx="402">
                  <c:v>1.4676714921185718E-2</c:v>
                </c:pt>
                <c:pt idx="403">
                  <c:v>1.4694092199972753E-2</c:v>
                </c:pt>
                <c:pt idx="404">
                  <c:v>1.4729405144782161E-2</c:v>
                </c:pt>
                <c:pt idx="405">
                  <c:v>1.476349340280847E-2</c:v>
                </c:pt>
                <c:pt idx="406">
                  <c:v>1.4780816725439294E-2</c:v>
                </c:pt>
                <c:pt idx="407">
                  <c:v>1.4798129256838877E-2</c:v>
                </c:pt>
                <c:pt idx="408">
                  <c:v>1.4815430997007217E-2</c:v>
                </c:pt>
                <c:pt idx="409">
                  <c:v>1.4850602685551422E-2</c:v>
                </c:pt>
                <c:pt idx="410">
                  <c:v>1.4884530045368161E-2</c:v>
                </c:pt>
                <c:pt idx="411">
                  <c:v>1.4901777829299245E-2</c:v>
                </c:pt>
                <c:pt idx="412">
                  <c:v>1.4919014821999088E-2</c:v>
                </c:pt>
                <c:pt idx="413">
                  <c:v>1.4936241023548735E-2</c:v>
                </c:pt>
                <c:pt idx="414">
                  <c:v>1.498017469714813E-2</c:v>
                </c:pt>
                <c:pt idx="415">
                  <c:v>1.5022210162342065E-2</c:v>
                </c:pt>
                <c:pt idx="416">
                  <c:v>1.5039371616261121E-2</c:v>
                </c:pt>
                <c:pt idx="417">
                  <c:v>1.5056522279029982E-2</c:v>
                </c:pt>
                <c:pt idx="418">
                  <c:v>1.5091411564942538E-2</c:v>
                </c:pt>
                <c:pt idx="419">
                  <c:v>1.5125017017468823E-2</c:v>
                </c:pt>
                <c:pt idx="420">
                  <c:v>1.5142113723919381E-2</c:v>
                </c:pt>
                <c:pt idx="421">
                  <c:v>1.5159199639057652E-2</c:v>
                </c:pt>
                <c:pt idx="422">
                  <c:v>1.5176274763045727E-2</c:v>
                </c:pt>
                <c:pt idx="423">
                  <c:v>1.5211022900403586E-2</c:v>
                </c:pt>
                <c:pt idx="424">
                  <c:v>1.5244467346037238E-2</c:v>
                </c:pt>
                <c:pt idx="425">
                  <c:v>1.5261488513625965E-2</c:v>
                </c:pt>
                <c:pt idx="426">
                  <c:v>1.5278498889902403E-2</c:v>
                </c:pt>
                <c:pt idx="427">
                  <c:v>1.5295499040002269E-2</c:v>
                </c:pt>
                <c:pt idx="428">
                  <c:v>1.5330117364991867E-2</c:v>
                </c:pt>
                <c:pt idx="429">
                  <c:v>1.5363423371231866E-2</c:v>
                </c:pt>
                <c:pt idx="430">
                  <c:v>1.5380385951841991E-2</c:v>
                </c:pt>
                <c:pt idx="431">
                  <c:v>1.5397341131548892E-2</c:v>
                </c:pt>
                <c:pt idx="432">
                  <c:v>1.5414288910352569E-2</c:v>
                </c:pt>
                <c:pt idx="433">
                  <c:v>1.544881363099419E-2</c:v>
                </c:pt>
                <c:pt idx="434">
                  <c:v>1.5482006016697136E-2</c:v>
                </c:pt>
                <c:pt idx="435">
                  <c:v>1.5498916791065742E-2</c:v>
                </c:pt>
                <c:pt idx="436">
                  <c:v>1.5515820164531124E-2</c:v>
                </c:pt>
                <c:pt idx="437">
                  <c:v>1.5532716137093283E-2</c:v>
                </c:pt>
                <c:pt idx="438">
                  <c:v>1.5567147299475247E-2</c:v>
                </c:pt>
                <c:pt idx="439">
                  <c:v>1.5600226018228636E-2</c:v>
                </c:pt>
                <c:pt idx="440">
                  <c:v>1.5617084986274676E-2</c:v>
                </c:pt>
                <c:pt idx="441">
                  <c:v>1.5633936553417493E-2</c:v>
                </c:pt>
                <c:pt idx="442">
                  <c:v>1.5650780719657087E-2</c:v>
                </c:pt>
                <c:pt idx="443">
                  <c:v>1.5685118369354416E-2</c:v>
                </c:pt>
                <c:pt idx="444">
                  <c:v>1.5718083375502179E-2</c:v>
                </c:pt>
                <c:pt idx="445">
                  <c:v>1.5734890537225654E-2</c:v>
                </c:pt>
                <c:pt idx="446">
                  <c:v>1.5751690298045906E-2</c:v>
                </c:pt>
                <c:pt idx="447">
                  <c:v>1.5768482657800842E-2</c:v>
                </c:pt>
                <c:pt idx="448">
                  <c:v>1.5802726839578101E-2</c:v>
                </c:pt>
                <c:pt idx="449">
                  <c:v>1.583557808819358E-2</c:v>
                </c:pt>
                <c:pt idx="450">
                  <c:v>1.5852333443513444E-2</c:v>
                </c:pt>
                <c:pt idx="451">
                  <c:v>1.5869081397849039E-2</c:v>
                </c:pt>
                <c:pt idx="452">
                  <c:v>1.5885821951281409E-2</c:v>
                </c:pt>
                <c:pt idx="453">
                  <c:v>1.5919972709065682E-2</c:v>
                </c:pt>
                <c:pt idx="454">
                  <c:v>1.5952710155897609E-2</c:v>
                </c:pt>
                <c:pt idx="455">
                  <c:v>1.5969413704732816E-2</c:v>
                </c:pt>
                <c:pt idx="456">
                  <c:v>1.5986109852664798E-2</c:v>
                </c:pt>
                <c:pt idx="457">
                  <c:v>1.6002798599693557E-2</c:v>
                </c:pt>
                <c:pt idx="458">
                  <c:v>1.6036855976817588E-2</c:v>
                </c:pt>
                <c:pt idx="459">
                  <c:v>1.6069479578371126E-2</c:v>
                </c:pt>
                <c:pt idx="460">
                  <c:v>1.6086131320640629E-2</c:v>
                </c:pt>
                <c:pt idx="461">
                  <c:v>1.6102775662087954E-2</c:v>
                </c:pt>
                <c:pt idx="462">
                  <c:v>1.6119412602551009E-2</c:v>
                </c:pt>
                <c:pt idx="463">
                  <c:v>1.6153376641753203E-2</c:v>
                </c:pt>
                <c:pt idx="464">
                  <c:v>1.6185886355046808E-2</c:v>
                </c:pt>
                <c:pt idx="465">
                  <c:v>1.6202486290831652E-2</c:v>
                </c:pt>
                <c:pt idx="466">
                  <c:v>1.6219078825713273E-2</c:v>
                </c:pt>
                <c:pt idx="467">
                  <c:v>1.6235663959610624E-2</c:v>
                </c:pt>
                <c:pt idx="468">
                  <c:v>1.6269534702845943E-2</c:v>
                </c:pt>
                <c:pt idx="469">
                  <c:v>1.6301930485843608E-2</c:v>
                </c:pt>
                <c:pt idx="470">
                  <c:v>1.6318478614981702E-2</c:v>
                </c:pt>
                <c:pt idx="471">
                  <c:v>1.6335019343297619E-2</c:v>
                </c:pt>
                <c:pt idx="472">
                  <c:v>1.6351552670548219E-2</c:v>
                </c:pt>
                <c:pt idx="473">
                  <c:v>1.6385330159069216E-2</c:v>
                </c:pt>
                <c:pt idx="474">
                  <c:v>1.6417611970275248E-2</c:v>
                </c:pt>
                <c:pt idx="475">
                  <c:v>1.6434108292766592E-2</c:v>
                </c:pt>
                <c:pt idx="476">
                  <c:v>1.6450597214354712E-2</c:v>
                </c:pt>
                <c:pt idx="477">
                  <c:v>1.6467078735039609E-2</c:v>
                </c:pt>
                <c:pt idx="478">
                  <c:v>1.6509365519218888E-2</c:v>
                </c:pt>
                <c:pt idx="479">
                  <c:v>1.654937532378109E-2</c:v>
                </c:pt>
                <c:pt idx="480">
                  <c:v>1.6565812438641414E-2</c:v>
                </c:pt>
                <c:pt idx="481">
                  <c:v>1.6582242152598514E-2</c:v>
                </c:pt>
                <c:pt idx="482">
                  <c:v>1.6615833252692967E-2</c:v>
                </c:pt>
                <c:pt idx="483">
                  <c:v>1.6647886998665262E-2</c:v>
                </c:pt>
                <c:pt idx="484">
                  <c:v>1.6664279707701013E-2</c:v>
                </c:pt>
                <c:pt idx="485">
                  <c:v>1.668066501583354E-2</c:v>
                </c:pt>
                <c:pt idx="486">
                  <c:v>1.6697042922981797E-2</c:v>
                </c:pt>
                <c:pt idx="487">
                  <c:v>1.6730540888040268E-2</c:v>
                </c:pt>
                <c:pt idx="488">
                  <c:v>1.6762480541975266E-2</c:v>
                </c:pt>
                <c:pt idx="489">
                  <c:v>1.6778821444202174E-2</c:v>
                </c:pt>
                <c:pt idx="490">
                  <c:v>1.6795154945606905E-2</c:v>
                </c:pt>
                <c:pt idx="491">
                  <c:v>1.6811476564816408E-2</c:v>
                </c:pt>
                <c:pt idx="492">
                  <c:v>1.6844791803200348E-2</c:v>
                </c:pt>
                <c:pt idx="493">
                  <c:v>1.6876438092102708E-2</c:v>
                </c:pt>
                <c:pt idx="494">
                  <c:v>1.6892592755325397E-2</c:v>
                </c:pt>
                <c:pt idx="495">
                  <c:v>1.6908713131270625E-2</c:v>
                </c:pt>
                <c:pt idx="496">
                  <c:v>1.6924799219695252E-2</c:v>
                </c:pt>
                <c:pt idx="497">
                  <c:v>1.6957644884086909E-2</c:v>
                </c:pt>
                <c:pt idx="498">
                  <c:v>1.6988800698917172E-2</c:v>
                </c:pt>
                <c:pt idx="499">
                  <c:v>1.7004715349981936E-2</c:v>
                </c:pt>
                <c:pt idx="500">
                  <c:v>1.7020595713769238E-2</c:v>
                </c:pt>
                <c:pt idx="501">
                  <c:v>1.7036441790035939E-2</c:v>
                </c:pt>
                <c:pt idx="502">
                  <c:v>1.7068817792716223E-2</c:v>
                </c:pt>
                <c:pt idx="503">
                  <c:v>1.709948322030197E-2</c:v>
                </c:pt>
                <c:pt idx="504">
                  <c:v>1.7115157859127761E-2</c:v>
                </c:pt>
                <c:pt idx="505">
                  <c:v>1.7130798210513998E-2</c:v>
                </c:pt>
                <c:pt idx="506">
                  <c:v>1.7146404274379634E-2</c:v>
                </c:pt>
                <c:pt idx="507">
                  <c:v>1.7178310524495664E-2</c:v>
                </c:pt>
                <c:pt idx="508">
                  <c:v>1.7208485654798267E-2</c:v>
                </c:pt>
                <c:pt idx="509">
                  <c:v>1.7223920281141947E-2</c:v>
                </c:pt>
                <c:pt idx="510">
                  <c:v>1.7239320619965026E-2</c:v>
                </c:pt>
                <c:pt idx="511">
                  <c:v>1.7254686671267505E-2</c:v>
                </c:pt>
                <c:pt idx="512">
                  <c:v>1.7286123074886639E-2</c:v>
                </c:pt>
                <c:pt idx="513">
                  <c:v>1.731580800094723E-2</c:v>
                </c:pt>
                <c:pt idx="514">
                  <c:v>1.7331002614646707E-2</c:v>
                </c:pt>
                <c:pt idx="515">
                  <c:v>1.734616294066349E-2</c:v>
                </c:pt>
                <c:pt idx="516">
                  <c:v>1.7361288979078626E-2</c:v>
                </c:pt>
                <c:pt idx="517">
                  <c:v>1.7392255439404591E-2</c:v>
                </c:pt>
                <c:pt idx="518">
                  <c:v>1.7496707613646006E-2</c:v>
                </c:pt>
                <c:pt idx="519">
                  <c:v>1.7599479593315426E-2</c:v>
                </c:pt>
                <c:pt idx="520">
                  <c:v>1.7700571374144419E-2</c:v>
                </c:pt>
                <c:pt idx="521">
                  <c:v>1.7799982951972607E-2</c:v>
                </c:pt>
                <c:pt idx="522">
                  <c:v>1.7897714322612595E-2</c:v>
                </c:pt>
                <c:pt idx="523">
                  <c:v>1.7993765482066108E-2</c:v>
                </c:pt>
                <c:pt idx="524">
                  <c:v>1.8088136426361871E-2</c:v>
                </c:pt>
                <c:pt idx="525">
                  <c:v>1.8180827151555633E-2</c:v>
                </c:pt>
                <c:pt idx="526">
                  <c:v>1.828574932689242E-2</c:v>
                </c:pt>
                <c:pt idx="527">
                  <c:v>1.836878131550812E-2</c:v>
                </c:pt>
                <c:pt idx="528">
                  <c:v>1.8450937979372178E-2</c:v>
                </c:pt>
                <c:pt idx="529">
                  <c:v>1.8538938026145445E-2</c:v>
                </c:pt>
                <c:pt idx="530">
                  <c:v>1.8625934583291391E-2</c:v>
                </c:pt>
                <c:pt idx="531">
                  <c:v>1.871192764872983E-2</c:v>
                </c:pt>
                <c:pt idx="532">
                  <c:v>1.8796917220299528E-2</c:v>
                </c:pt>
                <c:pt idx="533">
                  <c:v>1.888090329589328E-2</c:v>
                </c:pt>
                <c:pt idx="534">
                  <c:v>1.8963885873457913E-2</c:v>
                </c:pt>
                <c:pt idx="535">
                  <c:v>1.904586495088623E-2</c:v>
                </c:pt>
                <c:pt idx="536">
                  <c:v>1.9126840526233112E-2</c:v>
                </c:pt>
                <c:pt idx="537">
                  <c:v>1.9206812597418375E-2</c:v>
                </c:pt>
                <c:pt idx="538">
                  <c:v>1.9285781162523923E-2</c:v>
                </c:pt>
                <c:pt idx="539">
                  <c:v>1.9363746219550618E-2</c:v>
                </c:pt>
                <c:pt idx="540">
                  <c:v>1.944070776658036E-2</c:v>
                </c:pt>
                <c:pt idx="541">
                  <c:v>1.951666580172207E-2</c:v>
                </c:pt>
                <c:pt idx="542">
                  <c:v>1.9622388399891388E-2</c:v>
                </c:pt>
                <c:pt idx="543">
                  <c:v>1.9695901407816852E-2</c:v>
                </c:pt>
                <c:pt idx="544">
                  <c:v>1.9768410976633843E-2</c:v>
                </c:pt>
                <c:pt idx="545">
                  <c:v>1.9839917105693994E-2</c:v>
                </c:pt>
                <c:pt idx="546">
                  <c:v>1.9910419794348932E-2</c:v>
                </c:pt>
                <c:pt idx="547">
                  <c:v>1.9979919042112382E-2</c:v>
                </c:pt>
                <c:pt idx="548">
                  <c:v>2.0048414848417018E-2</c:v>
                </c:pt>
                <c:pt idx="549">
                  <c:v>2.011590721261447E-2</c:v>
                </c:pt>
                <c:pt idx="550">
                  <c:v>2.0182396134218461E-2</c:v>
                </c:pt>
                <c:pt idx="551">
                  <c:v>2.0247881612661667E-2</c:v>
                </c:pt>
                <c:pt idx="552">
                  <c:v>2.0312363647376763E-2</c:v>
                </c:pt>
                <c:pt idx="553">
                  <c:v>2.0375842237958519E-2</c:v>
                </c:pt>
                <c:pt idx="554">
                  <c:v>2.0438317383677518E-2</c:v>
                </c:pt>
                <c:pt idx="555">
                  <c:v>2.0499789084128528E-2</c:v>
                </c:pt>
                <c:pt idx="556">
                  <c:v>2.0560257338825272E-2</c:v>
                </c:pt>
                <c:pt idx="557">
                  <c:v>2.0619722147281472E-2</c:v>
                </c:pt>
                <c:pt idx="558">
                  <c:v>2.0678183508929804E-2</c:v>
                </c:pt>
                <c:pt idx="559">
                  <c:v>2.0735641423365037E-2</c:v>
                </c:pt>
                <c:pt idx="560">
                  <c:v>2.0792095890019846E-2</c:v>
                </c:pt>
                <c:pt idx="561">
                  <c:v>2.0847546908489001E-2</c:v>
                </c:pt>
                <c:pt idx="562">
                  <c:v>2.090199447836727E-2</c:v>
                </c:pt>
                <c:pt idx="563">
                  <c:v>2.0955438599087328E-2</c:v>
                </c:pt>
                <c:pt idx="564">
                  <c:v>2.1007879270324992E-2</c:v>
                </c:pt>
                <c:pt idx="565">
                  <c:v>2.1059316491512936E-2</c:v>
                </c:pt>
                <c:pt idx="566">
                  <c:v>2.1109750262408022E-2</c:v>
                </c:pt>
                <c:pt idx="567">
                  <c:v>2.1159195847509915E-2</c:v>
                </c:pt>
                <c:pt idx="568">
                  <c:v>2.1208080669747886E-2</c:v>
                </c:pt>
                <c:pt idx="569">
                  <c:v>2.1256603175398014E-2</c:v>
                </c:pt>
                <c:pt idx="570">
                  <c:v>2.1304763364217161E-2</c:v>
                </c:pt>
                <c:pt idx="571">
                  <c:v>2.1352561236124279E-2</c:v>
                </c:pt>
                <c:pt idx="572">
                  <c:v>2.1399996790957276E-2</c:v>
                </c:pt>
                <c:pt idx="573">
                  <c:v>2.1447070028716153E-2</c:v>
                </c:pt>
                <c:pt idx="574">
                  <c:v>2.1493780948995678E-2</c:v>
                </c:pt>
                <c:pt idx="575">
                  <c:v>2.1540129551876896E-2</c:v>
                </c:pt>
                <c:pt idx="576">
                  <c:v>2.1586115837035624E-2</c:v>
                </c:pt>
                <c:pt idx="577">
                  <c:v>2.1631739804552907E-2</c:v>
                </c:pt>
                <c:pt idx="578">
                  <c:v>2.1683437827161312E-2</c:v>
                </c:pt>
                <c:pt idx="579">
                  <c:v>2.1728285398945335E-2</c:v>
                </c:pt>
                <c:pt idx="580">
                  <c:v>2.1772770652601636E-2</c:v>
                </c:pt>
                <c:pt idx="581">
                  <c:v>2.1816893587968123E-2</c:v>
                </c:pt>
                <c:pt idx="582">
                  <c:v>2.1860654204882701E-2</c:v>
                </c:pt>
                <c:pt idx="583">
                  <c:v>2.1904052503264326E-2</c:v>
                </c:pt>
                <c:pt idx="584">
                  <c:v>2.1947088482950905E-2</c:v>
                </c:pt>
                <c:pt idx="585">
                  <c:v>2.1989762143699298E-2</c:v>
                </c:pt>
                <c:pt idx="586">
                  <c:v>2.2032073485590553E-2</c:v>
                </c:pt>
                <c:pt idx="587">
                  <c:v>2.207402250838153E-2</c:v>
                </c:pt>
                <c:pt idx="588">
                  <c:v>2.2115609211991183E-2</c:v>
                </c:pt>
                <c:pt idx="589">
                  <c:v>2.2156833596257419E-2</c:v>
                </c:pt>
                <c:pt idx="590">
                  <c:v>2.2197695661018146E-2</c:v>
                </c:pt>
                <c:pt idx="591">
                  <c:v>2.2238195406273364E-2</c:v>
                </c:pt>
                <c:pt idx="592">
                  <c:v>2.2278332831779935E-2</c:v>
                </c:pt>
                <c:pt idx="593">
                  <c:v>2.2318107937537857E-2</c:v>
                </c:pt>
                <c:pt idx="594">
                  <c:v>2.2357520723303992E-2</c:v>
                </c:pt>
                <c:pt idx="595">
                  <c:v>2.239657118907834E-2</c:v>
                </c:pt>
                <c:pt idx="596">
                  <c:v>2.2435259334617763E-2</c:v>
                </c:pt>
                <c:pt idx="597">
                  <c:v>2.247358515992226E-2</c:v>
                </c:pt>
                <c:pt idx="598">
                  <c:v>2.2511548664829739E-2</c:v>
                </c:pt>
                <c:pt idx="599">
                  <c:v>2.2549149849178107E-2</c:v>
                </c:pt>
                <c:pt idx="600">
                  <c:v>2.2586388712967365E-2</c:v>
                </c:pt>
                <c:pt idx="601">
                  <c:v>2.2623265256035419E-2</c:v>
                </c:pt>
                <c:pt idx="602">
                  <c:v>2.2659779478220177E-2</c:v>
                </c:pt>
                <c:pt idx="603">
                  <c:v>2.2695931379440593E-2</c:v>
                </c:pt>
                <c:pt idx="604">
                  <c:v>2.273172095961562E-2</c:v>
                </c:pt>
                <c:pt idx="605">
                  <c:v>2.2767148218664213E-2</c:v>
                </c:pt>
                <c:pt idx="606">
                  <c:v>2.2802213156343232E-2</c:v>
                </c:pt>
                <c:pt idx="607">
                  <c:v>2.2836915772733724E-2</c:v>
                </c:pt>
                <c:pt idx="608">
                  <c:v>2.2871256067673595E-2</c:v>
                </c:pt>
                <c:pt idx="609">
                  <c:v>2.2905234041000755E-2</c:v>
                </c:pt>
                <c:pt idx="610">
                  <c:v>2.2938849692634156E-2</c:v>
                </c:pt>
                <c:pt idx="611">
                  <c:v>2.2972103022492751E-2</c:v>
                </c:pt>
                <c:pt idx="612">
                  <c:v>2.3004994030495496E-2</c:v>
                </c:pt>
                <c:pt idx="613">
                  <c:v>2.3037522716480296E-2</c:v>
                </c:pt>
                <c:pt idx="614">
                  <c:v>2.3069689080447153E-2</c:v>
                </c:pt>
                <c:pt idx="615">
                  <c:v>2.3101493122233974E-2</c:v>
                </c:pt>
                <c:pt idx="616">
                  <c:v>2.3132934841678665E-2</c:v>
                </c:pt>
                <c:pt idx="617">
                  <c:v>2.3164014238781228E-2</c:v>
                </c:pt>
                <c:pt idx="618">
                  <c:v>2.3194731313541661E-2</c:v>
                </c:pt>
                <c:pt idx="619">
                  <c:v>2.322509677825213E-2</c:v>
                </c:pt>
                <c:pt idx="620">
                  <c:v>2.3255231290806311E-2</c:v>
                </c:pt>
                <c:pt idx="621">
                  <c:v>2.3285169244166015E-2</c:v>
                </c:pt>
                <c:pt idx="622">
                  <c:v>2.331491063841229E-2</c:v>
                </c:pt>
                <c:pt idx="623">
                  <c:v>2.3344455473220949E-2</c:v>
                </c:pt>
                <c:pt idx="624">
                  <c:v>2.3373803748916178E-2</c:v>
                </c:pt>
                <c:pt idx="625">
                  <c:v>2.3402955465254838E-2</c:v>
                </c:pt>
                <c:pt idx="626">
                  <c:v>2.3431910622074836E-2</c:v>
                </c:pt>
                <c:pt idx="627">
                  <c:v>2.3460669219538266E-2</c:v>
                </c:pt>
                <c:pt idx="628">
                  <c:v>2.3489231257483034E-2</c:v>
                </c:pt>
                <c:pt idx="629">
                  <c:v>2.3517596735909141E-2</c:v>
                </c:pt>
                <c:pt idx="630">
                  <c:v>2.3549773740361157E-2</c:v>
                </c:pt>
                <c:pt idx="631">
                  <c:v>2.3577718019726079E-2</c:v>
                </c:pt>
                <c:pt idx="632">
                  <c:v>2.3605465739248155E-2</c:v>
                </c:pt>
                <c:pt idx="633">
                  <c:v>2.3633016899170523E-2</c:v>
                </c:pt>
                <c:pt idx="634">
                  <c:v>2.3660371499250044E-2</c:v>
                </c:pt>
                <c:pt idx="635">
                  <c:v>2.3687529539567764E-2</c:v>
                </c:pt>
                <c:pt idx="636">
                  <c:v>2.3714491020042638E-2</c:v>
                </c:pt>
                <c:pt idx="637">
                  <c:v>2.3741255940674666E-2</c:v>
                </c:pt>
                <c:pt idx="638">
                  <c:v>2.3767824301301754E-2</c:v>
                </c:pt>
                <c:pt idx="639">
                  <c:v>2.3794196101923903E-2</c:v>
                </c:pt>
                <c:pt idx="640">
                  <c:v>2.3820371342460067E-2</c:v>
                </c:pt>
                <c:pt idx="641">
                  <c:v>2.3846350023072338E-2</c:v>
                </c:pt>
                <c:pt idx="642">
                  <c:v>2.3872132143517577E-2</c:v>
                </c:pt>
                <c:pt idx="643">
                  <c:v>2.3897717703795784E-2</c:v>
                </c:pt>
                <c:pt idx="644">
                  <c:v>2.392310670390696E-2</c:v>
                </c:pt>
                <c:pt idx="645">
                  <c:v>2.3948299143770058E-2</c:v>
                </c:pt>
                <c:pt idx="646">
                  <c:v>2.3983547806381456E-2</c:v>
                </c:pt>
                <c:pt idx="647">
                  <c:v>2.3998094342589926E-2</c:v>
                </c:pt>
                <c:pt idx="648">
                  <c:v>2.4022697101546697E-2</c:v>
                </c:pt>
                <c:pt idx="649">
                  <c:v>2.4047103300093298E-2</c:v>
                </c:pt>
                <c:pt idx="650">
                  <c:v>2.4071312938148681E-2</c:v>
                </c:pt>
                <c:pt idx="651">
                  <c:v>2.4095326015793894E-2</c:v>
                </c:pt>
                <c:pt idx="652">
                  <c:v>2.4119142532866844E-2</c:v>
                </c:pt>
                <c:pt idx="653">
                  <c:v>2.4142762489448577E-2</c:v>
                </c:pt>
                <c:pt idx="654">
                  <c:v>2.4166185885458047E-2</c:v>
                </c:pt>
                <c:pt idx="655">
                  <c:v>2.4189412720733161E-2</c:v>
                </c:pt>
                <c:pt idx="656">
                  <c:v>2.4212442995354966E-2</c:v>
                </c:pt>
                <c:pt idx="657">
                  <c:v>2.4235276709404507E-2</c:v>
                </c:pt>
                <c:pt idx="658">
                  <c:v>2.4257913862638647E-2</c:v>
                </c:pt>
                <c:pt idx="659">
                  <c:v>2.4280354455057385E-2</c:v>
                </c:pt>
                <c:pt idx="660">
                  <c:v>2.4302598486741767E-2</c:v>
                </c:pt>
                <c:pt idx="661">
                  <c:v>2.4324645957610747E-2</c:v>
                </c:pt>
                <c:pt idx="662">
                  <c:v>2.4346496867502232E-2</c:v>
                </c:pt>
                <c:pt idx="663">
                  <c:v>2.4368151216578315E-2</c:v>
                </c:pt>
                <c:pt idx="664">
                  <c:v>2.4389609004514812E-2</c:v>
                </c:pt>
                <c:pt idx="665">
                  <c:v>2.4410870231635906E-2</c:v>
                </c:pt>
                <c:pt idx="666">
                  <c:v>2.443193489769846E-2</c:v>
                </c:pt>
                <c:pt idx="667">
                  <c:v>2.4452803002702472E-2</c:v>
                </c:pt>
                <c:pt idx="668">
                  <c:v>2.4473474546647944E-2</c:v>
                </c:pt>
                <c:pt idx="669">
                  <c:v>2.4493949529372783E-2</c:v>
                </c:pt>
                <c:pt idx="670">
                  <c:v>2.451422795103908E-2</c:v>
                </c:pt>
                <c:pt idx="671">
                  <c:v>2.4534361450122555E-2</c:v>
                </c:pt>
                <c:pt idx="672">
                  <c:v>2.4554657067540342E-2</c:v>
                </c:pt>
                <c:pt idx="673">
                  <c:v>2.4575166441930252E-2</c:v>
                </c:pt>
                <c:pt idx="674">
                  <c:v>2.4595889573373331E-2</c:v>
                </c:pt>
                <c:pt idx="675">
                  <c:v>2.4616826461950625E-2</c:v>
                </c:pt>
                <c:pt idx="676">
                  <c:v>2.4637977107662135E-2</c:v>
                </c:pt>
                <c:pt idx="677">
                  <c:v>2.4659341510345767E-2</c:v>
                </c:pt>
                <c:pt idx="678">
                  <c:v>2.4680919670325707E-2</c:v>
                </c:pt>
                <c:pt idx="679">
                  <c:v>2.4702711587601955E-2</c:v>
                </c:pt>
                <c:pt idx="680">
                  <c:v>2.4724717262012419E-2</c:v>
                </c:pt>
                <c:pt idx="681">
                  <c:v>2.4746936693800237E-2</c:v>
                </c:pt>
                <c:pt idx="682">
                  <c:v>2.4777501876159794E-2</c:v>
                </c:pt>
                <c:pt idx="683">
                  <c:v>2.4800212980532109E-2</c:v>
                </c:pt>
                <c:pt idx="684">
                  <c:v>2.4823137874214012E-2</c:v>
                </c:pt>
                <c:pt idx="685">
                  <c:v>2.48462765573676E-2</c:v>
                </c:pt>
                <c:pt idx="686">
                  <c:v>2.4869629030073913E-2</c:v>
                </c:pt>
                <c:pt idx="687">
                  <c:v>2.4893195292495045E-2</c:v>
                </c:pt>
                <c:pt idx="688">
                  <c:v>2.4916975344739061E-2</c:v>
                </c:pt>
                <c:pt idx="689">
                  <c:v>2.4940969186914023E-2</c:v>
                </c:pt>
                <c:pt idx="690">
                  <c:v>2.4965176819155003E-2</c:v>
                </c:pt>
                <c:pt idx="691">
                  <c:v>2.4989598241624094E-2</c:v>
                </c:pt>
                <c:pt idx="692">
                  <c:v>2.5014233454402349E-2</c:v>
                </c:pt>
                <c:pt idx="693">
                  <c:v>2.5039082457678868E-2</c:v>
                </c:pt>
                <c:pt idx="694">
                  <c:v>2.5064145251507689E-2</c:v>
                </c:pt>
                <c:pt idx="695">
                  <c:v>2.5089421836050899E-2</c:v>
                </c:pt>
                <c:pt idx="696">
                  <c:v>2.5114912211470591E-2</c:v>
                </c:pt>
                <c:pt idx="697">
                  <c:v>2.5149963468024117E-2</c:v>
                </c:pt>
                <c:pt idx="698">
                  <c:v>2.5175969464555914E-2</c:v>
                </c:pt>
                <c:pt idx="699">
                  <c:v>2.5202189219194482E-2</c:v>
                </c:pt>
                <c:pt idx="700">
                  <c:v>2.522862273193982E-2</c:v>
                </c:pt>
                <c:pt idx="701">
                  <c:v>2.5255270002872976E-2</c:v>
                </c:pt>
                <c:pt idx="702">
                  <c:v>2.5282131032074995E-2</c:v>
                </c:pt>
                <c:pt idx="703">
                  <c:v>2.5309205819545877E-2</c:v>
                </c:pt>
                <c:pt idx="704">
                  <c:v>2.5336494365366669E-2</c:v>
                </c:pt>
                <c:pt idx="705">
                  <c:v>2.536399666953737E-2</c:v>
                </c:pt>
                <c:pt idx="706">
                  <c:v>2.5391712732139027E-2</c:v>
                </c:pt>
                <c:pt idx="707">
                  <c:v>2.541964255317164E-2</c:v>
                </c:pt>
                <c:pt idx="708">
                  <c:v>2.5447786132797301E-2</c:v>
                </c:pt>
                <c:pt idx="709">
                  <c:v>2.5476143471016011E-2</c:v>
                </c:pt>
                <c:pt idx="710">
                  <c:v>2.5504714567827769E-2</c:v>
                </c:pt>
                <c:pt idx="711">
                  <c:v>2.5533499423232575E-2</c:v>
                </c:pt>
                <c:pt idx="712">
                  <c:v>2.5562498037473569E-2</c:v>
                </c:pt>
                <c:pt idx="713">
                  <c:v>2.5591710410469704E-2</c:v>
                </c:pt>
                <c:pt idx="714">
                  <c:v>2.5621136542302025E-2</c:v>
                </c:pt>
                <c:pt idx="715">
                  <c:v>2.5650776432889488E-2</c:v>
                </c:pt>
                <c:pt idx="716">
                  <c:v>2.5680630082475231E-2</c:v>
                </c:pt>
                <c:pt idx="717">
                  <c:v>2.57106974911403E-2</c:v>
                </c:pt>
                <c:pt idx="718">
                  <c:v>2.5740978658722602E-2</c:v>
                </c:pt>
                <c:pt idx="719">
                  <c:v>2.5771473585465277E-2</c:v>
                </c:pt>
                <c:pt idx="720">
                  <c:v>2.5802182271287277E-2</c:v>
                </c:pt>
                <c:pt idx="721">
                  <c:v>2.583310471626965E-2</c:v>
                </c:pt>
                <c:pt idx="722">
                  <c:v>2.5864240920655535E-2</c:v>
                </c:pt>
                <c:pt idx="723">
                  <c:v>2.5895348795638151E-2</c:v>
                </c:pt>
                <c:pt idx="724">
                  <c:v>2.5926111910359317E-2</c:v>
                </c:pt>
                <c:pt idx="725">
                  <c:v>2.5956528358610509E-2</c:v>
                </c:pt>
                <c:pt idx="726">
                  <c:v>2.5986598140310679E-2</c:v>
                </c:pt>
                <c:pt idx="727">
                  <c:v>2.6016321255378783E-2</c:v>
                </c:pt>
                <c:pt idx="728">
                  <c:v>2.6045697703652726E-2</c:v>
                </c:pt>
                <c:pt idx="729">
                  <c:v>2.6074727485132509E-2</c:v>
                </c:pt>
                <c:pt idx="730">
                  <c:v>2.6103410599656041E-2</c:v>
                </c:pt>
                <c:pt idx="731">
                  <c:v>2.6131747047223319E-2</c:v>
                </c:pt>
                <c:pt idx="732">
                  <c:v>2.6159736827672253E-2</c:v>
                </c:pt>
                <c:pt idx="733">
                  <c:v>2.6187379940921796E-2</c:v>
                </c:pt>
                <c:pt idx="734">
                  <c:v>2.6214676387052993E-2</c:v>
                </c:pt>
                <c:pt idx="735">
                  <c:v>2.6241626165741661E-2</c:v>
                </c:pt>
                <c:pt idx="736">
                  <c:v>2.626822927714989E-2</c:v>
                </c:pt>
                <c:pt idx="737">
                  <c:v>2.6294485721034544E-2</c:v>
                </c:pt>
                <c:pt idx="738">
                  <c:v>2.6320395497314575E-2</c:v>
                </c:pt>
                <c:pt idx="739">
                  <c:v>2.6345958606071029E-2</c:v>
                </c:pt>
                <c:pt idx="740">
                  <c:v>2.6371175047141815E-2</c:v>
                </c:pt>
                <c:pt idx="741">
                  <c:v>2.6396044820445885E-2</c:v>
                </c:pt>
                <c:pt idx="742">
                  <c:v>2.6420567925902194E-2</c:v>
                </c:pt>
                <c:pt idx="743">
                  <c:v>2.6444744363429695E-2</c:v>
                </c:pt>
                <c:pt idx="744">
                  <c:v>2.6468574133028389E-2</c:v>
                </c:pt>
                <c:pt idx="745">
                  <c:v>2.6492057234536182E-2</c:v>
                </c:pt>
                <c:pt idx="746">
                  <c:v>2.651519366803412E-2</c:v>
                </c:pt>
                <c:pt idx="747">
                  <c:v>2.6537983433279067E-2</c:v>
                </c:pt>
                <c:pt idx="748">
                  <c:v>2.6560426530352066E-2</c:v>
                </c:pt>
                <c:pt idx="749">
                  <c:v>2.6582522959091026E-2</c:v>
                </c:pt>
                <c:pt idx="750">
                  <c:v>2.6604272719414901E-2</c:v>
                </c:pt>
                <c:pt idx="751">
                  <c:v>2.6625675811404736E-2</c:v>
                </c:pt>
                <c:pt idx="752">
                  <c:v>2.6646732234817394E-2</c:v>
                </c:pt>
                <c:pt idx="753">
                  <c:v>2.666744198973392E-2</c:v>
                </c:pt>
                <c:pt idx="754">
                  <c:v>2.6687805076073268E-2</c:v>
                </c:pt>
                <c:pt idx="755">
                  <c:v>2.6707821493754391E-2</c:v>
                </c:pt>
                <c:pt idx="756">
                  <c:v>2.6727491242696244E-2</c:v>
                </c:pt>
                <c:pt idx="757">
                  <c:v>2.674681432281778E-2</c:v>
                </c:pt>
                <c:pt idx="758">
                  <c:v>2.6765790734200046E-2</c:v>
                </c:pt>
                <c:pt idx="759">
                  <c:v>2.6784420476599902E-2</c:v>
                </c:pt>
                <c:pt idx="760">
                  <c:v>2.6802703550098395E-2</c:v>
                </c:pt>
                <c:pt idx="761">
                  <c:v>2.6820639954614478E-2</c:v>
                </c:pt>
                <c:pt idx="762">
                  <c:v>2.6838229690067106E-2</c:v>
                </c:pt>
                <c:pt idx="763">
                  <c:v>2.6855472756537324E-2</c:v>
                </c:pt>
                <c:pt idx="764">
                  <c:v>2.6872369153781994E-2</c:v>
                </c:pt>
                <c:pt idx="765">
                  <c:v>2.6888918881801116E-2</c:v>
                </c:pt>
                <c:pt idx="766">
                  <c:v>2.6905121940675736E-2</c:v>
                </c:pt>
                <c:pt idx="767">
                  <c:v>2.6920978330162715E-2</c:v>
                </c:pt>
                <c:pt idx="768">
                  <c:v>2.6936488050424146E-2</c:v>
                </c:pt>
                <c:pt idx="769">
                  <c:v>2.6951651101297935E-2</c:v>
                </c:pt>
                <c:pt idx="770">
                  <c:v>2.6966467482621992E-2</c:v>
                </c:pt>
                <c:pt idx="771">
                  <c:v>2.6980937194639454E-2</c:v>
                </c:pt>
                <c:pt idx="772">
                  <c:v>2.6995060237188229E-2</c:v>
                </c:pt>
                <c:pt idx="773">
                  <c:v>2.7008836610025178E-2</c:v>
                </c:pt>
                <c:pt idx="774">
                  <c:v>2.7022266313474486E-2</c:v>
                </c:pt>
                <c:pt idx="775">
                  <c:v>2.7035453979743496E-2</c:v>
                </c:pt>
                <c:pt idx="776">
                  <c:v>2.7048624971226509E-2</c:v>
                </c:pt>
                <c:pt idx="777">
                  <c:v>2.7061787336629672E-2</c:v>
                </c:pt>
                <c:pt idx="778">
                  <c:v>2.7074941076034031E-2</c:v>
                </c:pt>
                <c:pt idx="779">
                  <c:v>2.7088086189277494E-2</c:v>
                </c:pt>
                <c:pt idx="780">
                  <c:v>2.7101222676441106E-2</c:v>
                </c:pt>
                <c:pt idx="781">
                  <c:v>2.7114350537524867E-2</c:v>
                </c:pt>
                <c:pt idx="782">
                  <c:v>2.7127469772447732E-2</c:v>
                </c:pt>
                <c:pt idx="783">
                  <c:v>2.7140580381371793E-2</c:v>
                </c:pt>
                <c:pt idx="784">
                  <c:v>2.7153682364216003E-2</c:v>
                </c:pt>
                <c:pt idx="785">
                  <c:v>2.7166775720899317E-2</c:v>
                </c:pt>
                <c:pt idx="786">
                  <c:v>2.7181728994578602E-2</c:v>
                </c:pt>
                <c:pt idx="787">
                  <c:v>2.7194803866793515E-2</c:v>
                </c:pt>
                <c:pt idx="788">
                  <c:v>2.7207870112847532E-2</c:v>
                </c:pt>
                <c:pt idx="789">
                  <c:v>2.7220927732821698E-2</c:v>
                </c:pt>
                <c:pt idx="790">
                  <c:v>2.7233976726716014E-2</c:v>
                </c:pt>
                <c:pt idx="791">
                  <c:v>2.7247017094530479E-2</c:v>
                </c:pt>
                <c:pt idx="792">
                  <c:v>2.7260048836265094E-2</c:v>
                </c:pt>
                <c:pt idx="793">
                  <c:v>2.7273071951838812E-2</c:v>
                </c:pt>
                <c:pt idx="794">
                  <c:v>2.728608644133268E-2</c:v>
                </c:pt>
                <c:pt idx="795">
                  <c:v>2.7299092304665651E-2</c:v>
                </c:pt>
                <c:pt idx="796">
                  <c:v>2.7312089541999818E-2</c:v>
                </c:pt>
                <c:pt idx="797">
                  <c:v>2.7325078153173088E-2</c:v>
                </c:pt>
                <c:pt idx="798">
                  <c:v>2.7338058138185461E-2</c:v>
                </c:pt>
                <c:pt idx="799">
                  <c:v>2.7351029497199031E-2</c:v>
                </c:pt>
                <c:pt idx="800">
                  <c:v>2.7363992229970657E-2</c:v>
                </c:pt>
                <c:pt idx="801">
                  <c:v>2.737694633674348E-2</c:v>
                </c:pt>
                <c:pt idx="802">
                  <c:v>2.7389891817355405E-2</c:v>
                </c:pt>
                <c:pt idx="803">
                  <c:v>2.7402828671806434E-2</c:v>
                </c:pt>
                <c:pt idx="804">
                  <c:v>2.7415756900177612E-2</c:v>
                </c:pt>
                <c:pt idx="805">
                  <c:v>2.7428676502468941E-2</c:v>
                </c:pt>
                <c:pt idx="806">
                  <c:v>2.7441587478680418E-2</c:v>
                </c:pt>
                <c:pt idx="807">
                  <c:v>2.7454489828649953E-2</c:v>
                </c:pt>
                <c:pt idx="808">
                  <c:v>2.7467383552620683E-2</c:v>
                </c:pt>
                <c:pt idx="809">
                  <c:v>2.7480268650430517E-2</c:v>
                </c:pt>
                <c:pt idx="810">
                  <c:v>2.7493145121998408E-2</c:v>
                </c:pt>
                <c:pt idx="811">
                  <c:v>2.7506012967648541E-2</c:v>
                </c:pt>
                <c:pt idx="812">
                  <c:v>2.7518872187056731E-2</c:v>
                </c:pt>
                <c:pt idx="813">
                  <c:v>2.7531722780466117E-2</c:v>
                </c:pt>
                <c:pt idx="814">
                  <c:v>2.7544564747552513E-2</c:v>
                </c:pt>
                <c:pt idx="815">
                  <c:v>2.7557398088640106E-2</c:v>
                </c:pt>
                <c:pt idx="816">
                  <c:v>2.7570222803647848E-2</c:v>
                </c:pt>
                <c:pt idx="817">
                  <c:v>2.7583038892413647E-2</c:v>
                </c:pt>
                <c:pt idx="818">
                  <c:v>2.7595846355099596E-2</c:v>
                </c:pt>
                <c:pt idx="819">
                  <c:v>2.7608645191705694E-2</c:v>
                </c:pt>
                <c:pt idx="820">
                  <c:v>2.7621435402150896E-2</c:v>
                </c:pt>
                <c:pt idx="821">
                  <c:v>2.7634216986435201E-2</c:v>
                </c:pt>
                <c:pt idx="822">
                  <c:v>2.7646989944639655E-2</c:v>
                </c:pt>
                <c:pt idx="823">
                  <c:v>2.7659754276683213E-2</c:v>
                </c:pt>
                <c:pt idx="824">
                  <c:v>2.7672509982565874E-2</c:v>
                </c:pt>
                <c:pt idx="825">
                  <c:v>2.7685257062368684E-2</c:v>
                </c:pt>
                <c:pt idx="826">
                  <c:v>2.7697995516010598E-2</c:v>
                </c:pt>
                <c:pt idx="827">
                  <c:v>2.7710756126814173E-2</c:v>
                </c:pt>
                <c:pt idx="828">
                  <c:v>2.7723605197039758E-2</c:v>
                </c:pt>
                <c:pt idx="829">
                  <c:v>2.7736545094940723E-2</c:v>
                </c:pt>
                <c:pt idx="830">
                  <c:v>2.7749575820273931E-2</c:v>
                </c:pt>
                <c:pt idx="831">
                  <c:v>2.776269737303938E-2</c:v>
                </c:pt>
                <c:pt idx="832">
                  <c:v>2.7775909753399164E-2</c:v>
                </c:pt>
                <c:pt idx="833">
                  <c:v>2.778921296119119E-2</c:v>
                </c:pt>
                <c:pt idx="834">
                  <c:v>2.7802606996658596E-2</c:v>
                </c:pt>
                <c:pt idx="835">
                  <c:v>2.7816091859558245E-2</c:v>
                </c:pt>
                <c:pt idx="836">
                  <c:v>2.7829667550133275E-2</c:v>
                </c:pt>
                <c:pt idx="837">
                  <c:v>2.7843334068221592E-2</c:v>
                </c:pt>
                <c:pt idx="838">
                  <c:v>2.7857091413823198E-2</c:v>
                </c:pt>
                <c:pt idx="839">
                  <c:v>2.7870939587100185E-2</c:v>
                </c:pt>
                <c:pt idx="840">
                  <c:v>2.7884878587971507E-2</c:v>
                </c:pt>
                <c:pt idx="841">
                  <c:v>2.7898908416437163E-2</c:v>
                </c:pt>
                <c:pt idx="842">
                  <c:v>2.7913029072497153E-2</c:v>
                </c:pt>
                <c:pt idx="843">
                  <c:v>2.7927240556232524E-2</c:v>
                </c:pt>
                <c:pt idx="844">
                  <c:v>2.7941542867643276E-2</c:v>
                </c:pt>
                <c:pt idx="845">
                  <c:v>2.7955936006648363E-2</c:v>
                </c:pt>
                <c:pt idx="846">
                  <c:v>2.7970419973328831E-2</c:v>
                </c:pt>
                <c:pt idx="847">
                  <c:v>2.7984994767684679E-2</c:v>
                </c:pt>
                <c:pt idx="848">
                  <c:v>2.7999660389715908E-2</c:v>
                </c:pt>
                <c:pt idx="849">
                  <c:v>2.8014416839422518E-2</c:v>
                </c:pt>
                <c:pt idx="850">
                  <c:v>2.8029264116966601E-2</c:v>
                </c:pt>
                <c:pt idx="851">
                  <c:v>2.8044202222105019E-2</c:v>
                </c:pt>
                <c:pt idx="852">
                  <c:v>2.8059231154999864E-2</c:v>
                </c:pt>
                <c:pt idx="853">
                  <c:v>2.8074350915651136E-2</c:v>
                </c:pt>
                <c:pt idx="854">
                  <c:v>2.8089561503977789E-2</c:v>
                </c:pt>
                <c:pt idx="855">
                  <c:v>2.8104862920222962E-2</c:v>
                </c:pt>
                <c:pt idx="856">
                  <c:v>2.8120255164143515E-2</c:v>
                </c:pt>
                <c:pt idx="857">
                  <c:v>2.8135738235901542E-2</c:v>
                </c:pt>
                <c:pt idx="858">
                  <c:v>2.8151312135415996E-2</c:v>
                </c:pt>
                <c:pt idx="859">
                  <c:v>2.8166976862686877E-2</c:v>
                </c:pt>
                <c:pt idx="860">
                  <c:v>2.8182732417876277E-2</c:v>
                </c:pt>
                <c:pt idx="861">
                  <c:v>2.8198578800903151E-2</c:v>
                </c:pt>
                <c:pt idx="862">
                  <c:v>2.8214516011686452E-2</c:v>
                </c:pt>
                <c:pt idx="863">
                  <c:v>2.8230544050388273E-2</c:v>
                </c:pt>
                <c:pt idx="864">
                  <c:v>2.8246662916927567E-2</c:v>
                </c:pt>
                <c:pt idx="865">
                  <c:v>2.8262872611385381E-2</c:v>
                </c:pt>
                <c:pt idx="866">
                  <c:v>2.8279173133761715E-2</c:v>
                </c:pt>
                <c:pt idx="867">
                  <c:v>2.8295564483975522E-2</c:v>
                </c:pt>
                <c:pt idx="868">
                  <c:v>2.8312046662188894E-2</c:v>
                </c:pt>
                <c:pt idx="869">
                  <c:v>2.8328619668239741E-2</c:v>
                </c:pt>
                <c:pt idx="870">
                  <c:v>2.8345283502290153E-2</c:v>
                </c:pt>
                <c:pt idx="871">
                  <c:v>2.8362038164259085E-2</c:v>
                </c:pt>
                <c:pt idx="872">
                  <c:v>2.8378883654227582E-2</c:v>
                </c:pt>
                <c:pt idx="873">
                  <c:v>2.8395819972195646E-2</c:v>
                </c:pt>
                <c:pt idx="874">
                  <c:v>2.841284711808223E-2</c:v>
                </c:pt>
                <c:pt idx="875">
                  <c:v>2.8429965092049425E-2</c:v>
                </c:pt>
                <c:pt idx="876">
                  <c:v>2.8447173894016187E-2</c:v>
                </c:pt>
                <c:pt idx="877">
                  <c:v>2.8464473523982514E-2</c:v>
                </c:pt>
                <c:pt idx="878">
                  <c:v>2.8481863982029454E-2</c:v>
                </c:pt>
                <c:pt idx="879">
                  <c:v>2.8499339358991627E-2</c:v>
                </c:pt>
                <c:pt idx="880">
                  <c:v>2.8516833100068473E-2</c:v>
                </c:pt>
                <c:pt idx="881">
                  <c:v>2.8534326233784491E-2</c:v>
                </c:pt>
                <c:pt idx="882">
                  <c:v>2.8551818760301773E-2</c:v>
                </c:pt>
                <c:pt idx="883">
                  <c:v>2.8569310679620319E-2</c:v>
                </c:pt>
                <c:pt idx="884">
                  <c:v>2.8586801991578037E-2</c:v>
                </c:pt>
                <c:pt idx="885">
                  <c:v>2.8604292696418065E-2</c:v>
                </c:pt>
                <c:pt idx="886">
                  <c:v>2.8621782793897266E-2</c:v>
                </c:pt>
                <c:pt idx="887">
                  <c:v>2.8639272284096684E-2</c:v>
                </c:pt>
                <c:pt idx="888">
                  <c:v>2.8656761167097367E-2</c:v>
                </c:pt>
                <c:pt idx="889">
                  <c:v>2.8674249442818267E-2</c:v>
                </c:pt>
                <c:pt idx="890">
                  <c:v>2.8691737111421478E-2</c:v>
                </c:pt>
                <c:pt idx="891">
                  <c:v>2.8709224172582815E-2</c:v>
                </c:pt>
                <c:pt idx="892">
                  <c:v>2.8726710626545415E-2</c:v>
                </c:pt>
                <c:pt idx="893">
                  <c:v>2.874419647330928E-2</c:v>
                </c:pt>
                <c:pt idx="894">
                  <c:v>2.8761681712793363E-2</c:v>
                </c:pt>
                <c:pt idx="895">
                  <c:v>2.8779166344997664E-2</c:v>
                </c:pt>
                <c:pt idx="896">
                  <c:v>2.8796650370003229E-2</c:v>
                </c:pt>
                <c:pt idx="897">
                  <c:v>2.8814133787647966E-2</c:v>
                </c:pt>
                <c:pt idx="898">
                  <c:v>2.8831616598093968E-2</c:v>
                </c:pt>
                <c:pt idx="899">
                  <c:v>2.8849098801260187E-2</c:v>
                </c:pt>
                <c:pt idx="900">
                  <c:v>2.886658039722767E-2</c:v>
                </c:pt>
                <c:pt idx="901">
                  <c:v>2.8884061385996418E-2</c:v>
                </c:pt>
                <c:pt idx="902">
                  <c:v>2.8901541767404337E-2</c:v>
                </c:pt>
                <c:pt idx="903">
                  <c:v>2.8919021541613521E-2</c:v>
                </c:pt>
                <c:pt idx="904">
                  <c:v>2.8936500708542923E-2</c:v>
                </c:pt>
                <c:pt idx="905">
                  <c:v>2.8953979268273589E-2</c:v>
                </c:pt>
                <c:pt idx="906">
                  <c:v>2.8971457220643426E-2</c:v>
                </c:pt>
                <c:pt idx="907">
                  <c:v>2.8988934565814528E-2</c:v>
                </c:pt>
                <c:pt idx="908">
                  <c:v>2.9006411303705848E-2</c:v>
                </c:pt>
                <c:pt idx="909">
                  <c:v>2.9023887434398432E-2</c:v>
                </c:pt>
                <c:pt idx="910">
                  <c:v>2.9041362957811234E-2</c:v>
                </c:pt>
                <c:pt idx="911">
                  <c:v>2.9058837873944254E-2</c:v>
                </c:pt>
                <c:pt idx="912">
                  <c:v>2.9076312182797492E-2</c:v>
                </c:pt>
                <c:pt idx="913">
                  <c:v>2.9093785884451995E-2</c:v>
                </c:pt>
                <c:pt idx="914">
                  <c:v>2.9111258978826715E-2</c:v>
                </c:pt>
                <c:pt idx="915">
                  <c:v>2.9128731465921653E-2</c:v>
                </c:pt>
                <c:pt idx="916">
                  <c:v>2.914620334573681E-2</c:v>
                </c:pt>
                <c:pt idx="917">
                  <c:v>2.9163674618434277E-2</c:v>
                </c:pt>
                <c:pt idx="918">
                  <c:v>2.9181145283770915E-2</c:v>
                </c:pt>
                <c:pt idx="919">
                  <c:v>2.9198615341827772E-2</c:v>
                </c:pt>
                <c:pt idx="920">
                  <c:v>2.9216084792685892E-2</c:v>
                </c:pt>
                <c:pt idx="921">
                  <c:v>2.9233553636264231E-2</c:v>
                </c:pt>
                <c:pt idx="922">
                  <c:v>2.9251021872643834E-2</c:v>
                </c:pt>
                <c:pt idx="923">
                  <c:v>2.9268489501662609E-2</c:v>
                </c:pt>
                <c:pt idx="924">
                  <c:v>2.9285956523482648E-2</c:v>
                </c:pt>
                <c:pt idx="925">
                  <c:v>2.9303422938103951E-2</c:v>
                </c:pt>
                <c:pt idx="926">
                  <c:v>2.9320888745364426E-2</c:v>
                </c:pt>
                <c:pt idx="927">
                  <c:v>2.9338353945426165E-2</c:v>
                </c:pt>
                <c:pt idx="928">
                  <c:v>2.9355818538208123E-2</c:v>
                </c:pt>
                <c:pt idx="929">
                  <c:v>2.9373282523710298E-2</c:v>
                </c:pt>
                <c:pt idx="930">
                  <c:v>2.9390745902013737E-2</c:v>
                </c:pt>
                <c:pt idx="931">
                  <c:v>2.9408201795693145E-2</c:v>
                </c:pt>
                <c:pt idx="932">
                  <c:v>2.942557274452251E-2</c:v>
                </c:pt>
                <c:pt idx="933">
                  <c:v>2.9442836668658323E-2</c:v>
                </c:pt>
                <c:pt idx="934">
                  <c:v>2.9459993568100584E-2</c:v>
                </c:pt>
                <c:pt idx="935">
                  <c:v>2.9477043442768247E-2</c:v>
                </c:pt>
                <c:pt idx="936">
                  <c:v>2.9493986292742358E-2</c:v>
                </c:pt>
                <c:pt idx="937">
                  <c:v>2.9510822117941871E-2</c:v>
                </c:pt>
                <c:pt idx="938">
                  <c:v>2.9527550918366785E-2</c:v>
                </c:pt>
                <c:pt idx="939">
                  <c:v>2.9544172694017101E-2</c:v>
                </c:pt>
                <c:pt idx="940">
                  <c:v>2.9560687444973865E-2</c:v>
                </c:pt>
                <c:pt idx="941">
                  <c:v>2.9577095170993939E-2</c:v>
                </c:pt>
                <c:pt idx="942">
                  <c:v>2.9602748956004309E-2</c:v>
                </c:pt>
                <c:pt idx="943">
                  <c:v>2.961889938447778E-2</c:v>
                </c:pt>
                <c:pt idx="944">
                  <c:v>2.9634942772156506E-2</c:v>
                </c:pt>
                <c:pt idx="945">
                  <c:v>2.9650879118959438E-2</c:v>
                </c:pt>
                <c:pt idx="946">
                  <c:v>2.9666708424913594E-2</c:v>
                </c:pt>
                <c:pt idx="947">
                  <c:v>2.9682430689883896E-2</c:v>
                </c:pt>
                <c:pt idx="948">
                  <c:v>2.9698045913924373E-2</c:v>
                </c:pt>
                <c:pt idx="949">
                  <c:v>2.971355409689995E-2</c:v>
                </c:pt>
                <c:pt idx="950">
                  <c:v>2.9728955238837639E-2</c:v>
                </c:pt>
                <c:pt idx="951">
                  <c:v>2.9744249339683414E-2</c:v>
                </c:pt>
                <c:pt idx="952">
                  <c:v>2.9759436399383242E-2</c:v>
                </c:pt>
                <c:pt idx="953">
                  <c:v>2.9774516417883094E-2</c:v>
                </c:pt>
                <c:pt idx="954">
                  <c:v>2.9789489395155952E-2</c:v>
                </c:pt>
                <c:pt idx="955">
                  <c:v>2.9804355331201814E-2</c:v>
                </c:pt>
                <c:pt idx="956">
                  <c:v>2.9819114225939639E-2</c:v>
                </c:pt>
                <c:pt idx="957">
                  <c:v>2.9833766079315392E-2</c:v>
                </c:pt>
                <c:pt idx="958">
                  <c:v>2.985207077979779E-2</c:v>
                </c:pt>
                <c:pt idx="959">
                  <c:v>2.9866460321158472E-2</c:v>
                </c:pt>
                <c:pt idx="960">
                  <c:v>2.9880742837339325E-2</c:v>
                </c:pt>
                <c:pt idx="961">
                  <c:v>2.9894918328421394E-2</c:v>
                </c:pt>
                <c:pt idx="962">
                  <c:v>2.9908986794404679E-2</c:v>
                </c:pt>
                <c:pt idx="963">
                  <c:v>2.9922948235289182E-2</c:v>
                </c:pt>
                <c:pt idx="964">
                  <c:v>2.9936802651155947E-2</c:v>
                </c:pt>
                <c:pt idx="965">
                  <c:v>2.995055004168079E-2</c:v>
                </c:pt>
                <c:pt idx="966">
                  <c:v>2.996419040710685E-2</c:v>
                </c:pt>
                <c:pt idx="967">
                  <c:v>2.9977723747434126E-2</c:v>
                </c:pt>
                <c:pt idx="968">
                  <c:v>2.9991150062662619E-2</c:v>
                </c:pt>
                <c:pt idx="969">
                  <c:v>3.000446935254919E-2</c:v>
                </c:pt>
                <c:pt idx="970">
                  <c:v>3.0017681617255931E-2</c:v>
                </c:pt>
                <c:pt idx="971">
                  <c:v>3.0030786856782843E-2</c:v>
                </c:pt>
                <c:pt idx="972">
                  <c:v>3.0043785071048879E-2</c:v>
                </c:pt>
                <c:pt idx="973">
                  <c:v>3.0056676260135085E-2</c:v>
                </c:pt>
                <c:pt idx="974">
                  <c:v>3.0069460423960415E-2</c:v>
                </c:pt>
                <c:pt idx="975">
                  <c:v>3.0082137562443823E-2</c:v>
                </c:pt>
                <c:pt idx="976">
                  <c:v>3.0094707675747401E-2</c:v>
                </c:pt>
                <c:pt idx="977">
                  <c:v>3.0107170763790103E-2</c:v>
                </c:pt>
                <c:pt idx="978">
                  <c:v>3.0119526826409837E-2</c:v>
                </c:pt>
                <c:pt idx="979">
                  <c:v>3.0131775863849741E-2</c:v>
                </c:pt>
                <c:pt idx="980">
                  <c:v>3.0143917875866677E-2</c:v>
                </c:pt>
                <c:pt idx="981">
                  <c:v>3.0155952862703783E-2</c:v>
                </c:pt>
                <c:pt idx="982">
                  <c:v>3.0167880824117921E-2</c:v>
                </c:pt>
                <c:pt idx="983">
                  <c:v>3.0179701760190136E-2</c:v>
                </c:pt>
                <c:pt idx="984">
                  <c:v>3.019141567092043E-2</c:v>
                </c:pt>
                <c:pt idx="985">
                  <c:v>3.0203022556227754E-2</c:v>
                </c:pt>
                <c:pt idx="986">
                  <c:v>3.0214522416193157E-2</c:v>
                </c:pt>
                <c:pt idx="987">
                  <c:v>3.0225915250816637E-2</c:v>
                </c:pt>
                <c:pt idx="988">
                  <c:v>3.0237201060017149E-2</c:v>
                </c:pt>
                <c:pt idx="989">
                  <c:v>3.0248379843794693E-2</c:v>
                </c:pt>
                <c:pt idx="990">
                  <c:v>3.0259451602230314E-2</c:v>
                </c:pt>
                <c:pt idx="991">
                  <c:v>3.027041633516192E-2</c:v>
                </c:pt>
                <c:pt idx="992">
                  <c:v>3.0281274042670558E-2</c:v>
                </c:pt>
                <c:pt idx="993">
                  <c:v>3.0292024724675182E-2</c:v>
                </c:pt>
                <c:pt idx="994">
                  <c:v>3.0302668381256836E-2</c:v>
                </c:pt>
                <c:pt idx="995">
                  <c:v>3.0313205012496569E-2</c:v>
                </c:pt>
                <c:pt idx="996">
                  <c:v>3.0323634618070194E-2</c:v>
                </c:pt>
                <c:pt idx="997">
                  <c:v>3.0333957198301897E-2</c:v>
                </c:pt>
                <c:pt idx="998">
                  <c:v>3.0344172753029586E-2</c:v>
                </c:pt>
                <c:pt idx="999">
                  <c:v>3.0354281282253259E-2</c:v>
                </c:pt>
                <c:pt idx="1000">
                  <c:v>3.0364282785891872E-2</c:v>
                </c:pt>
                <c:pt idx="1001">
                  <c:v>3.0374177264107516E-2</c:v>
                </c:pt>
                <c:pt idx="1002">
                  <c:v>3.0383964716738099E-2</c:v>
                </c:pt>
                <c:pt idx="1003">
                  <c:v>3.0393645143864667E-2</c:v>
                </c:pt>
                <c:pt idx="1004">
                  <c:v>3.0403218545406174E-2</c:v>
                </c:pt>
                <c:pt idx="1005">
                  <c:v>3.0412684921443667E-2</c:v>
                </c:pt>
                <c:pt idx="1006">
                  <c:v>3.0422044271815052E-2</c:v>
                </c:pt>
                <c:pt idx="1007">
                  <c:v>3.0431296596763469E-2</c:v>
                </c:pt>
                <c:pt idx="1008">
                  <c:v>3.0440441896045778E-2</c:v>
                </c:pt>
                <c:pt idx="1009">
                  <c:v>3.0449480169824072E-2</c:v>
                </c:pt>
                <c:pt idx="1010">
                  <c:v>3.0458411417855213E-2</c:v>
                </c:pt>
                <c:pt idx="1011">
                  <c:v>3.046723564038234E-2</c:v>
                </c:pt>
                <c:pt idx="1012">
                  <c:v>3.0475952837324405E-2</c:v>
                </c:pt>
                <c:pt idx="1013">
                  <c:v>3.0484563008519316E-2</c:v>
                </c:pt>
                <c:pt idx="1014">
                  <c:v>3.0493066154210213E-2</c:v>
                </c:pt>
                <c:pt idx="1015">
                  <c:v>3.0501462274235003E-2</c:v>
                </c:pt>
                <c:pt idx="1016">
                  <c:v>3.0509751368674731E-2</c:v>
                </c:pt>
                <c:pt idx="1017">
                  <c:v>3.0517933437448352E-2</c:v>
                </c:pt>
                <c:pt idx="1018">
                  <c:v>3.0526008480555866E-2</c:v>
                </c:pt>
                <c:pt idx="1019">
                  <c:v>3.0533976497997273E-2</c:v>
                </c:pt>
                <c:pt idx="1020">
                  <c:v>3.0541837489772572E-2</c:v>
                </c:pt>
                <c:pt idx="1021">
                  <c:v>3.0549591455881764E-2</c:v>
                </c:pt>
                <c:pt idx="1022">
                  <c:v>3.0557238396243802E-2</c:v>
                </c:pt>
                <c:pt idx="1023">
                  <c:v>3.0564778310939733E-2</c:v>
                </c:pt>
                <c:pt idx="1024">
                  <c:v>3.0572211199969557E-2</c:v>
                </c:pt>
                <c:pt idx="1025">
                  <c:v>3.0579537063333273E-2</c:v>
                </c:pt>
                <c:pt idx="1026">
                  <c:v>3.0586755901030882E-2</c:v>
                </c:pt>
                <c:pt idx="1027">
                  <c:v>3.0593867712900291E-2</c:v>
                </c:pt>
                <c:pt idx="1028">
                  <c:v>3.0600872499022547E-2</c:v>
                </c:pt>
                <c:pt idx="1029">
                  <c:v>3.0607770259559741E-2</c:v>
                </c:pt>
                <c:pt idx="1030">
                  <c:v>3.0614560994268736E-2</c:v>
                </c:pt>
                <c:pt idx="1031">
                  <c:v>3.0621244703311623E-2</c:v>
                </c:pt>
                <c:pt idx="1032">
                  <c:v>3.0627821386445264E-2</c:v>
                </c:pt>
                <c:pt idx="1033">
                  <c:v>3.0634291043993844E-2</c:v>
                </c:pt>
                <c:pt idx="1034">
                  <c:v>3.0640653675714224E-2</c:v>
                </c:pt>
                <c:pt idx="1035">
                  <c:v>3.0646943161545259E-2</c:v>
                </c:pt>
                <c:pt idx="1036">
                  <c:v>3.0653203785255823E-2</c:v>
                </c:pt>
                <c:pt idx="1037">
                  <c:v>3.0659435813731317E-2</c:v>
                </c:pt>
                <c:pt idx="1038">
                  <c:v>3.0665639246890697E-2</c:v>
                </c:pt>
                <c:pt idx="1039">
                  <c:v>3.0671814084815008E-2</c:v>
                </c:pt>
                <c:pt idx="1040">
                  <c:v>3.0677960327342157E-2</c:v>
                </c:pt>
                <c:pt idx="1041">
                  <c:v>3.0684077974634238E-2</c:v>
                </c:pt>
                <c:pt idx="1042">
                  <c:v>3.0690167026610204E-2</c:v>
                </c:pt>
                <c:pt idx="1043">
                  <c:v>3.0696227483351102E-2</c:v>
                </c:pt>
                <c:pt idx="1044">
                  <c:v>3.0702259344694838E-2</c:v>
                </c:pt>
                <c:pt idx="1045">
                  <c:v>3.0708262610803505E-2</c:v>
                </c:pt>
                <c:pt idx="1046">
                  <c:v>3.0714237281596057E-2</c:v>
                </c:pt>
                <c:pt idx="1047">
                  <c:v>3.0720183357072495E-2</c:v>
                </c:pt>
                <c:pt idx="1048">
                  <c:v>3.0726100837313863E-2</c:v>
                </c:pt>
                <c:pt idx="1049">
                  <c:v>3.0731989722077024E-2</c:v>
                </c:pt>
                <c:pt idx="1050">
                  <c:v>3.0737850011605117E-2</c:v>
                </c:pt>
                <c:pt idx="1051">
                  <c:v>3.074368170589814E-2</c:v>
                </c:pt>
                <c:pt idx="1052">
                  <c:v>3.0749484804794003E-2</c:v>
                </c:pt>
                <c:pt idx="1053">
                  <c:v>3.0755259308454796E-2</c:v>
                </c:pt>
                <c:pt idx="1054">
                  <c:v>3.0761005216718429E-2</c:v>
                </c:pt>
                <c:pt idx="1055">
                  <c:v>3.0766722529746993E-2</c:v>
                </c:pt>
                <c:pt idx="1056">
                  <c:v>3.0772411247459441E-2</c:v>
                </c:pt>
                <c:pt idx="1057">
                  <c:v>3.0778071369774729E-2</c:v>
                </c:pt>
                <c:pt idx="1058">
                  <c:v>3.0783702896854948E-2</c:v>
                </c:pt>
                <c:pt idx="1059">
                  <c:v>3.0789305828538005E-2</c:v>
                </c:pt>
                <c:pt idx="1060">
                  <c:v>3.0794880164985994E-2</c:v>
                </c:pt>
                <c:pt idx="1061">
                  <c:v>3.0800425906036821E-2</c:v>
                </c:pt>
                <c:pt idx="1062">
                  <c:v>3.080594305185258E-2</c:v>
                </c:pt>
                <c:pt idx="1063">
                  <c:v>3.0811431602190131E-2</c:v>
                </c:pt>
                <c:pt idx="1064">
                  <c:v>3.0816891557292614E-2</c:v>
                </c:pt>
                <c:pt idx="1065">
                  <c:v>3.0822322917078981E-2</c:v>
                </c:pt>
                <c:pt idx="1066">
                  <c:v>3.0827725681549234E-2</c:v>
                </c:pt>
                <c:pt idx="1067">
                  <c:v>3.0833099850622325E-2</c:v>
                </c:pt>
                <c:pt idx="1068">
                  <c:v>3.0838445424460348E-2</c:v>
                </c:pt>
                <c:pt idx="1069">
                  <c:v>3.0843762402820163E-2</c:v>
                </c:pt>
                <c:pt idx="1070">
                  <c:v>3.0849050785944909E-2</c:v>
                </c:pt>
                <c:pt idx="1071">
                  <c:v>3.0854310573672494E-2</c:v>
                </c:pt>
                <c:pt idx="1072">
                  <c:v>3.0859541766165011E-2</c:v>
                </c:pt>
                <c:pt idx="1073">
                  <c:v>3.0864744363179319E-2</c:v>
                </c:pt>
                <c:pt idx="1074">
                  <c:v>3.0869918365039606E-2</c:v>
                </c:pt>
                <c:pt idx="1075">
                  <c:v>3.0875063771421685E-2</c:v>
                </c:pt>
                <c:pt idx="1076">
                  <c:v>3.0880180582487649E-2</c:v>
                </c:pt>
                <c:pt idx="1077">
                  <c:v>3.0885268798237497E-2</c:v>
                </c:pt>
                <c:pt idx="1078">
                  <c:v>3.0890328418671231E-2</c:v>
                </c:pt>
                <c:pt idx="1079">
                  <c:v>3.0895359443707804E-2</c:v>
                </c:pt>
                <c:pt idx="1080">
                  <c:v>3.0900361873347215E-2</c:v>
                </c:pt>
                <c:pt idx="1081">
                  <c:v>3.0905335707670512E-2</c:v>
                </c:pt>
                <c:pt idx="1082">
                  <c:v>3.0910280946677693E-2</c:v>
                </c:pt>
                <c:pt idx="1083">
                  <c:v>3.0915197590287713E-2</c:v>
                </c:pt>
                <c:pt idx="1084">
                  <c:v>3.0920085638581618E-2</c:v>
                </c:pt>
                <c:pt idx="1085">
                  <c:v>3.0924945091640454E-2</c:v>
                </c:pt>
                <c:pt idx="1086">
                  <c:v>3.0929775949221083E-2</c:v>
                </c:pt>
                <c:pt idx="1087">
                  <c:v>3.0934578211323505E-2</c:v>
                </c:pt>
                <c:pt idx="1088">
                  <c:v>3.0939351878271903E-2</c:v>
                </c:pt>
                <c:pt idx="1089">
                  <c:v>3.0944096949742095E-2</c:v>
                </c:pt>
                <c:pt idx="1090">
                  <c:v>3.0948813425896171E-2</c:v>
                </c:pt>
                <c:pt idx="1091">
                  <c:v>3.0953501306734132E-2</c:v>
                </c:pt>
                <c:pt idx="1092">
                  <c:v>3.0958160592174933E-2</c:v>
                </c:pt>
                <c:pt idx="1093">
                  <c:v>3.0962791282218571E-2</c:v>
                </c:pt>
                <c:pt idx="1094">
                  <c:v>3.0967393376946095E-2</c:v>
                </c:pt>
                <c:pt idx="1095">
                  <c:v>3.0971966876357504E-2</c:v>
                </c:pt>
                <c:pt idx="1096">
                  <c:v>3.0976511780290705E-2</c:v>
                </c:pt>
                <c:pt idx="1097">
                  <c:v>3.0981028088907792E-2</c:v>
                </c:pt>
                <c:pt idx="1098">
                  <c:v>3.098615456976761E-2</c:v>
                </c:pt>
                <c:pt idx="1099">
                  <c:v>3.0990609602614683E-2</c:v>
                </c:pt>
                <c:pt idx="1100">
                  <c:v>3.0995036039983548E-2</c:v>
                </c:pt>
                <c:pt idx="1101">
                  <c:v>3.0999433882117344E-2</c:v>
                </c:pt>
                <c:pt idx="1102">
                  <c:v>3.1003803128853979E-2</c:v>
                </c:pt>
                <c:pt idx="1103">
                  <c:v>3.10081437802745E-2</c:v>
                </c:pt>
                <c:pt idx="1104">
                  <c:v>3.1012455836135766E-2</c:v>
                </c:pt>
                <c:pt idx="1105">
                  <c:v>3.1016739296761964E-2</c:v>
                </c:pt>
                <c:pt idx="1106">
                  <c:v>3.1020994161991E-2</c:v>
                </c:pt>
                <c:pt idx="1107">
                  <c:v>3.1025220431903922E-2</c:v>
                </c:pt>
                <c:pt idx="1108">
                  <c:v>3.1029418106338635E-2</c:v>
                </c:pt>
                <c:pt idx="1109">
                  <c:v>3.1033587185457234E-2</c:v>
                </c:pt>
                <c:pt idx="1110">
                  <c:v>3.1037727669178672E-2</c:v>
                </c:pt>
                <c:pt idx="1111">
                  <c:v>3.1041839557421902E-2</c:v>
                </c:pt>
                <c:pt idx="1112">
                  <c:v>3.1045922850349017E-2</c:v>
                </c:pt>
                <c:pt idx="1113">
                  <c:v>3.1049977548041063E-2</c:v>
                </c:pt>
                <c:pt idx="1114">
                  <c:v>3.1054003650173856E-2</c:v>
                </c:pt>
                <c:pt idx="1115">
                  <c:v>3.1058001156909487E-2</c:v>
                </c:pt>
                <c:pt idx="1116">
                  <c:v>3.106197006841005E-2</c:v>
                </c:pt>
                <c:pt idx="1117">
                  <c:v>3.1065910384432405E-2</c:v>
                </c:pt>
                <c:pt idx="1118">
                  <c:v>3.1069822105138645E-2</c:v>
                </c:pt>
                <c:pt idx="1119">
                  <c:v>3.1073705230366677E-2</c:v>
                </c:pt>
                <c:pt idx="1120">
                  <c:v>3.1077559760197548E-2</c:v>
                </c:pt>
                <c:pt idx="1121">
                  <c:v>3.1081385694712305E-2</c:v>
                </c:pt>
                <c:pt idx="1122">
                  <c:v>3.1085183033748853E-2</c:v>
                </c:pt>
                <c:pt idx="1123">
                  <c:v>3.1088951777388241E-2</c:v>
                </c:pt>
                <c:pt idx="1124">
                  <c:v>3.1092691925711513E-2</c:v>
                </c:pt>
                <c:pt idx="1125">
                  <c:v>3.109640347871867E-2</c:v>
                </c:pt>
                <c:pt idx="1126">
                  <c:v>3.1100086436166574E-2</c:v>
                </c:pt>
                <c:pt idx="1127">
                  <c:v>3.1103740798379409E-2</c:v>
                </c:pt>
                <c:pt idx="1128">
                  <c:v>3.110736656503299E-2</c:v>
                </c:pt>
                <c:pt idx="1129">
                  <c:v>3.1110963736370456E-2</c:v>
                </c:pt>
                <c:pt idx="1130">
                  <c:v>3.1114532312310761E-2</c:v>
                </c:pt>
                <c:pt idx="1131">
                  <c:v>3.1118072292853904E-2</c:v>
                </c:pt>
                <c:pt idx="1132">
                  <c:v>3.112158367791884E-2</c:v>
                </c:pt>
                <c:pt idx="1133">
                  <c:v>3.1125066467667661E-2</c:v>
                </c:pt>
                <c:pt idx="1134">
                  <c:v>3.1128520662019321E-2</c:v>
                </c:pt>
                <c:pt idx="1135">
                  <c:v>3.113194626097382E-2</c:v>
                </c:pt>
                <c:pt idx="1136">
                  <c:v>3.113534326445011E-2</c:v>
                </c:pt>
                <c:pt idx="1137">
                  <c:v>3.1138711672610286E-2</c:v>
                </c:pt>
                <c:pt idx="1138">
                  <c:v>3.1142051485373301E-2</c:v>
                </c:pt>
                <c:pt idx="1139">
                  <c:v>3.1145362702658108E-2</c:v>
                </c:pt>
                <c:pt idx="1140">
                  <c:v>3.1148645324545754E-2</c:v>
                </c:pt>
                <c:pt idx="1141">
                  <c:v>3.1151899351117285E-2</c:v>
                </c:pt>
                <c:pt idx="1142">
                  <c:v>3.1155124782129562E-2</c:v>
                </c:pt>
                <c:pt idx="1143">
                  <c:v>3.1158321617825724E-2</c:v>
                </c:pt>
                <c:pt idx="1144">
                  <c:v>3.1161489858043678E-2</c:v>
                </c:pt>
                <c:pt idx="1145">
                  <c:v>3.1164629503026564E-2</c:v>
                </c:pt>
                <c:pt idx="1146">
                  <c:v>3.1167740552450196E-2</c:v>
                </c:pt>
                <c:pt idx="1147">
                  <c:v>3.1170823006476667E-2</c:v>
                </c:pt>
                <c:pt idx="1148">
                  <c:v>3.1173876865105976E-2</c:v>
                </c:pt>
                <c:pt idx="1149">
                  <c:v>3.1176902128338124E-2</c:v>
                </c:pt>
                <c:pt idx="1150">
                  <c:v>3.1179898796173111E-2</c:v>
                </c:pt>
                <c:pt idx="1151">
                  <c:v>3.118286686852989E-2</c:v>
                </c:pt>
                <c:pt idx="1152">
                  <c:v>3.1185806345489508E-2</c:v>
                </c:pt>
                <c:pt idx="1153">
                  <c:v>3.1188717227133012E-2</c:v>
                </c:pt>
                <c:pt idx="1154">
                  <c:v>3.1191599513217261E-2</c:v>
                </c:pt>
                <c:pt idx="1155">
                  <c:v>3.1194453203985395E-2</c:v>
                </c:pt>
                <c:pt idx="1156">
                  <c:v>3.1197278299356368E-2</c:v>
                </c:pt>
                <c:pt idx="1157">
                  <c:v>3.1200074799168087E-2</c:v>
                </c:pt>
                <c:pt idx="1158">
                  <c:v>3.1202842703663691E-2</c:v>
                </c:pt>
                <c:pt idx="1159">
                  <c:v>3.1205582012762134E-2</c:v>
                </c:pt>
                <c:pt idx="1160">
                  <c:v>3.120829272638237E-2</c:v>
                </c:pt>
                <c:pt idx="1161">
                  <c:v>3.1210974844605444E-2</c:v>
                </c:pt>
                <c:pt idx="1162">
                  <c:v>3.1213628367431356E-2</c:v>
                </c:pt>
                <c:pt idx="1163">
                  <c:v>3.1216253294779062E-2</c:v>
                </c:pt>
                <c:pt idx="1164">
                  <c:v>3.1218849626729606E-2</c:v>
                </c:pt>
                <c:pt idx="1165">
                  <c:v>3.1221417363282988E-2</c:v>
                </c:pt>
                <c:pt idx="1166">
                  <c:v>3.122395650443921E-2</c:v>
                </c:pt>
                <c:pt idx="1167">
                  <c:v>3.1226467050036177E-2</c:v>
                </c:pt>
                <c:pt idx="1168">
                  <c:v>3.122894900031703E-2</c:v>
                </c:pt>
                <c:pt idx="1169">
                  <c:v>3.1231402355200721E-2</c:v>
                </c:pt>
                <c:pt idx="1170">
                  <c:v>3.1233827114606205E-2</c:v>
                </c:pt>
                <c:pt idx="1171">
                  <c:v>3.1236223278533481E-2</c:v>
                </c:pt>
                <c:pt idx="1172">
                  <c:v>3.1238590847144643E-2</c:v>
                </c:pt>
                <c:pt idx="1173">
                  <c:v>3.1240929820277596E-2</c:v>
                </c:pt>
                <c:pt idx="1174">
                  <c:v>3.1243240198013389E-2</c:v>
                </c:pt>
                <c:pt idx="1175">
                  <c:v>3.1245521980189928E-2</c:v>
                </c:pt>
                <c:pt idx="1176">
                  <c:v>3.1247775167050351E-2</c:v>
                </c:pt>
                <c:pt idx="1177">
                  <c:v>3.1249999758513614E-2</c:v>
                </c:pt>
                <c:pt idx="1178">
                  <c:v>3.1252195754498668E-2</c:v>
                </c:pt>
                <c:pt idx="1179">
                  <c:v>3.1254363155005516E-2</c:v>
                </c:pt>
                <c:pt idx="1180">
                  <c:v>3.1256501960115202E-2</c:v>
                </c:pt>
                <c:pt idx="1181">
                  <c:v>3.1258612169827726E-2</c:v>
                </c:pt>
                <c:pt idx="1182">
                  <c:v>3.126069378414309E-2</c:v>
                </c:pt>
                <c:pt idx="1183">
                  <c:v>3.1262746802980246E-2</c:v>
                </c:pt>
                <c:pt idx="1184">
                  <c:v>3.1264771226339194E-2</c:v>
                </c:pt>
                <c:pt idx="1185">
                  <c:v>3.1266767054300981E-2</c:v>
                </c:pt>
                <c:pt idx="1186">
                  <c:v>3.1268734286784561E-2</c:v>
                </c:pt>
                <c:pt idx="1187">
                  <c:v>3.1270672923870979E-2</c:v>
                </c:pt>
                <c:pt idx="1188">
                  <c:v>3.1272582965560236E-2</c:v>
                </c:pt>
                <c:pt idx="1189">
                  <c:v>3.1274464411771286E-2</c:v>
                </c:pt>
                <c:pt idx="1190">
                  <c:v>3.1276317262504127E-2</c:v>
                </c:pt>
                <c:pt idx="1191">
                  <c:v>3.1278139997816812E-2</c:v>
                </c:pt>
                <c:pt idx="1192">
                  <c:v>3.1279915497492983E-2</c:v>
                </c:pt>
                <c:pt idx="1193">
                  <c:v>3.1281638881249796E-2</c:v>
                </c:pt>
                <c:pt idx="1194">
                  <c:v>3.1283310149087251E-2</c:v>
                </c:pt>
                <c:pt idx="1195">
                  <c:v>3.1284929301167441E-2</c:v>
                </c:pt>
                <c:pt idx="1196">
                  <c:v>3.128649633740932E-2</c:v>
                </c:pt>
                <c:pt idx="1197">
                  <c:v>3.1288011257893933E-2</c:v>
                </c:pt>
                <c:pt idx="1198">
                  <c:v>3.1289474062459188E-2</c:v>
                </c:pt>
                <c:pt idx="1199">
                  <c:v>3.1290884751186132E-2</c:v>
                </c:pt>
                <c:pt idx="1200">
                  <c:v>3.1292243324155811E-2</c:v>
                </c:pt>
                <c:pt idx="1201">
                  <c:v>3.1293549781206131E-2</c:v>
                </c:pt>
                <c:pt idx="1202">
                  <c:v>3.1294979059761641E-2</c:v>
                </c:pt>
                <c:pt idx="1203">
                  <c:v>3.1296173840061892E-2</c:v>
                </c:pt>
                <c:pt idx="1204">
                  <c:v>3.1297316504523831E-2</c:v>
                </c:pt>
                <c:pt idx="1205">
                  <c:v>3.1298407053147459E-2</c:v>
                </c:pt>
                <c:pt idx="1206">
                  <c:v>3.1299445486013822E-2</c:v>
                </c:pt>
                <c:pt idx="1207">
                  <c:v>3.1300431802960826E-2</c:v>
                </c:pt>
                <c:pt idx="1208">
                  <c:v>3.1301366003988473E-2</c:v>
                </c:pt>
                <c:pt idx="1209">
                  <c:v>3.1302248089420948E-2</c:v>
                </c:pt>
                <c:pt idx="1210">
                  <c:v>3.1303078058771971E-2</c:v>
                </c:pt>
                <c:pt idx="1211">
                  <c:v>3.1303855912446776E-2</c:v>
                </c:pt>
                <c:pt idx="1212">
                  <c:v>3.1304581650121177E-2</c:v>
                </c:pt>
                <c:pt idx="1213">
                  <c:v>3.1305255272119359E-2</c:v>
                </c:pt>
                <c:pt idx="1214">
                  <c:v>3.1305876778198183E-2</c:v>
                </c:pt>
                <c:pt idx="1215">
                  <c:v>3.1306446168519741E-2</c:v>
                </c:pt>
                <c:pt idx="1216">
                  <c:v>3.1306963442840896E-2</c:v>
                </c:pt>
                <c:pt idx="1217">
                  <c:v>3.1307428601404785E-2</c:v>
                </c:pt>
                <c:pt idx="1218">
                  <c:v>3.1313320372582609E-2</c:v>
                </c:pt>
                <c:pt idx="1219">
                  <c:v>3.1308202571098676E-2</c:v>
                </c:pt>
                <c:pt idx="1220">
                  <c:v>3.130851138214763E-2</c:v>
                </c:pt>
                <c:pt idx="1221">
                  <c:v>3.1308768077277227E-2</c:v>
                </c:pt>
                <c:pt idx="1222">
                  <c:v>3.1308972656730605E-2</c:v>
                </c:pt>
                <c:pt idx="1223">
                  <c:v>3.1309125120264625E-2</c:v>
                </c:pt>
                <c:pt idx="1224">
                  <c:v>3.1309225467960333E-2</c:v>
                </c:pt>
                <c:pt idx="1225">
                  <c:v>3.130927369981773E-2</c:v>
                </c:pt>
                <c:pt idx="1226">
                  <c:v>3.1309269815836815E-2</c:v>
                </c:pt>
                <c:pt idx="1227">
                  <c:v>3.1309213815936543E-2</c:v>
                </c:pt>
                <c:pt idx="1228">
                  <c:v>3.1309105700279005E-2</c:v>
                </c:pt>
                <c:pt idx="1229">
                  <c:v>3.1308945468783156E-2</c:v>
                </c:pt>
                <c:pt idx="1230">
                  <c:v>3.1308733121530041E-2</c:v>
                </c:pt>
                <c:pt idx="1231">
                  <c:v>3.1308468658276523E-2</c:v>
                </c:pt>
                <c:pt idx="1232">
                  <c:v>3.1308152079265739E-2</c:v>
                </c:pt>
                <c:pt idx="1233">
                  <c:v>3.1307783384335597E-2</c:v>
                </c:pt>
                <c:pt idx="1234">
                  <c:v>3.130736257364819E-2</c:v>
                </c:pt>
                <c:pt idx="1235">
                  <c:v>3.1306889647122471E-2</c:v>
                </c:pt>
                <c:pt idx="1236">
                  <c:v>3.1306364604758441E-2</c:v>
                </c:pt>
                <c:pt idx="1237">
                  <c:v>3.1305787446475053E-2</c:v>
                </c:pt>
                <c:pt idx="1238">
                  <c:v>3.13051581724344E-2</c:v>
                </c:pt>
                <c:pt idx="1239">
                  <c:v>3.1304476782474389E-2</c:v>
                </c:pt>
                <c:pt idx="1240">
                  <c:v>3.1303743276757112E-2</c:v>
                </c:pt>
                <c:pt idx="1241">
                  <c:v>3.1302957655120478E-2</c:v>
                </c:pt>
                <c:pt idx="1242">
                  <c:v>3.1302119917726579E-2</c:v>
                </c:pt>
                <c:pt idx="1243">
                  <c:v>3.1301230064413321E-2</c:v>
                </c:pt>
                <c:pt idx="1244">
                  <c:v>3.1300288095342799E-2</c:v>
                </c:pt>
                <c:pt idx="1245">
                  <c:v>3.1299294010433965E-2</c:v>
                </c:pt>
                <c:pt idx="1246">
                  <c:v>3.1298247809686819E-2</c:v>
                </c:pt>
                <c:pt idx="1247">
                  <c:v>3.1297149493020315E-2</c:v>
                </c:pt>
                <c:pt idx="1248">
                  <c:v>3.1295999060596547E-2</c:v>
                </c:pt>
                <c:pt idx="1249">
                  <c:v>3.129479651225342E-2</c:v>
                </c:pt>
                <c:pt idx="1250">
                  <c:v>3.1293541848234074E-2</c:v>
                </c:pt>
                <c:pt idx="1251">
                  <c:v>3.1292235068214325E-2</c:v>
                </c:pt>
                <c:pt idx="1252">
                  <c:v>3.129087617243731E-2</c:v>
                </c:pt>
                <c:pt idx="1253">
                  <c:v>3.1289465160821983E-2</c:v>
                </c:pt>
                <c:pt idx="1254">
                  <c:v>3.1290256098230149E-2</c:v>
                </c:pt>
                <c:pt idx="1255">
                  <c:v>3.1288725702417475E-2</c:v>
                </c:pt>
                <c:pt idx="1256">
                  <c:v>3.1287143181797372E-2</c:v>
                </c:pt>
                <c:pt idx="1257">
                  <c:v>3.1285508536450887E-2</c:v>
                </c:pt>
                <c:pt idx="1258">
                  <c:v>3.1283821766350993E-2</c:v>
                </c:pt>
                <c:pt idx="1259">
                  <c:v>3.1282082871470683E-2</c:v>
                </c:pt>
                <c:pt idx="1260">
                  <c:v>3.1280291851918017E-2</c:v>
                </c:pt>
                <c:pt idx="1261">
                  <c:v>3.1278448707557915E-2</c:v>
                </c:pt>
                <c:pt idx="1262">
                  <c:v>3.1276553438498444E-2</c:v>
                </c:pt>
                <c:pt idx="1263">
                  <c:v>3.1274606044739604E-2</c:v>
                </c:pt>
                <c:pt idx="1264">
                  <c:v>3.1272606526173329E-2</c:v>
                </c:pt>
                <c:pt idx="1265">
                  <c:v>3.1270554882907683E-2</c:v>
                </c:pt>
                <c:pt idx="1266">
                  <c:v>3.1268451114888629E-2</c:v>
                </c:pt>
                <c:pt idx="1267">
                  <c:v>3.1266295222170212E-2</c:v>
                </c:pt>
                <c:pt idx="1268">
                  <c:v>3.1264087204725399E-2</c:v>
                </c:pt>
                <c:pt idx="1269">
                  <c:v>3.1258165839611607E-2</c:v>
                </c:pt>
                <c:pt idx="1270">
                  <c:v>3.1255831633377751E-2</c:v>
                </c:pt>
                <c:pt idx="1271">
                  <c:v>3.125344531138663E-2</c:v>
                </c:pt>
                <c:pt idx="1272">
                  <c:v>3.1251006873395104E-2</c:v>
                </c:pt>
                <c:pt idx="1273">
                  <c:v>3.1248516319808406E-2</c:v>
                </c:pt>
                <c:pt idx="1274">
                  <c:v>3.1245973650221304E-2</c:v>
                </c:pt>
                <c:pt idx="1275">
                  <c:v>3.1243378864876936E-2</c:v>
                </c:pt>
                <c:pt idx="1276">
                  <c:v>3.1240731963775303E-2</c:v>
                </c:pt>
                <c:pt idx="1277">
                  <c:v>3.1238032946835359E-2</c:v>
                </c:pt>
                <c:pt idx="1278">
                  <c:v>3.1235281814057103E-2</c:v>
                </c:pt>
                <c:pt idx="1279">
                  <c:v>3.1232478565440536E-2</c:v>
                </c:pt>
                <c:pt idx="1280">
                  <c:v>3.1229623201066703E-2</c:v>
                </c:pt>
                <c:pt idx="1281">
                  <c:v>3.1226715720854559E-2</c:v>
                </c:pt>
                <c:pt idx="1282">
                  <c:v>3.1223756124885149E-2</c:v>
                </c:pt>
                <c:pt idx="1283">
                  <c:v>3.1220744413077428E-2</c:v>
                </c:pt>
                <c:pt idx="1284">
                  <c:v>3.1217680585512442E-2</c:v>
                </c:pt>
                <c:pt idx="1285">
                  <c:v>3.1214564642109144E-2</c:v>
                </c:pt>
                <c:pt idx="1286">
                  <c:v>3.1211396582867534E-2</c:v>
                </c:pt>
                <c:pt idx="1287">
                  <c:v>3.120817640786866E-2</c:v>
                </c:pt>
                <c:pt idx="1288">
                  <c:v>3.120490411711252E-2</c:v>
                </c:pt>
                <c:pt idx="1289">
                  <c:v>3.1201579710437022E-2</c:v>
                </c:pt>
                <c:pt idx="1290">
                  <c:v>3.1198203188085305E-2</c:v>
                </c:pt>
                <c:pt idx="1291">
                  <c:v>3.1194774549895277E-2</c:v>
                </c:pt>
                <c:pt idx="1292">
                  <c:v>3.1191293795947983E-2</c:v>
                </c:pt>
                <c:pt idx="1293">
                  <c:v>3.1187760926162378E-2</c:v>
                </c:pt>
                <c:pt idx="1294">
                  <c:v>3.1184175940619507E-2</c:v>
                </c:pt>
                <c:pt idx="1295">
                  <c:v>3.1180538839319372E-2</c:v>
                </c:pt>
                <c:pt idx="1296">
                  <c:v>3.1176849622099878E-2</c:v>
                </c:pt>
                <c:pt idx="1297">
                  <c:v>3.1173108289204166E-2</c:v>
                </c:pt>
                <c:pt idx="1298">
                  <c:v>3.1169314840470141E-2</c:v>
                </c:pt>
                <c:pt idx="1299">
                  <c:v>3.1165469276059898E-2</c:v>
                </c:pt>
                <c:pt idx="1300">
                  <c:v>3.1161571595730297E-2</c:v>
                </c:pt>
                <c:pt idx="1301">
                  <c:v>3.1157621799724478E-2</c:v>
                </c:pt>
                <c:pt idx="1302">
                  <c:v>3.1153619887961392E-2</c:v>
                </c:pt>
                <c:pt idx="1303">
                  <c:v>3.1149565860359996E-2</c:v>
                </c:pt>
                <c:pt idx="1304">
                  <c:v>3.114545971708238E-2</c:v>
                </c:pt>
                <c:pt idx="1305">
                  <c:v>3.1141301457885406E-2</c:v>
                </c:pt>
                <c:pt idx="1306">
                  <c:v>3.1137091083012214E-2</c:v>
                </c:pt>
                <c:pt idx="1307">
                  <c:v>3.113282859230071E-2</c:v>
                </c:pt>
                <c:pt idx="1308">
                  <c:v>3.112851398583194E-2</c:v>
                </c:pt>
                <c:pt idx="1309">
                  <c:v>3.1124147263686952E-2</c:v>
                </c:pt>
                <c:pt idx="1310">
                  <c:v>3.1119728425703652E-2</c:v>
                </c:pt>
                <c:pt idx="1311">
                  <c:v>3.1115257472044133E-2</c:v>
                </c:pt>
                <c:pt idx="1312">
                  <c:v>3.1110734402546303E-2</c:v>
                </c:pt>
                <c:pt idx="1313">
                  <c:v>3.11061592174533E-2</c:v>
                </c:pt>
                <c:pt idx="1314">
                  <c:v>3.1101531916359892E-2</c:v>
                </c:pt>
                <c:pt idx="1315">
                  <c:v>3.1096852499590266E-2</c:v>
                </c:pt>
                <c:pt idx="1316">
                  <c:v>3.1092120967144421E-2</c:v>
                </c:pt>
                <c:pt idx="1317">
                  <c:v>3.108733731894131E-2</c:v>
                </c:pt>
                <c:pt idx="1318">
                  <c:v>3.1082501554899888E-2</c:v>
                </c:pt>
                <c:pt idx="1319">
                  <c:v>3.1077613675182247E-2</c:v>
                </c:pt>
                <c:pt idx="1320">
                  <c:v>3.1072673679707341E-2</c:v>
                </c:pt>
                <c:pt idx="1321">
                  <c:v>3.1067681568556216E-2</c:v>
                </c:pt>
                <c:pt idx="1322">
                  <c:v>3.1062637341647825E-2</c:v>
                </c:pt>
                <c:pt idx="1323">
                  <c:v>3.1057540998982169E-2</c:v>
                </c:pt>
                <c:pt idx="1324">
                  <c:v>3.1052392540559248E-2</c:v>
                </c:pt>
                <c:pt idx="1325">
                  <c:v>3.1047191966379062E-2</c:v>
                </c:pt>
                <c:pt idx="1326">
                  <c:v>3.1041939276522656E-2</c:v>
                </c:pt>
                <c:pt idx="1327">
                  <c:v>3.1036634470908986E-2</c:v>
                </c:pt>
                <c:pt idx="1328">
                  <c:v>3.1031277549619096E-2</c:v>
                </c:pt>
                <c:pt idx="1329">
                  <c:v>3.1025868512571941E-2</c:v>
                </c:pt>
                <c:pt idx="1330">
                  <c:v>3.1020407359848567E-2</c:v>
                </c:pt>
                <c:pt idx="1331">
                  <c:v>3.1014894091367928E-2</c:v>
                </c:pt>
                <c:pt idx="1332">
                  <c:v>3.1009328707130024E-2</c:v>
                </c:pt>
                <c:pt idx="1333">
                  <c:v>3.1003711207296947E-2</c:v>
                </c:pt>
                <c:pt idx="1334">
                  <c:v>3.0998041591706604E-2</c:v>
                </c:pt>
                <c:pt idx="1335">
                  <c:v>3.099231986027795E-2</c:v>
                </c:pt>
                <c:pt idx="1336">
                  <c:v>3.0986546013254124E-2</c:v>
                </c:pt>
                <c:pt idx="1337">
                  <c:v>3.0980720050473032E-2</c:v>
                </c:pt>
                <c:pt idx="1338">
                  <c:v>3.0974841972177813E-2</c:v>
                </c:pt>
                <c:pt idx="1339">
                  <c:v>3.0968911778044284E-2</c:v>
                </c:pt>
                <c:pt idx="1340">
                  <c:v>3.0962929468234535E-2</c:v>
                </c:pt>
                <c:pt idx="1341">
                  <c:v>3.095689504266752E-2</c:v>
                </c:pt>
                <c:pt idx="1342">
                  <c:v>3.0950808501505334E-2</c:v>
                </c:pt>
                <c:pt idx="1343">
                  <c:v>3.0944669844585881E-2</c:v>
                </c:pt>
                <c:pt idx="1344">
                  <c:v>3.093847907199021E-2</c:v>
                </c:pt>
                <c:pt idx="1345">
                  <c:v>3.093223618371832E-2</c:v>
                </c:pt>
                <c:pt idx="1346">
                  <c:v>3.0925941179851257E-2</c:v>
                </c:pt>
                <c:pt idx="1347">
                  <c:v>3.0919594060145883E-2</c:v>
                </c:pt>
                <c:pt idx="1348">
                  <c:v>3.0913194824926382E-2</c:v>
                </c:pt>
                <c:pt idx="1349">
                  <c:v>3.0906743473949616E-2</c:v>
                </c:pt>
                <c:pt idx="1350">
                  <c:v>3.0900240007296631E-2</c:v>
                </c:pt>
                <c:pt idx="1351">
                  <c:v>3.0893684425048473E-2</c:v>
                </c:pt>
                <c:pt idx="1352">
                  <c:v>3.088707672704305E-2</c:v>
                </c:pt>
                <c:pt idx="1353">
                  <c:v>3.0880416913523501E-2</c:v>
                </c:pt>
                <c:pt idx="1354">
                  <c:v>3.0873704984246686E-2</c:v>
                </c:pt>
                <c:pt idx="1355">
                  <c:v>3.0866940939293652E-2</c:v>
                </c:pt>
                <c:pt idx="1356">
                  <c:v>3.0860124778745446E-2</c:v>
                </c:pt>
                <c:pt idx="1357">
                  <c:v>3.085325650252102E-2</c:v>
                </c:pt>
                <c:pt idx="1358">
                  <c:v>3.084534322884358E-2</c:v>
                </c:pt>
                <c:pt idx="1359">
                  <c:v>3.0838363276274317E-2</c:v>
                </c:pt>
                <c:pt idx="1360">
                  <c:v>3.0831331208028834E-2</c:v>
                </c:pt>
                <c:pt idx="1361">
                  <c:v>3.0824247024107132E-2</c:v>
                </c:pt>
                <c:pt idx="1362">
                  <c:v>3.0817110724590258E-2</c:v>
                </c:pt>
                <c:pt idx="1363">
                  <c:v>3.080992230947821E-2</c:v>
                </c:pt>
                <c:pt idx="1364">
                  <c:v>3.0802681778770991E-2</c:v>
                </c:pt>
                <c:pt idx="1365">
                  <c:v>3.0795389132387552E-2</c:v>
                </c:pt>
                <c:pt idx="1366">
                  <c:v>3.0788044370246848E-2</c:v>
                </c:pt>
                <c:pt idx="1367">
                  <c:v>3.0780647492673063E-2</c:v>
                </c:pt>
                <c:pt idx="1368">
                  <c:v>3.077319849942306E-2</c:v>
                </c:pt>
                <c:pt idx="1369">
                  <c:v>3.0765697390496838E-2</c:v>
                </c:pt>
                <c:pt idx="1370">
                  <c:v>3.0758144166137535E-2</c:v>
                </c:pt>
                <c:pt idx="1371">
                  <c:v>3.0750538825939921E-2</c:v>
                </c:pt>
                <c:pt idx="1372">
                  <c:v>3.0742881370390274E-2</c:v>
                </c:pt>
                <c:pt idx="1373">
                  <c:v>3.0735171799083361E-2</c:v>
                </c:pt>
                <c:pt idx="1374">
                  <c:v>3.0727410112262321E-2</c:v>
                </c:pt>
                <c:pt idx="1375">
                  <c:v>3.0719596309765063E-2</c:v>
                </c:pt>
                <c:pt idx="1376">
                  <c:v>3.0711730391753678E-2</c:v>
                </c:pt>
                <c:pt idx="1377">
                  <c:v>3.0703812357985028E-2</c:v>
                </c:pt>
                <c:pt idx="1378">
                  <c:v>3.0695842208864343E-2</c:v>
                </c:pt>
                <c:pt idx="1379">
                  <c:v>3.068781994406744E-2</c:v>
                </c:pt>
                <c:pt idx="1380">
                  <c:v>3.0679745563675365E-2</c:v>
                </c:pt>
                <c:pt idx="1381">
                  <c:v>3.0671619067769162E-2</c:v>
                </c:pt>
                <c:pt idx="1382">
                  <c:v>3.0663440456267788E-2</c:v>
                </c:pt>
                <c:pt idx="1383">
                  <c:v>3.0655209729252286E-2</c:v>
                </c:pt>
                <c:pt idx="1384">
                  <c:v>3.0646926886560566E-2</c:v>
                </c:pt>
                <c:pt idx="1385">
                  <c:v>3.0638591928354719E-2</c:v>
                </c:pt>
                <c:pt idx="1386">
                  <c:v>3.06302048545537E-2</c:v>
                </c:pt>
                <c:pt idx="1387">
                  <c:v>3.06217656653196E-2</c:v>
                </c:pt>
                <c:pt idx="1388">
                  <c:v>3.0613274360490328E-2</c:v>
                </c:pt>
                <c:pt idx="1389">
                  <c:v>3.0604730940146929E-2</c:v>
                </c:pt>
                <c:pt idx="1390">
                  <c:v>3.0596135404127311E-2</c:v>
                </c:pt>
                <c:pt idx="1391">
                  <c:v>3.058748775275566E-2</c:v>
                </c:pt>
                <c:pt idx="1392">
                  <c:v>3.0578787985788836E-2</c:v>
                </c:pt>
                <c:pt idx="1393">
                  <c:v>3.0570036103145792E-2</c:v>
                </c:pt>
                <c:pt idx="1394">
                  <c:v>3.0561232105231761E-2</c:v>
                </c:pt>
                <c:pt idx="1395">
                  <c:v>3.0552375991641512E-2</c:v>
                </c:pt>
                <c:pt idx="1396">
                  <c:v>3.0543467762537135E-2</c:v>
                </c:pt>
                <c:pt idx="1397">
                  <c:v>3.0534507417999679E-2</c:v>
                </c:pt>
                <c:pt idx="1398">
                  <c:v>3.052549495786705E-2</c:v>
                </c:pt>
                <c:pt idx="1399">
                  <c:v>3.0516430382301341E-2</c:v>
                </c:pt>
                <c:pt idx="1400">
                  <c:v>3.0507313691221505E-2</c:v>
                </c:pt>
                <c:pt idx="1401">
                  <c:v>3.0498144884627543E-2</c:v>
                </c:pt>
                <c:pt idx="1402">
                  <c:v>3.0488923962438408E-2</c:v>
                </c:pt>
                <c:pt idx="1403">
                  <c:v>3.0479650924978285E-2</c:v>
                </c:pt>
                <c:pt idx="1404">
                  <c:v>3.0470325771841944E-2</c:v>
                </c:pt>
                <c:pt idx="1405">
                  <c:v>3.0460948503272522E-2</c:v>
                </c:pt>
                <c:pt idx="1406">
                  <c:v>3.0451519119270021E-2</c:v>
                </c:pt>
                <c:pt idx="1407">
                  <c:v>3.0442037619834439E-2</c:v>
                </c:pt>
                <c:pt idx="1408">
                  <c:v>3.0432504004884731E-2</c:v>
                </c:pt>
                <c:pt idx="1409">
                  <c:v>3.042291827433985E-2</c:v>
                </c:pt>
                <c:pt idx="1410">
                  <c:v>3.0413280428442935E-2</c:v>
                </c:pt>
                <c:pt idx="1411">
                  <c:v>3.0403590467031893E-2</c:v>
                </c:pt>
                <c:pt idx="1412">
                  <c:v>3.0393848390349865E-2</c:v>
                </c:pt>
                <c:pt idx="1413">
                  <c:v>3.0384054198072663E-2</c:v>
                </c:pt>
                <c:pt idx="1414">
                  <c:v>3.0374207890362381E-2</c:v>
                </c:pt>
                <c:pt idx="1415">
                  <c:v>3.0364309467137973E-2</c:v>
                </c:pt>
                <c:pt idx="1416">
                  <c:v>3.0354358928561531E-2</c:v>
                </c:pt>
                <c:pt idx="1417">
                  <c:v>3.0344356274552009E-2</c:v>
                </c:pt>
                <c:pt idx="1418">
                  <c:v>3.0334301505109407E-2</c:v>
                </c:pt>
                <c:pt idx="1419">
                  <c:v>3.0324194620395817E-2</c:v>
                </c:pt>
                <c:pt idx="1420">
                  <c:v>3.0314035620006008E-2</c:v>
                </c:pt>
                <c:pt idx="1421">
                  <c:v>3.0303824504345211E-2</c:v>
                </c:pt>
                <c:pt idx="1422">
                  <c:v>3.0293561273251335E-2</c:v>
                </c:pt>
                <c:pt idx="1423">
                  <c:v>3.0283245926724378E-2</c:v>
                </c:pt>
                <c:pt idx="1424">
                  <c:v>3.0272878464764341E-2</c:v>
                </c:pt>
                <c:pt idx="1425">
                  <c:v>3.026245888745227E-2</c:v>
                </c:pt>
                <c:pt idx="1426">
                  <c:v>3.0251987194788166E-2</c:v>
                </c:pt>
                <c:pt idx="1427">
                  <c:v>3.0241463386690981E-2</c:v>
                </c:pt>
                <c:pt idx="1428">
                  <c:v>3.0230887463241762E-2</c:v>
                </c:pt>
                <c:pt idx="1429">
                  <c:v>3.0220259424359464E-2</c:v>
                </c:pt>
                <c:pt idx="1430">
                  <c:v>3.0209579270206177E-2</c:v>
                </c:pt>
                <c:pt idx="1431">
                  <c:v>3.0198847000538764E-2</c:v>
                </c:pt>
                <c:pt idx="1432">
                  <c:v>3.0188062615600364E-2</c:v>
                </c:pt>
                <c:pt idx="1433">
                  <c:v>3.0177226115228883E-2</c:v>
                </c:pt>
                <c:pt idx="1434">
                  <c:v>3.0166337499667462E-2</c:v>
                </c:pt>
                <c:pt idx="1435">
                  <c:v>3.0155396768591913E-2</c:v>
                </c:pt>
                <c:pt idx="1436">
                  <c:v>3.0144403922245377E-2</c:v>
                </c:pt>
                <c:pt idx="1437">
                  <c:v>3.0133358960465761E-2</c:v>
                </c:pt>
                <c:pt idx="1438">
                  <c:v>3.0122261883415158E-2</c:v>
                </c:pt>
                <c:pt idx="1439">
                  <c:v>3.011111269101252E-2</c:v>
                </c:pt>
                <c:pt idx="1440">
                  <c:v>3.0099911383338895E-2</c:v>
                </c:pt>
                <c:pt idx="1441">
                  <c:v>3.0088657960313236E-2</c:v>
                </c:pt>
                <c:pt idx="1442">
                  <c:v>3.0077352421935544E-2</c:v>
                </c:pt>
                <c:pt idx="1443">
                  <c:v>3.0065994768286863E-2</c:v>
                </c:pt>
                <c:pt idx="1444">
                  <c:v>3.0054584999286149E-2</c:v>
                </c:pt>
                <c:pt idx="1445">
                  <c:v>3.0043123115014447E-2</c:v>
                </c:pt>
                <c:pt idx="1446">
                  <c:v>3.0031609115471758E-2</c:v>
                </c:pt>
                <c:pt idx="1447">
                  <c:v>3.0020043000495988E-2</c:v>
                </c:pt>
                <c:pt idx="1448">
                  <c:v>3.0008424770411324E-2</c:v>
                </c:pt>
                <c:pt idx="1449">
                  <c:v>2.9996754424893579E-2</c:v>
                </c:pt>
                <c:pt idx="1450">
                  <c:v>2.9985031964266939E-2</c:v>
                </c:pt>
                <c:pt idx="1451">
                  <c:v>2.9973263822714591E-2</c:v>
                </c:pt>
                <c:pt idx="1452">
                  <c:v>2.9961522472388147E-2</c:v>
                </c:pt>
                <c:pt idx="1453">
                  <c:v>2.9949828571336212E-2</c:v>
                </c:pt>
                <c:pt idx="1454">
                  <c:v>2.9938182119477741E-2</c:v>
                </c:pt>
                <c:pt idx="1455">
                  <c:v>2.9926583116974825E-2</c:v>
                </c:pt>
                <c:pt idx="1456">
                  <c:v>2.9915031563584327E-2</c:v>
                </c:pt>
                <c:pt idx="1457">
                  <c:v>2.9903527459306245E-2</c:v>
                </c:pt>
                <c:pt idx="1458">
                  <c:v>2.9892070804302673E-2</c:v>
                </c:pt>
                <c:pt idx="1459">
                  <c:v>2.9880661598654656E-2</c:v>
                </c:pt>
                <c:pt idx="1460">
                  <c:v>2.9869299841956964E-2</c:v>
                </c:pt>
                <c:pt idx="1461">
                  <c:v>2.9857985534452736E-2</c:v>
                </c:pt>
                <c:pt idx="1462">
                  <c:v>2.9846718676304063E-2</c:v>
                </c:pt>
                <c:pt idx="1463">
                  <c:v>2.983549926718676E-2</c:v>
                </c:pt>
                <c:pt idx="1464">
                  <c:v>2.9824327307343967E-2</c:v>
                </c:pt>
                <c:pt idx="1465">
                  <c:v>2.9813202796694638E-2</c:v>
                </c:pt>
                <c:pt idx="1466">
                  <c:v>2.9802125735238771E-2</c:v>
                </c:pt>
                <c:pt idx="1467">
                  <c:v>2.9791096122733229E-2</c:v>
                </c:pt>
                <c:pt idx="1468">
                  <c:v>2.9780113959664289E-2</c:v>
                </c:pt>
                <c:pt idx="1469">
                  <c:v>2.9769179245464628E-2</c:v>
                </c:pt>
                <c:pt idx="1470">
                  <c:v>2.9758291980620521E-2</c:v>
                </c:pt>
                <c:pt idx="1471">
                  <c:v>2.9747452164888832E-2</c:v>
                </c:pt>
                <c:pt idx="1472">
                  <c:v>2.9736659798188514E-2</c:v>
                </c:pt>
                <c:pt idx="1473">
                  <c:v>2.9725914880681659E-2</c:v>
                </c:pt>
                <c:pt idx="1474">
                  <c:v>2.9715217412449313E-2</c:v>
                </c:pt>
                <c:pt idx="1475">
                  <c:v>2.9704567393248338E-2</c:v>
                </c:pt>
                <c:pt idx="1476">
                  <c:v>2.9693964823078733E-2</c:v>
                </c:pt>
                <c:pt idx="1477">
                  <c:v>2.9683409702102592E-2</c:v>
                </c:pt>
                <c:pt idx="1478">
                  <c:v>2.9672902030238868E-2</c:v>
                </c:pt>
                <c:pt idx="1479">
                  <c:v>2.9662441807487561E-2</c:v>
                </c:pt>
                <c:pt idx="1480">
                  <c:v>2.965202903384867E-2</c:v>
                </c:pt>
                <c:pt idx="1481">
                  <c:v>2.9641663709322197E-2</c:v>
                </c:pt>
                <c:pt idx="1482">
                  <c:v>2.9631345833827094E-2</c:v>
                </c:pt>
                <c:pt idx="1483">
                  <c:v>2.9621075407525455E-2</c:v>
                </c:pt>
                <c:pt idx="1484">
                  <c:v>2.9610852430255186E-2</c:v>
                </c:pt>
                <c:pt idx="1485">
                  <c:v>2.960067690217838E-2</c:v>
                </c:pt>
                <c:pt idx="1486">
                  <c:v>2.9590548823051899E-2</c:v>
                </c:pt>
                <c:pt idx="1487">
                  <c:v>2.9580468192956788E-2</c:v>
                </c:pt>
                <c:pt idx="1488">
                  <c:v>2.9570435012136187E-2</c:v>
                </c:pt>
                <c:pt idx="1489">
                  <c:v>2.9560449280184864E-2</c:v>
                </c:pt>
                <c:pt idx="1490">
                  <c:v>2.955051099750805E-2</c:v>
                </c:pt>
                <c:pt idx="1491">
                  <c:v>2.9540620163781561E-2</c:v>
                </c:pt>
                <c:pt idx="1492">
                  <c:v>2.9530776779086443E-2</c:v>
                </c:pt>
                <c:pt idx="1493">
                  <c:v>2.9520980843422695E-2</c:v>
                </c:pt>
                <c:pt idx="1494">
                  <c:v>2.9511232356871364E-2</c:v>
                </c:pt>
                <c:pt idx="1495">
                  <c:v>2.9501531319513496E-2</c:v>
                </c:pt>
                <c:pt idx="1496">
                  <c:v>2.9491877730943861E-2</c:v>
                </c:pt>
                <c:pt idx="1497">
                  <c:v>2.9482271591567688E-2</c:v>
                </c:pt>
                <c:pt idx="1498">
                  <c:v>2.947271290114184E-2</c:v>
                </c:pt>
                <c:pt idx="1499">
                  <c:v>2.9463201659828409E-2</c:v>
                </c:pt>
                <c:pt idx="1500">
                  <c:v>2.9453737867465302E-2</c:v>
                </c:pt>
                <c:pt idx="1501">
                  <c:v>2.9444321524214612E-2</c:v>
                </c:pt>
                <c:pt idx="1502">
                  <c:v>2.9434952629995292E-2</c:v>
                </c:pt>
                <c:pt idx="1503">
                  <c:v>2.9425631184726297E-2</c:v>
                </c:pt>
                <c:pt idx="1504">
                  <c:v>2.9416357188488673E-2</c:v>
                </c:pt>
                <c:pt idx="1505">
                  <c:v>2.940713064128242E-2</c:v>
                </c:pt>
                <c:pt idx="1506">
                  <c:v>2.939795154302649E-2</c:v>
                </c:pt>
                <c:pt idx="1507">
                  <c:v>2.9388819893882978E-2</c:v>
                </c:pt>
                <c:pt idx="1508">
                  <c:v>2.937973569368979E-2</c:v>
                </c:pt>
                <c:pt idx="1509">
                  <c:v>2.9370698942446927E-2</c:v>
                </c:pt>
                <c:pt idx="1510">
                  <c:v>2.9361709640235434E-2</c:v>
                </c:pt>
                <c:pt idx="1511">
                  <c:v>2.9352767787055312E-2</c:v>
                </c:pt>
                <c:pt idx="1512">
                  <c:v>2.9343873382744468E-2</c:v>
                </c:pt>
                <c:pt idx="1513">
                  <c:v>2.933502642754604E-2</c:v>
                </c:pt>
                <c:pt idx="1514">
                  <c:v>2.932497372235221E-2</c:v>
                </c:pt>
                <c:pt idx="1515">
                  <c:v>2.9316228443522219E-2</c:v>
                </c:pt>
                <c:pt idx="1516">
                  <c:v>2.9307530613642552E-2</c:v>
                </c:pt>
                <c:pt idx="1517">
                  <c:v>2.9298880232632163E-2</c:v>
                </c:pt>
                <c:pt idx="1518">
                  <c:v>2.9290277300815237E-2</c:v>
                </c:pt>
                <c:pt idx="1519">
                  <c:v>2.9281721817705497E-2</c:v>
                </c:pt>
                <c:pt idx="1520">
                  <c:v>2.9273213783708174E-2</c:v>
                </c:pt>
                <c:pt idx="1521">
                  <c:v>2.9264753198580129E-2</c:v>
                </c:pt>
                <c:pt idx="1522">
                  <c:v>2.9256340062483455E-2</c:v>
                </c:pt>
                <c:pt idx="1523">
                  <c:v>2.9247974375337105E-2</c:v>
                </c:pt>
                <c:pt idx="1524">
                  <c:v>2.9239656137060033E-2</c:v>
                </c:pt>
                <c:pt idx="1525">
                  <c:v>2.9231385347814332E-2</c:v>
                </c:pt>
                <c:pt idx="1526">
                  <c:v>2.9223162007437908E-2</c:v>
                </c:pt>
                <c:pt idx="1527">
                  <c:v>2.921498611601181E-2</c:v>
                </c:pt>
                <c:pt idx="1528">
                  <c:v>2.9206857673536035E-2</c:v>
                </c:pt>
                <c:pt idx="1529">
                  <c:v>2.9201148754681494E-2</c:v>
                </c:pt>
                <c:pt idx="1530">
                  <c:v>2.9190743135354413E-2</c:v>
                </c:pt>
                <c:pt idx="1531">
                  <c:v>2.9182757039729612E-2</c:v>
                </c:pt>
                <c:pt idx="1532">
                  <c:v>2.9174818392893043E-2</c:v>
                </c:pt>
                <c:pt idx="1533">
                  <c:v>2.9166927195087844E-2</c:v>
                </c:pt>
                <c:pt idx="1534">
                  <c:v>2.9159083446151923E-2</c:v>
                </c:pt>
                <c:pt idx="1535">
                  <c:v>2.9151287146085281E-2</c:v>
                </c:pt>
                <c:pt idx="1536">
                  <c:v>2.9143538294968963E-2</c:v>
                </c:pt>
                <c:pt idx="1537">
                  <c:v>2.9135836892802969E-2</c:v>
                </c:pt>
                <c:pt idx="1538">
                  <c:v>2.9128182939425207E-2</c:v>
                </c:pt>
                <c:pt idx="1539">
                  <c:v>2.9120576435078815E-2</c:v>
                </c:pt>
                <c:pt idx="1540">
                  <c:v>2.9113017379520656E-2</c:v>
                </c:pt>
                <c:pt idx="1541">
                  <c:v>2.9105505772831775E-2</c:v>
                </c:pt>
                <c:pt idx="1542">
                  <c:v>2.9098041615174264E-2</c:v>
                </c:pt>
                <c:pt idx="1543">
                  <c:v>2.9090624906304985E-2</c:v>
                </c:pt>
                <c:pt idx="1544">
                  <c:v>2.9083255646304984E-2</c:v>
                </c:pt>
                <c:pt idx="1545">
                  <c:v>2.9075933835255308E-2</c:v>
                </c:pt>
                <c:pt idx="1546">
                  <c:v>2.9068659472993863E-2</c:v>
                </c:pt>
                <c:pt idx="1547">
                  <c:v>2.9061432559844835E-2</c:v>
                </c:pt>
                <c:pt idx="1548">
                  <c:v>2.9054253095321947E-2</c:v>
                </c:pt>
                <c:pt idx="1549">
                  <c:v>2.9047121079668337E-2</c:v>
                </c:pt>
                <c:pt idx="1550">
                  <c:v>2.9040036513046097E-2</c:v>
                </c:pt>
                <c:pt idx="1551">
                  <c:v>2.9032999395131043E-2</c:v>
                </c:pt>
                <c:pt idx="1552">
                  <c:v>2.9026009726166313E-2</c:v>
                </c:pt>
                <c:pt idx="1553">
                  <c:v>2.9019067506070861E-2</c:v>
                </c:pt>
                <c:pt idx="1554">
                  <c:v>2.9012172734763642E-2</c:v>
                </c:pt>
                <c:pt idx="1555">
                  <c:v>2.90053254123257E-2</c:v>
                </c:pt>
                <c:pt idx="1556">
                  <c:v>2.8998525538838082E-2</c:v>
                </c:pt>
                <c:pt idx="1557">
                  <c:v>2.8991773114138697E-2</c:v>
                </c:pt>
                <c:pt idx="1558">
                  <c:v>2.8985068138227543E-2</c:v>
                </c:pt>
                <c:pt idx="1559">
                  <c:v>2.8978410611266714E-2</c:v>
                </c:pt>
                <c:pt idx="1560">
                  <c:v>2.897180053301307E-2</c:v>
                </c:pt>
                <c:pt idx="1561">
                  <c:v>2.8965237903709751E-2</c:v>
                </c:pt>
                <c:pt idx="1562">
                  <c:v>2.8958722723194663E-2</c:v>
                </c:pt>
                <c:pt idx="1563">
                  <c:v>2.8952254991548854E-2</c:v>
                </c:pt>
                <c:pt idx="1564">
                  <c:v>2.8945834708691276E-2</c:v>
                </c:pt>
                <c:pt idx="1565">
                  <c:v>2.8939461874784023E-2</c:v>
                </c:pt>
                <c:pt idx="1566">
                  <c:v>2.8929543287244952E-2</c:v>
                </c:pt>
                <c:pt idx="1567">
                  <c:v>2.8923292464542172E-2</c:v>
                </c:pt>
                <c:pt idx="1568">
                  <c:v>2.8917089090546577E-2</c:v>
                </c:pt>
                <c:pt idx="1569">
                  <c:v>2.8910933165501307E-2</c:v>
                </c:pt>
                <c:pt idx="1570">
                  <c:v>2.8904824689082176E-2</c:v>
                </c:pt>
                <c:pt idx="1571">
                  <c:v>2.8898763661694415E-2</c:v>
                </c:pt>
                <c:pt idx="1572">
                  <c:v>2.8892750082932794E-2</c:v>
                </c:pt>
                <c:pt idx="1573">
                  <c:v>2.8886783953121498E-2</c:v>
                </c:pt>
                <c:pt idx="1574">
                  <c:v>2.8880865272017386E-2</c:v>
                </c:pt>
                <c:pt idx="1575">
                  <c:v>2.8874994039782553E-2</c:v>
                </c:pt>
                <c:pt idx="1576">
                  <c:v>2.8869170256335952E-2</c:v>
                </c:pt>
                <c:pt idx="1577">
                  <c:v>2.8863393921596536E-2</c:v>
                </c:pt>
                <c:pt idx="1578">
                  <c:v>2.8857665035888491E-2</c:v>
                </c:pt>
                <c:pt idx="1579">
                  <c:v>2.8851983598725539E-2</c:v>
                </c:pt>
                <c:pt idx="1580">
                  <c:v>2.8845548628417816E-2</c:v>
                </c:pt>
                <c:pt idx="1581">
                  <c:v>2.8839968867299115E-2</c:v>
                </c:pt>
                <c:pt idx="1582">
                  <c:v>2.8834436554968645E-2</c:v>
                </c:pt>
                <c:pt idx="1583">
                  <c:v>2.8828951691507454E-2</c:v>
                </c:pt>
                <c:pt idx="1584">
                  <c:v>2.8823514276753448E-2</c:v>
                </c:pt>
                <c:pt idx="1585">
                  <c:v>2.8818124310787674E-2</c:v>
                </c:pt>
                <c:pt idx="1586">
                  <c:v>2.8812781793610132E-2</c:v>
                </c:pt>
                <c:pt idx="1587">
                  <c:v>2.8807486725220821E-2</c:v>
                </c:pt>
                <c:pt idx="1588">
                  <c:v>2.8802239105619742E-2</c:v>
                </c:pt>
                <c:pt idx="1589">
                  <c:v>2.8797038934806896E-2</c:v>
                </c:pt>
                <c:pt idx="1590">
                  <c:v>2.8791886212701234E-2</c:v>
                </c:pt>
                <c:pt idx="1591">
                  <c:v>2.8786780939383805E-2</c:v>
                </c:pt>
                <c:pt idx="1592">
                  <c:v>2.8781723114935653E-2</c:v>
                </c:pt>
                <c:pt idx="1593">
                  <c:v>2.8776712739032595E-2</c:v>
                </c:pt>
                <c:pt idx="1594">
                  <c:v>2.8771749811998815E-2</c:v>
                </c:pt>
                <c:pt idx="1595">
                  <c:v>2.8766834333753266E-2</c:v>
                </c:pt>
                <c:pt idx="1596">
                  <c:v>2.8761966304295949E-2</c:v>
                </c:pt>
                <c:pt idx="1597">
                  <c:v>2.8757145723545818E-2</c:v>
                </c:pt>
                <c:pt idx="1598">
                  <c:v>2.8752372591502873E-2</c:v>
                </c:pt>
                <c:pt idx="1599">
                  <c:v>2.8747646908248159E-2</c:v>
                </c:pt>
                <c:pt idx="1600">
                  <c:v>2.8742968673862723E-2</c:v>
                </c:pt>
                <c:pt idx="1601">
                  <c:v>2.8738337888103427E-2</c:v>
                </c:pt>
                <c:pt idx="1602">
                  <c:v>2.8733754551132362E-2</c:v>
                </c:pt>
                <c:pt idx="1603">
                  <c:v>2.8729218662868483E-2</c:v>
                </c:pt>
                <c:pt idx="1604">
                  <c:v>2.8724730223392836E-2</c:v>
                </c:pt>
                <c:pt idx="1605">
                  <c:v>2.8720289232624374E-2</c:v>
                </c:pt>
                <c:pt idx="1606">
                  <c:v>2.8715895690644144E-2</c:v>
                </c:pt>
                <c:pt idx="1607">
                  <c:v>2.8711549597290054E-2</c:v>
                </c:pt>
                <c:pt idx="1608">
                  <c:v>2.8707250952805241E-2</c:v>
                </c:pt>
                <c:pt idx="1609">
                  <c:v>2.8702999756946568E-2</c:v>
                </c:pt>
                <c:pt idx="1610">
                  <c:v>2.8698796009957173E-2</c:v>
                </c:pt>
                <c:pt idx="1611">
                  <c:v>2.8694639711674963E-2</c:v>
                </c:pt>
                <c:pt idx="1612">
                  <c:v>2.8690530862099939E-2</c:v>
                </c:pt>
                <c:pt idx="1613">
                  <c:v>2.8686469461070008E-2</c:v>
                </c:pt>
                <c:pt idx="1614">
                  <c:v>2.8682455508909355E-2</c:v>
                </c:pt>
                <c:pt idx="1615">
                  <c:v>2.8678489005536933E-2</c:v>
                </c:pt>
                <c:pt idx="1616">
                  <c:v>2.8674569950871698E-2</c:v>
                </c:pt>
                <c:pt idx="1617">
                  <c:v>2.8670698344913648E-2</c:v>
                </c:pt>
                <c:pt idx="1618">
                  <c:v>2.8666874187662783E-2</c:v>
                </c:pt>
                <c:pt idx="1619">
                  <c:v>2.866309747920015E-2</c:v>
                </c:pt>
                <c:pt idx="1620">
                  <c:v>2.8659368219363657E-2</c:v>
                </c:pt>
                <c:pt idx="1621">
                  <c:v>2.8655686408234349E-2</c:v>
                </c:pt>
                <c:pt idx="1622">
                  <c:v>2.8652052045812226E-2</c:v>
                </c:pt>
                <c:pt idx="1623">
                  <c:v>2.8648465132178336E-2</c:v>
                </c:pt>
                <c:pt idx="1624">
                  <c:v>2.8644925667170584E-2</c:v>
                </c:pt>
                <c:pt idx="1625">
                  <c:v>2.8641433650870018E-2</c:v>
                </c:pt>
                <c:pt idx="1626">
                  <c:v>2.8637989083357684E-2</c:v>
                </c:pt>
                <c:pt idx="1627">
                  <c:v>2.8634591964633582E-2</c:v>
                </c:pt>
                <c:pt idx="1628">
                  <c:v>2.8631242294454573E-2</c:v>
                </c:pt>
                <c:pt idx="1629">
                  <c:v>2.8627940073063796E-2</c:v>
                </c:pt>
                <c:pt idx="1630">
                  <c:v>2.8624685300299157E-2</c:v>
                </c:pt>
                <c:pt idx="1631">
                  <c:v>2.8621477976403797E-2</c:v>
                </c:pt>
                <c:pt idx="1632">
                  <c:v>2.861831810105353E-2</c:v>
                </c:pt>
                <c:pt idx="1633">
                  <c:v>2.8615205674410449E-2</c:v>
                </c:pt>
                <c:pt idx="1634">
                  <c:v>2.8612140696555599E-2</c:v>
                </c:pt>
                <c:pt idx="1635">
                  <c:v>2.8609123167326889E-2</c:v>
                </c:pt>
                <c:pt idx="1636">
                  <c:v>2.8606153086805364E-2</c:v>
                </c:pt>
                <c:pt idx="1637">
                  <c:v>2.8603230454909978E-2</c:v>
                </c:pt>
                <c:pt idx="1638">
                  <c:v>2.8600355271883871E-2</c:v>
                </c:pt>
                <c:pt idx="1639">
                  <c:v>2.8597527537483902E-2</c:v>
                </c:pt>
                <c:pt idx="1640">
                  <c:v>2.8594747251710073E-2</c:v>
                </c:pt>
                <c:pt idx="1641">
                  <c:v>2.8592014414724476E-2</c:v>
                </c:pt>
                <c:pt idx="1642">
                  <c:v>2.8589329026283972E-2</c:v>
                </c:pt>
                <c:pt idx="1643">
                  <c:v>2.8586691086712746E-2</c:v>
                </c:pt>
                <c:pt idx="1644">
                  <c:v>2.8584100595767659E-2</c:v>
                </c:pt>
                <c:pt idx="1645">
                  <c:v>2.8581557553448711E-2</c:v>
                </c:pt>
                <c:pt idx="1646">
                  <c:v>2.8579061959755903E-2</c:v>
                </c:pt>
                <c:pt idx="1647">
                  <c:v>2.8576613814851326E-2</c:v>
                </c:pt>
                <c:pt idx="1648">
                  <c:v>2.8574213118734981E-2</c:v>
                </c:pt>
                <c:pt idx="1649">
                  <c:v>2.8571859871082683E-2</c:v>
                </c:pt>
                <c:pt idx="1650">
                  <c:v>2.8569554072299663E-2</c:v>
                </c:pt>
                <c:pt idx="1651">
                  <c:v>2.8567295722142783E-2</c:v>
                </c:pt>
                <c:pt idx="1652">
                  <c:v>2.8565084820612041E-2</c:v>
                </c:pt>
                <c:pt idx="1653">
                  <c:v>2.8562921367869532E-2</c:v>
                </c:pt>
                <c:pt idx="1654">
                  <c:v>2.8560805363591069E-2</c:v>
                </c:pt>
                <c:pt idx="1655">
                  <c:v>2.8558736808100837E-2</c:v>
                </c:pt>
                <c:pt idx="1656">
                  <c:v>2.8556715701317792E-2</c:v>
                </c:pt>
                <c:pt idx="1657">
                  <c:v>2.8554742043322978E-2</c:v>
                </c:pt>
                <c:pt idx="1658">
                  <c:v>2.8552815833954304E-2</c:v>
                </c:pt>
                <c:pt idx="1659">
                  <c:v>2.8550937073130722E-2</c:v>
                </c:pt>
                <c:pt idx="1660">
                  <c:v>2.8549105761014326E-2</c:v>
                </c:pt>
                <c:pt idx="1661">
                  <c:v>2.8547321897605116E-2</c:v>
                </c:pt>
                <c:pt idx="1662">
                  <c:v>2.8545585482822045E-2</c:v>
                </c:pt>
                <c:pt idx="1663">
                  <c:v>2.8543896516827205E-2</c:v>
                </c:pt>
                <c:pt idx="1664">
                  <c:v>2.8542254999458505E-2</c:v>
                </c:pt>
                <c:pt idx="1665">
                  <c:v>2.8540660930715944E-2</c:v>
                </c:pt>
                <c:pt idx="1666">
                  <c:v>2.8539114310680569E-2</c:v>
                </c:pt>
                <c:pt idx="1667">
                  <c:v>2.8537615139271333E-2</c:v>
                </c:pt>
                <c:pt idx="1668">
                  <c:v>2.8536163416650329E-2</c:v>
                </c:pt>
                <c:pt idx="1669">
                  <c:v>2.8534759142493371E-2</c:v>
                </c:pt>
                <c:pt idx="1670">
                  <c:v>2.8533212358339277E-2</c:v>
                </c:pt>
                <c:pt idx="1671">
                  <c:v>2.8531909760064478E-2</c:v>
                </c:pt>
                <c:pt idx="1672">
                  <c:v>2.8530654610334771E-2</c:v>
                </c:pt>
                <c:pt idx="1673">
                  <c:v>2.852944690931225E-2</c:v>
                </c:pt>
                <c:pt idx="1674">
                  <c:v>2.8528286657077961E-2</c:v>
                </c:pt>
                <c:pt idx="1675">
                  <c:v>2.8527173853388765E-2</c:v>
                </c:pt>
                <c:pt idx="1676">
                  <c:v>2.8526108498487801E-2</c:v>
                </c:pt>
                <c:pt idx="1677">
                  <c:v>2.8525090592050883E-2</c:v>
                </c:pt>
                <c:pt idx="1678">
                  <c:v>2.8524120134402198E-2</c:v>
                </c:pt>
                <c:pt idx="1679">
                  <c:v>2.8523197125460698E-2</c:v>
                </c:pt>
                <c:pt idx="1680">
                  <c:v>2.8522321565145337E-2</c:v>
                </c:pt>
                <c:pt idx="1681">
                  <c:v>2.8521493453456115E-2</c:v>
                </c:pt>
                <c:pt idx="1682">
                  <c:v>2.8520712790393032E-2</c:v>
                </c:pt>
                <c:pt idx="1683">
                  <c:v>2.8519979576118182E-2</c:v>
                </c:pt>
                <c:pt idx="1684">
                  <c:v>2.851929381046947E-2</c:v>
                </c:pt>
                <c:pt idx="1685">
                  <c:v>2.8518655493284806E-2</c:v>
                </c:pt>
                <c:pt idx="1686">
                  <c:v>2.8518064624969419E-2</c:v>
                </c:pt>
                <c:pt idx="1687">
                  <c:v>2.8517521205280172E-2</c:v>
                </c:pt>
                <c:pt idx="1688">
                  <c:v>2.851702523429811E-2</c:v>
                </c:pt>
                <c:pt idx="1689">
                  <c:v>2.8516576711861141E-2</c:v>
                </c:pt>
                <c:pt idx="1690">
                  <c:v>2.8516175638131358E-2</c:v>
                </c:pt>
                <c:pt idx="1691">
                  <c:v>2.851582201310876E-2</c:v>
                </c:pt>
                <c:pt idx="1692">
                  <c:v>2.8515515836712302E-2</c:v>
                </c:pt>
                <c:pt idx="1693">
                  <c:v>2.8515257109023029E-2</c:v>
                </c:pt>
                <c:pt idx="1694">
                  <c:v>2.8515045829878849E-2</c:v>
                </c:pt>
                <c:pt idx="1695">
                  <c:v>2.8514881999522901E-2</c:v>
                </c:pt>
                <c:pt idx="1696">
                  <c:v>2.8514765617793092E-2</c:v>
                </c:pt>
                <c:pt idx="1697">
                  <c:v>2.8514696684608376E-2</c:v>
                </c:pt>
                <c:pt idx="1698">
                  <c:v>2.8514675200292938E-2</c:v>
                </c:pt>
                <c:pt idx="1699">
                  <c:v>2.8514701164441547E-2</c:v>
                </c:pt>
                <c:pt idx="1700">
                  <c:v>2.8514774577459434E-2</c:v>
                </c:pt>
                <c:pt idx="1701">
                  <c:v>2.8514895438941368E-2</c:v>
                </c:pt>
                <c:pt idx="1702">
                  <c:v>2.8515063749130487E-2</c:v>
                </c:pt>
                <c:pt idx="1703">
                  <c:v>2.8515279508026792E-2</c:v>
                </c:pt>
                <c:pt idx="1704">
                  <c:v>2.8515542715549236E-2</c:v>
                </c:pt>
                <c:pt idx="1705">
                  <c:v>2.8515853371697819E-2</c:v>
                </c:pt>
                <c:pt idx="1706">
                  <c:v>2.8516211476634634E-2</c:v>
                </c:pt>
                <c:pt idx="1707">
                  <c:v>2.8516617030116542E-2</c:v>
                </c:pt>
                <c:pt idx="1708">
                  <c:v>2.851707003222459E-2</c:v>
                </c:pt>
                <c:pt idx="1709">
                  <c:v>2.8517570483201915E-2</c:v>
                </c:pt>
                <c:pt idx="1710">
                  <c:v>2.8518118382643287E-2</c:v>
                </c:pt>
                <c:pt idx="1711">
                  <c:v>2.8518688304871587E-2</c:v>
                </c:pt>
                <c:pt idx="1712">
                  <c:v>2.851922548602337E-2</c:v>
                </c:pt>
                <c:pt idx="1713">
                  <c:v>2.851972797045188E-2</c:v>
                </c:pt>
                <c:pt idx="1714">
                  <c:v>2.8520195758076072E-2</c:v>
                </c:pt>
                <c:pt idx="1715">
                  <c:v>2.85206288488149E-2</c:v>
                </c:pt>
                <c:pt idx="1716">
                  <c:v>2.8521027242911501E-2</c:v>
                </c:pt>
                <c:pt idx="1717">
                  <c:v>2.8521390940041691E-2</c:v>
                </c:pt>
                <c:pt idx="1718">
                  <c:v>2.8521719940448609E-2</c:v>
                </c:pt>
                <c:pt idx="1719">
                  <c:v>2.8522014244051208E-2</c:v>
                </c:pt>
                <c:pt idx="1720">
                  <c:v>2.8522273850849489E-2</c:v>
                </c:pt>
                <c:pt idx="1721">
                  <c:v>2.8522498760762405E-2</c:v>
                </c:pt>
                <c:pt idx="1722">
                  <c:v>2.8522688973952048E-2</c:v>
                </c:pt>
                <c:pt idx="1723">
                  <c:v>2.8522844490337373E-2</c:v>
                </c:pt>
                <c:pt idx="1724">
                  <c:v>2.852296530991838E-2</c:v>
                </c:pt>
                <c:pt idx="1725">
                  <c:v>2.8523051432695068E-2</c:v>
                </c:pt>
                <c:pt idx="1726">
                  <c:v>2.8523102858667437E-2</c:v>
                </c:pt>
                <c:pt idx="1727">
                  <c:v>2.8523119587754442E-2</c:v>
                </c:pt>
                <c:pt idx="1728">
                  <c:v>2.8523101620037128E-2</c:v>
                </c:pt>
                <c:pt idx="1729">
                  <c:v>2.8523048955596542E-2</c:v>
                </c:pt>
                <c:pt idx="1730">
                  <c:v>2.8522961594351637E-2</c:v>
                </c:pt>
                <c:pt idx="1731">
                  <c:v>2.8522839536221367E-2</c:v>
                </c:pt>
                <c:pt idx="1732">
                  <c:v>2.8522682781367825E-2</c:v>
                </c:pt>
                <c:pt idx="1733">
                  <c:v>2.8522491329709965E-2</c:v>
                </c:pt>
                <c:pt idx="1734">
                  <c:v>2.8522265181085693E-2</c:v>
                </c:pt>
                <c:pt idx="1735">
                  <c:v>2.8522004335900242E-2</c:v>
                </c:pt>
                <c:pt idx="1736">
                  <c:v>2.8521708793748379E-2</c:v>
                </c:pt>
                <c:pt idx="1737">
                  <c:v>2.8521378554873245E-2</c:v>
                </c:pt>
                <c:pt idx="1738">
                  <c:v>2.8521013619193791E-2</c:v>
                </c:pt>
                <c:pt idx="1739">
                  <c:v>2.8520613986710019E-2</c:v>
                </c:pt>
                <c:pt idx="1740">
                  <c:v>2.8520179657259837E-2</c:v>
                </c:pt>
                <c:pt idx="1741">
                  <c:v>2.8519710631086381E-2</c:v>
                </c:pt>
                <c:pt idx="1742">
                  <c:v>2.8519206908189654E-2</c:v>
                </c:pt>
                <c:pt idx="1743">
                  <c:v>2.8518668488488608E-2</c:v>
                </c:pt>
                <c:pt idx="1744">
                  <c:v>2.8518095371902197E-2</c:v>
                </c:pt>
                <c:pt idx="1745">
                  <c:v>2.8517487558592514E-2</c:v>
                </c:pt>
                <c:pt idx="1746">
                  <c:v>2.8516845048397466E-2</c:v>
                </c:pt>
                <c:pt idx="1747">
                  <c:v>2.8516167841479145E-2</c:v>
                </c:pt>
                <c:pt idx="1748">
                  <c:v>2.851545593767546E-2</c:v>
                </c:pt>
                <c:pt idx="1749">
                  <c:v>2.8514709337148503E-2</c:v>
                </c:pt>
                <c:pt idx="1750">
                  <c:v>2.8513928039736181E-2</c:v>
                </c:pt>
                <c:pt idx="1751">
                  <c:v>2.8513112045600586E-2</c:v>
                </c:pt>
                <c:pt idx="1752">
                  <c:v>2.8512261354579627E-2</c:v>
                </c:pt>
                <c:pt idx="1753">
                  <c:v>2.8511375966754349E-2</c:v>
                </c:pt>
                <c:pt idx="1754">
                  <c:v>2.8510455882205799E-2</c:v>
                </c:pt>
                <c:pt idx="1755">
                  <c:v>2.8509501100771883E-2</c:v>
                </c:pt>
                <c:pt idx="1756">
                  <c:v>2.8508511622614696E-2</c:v>
                </c:pt>
                <c:pt idx="1757">
                  <c:v>2.8507487447572144E-2</c:v>
                </c:pt>
                <c:pt idx="1758">
                  <c:v>2.8506428575887366E-2</c:v>
                </c:pt>
                <c:pt idx="1759">
                  <c:v>2.8505335007236177E-2</c:v>
                </c:pt>
                <c:pt idx="1760">
                  <c:v>2.8504206741861715E-2</c:v>
                </c:pt>
                <c:pt idx="1761">
                  <c:v>2.8503043779682935E-2</c:v>
                </c:pt>
                <c:pt idx="1762">
                  <c:v>2.8501846120699836E-2</c:v>
                </c:pt>
                <c:pt idx="1763">
                  <c:v>2.8500613764831373E-2</c:v>
                </c:pt>
                <c:pt idx="1764">
                  <c:v>2.8499346712239637E-2</c:v>
                </c:pt>
                <c:pt idx="1765">
                  <c:v>2.8498044962924629E-2</c:v>
                </c:pt>
                <c:pt idx="1766">
                  <c:v>2.849670851664321E-2</c:v>
                </c:pt>
                <c:pt idx="1767">
                  <c:v>2.8495337373719565E-2</c:v>
                </c:pt>
                <c:pt idx="1768">
                  <c:v>2.8493931533910555E-2</c:v>
                </c:pt>
                <c:pt idx="1769">
                  <c:v>2.8492490997297226E-2</c:v>
                </c:pt>
                <c:pt idx="1770">
                  <c:v>2.8491015763960625E-2</c:v>
                </c:pt>
                <c:pt idx="1771">
                  <c:v>2.8489505833819706E-2</c:v>
                </c:pt>
                <c:pt idx="1772">
                  <c:v>2.8487961206793422E-2</c:v>
                </c:pt>
                <c:pt idx="1773">
                  <c:v>2.8486381882962819E-2</c:v>
                </c:pt>
                <c:pt idx="1774">
                  <c:v>2.8484534455684996E-2</c:v>
                </c:pt>
                <c:pt idx="1775">
                  <c:v>2.8482880781617315E-2</c:v>
                </c:pt>
                <c:pt idx="1776">
                  <c:v>2.8481192410826361E-2</c:v>
                </c:pt>
                <c:pt idx="1777">
                  <c:v>2.8479469343150043E-2</c:v>
                </c:pt>
                <c:pt idx="1778">
                  <c:v>2.8477711578750453E-2</c:v>
                </c:pt>
                <c:pt idx="1779">
                  <c:v>2.8475919117546544E-2</c:v>
                </c:pt>
                <c:pt idx="1780">
                  <c:v>2.8474091959538317E-2</c:v>
                </c:pt>
                <c:pt idx="1781">
                  <c:v>2.8472230104725771E-2</c:v>
                </c:pt>
                <c:pt idx="1782">
                  <c:v>2.8470333553108906E-2</c:v>
                </c:pt>
                <c:pt idx="1783">
                  <c:v>2.8468402304687723E-2</c:v>
                </c:pt>
                <c:pt idx="1784">
                  <c:v>2.8466436359543268E-2</c:v>
                </c:pt>
                <c:pt idx="1785">
                  <c:v>2.8464435717594494E-2</c:v>
                </c:pt>
                <c:pt idx="1786">
                  <c:v>2.8462400378841402E-2</c:v>
                </c:pt>
                <c:pt idx="1787">
                  <c:v>2.846033034328399E-2</c:v>
                </c:pt>
                <c:pt idx="1788">
                  <c:v>2.8458225610922261E-2</c:v>
                </c:pt>
                <c:pt idx="1789">
                  <c:v>2.8456086181837259E-2</c:v>
                </c:pt>
                <c:pt idx="1790">
                  <c:v>2.8457720247989204E-2</c:v>
                </c:pt>
                <c:pt idx="1791">
                  <c:v>2.8451703233173253E-2</c:v>
                </c:pt>
                <c:pt idx="1792">
                  <c:v>2.8449459713756342E-2</c:v>
                </c:pt>
                <c:pt idx="1793">
                  <c:v>2.8447181497454066E-2</c:v>
                </c:pt>
                <c:pt idx="1794">
                  <c:v>2.8444868584428518E-2</c:v>
                </c:pt>
                <c:pt idx="1795">
                  <c:v>2.8442520974517604E-2</c:v>
                </c:pt>
                <c:pt idx="1796">
                  <c:v>2.8440138667964465E-2</c:v>
                </c:pt>
                <c:pt idx="1797">
                  <c:v>2.8437721664607007E-2</c:v>
                </c:pt>
                <c:pt idx="1798">
                  <c:v>2.8435269964364185E-2</c:v>
                </c:pt>
                <c:pt idx="1799">
                  <c:v>2.8432783567479136E-2</c:v>
                </c:pt>
                <c:pt idx="1800">
                  <c:v>2.8430262473708723E-2</c:v>
                </c:pt>
                <c:pt idx="1801">
                  <c:v>2.8427706683215037E-2</c:v>
                </c:pt>
                <c:pt idx="1802">
                  <c:v>2.8425116195835987E-2</c:v>
                </c:pt>
                <c:pt idx="1803">
                  <c:v>2.842249101181471E-2</c:v>
                </c:pt>
                <c:pt idx="1804">
                  <c:v>2.8419831130908069E-2</c:v>
                </c:pt>
                <c:pt idx="1805">
                  <c:v>2.8417136553278155E-2</c:v>
                </c:pt>
                <c:pt idx="1806">
                  <c:v>2.8414407278924969E-2</c:v>
                </c:pt>
                <c:pt idx="1807">
                  <c:v>2.8411643307686418E-2</c:v>
                </c:pt>
                <c:pt idx="1808">
                  <c:v>2.8408844639805642E-2</c:v>
                </c:pt>
                <c:pt idx="1809">
                  <c:v>2.84060112750395E-2</c:v>
                </c:pt>
                <c:pt idx="1810">
                  <c:v>2.8403143213550086E-2</c:v>
                </c:pt>
                <c:pt idx="1811">
                  <c:v>2.8400240455256354E-2</c:v>
                </c:pt>
                <c:pt idx="1812">
                  <c:v>2.8397303000239349E-2</c:v>
                </c:pt>
                <c:pt idx="1813">
                  <c:v>2.8394330848418026E-2</c:v>
                </c:pt>
                <c:pt idx="1814">
                  <c:v>2.839132399987343E-2</c:v>
                </c:pt>
                <c:pt idx="1815">
                  <c:v>2.838828245444347E-2</c:v>
                </c:pt>
                <c:pt idx="1816">
                  <c:v>2.8385206212371283E-2</c:v>
                </c:pt>
                <c:pt idx="1817">
                  <c:v>2.8382095273494778E-2</c:v>
                </c:pt>
                <c:pt idx="1818">
                  <c:v>2.8378949637895001E-2</c:v>
                </c:pt>
                <c:pt idx="1819">
                  <c:v>2.8375769305409859E-2</c:v>
                </c:pt>
                <c:pt idx="1820">
                  <c:v>2.8372554276282491E-2</c:v>
                </c:pt>
                <c:pt idx="1821">
                  <c:v>2.8369304550269758E-2</c:v>
                </c:pt>
                <c:pt idx="1822">
                  <c:v>2.8366020127614799E-2</c:v>
                </c:pt>
                <c:pt idx="1823">
                  <c:v>2.8362701008155522E-2</c:v>
                </c:pt>
                <c:pt idx="1824">
                  <c:v>2.8359347191891926E-2</c:v>
                </c:pt>
                <c:pt idx="1825">
                  <c:v>2.8355958678905058E-2</c:v>
                </c:pt>
                <c:pt idx="1826">
                  <c:v>2.8353753077720038E-2</c:v>
                </c:pt>
                <c:pt idx="1827">
                  <c:v>2.8350284719180035E-2</c:v>
                </c:pt>
                <c:pt idx="1828">
                  <c:v>2.8346781658513679E-2</c:v>
                </c:pt>
                <c:pt idx="1829">
                  <c:v>2.8343243895774993E-2</c:v>
                </c:pt>
                <c:pt idx="1830">
                  <c:v>2.833967143096398E-2</c:v>
                </c:pt>
                <c:pt idx="1831">
                  <c:v>2.8336064264107657E-2</c:v>
                </c:pt>
                <c:pt idx="1832">
                  <c:v>2.8332422395179007E-2</c:v>
                </c:pt>
                <c:pt idx="1833">
                  <c:v>2.832874582417803E-2</c:v>
                </c:pt>
                <c:pt idx="1834">
                  <c:v>2.8325034551104727E-2</c:v>
                </c:pt>
                <c:pt idx="1835">
                  <c:v>2.8321288575959096E-2</c:v>
                </c:pt>
                <c:pt idx="1836">
                  <c:v>2.8317507898822186E-2</c:v>
                </c:pt>
                <c:pt idx="1837">
                  <c:v>2.8313692519558918E-2</c:v>
                </c:pt>
                <c:pt idx="1838">
                  <c:v>2.830984243830437E-2</c:v>
                </c:pt>
                <c:pt idx="1839">
                  <c:v>2.8305957654977492E-2</c:v>
                </c:pt>
                <c:pt idx="1840">
                  <c:v>2.8298154013549626E-2</c:v>
                </c:pt>
                <c:pt idx="1841">
                  <c:v>2.8294185569199826E-2</c:v>
                </c:pt>
                <c:pt idx="1842">
                  <c:v>2.8290182428045707E-2</c:v>
                </c:pt>
                <c:pt idx="1843">
                  <c:v>2.8286144590168316E-2</c:v>
                </c:pt>
                <c:pt idx="1844">
                  <c:v>2.8282072055648699E-2</c:v>
                </c:pt>
                <c:pt idx="1845">
                  <c:v>2.8277964824243718E-2</c:v>
                </c:pt>
                <c:pt idx="1846">
                  <c:v>2.8273822896277556E-2</c:v>
                </c:pt>
                <c:pt idx="1847">
                  <c:v>2.8269646271344984E-2</c:v>
                </c:pt>
                <c:pt idx="1848">
                  <c:v>2.8265434949932278E-2</c:v>
                </c:pt>
                <c:pt idx="1849">
                  <c:v>2.8261188931553161E-2</c:v>
                </c:pt>
                <c:pt idx="1850">
                  <c:v>2.8256908216531818E-2</c:v>
                </c:pt>
                <c:pt idx="1851">
                  <c:v>2.8252592804787202E-2</c:v>
                </c:pt>
                <c:pt idx="1852">
                  <c:v>2.8248242696400361E-2</c:v>
                </c:pt>
                <c:pt idx="1853">
                  <c:v>2.8243857891209201E-2</c:v>
                </c:pt>
                <c:pt idx="1854">
                  <c:v>2.8239438389213722E-2</c:v>
                </c:pt>
                <c:pt idx="1855">
                  <c:v>2.8234984190657064E-2</c:v>
                </c:pt>
                <c:pt idx="1856">
                  <c:v>2.8230495295296087E-2</c:v>
                </c:pt>
                <c:pt idx="1857">
                  <c:v>2.8225971703211838E-2</c:v>
                </c:pt>
                <c:pt idx="1858">
                  <c:v>2.8221413414404317E-2</c:v>
                </c:pt>
                <c:pt idx="1859">
                  <c:v>2.8216820428873524E-2</c:v>
                </c:pt>
                <c:pt idx="1860">
                  <c:v>2.8212192746619458E-2</c:v>
                </c:pt>
                <c:pt idx="1861">
                  <c:v>2.820753036764212E-2</c:v>
                </c:pt>
                <c:pt idx="1862">
                  <c:v>2.8202833292022556E-2</c:v>
                </c:pt>
                <c:pt idx="1863">
                  <c:v>2.8198101519598673E-2</c:v>
                </c:pt>
                <c:pt idx="1864">
                  <c:v>2.8193335050532564E-2</c:v>
                </c:pt>
                <c:pt idx="1865">
                  <c:v>2.8188533884662137E-2</c:v>
                </c:pt>
                <c:pt idx="1866">
                  <c:v>2.8183698022068437E-2</c:v>
                </c:pt>
                <c:pt idx="1867">
                  <c:v>2.8178827462913558E-2</c:v>
                </c:pt>
                <c:pt idx="1868">
                  <c:v>2.8173922206873314E-2</c:v>
                </c:pt>
                <c:pt idx="1869">
                  <c:v>2.816898225427189E-2</c:v>
                </c:pt>
                <c:pt idx="1870">
                  <c:v>2.8164007604947194E-2</c:v>
                </c:pt>
                <c:pt idx="1871">
                  <c:v>2.8158998258899226E-2</c:v>
                </c:pt>
                <c:pt idx="1872">
                  <c:v>2.8153954216127985E-2</c:v>
                </c:pt>
                <c:pt idx="1873">
                  <c:v>2.8148875476714519E-2</c:v>
                </c:pt>
                <c:pt idx="1874">
                  <c:v>2.8143762040496734E-2</c:v>
                </c:pt>
                <c:pt idx="1875">
                  <c:v>2.8138613907636723E-2</c:v>
                </c:pt>
                <c:pt idx="1876">
                  <c:v>2.8133431078053439E-2</c:v>
                </c:pt>
                <c:pt idx="1877">
                  <c:v>2.8128213551908976E-2</c:v>
                </c:pt>
                <c:pt idx="1878">
                  <c:v>2.8122961328879148E-2</c:v>
                </c:pt>
                <c:pt idx="1879">
                  <c:v>2.8117674409207094E-2</c:v>
                </c:pt>
                <c:pt idx="1880">
                  <c:v>2.811235279297386E-2</c:v>
                </c:pt>
                <c:pt idx="1881">
                  <c:v>2.8106996479855262E-2</c:v>
                </c:pt>
                <c:pt idx="1882">
                  <c:v>2.810160547025653E-2</c:v>
                </c:pt>
                <c:pt idx="1883">
                  <c:v>2.8096179763772433E-2</c:v>
                </c:pt>
                <c:pt idx="1884">
                  <c:v>2.8090719360727157E-2</c:v>
                </c:pt>
                <c:pt idx="1885">
                  <c:v>2.8085224260958608E-2</c:v>
                </c:pt>
                <c:pt idx="1886">
                  <c:v>2.8079694464547833E-2</c:v>
                </c:pt>
                <c:pt idx="1887">
                  <c:v>2.8074129971413786E-2</c:v>
                </c:pt>
                <c:pt idx="1888">
                  <c:v>2.8068530781637513E-2</c:v>
                </c:pt>
                <c:pt idx="1889">
                  <c:v>2.806289689530006E-2</c:v>
                </c:pt>
                <c:pt idx="1890">
                  <c:v>2.8057228311996196E-2</c:v>
                </c:pt>
                <c:pt idx="1891">
                  <c:v>2.8051525032212199E-2</c:v>
                </c:pt>
                <c:pt idx="1892">
                  <c:v>2.8045787055785976E-2</c:v>
                </c:pt>
                <c:pt idx="1893">
                  <c:v>2.804001438263648E-2</c:v>
                </c:pt>
                <c:pt idx="1894">
                  <c:v>2.8034207012763712E-2</c:v>
                </c:pt>
                <c:pt idx="1895">
                  <c:v>2.8028364946248718E-2</c:v>
                </c:pt>
                <c:pt idx="1896">
                  <c:v>2.8022488183091498E-2</c:v>
                </c:pt>
                <c:pt idx="1897">
                  <c:v>2.8016576723211006E-2</c:v>
                </c:pt>
                <c:pt idx="1898">
                  <c:v>2.8010630566769334E-2</c:v>
                </c:pt>
                <c:pt idx="1899">
                  <c:v>2.8004649713685437E-2</c:v>
                </c:pt>
                <c:pt idx="1900">
                  <c:v>2.7998634163959313E-2</c:v>
                </c:pt>
                <c:pt idx="1901">
                  <c:v>2.799258391742887E-2</c:v>
                </c:pt>
                <c:pt idx="1902">
                  <c:v>2.7986498974337248E-2</c:v>
                </c:pt>
                <c:pt idx="1903">
                  <c:v>2.7980379334522354E-2</c:v>
                </c:pt>
                <c:pt idx="1904">
                  <c:v>2.797422499814628E-2</c:v>
                </c:pt>
                <c:pt idx="1905">
                  <c:v>2.7968035965046933E-2</c:v>
                </c:pt>
                <c:pt idx="1906">
                  <c:v>2.7961812235386407E-2</c:v>
                </c:pt>
                <c:pt idx="1907">
                  <c:v>2.7955553809002609E-2</c:v>
                </c:pt>
                <c:pt idx="1908">
                  <c:v>2.7949260686057631E-2</c:v>
                </c:pt>
                <c:pt idx="1909">
                  <c:v>2.7942932866389381E-2</c:v>
                </c:pt>
                <c:pt idx="1910">
                  <c:v>2.7936570350078904E-2</c:v>
                </c:pt>
                <c:pt idx="1911">
                  <c:v>2.7930173137207248E-2</c:v>
                </c:pt>
                <c:pt idx="1912">
                  <c:v>2.792374122761232E-2</c:v>
                </c:pt>
                <c:pt idx="1913">
                  <c:v>2.7917274621456212E-2</c:v>
                </c:pt>
                <c:pt idx="1914">
                  <c:v>2.7910773318576831E-2</c:v>
                </c:pt>
                <c:pt idx="1915">
                  <c:v>2.7904237319136271E-2</c:v>
                </c:pt>
                <c:pt idx="1916">
                  <c:v>2.7897666623053485E-2</c:v>
                </c:pt>
                <c:pt idx="1917">
                  <c:v>2.7891061230328473E-2</c:v>
                </c:pt>
                <c:pt idx="1918">
                  <c:v>2.7884421140961235E-2</c:v>
                </c:pt>
                <c:pt idx="1919">
                  <c:v>2.7877746355032818E-2</c:v>
                </c:pt>
                <c:pt idx="1920">
                  <c:v>2.787103687254322E-2</c:v>
                </c:pt>
                <c:pt idx="1921">
                  <c:v>2.7864292693249304E-2</c:v>
                </c:pt>
                <c:pt idx="1922">
                  <c:v>2.7857513817394208E-2</c:v>
                </c:pt>
                <c:pt idx="1923">
                  <c:v>2.7850700244977933E-2</c:v>
                </c:pt>
                <c:pt idx="1924">
                  <c:v>2.7843851975919431E-2</c:v>
                </c:pt>
                <c:pt idx="1925">
                  <c:v>2.783696901029975E-2</c:v>
                </c:pt>
                <c:pt idx="1926">
                  <c:v>2.7830051347956797E-2</c:v>
                </c:pt>
                <c:pt idx="1927">
                  <c:v>2.782309898913371E-2</c:v>
                </c:pt>
                <c:pt idx="1928">
                  <c:v>2.7816111933668397E-2</c:v>
                </c:pt>
                <c:pt idx="1929">
                  <c:v>2.7809090181560858E-2</c:v>
                </c:pt>
                <c:pt idx="1930">
                  <c:v>2.7802033732811093E-2</c:v>
                </c:pt>
                <c:pt idx="1931">
                  <c:v>2.7794942587581195E-2</c:v>
                </c:pt>
                <c:pt idx="1932">
                  <c:v>2.7787816745628025E-2</c:v>
                </c:pt>
                <c:pt idx="1933">
                  <c:v>2.7780656207113674E-2</c:v>
                </c:pt>
                <c:pt idx="1934">
                  <c:v>2.7773460972119191E-2</c:v>
                </c:pt>
                <c:pt idx="1935">
                  <c:v>2.7766231040320388E-2</c:v>
                </c:pt>
                <c:pt idx="1936">
                  <c:v>2.7758966412122499E-2</c:v>
                </c:pt>
                <c:pt idx="1937">
                  <c:v>2.7751667087282383E-2</c:v>
                </c:pt>
                <c:pt idx="1938">
                  <c:v>2.7744333065800042E-2</c:v>
                </c:pt>
                <c:pt idx="1939">
                  <c:v>2.7736964347756521E-2</c:v>
                </c:pt>
                <c:pt idx="1940">
                  <c:v>2.7729560933232866E-2</c:v>
                </c:pt>
                <c:pt idx="1941">
                  <c:v>2.7722122821985939E-2</c:v>
                </c:pt>
                <c:pt idx="1942">
                  <c:v>2.7714650014258879E-2</c:v>
                </c:pt>
                <c:pt idx="1943">
                  <c:v>2.7707142509889593E-2</c:v>
                </c:pt>
                <c:pt idx="1944">
                  <c:v>2.7699600308959127E-2</c:v>
                </c:pt>
                <c:pt idx="1945">
                  <c:v>2.7692023411548528E-2</c:v>
                </c:pt>
                <c:pt idx="1946">
                  <c:v>2.7684411817414656E-2</c:v>
                </c:pt>
                <c:pt idx="1947">
                  <c:v>2.7676765526962743E-2</c:v>
                </c:pt>
                <c:pt idx="1948">
                  <c:v>2.7669084539625466E-2</c:v>
                </c:pt>
                <c:pt idx="1949">
                  <c:v>2.7661368855889101E-2</c:v>
                </c:pt>
                <c:pt idx="1950">
                  <c:v>2.7653618475591557E-2</c:v>
                </c:pt>
                <c:pt idx="1951">
                  <c:v>2.7645833398732833E-2</c:v>
                </c:pt>
                <c:pt idx="1952">
                  <c:v>2.7638013625312929E-2</c:v>
                </c:pt>
                <c:pt idx="1953">
                  <c:v>2.7630159155331846E-2</c:v>
                </c:pt>
                <c:pt idx="1954">
                  <c:v>2.7622269988870629E-2</c:v>
                </c:pt>
                <c:pt idx="1955">
                  <c:v>2.761434612568614E-2</c:v>
                </c:pt>
                <c:pt idx="1956">
                  <c:v>2.760638756618361E-2</c:v>
                </c:pt>
                <c:pt idx="1957">
                  <c:v>2.7598394309957808E-2</c:v>
                </c:pt>
                <c:pt idx="1958">
                  <c:v>2.7590366357332918E-2</c:v>
                </c:pt>
                <c:pt idx="1959">
                  <c:v>2.7582303707984757E-2</c:v>
                </c:pt>
                <c:pt idx="1960">
                  <c:v>2.7574206362156461E-2</c:v>
                </c:pt>
                <c:pt idx="1961">
                  <c:v>2.7566074319848033E-2</c:v>
                </c:pt>
                <c:pt idx="1962">
                  <c:v>2.7557907581059471E-2</c:v>
                </c:pt>
                <c:pt idx="1963">
                  <c:v>2.7549706145709729E-2</c:v>
                </c:pt>
                <c:pt idx="1964">
                  <c:v>2.7541470013717761E-2</c:v>
                </c:pt>
                <c:pt idx="1965">
                  <c:v>2.7533199185326707E-2</c:v>
                </c:pt>
                <c:pt idx="1966">
                  <c:v>2.7524893660374472E-2</c:v>
                </c:pt>
                <c:pt idx="1967">
                  <c:v>2.7516553438942104E-2</c:v>
                </c:pt>
                <c:pt idx="1968">
                  <c:v>2.750817852086751E-2</c:v>
                </c:pt>
                <c:pt idx="1969">
                  <c:v>2.7499768906312783E-2</c:v>
                </c:pt>
                <c:pt idx="1970">
                  <c:v>2.7491324595277922E-2</c:v>
                </c:pt>
                <c:pt idx="1971">
                  <c:v>2.7482857563485563E-2</c:v>
                </c:pt>
                <c:pt idx="1972">
                  <c:v>2.7474409823949886E-2</c:v>
                </c:pt>
                <c:pt idx="1973">
                  <c:v>2.7465985106825963E-2</c:v>
                </c:pt>
                <c:pt idx="1974">
                  <c:v>2.7457583412113795E-2</c:v>
                </c:pt>
                <c:pt idx="1975">
                  <c:v>2.7449204739894428E-2</c:v>
                </c:pt>
                <c:pt idx="1976">
                  <c:v>2.7440849090086816E-2</c:v>
                </c:pt>
                <c:pt idx="1977">
                  <c:v>2.7432516462609913E-2</c:v>
                </c:pt>
                <c:pt idx="1978">
                  <c:v>2.742420685762581E-2</c:v>
                </c:pt>
                <c:pt idx="1979">
                  <c:v>2.7415920275053463E-2</c:v>
                </c:pt>
                <c:pt idx="1980">
                  <c:v>2.740765671489287E-2</c:v>
                </c:pt>
                <c:pt idx="1981">
                  <c:v>2.7399416177144031E-2</c:v>
                </c:pt>
                <c:pt idx="1982">
                  <c:v>2.7390026610368823E-2</c:v>
                </c:pt>
                <c:pt idx="1983">
                  <c:v>2.7381835406463662E-2</c:v>
                </c:pt>
                <c:pt idx="1984">
                  <c:v>2.7373667224889209E-2</c:v>
                </c:pt>
                <c:pt idx="1985">
                  <c:v>2.7365522065726511E-2</c:v>
                </c:pt>
                <c:pt idx="1986">
                  <c:v>2.7357399928975568E-2</c:v>
                </c:pt>
                <c:pt idx="1987">
                  <c:v>2.7349300814555333E-2</c:v>
                </c:pt>
                <c:pt idx="1988">
                  <c:v>2.7341224722708946E-2</c:v>
                </c:pt>
                <c:pt idx="1989">
                  <c:v>2.733317165311222E-2</c:v>
                </c:pt>
                <c:pt idx="1990">
                  <c:v>2.7325141606008296E-2</c:v>
                </c:pt>
                <c:pt idx="1991">
                  <c:v>2.7317134581235081E-2</c:v>
                </c:pt>
                <c:pt idx="1992">
                  <c:v>2.730915057887362E-2</c:v>
                </c:pt>
                <c:pt idx="1993">
                  <c:v>2.7301189598923914E-2</c:v>
                </c:pt>
                <c:pt idx="1994">
                  <c:v>2.7293251641385963E-2</c:v>
                </c:pt>
                <c:pt idx="1995">
                  <c:v>2.7285336706259766E-2</c:v>
                </c:pt>
                <c:pt idx="1996">
                  <c:v>2.7277444793545325E-2</c:v>
                </c:pt>
                <c:pt idx="1997">
                  <c:v>2.7269575903161591E-2</c:v>
                </c:pt>
                <c:pt idx="1998">
                  <c:v>2.7261730035189613E-2</c:v>
                </c:pt>
                <c:pt idx="1999">
                  <c:v>2.7253907189629389E-2</c:v>
                </c:pt>
                <c:pt idx="2000">
                  <c:v>2.7246107366399874E-2</c:v>
                </c:pt>
                <c:pt idx="2001">
                  <c:v>2.7238330565582114E-2</c:v>
                </c:pt>
                <c:pt idx="2002">
                  <c:v>2.7230576787176108E-2</c:v>
                </c:pt>
                <c:pt idx="2003">
                  <c:v>2.7222846031100811E-2</c:v>
                </c:pt>
                <c:pt idx="2004">
                  <c:v>2.7215138297518315E-2</c:v>
                </c:pt>
                <c:pt idx="2005">
                  <c:v>2.7207453586266528E-2</c:v>
                </c:pt>
                <c:pt idx="2006">
                  <c:v>2.7199791897345449E-2</c:v>
                </c:pt>
                <c:pt idx="2007">
                  <c:v>2.7192153230755078E-2</c:v>
                </c:pt>
                <c:pt idx="2008">
                  <c:v>2.7184537586657509E-2</c:v>
                </c:pt>
                <c:pt idx="2009">
                  <c:v>2.7176944964890648E-2</c:v>
                </c:pt>
                <c:pt idx="2010">
                  <c:v>2.7169375365535542E-2</c:v>
                </c:pt>
                <c:pt idx="2011">
                  <c:v>2.7161828788511144E-2</c:v>
                </c:pt>
                <c:pt idx="2012">
                  <c:v>2.7154305233817455E-2</c:v>
                </c:pt>
                <c:pt idx="2013">
                  <c:v>2.7146804701535521E-2</c:v>
                </c:pt>
                <c:pt idx="2014">
                  <c:v>2.7139327191584295E-2</c:v>
                </c:pt>
                <c:pt idx="2015">
                  <c:v>2.713187270412587E-2</c:v>
                </c:pt>
                <c:pt idx="2016">
                  <c:v>2.7124441238917107E-2</c:v>
                </c:pt>
                <c:pt idx="2017">
                  <c:v>2.71170327961201E-2</c:v>
                </c:pt>
                <c:pt idx="2018">
                  <c:v>2.7109647375572754E-2</c:v>
                </c:pt>
                <c:pt idx="2019">
                  <c:v>2.710228497751821E-2</c:v>
                </c:pt>
                <c:pt idx="2020">
                  <c:v>2.7094945601794374E-2</c:v>
                </c:pt>
                <c:pt idx="2021">
                  <c:v>2.7087629248482292E-2</c:v>
                </c:pt>
                <c:pt idx="2022">
                  <c:v>2.7080335917419873E-2</c:v>
                </c:pt>
                <c:pt idx="2023">
                  <c:v>2.7073065608688163E-2</c:v>
                </c:pt>
                <c:pt idx="2024">
                  <c:v>2.7065818322449253E-2</c:v>
                </c:pt>
                <c:pt idx="2025">
                  <c:v>2.7058594058541052E-2</c:v>
                </c:pt>
                <c:pt idx="2026">
                  <c:v>2.7051392816882514E-2</c:v>
                </c:pt>
                <c:pt idx="2027">
                  <c:v>2.7044214597554683E-2</c:v>
                </c:pt>
                <c:pt idx="2028">
                  <c:v>2.7037059400719654E-2</c:v>
                </c:pt>
                <c:pt idx="2029">
                  <c:v>2.7029927226134287E-2</c:v>
                </c:pt>
                <c:pt idx="2030">
                  <c:v>2.7022818073960675E-2</c:v>
                </c:pt>
                <c:pt idx="2031">
                  <c:v>2.7015731944036725E-2</c:v>
                </c:pt>
                <c:pt idx="2032">
                  <c:v>2.700866883652453E-2</c:v>
                </c:pt>
                <c:pt idx="2033">
                  <c:v>2.7001628751343043E-2</c:v>
                </c:pt>
                <c:pt idx="2034">
                  <c:v>2.6994611688411219E-2</c:v>
                </c:pt>
                <c:pt idx="2035">
                  <c:v>2.6987617647972195E-2</c:v>
                </c:pt>
                <c:pt idx="2036">
                  <c:v>2.6980646629782834E-2</c:v>
                </c:pt>
                <c:pt idx="2037">
                  <c:v>2.6973698633924181E-2</c:v>
                </c:pt>
                <c:pt idx="2038">
                  <c:v>2.6966773660396237E-2</c:v>
                </c:pt>
                <c:pt idx="2039">
                  <c:v>2.6959871709280048E-2</c:v>
                </c:pt>
                <c:pt idx="2040">
                  <c:v>2.6952992780413521E-2</c:v>
                </c:pt>
                <c:pt idx="2041">
                  <c:v>2.6946136873958748E-2</c:v>
                </c:pt>
                <c:pt idx="2042">
                  <c:v>2.6939303989753638E-2</c:v>
                </c:pt>
                <c:pt idx="2043">
                  <c:v>2.6932494127960283E-2</c:v>
                </c:pt>
                <c:pt idx="2044">
                  <c:v>2.6925707288497636E-2</c:v>
                </c:pt>
                <c:pt idx="2045">
                  <c:v>2.6918943471203605E-2</c:v>
                </c:pt>
                <c:pt idx="2046">
                  <c:v>2.6912202676402375E-2</c:v>
                </c:pt>
                <c:pt idx="2047">
                  <c:v>2.6905484903850807E-2</c:v>
                </c:pt>
                <c:pt idx="2048">
                  <c:v>2.6898790153629948E-2</c:v>
                </c:pt>
                <c:pt idx="2049">
                  <c:v>2.6892118425739797E-2</c:v>
                </c:pt>
                <c:pt idx="2050">
                  <c:v>2.6885469720099309E-2</c:v>
                </c:pt>
                <c:pt idx="2051">
                  <c:v>2.6878844036870575E-2</c:v>
                </c:pt>
                <c:pt idx="2052">
                  <c:v>2.6872241375891504E-2</c:v>
                </c:pt>
                <c:pt idx="2053">
                  <c:v>2.6865661737243141E-2</c:v>
                </c:pt>
                <c:pt idx="2054">
                  <c:v>2.6859105121006532E-2</c:v>
                </c:pt>
                <c:pt idx="2055">
                  <c:v>2.685257152693854E-2</c:v>
                </c:pt>
                <c:pt idx="2056">
                  <c:v>2.6846060955282303E-2</c:v>
                </c:pt>
                <c:pt idx="2057">
                  <c:v>2.6839573405956774E-2</c:v>
                </c:pt>
                <c:pt idx="2058">
                  <c:v>2.6833108878799861E-2</c:v>
                </c:pt>
                <c:pt idx="2059">
                  <c:v>2.6826667374054702E-2</c:v>
                </c:pt>
                <c:pt idx="2060">
                  <c:v>2.6820248891640253E-2</c:v>
                </c:pt>
                <c:pt idx="2061">
                  <c:v>2.6813853431394419E-2</c:v>
                </c:pt>
                <c:pt idx="2062">
                  <c:v>2.680748099356034E-2</c:v>
                </c:pt>
                <c:pt idx="2063">
                  <c:v>2.6801131578056969E-2</c:v>
                </c:pt>
                <c:pt idx="2064">
                  <c:v>2.6794805184884307E-2</c:v>
                </c:pt>
                <c:pt idx="2065">
                  <c:v>2.6788501813880261E-2</c:v>
                </c:pt>
                <c:pt idx="2066">
                  <c:v>2.678222146528797E-2</c:v>
                </c:pt>
                <c:pt idx="2067">
                  <c:v>2.6775964138945341E-2</c:v>
                </c:pt>
                <c:pt idx="2068">
                  <c:v>2.6769729834852374E-2</c:v>
                </c:pt>
                <c:pt idx="2069">
                  <c:v>2.6763518553171162E-2</c:v>
                </c:pt>
                <c:pt idx="2070">
                  <c:v>2.6757330293658566E-2</c:v>
                </c:pt>
                <c:pt idx="2071">
                  <c:v>2.6751165056557724E-2</c:v>
                </c:pt>
                <c:pt idx="2072">
                  <c:v>2.6745022841625499E-2</c:v>
                </c:pt>
                <c:pt idx="2073">
                  <c:v>2.6738903649105028E-2</c:v>
                </c:pt>
                <c:pt idx="2074">
                  <c:v>2.673280747883422E-2</c:v>
                </c:pt>
                <c:pt idx="2075">
                  <c:v>2.6726734330813073E-2</c:v>
                </c:pt>
                <c:pt idx="2076">
                  <c:v>2.6720684205122636E-2</c:v>
                </c:pt>
                <c:pt idx="2077">
                  <c:v>2.6714657101762906E-2</c:v>
                </c:pt>
                <c:pt idx="2078">
                  <c:v>2.6708653020490747E-2</c:v>
                </c:pt>
                <c:pt idx="2079">
                  <c:v>2.6702671961630342E-2</c:v>
                </c:pt>
                <c:pt idx="2080">
                  <c:v>2.6696713925181692E-2</c:v>
                </c:pt>
                <c:pt idx="2081">
                  <c:v>2.6690778910901658E-2</c:v>
                </c:pt>
                <c:pt idx="2082">
                  <c:v>2.6684866918871286E-2</c:v>
                </c:pt>
                <c:pt idx="2083">
                  <c:v>2.6678977949171623E-2</c:v>
                </c:pt>
                <c:pt idx="2084">
                  <c:v>2.6673112001721622E-2</c:v>
                </c:pt>
                <c:pt idx="2085">
                  <c:v>2.6667269076602329E-2</c:v>
                </c:pt>
                <c:pt idx="2086">
                  <c:v>2.6660619638384508E-2</c:v>
                </c:pt>
                <c:pt idx="2087">
                  <c:v>2.6654826046622615E-2</c:v>
                </c:pt>
                <c:pt idx="2088">
                  <c:v>2.6649055477272476E-2</c:v>
                </c:pt>
                <c:pt idx="2089">
                  <c:v>2.6643307930172E-2</c:v>
                </c:pt>
                <c:pt idx="2090">
                  <c:v>2.6637583405159093E-2</c:v>
                </c:pt>
                <c:pt idx="2091">
                  <c:v>2.6631881902557941E-2</c:v>
                </c:pt>
                <c:pt idx="2092">
                  <c:v>2.6626203422287498E-2</c:v>
                </c:pt>
                <c:pt idx="2093">
                  <c:v>2.662054796418567E-2</c:v>
                </c:pt>
                <c:pt idx="2094">
                  <c:v>2.6614915528333505E-2</c:v>
                </c:pt>
                <c:pt idx="2095">
                  <c:v>2.6609306114731002E-2</c:v>
                </c:pt>
                <c:pt idx="2096">
                  <c:v>2.6603719723540253E-2</c:v>
                </c:pt>
                <c:pt idx="2097">
                  <c:v>2.6598156354518121E-2</c:v>
                </c:pt>
                <c:pt idx="2098">
                  <c:v>2.6592616007745651E-2</c:v>
                </c:pt>
                <c:pt idx="2099">
                  <c:v>2.6587098683303889E-2</c:v>
                </c:pt>
                <c:pt idx="2100">
                  <c:v>2.6581604381030743E-2</c:v>
                </c:pt>
                <c:pt idx="2101">
                  <c:v>2.6578444491367703E-2</c:v>
                </c:pt>
                <c:pt idx="2102">
                  <c:v>2.6570684843395531E-2</c:v>
                </c:pt>
                <c:pt idx="2103">
                  <c:v>2.6565259607952418E-2</c:v>
                </c:pt>
                <c:pt idx="2104">
                  <c:v>2.6559857394840014E-2</c:v>
                </c:pt>
                <c:pt idx="2105">
                  <c:v>2.6554478203815179E-2</c:v>
                </c:pt>
                <c:pt idx="2106">
                  <c:v>2.65491220352021E-2</c:v>
                </c:pt>
                <c:pt idx="2107">
                  <c:v>2.6543788888757636E-2</c:v>
                </c:pt>
                <c:pt idx="2108">
                  <c:v>2.6538478764562834E-2</c:v>
                </c:pt>
                <c:pt idx="2109">
                  <c:v>2.6533191662617694E-2</c:v>
                </c:pt>
                <c:pt idx="2110">
                  <c:v>2.652792758308431E-2</c:v>
                </c:pt>
                <c:pt idx="2111">
                  <c:v>2.6522686525638495E-2</c:v>
                </c:pt>
                <c:pt idx="2112">
                  <c:v>2.6517468490361296E-2</c:v>
                </c:pt>
                <c:pt idx="2113">
                  <c:v>2.6512273477495851E-2</c:v>
                </c:pt>
                <c:pt idx="2114">
                  <c:v>2.6507101486961115E-2</c:v>
                </c:pt>
                <c:pt idx="2115">
                  <c:v>2.6501952518513949E-2</c:v>
                </c:pt>
                <c:pt idx="2116">
                  <c:v>2.6496826572235399E-2</c:v>
                </c:pt>
                <c:pt idx="2117">
                  <c:v>2.6491723648368604E-2</c:v>
                </c:pt>
                <c:pt idx="2118">
                  <c:v>2.648664374675147E-2</c:v>
                </c:pt>
                <c:pt idx="2119">
                  <c:v>2.6481586867221907E-2</c:v>
                </c:pt>
                <c:pt idx="2120">
                  <c:v>2.6476553009942005E-2</c:v>
                </c:pt>
                <c:pt idx="2121">
                  <c:v>2.6471542175073859E-2</c:v>
                </c:pt>
                <c:pt idx="2122">
                  <c:v>2.6466554362374328E-2</c:v>
                </c:pt>
                <c:pt idx="2123">
                  <c:v>2.6461589571843414E-2</c:v>
                </c:pt>
                <c:pt idx="2124">
                  <c:v>2.6456647803643207E-2</c:v>
                </c:pt>
                <c:pt idx="2125">
                  <c:v>2.6451729057611617E-2</c:v>
                </c:pt>
                <c:pt idx="2126">
                  <c:v>2.6446833333910735E-2</c:v>
                </c:pt>
                <c:pt idx="2127">
                  <c:v>2.6441960632297423E-2</c:v>
                </c:pt>
                <c:pt idx="2128">
                  <c:v>2.6437110953095866E-2</c:v>
                </c:pt>
                <c:pt idx="2129">
                  <c:v>2.6432284295981878E-2</c:v>
                </c:pt>
                <c:pt idx="2130">
                  <c:v>2.6427480661117553E-2</c:v>
                </c:pt>
                <c:pt idx="2131">
                  <c:v>2.642270004850289E-2</c:v>
                </c:pt>
                <c:pt idx="2132">
                  <c:v>2.6417942458218935E-2</c:v>
                </c:pt>
                <c:pt idx="2133">
                  <c:v>2.6413207890103596E-2</c:v>
                </c:pt>
                <c:pt idx="2134">
                  <c:v>2.6408496344156873E-2</c:v>
                </c:pt>
                <c:pt idx="2135">
                  <c:v>2.6403807820459813E-2</c:v>
                </c:pt>
                <c:pt idx="2136">
                  <c:v>2.639914231909346E-2</c:v>
                </c:pt>
                <c:pt idx="2137">
                  <c:v>2.6394499839814678E-2</c:v>
                </c:pt>
                <c:pt idx="2138">
                  <c:v>2.6390472794735425E-2</c:v>
                </c:pt>
                <c:pt idx="2139">
                  <c:v>2.6385882274065169E-2</c:v>
                </c:pt>
                <c:pt idx="2140">
                  <c:v>2.6381314779129566E-2</c:v>
                </c:pt>
                <c:pt idx="2141">
                  <c:v>2.6376770309820555E-2</c:v>
                </c:pt>
                <c:pt idx="2142">
                  <c:v>2.6372248866165147E-2</c:v>
                </c:pt>
                <c:pt idx="2143">
                  <c:v>2.6367750448190362E-2</c:v>
                </c:pt>
                <c:pt idx="2144">
                  <c:v>2.6363275055869183E-2</c:v>
                </c:pt>
                <c:pt idx="2145">
                  <c:v>2.6358822689174593E-2</c:v>
                </c:pt>
                <c:pt idx="2146">
                  <c:v>2.6354393348133612E-2</c:v>
                </c:pt>
                <c:pt idx="2147">
                  <c:v>2.6349987032773251E-2</c:v>
                </c:pt>
                <c:pt idx="2148">
                  <c:v>2.6345603743066496E-2</c:v>
                </c:pt>
                <c:pt idx="2149">
                  <c:v>2.634124347898633E-2</c:v>
                </c:pt>
                <c:pt idx="2150">
                  <c:v>2.633690624055977E-2</c:v>
                </c:pt>
                <c:pt idx="2151">
                  <c:v>2.6332592027732787E-2</c:v>
                </c:pt>
                <c:pt idx="2152">
                  <c:v>2.6324570023229521E-2</c:v>
                </c:pt>
                <c:pt idx="2153">
                  <c:v>2.6320312343992569E-2</c:v>
                </c:pt>
                <c:pt idx="2154">
                  <c:v>2.6316077686843187E-2</c:v>
                </c:pt>
                <c:pt idx="2155">
                  <c:v>2.6311866051943467E-2</c:v>
                </c:pt>
                <c:pt idx="2156">
                  <c:v>2.6307677439293409E-2</c:v>
                </c:pt>
                <c:pt idx="2157">
                  <c:v>2.6303511848893013E-2</c:v>
                </c:pt>
                <c:pt idx="2158">
                  <c:v>2.6299369280661233E-2</c:v>
                </c:pt>
                <c:pt idx="2159">
                  <c:v>2.6295249734517023E-2</c:v>
                </c:pt>
                <c:pt idx="2160">
                  <c:v>2.6291153210865614E-2</c:v>
                </c:pt>
                <c:pt idx="2161">
                  <c:v>2.6287079709220729E-2</c:v>
                </c:pt>
                <c:pt idx="2162">
                  <c:v>2.6283029229744459E-2</c:v>
                </c:pt>
                <c:pt idx="2163">
                  <c:v>2.6279001772517852E-2</c:v>
                </c:pt>
                <c:pt idx="2164">
                  <c:v>2.6274997337621953E-2</c:v>
                </c:pt>
                <c:pt idx="2165">
                  <c:v>2.6271015924813623E-2</c:v>
                </c:pt>
                <c:pt idx="2166">
                  <c:v>2.626705753417391E-2</c:v>
                </c:pt>
                <c:pt idx="2167">
                  <c:v>2.6263122165702812E-2</c:v>
                </c:pt>
                <c:pt idx="2168">
                  <c:v>2.6259209819562424E-2</c:v>
                </c:pt>
                <c:pt idx="2169">
                  <c:v>2.6255320495590651E-2</c:v>
                </c:pt>
                <c:pt idx="2170">
                  <c:v>2.6251454193706447E-2</c:v>
                </c:pt>
                <c:pt idx="2171">
                  <c:v>2.6247610914152952E-2</c:v>
                </c:pt>
                <c:pt idx="2172">
                  <c:v>2.6243790656768073E-2</c:v>
                </c:pt>
                <c:pt idx="2173">
                  <c:v>2.6239993421470764E-2</c:v>
                </c:pt>
                <c:pt idx="2174">
                  <c:v>2.6236219208423117E-2</c:v>
                </c:pt>
                <c:pt idx="2175">
                  <c:v>2.6232468017706179E-2</c:v>
                </c:pt>
                <c:pt idx="2176">
                  <c:v>2.6228739849157856E-2</c:v>
                </c:pt>
                <c:pt idx="2177">
                  <c:v>2.6225034702616057E-2</c:v>
                </c:pt>
                <c:pt idx="2178">
                  <c:v>2.6221352578404966E-2</c:v>
                </c:pt>
                <c:pt idx="2179">
                  <c:v>2.6217693476443538E-2</c:v>
                </c:pt>
                <c:pt idx="2180">
                  <c:v>2.6214057396569679E-2</c:v>
                </c:pt>
                <c:pt idx="2181">
                  <c:v>2.6210444338864436E-2</c:v>
                </c:pt>
                <c:pt idx="2182">
                  <c:v>2.6206854303408855E-2</c:v>
                </c:pt>
                <c:pt idx="2183">
                  <c:v>2.6203287290202937E-2</c:v>
                </c:pt>
                <c:pt idx="2184">
                  <c:v>2.6199743299084588E-2</c:v>
                </c:pt>
                <c:pt idx="2185">
                  <c:v>2.6196222330134855E-2</c:v>
                </c:pt>
                <c:pt idx="2186">
                  <c:v>2.6192724383434784E-2</c:v>
                </c:pt>
                <c:pt idx="2187">
                  <c:v>2.6189249458984376E-2</c:v>
                </c:pt>
                <c:pt idx="2188">
                  <c:v>2.6185797556540491E-2</c:v>
                </c:pt>
                <c:pt idx="2189">
                  <c:v>2.6182368676427314E-2</c:v>
                </c:pt>
                <c:pt idx="2190">
                  <c:v>2.6178962818482754E-2</c:v>
                </c:pt>
                <c:pt idx="2191">
                  <c:v>2.6175579982706809E-2</c:v>
                </c:pt>
                <c:pt idx="2192">
                  <c:v>2.617222016909948E-2</c:v>
                </c:pt>
                <c:pt idx="2193">
                  <c:v>2.6168883377741814E-2</c:v>
                </c:pt>
                <c:pt idx="2194">
                  <c:v>2.6165569608471717E-2</c:v>
                </c:pt>
                <c:pt idx="2195">
                  <c:v>2.6162278861370236E-2</c:v>
                </c:pt>
                <c:pt idx="2196">
                  <c:v>2.6159011136518417E-2</c:v>
                </c:pt>
                <c:pt idx="2197">
                  <c:v>2.6155766433916261E-2</c:v>
                </c:pt>
                <c:pt idx="2198">
                  <c:v>2.6152544753401674E-2</c:v>
                </c:pt>
                <c:pt idx="2199">
                  <c:v>2.6149346094893611E-2</c:v>
                </c:pt>
                <c:pt idx="2200">
                  <c:v>2.6146170458878348E-2</c:v>
                </c:pt>
                <c:pt idx="2201">
                  <c:v>2.6143017844950656E-2</c:v>
                </c:pt>
                <c:pt idx="2202">
                  <c:v>2.6139888253029486E-2</c:v>
                </c:pt>
                <c:pt idx="2203">
                  <c:v>2.6136781683439025E-2</c:v>
                </c:pt>
                <c:pt idx="2204">
                  <c:v>2.6133698136098227E-2</c:v>
                </c:pt>
                <c:pt idx="2205">
                  <c:v>2.6130637610844998E-2</c:v>
                </c:pt>
                <c:pt idx="2206">
                  <c:v>2.6127600107679338E-2</c:v>
                </c:pt>
                <c:pt idx="2207">
                  <c:v>2.6124585626844388E-2</c:v>
                </c:pt>
                <c:pt idx="2208">
                  <c:v>2.612159416801596E-2</c:v>
                </c:pt>
                <c:pt idx="2209">
                  <c:v>2.6118625731518241E-2</c:v>
                </c:pt>
                <c:pt idx="2210">
                  <c:v>2.6115680317108092E-2</c:v>
                </c:pt>
                <c:pt idx="2211">
                  <c:v>2.6112757924947605E-2</c:v>
                </c:pt>
                <c:pt idx="2212">
                  <c:v>2.6109858554955734E-2</c:v>
                </c:pt>
                <c:pt idx="2213">
                  <c:v>2.6106982206970386E-2</c:v>
                </c:pt>
                <c:pt idx="2214">
                  <c:v>2.6104128881153654E-2</c:v>
                </c:pt>
                <c:pt idx="2215">
                  <c:v>2.6101298577829724E-2</c:v>
                </c:pt>
                <c:pt idx="2216">
                  <c:v>2.6098491296350224E-2</c:v>
                </c:pt>
                <c:pt idx="2217">
                  <c:v>2.6095707037120386E-2</c:v>
                </c:pt>
                <c:pt idx="2218">
                  <c:v>2.6092945800221257E-2</c:v>
                </c:pt>
                <c:pt idx="2219">
                  <c:v>2.6090207585247605E-2</c:v>
                </c:pt>
                <c:pt idx="2220">
                  <c:v>2.6087492392604661E-2</c:v>
                </c:pt>
                <c:pt idx="2221">
                  <c:v>2.6084800222049287E-2</c:v>
                </c:pt>
                <c:pt idx="2222">
                  <c:v>2.6082131073743575E-2</c:v>
                </c:pt>
                <c:pt idx="2223">
                  <c:v>2.6079484947606479E-2</c:v>
                </c:pt>
                <c:pt idx="2224">
                  <c:v>2.6076861843475907E-2</c:v>
                </c:pt>
                <c:pt idx="2225">
                  <c:v>2.6074261761757089E-2</c:v>
                </c:pt>
                <c:pt idx="2226">
                  <c:v>2.6071684702125841E-2</c:v>
                </c:pt>
                <c:pt idx="2227">
                  <c:v>2.6069130664582163E-2</c:v>
                </c:pt>
                <c:pt idx="2228">
                  <c:v>2.6066599649045008E-2</c:v>
                </c:pt>
                <c:pt idx="2229">
                  <c:v>2.6064091655919608E-2</c:v>
                </c:pt>
                <c:pt idx="2230">
                  <c:v>2.6061606684881777E-2</c:v>
                </c:pt>
                <c:pt idx="2231">
                  <c:v>2.6059144736012563E-2</c:v>
                </c:pt>
                <c:pt idx="2232">
                  <c:v>2.6056705809230918E-2</c:v>
                </c:pt>
                <c:pt idx="2233">
                  <c:v>2.6054289904698935E-2</c:v>
                </c:pt>
                <c:pt idx="2234">
                  <c:v>2.6051897022416615E-2</c:v>
                </c:pt>
                <c:pt idx="2235">
                  <c:v>2.6049527162059771E-2</c:v>
                </c:pt>
                <c:pt idx="2236">
                  <c:v>2.6047180324033636E-2</c:v>
                </c:pt>
                <c:pt idx="2237">
                  <c:v>2.6044856508176117E-2</c:v>
                </c:pt>
                <c:pt idx="2238">
                  <c:v>2.6042555714406168E-2</c:v>
                </c:pt>
                <c:pt idx="2239">
                  <c:v>2.6040277942804835E-2</c:v>
                </c:pt>
                <c:pt idx="2240">
                  <c:v>2.6038023193453164E-2</c:v>
                </c:pt>
                <c:pt idx="2241">
                  <c:v>2.6035791466108016E-2</c:v>
                </c:pt>
                <c:pt idx="2242">
                  <c:v>2.6033269111014334E-2</c:v>
                </c:pt>
                <c:pt idx="2243">
                  <c:v>2.6031086717026586E-2</c:v>
                </c:pt>
                <c:pt idx="2244">
                  <c:v>2.6028927345045361E-2</c:v>
                </c:pt>
                <c:pt idx="2245">
                  <c:v>2.6026790995313798E-2</c:v>
                </c:pt>
                <c:pt idx="2246">
                  <c:v>2.6024677667669804E-2</c:v>
                </c:pt>
                <c:pt idx="2247">
                  <c:v>2.6022587362194427E-2</c:v>
                </c:pt>
                <c:pt idx="2248">
                  <c:v>2.6020520078806619E-2</c:v>
                </c:pt>
                <c:pt idx="2249">
                  <c:v>2.601847581774952E-2</c:v>
                </c:pt>
                <c:pt idx="2250">
                  <c:v>2.6016454578779991E-2</c:v>
                </c:pt>
                <c:pt idx="2251">
                  <c:v>2.6014456361898031E-2</c:v>
                </c:pt>
                <c:pt idx="2252">
                  <c:v>2.6012481167265733E-2</c:v>
                </c:pt>
                <c:pt idx="2253">
                  <c:v>2.6010528994721005E-2</c:v>
                </c:pt>
                <c:pt idx="2254">
                  <c:v>2.6008599844263847E-2</c:v>
                </c:pt>
                <c:pt idx="2255">
                  <c:v>2.600669371605635E-2</c:v>
                </c:pt>
                <c:pt idx="2256">
                  <c:v>2.600481061001747E-2</c:v>
                </c:pt>
                <c:pt idx="2257">
                  <c:v>2.6002950526147206E-2</c:v>
                </c:pt>
                <c:pt idx="2258">
                  <c:v>2.6001113464283465E-2</c:v>
                </c:pt>
                <c:pt idx="2259">
                  <c:v>2.5999299424750433E-2</c:v>
                </c:pt>
                <c:pt idx="2260">
                  <c:v>2.5997508407223924E-2</c:v>
                </c:pt>
                <c:pt idx="2261">
                  <c:v>2.5995740412028123E-2</c:v>
                </c:pt>
                <c:pt idx="2262">
                  <c:v>2.59939954387578E-2</c:v>
                </c:pt>
                <c:pt idx="2263">
                  <c:v>2.5992273487737139E-2</c:v>
                </c:pt>
                <c:pt idx="2264">
                  <c:v>2.5990574558885093E-2</c:v>
                </c:pt>
                <c:pt idx="2265">
                  <c:v>2.5988898652039572E-2</c:v>
                </c:pt>
                <c:pt idx="2266">
                  <c:v>2.5987245767524758E-2</c:v>
                </c:pt>
                <c:pt idx="2267">
                  <c:v>2.5985615905097514E-2</c:v>
                </c:pt>
                <c:pt idx="2268">
                  <c:v>2.5984009064919933E-2</c:v>
                </c:pt>
                <c:pt idx="2269">
                  <c:v>2.5982425246667828E-2</c:v>
                </c:pt>
                <c:pt idx="2270">
                  <c:v>2.5980864450827479E-2</c:v>
                </c:pt>
                <c:pt idx="2271">
                  <c:v>2.5979326676912606E-2</c:v>
                </c:pt>
                <c:pt idx="2272">
                  <c:v>2.5977811925247396E-2</c:v>
                </c:pt>
                <c:pt idx="2273">
                  <c:v>2.5976320195669755E-2</c:v>
                </c:pt>
                <c:pt idx="2274">
                  <c:v>2.5974851488341777E-2</c:v>
                </c:pt>
                <c:pt idx="2275">
                  <c:v>2.5973405803101368E-2</c:v>
                </c:pt>
                <c:pt idx="2276">
                  <c:v>2.5971983139948529E-2</c:v>
                </c:pt>
                <c:pt idx="2277">
                  <c:v>2.5970583498964306E-2</c:v>
                </c:pt>
                <c:pt idx="2278">
                  <c:v>2.5969206880148699E-2</c:v>
                </c:pt>
                <c:pt idx="2279">
                  <c:v>2.5967853283501707E-2</c:v>
                </c:pt>
                <c:pt idx="2280">
                  <c:v>2.5966522708942286E-2</c:v>
                </c:pt>
                <c:pt idx="2281">
                  <c:v>2.5965215156632526E-2</c:v>
                </c:pt>
                <c:pt idx="2282">
                  <c:v>2.5963930626410336E-2</c:v>
                </c:pt>
                <c:pt idx="2283">
                  <c:v>2.5962669118275716E-2</c:v>
                </c:pt>
                <c:pt idx="2284">
                  <c:v>2.5961430632309712E-2</c:v>
                </c:pt>
                <c:pt idx="2285">
                  <c:v>2.596021516859337E-2</c:v>
                </c:pt>
                <c:pt idx="2286">
                  <c:v>2.5959022726883552E-2</c:v>
                </c:pt>
                <c:pt idx="2287">
                  <c:v>2.5957853307342349E-2</c:v>
                </c:pt>
                <c:pt idx="2288">
                  <c:v>2.5956706910050809E-2</c:v>
                </c:pt>
                <c:pt idx="2289">
                  <c:v>2.5955583534765791E-2</c:v>
                </c:pt>
                <c:pt idx="2290">
                  <c:v>2.5954483181730437E-2</c:v>
                </c:pt>
                <c:pt idx="2291">
                  <c:v>2.5953405850701605E-2</c:v>
                </c:pt>
                <c:pt idx="2292">
                  <c:v>2.5952351541922436E-2</c:v>
                </c:pt>
                <c:pt idx="2293">
                  <c:v>2.5951320255311883E-2</c:v>
                </c:pt>
                <c:pt idx="2294">
                  <c:v>2.5950311990626806E-2</c:v>
                </c:pt>
                <c:pt idx="2295">
                  <c:v>2.5949326748272439E-2</c:v>
                </c:pt>
                <c:pt idx="2296">
                  <c:v>2.5948364528167733E-2</c:v>
                </c:pt>
                <c:pt idx="2297">
                  <c:v>2.5947425329988505E-2</c:v>
                </c:pt>
                <c:pt idx="2298">
                  <c:v>2.5946509153977892E-2</c:v>
                </c:pt>
                <c:pt idx="2299">
                  <c:v>2.5945616000216942E-2</c:v>
                </c:pt>
                <c:pt idx="2300">
                  <c:v>2.5944745868543562E-2</c:v>
                </c:pt>
                <c:pt idx="2301">
                  <c:v>2.5943898758957751E-2</c:v>
                </c:pt>
                <c:pt idx="2302">
                  <c:v>2.5943074671540556E-2</c:v>
                </c:pt>
                <c:pt idx="2303">
                  <c:v>2.5942273606373023E-2</c:v>
                </c:pt>
                <c:pt idx="2304">
                  <c:v>2.594149556329306E-2</c:v>
                </c:pt>
                <c:pt idx="2305">
                  <c:v>2.594074054221962E-2</c:v>
                </c:pt>
                <c:pt idx="2306">
                  <c:v>2.5940008543476889E-2</c:v>
                </c:pt>
                <c:pt idx="2307">
                  <c:v>2.5939299566740681E-2</c:v>
                </c:pt>
                <c:pt idx="2308">
                  <c:v>2.5938613612254136E-2</c:v>
                </c:pt>
                <c:pt idx="2309">
                  <c:v>2.5937950679774113E-2</c:v>
                </c:pt>
                <c:pt idx="2310">
                  <c:v>2.5937310769462707E-2</c:v>
                </c:pt>
                <c:pt idx="2311">
                  <c:v>2.5936693881400963E-2</c:v>
                </c:pt>
                <c:pt idx="2312">
                  <c:v>2.5936100015345742E-2</c:v>
                </c:pt>
                <c:pt idx="2313">
                  <c:v>2.5935529171378091E-2</c:v>
                </c:pt>
                <c:pt idx="2314">
                  <c:v>2.5934981349822195E-2</c:v>
                </c:pt>
                <c:pt idx="2315">
                  <c:v>2.5934456550191776E-2</c:v>
                </c:pt>
                <c:pt idx="2316">
                  <c:v>2.5933954772648926E-2</c:v>
                </c:pt>
                <c:pt idx="2317">
                  <c:v>2.5933476017436785E-2</c:v>
                </c:pt>
                <c:pt idx="2318">
                  <c:v>2.5933020284312214E-2</c:v>
                </c:pt>
                <c:pt idx="2319">
                  <c:v>2.5932587573113119E-2</c:v>
                </c:pt>
                <c:pt idx="2320">
                  <c:v>2.5932177884244734E-2</c:v>
                </c:pt>
                <c:pt idx="2321">
                  <c:v>2.593179121762601E-2</c:v>
                </c:pt>
                <c:pt idx="2322">
                  <c:v>2.5931427572932764E-2</c:v>
                </c:pt>
                <c:pt idx="2323">
                  <c:v>2.5931086950408133E-2</c:v>
                </c:pt>
                <c:pt idx="2324">
                  <c:v>2.5930769350133165E-2</c:v>
                </c:pt>
                <c:pt idx="2325">
                  <c:v>2.5930474771945766E-2</c:v>
                </c:pt>
                <c:pt idx="2326">
                  <c:v>2.5930203215764891E-2</c:v>
                </c:pt>
                <c:pt idx="2327">
                  <c:v>2.5929954681833678E-2</c:v>
                </c:pt>
                <c:pt idx="2328">
                  <c:v>2.5929729170071081E-2</c:v>
                </c:pt>
                <c:pt idx="2329">
                  <c:v>2.59295266804771E-2</c:v>
                </c:pt>
                <c:pt idx="2330">
                  <c:v>2.5929347212889642E-2</c:v>
                </c:pt>
                <c:pt idx="2331">
                  <c:v>2.5929190767551846E-2</c:v>
                </c:pt>
                <c:pt idx="2332">
                  <c:v>2.592905734430162E-2</c:v>
                </c:pt>
                <c:pt idx="2333">
                  <c:v>2.5928946943301057E-2</c:v>
                </c:pt>
                <c:pt idx="2334">
                  <c:v>2.5928859564144924E-2</c:v>
                </c:pt>
                <c:pt idx="2335">
                  <c:v>2.5928795207481592E-2</c:v>
                </c:pt>
                <c:pt idx="2336">
                  <c:v>2.5928753872743737E-2</c:v>
                </c:pt>
                <c:pt idx="2337">
                  <c:v>2.5928735560174498E-2</c:v>
                </c:pt>
                <c:pt idx="2338">
                  <c:v>2.5928740269692829E-2</c:v>
                </c:pt>
                <c:pt idx="2339">
                  <c:v>2.5928768001379776E-2</c:v>
                </c:pt>
                <c:pt idx="2340">
                  <c:v>2.5928818755316385E-2</c:v>
                </c:pt>
                <c:pt idx="2341">
                  <c:v>2.5928892531259518E-2</c:v>
                </c:pt>
                <c:pt idx="2342">
                  <c:v>2.592898932929022E-2</c:v>
                </c:pt>
                <c:pt idx="2343">
                  <c:v>2.592910914965163E-2</c:v>
                </c:pt>
                <c:pt idx="2344">
                  <c:v>2.5929251992019564E-2</c:v>
                </c:pt>
                <c:pt idx="2345">
                  <c:v>2.5929417856556114E-2</c:v>
                </c:pt>
                <c:pt idx="2346">
                  <c:v>2.592960674326128E-2</c:v>
                </c:pt>
                <c:pt idx="2347">
                  <c:v>2.5929818652135062E-2</c:v>
                </c:pt>
                <c:pt idx="2348">
                  <c:v>2.5930053583015367E-2</c:v>
                </c:pt>
                <c:pt idx="2349">
                  <c:v>2.5930311536145334E-2</c:v>
                </c:pt>
                <c:pt idx="2350">
                  <c:v>2.5930592511524964E-2</c:v>
                </c:pt>
                <c:pt idx="2351">
                  <c:v>2.593089650883007E-2</c:v>
                </c:pt>
                <c:pt idx="2352">
                  <c:v>2.5931223528222747E-2</c:v>
                </c:pt>
                <c:pt idx="2353">
                  <c:v>2.5931573569865085E-2</c:v>
                </c:pt>
                <c:pt idx="2354">
                  <c:v>2.5931946633757086E-2</c:v>
                </c:pt>
                <c:pt idx="2355">
                  <c:v>2.593234271965561E-2</c:v>
                </c:pt>
                <c:pt idx="2356">
                  <c:v>2.5932761827641704E-2</c:v>
                </c:pt>
                <c:pt idx="2357">
                  <c:v>2.593320395787746E-2</c:v>
                </c:pt>
                <c:pt idx="2358">
                  <c:v>2.5933669110200785E-2</c:v>
                </c:pt>
                <c:pt idx="2359">
                  <c:v>2.5934157284611681E-2</c:v>
                </c:pt>
                <c:pt idx="2360">
                  <c:v>2.5934668481191192E-2</c:v>
                </c:pt>
                <c:pt idx="2361">
                  <c:v>2.5935202700020366E-2</c:v>
                </c:pt>
                <c:pt idx="2362">
                  <c:v>2.5935759940937109E-2</c:v>
                </c:pt>
                <c:pt idx="2363">
                  <c:v>2.5936340203941421E-2</c:v>
                </c:pt>
                <c:pt idx="2364">
                  <c:v>2.593694348911435E-2</c:v>
                </c:pt>
                <c:pt idx="2365">
                  <c:v>2.5937569796455895E-2</c:v>
                </c:pt>
                <c:pt idx="2366">
                  <c:v>2.5938219125803963E-2</c:v>
                </c:pt>
                <c:pt idx="2367">
                  <c:v>2.5938891477320647E-2</c:v>
                </c:pt>
                <c:pt idx="2368">
                  <c:v>2.5939586851086993E-2</c:v>
                </c:pt>
                <c:pt idx="2369">
                  <c:v>2.5940305246940909E-2</c:v>
                </c:pt>
                <c:pt idx="2370">
                  <c:v>2.5941046664963441E-2</c:v>
                </c:pt>
                <c:pt idx="2371">
                  <c:v>2.5941811105154589E-2</c:v>
                </c:pt>
                <c:pt idx="2372">
                  <c:v>2.594259856735226E-2</c:v>
                </c:pt>
                <c:pt idx="2373">
                  <c:v>2.5943409051880639E-2</c:v>
                </c:pt>
                <c:pt idx="2374">
                  <c:v>2.5944242558334496E-2</c:v>
                </c:pt>
                <c:pt idx="2375">
                  <c:v>2.5945099087038015E-2</c:v>
                </c:pt>
                <c:pt idx="2376">
                  <c:v>2.594597863791015E-2</c:v>
                </c:pt>
                <c:pt idx="2377">
                  <c:v>2.5946881210788808E-2</c:v>
                </c:pt>
                <c:pt idx="2378">
                  <c:v>2.5947806805998175E-2</c:v>
                </c:pt>
                <c:pt idx="2379">
                  <c:v>2.5948755423295111E-2</c:v>
                </c:pt>
                <c:pt idx="2380">
                  <c:v>2.5949727062679617E-2</c:v>
                </c:pt>
                <c:pt idx="2381">
                  <c:v>2.5950721724151693E-2</c:v>
                </c:pt>
                <c:pt idx="2382">
                  <c:v>2.5951739407792385E-2</c:v>
                </c:pt>
                <c:pt idx="2383">
                  <c:v>2.5952780113763785E-2</c:v>
                </c:pt>
                <c:pt idx="2384">
                  <c:v>2.5953843841660662E-2</c:v>
                </c:pt>
                <c:pt idx="2385">
                  <c:v>2.5954930591726155E-2</c:v>
                </c:pt>
                <c:pt idx="2386">
                  <c:v>2.5956040363960264E-2</c:v>
                </c:pt>
                <c:pt idx="2387">
                  <c:v>2.5957173158444036E-2</c:v>
                </c:pt>
                <c:pt idx="2388">
                  <c:v>2.595832897493433E-2</c:v>
                </c:pt>
                <c:pt idx="2389">
                  <c:v>2.5959507813593241E-2</c:v>
                </c:pt>
                <c:pt idx="2390">
                  <c:v>2.5960709674501814E-2</c:v>
                </c:pt>
                <c:pt idx="2391">
                  <c:v>2.5961934557335864E-2</c:v>
                </c:pt>
                <c:pt idx="2392">
                  <c:v>2.5963182462500622E-2</c:v>
                </c:pt>
                <c:pt idx="2393">
                  <c:v>2.5964453389752951E-2</c:v>
                </c:pt>
                <c:pt idx="2394">
                  <c:v>2.5965747339092848E-2</c:v>
                </c:pt>
                <c:pt idx="2395">
                  <c:v>2.5967064310682408E-2</c:v>
                </c:pt>
                <c:pt idx="2396">
                  <c:v>2.5968404304359538E-2</c:v>
                </c:pt>
                <c:pt idx="2397">
                  <c:v>2.5969767320205284E-2</c:v>
                </c:pt>
                <c:pt idx="2398">
                  <c:v>2.5973602655467259E-2</c:v>
                </c:pt>
                <c:pt idx="2399">
                  <c:v>2.5975021784191792E-2</c:v>
                </c:pt>
                <c:pt idx="2400">
                  <c:v>2.597646393829978E-2</c:v>
                </c:pt>
                <c:pt idx="2401">
                  <c:v>2.5977929117872261E-2</c:v>
                </c:pt>
                <c:pt idx="2402">
                  <c:v>2.5979417322882229E-2</c:v>
                </c:pt>
                <c:pt idx="2403">
                  <c:v>2.5980928553329678E-2</c:v>
                </c:pt>
                <c:pt idx="2404">
                  <c:v>2.5982462809187593E-2</c:v>
                </c:pt>
                <c:pt idx="2405">
                  <c:v>2.5984020090482989E-2</c:v>
                </c:pt>
                <c:pt idx="2406">
                  <c:v>2.5985600397242885E-2</c:v>
                </c:pt>
                <c:pt idx="2407">
                  <c:v>2.5987203729413249E-2</c:v>
                </c:pt>
                <c:pt idx="2408">
                  <c:v>2.5988830087075126E-2</c:v>
                </c:pt>
                <c:pt idx="2409">
                  <c:v>2.5990479470120457E-2</c:v>
                </c:pt>
                <c:pt idx="2410">
                  <c:v>2.5992151878630281E-2</c:v>
                </c:pt>
                <c:pt idx="2411">
                  <c:v>2.5993847312604606E-2</c:v>
                </c:pt>
                <c:pt idx="2412">
                  <c:v>2.5994457837290597E-2</c:v>
                </c:pt>
                <c:pt idx="2413">
                  <c:v>2.5996208940820553E-2</c:v>
                </c:pt>
                <c:pt idx="2414">
                  <c:v>2.599798306643808E-2</c:v>
                </c:pt>
                <c:pt idx="2415">
                  <c:v>2.5999780214062129E-2</c:v>
                </c:pt>
                <c:pt idx="2416">
                  <c:v>2.6001600384097934E-2</c:v>
                </c:pt>
                <c:pt idx="2417">
                  <c:v>2.6003443576140262E-2</c:v>
                </c:pt>
                <c:pt idx="2418">
                  <c:v>2.6005309790189113E-2</c:v>
                </c:pt>
                <c:pt idx="2419">
                  <c:v>2.6007199026649719E-2</c:v>
                </c:pt>
                <c:pt idx="2420">
                  <c:v>2.6009111285197895E-2</c:v>
                </c:pt>
                <c:pt idx="2421">
                  <c:v>2.601104656583364E-2</c:v>
                </c:pt>
                <c:pt idx="2422">
                  <c:v>2.6013004868638001E-2</c:v>
                </c:pt>
                <c:pt idx="2423">
                  <c:v>2.6014986193610978E-2</c:v>
                </c:pt>
                <c:pt idx="2424">
                  <c:v>2.6016990540752571E-2</c:v>
                </c:pt>
                <c:pt idx="2425">
                  <c:v>2.6019017909981734E-2</c:v>
                </c:pt>
                <c:pt idx="2426">
                  <c:v>2.6021068301460559E-2</c:v>
                </c:pt>
                <c:pt idx="2427">
                  <c:v>2.6023141715026954E-2</c:v>
                </c:pt>
                <c:pt idx="2428">
                  <c:v>2.6025238150843011E-2</c:v>
                </c:pt>
                <c:pt idx="2429">
                  <c:v>2.6027357608665591E-2</c:v>
                </c:pt>
                <c:pt idx="2430">
                  <c:v>2.6029500088737834E-2</c:v>
                </c:pt>
                <c:pt idx="2431">
                  <c:v>2.6031665590978692E-2</c:v>
                </c:pt>
                <c:pt idx="2432">
                  <c:v>2.6033854115388166E-2</c:v>
                </c:pt>
                <c:pt idx="2433">
                  <c:v>2.6036065661804164E-2</c:v>
                </c:pt>
                <c:pt idx="2434">
                  <c:v>2.603830023055087E-2</c:v>
                </c:pt>
                <c:pt idx="2435">
                  <c:v>2.6040557821385146E-2</c:v>
                </c:pt>
                <c:pt idx="2436">
                  <c:v>2.6042838434388038E-2</c:v>
                </c:pt>
                <c:pt idx="2437">
                  <c:v>2.60451420694785E-2</c:v>
                </c:pt>
                <c:pt idx="2438">
                  <c:v>2.604746872689967E-2</c:v>
                </c:pt>
                <c:pt idx="2439">
                  <c:v>2.6049818406408409E-2</c:v>
                </c:pt>
                <c:pt idx="2440">
                  <c:v>2.6052191108004719E-2</c:v>
                </c:pt>
                <c:pt idx="2441">
                  <c:v>2.605458683185069E-2</c:v>
                </c:pt>
                <c:pt idx="2442">
                  <c:v>2.6057005577784231E-2</c:v>
                </c:pt>
                <c:pt idx="2443">
                  <c:v>2.6059447345886388E-2</c:v>
                </c:pt>
                <c:pt idx="2444">
                  <c:v>2.6061912136076115E-2</c:v>
                </c:pt>
                <c:pt idx="2445">
                  <c:v>2.6064399948596551E-2</c:v>
                </c:pt>
                <c:pt idx="2446">
                  <c:v>2.6066910783204555E-2</c:v>
                </c:pt>
                <c:pt idx="2447">
                  <c:v>2.6069444639981176E-2</c:v>
                </c:pt>
                <c:pt idx="2448">
                  <c:v>2.6072001518845367E-2</c:v>
                </c:pt>
                <c:pt idx="2449">
                  <c:v>2.607458141995922E-2</c:v>
                </c:pt>
                <c:pt idx="2450">
                  <c:v>2.6077184343403781E-2</c:v>
                </c:pt>
                <c:pt idx="2451">
                  <c:v>2.6079810288611727E-2</c:v>
                </c:pt>
                <c:pt idx="2452">
                  <c:v>2.608245925639352E-2</c:v>
                </c:pt>
                <c:pt idx="2453">
                  <c:v>2.6085131246019744E-2</c:v>
                </c:pt>
                <c:pt idx="2454">
                  <c:v>2.608782625789563E-2</c:v>
                </c:pt>
                <c:pt idx="2455">
                  <c:v>2.6090544292021178E-2</c:v>
                </c:pt>
                <c:pt idx="2456">
                  <c:v>2.6093285348315343E-2</c:v>
                </c:pt>
                <c:pt idx="2457">
                  <c:v>2.6096049426778123E-2</c:v>
                </c:pt>
                <c:pt idx="2458">
                  <c:v>2.6098836527328473E-2</c:v>
                </c:pt>
                <c:pt idx="2459">
                  <c:v>2.6101646650209531E-2</c:v>
                </c:pt>
                <c:pt idx="2460">
                  <c:v>2.6104479795097113E-2</c:v>
                </c:pt>
                <c:pt idx="2461">
                  <c:v>2.6107335962315403E-2</c:v>
                </c:pt>
                <c:pt idx="2462">
                  <c:v>2.6110215151459171E-2</c:v>
                </c:pt>
                <c:pt idx="2463">
                  <c:v>2.6113117363014693E-2</c:v>
                </c:pt>
                <c:pt idx="2464">
                  <c:v>2.6116042596576738E-2</c:v>
                </c:pt>
                <c:pt idx="2465">
                  <c:v>2.61189908523074E-2</c:v>
                </c:pt>
                <c:pt idx="2466">
                  <c:v>2.6121962130287724E-2</c:v>
                </c:pt>
                <c:pt idx="2467">
                  <c:v>2.6124956430598756E-2</c:v>
                </c:pt>
                <c:pt idx="2468">
                  <c:v>2.6127973752835265E-2</c:v>
                </c:pt>
                <c:pt idx="2469">
                  <c:v>2.6131014097321437E-2</c:v>
                </c:pt>
                <c:pt idx="2470">
                  <c:v>2.6134077463976224E-2</c:v>
                </c:pt>
                <c:pt idx="2471">
                  <c:v>2.6137163852880674E-2</c:v>
                </c:pt>
                <c:pt idx="2472">
                  <c:v>2.6140273263872693E-2</c:v>
                </c:pt>
                <c:pt idx="2473">
                  <c:v>2.6143405697033328E-2</c:v>
                </c:pt>
                <c:pt idx="2474">
                  <c:v>2.6146561152443626E-2</c:v>
                </c:pt>
                <c:pt idx="2475">
                  <c:v>2.6149739629941493E-2</c:v>
                </c:pt>
                <c:pt idx="2476">
                  <c:v>2.6152941129689022E-2</c:v>
                </c:pt>
                <c:pt idx="2477">
                  <c:v>2.6156165651686214E-2</c:v>
                </c:pt>
                <c:pt idx="2478">
                  <c:v>2.6159413195770975E-2</c:v>
                </c:pt>
                <c:pt idx="2479">
                  <c:v>2.6162683762105399E-2</c:v>
                </c:pt>
                <c:pt idx="2480">
                  <c:v>2.6165977350527392E-2</c:v>
                </c:pt>
                <c:pt idx="2481">
                  <c:v>2.6169293961199047E-2</c:v>
                </c:pt>
                <c:pt idx="2482">
                  <c:v>2.6172633593958272E-2</c:v>
                </c:pt>
                <c:pt idx="2483">
                  <c:v>2.6175996248886113E-2</c:v>
                </c:pt>
                <c:pt idx="2484">
                  <c:v>2.6179381926225709E-2</c:v>
                </c:pt>
                <c:pt idx="2485">
                  <c:v>2.6182790625571828E-2</c:v>
                </c:pt>
                <c:pt idx="2486">
                  <c:v>2.6186222347167609E-2</c:v>
                </c:pt>
                <c:pt idx="2487">
                  <c:v>2.6189677090769914E-2</c:v>
                </c:pt>
                <c:pt idx="2488">
                  <c:v>2.619315485686502E-2</c:v>
                </c:pt>
                <c:pt idx="2489">
                  <c:v>2.6196655644885602E-2</c:v>
                </c:pt>
                <c:pt idx="2490">
                  <c:v>2.6200179455236894E-2</c:v>
                </c:pt>
                <c:pt idx="2491">
                  <c:v>2.6203716776165287E-2</c:v>
                </c:pt>
                <c:pt idx="2492">
                  <c:v>2.6207255175333399E-2</c:v>
                </c:pt>
                <c:pt idx="2493">
                  <c:v>2.6210794577530283E-2</c:v>
                </c:pt>
                <c:pt idx="2494">
                  <c:v>2.6214334983242216E-2</c:v>
                </c:pt>
                <c:pt idx="2495">
                  <c:v>2.6217876392063966E-2</c:v>
                </c:pt>
                <c:pt idx="2496">
                  <c:v>2.6221418804238672E-2</c:v>
                </c:pt>
                <c:pt idx="2497">
                  <c:v>2.6224962219766335E-2</c:v>
                </c:pt>
                <c:pt idx="2498">
                  <c:v>2.6228506638403815E-2</c:v>
                </c:pt>
                <c:pt idx="2499">
                  <c:v>2.6232052060475297E-2</c:v>
                </c:pt>
                <c:pt idx="2500">
                  <c:v>2.6235598485737643E-2</c:v>
                </c:pt>
                <c:pt idx="2501">
                  <c:v>2.6239145914190853E-2</c:v>
                </c:pt>
                <c:pt idx="2502">
                  <c:v>2.6242694345915973E-2</c:v>
                </c:pt>
                <c:pt idx="2503">
                  <c:v>2.6246243781156142E-2</c:v>
                </c:pt>
                <c:pt idx="2504">
                  <c:v>2.6249794219425082E-2</c:v>
                </c:pt>
                <c:pt idx="2505">
                  <c:v>2.6253345660884886E-2</c:v>
                </c:pt>
                <c:pt idx="2506">
                  <c:v>2.6256898105859738E-2</c:v>
                </c:pt>
                <c:pt idx="2507">
                  <c:v>2.6260451554025455E-2</c:v>
                </c:pt>
                <c:pt idx="2508">
                  <c:v>2.6264006005382035E-2</c:v>
                </c:pt>
                <c:pt idx="2509">
                  <c:v>2.6267561460010524E-2</c:v>
                </c:pt>
                <c:pt idx="2510">
                  <c:v>2.6271117918073017E-2</c:v>
                </c:pt>
                <c:pt idx="2511">
                  <c:v>2.6274675379326373E-2</c:v>
                </c:pt>
                <c:pt idx="2512">
                  <c:v>2.6278233843608501E-2</c:v>
                </c:pt>
                <c:pt idx="2513">
                  <c:v>2.6281793311486723E-2</c:v>
                </c:pt>
                <c:pt idx="2514">
                  <c:v>2.6285353782555809E-2</c:v>
                </c:pt>
                <c:pt idx="2515">
                  <c:v>2.6288915256734713E-2</c:v>
                </c:pt>
                <c:pt idx="2516">
                  <c:v>2.6292477734347619E-2</c:v>
                </c:pt>
                <c:pt idx="2517">
                  <c:v>2.6296041215232435E-2</c:v>
                </c:pt>
                <c:pt idx="2518">
                  <c:v>2.6299605699308115E-2</c:v>
                </c:pt>
                <c:pt idx="2519">
                  <c:v>2.6303171186655705E-2</c:v>
                </c:pt>
                <c:pt idx="2520">
                  <c:v>2.6306737677356251E-2</c:v>
                </c:pt>
                <c:pt idx="2521">
                  <c:v>2.6310305171328707E-2</c:v>
                </c:pt>
                <c:pt idx="2522">
                  <c:v>2.6313873668573073E-2</c:v>
                </c:pt>
                <c:pt idx="2523">
                  <c:v>2.6317443168927257E-2</c:v>
                </c:pt>
                <c:pt idx="2524">
                  <c:v>2.6321013672715443E-2</c:v>
                </c:pt>
                <c:pt idx="2525">
                  <c:v>2.6324585179694493E-2</c:v>
                </c:pt>
                <c:pt idx="2526">
                  <c:v>2.6328157690107545E-2</c:v>
                </c:pt>
                <c:pt idx="2527">
                  <c:v>2.6331731203549369E-2</c:v>
                </c:pt>
                <c:pt idx="2528">
                  <c:v>2.6335305720425195E-2</c:v>
                </c:pt>
                <c:pt idx="2529">
                  <c:v>2.6338881240572931E-2</c:v>
                </c:pt>
                <c:pt idx="2530">
                  <c:v>2.6342457763749438E-2</c:v>
                </c:pt>
                <c:pt idx="2531">
                  <c:v>2.6346035290440994E-2</c:v>
                </c:pt>
                <c:pt idx="2532">
                  <c:v>2.6349613820404461E-2</c:v>
                </c:pt>
                <c:pt idx="2533">
                  <c:v>2.635319335355879E-2</c:v>
                </c:pt>
                <c:pt idx="2534">
                  <c:v>2.635677388998503E-2</c:v>
                </c:pt>
                <c:pt idx="2535">
                  <c:v>2.6360355429764226E-2</c:v>
                </c:pt>
                <c:pt idx="2536">
                  <c:v>2.6363937972734286E-2</c:v>
                </c:pt>
                <c:pt idx="2537">
                  <c:v>2.6367521518895209E-2</c:v>
                </c:pt>
                <c:pt idx="2538">
                  <c:v>2.6371106068409089E-2</c:v>
                </c:pt>
                <c:pt idx="2539">
                  <c:v>2.6374691621356972E-2</c:v>
                </c:pt>
                <c:pt idx="2540">
                  <c:v>2.6378278177414671E-2</c:v>
                </c:pt>
                <c:pt idx="2541">
                  <c:v>2.6381865736663235E-2</c:v>
                </c:pt>
                <c:pt idx="2542">
                  <c:v>2.6385454299264754E-2</c:v>
                </c:pt>
                <c:pt idx="2543">
                  <c:v>2.6389043865219231E-2</c:v>
                </c:pt>
                <c:pt idx="2544">
                  <c:v>2.6392634434445617E-2</c:v>
                </c:pt>
                <c:pt idx="2545">
                  <c:v>2.6396226006862866E-2</c:v>
                </c:pt>
                <c:pt idx="2546">
                  <c:v>2.6399818582552026E-2</c:v>
                </c:pt>
                <c:pt idx="2547">
                  <c:v>2.6403412161513096E-2</c:v>
                </c:pt>
                <c:pt idx="2548">
                  <c:v>2.6407006743746075E-2</c:v>
                </c:pt>
                <c:pt idx="2549">
                  <c:v>2.6410602329169919E-2</c:v>
                </c:pt>
                <c:pt idx="2550">
                  <c:v>2.6414198918108811E-2</c:v>
                </c:pt>
                <c:pt idx="2551">
                  <c:v>2.6417796510157521E-2</c:v>
                </c:pt>
                <c:pt idx="2552">
                  <c:v>2.642139510547814E-2</c:v>
                </c:pt>
                <c:pt idx="2553">
                  <c:v>2.642499470407067E-2</c:v>
                </c:pt>
                <c:pt idx="2554">
                  <c:v>2.6429109759440461E-2</c:v>
                </c:pt>
                <c:pt idx="2555">
                  <c:v>2.6432711508028728E-2</c:v>
                </c:pt>
                <c:pt idx="2556">
                  <c:v>2.6436314259807858E-2</c:v>
                </c:pt>
                <c:pt idx="2557">
                  <c:v>2.6439918014696806E-2</c:v>
                </c:pt>
                <c:pt idx="2558">
                  <c:v>2.6443522773100803E-2</c:v>
                </c:pt>
                <c:pt idx="2559">
                  <c:v>2.6447128534614617E-2</c:v>
                </c:pt>
                <c:pt idx="2560">
                  <c:v>2.6450735299481387E-2</c:v>
                </c:pt>
                <c:pt idx="2561">
                  <c:v>2.6454343067539021E-2</c:v>
                </c:pt>
                <c:pt idx="2562">
                  <c:v>2.6457951838868565E-2</c:v>
                </c:pt>
                <c:pt idx="2563">
                  <c:v>2.6461561613551066E-2</c:v>
                </c:pt>
                <c:pt idx="2564">
                  <c:v>2.6465172391505476E-2</c:v>
                </c:pt>
                <c:pt idx="2565">
                  <c:v>2.6468784172569704E-2</c:v>
                </c:pt>
                <c:pt idx="2566">
                  <c:v>2.647239695714898E-2</c:v>
                </c:pt>
                <c:pt idx="2567">
                  <c:v>2.6476010744838074E-2</c:v>
                </c:pt>
                <c:pt idx="2568">
                  <c:v>2.6479625535799078E-2</c:v>
                </c:pt>
                <c:pt idx="2569">
                  <c:v>2.6483241330194085E-2</c:v>
                </c:pt>
                <c:pt idx="2570">
                  <c:v>2.6486858127779955E-2</c:v>
                </c:pt>
                <c:pt idx="2571">
                  <c:v>2.6490475928475643E-2</c:v>
                </c:pt>
                <c:pt idx="2572">
                  <c:v>2.6494094732605333E-2</c:v>
                </c:pt>
                <c:pt idx="2573">
                  <c:v>2.6497714539925887E-2</c:v>
                </c:pt>
                <c:pt idx="2574">
                  <c:v>2.6501335350599398E-2</c:v>
                </c:pt>
                <c:pt idx="2575">
                  <c:v>2.6504957164463772E-2</c:v>
                </c:pt>
                <c:pt idx="2576">
                  <c:v>2.6508579981762148E-2</c:v>
                </c:pt>
                <c:pt idx="2577">
                  <c:v>2.6512203802170342E-2</c:v>
                </c:pt>
                <c:pt idx="2578">
                  <c:v>2.6515828625931492E-2</c:v>
                </c:pt>
                <c:pt idx="2579">
                  <c:v>2.651945445280246E-2</c:v>
                </c:pt>
                <c:pt idx="2580">
                  <c:v>2.6523081283269523E-2</c:v>
                </c:pt>
                <c:pt idx="2581">
                  <c:v>2.6526709116684311E-2</c:v>
                </c:pt>
                <c:pt idx="2582">
                  <c:v>2.6530337953533101E-2</c:v>
                </c:pt>
                <c:pt idx="2583">
                  <c:v>2.6533967793572755E-2</c:v>
                </c:pt>
                <c:pt idx="2584">
                  <c:v>2.6537598636965365E-2</c:v>
                </c:pt>
                <c:pt idx="2585">
                  <c:v>2.6541230483629885E-2</c:v>
                </c:pt>
                <c:pt idx="2586">
                  <c:v>2.6544863333404223E-2</c:v>
                </c:pt>
                <c:pt idx="2587">
                  <c:v>2.6548497186693609E-2</c:v>
                </c:pt>
                <c:pt idx="2588">
                  <c:v>2.6552132043173859E-2</c:v>
                </c:pt>
                <c:pt idx="2589">
                  <c:v>2.6555767902844973E-2</c:v>
                </c:pt>
                <c:pt idx="2590">
                  <c:v>2.6559404765869044E-2</c:v>
                </c:pt>
                <c:pt idx="2591">
                  <c:v>2.6563042632165024E-2</c:v>
                </c:pt>
                <c:pt idx="2592">
                  <c:v>2.6566681501732914E-2</c:v>
                </c:pt>
                <c:pt idx="2593">
                  <c:v>2.6570321374410621E-2</c:v>
                </c:pt>
                <c:pt idx="2594">
                  <c:v>2.6573962250522332E-2</c:v>
                </c:pt>
                <c:pt idx="2595">
                  <c:v>2.6577604129905952E-2</c:v>
                </c:pt>
                <c:pt idx="2596">
                  <c:v>2.6581247012642528E-2</c:v>
                </c:pt>
                <c:pt idx="2597">
                  <c:v>2.6584890898407876E-2</c:v>
                </c:pt>
                <c:pt idx="2598">
                  <c:v>2.6588535787688272E-2</c:v>
                </c:pt>
                <c:pt idx="2599">
                  <c:v>2.6592181680240579E-2</c:v>
                </c:pt>
                <c:pt idx="2600">
                  <c:v>2.659582857574061E-2</c:v>
                </c:pt>
                <c:pt idx="2601">
                  <c:v>2.6599476474836736E-2</c:v>
                </c:pt>
                <c:pt idx="2602">
                  <c:v>2.6603125377204773E-2</c:v>
                </c:pt>
                <c:pt idx="2603">
                  <c:v>2.6606775282763673E-2</c:v>
                </c:pt>
                <c:pt idx="2604">
                  <c:v>2.661042619143239E-2</c:v>
                </c:pt>
                <c:pt idx="2605">
                  <c:v>2.6614078103697203E-2</c:v>
                </c:pt>
                <c:pt idx="2606">
                  <c:v>2.6617731018990787E-2</c:v>
                </c:pt>
                <c:pt idx="2607">
                  <c:v>2.6621384937556281E-2</c:v>
                </c:pt>
                <c:pt idx="2608">
                  <c:v>2.6625039859474731E-2</c:v>
                </c:pt>
                <c:pt idx="2609">
                  <c:v>2.6628695784746137E-2</c:v>
                </c:pt>
                <c:pt idx="2610">
                  <c:v>2.6632352713127361E-2</c:v>
                </c:pt>
                <c:pt idx="2611">
                  <c:v>2.6636010644861541E-2</c:v>
                </c:pt>
                <c:pt idx="2612">
                  <c:v>2.6639669579867631E-2</c:v>
                </c:pt>
                <c:pt idx="2613">
                  <c:v>2.6643329518226677E-2</c:v>
                </c:pt>
                <c:pt idx="2614">
                  <c:v>2.6646990459695541E-2</c:v>
                </c:pt>
                <c:pt idx="2615">
                  <c:v>2.6650652404517361E-2</c:v>
                </c:pt>
                <c:pt idx="2616">
                  <c:v>2.6654315352611091E-2</c:v>
                </c:pt>
                <c:pt idx="2617">
                  <c:v>2.6657979303976731E-2</c:v>
                </c:pt>
                <c:pt idx="2618">
                  <c:v>2.6661644258614281E-2</c:v>
                </c:pt>
                <c:pt idx="2619">
                  <c:v>2.6665310216604787E-2</c:v>
                </c:pt>
                <c:pt idx="2620">
                  <c:v>2.6668977177786157E-2</c:v>
                </c:pt>
                <c:pt idx="2621">
                  <c:v>2.6672645142320484E-2</c:v>
                </c:pt>
                <c:pt idx="2622">
                  <c:v>2.6676314109883581E-2</c:v>
                </c:pt>
                <c:pt idx="2623">
                  <c:v>2.6679984081042774E-2</c:v>
                </c:pt>
                <c:pt idx="2624">
                  <c:v>2.668365505539283E-2</c:v>
                </c:pt>
                <c:pt idx="2625">
                  <c:v>2.668732703293375E-2</c:v>
                </c:pt>
                <c:pt idx="2626">
                  <c:v>2.6691000013665533E-2</c:v>
                </c:pt>
                <c:pt idx="2627">
                  <c:v>2.669467399783132E-2</c:v>
                </c:pt>
                <c:pt idx="2628">
                  <c:v>2.669834898518797E-2</c:v>
                </c:pt>
                <c:pt idx="2629">
                  <c:v>2.670202497581653E-2</c:v>
                </c:pt>
                <c:pt idx="2630">
                  <c:v>2.6705701969716999E-2</c:v>
                </c:pt>
                <c:pt idx="2631">
                  <c:v>2.6709379966970426E-2</c:v>
                </c:pt>
                <c:pt idx="2632">
                  <c:v>2.6713058967495762E-2</c:v>
                </c:pt>
                <c:pt idx="2633">
                  <c:v>2.6716738971130916E-2</c:v>
                </c:pt>
                <c:pt idx="2634">
                  <c:v>2.6720419978281118E-2</c:v>
                </c:pt>
                <c:pt idx="2635">
                  <c:v>2.6724101988541138E-2</c:v>
                </c:pt>
                <c:pt idx="2636">
                  <c:v>2.6727785002073068E-2</c:v>
                </c:pt>
                <c:pt idx="2637">
                  <c:v>2.6731469018876908E-2</c:v>
                </c:pt>
                <c:pt idx="2638">
                  <c:v>2.6735154039195796E-2</c:v>
                </c:pt>
                <c:pt idx="2639">
                  <c:v>2.673884006246241E-2</c:v>
                </c:pt>
                <c:pt idx="2640">
                  <c:v>2.6742527089163026E-2</c:v>
                </c:pt>
                <c:pt idx="2641">
                  <c:v>2.6746215119216599E-2</c:v>
                </c:pt>
                <c:pt idx="2642">
                  <c:v>2.6749904152379989E-2</c:v>
                </c:pt>
                <c:pt idx="2643">
                  <c:v>2.6753594188815288E-2</c:v>
                </c:pt>
                <c:pt idx="2644">
                  <c:v>2.6757285228522498E-2</c:v>
                </c:pt>
                <c:pt idx="2645">
                  <c:v>2.6760977271663711E-2</c:v>
                </c:pt>
                <c:pt idx="2646">
                  <c:v>2.6764670317995787E-2</c:v>
                </c:pt>
                <c:pt idx="2647">
                  <c:v>2.676836436743768E-2</c:v>
                </c:pt>
                <c:pt idx="2648">
                  <c:v>2.6772059420313576E-2</c:v>
                </c:pt>
                <c:pt idx="2649">
                  <c:v>2.6775755476623475E-2</c:v>
                </c:pt>
                <c:pt idx="2650">
                  <c:v>2.6779452535962145E-2</c:v>
                </c:pt>
                <c:pt idx="2651">
                  <c:v>2.6783150598653771E-2</c:v>
                </c:pt>
                <c:pt idx="2652">
                  <c:v>2.6786849664617307E-2</c:v>
                </c:pt>
                <c:pt idx="2653">
                  <c:v>2.6790549734014846E-2</c:v>
                </c:pt>
                <c:pt idx="2654">
                  <c:v>2.6794250806441156E-2</c:v>
                </c:pt>
                <c:pt idx="2655">
                  <c:v>2.6797952882139375E-2</c:v>
                </c:pt>
                <c:pt idx="2656">
                  <c:v>2.6801655961271598E-2</c:v>
                </c:pt>
                <c:pt idx="2657">
                  <c:v>2.6805360043513637E-2</c:v>
                </c:pt>
                <c:pt idx="2658">
                  <c:v>2.6809594509069612E-2</c:v>
                </c:pt>
                <c:pt idx="2659">
                  <c:v>2.6813300741226342E-2</c:v>
                </c:pt>
                <c:pt idx="2660">
                  <c:v>2.6817007976736029E-2</c:v>
                </c:pt>
                <c:pt idx="2661">
                  <c:v>2.6820716215517626E-2</c:v>
                </c:pt>
                <c:pt idx="2662">
                  <c:v>2.6824425457490086E-2</c:v>
                </c:pt>
                <c:pt idx="2663">
                  <c:v>2.6828135702734457E-2</c:v>
                </c:pt>
                <c:pt idx="2664">
                  <c:v>2.6831846951331784E-2</c:v>
                </c:pt>
                <c:pt idx="2665">
                  <c:v>2.6835559203282067E-2</c:v>
                </c:pt>
                <c:pt idx="2666">
                  <c:v>2.6839272458423213E-2</c:v>
                </c:pt>
                <c:pt idx="2667">
                  <c:v>2.6842986716755224E-2</c:v>
                </c:pt>
                <c:pt idx="2668">
                  <c:v>2.6846701978602283E-2</c:v>
                </c:pt>
                <c:pt idx="2669">
                  <c:v>2.6850418243478114E-2</c:v>
                </c:pt>
                <c:pt idx="2670">
                  <c:v>2.6854135511625854E-2</c:v>
                </c:pt>
                <c:pt idx="2671">
                  <c:v>2.6857853783126551E-2</c:v>
                </c:pt>
                <c:pt idx="2672">
                  <c:v>2.6861573057980204E-2</c:v>
                </c:pt>
                <c:pt idx="2673">
                  <c:v>2.6870311843139039E-2</c:v>
                </c:pt>
                <c:pt idx="2674">
                  <c:v>2.6869014617422193E-2</c:v>
                </c:pt>
                <c:pt idx="2675">
                  <c:v>2.6872736902091576E-2</c:v>
                </c:pt>
                <c:pt idx="2676">
                  <c:v>2.6876460189951823E-2</c:v>
                </c:pt>
                <c:pt idx="2677">
                  <c:v>2.6880184481165026E-2</c:v>
                </c:pt>
                <c:pt idx="2678">
                  <c:v>2.6883909775488046E-2</c:v>
                </c:pt>
                <c:pt idx="2679">
                  <c:v>2.6887636073245069E-2</c:v>
                </c:pt>
                <c:pt idx="2680">
                  <c:v>2.6891363374274002E-2</c:v>
                </c:pt>
                <c:pt idx="2681">
                  <c:v>2.6895091678493799E-2</c:v>
                </c:pt>
                <c:pt idx="2682">
                  <c:v>2.6898820985985505E-2</c:v>
                </c:pt>
                <c:pt idx="2683">
                  <c:v>2.6902551296911215E-2</c:v>
                </c:pt>
                <c:pt idx="2684">
                  <c:v>2.6906282611027788E-2</c:v>
                </c:pt>
                <c:pt idx="2685">
                  <c:v>2.6910014928335224E-2</c:v>
                </c:pt>
                <c:pt idx="2686">
                  <c:v>2.6913748249076663E-2</c:v>
                </c:pt>
                <c:pt idx="2687">
                  <c:v>2.6917482572846874E-2</c:v>
                </c:pt>
                <c:pt idx="2688">
                  <c:v>2.6921217900051087E-2</c:v>
                </c:pt>
                <c:pt idx="2689">
                  <c:v>2.6924954230527209E-2</c:v>
                </c:pt>
                <c:pt idx="2690">
                  <c:v>2.6928691564356289E-2</c:v>
                </c:pt>
                <c:pt idx="2691">
                  <c:v>2.6932429901376231E-2</c:v>
                </c:pt>
                <c:pt idx="2692">
                  <c:v>2.6936169241749131E-2</c:v>
                </c:pt>
                <c:pt idx="2693">
                  <c:v>2.6939909585312893E-2</c:v>
                </c:pt>
                <c:pt idx="2694">
                  <c:v>2.6943650932148566E-2</c:v>
                </c:pt>
                <c:pt idx="2695">
                  <c:v>2.6947393282175103E-2</c:v>
                </c:pt>
                <c:pt idx="2696">
                  <c:v>2.6951136635473549E-2</c:v>
                </c:pt>
                <c:pt idx="2697">
                  <c:v>2.6954880992368091E-2</c:v>
                </c:pt>
                <c:pt idx="2698">
                  <c:v>2.6958626352210358E-2</c:v>
                </c:pt>
                <c:pt idx="2699">
                  <c:v>2.6962372715324534E-2</c:v>
                </c:pt>
                <c:pt idx="2700">
                  <c:v>2.6966120081953759E-2</c:v>
                </c:pt>
                <c:pt idx="2701">
                  <c:v>2.6969868451692802E-2</c:v>
                </c:pt>
                <c:pt idx="2702">
                  <c:v>2.6973617824865848E-2</c:v>
                </c:pt>
                <c:pt idx="2703">
                  <c:v>2.6977368201067664E-2</c:v>
                </c:pt>
                <c:pt idx="2704">
                  <c:v>2.6981119580703483E-2</c:v>
                </c:pt>
                <c:pt idx="2705">
                  <c:v>2.6984871963611212E-2</c:v>
                </c:pt>
                <c:pt idx="2706">
                  <c:v>2.6988625349871898E-2</c:v>
                </c:pt>
                <c:pt idx="2707">
                  <c:v>2.69923797392424E-2</c:v>
                </c:pt>
                <c:pt idx="2708">
                  <c:v>2.6996135131965859E-2</c:v>
                </c:pt>
                <c:pt idx="2709">
                  <c:v>2.6999891527961228E-2</c:v>
                </c:pt>
                <c:pt idx="2710">
                  <c:v>2.7006720669287002E-2</c:v>
                </c:pt>
                <c:pt idx="2711">
                  <c:v>2.7010479914707512E-2</c:v>
                </c:pt>
                <c:pt idx="2712">
                  <c:v>2.7014240163616053E-2</c:v>
                </c:pt>
                <c:pt idx="2713">
                  <c:v>2.7018001416093677E-2</c:v>
                </c:pt>
                <c:pt idx="2714">
                  <c:v>2.7021763672032316E-2</c:v>
                </c:pt>
                <c:pt idx="2715">
                  <c:v>2.7025526931458991E-2</c:v>
                </c:pt>
                <c:pt idx="2716">
                  <c:v>2.7029291194427728E-2</c:v>
                </c:pt>
                <c:pt idx="2717">
                  <c:v>2.7033056460857484E-2</c:v>
                </c:pt>
                <c:pt idx="2718">
                  <c:v>2.7036822730802289E-2</c:v>
                </c:pt>
                <c:pt idx="2719">
                  <c:v>2.7040590004262142E-2</c:v>
                </c:pt>
                <c:pt idx="2720">
                  <c:v>2.7044358281210028E-2</c:v>
                </c:pt>
                <c:pt idx="2721">
                  <c:v>2.7048127561672967E-2</c:v>
                </c:pt>
                <c:pt idx="2722">
                  <c:v>2.7051897845623934E-2</c:v>
                </c:pt>
                <c:pt idx="2723">
                  <c:v>2.7055280202956666E-2</c:v>
                </c:pt>
                <c:pt idx="2724">
                  <c:v>2.7059052364560854E-2</c:v>
                </c:pt>
                <c:pt idx="2725">
                  <c:v>2.706282552968009E-2</c:v>
                </c:pt>
                <c:pt idx="2726">
                  <c:v>2.7066599698071236E-2</c:v>
                </c:pt>
                <c:pt idx="2727">
                  <c:v>2.7070374869653246E-2</c:v>
                </c:pt>
                <c:pt idx="2728">
                  <c:v>2.707415104442612E-2</c:v>
                </c:pt>
                <c:pt idx="2729">
                  <c:v>2.7077928222632996E-2</c:v>
                </c:pt>
                <c:pt idx="2730">
                  <c:v>2.7081706404192829E-2</c:v>
                </c:pt>
                <c:pt idx="2731">
                  <c:v>2.7085485588781433E-2</c:v>
                </c:pt>
                <c:pt idx="2732">
                  <c:v>2.7089265776641946E-2</c:v>
                </c:pt>
                <c:pt idx="2733">
                  <c:v>2.7093046968098555E-2</c:v>
                </c:pt>
                <c:pt idx="2734">
                  <c:v>2.7096829162583935E-2</c:v>
                </c:pt>
                <c:pt idx="2735">
                  <c:v>2.7100612360341225E-2</c:v>
                </c:pt>
                <c:pt idx="2736">
                  <c:v>2.7104396561451471E-2</c:v>
                </c:pt>
                <c:pt idx="2737">
                  <c:v>2.7108181765833628E-2</c:v>
                </c:pt>
                <c:pt idx="2738">
                  <c:v>2.7111967973487694E-2</c:v>
                </c:pt>
                <c:pt idx="2739">
                  <c:v>2.711575518441367E-2</c:v>
                </c:pt>
                <c:pt idx="2740">
                  <c:v>2.711954339853051E-2</c:v>
                </c:pt>
                <c:pt idx="2741">
                  <c:v>2.7123332616162399E-2</c:v>
                </c:pt>
                <c:pt idx="2742">
                  <c:v>2.7127122836823059E-2</c:v>
                </c:pt>
                <c:pt idx="2743">
                  <c:v>2.7130914060836675E-2</c:v>
                </c:pt>
                <c:pt idx="2744">
                  <c:v>2.7134706288284294E-2</c:v>
                </c:pt>
                <c:pt idx="2745">
                  <c:v>2.7138499518760684E-2</c:v>
                </c:pt>
                <c:pt idx="2746">
                  <c:v>2.714229375259003E-2</c:v>
                </c:pt>
                <c:pt idx="2747">
                  <c:v>2.7146088989853379E-2</c:v>
                </c:pt>
                <c:pt idx="2748">
                  <c:v>2.7149885230226545E-2</c:v>
                </c:pt>
                <c:pt idx="2749">
                  <c:v>2.7153682473952667E-2</c:v>
                </c:pt>
                <c:pt idx="2750">
                  <c:v>2.7157480720788607E-2</c:v>
                </c:pt>
                <c:pt idx="2751">
                  <c:v>2.716127997105855E-2</c:v>
                </c:pt>
                <c:pt idx="2752">
                  <c:v>2.7165080224762495E-2</c:v>
                </c:pt>
                <c:pt idx="2753">
                  <c:v>2.7168881481414164E-2</c:v>
                </c:pt>
                <c:pt idx="2754">
                  <c:v>2.7172683741499837E-2</c:v>
                </c:pt>
                <c:pt idx="2755">
                  <c:v>2.7176487004938465E-2</c:v>
                </c:pt>
                <c:pt idx="2756">
                  <c:v>2.7180291271567958E-2</c:v>
                </c:pt>
                <c:pt idx="2757">
                  <c:v>2.7184096541388314E-2</c:v>
                </c:pt>
                <c:pt idx="2758">
                  <c:v>2.7187902814642673E-2</c:v>
                </c:pt>
                <c:pt idx="2759">
                  <c:v>2.7191710091168941E-2</c:v>
                </c:pt>
                <c:pt idx="2760">
                  <c:v>2.7195518370886074E-2</c:v>
                </c:pt>
                <c:pt idx="2761">
                  <c:v>2.719932765379407E-2</c:v>
                </c:pt>
                <c:pt idx="2762">
                  <c:v>2.7203137940379207E-2</c:v>
                </c:pt>
                <c:pt idx="2763">
                  <c:v>2.720694922991207E-2</c:v>
                </c:pt>
                <c:pt idx="2764">
                  <c:v>2.7210761522635796E-2</c:v>
                </c:pt>
                <c:pt idx="2765">
                  <c:v>2.7214574818874571E-2</c:v>
                </c:pt>
                <c:pt idx="2766">
                  <c:v>2.7218389118304209E-2</c:v>
                </c:pt>
                <c:pt idx="2767">
                  <c:v>2.7222204421005758E-2</c:v>
                </c:pt>
                <c:pt idx="2768">
                  <c:v>2.7226020726979216E-2</c:v>
                </c:pt>
                <c:pt idx="2769">
                  <c:v>2.7229838036224585E-2</c:v>
                </c:pt>
                <c:pt idx="2770">
                  <c:v>2.723365634882291E-2</c:v>
                </c:pt>
                <c:pt idx="2771">
                  <c:v>2.7237475664531052E-2</c:v>
                </c:pt>
                <c:pt idx="2772">
                  <c:v>2.7241295983673197E-2</c:v>
                </c:pt>
                <c:pt idx="2773">
                  <c:v>2.7245117306087252E-2</c:v>
                </c:pt>
                <c:pt idx="2774">
                  <c:v>2.7248939631692171E-2</c:v>
                </c:pt>
                <c:pt idx="2775">
                  <c:v>2.7252762960568999E-2</c:v>
                </c:pt>
                <c:pt idx="2776">
                  <c:v>2.725658729287983E-2</c:v>
                </c:pt>
                <c:pt idx="2777">
                  <c:v>2.7260412628300479E-2</c:v>
                </c:pt>
                <c:pt idx="2778">
                  <c:v>2.7264238967074084E-2</c:v>
                </c:pt>
                <c:pt idx="2779">
                  <c:v>2.7268066309038552E-2</c:v>
                </c:pt>
                <c:pt idx="2780">
                  <c:v>2.7271894654437023E-2</c:v>
                </c:pt>
                <c:pt idx="2781">
                  <c:v>2.7275724003026358E-2</c:v>
                </c:pt>
                <c:pt idx="2782">
                  <c:v>2.7279554354806557E-2</c:v>
                </c:pt>
                <c:pt idx="2783">
                  <c:v>2.7283385709939711E-2</c:v>
                </c:pt>
                <c:pt idx="2784">
                  <c:v>2.7287218068506869E-2</c:v>
                </c:pt>
                <c:pt idx="2785">
                  <c:v>2.729105143026489E-2</c:v>
                </c:pt>
                <c:pt idx="2786">
                  <c:v>2.7294885795051682E-2</c:v>
                </c:pt>
                <c:pt idx="2787">
                  <c:v>2.7298721163434569E-2</c:v>
                </c:pt>
                <c:pt idx="2788">
                  <c:v>2.7302557535089367E-2</c:v>
                </c:pt>
                <c:pt idx="2789">
                  <c:v>2.7306394909772935E-2</c:v>
                </c:pt>
                <c:pt idx="2790">
                  <c:v>2.7310233287971553E-2</c:v>
                </c:pt>
                <c:pt idx="2791">
                  <c:v>2.731407266944208E-2</c:v>
                </c:pt>
                <c:pt idx="2792">
                  <c:v>2.7317913054103471E-2</c:v>
                </c:pt>
                <c:pt idx="2793">
                  <c:v>2.7321754441874679E-2</c:v>
                </c:pt>
                <c:pt idx="2794">
                  <c:v>2.7325596833160937E-2</c:v>
                </c:pt>
                <c:pt idx="2795">
                  <c:v>2.7329440227719104E-2</c:v>
                </c:pt>
                <c:pt idx="2796">
                  <c:v>2.7333284625468135E-2</c:v>
                </c:pt>
                <c:pt idx="2797">
                  <c:v>2.733713002640803E-2</c:v>
                </c:pt>
                <c:pt idx="2798">
                  <c:v>2.7340976430862973E-2</c:v>
                </c:pt>
                <c:pt idx="2799">
                  <c:v>2.7344823838508781E-2</c:v>
                </c:pt>
                <c:pt idx="2800">
                  <c:v>2.7348672249345451E-2</c:v>
                </c:pt>
                <c:pt idx="2801">
                  <c:v>2.7352521663535079E-2</c:v>
                </c:pt>
                <c:pt idx="2802">
                  <c:v>2.7356372080996616E-2</c:v>
                </c:pt>
                <c:pt idx="2803">
                  <c:v>2.7360223501730063E-2</c:v>
                </c:pt>
                <c:pt idx="2804">
                  <c:v>2.736407592573542E-2</c:v>
                </c:pt>
                <c:pt idx="2805">
                  <c:v>2.7367929353093734E-2</c:v>
                </c:pt>
                <c:pt idx="2806">
                  <c:v>2.7371783783642911E-2</c:v>
                </c:pt>
                <c:pt idx="2807">
                  <c:v>2.7375639217463998E-2</c:v>
                </c:pt>
                <c:pt idx="2808">
                  <c:v>2.7379495654556996E-2</c:v>
                </c:pt>
                <c:pt idx="2809">
                  <c:v>2.7383353095002949E-2</c:v>
                </c:pt>
                <c:pt idx="2810">
                  <c:v>2.7387211538720813E-2</c:v>
                </c:pt>
                <c:pt idx="2811">
                  <c:v>2.739107098562954E-2</c:v>
                </c:pt>
                <c:pt idx="2812">
                  <c:v>2.7394931435810177E-2</c:v>
                </c:pt>
                <c:pt idx="2813">
                  <c:v>2.7398792889505863E-2</c:v>
                </c:pt>
                <c:pt idx="2814">
                  <c:v>2.7403207207781222E-2</c:v>
                </c:pt>
                <c:pt idx="2815">
                  <c:v>2.7407070811229506E-2</c:v>
                </c:pt>
                <c:pt idx="2816">
                  <c:v>2.7410935417787607E-2</c:v>
                </c:pt>
                <c:pt idx="2817">
                  <c:v>2.7414801027779712E-2</c:v>
                </c:pt>
                <c:pt idx="2818">
                  <c:v>2.7418667641043726E-2</c:v>
                </c:pt>
                <c:pt idx="2819">
                  <c:v>2.7422535257741742E-2</c:v>
                </c:pt>
                <c:pt idx="2820">
                  <c:v>2.7426403877387484E-2</c:v>
                </c:pt>
                <c:pt idx="2821">
                  <c:v>2.7430273500548275E-2</c:v>
                </c:pt>
                <c:pt idx="2822">
                  <c:v>2.7434144126818882E-2</c:v>
                </c:pt>
                <c:pt idx="2823">
                  <c:v>2.7438015756523493E-2</c:v>
                </c:pt>
                <c:pt idx="2824">
                  <c:v>2.7441888389418967E-2</c:v>
                </c:pt>
                <c:pt idx="2825">
                  <c:v>2.744576202582949E-2</c:v>
                </c:pt>
                <c:pt idx="2826">
                  <c:v>2.744963666534983E-2</c:v>
                </c:pt>
                <c:pt idx="2827">
                  <c:v>2.7453512307979988E-2</c:v>
                </c:pt>
                <c:pt idx="2828">
                  <c:v>2.7457388954044148E-2</c:v>
                </c:pt>
                <c:pt idx="2829">
                  <c:v>2.7461266603299173E-2</c:v>
                </c:pt>
                <c:pt idx="2830">
                  <c:v>2.7465145255988199E-2</c:v>
                </c:pt>
                <c:pt idx="2831">
                  <c:v>2.746902491186809E-2</c:v>
                </c:pt>
                <c:pt idx="2832">
                  <c:v>2.7472905571100936E-2</c:v>
                </c:pt>
                <c:pt idx="2833">
                  <c:v>2.7476787233524647E-2</c:v>
                </c:pt>
                <c:pt idx="2834">
                  <c:v>2.7480669899220267E-2</c:v>
                </c:pt>
                <c:pt idx="2835">
                  <c:v>2.7484553568268844E-2</c:v>
                </c:pt>
                <c:pt idx="2836">
                  <c:v>2.748843824058933E-2</c:v>
                </c:pt>
                <c:pt idx="2837">
                  <c:v>2.749232391610068E-2</c:v>
                </c:pt>
                <c:pt idx="2838">
                  <c:v>2.7496210594964987E-2</c:v>
                </c:pt>
                <c:pt idx="2839">
                  <c:v>2.750009827718225E-2</c:v>
                </c:pt>
                <c:pt idx="2840">
                  <c:v>2.7503986962590377E-2</c:v>
                </c:pt>
                <c:pt idx="2841">
                  <c:v>2.7507876651189367E-2</c:v>
                </c:pt>
                <c:pt idx="2842">
                  <c:v>2.7511767343141313E-2</c:v>
                </c:pt>
                <c:pt idx="2843">
                  <c:v>2.7515659038527263E-2</c:v>
                </c:pt>
                <c:pt idx="2844">
                  <c:v>2.7519551737185122E-2</c:v>
                </c:pt>
                <c:pt idx="2845">
                  <c:v>2.7523445438790706E-2</c:v>
                </c:pt>
                <c:pt idx="2846">
                  <c:v>2.7527340143992385E-2</c:v>
                </c:pt>
                <c:pt idx="2847">
                  <c:v>2.7531235852303881E-2</c:v>
                </c:pt>
                <c:pt idx="2848">
                  <c:v>2.7535132563968334E-2</c:v>
                </c:pt>
                <c:pt idx="2849">
                  <c:v>2.7539030278904697E-2</c:v>
                </c:pt>
                <c:pt idx="2850">
                  <c:v>2.7542928997275062E-2</c:v>
                </c:pt>
                <c:pt idx="2851">
                  <c:v>2.7546828718674199E-2</c:v>
                </c:pt>
                <c:pt idx="2852">
                  <c:v>2.7550729443345245E-2</c:v>
                </c:pt>
                <c:pt idx="2853">
                  <c:v>2.7554631171531341E-2</c:v>
                </c:pt>
                <c:pt idx="2854">
                  <c:v>2.7558533902827254E-2</c:v>
                </c:pt>
                <c:pt idx="2855">
                  <c:v>2.7562437637557169E-2</c:v>
                </c:pt>
                <c:pt idx="2856">
                  <c:v>2.7566342375396902E-2</c:v>
                </c:pt>
                <c:pt idx="2857">
                  <c:v>2.7570248116589591E-2</c:v>
                </c:pt>
                <c:pt idx="2858">
                  <c:v>2.757415486105419E-2</c:v>
                </c:pt>
                <c:pt idx="2859">
                  <c:v>2.7578062608871745E-2</c:v>
                </c:pt>
                <c:pt idx="2860">
                  <c:v>2.7581971359718072E-2</c:v>
                </c:pt>
                <c:pt idx="2861">
                  <c:v>2.7585881114160493E-2</c:v>
                </c:pt>
                <c:pt idx="2862">
                  <c:v>2.7589791871874825E-2</c:v>
                </c:pt>
                <c:pt idx="2863">
                  <c:v>2.7593703632698974E-2</c:v>
                </c:pt>
                <c:pt idx="2864">
                  <c:v>2.7597616396795033E-2</c:v>
                </c:pt>
                <c:pt idx="2865">
                  <c:v>2.7601530164325094E-2</c:v>
                </c:pt>
                <c:pt idx="2866">
                  <c:v>2.7605444934964973E-2</c:v>
                </c:pt>
                <c:pt idx="2867">
                  <c:v>2.7609360708876762E-2</c:v>
                </c:pt>
                <c:pt idx="2868">
                  <c:v>2.76132774863036E-2</c:v>
                </c:pt>
                <c:pt idx="2869">
                  <c:v>2.7617195266840255E-2</c:v>
                </c:pt>
                <c:pt idx="2870">
                  <c:v>2.7621114050729867E-2</c:v>
                </c:pt>
                <c:pt idx="2871">
                  <c:v>2.7625033837891388E-2</c:v>
                </c:pt>
                <c:pt idx="2872">
                  <c:v>2.7628954628162727E-2</c:v>
                </c:pt>
                <c:pt idx="2873">
                  <c:v>2.7632876421868069E-2</c:v>
                </c:pt>
                <c:pt idx="2874">
                  <c:v>2.763679921884532E-2</c:v>
                </c:pt>
                <c:pt idx="2875">
                  <c:v>2.7640723019337621E-2</c:v>
                </c:pt>
                <c:pt idx="2876">
                  <c:v>2.76446478226966E-2</c:v>
                </c:pt>
                <c:pt idx="2877">
                  <c:v>2.7648573629570627E-2</c:v>
                </c:pt>
                <c:pt idx="2878">
                  <c:v>2.7652500439554473E-2</c:v>
                </c:pt>
                <c:pt idx="2879">
                  <c:v>2.765642825297232E-2</c:v>
                </c:pt>
                <c:pt idx="2880">
                  <c:v>2.7660357069743124E-2</c:v>
                </c:pt>
                <c:pt idx="2881">
                  <c:v>2.7664286889623746E-2</c:v>
                </c:pt>
                <c:pt idx="2882">
                  <c:v>2.7668217712776277E-2</c:v>
                </c:pt>
                <c:pt idx="2883">
                  <c:v>2.7672149539362811E-2</c:v>
                </c:pt>
                <c:pt idx="2884">
                  <c:v>2.7676082369221255E-2</c:v>
                </c:pt>
                <c:pt idx="2885">
                  <c:v>2.7680016202108471E-2</c:v>
                </c:pt>
                <c:pt idx="2886">
                  <c:v>2.7683951038510735E-2</c:v>
                </c:pt>
                <c:pt idx="2887">
                  <c:v>2.7687886878265955E-2</c:v>
                </c:pt>
                <c:pt idx="2888">
                  <c:v>2.7691823721049946E-2</c:v>
                </c:pt>
                <c:pt idx="2889">
                  <c:v>2.769576156726794E-2</c:v>
                </c:pt>
                <c:pt idx="2890">
                  <c:v>2.7699700416919937E-2</c:v>
                </c:pt>
                <c:pt idx="2891">
                  <c:v>2.7703640269681751E-2</c:v>
                </c:pt>
                <c:pt idx="2892">
                  <c:v>2.7707581125634428E-2</c:v>
                </c:pt>
                <c:pt idx="2893">
                  <c:v>2.7711522984940062E-2</c:v>
                </c:pt>
                <c:pt idx="2894">
                  <c:v>2.7715465847598653E-2</c:v>
                </c:pt>
                <c:pt idx="2895">
                  <c:v>2.7719409713529153E-2</c:v>
                </c:pt>
                <c:pt idx="2896">
                  <c:v>2.7723354582731563E-2</c:v>
                </c:pt>
                <c:pt idx="2897">
                  <c:v>2.7727300455124837E-2</c:v>
                </c:pt>
                <c:pt idx="2898">
                  <c:v>2.7731247330952113E-2</c:v>
                </c:pt>
                <c:pt idx="2899">
                  <c:v>2.7735195209808161E-2</c:v>
                </c:pt>
                <c:pt idx="2900">
                  <c:v>2.7739144092179258E-2</c:v>
                </c:pt>
                <c:pt idx="2901">
                  <c:v>2.7743093977822264E-2</c:v>
                </c:pt>
                <c:pt idx="2902">
                  <c:v>2.7747044866656134E-2</c:v>
                </c:pt>
                <c:pt idx="2903">
                  <c:v>2.7750996758761914E-2</c:v>
                </c:pt>
                <c:pt idx="2904">
                  <c:v>2.7754949654301697E-2</c:v>
                </c:pt>
                <c:pt idx="2905">
                  <c:v>2.7758903553032344E-2</c:v>
                </c:pt>
                <c:pt idx="2906">
                  <c:v>2.77628584550349E-2</c:v>
                </c:pt>
                <c:pt idx="2907">
                  <c:v>2.776681436022832E-2</c:v>
                </c:pt>
                <c:pt idx="2908">
                  <c:v>2.7770771268855743E-2</c:v>
                </c:pt>
                <c:pt idx="2909">
                  <c:v>2.7774729180674029E-2</c:v>
                </c:pt>
                <c:pt idx="2910">
                  <c:v>2.7778688095764226E-2</c:v>
                </c:pt>
                <c:pt idx="2911">
                  <c:v>2.7782648014207378E-2</c:v>
                </c:pt>
                <c:pt idx="2912">
                  <c:v>2.7786608936084534E-2</c:v>
                </c:pt>
                <c:pt idx="2913">
                  <c:v>2.779057086099046E-2</c:v>
                </c:pt>
                <c:pt idx="2914">
                  <c:v>2.779453378908725E-2</c:v>
                </c:pt>
                <c:pt idx="2915">
                  <c:v>2.7798497720780135E-2</c:v>
                </c:pt>
                <c:pt idx="2916">
                  <c:v>2.7802462655582838E-2</c:v>
                </c:pt>
                <c:pt idx="2917">
                  <c:v>2.7806428593738497E-2</c:v>
                </c:pt>
                <c:pt idx="2918">
                  <c:v>2.7810395534922927E-2</c:v>
                </c:pt>
                <c:pt idx="2919">
                  <c:v>2.7814363479784499E-2</c:v>
                </c:pt>
                <c:pt idx="2920">
                  <c:v>2.7818332427755887E-2</c:v>
                </c:pt>
                <c:pt idx="2921">
                  <c:v>2.7822302378999186E-2</c:v>
                </c:pt>
                <c:pt idx="2922">
                  <c:v>2.7826273333433349E-2</c:v>
                </c:pt>
                <c:pt idx="2923">
                  <c:v>2.7830245291301514E-2</c:v>
                </c:pt>
                <c:pt idx="2924">
                  <c:v>2.7834218252522636E-2</c:v>
                </c:pt>
                <c:pt idx="2925">
                  <c:v>2.7838192216772528E-2</c:v>
                </c:pt>
                <c:pt idx="2926">
                  <c:v>2.784216718453747E-2</c:v>
                </c:pt>
                <c:pt idx="2927">
                  <c:v>2.7846143155412229E-2</c:v>
                </c:pt>
                <c:pt idx="2928">
                  <c:v>2.7850120129639944E-2</c:v>
                </c:pt>
                <c:pt idx="2929">
                  <c:v>2.7854098107058523E-2</c:v>
                </c:pt>
                <c:pt idx="2930">
                  <c:v>2.7858077087911104E-2</c:v>
                </c:pt>
                <c:pt idx="2931">
                  <c:v>2.7862057072035595E-2</c:v>
                </c:pt>
                <c:pt idx="2932">
                  <c:v>2.786603805935095E-2</c:v>
                </c:pt>
                <c:pt idx="2933">
                  <c:v>2.7870020050100308E-2</c:v>
                </c:pt>
                <c:pt idx="2934">
                  <c:v>2.7874003043959483E-2</c:v>
                </c:pt>
                <c:pt idx="2935">
                  <c:v>2.7877987041090568E-2</c:v>
                </c:pt>
                <c:pt idx="2936">
                  <c:v>2.788197204157461E-2</c:v>
                </c:pt>
                <c:pt idx="2937">
                  <c:v>2.7885958045492654E-2</c:v>
                </c:pt>
                <c:pt idx="2938">
                  <c:v>2.7889945052520515E-2</c:v>
                </c:pt>
                <c:pt idx="2939">
                  <c:v>2.7893933062820286E-2</c:v>
                </c:pt>
                <c:pt idx="2940">
                  <c:v>2.7897922076473014E-2</c:v>
                </c:pt>
                <c:pt idx="2941">
                  <c:v>2.7901912093397652E-2</c:v>
                </c:pt>
                <c:pt idx="2942">
                  <c:v>2.7905903113756292E-2</c:v>
                </c:pt>
                <c:pt idx="2943">
                  <c:v>2.7909895137062657E-2</c:v>
                </c:pt>
                <c:pt idx="2944">
                  <c:v>2.7913888163803025E-2</c:v>
                </c:pt>
                <c:pt idx="2945">
                  <c:v>2.7917882193977395E-2</c:v>
                </c:pt>
                <c:pt idx="2946">
                  <c:v>2.7921877227180536E-2</c:v>
                </c:pt>
                <c:pt idx="2947">
                  <c:v>2.792587326381768E-2</c:v>
                </c:pt>
                <c:pt idx="2948">
                  <c:v>2.7929870303888826E-2</c:v>
                </c:pt>
                <c:pt idx="2949">
                  <c:v>2.7933868346988744E-2</c:v>
                </c:pt>
                <c:pt idx="2950">
                  <c:v>2.7937867393279525E-2</c:v>
                </c:pt>
                <c:pt idx="2951">
                  <c:v>2.7941867443247448E-2</c:v>
                </c:pt>
                <c:pt idx="2952">
                  <c:v>2.7945868496325188E-2</c:v>
                </c:pt>
                <c:pt idx="2953">
                  <c:v>2.7949870552512746E-2</c:v>
                </c:pt>
                <c:pt idx="2954">
                  <c:v>2.7953873612134306E-2</c:v>
                </c:pt>
                <c:pt idx="2955">
                  <c:v>2.7957877675027776E-2</c:v>
                </c:pt>
                <c:pt idx="2956">
                  <c:v>2.7961882741274202E-2</c:v>
                </c:pt>
                <c:pt idx="2957">
                  <c:v>2.79658888105494E-2</c:v>
                </c:pt>
                <c:pt idx="2958">
                  <c:v>2.7969895883339646E-2</c:v>
                </c:pt>
                <c:pt idx="2959">
                  <c:v>2.7973903959482849E-2</c:v>
                </c:pt>
                <c:pt idx="2960">
                  <c:v>2.7977913038735869E-2</c:v>
                </c:pt>
                <c:pt idx="2961">
                  <c:v>2.7981923121260799E-2</c:v>
                </c:pt>
                <c:pt idx="2962">
                  <c:v>2.7985934207300778E-2</c:v>
                </c:pt>
                <c:pt idx="2963">
                  <c:v>2.7989946296450574E-2</c:v>
                </c:pt>
                <c:pt idx="2964">
                  <c:v>2.7993959388791234E-2</c:v>
                </c:pt>
                <c:pt idx="2965">
                  <c:v>2.7997973484565897E-2</c:v>
                </c:pt>
                <c:pt idx="2966">
                  <c:v>2.8001988583612469E-2</c:v>
                </c:pt>
                <c:pt idx="2967">
                  <c:v>2.8006004686011998E-2</c:v>
                </c:pt>
                <c:pt idx="2968">
                  <c:v>2.8010021791521345E-2</c:v>
                </c:pt>
                <c:pt idx="2969">
                  <c:v>2.8014039900383647E-2</c:v>
                </c:pt>
                <c:pt idx="2970">
                  <c:v>2.8018633253216185E-2</c:v>
                </c:pt>
                <c:pt idx="2971">
                  <c:v>2.8022653512074225E-2</c:v>
                </c:pt>
                <c:pt idx="2972">
                  <c:v>2.8026674774204174E-2</c:v>
                </c:pt>
                <c:pt idx="2973">
                  <c:v>2.8030697039443941E-2</c:v>
                </c:pt>
                <c:pt idx="2974">
                  <c:v>2.8034720308198757E-2</c:v>
                </c:pt>
                <c:pt idx="2975">
                  <c:v>2.8038744580063391E-2</c:v>
                </c:pt>
                <c:pt idx="2976">
                  <c:v>2.804276985528098E-2</c:v>
                </c:pt>
                <c:pt idx="2977">
                  <c:v>2.8046796133608387E-2</c:v>
                </c:pt>
                <c:pt idx="2978">
                  <c:v>2.8050823415531889E-2</c:v>
                </c:pt>
                <c:pt idx="2979">
                  <c:v>2.8054851700565209E-2</c:v>
                </c:pt>
                <c:pt idx="2980">
                  <c:v>2.8058880988870438E-2</c:v>
                </c:pt>
                <c:pt idx="2981">
                  <c:v>2.8062911280447578E-2</c:v>
                </c:pt>
                <c:pt idx="2982">
                  <c:v>2.8066942575377674E-2</c:v>
                </c:pt>
                <c:pt idx="2983">
                  <c:v>2.8070974873579679E-2</c:v>
                </c:pt>
                <c:pt idx="2984">
                  <c:v>2.8080480375973549E-2</c:v>
                </c:pt>
                <c:pt idx="2985">
                  <c:v>2.8079042479880467E-2</c:v>
                </c:pt>
                <c:pt idx="2986">
                  <c:v>2.808307778773611E-2</c:v>
                </c:pt>
                <c:pt idx="2987">
                  <c:v>2.8087114099187849E-2</c:v>
                </c:pt>
                <c:pt idx="2988">
                  <c:v>2.8091151413830451E-2</c:v>
                </c:pt>
                <c:pt idx="2989">
                  <c:v>2.8095189731744963E-2</c:v>
                </c:pt>
                <c:pt idx="2990">
                  <c:v>2.8099229052850339E-2</c:v>
                </c:pt>
                <c:pt idx="2991">
                  <c:v>2.8103269377389717E-2</c:v>
                </c:pt>
                <c:pt idx="2992">
                  <c:v>2.8107310705119959E-2</c:v>
                </c:pt>
                <c:pt idx="2993">
                  <c:v>2.8111353036203157E-2</c:v>
                </c:pt>
                <c:pt idx="2994">
                  <c:v>2.8115396370477219E-2</c:v>
                </c:pt>
                <c:pt idx="2995">
                  <c:v>2.8119440708104237E-2</c:v>
                </c:pt>
                <c:pt idx="2996">
                  <c:v>2.8123486048922119E-2</c:v>
                </c:pt>
                <c:pt idx="2997">
                  <c:v>2.812753239325505E-2</c:v>
                </c:pt>
                <c:pt idx="2998">
                  <c:v>2.8131579740616752E-2</c:v>
                </c:pt>
                <c:pt idx="2999">
                  <c:v>2.8135628091331411E-2</c:v>
                </c:pt>
                <c:pt idx="3000">
                  <c:v>2.8139677445480071E-2</c:v>
                </c:pt>
                <c:pt idx="3001">
                  <c:v>2.814372780273855E-2</c:v>
                </c:pt>
                <c:pt idx="3002">
                  <c:v>2.814777916343103E-2</c:v>
                </c:pt>
                <c:pt idx="3003">
                  <c:v>2.8151831527395421E-2</c:v>
                </c:pt>
                <c:pt idx="3004">
                  <c:v>2.8155884894550676E-2</c:v>
                </c:pt>
                <c:pt idx="3005">
                  <c:v>2.815993926497784E-2</c:v>
                </c:pt>
                <c:pt idx="3006">
                  <c:v>2.8163994638757961E-2</c:v>
                </c:pt>
                <c:pt idx="3007">
                  <c:v>2.8168051015809992E-2</c:v>
                </c:pt>
                <c:pt idx="3008">
                  <c:v>2.8172108396133932E-2</c:v>
                </c:pt>
                <c:pt idx="3009">
                  <c:v>2.8176166779729783E-2</c:v>
                </c:pt>
                <c:pt idx="3010">
                  <c:v>2.8180226166597544E-2</c:v>
                </c:pt>
                <c:pt idx="3011">
                  <c:v>2.8184285989251157E-2</c:v>
                </c:pt>
                <c:pt idx="3012">
                  <c:v>2.8188339853301159E-2</c:v>
                </c:pt>
                <c:pt idx="3013">
                  <c:v>2.8192385936502973E-2</c:v>
                </c:pt>
                <c:pt idx="3014">
                  <c:v>2.8196424239018691E-2</c:v>
                </c:pt>
                <c:pt idx="3015">
                  <c:v>2.8200454760605176E-2</c:v>
                </c:pt>
                <c:pt idx="3016">
                  <c:v>2.820447750118138E-2</c:v>
                </c:pt>
                <c:pt idx="3017">
                  <c:v>2.8208492460990442E-2</c:v>
                </c:pt>
                <c:pt idx="3018">
                  <c:v>2.8212499639951316E-2</c:v>
                </c:pt>
                <c:pt idx="3019">
                  <c:v>2.821649903790191E-2</c:v>
                </c:pt>
                <c:pt idx="3020">
                  <c:v>2.8220490654923269E-2</c:v>
                </c:pt>
                <c:pt idx="3021">
                  <c:v>2.8224474491258533E-2</c:v>
                </c:pt>
                <c:pt idx="3022">
                  <c:v>2.8230719084663125E-2</c:v>
                </c:pt>
                <c:pt idx="3023">
                  <c:v>2.8234682912940956E-2</c:v>
                </c:pt>
                <c:pt idx="3024">
                  <c:v>2.8238638960289553E-2</c:v>
                </c:pt>
                <c:pt idx="3025">
                  <c:v>2.8242587226708915E-2</c:v>
                </c:pt>
                <c:pt idx="3026">
                  <c:v>2.8246527712199043E-2</c:v>
                </c:pt>
                <c:pt idx="3027">
                  <c:v>2.825046041692203E-2</c:v>
                </c:pt>
                <c:pt idx="3028">
                  <c:v>2.8254385340715782E-2</c:v>
                </c:pt>
                <c:pt idx="3029">
                  <c:v>2.82583024835803E-2</c:v>
                </c:pt>
                <c:pt idx="3030">
                  <c:v>2.826221184559663E-2</c:v>
                </c:pt>
                <c:pt idx="3031">
                  <c:v>2.8266113426683726E-2</c:v>
                </c:pt>
                <c:pt idx="3032">
                  <c:v>2.8270007226841587E-2</c:v>
                </c:pt>
                <c:pt idx="3033">
                  <c:v>2.8273893246232307E-2</c:v>
                </c:pt>
                <c:pt idx="3034">
                  <c:v>2.8277771484693792E-2</c:v>
                </c:pt>
                <c:pt idx="3035">
                  <c:v>2.8282194229513058E-2</c:v>
                </c:pt>
                <c:pt idx="3036">
                  <c:v>2.8286055794728426E-2</c:v>
                </c:pt>
                <c:pt idx="3037">
                  <c:v>2.828990957901456E-2</c:v>
                </c:pt>
                <c:pt idx="3038">
                  <c:v>2.8293755582209368E-2</c:v>
                </c:pt>
                <c:pt idx="3039">
                  <c:v>2.8297593804799126E-2</c:v>
                </c:pt>
                <c:pt idx="3040">
                  <c:v>2.8301424246297557E-2</c:v>
                </c:pt>
                <c:pt idx="3041">
                  <c:v>2.8305246906947801E-2</c:v>
                </c:pt>
                <c:pt idx="3042">
                  <c:v>2.830906178666881E-2</c:v>
                </c:pt>
                <c:pt idx="3043">
                  <c:v>2.8312868885622677E-2</c:v>
                </c:pt>
                <c:pt idx="3044">
                  <c:v>2.8316668203485218E-2</c:v>
                </c:pt>
                <c:pt idx="3045">
                  <c:v>2.8320459740499571E-2</c:v>
                </c:pt>
                <c:pt idx="3046">
                  <c:v>2.8324243496827828E-2</c:v>
                </c:pt>
                <c:pt idx="3047">
                  <c:v>2.8328019472145805E-2</c:v>
                </c:pt>
                <c:pt idx="3048">
                  <c:v>2.8331787666453501E-2</c:v>
                </c:pt>
                <c:pt idx="3049">
                  <c:v>2.8335548079913009E-2</c:v>
                </c:pt>
                <c:pt idx="3050">
                  <c:v>2.8339300712605375E-2</c:v>
                </c:pt>
                <c:pt idx="3051">
                  <c:v>2.8343045564368508E-2</c:v>
                </c:pt>
                <c:pt idx="3052">
                  <c:v>2.8346782635040313E-2</c:v>
                </c:pt>
                <c:pt idx="3053">
                  <c:v>2.8350511925188115E-2</c:v>
                </c:pt>
                <c:pt idx="3054">
                  <c:v>2.8354233434244591E-2</c:v>
                </c:pt>
                <c:pt idx="3055">
                  <c:v>2.8357947162290786E-2</c:v>
                </c:pt>
                <c:pt idx="3056">
                  <c:v>2.8361653109488794E-2</c:v>
                </c:pt>
                <c:pt idx="3057">
                  <c:v>2.8365351275919659E-2</c:v>
                </c:pt>
                <c:pt idx="3058">
                  <c:v>2.8369041661340244E-2</c:v>
                </c:pt>
                <c:pt idx="3059">
                  <c:v>2.8372724265912641E-2</c:v>
                </c:pt>
                <c:pt idx="3060">
                  <c:v>2.8376399089474758E-2</c:v>
                </c:pt>
                <c:pt idx="3061">
                  <c:v>2.8380066132269732E-2</c:v>
                </c:pt>
                <c:pt idx="3062">
                  <c:v>2.8383725394216519E-2</c:v>
                </c:pt>
                <c:pt idx="3063">
                  <c:v>2.8387376875153025E-2</c:v>
                </c:pt>
                <c:pt idx="3064">
                  <c:v>2.8391020575160297E-2</c:v>
                </c:pt>
                <c:pt idx="3065">
                  <c:v>2.839465649456252E-2</c:v>
                </c:pt>
                <c:pt idx="3066">
                  <c:v>2.8398284632630277E-2</c:v>
                </c:pt>
                <c:pt idx="3067">
                  <c:v>2.8401904990092985E-2</c:v>
                </c:pt>
                <c:pt idx="3068">
                  <c:v>2.8405517566626459E-2</c:v>
                </c:pt>
                <c:pt idx="3069">
                  <c:v>2.8409122362311745E-2</c:v>
                </c:pt>
                <c:pt idx="3070">
                  <c:v>2.8412719376743611E-2</c:v>
                </c:pt>
                <c:pt idx="3071">
                  <c:v>2.8416308610651475E-2</c:v>
                </c:pt>
                <c:pt idx="3072">
                  <c:v>2.8419890063549058E-2</c:v>
                </c:pt>
                <c:pt idx="3073">
                  <c:v>2.8423463735679499E-2</c:v>
                </c:pt>
                <c:pt idx="3074">
                  <c:v>2.8427029626637568E-2</c:v>
                </c:pt>
                <c:pt idx="3075">
                  <c:v>2.8430587736909541E-2</c:v>
                </c:pt>
                <c:pt idx="3076">
                  <c:v>2.8434138066171233E-2</c:v>
                </c:pt>
                <c:pt idx="3077">
                  <c:v>2.8437680614584737E-2</c:v>
                </c:pt>
                <c:pt idx="3078">
                  <c:v>2.8441215381987961E-2</c:v>
                </c:pt>
                <c:pt idx="3079">
                  <c:v>2.8444742368705089E-2</c:v>
                </c:pt>
                <c:pt idx="3080">
                  <c:v>2.8448261574411937E-2</c:v>
                </c:pt>
                <c:pt idx="3081">
                  <c:v>2.8451772999108504E-2</c:v>
                </c:pt>
                <c:pt idx="3082">
                  <c:v>2.845527664303793E-2</c:v>
                </c:pt>
                <c:pt idx="3083">
                  <c:v>2.8458772505957075E-2</c:v>
                </c:pt>
                <c:pt idx="3084">
                  <c:v>2.8462260588190125E-2</c:v>
                </c:pt>
                <c:pt idx="3085">
                  <c:v>2.8465740889169755E-2</c:v>
                </c:pt>
                <c:pt idx="3086">
                  <c:v>2.8469213409544336E-2</c:v>
                </c:pt>
                <c:pt idx="3087">
                  <c:v>2.8472678148989683E-2</c:v>
                </c:pt>
                <c:pt idx="3088">
                  <c:v>2.8476135107424749E-2</c:v>
                </c:pt>
                <c:pt idx="3089">
                  <c:v>2.8479584285011628E-2</c:v>
                </c:pt>
                <c:pt idx="3090">
                  <c:v>2.8483025681750318E-2</c:v>
                </c:pt>
                <c:pt idx="3091">
                  <c:v>2.8486459297478728E-2</c:v>
                </c:pt>
                <c:pt idx="3092">
                  <c:v>2.8489885132277903E-2</c:v>
                </c:pt>
                <c:pt idx="3093">
                  <c:v>2.8493303186309937E-2</c:v>
                </c:pt>
                <c:pt idx="3094">
                  <c:v>2.8496713459412737E-2</c:v>
                </c:pt>
                <c:pt idx="3095">
                  <c:v>2.8500115951505256E-2</c:v>
                </c:pt>
                <c:pt idx="3096">
                  <c:v>2.8503510662668541E-2</c:v>
                </c:pt>
                <c:pt idx="3097">
                  <c:v>2.8506897593064684E-2</c:v>
                </c:pt>
                <c:pt idx="3098">
                  <c:v>2.8510276742531593E-2</c:v>
                </c:pt>
                <c:pt idx="3099">
                  <c:v>2.8513648110988221E-2</c:v>
                </c:pt>
                <c:pt idx="3100">
                  <c:v>2.8517011698596662E-2</c:v>
                </c:pt>
                <c:pt idx="3101">
                  <c:v>2.8520367505356914E-2</c:v>
                </c:pt>
                <c:pt idx="3102">
                  <c:v>2.8523715531268978E-2</c:v>
                </c:pt>
                <c:pt idx="3103">
                  <c:v>2.8527055776089716E-2</c:v>
                </c:pt>
                <c:pt idx="3104">
                  <c:v>2.8530388240143312E-2</c:v>
                </c:pt>
                <c:pt idx="3105">
                  <c:v>2.8533712923186627E-2</c:v>
                </c:pt>
                <c:pt idx="3106">
                  <c:v>2.8537029825381754E-2</c:v>
                </c:pt>
                <c:pt idx="3107">
                  <c:v>2.8540338946647648E-2</c:v>
                </c:pt>
                <c:pt idx="3108">
                  <c:v>2.8543640287146399E-2</c:v>
                </c:pt>
                <c:pt idx="3109">
                  <c:v>2.854693384663487E-2</c:v>
                </c:pt>
                <c:pt idx="3110">
                  <c:v>2.8550219625032014E-2</c:v>
                </c:pt>
                <c:pt idx="3111">
                  <c:v>2.8553497622824109E-2</c:v>
                </c:pt>
                <c:pt idx="3112">
                  <c:v>2.8556767839524877E-2</c:v>
                </c:pt>
                <c:pt idx="3113">
                  <c:v>2.8560030275377457E-2</c:v>
                </c:pt>
                <c:pt idx="3114">
                  <c:v>2.8563284930219757E-2</c:v>
                </c:pt>
                <c:pt idx="3115">
                  <c:v>2.8566531804294915E-2</c:v>
                </c:pt>
                <c:pt idx="3116">
                  <c:v>2.8569770897440838E-2</c:v>
                </c:pt>
                <c:pt idx="3117">
                  <c:v>2.8573002209657528E-2</c:v>
                </c:pt>
                <c:pt idx="3118">
                  <c:v>2.8576225740863936E-2</c:v>
                </c:pt>
                <c:pt idx="3119">
                  <c:v>2.857944149138425E-2</c:v>
                </c:pt>
                <c:pt idx="3120">
                  <c:v>2.8582649460813236E-2</c:v>
                </c:pt>
                <c:pt idx="3121">
                  <c:v>2.8585849649394035E-2</c:v>
                </c:pt>
                <c:pt idx="3122">
                  <c:v>2.8589042057045599E-2</c:v>
                </c:pt>
                <c:pt idx="3123">
                  <c:v>2.859222668376793E-2</c:v>
                </c:pt>
                <c:pt idx="3124">
                  <c:v>2.8595403529642072E-2</c:v>
                </c:pt>
                <c:pt idx="3125">
                  <c:v>2.8598572594505933E-2</c:v>
                </c:pt>
                <c:pt idx="3126">
                  <c:v>2.8602184855364143E-2</c:v>
                </c:pt>
                <c:pt idx="3127">
                  <c:v>2.8605337246900842E-2</c:v>
                </c:pt>
                <c:pt idx="3128">
                  <c:v>2.8608481857670398E-2</c:v>
                </c:pt>
                <c:pt idx="3129">
                  <c:v>2.8611618687429674E-2</c:v>
                </c:pt>
                <c:pt idx="3130">
                  <c:v>2.8614747736097623E-2</c:v>
                </c:pt>
                <c:pt idx="3131">
                  <c:v>2.8617869004079477E-2</c:v>
                </c:pt>
                <c:pt idx="3132">
                  <c:v>2.862098249105105E-2</c:v>
                </c:pt>
                <c:pt idx="3133">
                  <c:v>2.8624088197093389E-2</c:v>
                </c:pt>
                <c:pt idx="3134">
                  <c:v>2.862718612228754E-2</c:v>
                </c:pt>
                <c:pt idx="3135">
                  <c:v>2.8630276266633503E-2</c:v>
                </c:pt>
                <c:pt idx="3136">
                  <c:v>2.8633358629969186E-2</c:v>
                </c:pt>
                <c:pt idx="3137">
                  <c:v>2.8636433212213541E-2</c:v>
                </c:pt>
                <c:pt idx="3138">
                  <c:v>2.8639500013852848E-2</c:v>
                </c:pt>
                <c:pt idx="3139">
                  <c:v>2.8642559034481874E-2</c:v>
                </c:pt>
                <c:pt idx="3140">
                  <c:v>2.8645610274100619E-2</c:v>
                </c:pt>
                <c:pt idx="3141">
                  <c:v>2.8648653732952223E-2</c:v>
                </c:pt>
                <c:pt idx="3142">
                  <c:v>2.8651689410874592E-2</c:v>
                </c:pt>
                <c:pt idx="3143">
                  <c:v>2.8654717307705635E-2</c:v>
                </c:pt>
                <c:pt idx="3144">
                  <c:v>2.8657737423607443E-2</c:v>
                </c:pt>
                <c:pt idx="3145">
                  <c:v>2.8660749758904203E-2</c:v>
                </c:pt>
                <c:pt idx="3146">
                  <c:v>2.8663754313028589E-2</c:v>
                </c:pt>
                <c:pt idx="3147">
                  <c:v>2.8666751086385833E-2</c:v>
                </c:pt>
                <c:pt idx="3148">
                  <c:v>2.8669740078651751E-2</c:v>
                </c:pt>
                <c:pt idx="3149">
                  <c:v>2.8672721290231573E-2</c:v>
                </c:pt>
                <c:pt idx="3150">
                  <c:v>2.8675694720639022E-2</c:v>
                </c:pt>
                <c:pt idx="3151">
                  <c:v>2.867866037027933E-2</c:v>
                </c:pt>
                <c:pt idx="3152">
                  <c:v>2.8681618239071449E-2</c:v>
                </c:pt>
                <c:pt idx="3153">
                  <c:v>2.8684568326934334E-2</c:v>
                </c:pt>
                <c:pt idx="3154">
                  <c:v>2.8687510633786939E-2</c:v>
                </c:pt>
                <c:pt idx="3155">
                  <c:v>2.8690445159629263E-2</c:v>
                </c:pt>
                <c:pt idx="3156">
                  <c:v>2.8693371904785492E-2</c:v>
                </c:pt>
                <c:pt idx="3157">
                  <c:v>2.869629086893144E-2</c:v>
                </c:pt>
                <c:pt idx="3158">
                  <c:v>2.8699202051986061E-2</c:v>
                </c:pt>
                <c:pt idx="3159">
                  <c:v>2.8702105454354587E-2</c:v>
                </c:pt>
                <c:pt idx="3160">
                  <c:v>2.8705001075793879E-2</c:v>
                </c:pt>
                <c:pt idx="3161">
                  <c:v>2.8707888916303936E-2</c:v>
                </c:pt>
                <c:pt idx="3162">
                  <c:v>2.8710768975722667E-2</c:v>
                </c:pt>
                <c:pt idx="3163">
                  <c:v>2.8713641254455302E-2</c:v>
                </c:pt>
                <c:pt idx="3164">
                  <c:v>2.8716505752177657E-2</c:v>
                </c:pt>
                <c:pt idx="3165">
                  <c:v>2.8719362468970777E-2</c:v>
                </c:pt>
                <c:pt idx="3166">
                  <c:v>2.8722211404834663E-2</c:v>
                </c:pt>
                <c:pt idx="3167">
                  <c:v>2.8725052559769315E-2</c:v>
                </c:pt>
                <c:pt idx="3168">
                  <c:v>2.8727885933855779E-2</c:v>
                </c:pt>
                <c:pt idx="3169">
                  <c:v>2.8730711526850916E-2</c:v>
                </c:pt>
                <c:pt idx="3170">
                  <c:v>2.8733529339078911E-2</c:v>
                </c:pt>
                <c:pt idx="3171">
                  <c:v>2.8736339370377673E-2</c:v>
                </c:pt>
                <c:pt idx="3172">
                  <c:v>2.8739141620747199E-2</c:v>
                </c:pt>
                <c:pt idx="3173">
                  <c:v>2.8741936090106446E-2</c:v>
                </c:pt>
                <c:pt idx="3174">
                  <c:v>2.8744722778617504E-2</c:v>
                </c:pt>
                <c:pt idx="3175">
                  <c:v>2.8747501686199328E-2</c:v>
                </c:pt>
                <c:pt idx="3176">
                  <c:v>2.8750272812932964E-2</c:v>
                </c:pt>
                <c:pt idx="3177">
                  <c:v>2.875303615865632E-2</c:v>
                </c:pt>
                <c:pt idx="3178">
                  <c:v>2.8755791723531487E-2</c:v>
                </c:pt>
                <c:pt idx="3179">
                  <c:v>2.8758539507477421E-2</c:v>
                </c:pt>
                <c:pt idx="3180">
                  <c:v>2.8761279510413074E-2</c:v>
                </c:pt>
                <c:pt idx="3181">
                  <c:v>2.8764011732500538E-2</c:v>
                </c:pt>
                <c:pt idx="3182">
                  <c:v>2.8766736173658769E-2</c:v>
                </c:pt>
                <c:pt idx="3183">
                  <c:v>2.8769452833887765E-2</c:v>
                </c:pt>
                <c:pt idx="3184">
                  <c:v>2.8772161713187527E-2</c:v>
                </c:pt>
                <c:pt idx="3185">
                  <c:v>2.8774862811639101E-2</c:v>
                </c:pt>
                <c:pt idx="3186">
                  <c:v>2.8777556129161441E-2</c:v>
                </c:pt>
                <c:pt idx="3187">
                  <c:v>2.8780241665592454E-2</c:v>
                </c:pt>
                <c:pt idx="3188">
                  <c:v>2.8782919421256326E-2</c:v>
                </c:pt>
                <c:pt idx="3189">
                  <c:v>2.8785589395909916E-2</c:v>
                </c:pt>
                <c:pt idx="3190">
                  <c:v>2.8788251589715319E-2</c:v>
                </c:pt>
                <c:pt idx="3191">
                  <c:v>2.8790906002510441E-2</c:v>
                </c:pt>
                <c:pt idx="3192">
                  <c:v>2.8793552634538422E-2</c:v>
                </c:pt>
                <c:pt idx="3193">
                  <c:v>2.8796191485475076E-2</c:v>
                </c:pt>
                <c:pt idx="3194">
                  <c:v>2.8798822555563541E-2</c:v>
                </c:pt>
                <c:pt idx="3195">
                  <c:v>2.8801445844722773E-2</c:v>
                </c:pt>
                <c:pt idx="3196">
                  <c:v>2.8804061353033816E-2</c:v>
                </c:pt>
                <c:pt idx="3197">
                  <c:v>2.8806669080334579E-2</c:v>
                </c:pt>
                <c:pt idx="3198">
                  <c:v>2.8809269026706108E-2</c:v>
                </c:pt>
                <c:pt idx="3199">
                  <c:v>2.8811861192067356E-2</c:v>
                </c:pt>
                <c:pt idx="3200">
                  <c:v>2.8814445576661463E-2</c:v>
                </c:pt>
                <c:pt idx="3201">
                  <c:v>2.8817022180245289E-2</c:v>
                </c:pt>
                <c:pt idx="3202">
                  <c:v>2.881959100289988E-2</c:v>
                </c:pt>
                <c:pt idx="3203">
                  <c:v>2.8822152044868377E-2</c:v>
                </c:pt>
                <c:pt idx="3204">
                  <c:v>2.8824705305583453E-2</c:v>
                </c:pt>
                <c:pt idx="3205">
                  <c:v>2.8827250785531389E-2</c:v>
                </c:pt>
                <c:pt idx="3206">
                  <c:v>2.8829788484387997E-2</c:v>
                </c:pt>
                <c:pt idx="3207">
                  <c:v>2.8832318402639556E-2</c:v>
                </c:pt>
                <c:pt idx="3208">
                  <c:v>2.8834840539718742E-2</c:v>
                </c:pt>
                <c:pt idx="3209">
                  <c:v>2.8837354895868694E-2</c:v>
                </c:pt>
                <c:pt idx="3210">
                  <c:v>2.8839861471251504E-2</c:v>
                </c:pt>
                <c:pt idx="3211">
                  <c:v>2.8842360265624034E-2</c:v>
                </c:pt>
                <c:pt idx="3212">
                  <c:v>2.8844851279067329E-2</c:v>
                </c:pt>
                <c:pt idx="3213">
                  <c:v>2.8847334511500344E-2</c:v>
                </c:pt>
                <c:pt idx="3214">
                  <c:v>2.8849809963166217E-2</c:v>
                </c:pt>
                <c:pt idx="3215">
                  <c:v>2.885227763382181E-2</c:v>
                </c:pt>
                <c:pt idx="3216">
                  <c:v>2.885473752330503E-2</c:v>
                </c:pt>
                <c:pt idx="3217">
                  <c:v>2.88571896321832E-2</c:v>
                </c:pt>
                <c:pt idx="3218">
                  <c:v>2.8859633960213182E-2</c:v>
                </c:pt>
                <c:pt idx="3219">
                  <c:v>2.8862070507151838E-2</c:v>
                </c:pt>
                <c:pt idx="3220">
                  <c:v>2.8864499273080213E-2</c:v>
                </c:pt>
                <c:pt idx="3221">
                  <c:v>2.8866920258241446E-2</c:v>
                </c:pt>
                <c:pt idx="3222">
                  <c:v>2.8869333462392399E-2</c:v>
                </c:pt>
                <c:pt idx="3223">
                  <c:v>2.8871738885614118E-2</c:v>
                </c:pt>
                <c:pt idx="3224">
                  <c:v>2.8874136527906602E-2</c:v>
                </c:pt>
                <c:pt idx="3225">
                  <c:v>2.8876526389431945E-2</c:v>
                </c:pt>
                <c:pt idx="3226">
                  <c:v>2.887890846986596E-2</c:v>
                </c:pt>
                <c:pt idx="3227">
                  <c:v>2.8881282769208649E-2</c:v>
                </c:pt>
                <c:pt idx="3228">
                  <c:v>2.8883649287784197E-2</c:v>
                </c:pt>
                <c:pt idx="3229">
                  <c:v>2.8886008025592602E-2</c:v>
                </c:pt>
                <c:pt idx="3230">
                  <c:v>2.8888694198155873E-2</c:v>
                </c:pt>
                <c:pt idx="3231">
                  <c:v>2.8891036262231884E-2</c:v>
                </c:pt>
                <c:pt idx="3232">
                  <c:v>2.8893370545621799E-2</c:v>
                </c:pt>
                <c:pt idx="3233">
                  <c:v>2.8895697047920388E-2</c:v>
                </c:pt>
                <c:pt idx="3234">
                  <c:v>2.8898015769532881E-2</c:v>
                </c:pt>
                <c:pt idx="3235">
                  <c:v>2.8900326710054047E-2</c:v>
                </c:pt>
                <c:pt idx="3236">
                  <c:v>2.8902629869564933E-2</c:v>
                </c:pt>
                <c:pt idx="3237">
                  <c:v>2.8904925248389723E-2</c:v>
                </c:pt>
                <c:pt idx="3238">
                  <c:v>2.8907212846042141E-2</c:v>
                </c:pt>
                <c:pt idx="3239">
                  <c:v>2.8909492662684277E-2</c:v>
                </c:pt>
                <c:pt idx="3240">
                  <c:v>2.8911764698559272E-2</c:v>
                </c:pt>
                <c:pt idx="3241">
                  <c:v>2.8914028953667126E-2</c:v>
                </c:pt>
                <c:pt idx="3242">
                  <c:v>2.8916285427683652E-2</c:v>
                </c:pt>
                <c:pt idx="3243">
                  <c:v>2.8918534120608852E-2</c:v>
                </c:pt>
                <c:pt idx="3244">
                  <c:v>2.8920775032929003E-2</c:v>
                </c:pt>
                <c:pt idx="3245">
                  <c:v>2.8928228961654368E-2</c:v>
                </c:pt>
                <c:pt idx="3246">
                  <c:v>2.8925233514457416E-2</c:v>
                </c:pt>
                <c:pt idx="3247">
                  <c:v>2.8927451083746725E-2</c:v>
                </c:pt>
                <c:pt idx="3248">
                  <c:v>2.8929660872106799E-2</c:v>
                </c:pt>
                <c:pt idx="3249">
                  <c:v>2.8931862879699732E-2</c:v>
                </c:pt>
                <c:pt idx="3250">
                  <c:v>2.8934057106201339E-2</c:v>
                </c:pt>
                <c:pt idx="3251">
                  <c:v>2.893624355177371E-2</c:v>
                </c:pt>
                <c:pt idx="3252">
                  <c:v>2.8938422216578941E-2</c:v>
                </c:pt>
                <c:pt idx="3253">
                  <c:v>2.894059310037389E-2</c:v>
                </c:pt>
                <c:pt idx="3254">
                  <c:v>2.8942756203077513E-2</c:v>
                </c:pt>
                <c:pt idx="3255">
                  <c:v>2.8944911525176087E-2</c:v>
                </c:pt>
                <c:pt idx="3256">
                  <c:v>2.8947059066102288E-2</c:v>
                </c:pt>
                <c:pt idx="3257">
                  <c:v>2.8949198826018208E-2</c:v>
                </c:pt>
                <c:pt idx="3258">
                  <c:v>2.8951330805166986E-2</c:v>
                </c:pt>
                <c:pt idx="3259">
                  <c:v>2.895345500338653E-2</c:v>
                </c:pt>
                <c:pt idx="3260">
                  <c:v>2.8955571420595794E-2</c:v>
                </c:pt>
                <c:pt idx="3261">
                  <c:v>2.8957680056794777E-2</c:v>
                </c:pt>
                <c:pt idx="3262">
                  <c:v>2.8959780912307664E-2</c:v>
                </c:pt>
                <c:pt idx="3263">
                  <c:v>2.8961873986729225E-2</c:v>
                </c:pt>
                <c:pt idx="3264">
                  <c:v>2.8963959280140505E-2</c:v>
                </c:pt>
                <c:pt idx="3265">
                  <c:v>2.8966036792622551E-2</c:v>
                </c:pt>
                <c:pt idx="3266">
                  <c:v>2.8968106524337456E-2</c:v>
                </c:pt>
                <c:pt idx="3267">
                  <c:v>2.8970168475123126E-2</c:v>
                </c:pt>
                <c:pt idx="3268">
                  <c:v>2.8972222644736423E-2</c:v>
                </c:pt>
                <c:pt idx="3269">
                  <c:v>2.8974269033582578E-2</c:v>
                </c:pt>
                <c:pt idx="3270">
                  <c:v>2.8976307641580545E-2</c:v>
                </c:pt>
                <c:pt idx="3271">
                  <c:v>2.8978338468487186E-2</c:v>
                </c:pt>
                <c:pt idx="3272">
                  <c:v>2.8980361514464592E-2</c:v>
                </c:pt>
                <c:pt idx="3273">
                  <c:v>2.8982376779674857E-2</c:v>
                </c:pt>
                <c:pt idx="3274">
                  <c:v>2.8984384263793794E-2</c:v>
                </c:pt>
                <c:pt idx="3275">
                  <c:v>2.8986383966983498E-2</c:v>
                </c:pt>
                <c:pt idx="3276">
                  <c:v>2.8988375889243967E-2</c:v>
                </c:pt>
                <c:pt idx="3277">
                  <c:v>2.8990360030656248E-2</c:v>
                </c:pt>
                <c:pt idx="3278">
                  <c:v>2.8992336391058249E-2</c:v>
                </c:pt>
                <c:pt idx="3279">
                  <c:v>2.8994304970449969E-2</c:v>
                </c:pt>
                <c:pt idx="3280">
                  <c:v>2.8996265768912455E-2</c:v>
                </c:pt>
                <c:pt idx="3281">
                  <c:v>2.8998218786688845E-2</c:v>
                </c:pt>
                <c:pt idx="3282">
                  <c:v>2.9003022607905587E-2</c:v>
                </c:pt>
                <c:pt idx="3283">
                  <c:v>2.9004958148051523E-2</c:v>
                </c:pt>
                <c:pt idx="3284">
                  <c:v>2.9006885905998502E-2</c:v>
                </c:pt>
                <c:pt idx="3285">
                  <c:v>2.9008805881881598E-2</c:v>
                </c:pt>
                <c:pt idx="3286">
                  <c:v>2.9010718075565732E-2</c:v>
                </c:pt>
                <c:pt idx="3287">
                  <c:v>2.9012622487104938E-2</c:v>
                </c:pt>
                <c:pt idx="3288">
                  <c:v>2.9014519116472202E-2</c:v>
                </c:pt>
                <c:pt idx="3289">
                  <c:v>2.9016407963748568E-2</c:v>
                </c:pt>
                <c:pt idx="3290">
                  <c:v>2.9018289028798959E-2</c:v>
                </c:pt>
                <c:pt idx="3291">
                  <c:v>2.9020162311704421E-2</c:v>
                </c:pt>
                <c:pt idx="3292">
                  <c:v>2.9022027812491972E-2</c:v>
                </c:pt>
                <c:pt idx="3293">
                  <c:v>2.9023885531107577E-2</c:v>
                </c:pt>
                <c:pt idx="3294">
                  <c:v>2.9025735467551238E-2</c:v>
                </c:pt>
                <c:pt idx="3295">
                  <c:v>2.9026056474066309E-2</c:v>
                </c:pt>
                <c:pt idx="3296">
                  <c:v>2.9027887219831294E-2</c:v>
                </c:pt>
                <c:pt idx="3297">
                  <c:v>2.9029710184585999E-2</c:v>
                </c:pt>
                <c:pt idx="3298">
                  <c:v>2.9031525368492517E-2</c:v>
                </c:pt>
                <c:pt idx="3299">
                  <c:v>2.9033332771388753E-2</c:v>
                </c:pt>
                <c:pt idx="3300">
                  <c:v>2.9035132393355756E-2</c:v>
                </c:pt>
                <c:pt idx="3301">
                  <c:v>2.9036924234312478E-2</c:v>
                </c:pt>
                <c:pt idx="3302">
                  <c:v>2.9038708294583104E-2</c:v>
                </c:pt>
                <c:pt idx="3303">
                  <c:v>2.9040484573681358E-2</c:v>
                </c:pt>
                <c:pt idx="3304">
                  <c:v>2.9042253071850377E-2</c:v>
                </c:pt>
                <c:pt idx="3305">
                  <c:v>2.9044013789090162E-2</c:v>
                </c:pt>
                <c:pt idx="3306">
                  <c:v>2.9045766725643851E-2</c:v>
                </c:pt>
                <c:pt idx="3307">
                  <c:v>2.9047511881025168E-2</c:v>
                </c:pt>
                <c:pt idx="3308">
                  <c:v>2.9049249255315157E-2</c:v>
                </c:pt>
                <c:pt idx="3309">
                  <c:v>2.9050978849000098E-2</c:v>
                </c:pt>
                <c:pt idx="3310">
                  <c:v>2.9052700661593711E-2</c:v>
                </c:pt>
                <c:pt idx="3311">
                  <c:v>2.9054414693095998E-2</c:v>
                </c:pt>
                <c:pt idx="3312">
                  <c:v>2.9056120943831143E-2</c:v>
                </c:pt>
                <c:pt idx="3313">
                  <c:v>2.90578194137181E-2</c:v>
                </c:pt>
                <c:pt idx="3314">
                  <c:v>2.9059510102594777E-2</c:v>
                </c:pt>
                <c:pt idx="3315">
                  <c:v>2.906119301029908E-2</c:v>
                </c:pt>
                <c:pt idx="3316">
                  <c:v>2.9062868137398334E-2</c:v>
                </c:pt>
                <c:pt idx="3317">
                  <c:v>2.9064535483406262E-2</c:v>
                </c:pt>
                <c:pt idx="3318">
                  <c:v>2.9066195048484955E-2</c:v>
                </c:pt>
                <c:pt idx="3319">
                  <c:v>2.9067846832553368E-2</c:v>
                </c:pt>
                <c:pt idx="3320">
                  <c:v>2.9069490835773593E-2</c:v>
                </c:pt>
                <c:pt idx="3321">
                  <c:v>2.9071127057983537E-2</c:v>
                </c:pt>
                <c:pt idx="3322">
                  <c:v>2.90727554991832E-2</c:v>
                </c:pt>
                <c:pt idx="3323">
                  <c:v>2.9074376159615722E-2</c:v>
                </c:pt>
                <c:pt idx="3324">
                  <c:v>2.907598903911901E-2</c:v>
                </c:pt>
                <c:pt idx="3325">
                  <c:v>2.9077594137530971E-2</c:v>
                </c:pt>
                <c:pt idx="3326">
                  <c:v>2.9079191454932651E-2</c:v>
                </c:pt>
                <c:pt idx="3327">
                  <c:v>2.9080780991729283E-2</c:v>
                </c:pt>
                <c:pt idx="3328">
                  <c:v>2.9082362747353541E-2</c:v>
                </c:pt>
                <c:pt idx="3329">
                  <c:v>2.9083936722129611E-2</c:v>
                </c:pt>
                <c:pt idx="3330">
                  <c:v>2.9085502915814354E-2</c:v>
                </c:pt>
                <c:pt idx="3331">
                  <c:v>2.9087061328731956E-2</c:v>
                </c:pt>
                <c:pt idx="3332">
                  <c:v>2.9088611960558231E-2</c:v>
                </c:pt>
                <c:pt idx="3333">
                  <c:v>2.9090154811536317E-2</c:v>
                </c:pt>
                <c:pt idx="3334">
                  <c:v>2.9091689881423077E-2</c:v>
                </c:pt>
                <c:pt idx="3335">
                  <c:v>2.9093217170542696E-2</c:v>
                </c:pt>
                <c:pt idx="3336">
                  <c:v>2.909473667873308E-2</c:v>
                </c:pt>
                <c:pt idx="3337">
                  <c:v>2.9096248405832137E-2</c:v>
                </c:pt>
                <c:pt idx="3338">
                  <c:v>2.9097752352083006E-2</c:v>
                </c:pt>
                <c:pt idx="3339">
                  <c:v>2.9099248517404641E-2</c:v>
                </c:pt>
                <c:pt idx="3340">
                  <c:v>2.9100736901715996E-2</c:v>
                </c:pt>
                <c:pt idx="3341">
                  <c:v>2.9102217505098116E-2</c:v>
                </c:pt>
                <c:pt idx="3342">
                  <c:v>2.9103690327632048E-2</c:v>
                </c:pt>
                <c:pt idx="3343">
                  <c:v>2.91051553691557E-2</c:v>
                </c:pt>
                <c:pt idx="3344">
                  <c:v>2.9106612629669071E-2</c:v>
                </c:pt>
                <c:pt idx="3345">
                  <c:v>2.9108062109334254E-2</c:v>
                </c:pt>
                <c:pt idx="3346">
                  <c:v>2.9109503808151249E-2</c:v>
                </c:pt>
                <c:pt idx="3347">
                  <c:v>2.9110937725795871E-2</c:v>
                </c:pt>
                <c:pt idx="3348">
                  <c:v>2.9112363862511259E-2</c:v>
                </c:pt>
                <c:pt idx="3349">
                  <c:v>2.9113782218459505E-2</c:v>
                </c:pt>
                <c:pt idx="3350">
                  <c:v>2.9115192793397471E-2</c:v>
                </c:pt>
                <c:pt idx="3351">
                  <c:v>2.9116595587325156E-2</c:v>
                </c:pt>
                <c:pt idx="3352">
                  <c:v>2.9117990600404653E-2</c:v>
                </c:pt>
                <c:pt idx="3353">
                  <c:v>2.9119377832554916E-2</c:v>
                </c:pt>
                <c:pt idx="3354">
                  <c:v>2.9120757283694898E-2</c:v>
                </c:pt>
                <c:pt idx="3355">
                  <c:v>2.91221289538246E-2</c:v>
                </c:pt>
                <c:pt idx="3356">
                  <c:v>2.9123492843106114E-2</c:v>
                </c:pt>
                <c:pt idx="3357">
                  <c:v>2.9124848951458393E-2</c:v>
                </c:pt>
                <c:pt idx="3358">
                  <c:v>2.9126197278719346E-2</c:v>
                </c:pt>
                <c:pt idx="3359">
                  <c:v>2.9127537825213157E-2</c:v>
                </c:pt>
                <c:pt idx="3360">
                  <c:v>2.9128870590696687E-2</c:v>
                </c:pt>
                <c:pt idx="3361">
                  <c:v>2.9130195575250983E-2</c:v>
                </c:pt>
                <c:pt idx="3362">
                  <c:v>2.9131512778713953E-2</c:v>
                </c:pt>
                <c:pt idx="3363">
                  <c:v>2.9132822201571873E-2</c:v>
                </c:pt>
                <c:pt idx="3364">
                  <c:v>2.9134123843176374E-2</c:v>
                </c:pt>
                <c:pt idx="3365">
                  <c:v>2.9135417703932687E-2</c:v>
                </c:pt>
                <c:pt idx="3366">
                  <c:v>2.9136703783678719E-2</c:v>
                </c:pt>
                <c:pt idx="3367">
                  <c:v>2.913798208265761E-2</c:v>
                </c:pt>
                <c:pt idx="3368">
                  <c:v>2.9139252600464127E-2</c:v>
                </c:pt>
                <c:pt idx="3369">
                  <c:v>2.9140515337422457E-2</c:v>
                </c:pt>
                <c:pt idx="3370">
                  <c:v>2.9141770293451552E-2</c:v>
                </c:pt>
                <c:pt idx="3371">
                  <c:v>2.9143017468632459E-2</c:v>
                </c:pt>
                <c:pt idx="3372">
                  <c:v>2.9144256862803086E-2</c:v>
                </c:pt>
                <c:pt idx="3373">
                  <c:v>2.9145488475882386E-2</c:v>
                </c:pt>
                <c:pt idx="3374">
                  <c:v>2.9146712308194545E-2</c:v>
                </c:pt>
                <c:pt idx="3375">
                  <c:v>2.9147928359577469E-2</c:v>
                </c:pt>
                <c:pt idx="3376">
                  <c:v>2.9149136629788019E-2</c:v>
                </c:pt>
                <c:pt idx="3377">
                  <c:v>2.9150337119231429E-2</c:v>
                </c:pt>
                <c:pt idx="3378">
                  <c:v>2.9151529827745604E-2</c:v>
                </c:pt>
                <c:pt idx="3379">
                  <c:v>2.9152714755249498E-2</c:v>
                </c:pt>
                <c:pt idx="3380">
                  <c:v>2.9153891901824158E-2</c:v>
                </c:pt>
                <c:pt idx="3381">
                  <c:v>2.9155061267307492E-2</c:v>
                </c:pt>
                <c:pt idx="3382">
                  <c:v>2.915622285210473E-2</c:v>
                </c:pt>
                <c:pt idx="3383">
                  <c:v>2.9157376655891687E-2</c:v>
                </c:pt>
                <c:pt idx="3384">
                  <c:v>2.9158522678587318E-2</c:v>
                </c:pt>
                <c:pt idx="3385">
                  <c:v>2.9159660920515806E-2</c:v>
                </c:pt>
                <c:pt idx="3386">
                  <c:v>2.9160791381352968E-2</c:v>
                </c:pt>
                <c:pt idx="3387">
                  <c:v>2.9161914061341943E-2</c:v>
                </c:pt>
                <c:pt idx="3388">
                  <c:v>2.9163028960320636E-2</c:v>
                </c:pt>
                <c:pt idx="3389">
                  <c:v>2.9164136078370095E-2</c:v>
                </c:pt>
                <c:pt idx="3390">
                  <c:v>2.9165235415571367E-2</c:v>
                </c:pt>
                <c:pt idx="3391">
                  <c:v>2.9166326971519219E-2</c:v>
                </c:pt>
                <c:pt idx="3392">
                  <c:v>2.9167410746780975E-2</c:v>
                </c:pt>
                <c:pt idx="3393">
                  <c:v>2.9168486741194544E-2</c:v>
                </c:pt>
                <c:pt idx="3394">
                  <c:v>2.9169554954435739E-2</c:v>
                </c:pt>
                <c:pt idx="3395">
                  <c:v>2.91706153867477E-2</c:v>
                </c:pt>
                <c:pt idx="3396">
                  <c:v>2.9171668038211473E-2</c:v>
                </c:pt>
                <c:pt idx="3397">
                  <c:v>2.9172712908664966E-2</c:v>
                </c:pt>
                <c:pt idx="3398">
                  <c:v>2.9173749998108178E-2</c:v>
                </c:pt>
                <c:pt idx="3399">
                  <c:v>2.9174779306784249E-2</c:v>
                </c:pt>
                <c:pt idx="3400">
                  <c:v>2.9175800834531085E-2</c:v>
                </c:pt>
                <c:pt idx="3401">
                  <c:v>2.9176814581186594E-2</c:v>
                </c:pt>
                <c:pt idx="3402">
                  <c:v>2.9177820546750777E-2</c:v>
                </c:pt>
                <c:pt idx="3403">
                  <c:v>2.9178818731628864E-2</c:v>
                </c:pt>
                <c:pt idx="3404">
                  <c:v>2.9179809135577717E-2</c:v>
                </c:pt>
                <c:pt idx="3405">
                  <c:v>2.9180791758354196E-2</c:v>
                </c:pt>
                <c:pt idx="3406">
                  <c:v>2.9181766600282488E-2</c:v>
                </c:pt>
                <c:pt idx="3407">
                  <c:v>2.9182733661362592E-2</c:v>
                </c:pt>
                <c:pt idx="3408">
                  <c:v>2.9183692941351369E-2</c:v>
                </c:pt>
                <c:pt idx="3409">
                  <c:v>2.9184644440410912E-2</c:v>
                </c:pt>
                <c:pt idx="3410">
                  <c:v>2.9185588158703313E-2</c:v>
                </c:pt>
                <c:pt idx="3411">
                  <c:v>2.9186524095823341E-2</c:v>
                </c:pt>
                <c:pt idx="3412">
                  <c:v>2.9187452252095181E-2</c:v>
                </c:pt>
                <c:pt idx="3413">
                  <c:v>2.918837262735674E-2</c:v>
                </c:pt>
                <c:pt idx="3414">
                  <c:v>2.9189285221770112E-2</c:v>
                </c:pt>
                <c:pt idx="3415">
                  <c:v>2.9190190035254249E-2</c:v>
                </c:pt>
                <c:pt idx="3416">
                  <c:v>2.9191087067566013E-2</c:v>
                </c:pt>
                <c:pt idx="3417">
                  <c:v>2.9191976319191681E-2</c:v>
                </c:pt>
                <c:pt idx="3418">
                  <c:v>2.9192857789726023E-2</c:v>
                </c:pt>
                <c:pt idx="3419">
                  <c:v>2.9193731479331131E-2</c:v>
                </c:pt>
                <c:pt idx="3420">
                  <c:v>2.9194597387925958E-2</c:v>
                </c:pt>
                <c:pt idx="3421">
                  <c:v>2.9195455515753643E-2</c:v>
                </c:pt>
                <c:pt idx="3422">
                  <c:v>2.9196305862571048E-2</c:v>
                </c:pt>
                <c:pt idx="3423">
                  <c:v>2.9197148428297126E-2</c:v>
                </c:pt>
                <c:pt idx="3424">
                  <c:v>2.9197983213256062E-2</c:v>
                </c:pt>
                <c:pt idx="3425">
                  <c:v>2.9198810217123672E-2</c:v>
                </c:pt>
                <c:pt idx="3426">
                  <c:v>2.9199629440143093E-2</c:v>
                </c:pt>
                <c:pt idx="3427">
                  <c:v>2.9200440882071188E-2</c:v>
                </c:pt>
                <c:pt idx="3428">
                  <c:v>2.9201244543232141E-2</c:v>
                </c:pt>
                <c:pt idx="3429">
                  <c:v>2.9202040423382813E-2</c:v>
                </c:pt>
                <c:pt idx="3430">
                  <c:v>2.9202828522523205E-2</c:v>
                </c:pt>
                <c:pt idx="3431">
                  <c:v>2.9203608840653317E-2</c:v>
                </c:pt>
                <c:pt idx="3432">
                  <c:v>2.9204381378097333E-2</c:v>
                </c:pt>
                <c:pt idx="3433">
                  <c:v>2.9205146134368976E-2</c:v>
                </c:pt>
                <c:pt idx="3434">
                  <c:v>2.9205903109711384E-2</c:v>
                </c:pt>
                <c:pt idx="3435">
                  <c:v>2.9206652304124558E-2</c:v>
                </c:pt>
                <c:pt idx="3436">
                  <c:v>2.9207393717689545E-2</c:v>
                </c:pt>
                <c:pt idx="3437">
                  <c:v>2.9208127350244251E-2</c:v>
                </c:pt>
                <c:pt idx="3438">
                  <c:v>2.9208956259672014E-2</c:v>
                </c:pt>
                <c:pt idx="3439">
                  <c:v>2.9209673218656418E-2</c:v>
                </c:pt>
                <c:pt idx="3440">
                  <c:v>2.9210382396792633E-2</c:v>
                </c:pt>
                <c:pt idx="3441">
                  <c:v>2.9211083794080661E-2</c:v>
                </c:pt>
                <c:pt idx="3442">
                  <c:v>2.9211777410358408E-2</c:v>
                </c:pt>
                <c:pt idx="3443">
                  <c:v>2.9212463245463782E-2</c:v>
                </c:pt>
                <c:pt idx="3444">
                  <c:v>2.9213141299964107E-2</c:v>
                </c:pt>
                <c:pt idx="3445">
                  <c:v>2.9213811573211013E-2</c:v>
                </c:pt>
                <c:pt idx="3446">
                  <c:v>2.921447406560973E-2</c:v>
                </c:pt>
                <c:pt idx="3447">
                  <c:v>2.9215128776998167E-2</c:v>
                </c:pt>
                <c:pt idx="3448">
                  <c:v>2.9215775707700509E-2</c:v>
                </c:pt>
                <c:pt idx="3449">
                  <c:v>2.9216414857311523E-2</c:v>
                </c:pt>
                <c:pt idx="3450">
                  <c:v>2.9217046225831211E-2</c:v>
                </c:pt>
                <c:pt idx="3451">
                  <c:v>2.9217669813340619E-2</c:v>
                </c:pt>
                <c:pt idx="3452">
                  <c:v>2.9218285620244977E-2</c:v>
                </c:pt>
                <c:pt idx="3453">
                  <c:v>2.9218893646139055E-2</c:v>
                </c:pt>
                <c:pt idx="3454">
                  <c:v>2.9219493890779713E-2</c:v>
                </c:pt>
                <c:pt idx="3455">
                  <c:v>2.922008635465323E-2</c:v>
                </c:pt>
                <c:pt idx="3456">
                  <c:v>2.9220671037678558E-2</c:v>
                </c:pt>
                <c:pt idx="3457">
                  <c:v>2.9221247939531514E-2</c:v>
                </c:pt>
                <c:pt idx="3458">
                  <c:v>2.9221817060536281E-2</c:v>
                </c:pt>
                <c:pt idx="3459">
                  <c:v>2.9222378400773907E-2</c:v>
                </c:pt>
                <c:pt idx="3460">
                  <c:v>2.9222931959758114E-2</c:v>
                </c:pt>
                <c:pt idx="3461">
                  <c:v>2.9223477737894132E-2</c:v>
                </c:pt>
                <c:pt idx="3462">
                  <c:v>2.9224015735181963E-2</c:v>
                </c:pt>
                <c:pt idx="3463">
                  <c:v>2.9224545951378467E-2</c:v>
                </c:pt>
                <c:pt idx="3464">
                  <c:v>2.9225068386807829E-2</c:v>
                </c:pt>
                <c:pt idx="3465">
                  <c:v>2.9225583041064818E-2</c:v>
                </c:pt>
                <c:pt idx="3466">
                  <c:v>2.9226089914635711E-2</c:v>
                </c:pt>
                <c:pt idx="3467">
                  <c:v>2.9226589007034232E-2</c:v>
                </c:pt>
                <c:pt idx="3468">
                  <c:v>2.9227080318422471E-2</c:v>
                </c:pt>
                <c:pt idx="3469">
                  <c:v>2.922756384904357E-2</c:v>
                </c:pt>
                <c:pt idx="3470">
                  <c:v>2.9228039598735434E-2</c:v>
                </c:pt>
                <c:pt idx="3471">
                  <c:v>2.9228507567254924E-2</c:v>
                </c:pt>
                <c:pt idx="3472">
                  <c:v>2.9228967755007274E-2</c:v>
                </c:pt>
                <c:pt idx="3473">
                  <c:v>2.9229420161830388E-2</c:v>
                </c:pt>
                <c:pt idx="3474">
                  <c:v>2.9229864787562176E-2</c:v>
                </c:pt>
                <c:pt idx="3475">
                  <c:v>2.9230301632445777E-2</c:v>
                </c:pt>
                <c:pt idx="3476">
                  <c:v>2.923073069623805E-2</c:v>
                </c:pt>
                <c:pt idx="3477">
                  <c:v>2.9231151979263181E-2</c:v>
                </c:pt>
                <c:pt idx="3478">
                  <c:v>2.9231565481196986E-2</c:v>
                </c:pt>
                <c:pt idx="3479">
                  <c:v>2.9231971202282603E-2</c:v>
                </c:pt>
                <c:pt idx="3480">
                  <c:v>2.9232369142438985E-2</c:v>
                </c:pt>
                <c:pt idx="3481">
                  <c:v>2.9232759301585087E-2</c:v>
                </c:pt>
                <c:pt idx="3482">
                  <c:v>2.9233141679720909E-2</c:v>
                </c:pt>
                <c:pt idx="3483">
                  <c:v>2.9233516277008542E-2</c:v>
                </c:pt>
                <c:pt idx="3484">
                  <c:v>2.9233883093285895E-2</c:v>
                </c:pt>
                <c:pt idx="3485">
                  <c:v>2.9234242128634014E-2</c:v>
                </c:pt>
                <c:pt idx="3486">
                  <c:v>2.9234593382971852E-2</c:v>
                </c:pt>
                <c:pt idx="3487">
                  <c:v>2.9234936856461502E-2</c:v>
                </c:pt>
                <c:pt idx="3488">
                  <c:v>2.9235272549021918E-2</c:v>
                </c:pt>
                <c:pt idx="3489">
                  <c:v>2.9235600460491007E-2</c:v>
                </c:pt>
                <c:pt idx="3490">
                  <c:v>2.9235920591030862E-2</c:v>
                </c:pt>
                <c:pt idx="3491">
                  <c:v>2.9236232940722529E-2</c:v>
                </c:pt>
                <c:pt idx="3492">
                  <c:v>2.9236537509403915E-2</c:v>
                </c:pt>
                <c:pt idx="3493">
                  <c:v>2.9236834297237113E-2</c:v>
                </c:pt>
                <c:pt idx="3494">
                  <c:v>2.9237123303897938E-2</c:v>
                </c:pt>
                <c:pt idx="3495">
                  <c:v>2.9237404529791622E-2</c:v>
                </c:pt>
                <c:pt idx="3496">
                  <c:v>2.9237677974675025E-2</c:v>
                </c:pt>
                <c:pt idx="3497">
                  <c:v>2.9237943638467101E-2</c:v>
                </c:pt>
                <c:pt idx="3498">
                  <c:v>2.9238201521410989E-2</c:v>
                </c:pt>
                <c:pt idx="3499">
                  <c:v>2.9238451623587736E-2</c:v>
                </c:pt>
                <c:pt idx="3500">
                  <c:v>2.9238693944673155E-2</c:v>
                </c:pt>
                <c:pt idx="3501">
                  <c:v>2.9238928484667248E-2</c:v>
                </c:pt>
                <c:pt idx="3502">
                  <c:v>2.9239155243975246E-2</c:v>
                </c:pt>
                <c:pt idx="3503">
                  <c:v>2.923937422211087E-2</c:v>
                </c:pt>
                <c:pt idx="3504">
                  <c:v>2.923958541931726E-2</c:v>
                </c:pt>
                <c:pt idx="3505">
                  <c:v>2.9239788835675462E-2</c:v>
                </c:pt>
                <c:pt idx="3506">
                  <c:v>2.923998447110443E-2</c:v>
                </c:pt>
                <c:pt idx="3507">
                  <c:v>2.9240172325442071E-2</c:v>
                </c:pt>
                <c:pt idx="3508">
                  <c:v>2.9240352398931524E-2</c:v>
                </c:pt>
                <c:pt idx="3509">
                  <c:v>2.9240524691491743E-2</c:v>
                </c:pt>
                <c:pt idx="3510">
                  <c:v>2.9240689202960635E-2</c:v>
                </c:pt>
                <c:pt idx="3511">
                  <c:v>2.9240845933581339E-2</c:v>
                </c:pt>
                <c:pt idx="3512">
                  <c:v>2.9240994883191762E-2</c:v>
                </c:pt>
                <c:pt idx="3513">
                  <c:v>2.9241136051872951E-2</c:v>
                </c:pt>
                <c:pt idx="3514">
                  <c:v>2.9241269439705952E-2</c:v>
                </c:pt>
                <c:pt idx="3515">
                  <c:v>2.9241395046447627E-2</c:v>
                </c:pt>
                <c:pt idx="3516">
                  <c:v>2.9241512872260067E-2</c:v>
                </c:pt>
                <c:pt idx="3517">
                  <c:v>2.9241622917224319E-2</c:v>
                </c:pt>
                <c:pt idx="3518">
                  <c:v>2.9241725181097245E-2</c:v>
                </c:pt>
                <c:pt idx="3519">
                  <c:v>2.9241819663959889E-2</c:v>
                </c:pt>
                <c:pt idx="3520">
                  <c:v>2.9241906366217485E-2</c:v>
                </c:pt>
                <c:pt idx="3521">
                  <c:v>2.9241985287221661E-2</c:v>
                </c:pt>
                <c:pt idx="3522">
                  <c:v>2.924205642737765E-2</c:v>
                </c:pt>
                <c:pt idx="3523">
                  <c:v>2.9242119786442311E-2</c:v>
                </c:pt>
                <c:pt idx="3524">
                  <c:v>2.9242175364820877E-2</c:v>
                </c:pt>
                <c:pt idx="3525">
                  <c:v>2.924222316202707E-2</c:v>
                </c:pt>
                <c:pt idx="3526">
                  <c:v>2.9242263178304029E-2</c:v>
                </c:pt>
                <c:pt idx="3527">
                  <c:v>2.92422954137328E-2</c:v>
                </c:pt>
                <c:pt idx="3528">
                  <c:v>2.924231986815129E-2</c:v>
                </c:pt>
                <c:pt idx="3529">
                  <c:v>2.9242336541640546E-2</c:v>
                </c:pt>
                <c:pt idx="3530">
                  <c:v>2.9242345434119521E-2</c:v>
                </c:pt>
                <c:pt idx="3531">
                  <c:v>#N/A</c:v>
                </c:pt>
                <c:pt idx="3532">
                  <c:v>#N/A</c:v>
                </c:pt>
                <c:pt idx="3533">
                  <c:v>#N/A</c:v>
                </c:pt>
              </c:numCache>
            </c:numRef>
          </c:val>
          <c:smooth val="0"/>
        </c:ser>
        <c:dLbls>
          <c:showLegendKey val="0"/>
          <c:showVal val="0"/>
          <c:showCatName val="0"/>
          <c:showSerName val="0"/>
          <c:showPercent val="0"/>
          <c:showBubbleSize val="0"/>
        </c:dLbls>
        <c:marker val="1"/>
        <c:smooth val="0"/>
        <c:axId val="654016896"/>
        <c:axId val="654018816"/>
      </c:lineChart>
      <c:dateAx>
        <c:axId val="654016896"/>
        <c:scaling>
          <c:orientation val="minMax"/>
          <c:max val="42650"/>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54018816"/>
        <c:crosses val="autoZero"/>
        <c:auto val="1"/>
        <c:lblOffset val="100"/>
        <c:baseTimeUnit val="days"/>
        <c:majorUnit val="3"/>
        <c:majorTimeUnit val="months"/>
      </c:dateAx>
      <c:valAx>
        <c:axId val="654018816"/>
        <c:scaling>
          <c:orientation val="minMax"/>
          <c:max val="0.02"/>
          <c:min val="5.0000000000000001E-3"/>
        </c:scaling>
        <c:delete val="0"/>
        <c:axPos val="l"/>
        <c:majorGridlines/>
        <c:numFmt formatCode="0.00%" sourceLinked="0"/>
        <c:majorTickMark val="out"/>
        <c:minorTickMark val="none"/>
        <c:tickLblPos val="nextTo"/>
        <c:crossAx val="654016896"/>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30</xdr:row>
          <xdr:rowOff>0</xdr:rowOff>
        </xdr:from>
        <xdr:to>
          <xdr:col>10</xdr:col>
          <xdr:colOff>247650</xdr:colOff>
          <xdr:row>31</xdr:row>
          <xdr:rowOff>133350</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27</xdr:row>
          <xdr:rowOff>66675</xdr:rowOff>
        </xdr:from>
        <xdr:to>
          <xdr:col>10</xdr:col>
          <xdr:colOff>247650</xdr:colOff>
          <xdr:row>29</xdr:row>
          <xdr:rowOff>57150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66675</xdr:rowOff>
        </xdr:from>
        <xdr:to>
          <xdr:col>10</xdr:col>
          <xdr:colOff>247650</xdr:colOff>
          <xdr:row>34</xdr:row>
          <xdr:rowOff>57150</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60</xdr:row>
      <xdr:rowOff>142874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9220" name="Check Box 4" hidden="1">
              <a:extLst>
                <a:ext uri="{63B3BB69-23CF-44E3-9099-C40C66FF867C}">
                  <a14:compatExt spid="_x0000_s92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24</xdr:row>
          <xdr:rowOff>133350</xdr:rowOff>
        </xdr:from>
        <xdr:to>
          <xdr:col>10</xdr:col>
          <xdr:colOff>247650</xdr:colOff>
          <xdr:row>26</xdr:row>
          <xdr:rowOff>114300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35</xdr:row>
          <xdr:rowOff>38100</xdr:rowOff>
        </xdr:from>
        <xdr:to>
          <xdr:col>10</xdr:col>
          <xdr:colOff>247650</xdr:colOff>
          <xdr:row>37</xdr:row>
          <xdr:rowOff>28575</xdr:rowOff>
        </xdr:to>
        <xdr:sp macro="" textlink="">
          <xdr:nvSpPr>
            <xdr:cNvPr id="9222" name="Length4"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38</xdr:row>
          <xdr:rowOff>0</xdr:rowOff>
        </xdr:from>
        <xdr:to>
          <xdr:col>10</xdr:col>
          <xdr:colOff>247650</xdr:colOff>
          <xdr:row>39</xdr:row>
          <xdr:rowOff>133350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104775</xdr:rowOff>
        </xdr:from>
        <xdr:to>
          <xdr:col>10</xdr:col>
          <xdr:colOff>247650</xdr:colOff>
          <xdr:row>42</xdr:row>
          <xdr:rowOff>95250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85725</xdr:rowOff>
        </xdr:from>
        <xdr:to>
          <xdr:col>10</xdr:col>
          <xdr:colOff>247650</xdr:colOff>
          <xdr:row>45</xdr:row>
          <xdr:rowOff>76200</xdr:rowOff>
        </xdr:to>
        <xdr:sp macro="" textlink="">
          <xdr:nvSpPr>
            <xdr:cNvPr id="9225" name="Length7"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9226" name="Check Box 10" hidden="1">
              <a:extLst>
                <a:ext uri="{63B3BB69-23CF-44E3-9099-C40C66FF867C}">
                  <a14:compatExt spid="_x0000_s92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9227" name="Check Box 11" hidden="1">
              <a:extLst>
                <a:ext uri="{63B3BB69-23CF-44E3-9099-C40C66FF867C}">
                  <a14:compatExt spid="_x0000_s92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198" customWidth="1"/>
    <col min="3" max="3" width="20.7109375" style="198" customWidth="1"/>
    <col min="4" max="4" width="31.7109375" style="198" bestFit="1" customWidth="1"/>
    <col min="5" max="5" width="22" style="198" bestFit="1" customWidth="1"/>
    <col min="6" max="7" width="2.7109375" style="198" customWidth="1"/>
    <col min="8" max="8" width="4" style="198" bestFit="1" customWidth="1"/>
    <col min="9" max="9" width="3.28515625" style="198" bestFit="1" customWidth="1"/>
    <col min="10" max="11" width="2.7109375" style="198" customWidth="1"/>
    <col min="12" max="12" width="18.5703125" style="198" bestFit="1" customWidth="1"/>
    <col min="13" max="13" width="53.7109375" style="198" bestFit="1" customWidth="1"/>
    <col min="14" max="14" width="2.7109375" style="198" customWidth="1"/>
    <col min="15" max="16384" width="8" style="198"/>
  </cols>
  <sheetData>
    <row r="1" spans="2:14" ht="12" thickBot="1" x14ac:dyDescent="0.25">
      <c r="B1" s="198" t="str">
        <f>_xll.qlxlVersion(TRUE,Trigger)</f>
        <v>QuantLibXL 1.5.0 - MS VC++ 9.0 - Multithreaded Dynamic Runtime library - Release Configuration - Oct  1 2014 18:48:11</v>
      </c>
    </row>
    <row r="2" spans="2:14" ht="18.75" thickBot="1" x14ac:dyDescent="0.3">
      <c r="B2" s="280" t="s">
        <v>87</v>
      </c>
      <c r="C2" s="281"/>
      <c r="D2" s="281"/>
      <c r="E2" s="281"/>
      <c r="F2" s="282"/>
      <c r="K2" s="280" t="s">
        <v>102</v>
      </c>
      <c r="L2" s="281"/>
      <c r="M2" s="281"/>
      <c r="N2" s="283"/>
    </row>
    <row r="3" spans="2:14" ht="12" thickBot="1" x14ac:dyDescent="0.25">
      <c r="B3" s="199"/>
      <c r="C3" s="200"/>
      <c r="D3" s="201"/>
      <c r="E3" s="201"/>
      <c r="F3" s="202"/>
      <c r="K3" s="246"/>
      <c r="L3" s="247"/>
      <c r="M3" s="247"/>
      <c r="N3" s="248"/>
    </row>
    <row r="4" spans="2:14" x14ac:dyDescent="0.2">
      <c r="B4" s="199"/>
      <c r="C4" s="203" t="s">
        <v>86</v>
      </c>
      <c r="D4" s="204" t="s">
        <v>80</v>
      </c>
      <c r="E4" s="201"/>
      <c r="F4" s="202"/>
      <c r="H4" s="205" t="s">
        <v>85</v>
      </c>
      <c r="I4" s="206"/>
      <c r="K4" s="246"/>
      <c r="L4" s="249" t="s">
        <v>101</v>
      </c>
      <c r="M4" s="250" t="b">
        <v>0</v>
      </c>
      <c r="N4" s="251"/>
    </row>
    <row r="5" spans="2:14" x14ac:dyDescent="0.2">
      <c r="B5" s="199"/>
      <c r="C5" s="207" t="s">
        <v>84</v>
      </c>
      <c r="D5" s="208">
        <v>3</v>
      </c>
      <c r="E5" s="201"/>
      <c r="F5" s="202"/>
      <c r="H5" s="209" t="s">
        <v>83</v>
      </c>
      <c r="I5" s="210" t="s">
        <v>82</v>
      </c>
      <c r="K5" s="246"/>
      <c r="L5" s="249" t="s">
        <v>100</v>
      </c>
      <c r="M5" s="252"/>
      <c r="N5" s="251"/>
    </row>
    <row r="6" spans="2:14" x14ac:dyDescent="0.2">
      <c r="B6" s="199"/>
      <c r="C6" s="207" t="s">
        <v>81</v>
      </c>
      <c r="D6" s="208" t="str">
        <f>_xll.qlPeriodEquivalent(D5&amp;"M")</f>
        <v>3M</v>
      </c>
      <c r="E6" s="201"/>
      <c r="F6" s="202"/>
      <c r="H6" s="209" t="s">
        <v>80</v>
      </c>
      <c r="I6" s="210" t="s">
        <v>79</v>
      </c>
      <c r="K6" s="246"/>
      <c r="L6" s="249" t="s">
        <v>99</v>
      </c>
      <c r="M6" s="253" t="b">
        <v>1</v>
      </c>
      <c r="N6" s="251"/>
    </row>
    <row r="7" spans="2:14" ht="12" thickBot="1" x14ac:dyDescent="0.25">
      <c r="B7" s="199"/>
      <c r="C7" s="207" t="s">
        <v>78</v>
      </c>
      <c r="D7" s="208" t="str">
        <f>Months&amp;IF(UPPER(Currency)="EUR","E","L")</f>
        <v>3L</v>
      </c>
      <c r="E7" s="201"/>
      <c r="F7" s="202"/>
      <c r="H7" s="209" t="s">
        <v>77</v>
      </c>
      <c r="I7" s="210"/>
      <c r="K7" s="254"/>
      <c r="L7" s="255"/>
      <c r="M7" s="255"/>
      <c r="N7" s="256"/>
    </row>
    <row r="8" spans="2:14" ht="12" thickBot="1" x14ac:dyDescent="0.25">
      <c r="B8" s="199"/>
      <c r="C8" s="207" t="s">
        <v>76</v>
      </c>
      <c r="D8" s="208" t="str">
        <f>VLOOKUP(Currency,H4:I8,2)</f>
        <v>SB</v>
      </c>
      <c r="E8" s="201"/>
      <c r="F8" s="202"/>
      <c r="H8" s="211" t="s">
        <v>75</v>
      </c>
      <c r="I8" s="212" t="s">
        <v>74</v>
      </c>
    </row>
    <row r="9" spans="2:14" ht="18.75" thickBot="1" x14ac:dyDescent="0.3">
      <c r="B9" s="199"/>
      <c r="C9" s="207" t="s">
        <v>73</v>
      </c>
      <c r="D9" s="208" t="str">
        <f>Currency&amp;"_YC"&amp;IndexTenor&amp;"RH"</f>
        <v>GBP_YC3MRH</v>
      </c>
      <c r="E9" s="201"/>
      <c r="F9" s="202"/>
      <c r="K9" s="280" t="s">
        <v>98</v>
      </c>
      <c r="L9" s="281"/>
      <c r="M9" s="281"/>
      <c r="N9" s="283"/>
    </row>
    <row r="10" spans="2:14" x14ac:dyDescent="0.2">
      <c r="B10" s="199"/>
      <c r="C10" s="213" t="s">
        <v>72</v>
      </c>
      <c r="D10" s="208" t="b">
        <v>1</v>
      </c>
      <c r="E10" s="201"/>
      <c r="F10" s="202"/>
      <c r="K10" s="246"/>
      <c r="L10" s="247"/>
      <c r="M10" s="247"/>
      <c r="N10" s="248"/>
    </row>
    <row r="11" spans="2:14" x14ac:dyDescent="0.2">
      <c r="B11" s="199"/>
      <c r="C11" s="213" t="s">
        <v>71</v>
      </c>
      <c r="D11" s="214"/>
      <c r="E11" s="201"/>
      <c r="F11" s="202"/>
      <c r="K11" s="246"/>
      <c r="L11" s="257" t="s">
        <v>97</v>
      </c>
      <c r="M11" s="250" t="s">
        <v>96</v>
      </c>
      <c r="N11" s="248"/>
    </row>
    <row r="12" spans="2:14" x14ac:dyDescent="0.2">
      <c r="B12" s="199"/>
      <c r="C12" s="215" t="s">
        <v>70</v>
      </c>
      <c r="D12" s="216" t="b">
        <v>1</v>
      </c>
      <c r="E12" s="201"/>
      <c r="F12" s="202"/>
      <c r="K12" s="246"/>
      <c r="L12" s="257" t="s">
        <v>95</v>
      </c>
      <c r="M12" s="253" t="s">
        <v>94</v>
      </c>
      <c r="N12" s="248"/>
    </row>
    <row r="13" spans="2:14" x14ac:dyDescent="0.2">
      <c r="B13" s="199"/>
      <c r="C13" s="217"/>
      <c r="D13" s="217"/>
      <c r="E13" s="201"/>
      <c r="F13" s="202"/>
      <c r="K13" s="246"/>
      <c r="L13" s="257" t="s">
        <v>121</v>
      </c>
      <c r="M13" s="250" t="s">
        <v>119</v>
      </c>
      <c r="N13" s="248"/>
    </row>
    <row r="14" spans="2:14" x14ac:dyDescent="0.2">
      <c r="B14" s="199"/>
      <c r="C14" s="218" t="s">
        <v>69</v>
      </c>
      <c r="D14" s="219" t="str">
        <f>_xll.qlPiecewiseYieldCurve(D16,NDays,Calendar,_xll.ohPack(Selected!D2:D126),DayCounter,,,Accuracy,TraitsID,InterpolatorID,Permanent,,ObjectOverwrite)</f>
        <v>_GBPYC3M#0001</v>
      </c>
      <c r="E14" s="201"/>
      <c r="F14" s="202"/>
      <c r="K14" s="246"/>
      <c r="L14" s="257" t="s">
        <v>120</v>
      </c>
      <c r="M14" s="250" t="s">
        <v>119</v>
      </c>
      <c r="N14" s="248"/>
    </row>
    <row r="15" spans="2:14" x14ac:dyDescent="0.2">
      <c r="B15" s="199"/>
      <c r="C15" s="220" t="s">
        <v>47</v>
      </c>
      <c r="D15" s="221" t="str">
        <f>_xll.ohRangeRetrieveError(YieldCurve)</f>
        <v/>
      </c>
      <c r="E15" s="201"/>
      <c r="F15" s="202"/>
      <c r="K15" s="246"/>
      <c r="L15" s="257" t="s">
        <v>118</v>
      </c>
      <c r="M15" s="253" t="str">
        <f>PROPER(Currency)&amp;"ON"</f>
        <v>GbpON</v>
      </c>
      <c r="N15" s="248"/>
    </row>
    <row r="16" spans="2:14" x14ac:dyDescent="0.2">
      <c r="B16" s="199"/>
      <c r="C16" s="218" t="s">
        <v>68</v>
      </c>
      <c r="D16" s="222" t="str">
        <f>"_"&amp;Currency&amp;"YC"&amp;IndexTenor</f>
        <v>_GBPYC3M</v>
      </c>
      <c r="E16" s="201"/>
      <c r="F16" s="202"/>
      <c r="K16" s="246"/>
      <c r="L16" s="257" t="s">
        <v>117</v>
      </c>
      <c r="M16" s="253" t="str">
        <f>PROPER(Currency)&amp;"STD"</f>
        <v>GbpSTD</v>
      </c>
      <c r="N16" s="248"/>
    </row>
    <row r="17" spans="2:14" ht="12" thickBot="1" x14ac:dyDescent="0.25">
      <c r="B17" s="199"/>
      <c r="C17" s="223" t="s">
        <v>67</v>
      </c>
      <c r="D17" s="224">
        <v>0</v>
      </c>
      <c r="E17" s="201"/>
      <c r="F17" s="202"/>
      <c r="K17" s="254"/>
      <c r="L17" s="255"/>
      <c r="M17" s="255"/>
      <c r="N17" s="256"/>
    </row>
    <row r="18" spans="2:14" x14ac:dyDescent="0.2">
      <c r="B18" s="199"/>
      <c r="C18" s="223" t="s">
        <v>66</v>
      </c>
      <c r="D18" s="225" t="s">
        <v>65</v>
      </c>
      <c r="E18" s="201"/>
      <c r="F18" s="202"/>
    </row>
    <row r="19" spans="2:14" x14ac:dyDescent="0.2">
      <c r="B19" s="199"/>
      <c r="C19" s="223" t="s">
        <v>64</v>
      </c>
      <c r="D19" s="225"/>
      <c r="E19" s="201"/>
      <c r="F19" s="202"/>
    </row>
    <row r="20" spans="2:14" x14ac:dyDescent="0.2">
      <c r="B20" s="199"/>
      <c r="C20" s="223" t="s">
        <v>63</v>
      </c>
      <c r="D20" s="226" t="str">
        <f>Currency&amp;"TOY_SYNTH"&amp;IndexTenor&amp;"_Quote"</f>
        <v>GBPTOY_SYNTH3M_Quote</v>
      </c>
      <c r="E20" s="204" t="str">
        <f>Currency&amp;"TOY2_SYNTH"&amp;IndexTenor&amp;"_Quote"</f>
        <v>GBPTOY2_SYNTH3M_Quote</v>
      </c>
      <c r="F20" s="202"/>
    </row>
    <row r="21" spans="2:14" x14ac:dyDescent="0.2">
      <c r="B21" s="199"/>
      <c r="C21" s="223" t="s">
        <v>62</v>
      </c>
      <c r="D21" s="227">
        <f>DATE(YEAR(_xll.qlCalendarAdvance(Calendar,_xll.qlSettingsEvaluationDate(Trigger),NDays&amp;"D")),12,31)</f>
        <v>42004</v>
      </c>
      <c r="E21" s="228">
        <f>DATE(YEAR(D21+1),12,31)</f>
        <v>42369</v>
      </c>
      <c r="F21" s="202"/>
    </row>
    <row r="22" spans="2:14" x14ac:dyDescent="0.2">
      <c r="B22" s="199"/>
      <c r="C22" s="223" t="s">
        <v>61</v>
      </c>
      <c r="D22" s="229" t="e">
        <f>NA()</f>
        <v>#N/A</v>
      </c>
      <c r="E22" s="230" t="e">
        <f>NA()</f>
        <v>#N/A</v>
      </c>
      <c r="F22" s="202"/>
    </row>
    <row r="23" spans="2:14" x14ac:dyDescent="0.2">
      <c r="B23" s="199"/>
      <c r="C23" s="223" t="s">
        <v>60</v>
      </c>
      <c r="D23" s="231" t="e">
        <f>NA()</f>
        <v>#N/A</v>
      </c>
      <c r="E23" s="201"/>
      <c r="F23" s="202"/>
    </row>
    <row r="24" spans="2:14" x14ac:dyDescent="0.2">
      <c r="B24" s="199"/>
      <c r="C24" s="223" t="s">
        <v>59</v>
      </c>
      <c r="D24" s="232" t="s">
        <v>58</v>
      </c>
      <c r="E24" s="201"/>
      <c r="F24" s="202"/>
    </row>
    <row r="25" spans="2:14" x14ac:dyDescent="0.2">
      <c r="B25" s="199"/>
      <c r="C25" s="220" t="s">
        <v>57</v>
      </c>
      <c r="D25" s="233" t="s">
        <v>56</v>
      </c>
      <c r="E25" s="201"/>
      <c r="F25" s="202"/>
    </row>
    <row r="26" spans="2:14" x14ac:dyDescent="0.2">
      <c r="B26" s="199"/>
      <c r="C26" s="217"/>
      <c r="D26" s="217"/>
      <c r="E26" s="201"/>
      <c r="F26" s="202"/>
    </row>
    <row r="27" spans="2:14" x14ac:dyDescent="0.2">
      <c r="B27" s="199"/>
      <c r="C27" s="234">
        <f>_xll.qlTermStructureReferenceDate(YieldCurve)</f>
        <v>41919</v>
      </c>
      <c r="D27" s="235">
        <f>MAX(_xll.ohPack(Selected!J1:J126))</f>
        <v>1</v>
      </c>
      <c r="E27" s="201"/>
      <c r="F27" s="202"/>
    </row>
    <row r="28" spans="2:14" x14ac:dyDescent="0.2">
      <c r="B28" s="199"/>
      <c r="C28" s="236">
        <f>MAX(_xll.ohPack(Selected!I2:I126))</f>
        <v>63835</v>
      </c>
      <c r="D28" s="208">
        <f>MIN(_xll.ohPack(Selected!J1:J126))</f>
        <v>0.19361961415974122</v>
      </c>
      <c r="E28" s="201"/>
      <c r="F28" s="202"/>
    </row>
    <row r="29" spans="2:14" x14ac:dyDescent="0.2">
      <c r="B29" s="199"/>
      <c r="C29" s="237" t="s">
        <v>47</v>
      </c>
      <c r="D29" s="238" t="str">
        <f>_xll.ohRangeRetrieveError(Selected!J1)</f>
        <v/>
      </c>
      <c r="E29" s="201"/>
      <c r="F29" s="202"/>
    </row>
    <row r="30" spans="2:14" x14ac:dyDescent="0.2">
      <c r="B30" s="199"/>
      <c r="C30" s="239" t="s">
        <v>122</v>
      </c>
      <c r="D30" s="240" t="b">
        <f>_xll.qlRelinkableHandleLinkTo(C30,YieldCurve)</f>
        <v>1</v>
      </c>
      <c r="E30" s="201"/>
      <c r="F30" s="202"/>
    </row>
    <row r="31" spans="2:14" x14ac:dyDescent="0.2">
      <c r="B31" s="199"/>
      <c r="C31" s="241" t="s">
        <v>123</v>
      </c>
      <c r="D31" s="242" t="b">
        <v>0</v>
      </c>
      <c r="E31" s="201"/>
      <c r="F31" s="202"/>
    </row>
    <row r="32" spans="2:14" ht="14.25" customHeight="1" thickBot="1" x14ac:dyDescent="0.25">
      <c r="B32" s="243"/>
      <c r="C32" s="244"/>
      <c r="D32" s="244"/>
      <c r="E32" s="244"/>
      <c r="F32" s="245"/>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3 SV65563 ACR65563 AMN65563 AWJ65563 BGF65563 BQB65563 BZX65563 CJT65563 CTP65563 DDL65563 DNH65563 DXD65563 EGZ65563 EQV65563 FAR65563 FKN65563 FUJ65563 GEF65563 GOB65563 GXX65563 HHT65563 HRP65563 IBL65563 ILH65563 IVD65563 JEZ65563 JOV65563 JYR65563 KIN65563 KSJ65563 LCF65563 LMB65563 LVX65563 MFT65563 MPP65563 MZL65563 NJH65563 NTD65563 OCZ65563 OMV65563 OWR65563 PGN65563 PQJ65563 QAF65563 QKB65563 QTX65563 RDT65563 RNP65563 RXL65563 SHH65563 SRD65563 TAZ65563 TKV65563 TUR65563 UEN65563 UOJ65563 UYF65563 VIB65563 VRX65563 WBT65563 WLP65563 WVL65563 D131099 IZ131099 SV131099 ACR131099 AMN131099 AWJ131099 BGF131099 BQB131099 BZX131099 CJT131099 CTP131099 DDL131099 DNH131099 DXD131099 EGZ131099 EQV131099 FAR131099 FKN131099 FUJ131099 GEF131099 GOB131099 GXX131099 HHT131099 HRP131099 IBL131099 ILH131099 IVD131099 JEZ131099 JOV131099 JYR131099 KIN131099 KSJ131099 LCF131099 LMB131099 LVX131099 MFT131099 MPP131099 MZL131099 NJH131099 NTD131099 OCZ131099 OMV131099 OWR131099 PGN131099 PQJ131099 QAF131099 QKB131099 QTX131099 RDT131099 RNP131099 RXL131099 SHH131099 SRD131099 TAZ131099 TKV131099 TUR131099 UEN131099 UOJ131099 UYF131099 VIB131099 VRX131099 WBT131099 WLP131099 WVL131099 D196635 IZ196635 SV196635 ACR196635 AMN196635 AWJ196635 BGF196635 BQB196635 BZX196635 CJT196635 CTP196635 DDL196635 DNH196635 DXD196635 EGZ196635 EQV196635 FAR196635 FKN196635 FUJ196635 GEF196635 GOB196635 GXX196635 HHT196635 HRP196635 IBL196635 ILH196635 IVD196635 JEZ196635 JOV196635 JYR196635 KIN196635 KSJ196635 LCF196635 LMB196635 LVX196635 MFT196635 MPP196635 MZL196635 NJH196635 NTD196635 OCZ196635 OMV196635 OWR196635 PGN196635 PQJ196635 QAF196635 QKB196635 QTX196635 RDT196635 RNP196635 RXL196635 SHH196635 SRD196635 TAZ196635 TKV196635 TUR196635 UEN196635 UOJ196635 UYF196635 VIB196635 VRX196635 WBT196635 WLP196635 WVL196635 D262171 IZ262171 SV262171 ACR262171 AMN262171 AWJ262171 BGF262171 BQB262171 BZX262171 CJT262171 CTP262171 DDL262171 DNH262171 DXD262171 EGZ262171 EQV262171 FAR262171 FKN262171 FUJ262171 GEF262171 GOB262171 GXX262171 HHT262171 HRP262171 IBL262171 ILH262171 IVD262171 JEZ262171 JOV262171 JYR262171 KIN262171 KSJ262171 LCF262171 LMB262171 LVX262171 MFT262171 MPP262171 MZL262171 NJH262171 NTD262171 OCZ262171 OMV262171 OWR262171 PGN262171 PQJ262171 QAF262171 QKB262171 QTX262171 RDT262171 RNP262171 RXL262171 SHH262171 SRD262171 TAZ262171 TKV262171 TUR262171 UEN262171 UOJ262171 UYF262171 VIB262171 VRX262171 WBT262171 WLP262171 WVL262171 D327707 IZ327707 SV327707 ACR327707 AMN327707 AWJ327707 BGF327707 BQB327707 BZX327707 CJT327707 CTP327707 DDL327707 DNH327707 DXD327707 EGZ327707 EQV327707 FAR327707 FKN327707 FUJ327707 GEF327707 GOB327707 GXX327707 HHT327707 HRP327707 IBL327707 ILH327707 IVD327707 JEZ327707 JOV327707 JYR327707 KIN327707 KSJ327707 LCF327707 LMB327707 LVX327707 MFT327707 MPP327707 MZL327707 NJH327707 NTD327707 OCZ327707 OMV327707 OWR327707 PGN327707 PQJ327707 QAF327707 QKB327707 QTX327707 RDT327707 RNP327707 RXL327707 SHH327707 SRD327707 TAZ327707 TKV327707 TUR327707 UEN327707 UOJ327707 UYF327707 VIB327707 VRX327707 WBT327707 WLP327707 WVL327707 D393243 IZ393243 SV393243 ACR393243 AMN393243 AWJ393243 BGF393243 BQB393243 BZX393243 CJT393243 CTP393243 DDL393243 DNH393243 DXD393243 EGZ393243 EQV393243 FAR393243 FKN393243 FUJ393243 GEF393243 GOB393243 GXX393243 HHT393243 HRP393243 IBL393243 ILH393243 IVD393243 JEZ393243 JOV393243 JYR393243 KIN393243 KSJ393243 LCF393243 LMB393243 LVX393243 MFT393243 MPP393243 MZL393243 NJH393243 NTD393243 OCZ393243 OMV393243 OWR393243 PGN393243 PQJ393243 QAF393243 QKB393243 QTX393243 RDT393243 RNP393243 RXL393243 SHH393243 SRD393243 TAZ393243 TKV393243 TUR393243 UEN393243 UOJ393243 UYF393243 VIB393243 VRX393243 WBT393243 WLP393243 WVL393243 D458779 IZ458779 SV458779 ACR458779 AMN458779 AWJ458779 BGF458779 BQB458779 BZX458779 CJT458779 CTP458779 DDL458779 DNH458779 DXD458779 EGZ458779 EQV458779 FAR458779 FKN458779 FUJ458779 GEF458779 GOB458779 GXX458779 HHT458779 HRP458779 IBL458779 ILH458779 IVD458779 JEZ458779 JOV458779 JYR458779 KIN458779 KSJ458779 LCF458779 LMB458779 LVX458779 MFT458779 MPP458779 MZL458779 NJH458779 NTD458779 OCZ458779 OMV458779 OWR458779 PGN458779 PQJ458779 QAF458779 QKB458779 QTX458779 RDT458779 RNP458779 RXL458779 SHH458779 SRD458779 TAZ458779 TKV458779 TUR458779 UEN458779 UOJ458779 UYF458779 VIB458779 VRX458779 WBT458779 WLP458779 WVL458779 D524315 IZ524315 SV524315 ACR524315 AMN524315 AWJ524315 BGF524315 BQB524315 BZX524315 CJT524315 CTP524315 DDL524315 DNH524315 DXD524315 EGZ524315 EQV524315 FAR524315 FKN524315 FUJ524315 GEF524315 GOB524315 GXX524315 HHT524315 HRP524315 IBL524315 ILH524315 IVD524315 JEZ524315 JOV524315 JYR524315 KIN524315 KSJ524315 LCF524315 LMB524315 LVX524315 MFT524315 MPP524315 MZL524315 NJH524315 NTD524315 OCZ524315 OMV524315 OWR524315 PGN524315 PQJ524315 QAF524315 QKB524315 QTX524315 RDT524315 RNP524315 RXL524315 SHH524315 SRD524315 TAZ524315 TKV524315 TUR524315 UEN524315 UOJ524315 UYF524315 VIB524315 VRX524315 WBT524315 WLP524315 WVL524315 D589851 IZ589851 SV589851 ACR589851 AMN589851 AWJ589851 BGF589851 BQB589851 BZX589851 CJT589851 CTP589851 DDL589851 DNH589851 DXD589851 EGZ589851 EQV589851 FAR589851 FKN589851 FUJ589851 GEF589851 GOB589851 GXX589851 HHT589851 HRP589851 IBL589851 ILH589851 IVD589851 JEZ589851 JOV589851 JYR589851 KIN589851 KSJ589851 LCF589851 LMB589851 LVX589851 MFT589851 MPP589851 MZL589851 NJH589851 NTD589851 OCZ589851 OMV589851 OWR589851 PGN589851 PQJ589851 QAF589851 QKB589851 QTX589851 RDT589851 RNP589851 RXL589851 SHH589851 SRD589851 TAZ589851 TKV589851 TUR589851 UEN589851 UOJ589851 UYF589851 VIB589851 VRX589851 WBT589851 WLP589851 WVL589851 D655387 IZ655387 SV655387 ACR655387 AMN655387 AWJ655387 BGF655387 BQB655387 BZX655387 CJT655387 CTP655387 DDL655387 DNH655387 DXD655387 EGZ655387 EQV655387 FAR655387 FKN655387 FUJ655387 GEF655387 GOB655387 GXX655387 HHT655387 HRP655387 IBL655387 ILH655387 IVD655387 JEZ655387 JOV655387 JYR655387 KIN655387 KSJ655387 LCF655387 LMB655387 LVX655387 MFT655387 MPP655387 MZL655387 NJH655387 NTD655387 OCZ655387 OMV655387 OWR655387 PGN655387 PQJ655387 QAF655387 QKB655387 QTX655387 RDT655387 RNP655387 RXL655387 SHH655387 SRD655387 TAZ655387 TKV655387 TUR655387 UEN655387 UOJ655387 UYF655387 VIB655387 VRX655387 WBT655387 WLP655387 WVL655387 D720923 IZ720923 SV720923 ACR720923 AMN720923 AWJ720923 BGF720923 BQB720923 BZX720923 CJT720923 CTP720923 DDL720923 DNH720923 DXD720923 EGZ720923 EQV720923 FAR720923 FKN720923 FUJ720923 GEF720923 GOB720923 GXX720923 HHT720923 HRP720923 IBL720923 ILH720923 IVD720923 JEZ720923 JOV720923 JYR720923 KIN720923 KSJ720923 LCF720923 LMB720923 LVX720923 MFT720923 MPP720923 MZL720923 NJH720923 NTD720923 OCZ720923 OMV720923 OWR720923 PGN720923 PQJ720923 QAF720923 QKB720923 QTX720923 RDT720923 RNP720923 RXL720923 SHH720923 SRD720923 TAZ720923 TKV720923 TUR720923 UEN720923 UOJ720923 UYF720923 VIB720923 VRX720923 WBT720923 WLP720923 WVL720923 D786459 IZ786459 SV786459 ACR786459 AMN786459 AWJ786459 BGF786459 BQB786459 BZX786459 CJT786459 CTP786459 DDL786459 DNH786459 DXD786459 EGZ786459 EQV786459 FAR786459 FKN786459 FUJ786459 GEF786459 GOB786459 GXX786459 HHT786459 HRP786459 IBL786459 ILH786459 IVD786459 JEZ786459 JOV786459 JYR786459 KIN786459 KSJ786459 LCF786459 LMB786459 LVX786459 MFT786459 MPP786459 MZL786459 NJH786459 NTD786459 OCZ786459 OMV786459 OWR786459 PGN786459 PQJ786459 QAF786459 QKB786459 QTX786459 RDT786459 RNP786459 RXL786459 SHH786459 SRD786459 TAZ786459 TKV786459 TUR786459 UEN786459 UOJ786459 UYF786459 VIB786459 VRX786459 WBT786459 WLP786459 WVL786459 D851995 IZ851995 SV851995 ACR851995 AMN851995 AWJ851995 BGF851995 BQB851995 BZX851995 CJT851995 CTP851995 DDL851995 DNH851995 DXD851995 EGZ851995 EQV851995 FAR851995 FKN851995 FUJ851995 GEF851995 GOB851995 GXX851995 HHT851995 HRP851995 IBL851995 ILH851995 IVD851995 JEZ851995 JOV851995 JYR851995 KIN851995 KSJ851995 LCF851995 LMB851995 LVX851995 MFT851995 MPP851995 MZL851995 NJH851995 NTD851995 OCZ851995 OMV851995 OWR851995 PGN851995 PQJ851995 QAF851995 QKB851995 QTX851995 RDT851995 RNP851995 RXL851995 SHH851995 SRD851995 TAZ851995 TKV851995 TUR851995 UEN851995 UOJ851995 UYF851995 VIB851995 VRX851995 WBT851995 WLP851995 WVL851995 D917531 IZ917531 SV917531 ACR917531 AMN917531 AWJ917531 BGF917531 BQB917531 BZX917531 CJT917531 CTP917531 DDL917531 DNH917531 DXD917531 EGZ917531 EQV917531 FAR917531 FKN917531 FUJ917531 GEF917531 GOB917531 GXX917531 HHT917531 HRP917531 IBL917531 ILH917531 IVD917531 JEZ917531 JOV917531 JYR917531 KIN917531 KSJ917531 LCF917531 LMB917531 LVX917531 MFT917531 MPP917531 MZL917531 NJH917531 NTD917531 OCZ917531 OMV917531 OWR917531 PGN917531 PQJ917531 QAF917531 QKB917531 QTX917531 RDT917531 RNP917531 RXL917531 SHH917531 SRD917531 TAZ917531 TKV917531 TUR917531 UEN917531 UOJ917531 UYF917531 VIB917531 VRX917531 WBT917531 WLP917531 WVL917531 D983067 IZ983067 SV983067 ACR983067 AMN983067 AWJ983067 BGF983067 BQB983067 BZX983067 CJT983067 CTP983067 DDL983067 DNH983067 DXD983067 EGZ983067 EQV983067 FAR983067 FKN983067 FUJ983067 GEF983067 GOB983067 GXX983067 HHT983067 HRP983067 IBL983067 ILH983067 IVD983067 JEZ983067 JOV983067 JYR983067 KIN983067 KSJ983067 LCF983067 LMB983067 LVX983067 MFT983067 MPP983067 MZL983067 NJH983067 NTD983067 OCZ983067 OMV983067 OWR983067 PGN983067 PQJ983067 QAF983067 QKB983067 QTX983067 RDT983067 RNP983067 RXL983067 SHH983067 SRD983067 TAZ983067 TKV983067 TUR983067 UEN983067 UOJ983067 UYF983067 VIB983067 VRX983067 WBT983067 WLP983067 WVL983067">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WVL983066">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WVL983060">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129"/>
  <sheetViews>
    <sheetView showGridLines="0" topLeftCell="C1" workbookViewId="0">
      <selection activeCell="C1" sqref="C1"/>
    </sheetView>
  </sheetViews>
  <sheetFormatPr defaultRowHeight="11.25" outlineLevelCol="1" x14ac:dyDescent="0.2"/>
  <cols>
    <col min="1" max="1" width="15.140625" style="1" hidden="1" customWidth="1" outlineLevel="1"/>
    <col min="2" max="2" width="14.85546875" style="22" hidden="1" customWidth="1" outlineLevel="1"/>
    <col min="3" max="3" width="22.42578125" style="22" bestFit="1" customWidth="1" collapsed="1"/>
    <col min="4" max="5" width="8" style="22" bestFit="1" customWidth="1"/>
    <col min="6" max="6" width="7.7109375" style="22" customWidth="1"/>
    <col min="7" max="7" width="9.42578125" style="22" customWidth="1"/>
    <col min="8" max="8" width="9.140625" style="22" customWidth="1"/>
    <col min="9" max="10" width="17.28515625" style="22" bestFit="1" customWidth="1"/>
    <col min="11" max="11" width="8" style="1" bestFit="1" customWidth="1"/>
    <col min="12" max="12" width="13.7109375" style="1" bestFit="1" customWidth="1"/>
    <col min="13" max="13" width="20.28515625" style="1" hidden="1" customWidth="1"/>
    <col min="14" max="14" width="31.7109375" style="1" hidden="1" customWidth="1"/>
    <col min="15" max="16384" width="9.140625" style="1"/>
  </cols>
  <sheetData>
    <row r="1" spans="1:14" ht="33.75" x14ac:dyDescent="0.2">
      <c r="B1" s="83" t="s">
        <v>46</v>
      </c>
      <c r="C1" s="83" t="s">
        <v>155</v>
      </c>
      <c r="D1" s="83" t="s">
        <v>45</v>
      </c>
      <c r="E1" s="83" t="s">
        <v>44</v>
      </c>
      <c r="F1" s="83" t="s">
        <v>43</v>
      </c>
      <c r="G1" s="83" t="s">
        <v>42</v>
      </c>
      <c r="H1" s="83" t="s">
        <v>41</v>
      </c>
      <c r="I1" s="83" t="s">
        <v>40</v>
      </c>
      <c r="J1" s="83" t="s">
        <v>39</v>
      </c>
    </row>
    <row r="2" spans="1:14" x14ac:dyDescent="0.2">
      <c r="B2" s="262" t="str">
        <f>Deposits!E3</f>
        <v>obj_00561#0001</v>
      </c>
      <c r="C2" s="90" t="str">
        <f>_xll.qlRateHelperQuoteName(B2)</f>
        <v>GBPSND_SYNTH3M_Quote</v>
      </c>
      <c r="D2" s="91">
        <f>_xll.qlRateHelperQuoteValue($B2,Trigger)</f>
        <v>5.7609999999999996E-3</v>
      </c>
      <c r="E2" s="91"/>
      <c r="F2" s="92" t="b">
        <v>0</v>
      </c>
      <c r="G2" s="92">
        <v>10</v>
      </c>
      <c r="H2" s="92">
        <v>1</v>
      </c>
      <c r="I2" s="93">
        <f>_xll.qlRateHelperEarliestDate($B2,Trigger)</f>
        <v>41921</v>
      </c>
      <c r="J2" s="94">
        <f>_xll.qlRateHelperLatestDate($B2,Trigger)</f>
        <v>41922</v>
      </c>
      <c r="K2" s="1">
        <v>10</v>
      </c>
      <c r="L2" s="1" t="s">
        <v>38</v>
      </c>
    </row>
    <row r="3" spans="1:14" x14ac:dyDescent="0.2">
      <c r="B3" s="263" t="str">
        <f>Deposits!E4</f>
        <v>obj_00553#0001</v>
      </c>
      <c r="C3" s="85" t="str">
        <f>_xll.qlRateHelperQuoteName(B3)</f>
        <v>GBPSWD_SYNTH3M_Quote</v>
      </c>
      <c r="D3" s="86">
        <f>_xll.qlRateHelperQuoteValue($B3,Trigger)</f>
        <v>5.3559999999999997E-3</v>
      </c>
      <c r="E3" s="86"/>
      <c r="F3" s="25" t="b">
        <v>0</v>
      </c>
      <c r="G3" s="25">
        <v>10</v>
      </c>
      <c r="H3" s="25">
        <v>1</v>
      </c>
      <c r="I3" s="87">
        <f>_xll.qlRateHelperEarliestDate($B3,Trigger)</f>
        <v>41919</v>
      </c>
      <c r="J3" s="88">
        <f>_xll.qlRateHelperLatestDate($B3,Trigger)</f>
        <v>41926</v>
      </c>
      <c r="K3" s="1">
        <v>20</v>
      </c>
      <c r="L3" s="1" t="s">
        <v>37</v>
      </c>
    </row>
    <row r="4" spans="1:14" x14ac:dyDescent="0.2">
      <c r="B4" s="263" t="str">
        <f>Deposits!E5</f>
        <v>obj_0055d#0001</v>
      </c>
      <c r="C4" s="85" t="str">
        <f>_xll.qlRateHelperQuoteName(B4)</f>
        <v>GBP2WD_SYNTH3M_Quote</v>
      </c>
      <c r="D4" s="86">
        <f>_xll.qlRateHelperQuoteValue($B4,Trigger)</f>
        <v>5.378E-3</v>
      </c>
      <c r="E4" s="86"/>
      <c r="F4" s="25" t="b">
        <v>0</v>
      </c>
      <c r="G4" s="25">
        <v>10</v>
      </c>
      <c r="H4" s="25">
        <v>1</v>
      </c>
      <c r="I4" s="87">
        <f>_xll.qlRateHelperEarliestDate($B4,Trigger)</f>
        <v>41919</v>
      </c>
      <c r="J4" s="88">
        <f>_xll.qlRateHelperLatestDate($B4,Trigger)</f>
        <v>41933</v>
      </c>
      <c r="K4" s="1">
        <v>30</v>
      </c>
      <c r="L4" s="1" t="s">
        <v>36</v>
      </c>
    </row>
    <row r="5" spans="1:14" x14ac:dyDescent="0.2">
      <c r="B5" s="263" t="str">
        <f>Deposits!E6</f>
        <v>obj_0054e#0001</v>
      </c>
      <c r="C5" s="85" t="str">
        <f>_xll.qlRateHelperQuoteName(B5)</f>
        <v>GBP3WD_SYNTH3M_Quote</v>
      </c>
      <c r="D5" s="86">
        <f>_xll.qlRateHelperQuoteValue($B5,Trigger)</f>
        <v>5.4010000000000004E-3</v>
      </c>
      <c r="E5" s="86"/>
      <c r="F5" s="25" t="b">
        <v>0</v>
      </c>
      <c r="G5" s="25">
        <v>10</v>
      </c>
      <c r="H5" s="25">
        <v>1</v>
      </c>
      <c r="I5" s="87">
        <f>_xll.qlRateHelperEarliestDate($B5,Trigger)</f>
        <v>41919</v>
      </c>
      <c r="J5" s="88">
        <f>_xll.qlRateHelperLatestDate($B5,Trigger)</f>
        <v>41940</v>
      </c>
      <c r="K5" s="1">
        <v>40</v>
      </c>
      <c r="L5" s="1" t="s">
        <v>35</v>
      </c>
    </row>
    <row r="6" spans="1:14" x14ac:dyDescent="0.2">
      <c r="B6" s="263" t="str">
        <f>Deposits!E7</f>
        <v>obj_00555#0001</v>
      </c>
      <c r="C6" s="85" t="str">
        <f>_xll.qlRateHelperQuoteName(B6)</f>
        <v>GBP1MD_SYNTH3M_Quote</v>
      </c>
      <c r="D6" s="86">
        <f>_xll.qlRateHelperQuoteValue($B6,Trigger)</f>
        <v>5.4380000000000001E-3</v>
      </c>
      <c r="E6" s="86"/>
      <c r="F6" s="25" t="b">
        <v>1</v>
      </c>
      <c r="G6" s="25">
        <v>10</v>
      </c>
      <c r="H6" s="25">
        <v>1</v>
      </c>
      <c r="I6" s="87">
        <f>_xll.qlRateHelperEarliestDate($B6,Trigger)</f>
        <v>41919</v>
      </c>
      <c r="J6" s="88">
        <f>_xll.qlRateHelperLatestDate($B6,Trigger)</f>
        <v>41950</v>
      </c>
      <c r="K6" s="1">
        <v>70</v>
      </c>
      <c r="L6" s="1" t="s">
        <v>34</v>
      </c>
    </row>
    <row r="7" spans="1:14" x14ac:dyDescent="0.2">
      <c r="B7" s="263" t="str">
        <f>Deposits!E8</f>
        <v>obj_00564#0001</v>
      </c>
      <c r="C7" s="85" t="str">
        <f>_xll.qlRateHelperQuoteName(B7)</f>
        <v>GBP2MD_SYNTH3M_Quote</v>
      </c>
      <c r="D7" s="86">
        <f>_xll.qlRateHelperQuoteValue($B7,Trigger)</f>
        <v>5.574E-3</v>
      </c>
      <c r="E7" s="86"/>
      <c r="F7" s="25" t="b">
        <v>1</v>
      </c>
      <c r="G7" s="25">
        <v>10</v>
      </c>
      <c r="H7" s="25">
        <v>1</v>
      </c>
      <c r="I7" s="87">
        <f>_xll.qlRateHelperEarliestDate($B7,Trigger)</f>
        <v>41919</v>
      </c>
      <c r="J7" s="88">
        <f>_xll.qlRateHelperLatestDate($B7,Trigger)</f>
        <v>41981</v>
      </c>
    </row>
    <row r="8" spans="1:14" x14ac:dyDescent="0.2">
      <c r="B8" s="264" t="str">
        <f>Deposits!E9</f>
        <v>obj_00542#0001</v>
      </c>
      <c r="C8" s="96" t="str">
        <f>_xll.qlRateHelperQuoteName(B8)</f>
        <v>GBP3MD_SYNTH3M_Quote</v>
      </c>
      <c r="D8" s="97">
        <f>_xll.qlRateHelperQuoteValue($B8,Trigger)</f>
        <v>5.6280000000000002E-3</v>
      </c>
      <c r="E8" s="97"/>
      <c r="F8" s="98" t="b">
        <v>1</v>
      </c>
      <c r="G8" s="98">
        <v>10</v>
      </c>
      <c r="H8" s="98">
        <v>1</v>
      </c>
      <c r="I8" s="99">
        <f>_xll.qlRateHelperEarliestDate($B8,Trigger)</f>
        <v>41919</v>
      </c>
      <c r="J8" s="100">
        <f>_xll.qlRateHelperLatestDate($B8,Trigger)</f>
        <v>42011</v>
      </c>
    </row>
    <row r="9" spans="1:14" x14ac:dyDescent="0.2">
      <c r="B9" s="262" t="str">
        <f>FRAs!H3</f>
        <v>obj_0052f#0001</v>
      </c>
      <c r="C9" s="90" t="str">
        <f>_xll.qlRateHelperQuoteName(B9)</f>
        <v>GBP1x4F_Quote</v>
      </c>
      <c r="D9" s="91">
        <f>_xll.qlRateHelperQuoteValue($B9,Trigger)</f>
        <v>5.8000000000000005E-3</v>
      </c>
      <c r="E9" s="91"/>
      <c r="F9" s="92" t="b">
        <v>0</v>
      </c>
      <c r="G9" s="92">
        <v>20</v>
      </c>
      <c r="H9" s="92">
        <v>1</v>
      </c>
      <c r="I9" s="93">
        <f>_xll.qlRateHelperEarliestDate($B9,Trigger)</f>
        <v>41950</v>
      </c>
      <c r="J9" s="94">
        <f>_xll.qlRateHelperLatestDate($B9,Trigger)</f>
        <v>42044</v>
      </c>
    </row>
    <row r="10" spans="1:14" x14ac:dyDescent="0.2">
      <c r="B10" s="263" t="str">
        <f>FRAs!H4</f>
        <v>obj_00532#0001</v>
      </c>
      <c r="C10" s="85" t="str">
        <f>_xll.qlRateHelperQuoteName(B10)</f>
        <v>GBP2x5F_Quote</v>
      </c>
      <c r="D10" s="86">
        <f>_xll.qlRateHelperQuoteValue($B10,Trigger)</f>
        <v>6.1500000000000001E-3</v>
      </c>
      <c r="E10" s="86"/>
      <c r="F10" s="25" t="b">
        <v>0</v>
      </c>
      <c r="G10" s="25">
        <v>20</v>
      </c>
      <c r="H10" s="25">
        <v>1</v>
      </c>
      <c r="I10" s="87">
        <f>_xll.qlRateHelperEarliestDate($B10,Trigger)</f>
        <v>41981</v>
      </c>
      <c r="J10" s="88">
        <f>_xll.qlRateHelperLatestDate($B10,Trigger)</f>
        <v>42072</v>
      </c>
    </row>
    <row r="11" spans="1:14" x14ac:dyDescent="0.2">
      <c r="B11" s="263" t="str">
        <f>FRAs!H5</f>
        <v>obj_00530#0001</v>
      </c>
      <c r="C11" s="85" t="str">
        <f>_xll.qlRateHelperQuoteName(B11)</f>
        <v>GBP3x6F_Quote</v>
      </c>
      <c r="D11" s="86">
        <f>_xll.qlRateHelperQuoteValue($B11,Trigger)</f>
        <v>6.6500000000000005E-3</v>
      </c>
      <c r="E11" s="86"/>
      <c r="F11" s="25" t="b">
        <v>0</v>
      </c>
      <c r="G11" s="25">
        <v>20</v>
      </c>
      <c r="H11" s="25">
        <v>1</v>
      </c>
      <c r="I11" s="87">
        <f>_xll.qlRateHelperEarliestDate($B11,Trigger)</f>
        <v>42011</v>
      </c>
      <c r="J11" s="88">
        <f>_xll.qlRateHelperLatestDate($B11,Trigger)</f>
        <v>42101</v>
      </c>
    </row>
    <row r="12" spans="1:14" x14ac:dyDescent="0.2">
      <c r="B12" s="263" t="str">
        <f>FRAs!H6</f>
        <v>obj_00534#0001</v>
      </c>
      <c r="C12" s="85" t="str">
        <f>_xll.qlRateHelperQuoteName(B12)</f>
        <v>GBP4x7F_Quote</v>
      </c>
      <c r="D12" s="86">
        <f>_xll.qlRateHelperQuoteValue($B12,Trigger)</f>
        <v>7.1999999999999998E-3</v>
      </c>
      <c r="E12" s="86"/>
      <c r="F12" s="25" t="b">
        <v>0</v>
      </c>
      <c r="G12" s="25">
        <v>20</v>
      </c>
      <c r="H12" s="25">
        <v>1</v>
      </c>
      <c r="I12" s="87">
        <f>_xll.qlRateHelperEarliestDate($B12,Trigger)</f>
        <v>42044</v>
      </c>
      <c r="J12" s="88">
        <f>_xll.qlRateHelperLatestDate($B12,Trigger)</f>
        <v>42135</v>
      </c>
    </row>
    <row r="13" spans="1:14" x14ac:dyDescent="0.2">
      <c r="B13" s="263" t="str">
        <f>FRAs!H7</f>
        <v>obj_00533#0001</v>
      </c>
      <c r="C13" s="85" t="str">
        <f>_xll.qlRateHelperQuoteName(B13)</f>
        <v>GBP5x8F_Quote</v>
      </c>
      <c r="D13" s="86">
        <f>_xll.qlRateHelperQuoteValue($B13,Trigger)</f>
        <v>7.6E-3</v>
      </c>
      <c r="E13" s="86"/>
      <c r="F13" s="25" t="b">
        <v>0</v>
      </c>
      <c r="G13" s="25">
        <v>20</v>
      </c>
      <c r="H13" s="25">
        <v>1</v>
      </c>
      <c r="I13" s="87">
        <f>_xll.qlRateHelperEarliestDate($B13,Trigger)</f>
        <v>42072</v>
      </c>
      <c r="J13" s="88">
        <f>_xll.qlRateHelperLatestDate($B13,Trigger)</f>
        <v>42164</v>
      </c>
    </row>
    <row r="14" spans="1:14" ht="12" thickBot="1" x14ac:dyDescent="0.25">
      <c r="B14" s="264" t="str">
        <f>FRAs!H8</f>
        <v>obj_00535#0001</v>
      </c>
      <c r="C14" s="96" t="str">
        <f>_xll.qlRateHelperQuoteName(B14)</f>
        <v>GBP6x9F_Quote</v>
      </c>
      <c r="D14" s="97">
        <f>_xll.qlRateHelperQuoteValue($B14,Trigger)</f>
        <v>8.0499999999999999E-3</v>
      </c>
      <c r="E14" s="97"/>
      <c r="F14" s="98" t="b">
        <v>0</v>
      </c>
      <c r="G14" s="98">
        <v>20</v>
      </c>
      <c r="H14" s="98">
        <v>1</v>
      </c>
      <c r="I14" s="99">
        <f>_xll.qlRateHelperEarliestDate($B14,Trigger)</f>
        <v>42101</v>
      </c>
      <c r="J14" s="100">
        <f>_xll.qlRateHelperLatestDate($B14,Trigger)</f>
        <v>42192</v>
      </c>
      <c r="M14" s="83" t="s">
        <v>157</v>
      </c>
      <c r="N14" s="83" t="s">
        <v>158</v>
      </c>
    </row>
    <row r="15" spans="1:14" x14ac:dyDescent="0.2">
      <c r="A15" s="89" t="b">
        <v>0</v>
      </c>
      <c r="B15" s="262" t="str">
        <f>Futures!H3</f>
        <v>obj_00568#0001</v>
      </c>
      <c r="C15" s="90" t="str">
        <f>_xll.qlRateHelperQuoteName(B15)</f>
        <v>GBPFUT3MV4_Quote</v>
      </c>
      <c r="D15" s="176" t="e">
        <f>_xll.qlRateHelperQuoteValue($B15,Trigger)</f>
        <v>#NUM!</v>
      </c>
      <c r="E15" s="91">
        <f>_xll.qlFuturesRateHelperConvexityAdjustment($B15,Trigger)</f>
        <v>0</v>
      </c>
      <c r="F15" s="177" t="b">
        <v>1</v>
      </c>
      <c r="G15" s="92">
        <v>60</v>
      </c>
      <c r="H15" s="92">
        <v>7</v>
      </c>
      <c r="I15" s="93">
        <f>_xll.qlRateHelperEarliestDate($B15,Trigger)</f>
        <v>41927</v>
      </c>
      <c r="J15" s="94">
        <f>_xll.qlRateHelperLatestDate($B15,Trigger)</f>
        <v>42019</v>
      </c>
      <c r="M15" s="193" t="b">
        <f>AND(_xll.qlIMMIsIMMdate(I15),NOT(ISERROR(D15)))</f>
        <v>0</v>
      </c>
      <c r="N15" s="194" t="b">
        <f>AND(NOT(_xll.qlIMMIsIMMdate(I15)),NOT(ISERROR(E15)))</f>
        <v>1</v>
      </c>
    </row>
    <row r="16" spans="1:14" x14ac:dyDescent="0.2">
      <c r="A16" s="84" t="b">
        <v>0</v>
      </c>
      <c r="B16" s="263" t="str">
        <f>Futures!H4</f>
        <v>obj_0057c#0001</v>
      </c>
      <c r="C16" s="85" t="str">
        <f>_xll.qlRateHelperQuoteName(B16)</f>
        <v>GBPFUT3MX4_Quote</v>
      </c>
      <c r="D16" s="101" t="e">
        <f>_xll.qlRateHelperQuoteValue($B16,Trigger)</f>
        <v>#NUM!</v>
      </c>
      <c r="E16" s="86">
        <f>_xll.qlFuturesRateHelperConvexityAdjustment($B16,Trigger)</f>
        <v>0</v>
      </c>
      <c r="F16" s="102" t="b">
        <v>1</v>
      </c>
      <c r="G16" s="25">
        <v>60</v>
      </c>
      <c r="H16" s="25">
        <v>1</v>
      </c>
      <c r="I16" s="87">
        <f>_xll.qlRateHelperEarliestDate($B16,Trigger)</f>
        <v>41962</v>
      </c>
      <c r="J16" s="88">
        <f>_xll.qlRateHelperLatestDate($B16,Trigger)</f>
        <v>42054</v>
      </c>
      <c r="M16" s="195" t="b">
        <f>AND(_xll.qlIMMIsIMMdate(I16),NOT(ISERROR(D16)))</f>
        <v>0</v>
      </c>
      <c r="N16" s="196" t="b">
        <f>AND(NOT(_xll.qlIMMIsIMMdate(I16)),NOT(ISERROR(E16)))</f>
        <v>1</v>
      </c>
    </row>
    <row r="17" spans="1:14" ht="11.25" customHeight="1" x14ac:dyDescent="0.2">
      <c r="A17" s="84" t="b">
        <v>0</v>
      </c>
      <c r="B17" s="263" t="str">
        <f>Futures!H5</f>
        <v>obj_00573#0001</v>
      </c>
      <c r="C17" s="85" t="str">
        <f>_xll.qlRateHelperQuoteName(B17)</f>
        <v>GBPFUT3MZ4_Quote</v>
      </c>
      <c r="D17" s="101">
        <f>_xll.qlRateHelperQuoteValue($B17,Trigger)</f>
        <v>99.375</v>
      </c>
      <c r="E17" s="86">
        <f>_xll.qlFuturesRateHelperConvexityAdjustment($B17,Trigger)</f>
        <v>0</v>
      </c>
      <c r="F17" s="102" t="b">
        <v>1</v>
      </c>
      <c r="G17" s="25">
        <v>60</v>
      </c>
      <c r="H17" s="25">
        <v>1</v>
      </c>
      <c r="I17" s="87">
        <f>_xll.qlRateHelperEarliestDate($B17,Trigger)</f>
        <v>41990</v>
      </c>
      <c r="J17" s="88">
        <f>_xll.qlRateHelperLatestDate($B17,Trigger)</f>
        <v>42080</v>
      </c>
      <c r="M17" s="195" t="b">
        <f>AND(_xll.qlIMMIsIMMdate(I17),NOT(ISERROR(D17)))</f>
        <v>1</v>
      </c>
      <c r="N17" s="196" t="b">
        <f>AND(NOT(_xll.qlIMMIsIMMdate(I17)),NOT(ISERROR(E17)))</f>
        <v>0</v>
      </c>
    </row>
    <row r="18" spans="1:14" x14ac:dyDescent="0.2">
      <c r="A18" s="84" t="b">
        <v>0</v>
      </c>
      <c r="B18" s="263" t="str">
        <f>Futures!H6</f>
        <v>obj_00581#0001</v>
      </c>
      <c r="C18" s="85" t="str">
        <f>_xll.qlRateHelperQuoteName(B18)</f>
        <v>GBPFUT3MF5_Quote</v>
      </c>
      <c r="D18" s="101" t="e">
        <f>_xll.qlRateHelperQuoteValue($B18,Trigger)</f>
        <v>#NUM!</v>
      </c>
      <c r="E18" s="86">
        <f>_xll.qlFuturesRateHelperConvexityAdjustment($B18,Trigger)</f>
        <v>0</v>
      </c>
      <c r="F18" s="102" t="b">
        <v>1</v>
      </c>
      <c r="G18" s="25">
        <v>60</v>
      </c>
      <c r="H18" s="25">
        <v>21</v>
      </c>
      <c r="I18" s="87">
        <f>_xll.qlRateHelperEarliestDate($B18,Trigger)</f>
        <v>42025</v>
      </c>
      <c r="J18" s="88">
        <f>_xll.qlRateHelperLatestDate($B18,Trigger)</f>
        <v>42115</v>
      </c>
      <c r="M18" s="195" t="b">
        <f>AND(_xll.qlIMMIsIMMdate(I18),NOT(ISERROR(D18)))</f>
        <v>0</v>
      </c>
      <c r="N18" s="196" t="b">
        <f>AND(NOT(_xll.qlIMMIsIMMdate(I18)),NOT(ISERROR(E18)))</f>
        <v>1</v>
      </c>
    </row>
    <row r="19" spans="1:14" x14ac:dyDescent="0.2">
      <c r="A19" s="84" t="b">
        <v>0</v>
      </c>
      <c r="B19" s="263" t="str">
        <f>Futures!H7</f>
        <v>obj_0058d#0001</v>
      </c>
      <c r="C19" s="85" t="str">
        <f>_xll.qlRateHelperQuoteName(B19)</f>
        <v>GBPFUT3MG5_Quote</v>
      </c>
      <c r="D19" s="101" t="e">
        <f>_xll.qlRateHelperQuoteValue($B19,Trigger)</f>
        <v>#NUM!</v>
      </c>
      <c r="E19" s="86">
        <f>_xll.qlFuturesRateHelperConvexityAdjustment($B19,Trigger)</f>
        <v>0</v>
      </c>
      <c r="F19" s="102" t="b">
        <v>1</v>
      </c>
      <c r="G19" s="25">
        <v>60</v>
      </c>
      <c r="H19" s="25">
        <v>21</v>
      </c>
      <c r="I19" s="87">
        <f>_xll.qlRateHelperEarliestDate($B19,Trigger)</f>
        <v>42053</v>
      </c>
      <c r="J19" s="88">
        <f>_xll.qlRateHelperLatestDate($B19,Trigger)</f>
        <v>42142</v>
      </c>
      <c r="M19" s="195" t="b">
        <f>AND(_xll.qlIMMIsIMMdate(I19),NOT(ISERROR(D19)))</f>
        <v>0</v>
      </c>
      <c r="N19" s="196" t="b">
        <f>AND(NOT(_xll.qlIMMIsIMMdate(I19)),NOT(ISERROR(E19)))</f>
        <v>1</v>
      </c>
    </row>
    <row r="20" spans="1:14" x14ac:dyDescent="0.2">
      <c r="A20" s="84" t="b">
        <v>0</v>
      </c>
      <c r="B20" s="263" t="str">
        <f>Futures!H8</f>
        <v>obj_00567#0001</v>
      </c>
      <c r="C20" s="85" t="str">
        <f>_xll.qlRateHelperQuoteName(B20)</f>
        <v>GBPFUT3MH5_Quote</v>
      </c>
      <c r="D20" s="101">
        <f>_xll.qlRateHelperQuoteValue($B20,Trigger)</f>
        <v>99.224999999999994</v>
      </c>
      <c r="E20" s="86">
        <f>_xll.qlFuturesRateHelperConvexityAdjustment($B20,Trigger)</f>
        <v>0</v>
      </c>
      <c r="F20" s="102" t="b">
        <v>1</v>
      </c>
      <c r="G20" s="25">
        <v>60</v>
      </c>
      <c r="H20" s="25">
        <v>21</v>
      </c>
      <c r="I20" s="87">
        <f>_xll.qlRateHelperEarliestDate($B20,Trigger)</f>
        <v>42081</v>
      </c>
      <c r="J20" s="88">
        <f>_xll.qlRateHelperLatestDate($B20,Trigger)</f>
        <v>42173</v>
      </c>
      <c r="M20" s="195" t="b">
        <f>AND(_xll.qlIMMIsIMMdate(I20),NOT(ISERROR(D20)))</f>
        <v>1</v>
      </c>
      <c r="N20" s="196" t="b">
        <f>AND(NOT(_xll.qlIMMIsIMMdate(I20)),NOT(ISERROR(E20)))</f>
        <v>0</v>
      </c>
    </row>
    <row r="21" spans="1:14" x14ac:dyDescent="0.2">
      <c r="A21" s="84" t="b">
        <v>0</v>
      </c>
      <c r="B21" s="263" t="str">
        <f>Futures!H9</f>
        <v>obj_00571#0001</v>
      </c>
      <c r="C21" s="85" t="str">
        <f>_xll.qlRateHelperQuoteName(B21)</f>
        <v>GBPFUT3MJ5_Quote</v>
      </c>
      <c r="D21" s="101" t="e">
        <f>_xll.qlRateHelperQuoteValue($B21,Trigger)</f>
        <v>#NUM!</v>
      </c>
      <c r="E21" s="86">
        <f>_xll.qlFuturesRateHelperConvexityAdjustment($B21,Trigger)</f>
        <v>0</v>
      </c>
      <c r="F21" s="102" t="b">
        <v>1</v>
      </c>
      <c r="G21" s="25">
        <v>60</v>
      </c>
      <c r="H21" s="25">
        <v>21</v>
      </c>
      <c r="I21" s="87">
        <f>_xll.qlRateHelperEarliestDate($B21,Trigger)</f>
        <v>42109</v>
      </c>
      <c r="J21" s="88">
        <f>_xll.qlRateHelperLatestDate($B21,Trigger)</f>
        <v>42200</v>
      </c>
      <c r="M21" s="195" t="b">
        <f>AND(_xll.qlIMMIsIMMdate(I21),NOT(ISERROR(D21)))</f>
        <v>0</v>
      </c>
      <c r="N21" s="196" t="b">
        <f>AND(NOT(_xll.qlIMMIsIMMdate(I21)),NOT(ISERROR(E21)))</f>
        <v>1</v>
      </c>
    </row>
    <row r="22" spans="1:14" x14ac:dyDescent="0.2">
      <c r="A22" s="84" t="b">
        <v>0</v>
      </c>
      <c r="B22" s="263" t="str">
        <f>Futures!H10</f>
        <v>obj_0057d#0001</v>
      </c>
      <c r="C22" s="85" t="str">
        <f>_xll.qlRateHelperQuoteName(B22)</f>
        <v>GBPFUT3MK5_Quote</v>
      </c>
      <c r="D22" s="101" t="e">
        <f>_xll.qlRateHelperQuoteValue($B22,Trigger)</f>
        <v>#NUM!</v>
      </c>
      <c r="E22" s="86">
        <f>_xll.qlFuturesRateHelperConvexityAdjustment($B22,Trigger)</f>
        <v>0</v>
      </c>
      <c r="F22" s="102" t="b">
        <v>1</v>
      </c>
      <c r="G22" s="25">
        <v>60</v>
      </c>
      <c r="H22" s="25">
        <v>21</v>
      </c>
      <c r="I22" s="87">
        <f>_xll.qlRateHelperEarliestDate($B22,Trigger)</f>
        <v>42144</v>
      </c>
      <c r="J22" s="88">
        <f>_xll.qlRateHelperLatestDate($B22,Trigger)</f>
        <v>42236</v>
      </c>
      <c r="M22" s="195" t="b">
        <f>AND(_xll.qlIMMIsIMMdate(I22),NOT(ISERROR(D22)))</f>
        <v>0</v>
      </c>
      <c r="N22" s="196" t="b">
        <f>AND(NOT(_xll.qlIMMIsIMMdate(I22)),NOT(ISERROR(E22)))</f>
        <v>1</v>
      </c>
    </row>
    <row r="23" spans="1:14" x14ac:dyDescent="0.2">
      <c r="A23" s="84" t="b">
        <v>0</v>
      </c>
      <c r="B23" s="263" t="str">
        <f>Futures!H11</f>
        <v>obj_0056f#0001</v>
      </c>
      <c r="C23" s="85" t="str">
        <f>_xll.qlRateHelperQuoteName(B23)</f>
        <v>GBPFUT3MM5_Quote</v>
      </c>
      <c r="D23" s="101">
        <f>_xll.qlRateHelperQuoteValue($B23,Trigger)</f>
        <v>99.0642</v>
      </c>
      <c r="E23" s="86">
        <f>_xll.qlFuturesRateHelperConvexityAdjustment($B23,Trigger)</f>
        <v>0</v>
      </c>
      <c r="F23" s="102" t="b">
        <v>1</v>
      </c>
      <c r="G23" s="25">
        <v>60</v>
      </c>
      <c r="H23" s="25">
        <v>21</v>
      </c>
      <c r="I23" s="87">
        <f>_xll.qlRateHelperEarliestDate($B23,Trigger)</f>
        <v>42172</v>
      </c>
      <c r="J23" s="88">
        <f>_xll.qlRateHelperLatestDate($B23,Trigger)</f>
        <v>42264</v>
      </c>
      <c r="M23" s="195" t="b">
        <f>AND(_xll.qlIMMIsIMMdate(I23),NOT(ISERROR(D23)))</f>
        <v>1</v>
      </c>
      <c r="N23" s="196" t="b">
        <f>AND(NOT(_xll.qlIMMIsIMMdate(I23)),NOT(ISERROR(E23)))</f>
        <v>0</v>
      </c>
    </row>
    <row r="24" spans="1:14" x14ac:dyDescent="0.2">
      <c r="A24" s="84" t="b">
        <v>0</v>
      </c>
      <c r="B24" s="263" t="str">
        <f>Futures!H12</f>
        <v>obj_00576#0001</v>
      </c>
      <c r="C24" s="85" t="str">
        <f>_xll.qlRateHelperQuoteName(B24)</f>
        <v>GBPFUT3MN5_Quote</v>
      </c>
      <c r="D24" s="101" t="e">
        <f>_xll.qlRateHelperQuoteValue($B24,Trigger)</f>
        <v>#NUM!</v>
      </c>
      <c r="E24" s="86">
        <f>_xll.qlFuturesRateHelperConvexityAdjustment($B24,Trigger)</f>
        <v>0</v>
      </c>
      <c r="F24" s="102" t="b">
        <v>1</v>
      </c>
      <c r="G24" s="25">
        <v>60</v>
      </c>
      <c r="H24" s="25">
        <v>21</v>
      </c>
      <c r="I24" s="87">
        <f>_xll.qlRateHelperEarliestDate($B24,Trigger)</f>
        <v>42200</v>
      </c>
      <c r="J24" s="88">
        <f>_xll.qlRateHelperLatestDate($B24,Trigger)</f>
        <v>42292</v>
      </c>
      <c r="M24" s="195" t="b">
        <f>AND(_xll.qlIMMIsIMMdate(I24),NOT(ISERROR(D24)))</f>
        <v>0</v>
      </c>
      <c r="N24" s="196" t="b">
        <f>AND(NOT(_xll.qlIMMIsIMMdate(I24)),NOT(ISERROR(E24)))</f>
        <v>1</v>
      </c>
    </row>
    <row r="25" spans="1:14" x14ac:dyDescent="0.2">
      <c r="A25" s="84" t="b">
        <v>0</v>
      </c>
      <c r="B25" s="263" t="str">
        <f>Futures!H13</f>
        <v>obj_00579#0001</v>
      </c>
      <c r="C25" s="85" t="str">
        <f>_xll.qlRateHelperQuoteName(B25)</f>
        <v>GBPFUT3MQ5_Quote</v>
      </c>
      <c r="D25" s="101" t="e">
        <f>_xll.qlRateHelperQuoteValue($B25,Trigger)</f>
        <v>#NUM!</v>
      </c>
      <c r="E25" s="86">
        <f>_xll.qlFuturesRateHelperConvexityAdjustment($B25,Trigger)</f>
        <v>0</v>
      </c>
      <c r="F25" s="102" t="b">
        <v>1</v>
      </c>
      <c r="G25" s="25">
        <v>60</v>
      </c>
      <c r="H25" s="25">
        <v>21</v>
      </c>
      <c r="I25" s="87">
        <f>_xll.qlRateHelperEarliestDate($B25,Trigger)</f>
        <v>42235</v>
      </c>
      <c r="J25" s="88">
        <f>_xll.qlRateHelperLatestDate($B25,Trigger)</f>
        <v>42327</v>
      </c>
      <c r="M25" s="195" t="b">
        <f>AND(_xll.qlIMMIsIMMdate(I25),NOT(ISERROR(D25)))</f>
        <v>0</v>
      </c>
      <c r="N25" s="196" t="b">
        <f>AND(NOT(_xll.qlIMMIsIMMdate(I25)),NOT(ISERROR(E25)))</f>
        <v>1</v>
      </c>
    </row>
    <row r="26" spans="1:14" x14ac:dyDescent="0.2">
      <c r="A26" s="84" t="b">
        <v>0</v>
      </c>
      <c r="B26" s="263" t="str">
        <f>Futures!H14</f>
        <v>obj_00574#0001</v>
      </c>
      <c r="C26" s="85" t="str">
        <f>_xll.qlRateHelperQuoteName(B26)</f>
        <v>GBPFUT3MU5_Quote</v>
      </c>
      <c r="D26" s="101">
        <f>_xll.qlRateHelperQuoteValue($B26,Trigger)</f>
        <v>98.891699999999986</v>
      </c>
      <c r="E26" s="86">
        <f>_xll.qlFuturesRateHelperConvexityAdjustment($B26,Trigger)</f>
        <v>0</v>
      </c>
      <c r="F26" s="102" t="b">
        <v>1</v>
      </c>
      <c r="G26" s="25">
        <v>60</v>
      </c>
      <c r="H26" s="25">
        <v>21</v>
      </c>
      <c r="I26" s="87">
        <f>_xll.qlRateHelperEarliestDate($B26,Trigger)</f>
        <v>42263</v>
      </c>
      <c r="J26" s="88">
        <f>_xll.qlRateHelperLatestDate($B26,Trigger)</f>
        <v>42354</v>
      </c>
      <c r="M26" s="195" t="b">
        <f>AND(_xll.qlIMMIsIMMdate(I26),NOT(ISERROR(D26)))</f>
        <v>1</v>
      </c>
      <c r="N26" s="196" t="b">
        <f>AND(NOT(_xll.qlIMMIsIMMdate(I26)),NOT(ISERROR(E26)))</f>
        <v>0</v>
      </c>
    </row>
    <row r="27" spans="1:14" x14ac:dyDescent="0.2">
      <c r="A27" s="84" t="b">
        <v>1</v>
      </c>
      <c r="B27" s="263" t="str">
        <f>Futures!H15</f>
        <v>obj_00570#0001</v>
      </c>
      <c r="C27" s="85" t="str">
        <f>_xll.qlRateHelperQuoteName(B27)</f>
        <v>GBPFUT3MZ5_Quote</v>
      </c>
      <c r="D27" s="101">
        <f>_xll.qlRateHelperQuoteValue($B27,Trigger)</f>
        <v>98.714799999999997</v>
      </c>
      <c r="E27" s="86">
        <f>_xll.qlFuturesRateHelperConvexityAdjustment($B27,Trigger)</f>
        <v>0</v>
      </c>
      <c r="F27" s="102" t="b">
        <v>1</v>
      </c>
      <c r="G27" s="25">
        <v>60</v>
      </c>
      <c r="H27" s="25">
        <v>21</v>
      </c>
      <c r="I27" s="87">
        <f>_xll.qlRateHelperEarliestDate($B27,Trigger)</f>
        <v>42354</v>
      </c>
      <c r="J27" s="88">
        <f>_xll.qlRateHelperLatestDate($B27,Trigger)</f>
        <v>42445</v>
      </c>
      <c r="M27" s="195" t="b">
        <f>AND(_xll.qlIMMIsIMMdate(I27),NOT(ISERROR(D27)))</f>
        <v>1</v>
      </c>
      <c r="N27" s="196" t="b">
        <f>AND(NOT(_xll.qlIMMIsIMMdate(I27)),NOT(ISERROR(E27)))</f>
        <v>0</v>
      </c>
    </row>
    <row r="28" spans="1:14" x14ac:dyDescent="0.2">
      <c r="A28" s="84" t="b">
        <v>1</v>
      </c>
      <c r="B28" s="263" t="str">
        <f>Futures!H16</f>
        <v>obj_0058e#0001</v>
      </c>
      <c r="C28" s="85" t="str">
        <f>_xll.qlRateHelperQuoteName(B28)</f>
        <v>GBPFUT3MH6_Quote</v>
      </c>
      <c r="D28" s="101">
        <f>_xll.qlRateHelperQuoteValue($B28,Trigger)</f>
        <v>98.548400000000001</v>
      </c>
      <c r="E28" s="86">
        <f>_xll.qlFuturesRateHelperConvexityAdjustment($B28,Trigger)</f>
        <v>0</v>
      </c>
      <c r="F28" s="102" t="b">
        <v>1</v>
      </c>
      <c r="G28" s="25">
        <v>60</v>
      </c>
      <c r="H28" s="25">
        <v>21</v>
      </c>
      <c r="I28" s="87">
        <f>_xll.qlRateHelperEarliestDate($B28,Trigger)</f>
        <v>42445</v>
      </c>
      <c r="J28" s="88">
        <f>_xll.qlRateHelperLatestDate($B28,Trigger)</f>
        <v>42537</v>
      </c>
      <c r="M28" s="195" t="b">
        <f>AND(_xll.qlIMMIsIMMdate(I28),NOT(ISERROR(D28)))</f>
        <v>1</v>
      </c>
      <c r="N28" s="196" t="b">
        <f>AND(NOT(_xll.qlIMMIsIMMdate(I28)),NOT(ISERROR(E28)))</f>
        <v>0</v>
      </c>
    </row>
    <row r="29" spans="1:14" x14ac:dyDescent="0.2">
      <c r="A29" s="84" t="b">
        <v>1</v>
      </c>
      <c r="B29" s="263" t="str">
        <f>Futures!H17</f>
        <v>obj_0057a#0001</v>
      </c>
      <c r="C29" s="85" t="str">
        <f>_xll.qlRateHelperQuoteName(B29)</f>
        <v>GBPFUT3MM6_Quote</v>
      </c>
      <c r="D29" s="101">
        <f>_xll.qlRateHelperQuoteValue($B29,Trigger)</f>
        <v>98.392600000000002</v>
      </c>
      <c r="E29" s="86">
        <f>_xll.qlFuturesRateHelperConvexityAdjustment($B29,Trigger)</f>
        <v>0</v>
      </c>
      <c r="F29" s="102" t="b">
        <v>1</v>
      </c>
      <c r="G29" s="25">
        <v>60</v>
      </c>
      <c r="H29" s="25">
        <v>21</v>
      </c>
      <c r="I29" s="87">
        <f>_xll.qlRateHelperEarliestDate($B29,Trigger)</f>
        <v>42536</v>
      </c>
      <c r="J29" s="88">
        <f>_xll.qlRateHelperLatestDate($B29,Trigger)</f>
        <v>42628</v>
      </c>
      <c r="M29" s="195" t="b">
        <f>AND(_xll.qlIMMIsIMMdate(I29),NOT(ISERROR(D29)))</f>
        <v>1</v>
      </c>
      <c r="N29" s="196" t="b">
        <f>AND(NOT(_xll.qlIMMIsIMMdate(I29)),NOT(ISERROR(E29)))</f>
        <v>0</v>
      </c>
    </row>
    <row r="30" spans="1:14" x14ac:dyDescent="0.2">
      <c r="A30" s="84" t="b">
        <v>1</v>
      </c>
      <c r="B30" s="263" t="str">
        <f>Futures!H18</f>
        <v>obj_00580#0001</v>
      </c>
      <c r="C30" s="85" t="str">
        <f>_xll.qlRateHelperQuoteName(B30)</f>
        <v>GBPFUT3MU6_Quote</v>
      </c>
      <c r="D30" s="101">
        <f>_xll.qlRateHelperQuoteValue($B30,Trigger)</f>
        <v>98.237499999999997</v>
      </c>
      <c r="E30" s="86">
        <f>_xll.qlFuturesRateHelperConvexityAdjustment($B30,Trigger)</f>
        <v>0</v>
      </c>
      <c r="F30" s="102" t="b">
        <v>1</v>
      </c>
      <c r="G30" s="25">
        <v>60</v>
      </c>
      <c r="H30" s="25">
        <v>21</v>
      </c>
      <c r="I30" s="87">
        <f>_xll.qlRateHelperEarliestDate($B30,Trigger)</f>
        <v>42634</v>
      </c>
      <c r="J30" s="88">
        <f>_xll.qlRateHelperLatestDate($B30,Trigger)</f>
        <v>42725</v>
      </c>
      <c r="M30" s="195" t="b">
        <f>AND(_xll.qlIMMIsIMMdate(I30),NOT(ISERROR(D30)))</f>
        <v>1</v>
      </c>
      <c r="N30" s="196" t="b">
        <f>AND(NOT(_xll.qlIMMIsIMMdate(I30)),NOT(ISERROR(E30)))</f>
        <v>0</v>
      </c>
    </row>
    <row r="31" spans="1:14" x14ac:dyDescent="0.2">
      <c r="A31" s="84" t="b">
        <v>1</v>
      </c>
      <c r="B31" s="263" t="str">
        <f>Futures!H19</f>
        <v>obj_0058f#0001</v>
      </c>
      <c r="C31" s="85" t="str">
        <f>_xll.qlRateHelperQuoteName(B31)</f>
        <v>GBPFUT3MZ6_Quote</v>
      </c>
      <c r="D31" s="101">
        <f>_xll.qlRateHelperQuoteValue($B31,Trigger)</f>
        <v>98.074999999999989</v>
      </c>
      <c r="E31" s="86">
        <f>_xll.qlFuturesRateHelperConvexityAdjustment($B31,Trigger)</f>
        <v>0</v>
      </c>
      <c r="F31" s="102" t="b">
        <v>1</v>
      </c>
      <c r="G31" s="25">
        <v>60</v>
      </c>
      <c r="H31" s="25">
        <v>21</v>
      </c>
      <c r="I31" s="87">
        <f>_xll.qlRateHelperEarliestDate($B31,Trigger)</f>
        <v>42725</v>
      </c>
      <c r="J31" s="88">
        <f>_xll.qlRateHelperLatestDate($B31,Trigger)</f>
        <v>42815</v>
      </c>
      <c r="M31" s="195" t="b">
        <f>AND(_xll.qlIMMIsIMMdate(I31),NOT(ISERROR(D31)))</f>
        <v>1</v>
      </c>
      <c r="N31" s="196" t="b">
        <f>AND(NOT(_xll.qlIMMIsIMMdate(I31)),NOT(ISERROR(E31)))</f>
        <v>0</v>
      </c>
    </row>
    <row r="32" spans="1:14" x14ac:dyDescent="0.2">
      <c r="A32" s="84" t="b">
        <v>1</v>
      </c>
      <c r="B32" s="263" t="str">
        <f>Futures!H20</f>
        <v>obj_00575#0001</v>
      </c>
      <c r="C32" s="85" t="str">
        <f>_xll.qlRateHelperQuoteName(B32)</f>
        <v>GBPFUT3MH7_Quote</v>
      </c>
      <c r="D32" s="101">
        <f>_xll.qlRateHelperQuoteValue($B32,Trigger)</f>
        <v>97.974999999999994</v>
      </c>
      <c r="E32" s="86">
        <f>_xll.qlFuturesRateHelperConvexityAdjustment($B32,Trigger)</f>
        <v>0</v>
      </c>
      <c r="F32" s="102" t="b">
        <v>1</v>
      </c>
      <c r="G32" s="25">
        <v>30</v>
      </c>
      <c r="H32" s="25">
        <v>21</v>
      </c>
      <c r="I32" s="87">
        <f>_xll.qlRateHelperEarliestDate($B32,Trigger)</f>
        <v>42809</v>
      </c>
      <c r="J32" s="88">
        <f>_xll.qlRateHelperLatestDate($B32,Trigger)</f>
        <v>42901</v>
      </c>
      <c r="M32" s="195" t="b">
        <f>AND(_xll.qlIMMIsIMMdate(I32),NOT(ISERROR(D32)))</f>
        <v>1</v>
      </c>
      <c r="N32" s="196" t="b">
        <f>AND(NOT(_xll.qlIMMIsIMMdate(I32)),NOT(ISERROR(E32)))</f>
        <v>0</v>
      </c>
    </row>
    <row r="33" spans="1:14" x14ac:dyDescent="0.2">
      <c r="A33" s="84" t="b">
        <v>1</v>
      </c>
      <c r="B33" s="263" t="str">
        <f>Futures!H21</f>
        <v>obj_00577#0001</v>
      </c>
      <c r="C33" s="85" t="str">
        <f>_xll.qlRateHelperQuoteName(B33)</f>
        <v>GBPFUT3MM7_Quote</v>
      </c>
      <c r="D33" s="101">
        <f>_xll.qlRateHelperQuoteValue($B33,Trigger)</f>
        <v>97.875</v>
      </c>
      <c r="E33" s="86">
        <f>_xll.qlFuturesRateHelperConvexityAdjustment($B33,Trigger)</f>
        <v>0</v>
      </c>
      <c r="F33" s="102" t="b">
        <v>1</v>
      </c>
      <c r="G33" s="25">
        <v>30</v>
      </c>
      <c r="H33" s="25">
        <v>21</v>
      </c>
      <c r="I33" s="87">
        <f>_xll.qlRateHelperEarliestDate($B33,Trigger)</f>
        <v>42907</v>
      </c>
      <c r="J33" s="88">
        <f>_xll.qlRateHelperLatestDate($B33,Trigger)</f>
        <v>42999</v>
      </c>
      <c r="M33" s="195" t="b">
        <f>AND(_xll.qlIMMIsIMMdate(I33),NOT(ISERROR(D33)))</f>
        <v>1</v>
      </c>
      <c r="N33" s="196" t="b">
        <f>AND(NOT(_xll.qlIMMIsIMMdate(I33)),NOT(ISERROR(E33)))</f>
        <v>0</v>
      </c>
    </row>
    <row r="34" spans="1:14" x14ac:dyDescent="0.2">
      <c r="A34" s="84" t="b">
        <v>1</v>
      </c>
      <c r="B34" s="263" t="str">
        <f>Futures!H22</f>
        <v>obj_0057e#0001</v>
      </c>
      <c r="C34" s="85" t="str">
        <f>_xll.qlRateHelperQuoteName(B34)</f>
        <v>GBPFUT3MU7_Quote</v>
      </c>
      <c r="D34" s="101">
        <f>_xll.qlRateHelperQuoteValue($B34,Trigger)</f>
        <v>97.789999999999992</v>
      </c>
      <c r="E34" s="86">
        <f>_xll.qlFuturesRateHelperConvexityAdjustment($B34,Trigger)</f>
        <v>0</v>
      </c>
      <c r="F34" s="102" t="b">
        <v>1</v>
      </c>
      <c r="G34" s="25">
        <v>30</v>
      </c>
      <c r="H34" s="25">
        <v>21</v>
      </c>
      <c r="I34" s="87">
        <f>_xll.qlRateHelperEarliestDate($B34,Trigger)</f>
        <v>42998</v>
      </c>
      <c r="J34" s="88">
        <f>_xll.qlRateHelperLatestDate($B34,Trigger)</f>
        <v>43089</v>
      </c>
      <c r="M34" s="195" t="b">
        <f>AND(_xll.qlIMMIsIMMdate(I34),NOT(ISERROR(D34)))</f>
        <v>1</v>
      </c>
      <c r="N34" s="196" t="b">
        <f>AND(NOT(_xll.qlIMMIsIMMdate(I34)),NOT(ISERROR(E34)))</f>
        <v>0</v>
      </c>
    </row>
    <row r="35" spans="1:14" x14ac:dyDescent="0.2">
      <c r="A35" s="84" t="b">
        <v>1</v>
      </c>
      <c r="B35" s="263" t="str">
        <f>Futures!H23</f>
        <v>obj_00584#0001</v>
      </c>
      <c r="C35" s="85" t="str">
        <f>_xll.qlRateHelperQuoteName(B35)</f>
        <v>GBPFUT3MZ7_Quote</v>
      </c>
      <c r="D35" s="101">
        <f>_xll.qlRateHelperQuoteValue($B35,Trigger)</f>
        <v>97.715000000000003</v>
      </c>
      <c r="E35" s="86">
        <f>_xll.qlFuturesRateHelperConvexityAdjustment($B35,Trigger)</f>
        <v>0</v>
      </c>
      <c r="F35" s="102" t="b">
        <v>1</v>
      </c>
      <c r="G35" s="25">
        <v>30</v>
      </c>
      <c r="H35" s="25">
        <v>21</v>
      </c>
      <c r="I35" s="87">
        <f>_xll.qlRateHelperEarliestDate($B35,Trigger)</f>
        <v>43089</v>
      </c>
      <c r="J35" s="88">
        <f>_xll.qlRateHelperLatestDate($B35,Trigger)</f>
        <v>43179</v>
      </c>
      <c r="M35" s="195" t="b">
        <f>AND(_xll.qlIMMIsIMMdate(I35),NOT(ISERROR(D35)))</f>
        <v>1</v>
      </c>
      <c r="N35" s="196" t="b">
        <f>AND(NOT(_xll.qlIMMIsIMMdate(I35)),NOT(ISERROR(E35)))</f>
        <v>0</v>
      </c>
    </row>
    <row r="36" spans="1:14" x14ac:dyDescent="0.2">
      <c r="A36" s="84" t="b">
        <v>1</v>
      </c>
      <c r="B36" s="263" t="str">
        <f>Futures!H24</f>
        <v>obj_00585#0001</v>
      </c>
      <c r="C36" s="85" t="str">
        <f>_xll.qlRateHelperQuoteName(B36)</f>
        <v>GBPFUT3MH8_Quote</v>
      </c>
      <c r="D36" s="101">
        <f>_xll.qlRateHelperQuoteValue($B36,Trigger)</f>
        <v>97.655000000000001</v>
      </c>
      <c r="E36" s="86">
        <f>_xll.qlFuturesRateHelperConvexityAdjustment($B36,Trigger)</f>
        <v>0</v>
      </c>
      <c r="F36" s="102" t="b">
        <v>1</v>
      </c>
      <c r="G36" s="25">
        <v>30</v>
      </c>
      <c r="H36" s="25">
        <v>21</v>
      </c>
      <c r="I36" s="87">
        <f>_xll.qlRateHelperEarliestDate($B36,Trigger)</f>
        <v>43180</v>
      </c>
      <c r="J36" s="88">
        <f>_xll.qlRateHelperLatestDate($B36,Trigger)</f>
        <v>43272</v>
      </c>
      <c r="M36" s="195" t="b">
        <f>AND(_xll.qlIMMIsIMMdate(I36),NOT(ISERROR(D36)))</f>
        <v>1</v>
      </c>
      <c r="N36" s="196" t="b">
        <f>AND(NOT(_xll.qlIMMIsIMMdate(I36)),NOT(ISERROR(E36)))</f>
        <v>0</v>
      </c>
    </row>
    <row r="37" spans="1:14" x14ac:dyDescent="0.2">
      <c r="A37" s="84" t="b">
        <v>1</v>
      </c>
      <c r="B37" s="263" t="str">
        <f>Futures!H25</f>
        <v>obj_00582#0001</v>
      </c>
      <c r="C37" s="85" t="str">
        <f>_xll.qlRateHelperQuoteName(B37)</f>
        <v>GBPFUT3MM8_Quote</v>
      </c>
      <c r="D37" s="101">
        <f>_xll.qlRateHelperQuoteValue($B37,Trigger)</f>
        <v>97.59</v>
      </c>
      <c r="E37" s="86">
        <f>_xll.qlFuturesRateHelperConvexityAdjustment($B37,Trigger)</f>
        <v>0</v>
      </c>
      <c r="F37" s="102" t="b">
        <v>1</v>
      </c>
      <c r="G37" s="25">
        <v>30</v>
      </c>
      <c r="H37" s="25">
        <v>21</v>
      </c>
      <c r="I37" s="87">
        <f>_xll.qlRateHelperEarliestDate($B37,Trigger)</f>
        <v>43271</v>
      </c>
      <c r="J37" s="88">
        <f>_xll.qlRateHelperLatestDate($B37,Trigger)</f>
        <v>43363</v>
      </c>
      <c r="M37" s="195" t="b">
        <f>AND(_xll.qlIMMIsIMMdate(I37),NOT(ISERROR(D37)))</f>
        <v>1</v>
      </c>
      <c r="N37" s="196" t="b">
        <f>AND(NOT(_xll.qlIMMIsIMMdate(I37)),NOT(ISERROR(E37)))</f>
        <v>0</v>
      </c>
    </row>
    <row r="38" spans="1:14" x14ac:dyDescent="0.2">
      <c r="A38" s="84" t="b">
        <v>1</v>
      </c>
      <c r="B38" s="263" t="str">
        <f>Futures!H26</f>
        <v>obj_00589#0001</v>
      </c>
      <c r="C38" s="85" t="str">
        <f>_xll.qlRateHelperQuoteName(B38)</f>
        <v>GBPFUT3MU8_Quote</v>
      </c>
      <c r="D38" s="101">
        <f>_xll.qlRateHelperQuoteValue($B38,Trigger)</f>
        <v>97.534999999999997</v>
      </c>
      <c r="E38" s="86">
        <f>_xll.qlFuturesRateHelperConvexityAdjustment($B38,Trigger)</f>
        <v>0</v>
      </c>
      <c r="F38" s="102" t="b">
        <v>1</v>
      </c>
      <c r="G38" s="25">
        <v>30</v>
      </c>
      <c r="H38" s="25">
        <v>21</v>
      </c>
      <c r="I38" s="87">
        <f>_xll.qlRateHelperEarliestDate($B38,Trigger)</f>
        <v>43362</v>
      </c>
      <c r="J38" s="88">
        <f>_xll.qlRateHelperLatestDate($B38,Trigger)</f>
        <v>43453</v>
      </c>
      <c r="M38" s="195" t="b">
        <f>AND(_xll.qlIMMIsIMMdate(I38),NOT(ISERROR(D38)))</f>
        <v>1</v>
      </c>
      <c r="N38" s="196" t="b">
        <f>AND(NOT(_xll.qlIMMIsIMMdate(I38)),NOT(ISERROR(E38)))</f>
        <v>0</v>
      </c>
    </row>
    <row r="39" spans="1:14" x14ac:dyDescent="0.2">
      <c r="A39" s="84" t="b">
        <v>1</v>
      </c>
      <c r="B39" s="263" t="str">
        <f>Futures!H27</f>
        <v>obj_0057f#0001</v>
      </c>
      <c r="C39" s="85" t="str">
        <f>_xll.qlRateHelperQuoteName(B39)</f>
        <v>GBPFUT3MZ8_Quote</v>
      </c>
      <c r="D39" s="101">
        <f>_xll.qlRateHelperQuoteValue($B39,Trigger)</f>
        <v>97.47999999999999</v>
      </c>
      <c r="E39" s="86">
        <f>_xll.qlFuturesRateHelperConvexityAdjustment($B39,Trigger)</f>
        <v>0</v>
      </c>
      <c r="F39" s="102" t="b">
        <v>1</v>
      </c>
      <c r="G39" s="25">
        <v>30</v>
      </c>
      <c r="H39" s="25">
        <v>21</v>
      </c>
      <c r="I39" s="87">
        <f>_xll.qlRateHelperEarliestDate($B39,Trigger)</f>
        <v>43453</v>
      </c>
      <c r="J39" s="88">
        <f>_xll.qlRateHelperLatestDate($B39,Trigger)</f>
        <v>43543</v>
      </c>
      <c r="M39" s="195" t="b">
        <f>AND(_xll.qlIMMIsIMMdate(I39),NOT(ISERROR(D39)))</f>
        <v>1</v>
      </c>
      <c r="N39" s="196" t="b">
        <f>AND(NOT(_xll.qlIMMIsIMMdate(I39)),NOT(ISERROR(E39)))</f>
        <v>0</v>
      </c>
    </row>
    <row r="40" spans="1:14" x14ac:dyDescent="0.2">
      <c r="A40" s="84" t="b">
        <v>1</v>
      </c>
      <c r="B40" s="263" t="str">
        <f>Futures!H28</f>
        <v>obj_00587#0001</v>
      </c>
      <c r="C40" s="85" t="str">
        <f>_xll.qlRateHelperQuoteName(B40)</f>
        <v>GBPFUT3MH9_Quote</v>
      </c>
      <c r="D40" s="101">
        <f>_xll.qlRateHelperQuoteValue($B40,Trigger)</f>
        <v>97.435000000000002</v>
      </c>
      <c r="E40" s="86">
        <f>_xll.qlFuturesRateHelperConvexityAdjustment($B40,Trigger)</f>
        <v>0</v>
      </c>
      <c r="F40" s="102" t="b">
        <v>1</v>
      </c>
      <c r="G40" s="25">
        <v>30</v>
      </c>
      <c r="H40" s="25">
        <v>21</v>
      </c>
      <c r="I40" s="87">
        <f>_xll.qlRateHelperEarliestDate($B40,Trigger)</f>
        <v>43544</v>
      </c>
      <c r="J40" s="88">
        <f>_xll.qlRateHelperLatestDate($B40,Trigger)</f>
        <v>43636</v>
      </c>
      <c r="M40" s="195" t="b">
        <f>AND(_xll.qlIMMIsIMMdate(I40),NOT(ISERROR(D40)))</f>
        <v>1</v>
      </c>
      <c r="N40" s="196" t="b">
        <f>AND(NOT(_xll.qlIMMIsIMMdate(I40)),NOT(ISERROR(E40)))</f>
        <v>0</v>
      </c>
    </row>
    <row r="41" spans="1:14" x14ac:dyDescent="0.2">
      <c r="A41" s="84" t="b">
        <v>1</v>
      </c>
      <c r="B41" s="263" t="str">
        <f>Futures!H29</f>
        <v>obj_00588#0001</v>
      </c>
      <c r="C41" s="85" t="str">
        <f>_xll.qlRateHelperQuoteName(B41)</f>
        <v>GBPFUT3MM9_Quote</v>
      </c>
      <c r="D41" s="101" t="e">
        <f>_xll.qlRateHelperQuoteValue($B41,Trigger)</f>
        <v>#NUM!</v>
      </c>
      <c r="E41" s="86">
        <f>_xll.qlFuturesRateHelperConvexityAdjustment($B41,Trigger)</f>
        <v>0</v>
      </c>
      <c r="F41" s="102" t="b">
        <v>1</v>
      </c>
      <c r="G41" s="25">
        <v>30</v>
      </c>
      <c r="H41" s="25">
        <v>21</v>
      </c>
      <c r="I41" s="87">
        <f>_xll.qlRateHelperEarliestDate($B41,Trigger)</f>
        <v>43635</v>
      </c>
      <c r="J41" s="88">
        <f>_xll.qlRateHelperLatestDate($B41,Trigger)</f>
        <v>43727</v>
      </c>
      <c r="M41" s="195" t="b">
        <f>AND(_xll.qlIMMIsIMMdate(I41),NOT(ISERROR(D41)))</f>
        <v>0</v>
      </c>
      <c r="N41" s="196" t="b">
        <f>AND(NOT(_xll.qlIMMIsIMMdate(I41)),NOT(ISERROR(E41)))</f>
        <v>0</v>
      </c>
    </row>
    <row r="42" spans="1:14" x14ac:dyDescent="0.2">
      <c r="A42" s="84" t="b">
        <v>1</v>
      </c>
      <c r="B42" s="263" t="str">
        <f>Futures!H30</f>
        <v>obj_0056a#0001</v>
      </c>
      <c r="C42" s="85" t="str">
        <f>_xll.qlRateHelperQuoteName(B42)</f>
        <v>GBPFUT3MU9_Quote</v>
      </c>
      <c r="D42" s="101" t="e">
        <f>_xll.qlRateHelperQuoteValue($B42,Trigger)</f>
        <v>#NUM!</v>
      </c>
      <c r="E42" s="86">
        <f>_xll.qlFuturesRateHelperConvexityAdjustment($B42,Trigger)</f>
        <v>0</v>
      </c>
      <c r="F42" s="102" t="b">
        <v>1</v>
      </c>
      <c r="G42" s="25">
        <v>30</v>
      </c>
      <c r="H42" s="25">
        <v>21</v>
      </c>
      <c r="I42" s="87">
        <f>_xll.qlRateHelperEarliestDate($B42,Trigger)</f>
        <v>43726</v>
      </c>
      <c r="J42" s="88">
        <f>_xll.qlRateHelperLatestDate($B42,Trigger)</f>
        <v>43817</v>
      </c>
      <c r="M42" s="195" t="b">
        <f>AND(_xll.qlIMMIsIMMdate(I42),NOT(ISERROR(D42)))</f>
        <v>0</v>
      </c>
      <c r="N42" s="196" t="b">
        <f>AND(NOT(_xll.qlIMMIsIMMdate(I42)),NOT(ISERROR(E42)))</f>
        <v>0</v>
      </c>
    </row>
    <row r="43" spans="1:14" x14ac:dyDescent="0.2">
      <c r="A43" s="84" t="b">
        <v>1</v>
      </c>
      <c r="B43" s="263" t="str">
        <f>Futures!H31</f>
        <v>obj_0057b#0001</v>
      </c>
      <c r="C43" s="85" t="str">
        <f>_xll.qlRateHelperQuoteName(B43)</f>
        <v>GBPFUT3MZ9_Quote</v>
      </c>
      <c r="D43" s="101" t="e">
        <f>_xll.qlRateHelperQuoteValue($B43,Trigger)</f>
        <v>#NUM!</v>
      </c>
      <c r="E43" s="86">
        <f>_xll.qlFuturesRateHelperConvexityAdjustment($B43,Trigger)</f>
        <v>0</v>
      </c>
      <c r="F43" s="102" t="b">
        <v>1</v>
      </c>
      <c r="G43" s="25">
        <v>30</v>
      </c>
      <c r="H43" s="25">
        <v>21</v>
      </c>
      <c r="I43" s="87">
        <f>_xll.qlRateHelperEarliestDate($B43,Trigger)</f>
        <v>43817</v>
      </c>
      <c r="J43" s="88">
        <f>_xll.qlRateHelperLatestDate($B43,Trigger)</f>
        <v>43908</v>
      </c>
      <c r="M43" s="195" t="b">
        <f>AND(_xll.qlIMMIsIMMdate(I43),NOT(ISERROR(D43)))</f>
        <v>0</v>
      </c>
      <c r="N43" s="196" t="b">
        <f>AND(NOT(_xll.qlIMMIsIMMdate(I43)),NOT(ISERROR(E43)))</f>
        <v>0</v>
      </c>
    </row>
    <row r="44" spans="1:14" x14ac:dyDescent="0.2">
      <c r="A44" s="84" t="b">
        <v>1</v>
      </c>
      <c r="B44" s="263" t="str">
        <f>Futures!H32</f>
        <v>obj_0056d#0001</v>
      </c>
      <c r="C44" s="85" t="str">
        <f>_xll.qlRateHelperQuoteName(B44)</f>
        <v>GBPFUT3MH0_Quote</v>
      </c>
      <c r="D44" s="101" t="e">
        <f>_xll.qlRateHelperQuoteValue($B44,Trigger)</f>
        <v>#NUM!</v>
      </c>
      <c r="E44" s="86">
        <f>_xll.qlFuturesRateHelperConvexityAdjustment($B44,Trigger)</f>
        <v>0</v>
      </c>
      <c r="F44" s="102" t="b">
        <v>1</v>
      </c>
      <c r="G44" s="25">
        <v>30</v>
      </c>
      <c r="H44" s="25">
        <v>21</v>
      </c>
      <c r="I44" s="87">
        <f>_xll.qlRateHelperEarliestDate($B44,Trigger)</f>
        <v>43908</v>
      </c>
      <c r="J44" s="88">
        <f>_xll.qlRateHelperLatestDate($B44,Trigger)</f>
        <v>44000</v>
      </c>
      <c r="M44" s="195" t="b">
        <f>AND(_xll.qlIMMIsIMMdate(I44),NOT(ISERROR(D44)))</f>
        <v>0</v>
      </c>
      <c r="N44" s="196" t="b">
        <f>AND(NOT(_xll.qlIMMIsIMMdate(I44)),NOT(ISERROR(E44)))</f>
        <v>0</v>
      </c>
    </row>
    <row r="45" spans="1:14" x14ac:dyDescent="0.2">
      <c r="A45" s="84" t="b">
        <v>1</v>
      </c>
      <c r="B45" s="263" t="str">
        <f>Futures!H33</f>
        <v>obj_0058a#0001</v>
      </c>
      <c r="C45" s="85" t="str">
        <f>_xll.qlRateHelperQuoteName(B45)</f>
        <v>GBPFUT3MM0_Quote</v>
      </c>
      <c r="D45" s="101" t="e">
        <f>_xll.qlRateHelperQuoteValue($B45,Trigger)</f>
        <v>#NUM!</v>
      </c>
      <c r="E45" s="86">
        <f>_xll.qlFuturesRateHelperConvexityAdjustment($B45,Trigger)</f>
        <v>0</v>
      </c>
      <c r="F45" s="102" t="b">
        <v>1</v>
      </c>
      <c r="G45" s="25">
        <v>30</v>
      </c>
      <c r="H45" s="25">
        <v>21</v>
      </c>
      <c r="I45" s="87">
        <f>_xll.qlRateHelperEarliestDate($B45,Trigger)</f>
        <v>43999</v>
      </c>
      <c r="J45" s="88">
        <f>_xll.qlRateHelperLatestDate($B45,Trigger)</f>
        <v>44091</v>
      </c>
      <c r="M45" s="195" t="b">
        <f>AND(_xll.qlIMMIsIMMdate(I45),NOT(ISERROR(D45)))</f>
        <v>0</v>
      </c>
      <c r="N45" s="196" t="b">
        <f>AND(NOT(_xll.qlIMMIsIMMdate(I45)),NOT(ISERROR(E45)))</f>
        <v>0</v>
      </c>
    </row>
    <row r="46" spans="1:14" x14ac:dyDescent="0.2">
      <c r="A46" s="84" t="b">
        <v>1</v>
      </c>
      <c r="B46" s="263" t="str">
        <f>Futures!H34</f>
        <v>obj_00566#0001</v>
      </c>
      <c r="C46" s="85" t="str">
        <f>_xll.qlRateHelperQuoteName(B46)</f>
        <v>GBPFUT3MU0_Quote</v>
      </c>
      <c r="D46" s="101" t="e">
        <f>_xll.qlRateHelperQuoteValue($B46,Trigger)</f>
        <v>#NUM!</v>
      </c>
      <c r="E46" s="86">
        <f>_xll.qlFuturesRateHelperConvexityAdjustment($B46,Trigger)</f>
        <v>0</v>
      </c>
      <c r="F46" s="102" t="b">
        <v>1</v>
      </c>
      <c r="G46" s="25">
        <v>30</v>
      </c>
      <c r="H46" s="25">
        <v>21</v>
      </c>
      <c r="I46" s="87">
        <f>_xll.qlRateHelperEarliestDate($B46,Trigger)</f>
        <v>44090</v>
      </c>
      <c r="J46" s="88">
        <f>_xll.qlRateHelperLatestDate($B46,Trigger)</f>
        <v>44181</v>
      </c>
      <c r="M46" s="195" t="b">
        <f>AND(_xll.qlIMMIsIMMdate(I46),NOT(ISERROR(D46)))</f>
        <v>0</v>
      </c>
      <c r="N46" s="196" t="b">
        <f>AND(NOT(_xll.qlIMMIsIMMdate(I46)),NOT(ISERROR(E46)))</f>
        <v>0</v>
      </c>
    </row>
    <row r="47" spans="1:14" x14ac:dyDescent="0.2">
      <c r="A47" s="84" t="b">
        <v>1</v>
      </c>
      <c r="B47" s="263" t="str">
        <f>Futures!H35</f>
        <v>obj_00578#0001</v>
      </c>
      <c r="C47" s="85" t="str">
        <f>_xll.qlRateHelperQuoteName(B47)</f>
        <v>GBPFUT3MZ0_Quote</v>
      </c>
      <c r="D47" s="101" t="e">
        <f>_xll.qlRateHelperQuoteValue($B47,Trigger)</f>
        <v>#NUM!</v>
      </c>
      <c r="E47" s="86">
        <f>_xll.qlFuturesRateHelperConvexityAdjustment($B47,Trigger)</f>
        <v>0</v>
      </c>
      <c r="F47" s="102" t="b">
        <v>1</v>
      </c>
      <c r="G47" s="25">
        <v>30</v>
      </c>
      <c r="H47" s="25">
        <v>21</v>
      </c>
      <c r="I47" s="87">
        <f>_xll.qlRateHelperEarliestDate($B47,Trigger)</f>
        <v>44181</v>
      </c>
      <c r="J47" s="88">
        <f>_xll.qlRateHelperLatestDate($B47,Trigger)</f>
        <v>44271</v>
      </c>
      <c r="M47" s="195" t="b">
        <f>AND(_xll.qlIMMIsIMMdate(I47),NOT(ISERROR(D47)))</f>
        <v>0</v>
      </c>
      <c r="N47" s="196" t="b">
        <f>AND(NOT(_xll.qlIMMIsIMMdate(I47)),NOT(ISERROR(E47)))</f>
        <v>0</v>
      </c>
    </row>
    <row r="48" spans="1:14" x14ac:dyDescent="0.2">
      <c r="A48" s="84" t="b">
        <v>1</v>
      </c>
      <c r="B48" s="263" t="str">
        <f>Futures!H36</f>
        <v>obj_0056e#0001</v>
      </c>
      <c r="C48" s="85" t="str">
        <f>_xll.qlRateHelperQuoteName(B48)</f>
        <v>GBPFUT3MH1_Quote</v>
      </c>
      <c r="D48" s="101" t="e">
        <f>_xll.qlRateHelperQuoteValue($B48,Trigger)</f>
        <v>#NUM!</v>
      </c>
      <c r="E48" s="86">
        <f>_xll.qlFuturesRateHelperConvexityAdjustment($B48,Trigger)</f>
        <v>0</v>
      </c>
      <c r="F48" s="102" t="b">
        <v>1</v>
      </c>
      <c r="G48" s="25">
        <v>30</v>
      </c>
      <c r="H48" s="25">
        <v>21</v>
      </c>
      <c r="I48" s="87">
        <f>_xll.qlRateHelperEarliestDate($B48,Trigger)</f>
        <v>44272</v>
      </c>
      <c r="J48" s="88">
        <f>_xll.qlRateHelperLatestDate($B48,Trigger)</f>
        <v>44364</v>
      </c>
      <c r="M48" s="195" t="b">
        <f>AND(_xll.qlIMMIsIMMdate(I48),NOT(ISERROR(D48)))</f>
        <v>0</v>
      </c>
      <c r="N48" s="196" t="b">
        <f>AND(NOT(_xll.qlIMMIsIMMdate(I48)),NOT(ISERROR(E48)))</f>
        <v>0</v>
      </c>
    </row>
    <row r="49" spans="1:14" x14ac:dyDescent="0.2">
      <c r="A49" s="84" t="b">
        <v>1</v>
      </c>
      <c r="B49" s="263" t="str">
        <f>Futures!H37</f>
        <v>obj_0056b#0001</v>
      </c>
      <c r="C49" s="85" t="str">
        <f>_xll.qlRateHelperQuoteName(B49)</f>
        <v>GBPFUT3MM1_Quote</v>
      </c>
      <c r="D49" s="101" t="e">
        <f>_xll.qlRateHelperQuoteValue($B49,Trigger)</f>
        <v>#NUM!</v>
      </c>
      <c r="E49" s="86">
        <f>_xll.qlFuturesRateHelperConvexityAdjustment($B49,Trigger)</f>
        <v>0</v>
      </c>
      <c r="F49" s="102" t="b">
        <v>1</v>
      </c>
      <c r="G49" s="25">
        <v>30</v>
      </c>
      <c r="H49" s="25">
        <v>21</v>
      </c>
      <c r="I49" s="87">
        <f>_xll.qlRateHelperEarliestDate($B49,Trigger)</f>
        <v>44363</v>
      </c>
      <c r="J49" s="88">
        <f>_xll.qlRateHelperLatestDate($B49,Trigger)</f>
        <v>44455</v>
      </c>
      <c r="M49" s="195" t="b">
        <f>AND(_xll.qlIMMIsIMMdate(I49),NOT(ISERROR(D49)))</f>
        <v>0</v>
      </c>
      <c r="N49" s="196" t="b">
        <f>AND(NOT(_xll.qlIMMIsIMMdate(I49)),NOT(ISERROR(E49)))</f>
        <v>0</v>
      </c>
    </row>
    <row r="50" spans="1:14" x14ac:dyDescent="0.2">
      <c r="A50" s="84" t="b">
        <v>1</v>
      </c>
      <c r="B50" s="263" t="str">
        <f>Futures!H38</f>
        <v>obj_00583#0001</v>
      </c>
      <c r="C50" s="85" t="str">
        <f>_xll.qlRateHelperQuoteName(B50)</f>
        <v>GBPFUT3MU1_Quote</v>
      </c>
      <c r="D50" s="101" t="e">
        <f>_xll.qlRateHelperQuoteValue($B50,Trigger)</f>
        <v>#NUM!</v>
      </c>
      <c r="E50" s="86">
        <f>_xll.qlFuturesRateHelperConvexityAdjustment($B50,Trigger)</f>
        <v>0</v>
      </c>
      <c r="F50" s="102" t="b">
        <v>1</v>
      </c>
      <c r="G50" s="25">
        <v>30</v>
      </c>
      <c r="H50" s="25">
        <v>21</v>
      </c>
      <c r="I50" s="87">
        <f>_xll.qlRateHelperEarliestDate($B50,Trigger)</f>
        <v>44454</v>
      </c>
      <c r="J50" s="88">
        <f>_xll.qlRateHelperLatestDate($B50,Trigger)</f>
        <v>44545</v>
      </c>
      <c r="M50" s="195" t="b">
        <f>AND(_xll.qlIMMIsIMMdate(I50),NOT(ISERROR(D50)))</f>
        <v>0</v>
      </c>
      <c r="N50" s="196" t="b">
        <f>AND(NOT(_xll.qlIMMIsIMMdate(I50)),NOT(ISERROR(E50)))</f>
        <v>0</v>
      </c>
    </row>
    <row r="51" spans="1:14" x14ac:dyDescent="0.2">
      <c r="A51" s="84" t="b">
        <v>1</v>
      </c>
      <c r="B51" s="263" t="str">
        <f>Futures!H39</f>
        <v>obj_00569#0001</v>
      </c>
      <c r="C51" s="85" t="str">
        <f>_xll.qlRateHelperQuoteName(B51)</f>
        <v>GBPFUT3MZ1_Quote</v>
      </c>
      <c r="D51" s="101" t="e">
        <f>_xll.qlRateHelperQuoteValue($B51,Trigger)</f>
        <v>#NUM!</v>
      </c>
      <c r="E51" s="86">
        <f>_xll.qlFuturesRateHelperConvexityAdjustment($B51,Trigger)</f>
        <v>0</v>
      </c>
      <c r="F51" s="102" t="b">
        <v>1</v>
      </c>
      <c r="G51" s="25">
        <v>30</v>
      </c>
      <c r="H51" s="25">
        <v>21</v>
      </c>
      <c r="I51" s="87">
        <f>_xll.qlRateHelperEarliestDate($B51,Trigger)</f>
        <v>44545</v>
      </c>
      <c r="J51" s="88">
        <f>_xll.qlRateHelperLatestDate($B51,Trigger)</f>
        <v>44635</v>
      </c>
      <c r="M51" s="195" t="b">
        <f>AND(_xll.qlIMMIsIMMdate(I51),NOT(ISERROR(D51)))</f>
        <v>0</v>
      </c>
      <c r="N51" s="196" t="b">
        <f>AND(NOT(_xll.qlIMMIsIMMdate(I51)),NOT(ISERROR(E51)))</f>
        <v>0</v>
      </c>
    </row>
    <row r="52" spans="1:14" x14ac:dyDescent="0.2">
      <c r="A52" s="84" t="b">
        <v>1</v>
      </c>
      <c r="B52" s="263" t="str">
        <f>Futures!H40</f>
        <v>obj_00572#0001</v>
      </c>
      <c r="C52" s="85" t="str">
        <f>_xll.qlRateHelperQuoteName(B52)</f>
        <v>GBPFUT3MH2_Quote</v>
      </c>
      <c r="D52" s="101" t="e">
        <f>_xll.qlRateHelperQuoteValue($B52,Trigger)</f>
        <v>#NUM!</v>
      </c>
      <c r="E52" s="86">
        <f>_xll.qlFuturesRateHelperConvexityAdjustment($B52,Trigger)</f>
        <v>0</v>
      </c>
      <c r="F52" s="102" t="b">
        <v>1</v>
      </c>
      <c r="G52" s="25">
        <v>30</v>
      </c>
      <c r="H52" s="25">
        <v>21</v>
      </c>
      <c r="I52" s="87">
        <f>_xll.qlRateHelperEarliestDate($B52,Trigger)</f>
        <v>44636</v>
      </c>
      <c r="J52" s="88">
        <f>_xll.qlRateHelperLatestDate($B52,Trigger)</f>
        <v>44728</v>
      </c>
      <c r="M52" s="195" t="b">
        <f>AND(_xll.qlIMMIsIMMdate(I52),NOT(ISERROR(D52)))</f>
        <v>0</v>
      </c>
      <c r="N52" s="196" t="b">
        <f>AND(NOT(_xll.qlIMMIsIMMdate(I52)),NOT(ISERROR(E52)))</f>
        <v>0</v>
      </c>
    </row>
    <row r="53" spans="1:14" x14ac:dyDescent="0.2">
      <c r="A53" s="84" t="b">
        <v>1</v>
      </c>
      <c r="B53" s="263" t="str">
        <f>Futures!H41</f>
        <v>obj_0056c#0001</v>
      </c>
      <c r="C53" s="85" t="str">
        <f>_xll.qlRateHelperQuoteName(B53)</f>
        <v>GBPFUT3MM2_Quote</v>
      </c>
      <c r="D53" s="101" t="e">
        <f>_xll.qlRateHelperQuoteValue($B53,Trigger)</f>
        <v>#NUM!</v>
      </c>
      <c r="E53" s="86">
        <f>_xll.qlFuturesRateHelperConvexityAdjustment($B53,Trigger)</f>
        <v>0</v>
      </c>
      <c r="F53" s="102" t="b">
        <v>1</v>
      </c>
      <c r="G53" s="25">
        <v>30</v>
      </c>
      <c r="H53" s="25">
        <v>21</v>
      </c>
      <c r="I53" s="87">
        <f>_xll.qlRateHelperEarliestDate($B53,Trigger)</f>
        <v>44727</v>
      </c>
      <c r="J53" s="88">
        <f>_xll.qlRateHelperLatestDate($B53,Trigger)</f>
        <v>44819</v>
      </c>
      <c r="M53" s="195" t="b">
        <f>AND(_xll.qlIMMIsIMMdate(I53),NOT(ISERROR(D53)))</f>
        <v>0</v>
      </c>
      <c r="N53" s="196" t="b">
        <f>AND(NOT(_xll.qlIMMIsIMMdate(I53)),NOT(ISERROR(E53)))</f>
        <v>0</v>
      </c>
    </row>
    <row r="54" spans="1:14" x14ac:dyDescent="0.2">
      <c r="A54" s="84" t="b">
        <v>1</v>
      </c>
      <c r="B54" s="263" t="str">
        <f>Futures!H42</f>
        <v>obj_00586#0001</v>
      </c>
      <c r="C54" s="85" t="str">
        <f>_xll.qlRateHelperQuoteName(B54)</f>
        <v>GBPFUT3MU2_Quote</v>
      </c>
      <c r="D54" s="101" t="e">
        <f>_xll.qlRateHelperQuoteValue($B54,Trigger)</f>
        <v>#NUM!</v>
      </c>
      <c r="E54" s="86">
        <f>_xll.qlFuturesRateHelperConvexityAdjustment($B54,Trigger)</f>
        <v>0</v>
      </c>
      <c r="F54" s="102" t="b">
        <v>1</v>
      </c>
      <c r="G54" s="25">
        <v>30</v>
      </c>
      <c r="H54" s="25">
        <v>21</v>
      </c>
      <c r="I54" s="87">
        <f>_xll.qlRateHelperEarliestDate($B54,Trigger)</f>
        <v>44825</v>
      </c>
      <c r="J54" s="88">
        <f>_xll.qlRateHelperLatestDate($B54,Trigger)</f>
        <v>44916</v>
      </c>
      <c r="M54" s="195" t="b">
        <f>AND(_xll.qlIMMIsIMMdate(I54),NOT(ISERROR(D54)))</f>
        <v>0</v>
      </c>
      <c r="N54" s="196" t="b">
        <f>AND(NOT(_xll.qlIMMIsIMMdate(I54)),NOT(ISERROR(E54)))</f>
        <v>0</v>
      </c>
    </row>
    <row r="55" spans="1:14" x14ac:dyDescent="0.2">
      <c r="A55" s="84" t="b">
        <v>1</v>
      </c>
      <c r="B55" s="263" t="str">
        <f>Futures!H43</f>
        <v>obj_0058c#0001</v>
      </c>
      <c r="C55" s="85" t="str">
        <f>_xll.qlRateHelperQuoteName(B55)</f>
        <v>GBPFUT3MZ2_Quote</v>
      </c>
      <c r="D55" s="101" t="e">
        <f>_xll.qlRateHelperQuoteValue($B55,Trigger)</f>
        <v>#NUM!</v>
      </c>
      <c r="E55" s="86">
        <f>_xll.qlFuturesRateHelperConvexityAdjustment($B55,Trigger)</f>
        <v>0</v>
      </c>
      <c r="F55" s="102" t="b">
        <v>1</v>
      </c>
      <c r="G55" s="25">
        <v>30</v>
      </c>
      <c r="H55" s="25">
        <v>21</v>
      </c>
      <c r="I55" s="87">
        <f>_xll.qlRateHelperEarliestDate($B55,Trigger)</f>
        <v>44916</v>
      </c>
      <c r="J55" s="88">
        <f>_xll.qlRateHelperLatestDate($B55,Trigger)</f>
        <v>45006</v>
      </c>
      <c r="M55" s="195" t="b">
        <f>AND(_xll.qlIMMIsIMMdate(I55),NOT(ISERROR(D55)))</f>
        <v>0</v>
      </c>
      <c r="N55" s="196" t="b">
        <f>AND(NOT(_xll.qlIMMIsIMMdate(I55)),NOT(ISERROR(E55)))</f>
        <v>0</v>
      </c>
    </row>
    <row r="56" spans="1:14" ht="12" thickBot="1" x14ac:dyDescent="0.25">
      <c r="A56" s="95" t="b">
        <v>1</v>
      </c>
      <c r="B56" s="264" t="str">
        <f>Futures!H44</f>
        <v>obj_0058b#0001</v>
      </c>
      <c r="C56" s="96" t="str">
        <f>_xll.qlRateHelperQuoteName(B56)</f>
        <v>GBPFUT3MH3_Quote</v>
      </c>
      <c r="D56" s="103" t="e">
        <f>_xll.qlRateHelperQuoteValue($B56,Trigger)</f>
        <v>#NUM!</v>
      </c>
      <c r="E56" s="97">
        <f>_xll.qlFuturesRateHelperConvexityAdjustment($B56,Trigger)</f>
        <v>0</v>
      </c>
      <c r="F56" s="178" t="b">
        <v>1</v>
      </c>
      <c r="G56" s="98">
        <v>30</v>
      </c>
      <c r="H56" s="98">
        <v>21</v>
      </c>
      <c r="I56" s="99">
        <f>_xll.qlRateHelperEarliestDate($B56,Trigger)</f>
        <v>45000</v>
      </c>
      <c r="J56" s="100">
        <f>_xll.qlRateHelperLatestDate($B56,Trigger)</f>
        <v>45092</v>
      </c>
      <c r="M56" s="16" t="b">
        <f>AND(_xll.qlIMMIsIMMdate(I56),NOT(ISERROR(D56)))</f>
        <v>0</v>
      </c>
      <c r="N56" s="197" t="b">
        <f>AND(NOT(_xll.qlIMMIsIMMdate(I56)),NOT(ISERROR(E56)))</f>
        <v>0</v>
      </c>
    </row>
    <row r="57" spans="1:14" x14ac:dyDescent="0.2">
      <c r="B57" s="263" t="str">
        <f>SwapsFromBasis!K5</f>
        <v>obj_00565#0001</v>
      </c>
      <c r="C57" s="85" t="str">
        <f>SUBSTITUTE(_xll.qlRateHelperQuoteName(B57),"6L","3LBASIS")</f>
        <v>GBPSB3LBASIS1Y_Quote</v>
      </c>
      <c r="D57" s="86" t="e">
        <f>_xll.qlRateHelperQuoteValue($B57,Trigger)</f>
        <v>#NUM!</v>
      </c>
      <c r="E57" s="86">
        <f>_xll.qlSwapRateHelperSpread($B57,Trigger)</f>
        <v>9.3749999999999997E-4</v>
      </c>
      <c r="F57" s="25" t="b">
        <v>0</v>
      </c>
      <c r="G57" s="25">
        <v>40</v>
      </c>
      <c r="H57" s="25">
        <v>1</v>
      </c>
      <c r="I57" s="87">
        <f>_xll.qlRateHelperEarliestDate($B57,Trigger)</f>
        <v>41919</v>
      </c>
      <c r="J57" s="88">
        <f>_xll.qlRateHelperLatestDate($B57,Trigger)</f>
        <v>42284</v>
      </c>
      <c r="L57" s="104"/>
    </row>
    <row r="58" spans="1:14" x14ac:dyDescent="0.2">
      <c r="B58" s="263" t="str">
        <f>SwapsFromBasis!K6</f>
        <v>obj_00590#0001</v>
      </c>
      <c r="C58" s="85" t="str">
        <f>SUBSTITUTE(_xll.qlRateHelperQuoteName(B58),"6L","3LBASIS")</f>
        <v>GBPSB3LBASIS2Y_Quote</v>
      </c>
      <c r="D58" s="86">
        <f>_xll.qlRateHelperQuoteValue($B58,Trigger)</f>
        <v>1.1739999999999999E-2</v>
      </c>
      <c r="E58" s="86">
        <f>_xll.qlSwapRateHelperSpread($B58,Trigger)</f>
        <v>9.6250000000000003E-4</v>
      </c>
      <c r="F58" s="25" t="b">
        <v>0</v>
      </c>
      <c r="G58" s="25">
        <v>40</v>
      </c>
      <c r="H58" s="25">
        <v>1</v>
      </c>
      <c r="I58" s="87">
        <f>_xll.qlRateHelperEarliestDate($B58,Trigger)</f>
        <v>41919</v>
      </c>
      <c r="J58" s="88">
        <f>_xll.qlRateHelperLatestDate($B58,Trigger)</f>
        <v>42650</v>
      </c>
      <c r="L58" s="104"/>
    </row>
    <row r="59" spans="1:14" x14ac:dyDescent="0.2">
      <c r="B59" s="263" t="str">
        <f>SwapsFromBasis!K7</f>
        <v>obj_00591#0001</v>
      </c>
      <c r="C59" s="85" t="str">
        <f>SUBSTITUTE(_xll.qlRateHelperQuoteName(B59),"6L","3LBASIS")</f>
        <v>GBPSB3LBASIS3Y_Quote</v>
      </c>
      <c r="D59" s="86">
        <f>_xll.qlRateHelperQuoteValue($B59,Trigger)</f>
        <v>1.4650000000000002E-2</v>
      </c>
      <c r="E59" s="86">
        <f>_xll.qlSwapRateHelperSpread($B59,Trigger)</f>
        <v>1.0124999999999999E-3</v>
      </c>
      <c r="F59" s="25" t="b">
        <v>1</v>
      </c>
      <c r="G59" s="25">
        <v>40</v>
      </c>
      <c r="H59" s="25">
        <v>1</v>
      </c>
      <c r="I59" s="87">
        <f>_xll.qlRateHelperEarliestDate($B59,Trigger)</f>
        <v>41919</v>
      </c>
      <c r="J59" s="88">
        <f>_xll.qlRateHelperLatestDate($B59,Trigger)</f>
        <v>43017</v>
      </c>
    </row>
    <row r="60" spans="1:14" x14ac:dyDescent="0.2">
      <c r="B60" s="263" t="str">
        <f>SwapsFromBasis!K8</f>
        <v>obj_00592#0001</v>
      </c>
      <c r="C60" s="85" t="str">
        <f>SUBSTITUTE(_xll.qlRateHelperQuoteName(B60),"6L","3LBASIS")</f>
        <v>GBPSB3LBASIS4Y_Quote</v>
      </c>
      <c r="D60" s="86">
        <f>_xll.qlRateHelperQuoteValue($B60,Trigger)</f>
        <v>1.686E-2</v>
      </c>
      <c r="E60" s="86">
        <f>_xll.qlSwapRateHelperSpread($B60,Trigger)</f>
        <v>1.1000000000000001E-3</v>
      </c>
      <c r="F60" s="25" t="b">
        <v>1</v>
      </c>
      <c r="G60" s="25">
        <v>40</v>
      </c>
      <c r="H60" s="25">
        <v>1</v>
      </c>
      <c r="I60" s="87">
        <f>_xll.qlRateHelperEarliestDate($B60,Trigger)</f>
        <v>41919</v>
      </c>
      <c r="J60" s="88">
        <f>_xll.qlRateHelperLatestDate($B60,Trigger)</f>
        <v>43381</v>
      </c>
    </row>
    <row r="61" spans="1:14" x14ac:dyDescent="0.2">
      <c r="B61" s="263" t="str">
        <f>SwapsFromBasis!K9</f>
        <v>obj_00593#0001</v>
      </c>
      <c r="C61" s="85" t="str">
        <f>SUBSTITUTE(_xll.qlRateHelperQuoteName(B61),"6L","3LBASIS")</f>
        <v>GBPSB3LBASIS5Y_Quote</v>
      </c>
      <c r="D61" s="86">
        <f>_xll.qlRateHelperQuoteValue($B61,Trigger)</f>
        <v>1.8540000000000001E-2</v>
      </c>
      <c r="E61" s="86">
        <f>_xll.qlSwapRateHelperSpread($B61,Trigger)</f>
        <v>1.1875E-3</v>
      </c>
      <c r="F61" s="25" t="b">
        <v>1</v>
      </c>
      <c r="G61" s="25">
        <v>40</v>
      </c>
      <c r="H61" s="25">
        <v>1</v>
      </c>
      <c r="I61" s="87">
        <f>_xll.qlRateHelperEarliestDate($B61,Trigger)</f>
        <v>41919</v>
      </c>
      <c r="J61" s="88">
        <f>_xll.qlRateHelperLatestDate($B61,Trigger)</f>
        <v>43745</v>
      </c>
    </row>
    <row r="62" spans="1:14" x14ac:dyDescent="0.2">
      <c r="B62" s="263" t="str">
        <f>SwapsFromBasis!K10</f>
        <v>obj_00594#0001</v>
      </c>
      <c r="C62" s="85" t="str">
        <f>SUBSTITUTE(_xll.qlRateHelperQuoteName(B62),"6L","3LBASIS")</f>
        <v>GBPSB3LBASIS6Y_Quote</v>
      </c>
      <c r="D62" s="86">
        <f>_xll.qlRateHelperQuoteValue($B62,Trigger)</f>
        <v>1.9889999999999998E-2</v>
      </c>
      <c r="E62" s="86">
        <f>_xll.qlSwapRateHelperSpread($B62,Trigger)</f>
        <v>1.2750000000000001E-3</v>
      </c>
      <c r="F62" s="25" t="b">
        <v>1</v>
      </c>
      <c r="G62" s="25">
        <v>40</v>
      </c>
      <c r="H62" s="25">
        <v>1</v>
      </c>
      <c r="I62" s="87">
        <f>_xll.qlRateHelperEarliestDate($B62,Trigger)</f>
        <v>41919</v>
      </c>
      <c r="J62" s="88">
        <f>_xll.qlRateHelperLatestDate($B62,Trigger)</f>
        <v>44111</v>
      </c>
    </row>
    <row r="63" spans="1:14" x14ac:dyDescent="0.2">
      <c r="B63" s="263" t="str">
        <f>SwapsFromBasis!K11</f>
        <v>obj_00595#0001</v>
      </c>
      <c r="C63" s="85" t="str">
        <f>SUBSTITUTE(_xll.qlRateHelperQuoteName(B63),"6L","3LBASIS")</f>
        <v>GBPSB3LBASIS7Y_Quote</v>
      </c>
      <c r="D63" s="86">
        <f>_xll.qlRateHelperQuoteValue($B63,Trigger)</f>
        <v>2.1010000000000001E-2</v>
      </c>
      <c r="E63" s="86">
        <f>_xll.qlSwapRateHelperSpread($B63,Trigger)</f>
        <v>1.3125000000000001E-3</v>
      </c>
      <c r="F63" s="25" t="b">
        <v>1</v>
      </c>
      <c r="G63" s="25">
        <v>40</v>
      </c>
      <c r="H63" s="25">
        <v>1</v>
      </c>
      <c r="I63" s="87">
        <f>_xll.qlRateHelperEarliestDate($B63,Trigger)</f>
        <v>41919</v>
      </c>
      <c r="J63" s="88">
        <f>_xll.qlRateHelperLatestDate($B63,Trigger)</f>
        <v>44476</v>
      </c>
    </row>
    <row r="64" spans="1:14" x14ac:dyDescent="0.2">
      <c r="B64" s="263" t="str">
        <f>SwapsFromBasis!K12</f>
        <v>obj_00596#0001</v>
      </c>
      <c r="C64" s="85" t="str">
        <f>SUBSTITUTE(_xll.qlRateHelperQuoteName(B64),"6L","3LBASIS")</f>
        <v>GBPSB3LBASIS8Y_Quote</v>
      </c>
      <c r="D64" s="86">
        <f>_xll.qlRateHelperQuoteValue($B64,Trigger)</f>
        <v>2.198E-2</v>
      </c>
      <c r="E64" s="86">
        <f>_xll.qlSwapRateHelperSpread($B64,Trigger)</f>
        <v>1.3749999999999999E-3</v>
      </c>
      <c r="F64" s="25" t="b">
        <v>1</v>
      </c>
      <c r="G64" s="25">
        <v>40</v>
      </c>
      <c r="H64" s="25">
        <v>1</v>
      </c>
      <c r="I64" s="87">
        <f>_xll.qlRateHelperEarliestDate($B64,Trigger)</f>
        <v>41919</v>
      </c>
      <c r="J64" s="88">
        <f>_xll.qlRateHelperLatestDate($B64,Trigger)</f>
        <v>44841</v>
      </c>
    </row>
    <row r="65" spans="2:10" x14ac:dyDescent="0.2">
      <c r="B65" s="263" t="str">
        <f>SwapsFromBasis!K13</f>
        <v>obj_00597#0001</v>
      </c>
      <c r="C65" s="85" t="str">
        <f>SUBSTITUTE(_xll.qlRateHelperQuoteName(B65),"6L","3LBASIS")</f>
        <v>GBPSB3LBASIS9Y_Quote</v>
      </c>
      <c r="D65" s="86">
        <f>_xll.qlRateHelperQuoteValue($B65,Trigger)</f>
        <v>2.2809999999999997E-2</v>
      </c>
      <c r="E65" s="86">
        <f>_xll.qlSwapRateHelperSpread($B65,Trigger)</f>
        <v>1.4250000000000001E-3</v>
      </c>
      <c r="F65" s="25" t="b">
        <v>1</v>
      </c>
      <c r="G65" s="25">
        <v>40</v>
      </c>
      <c r="H65" s="25">
        <v>1</v>
      </c>
      <c r="I65" s="87">
        <f>_xll.qlRateHelperEarliestDate($B65,Trigger)</f>
        <v>41919</v>
      </c>
      <c r="J65" s="88">
        <f>_xll.qlRateHelperLatestDate($B65,Trigger)</f>
        <v>45208</v>
      </c>
    </row>
    <row r="66" spans="2:10" x14ac:dyDescent="0.2">
      <c r="B66" s="263" t="str">
        <f>SwapsFromBasis!K14</f>
        <v>obj_00598#0001</v>
      </c>
      <c r="C66" s="85" t="str">
        <f>SUBSTITUTE(_xll.qlRateHelperQuoteName(B66),"6L","3LBASIS")</f>
        <v>GBPSB3LBASIS10Y_Quote</v>
      </c>
      <c r="D66" s="86">
        <f>_xll.qlRateHelperQuoteValue($B66,Trigger)</f>
        <v>2.3529999999999999E-2</v>
      </c>
      <c r="E66" s="86">
        <f>_xll.qlSwapRateHelperSpread($B66,Trigger)</f>
        <v>1.4499999999999999E-3</v>
      </c>
      <c r="F66" s="25" t="b">
        <v>1</v>
      </c>
      <c r="G66" s="25">
        <v>40</v>
      </c>
      <c r="H66" s="25">
        <v>1</v>
      </c>
      <c r="I66" s="87">
        <f>_xll.qlRateHelperEarliestDate($B66,Trigger)</f>
        <v>41919</v>
      </c>
      <c r="J66" s="88">
        <f>_xll.qlRateHelperLatestDate($B66,Trigger)</f>
        <v>45572</v>
      </c>
    </row>
    <row r="67" spans="2:10" x14ac:dyDescent="0.2">
      <c r="B67" s="263" t="str">
        <f>SwapsFromBasis!K15</f>
        <v>obj_00599#0001</v>
      </c>
      <c r="C67" s="85" t="str">
        <f>SUBSTITUTE(_xll.qlRateHelperQuoteName(B67),"6L","3LBASIS")</f>
        <v>GBPSB3LBASIS11Y_Quote</v>
      </c>
      <c r="D67" s="86">
        <f>_xll.qlRateHelperQuoteValue($B67,Trigger)</f>
        <v>2.418E-2</v>
      </c>
      <c r="E67" s="86">
        <f>_xll.qlSwapRateHelperSpread($B67,Trigger)</f>
        <v>1.4514411072900678E-3</v>
      </c>
      <c r="F67" s="25" t="b">
        <v>0</v>
      </c>
      <c r="G67" s="25">
        <v>40</v>
      </c>
      <c r="H67" s="25">
        <v>1</v>
      </c>
      <c r="I67" s="87">
        <f>_xll.qlRateHelperEarliestDate($B67,Trigger)</f>
        <v>41919</v>
      </c>
      <c r="J67" s="88">
        <f>_xll.qlRateHelperLatestDate($B67,Trigger)</f>
        <v>45937</v>
      </c>
    </row>
    <row r="68" spans="2:10" x14ac:dyDescent="0.2">
      <c r="B68" s="263" t="str">
        <f>SwapsFromBasis!K16</f>
        <v>obj_0059a#0001</v>
      </c>
      <c r="C68" s="85" t="str">
        <f>SUBSTITUTE(_xll.qlRateHelperQuoteName(B68),"6L","3LBASIS")</f>
        <v>GBPSB3LBASIS12Y_Quote</v>
      </c>
      <c r="D68" s="86">
        <f>_xll.qlRateHelperQuoteValue($B68,Trigger)</f>
        <v>2.4729999999999999E-2</v>
      </c>
      <c r="E68" s="86">
        <f>_xll.qlSwapRateHelperSpread($B68,Trigger)</f>
        <v>1.4375E-3</v>
      </c>
      <c r="F68" s="25" t="b">
        <v>1</v>
      </c>
      <c r="G68" s="25">
        <v>40</v>
      </c>
      <c r="H68" s="25">
        <v>1</v>
      </c>
      <c r="I68" s="87">
        <f>_xll.qlRateHelperEarliestDate($B68,Trigger)</f>
        <v>41919</v>
      </c>
      <c r="J68" s="88">
        <f>_xll.qlRateHelperLatestDate($B68,Trigger)</f>
        <v>46302</v>
      </c>
    </row>
    <row r="69" spans="2:10" x14ac:dyDescent="0.2">
      <c r="B69" s="263" t="str">
        <f>SwapsFromBasis!K17</f>
        <v>obj_0059b#0001</v>
      </c>
      <c r="C69" s="85" t="str">
        <f>SUBSTITUTE(_xll.qlRateHelperQuoteName(B69),"6L","3LBASIS")</f>
        <v>GBPSB3LBASIS13Y_Quote</v>
      </c>
      <c r="D69" s="86" t="e">
        <f>_xll.qlRateHelperQuoteValue($B69,Trigger)</f>
        <v>#NUM!</v>
      </c>
      <c r="E69" s="86">
        <f>_xll.qlSwapRateHelperSpread($B69,Trigger)</f>
        <v>1.4168120247006514E-3</v>
      </c>
      <c r="F69" s="25" t="b">
        <v>0</v>
      </c>
      <c r="G69" s="25">
        <v>40</v>
      </c>
      <c r="H69" s="25">
        <v>1</v>
      </c>
      <c r="I69" s="87">
        <f>_xll.qlRateHelperEarliestDate($B69,Trigger)</f>
        <v>41919</v>
      </c>
      <c r="J69" s="88">
        <f>_xll.qlRateHelperLatestDate($B69,Trigger)</f>
        <v>46667</v>
      </c>
    </row>
    <row r="70" spans="2:10" x14ac:dyDescent="0.2">
      <c r="B70" s="263" t="str">
        <f>SwapsFromBasis!K18</f>
        <v>obj_0059c#0001</v>
      </c>
      <c r="C70" s="85" t="str">
        <f>SUBSTITUTE(_xll.qlRateHelperQuoteName(B70),"6L","3LBASIS")</f>
        <v>GBPSB3LBASIS14Y_Quote</v>
      </c>
      <c r="D70" s="86" t="e">
        <f>_xll.qlRateHelperQuoteValue($B70,Trigger)</f>
        <v>#NUM!</v>
      </c>
      <c r="E70" s="86">
        <f>_xll.qlSwapRateHelperSpread($B70,Trigger)</f>
        <v>1.3916038558787519E-3</v>
      </c>
      <c r="F70" s="25" t="b">
        <v>0</v>
      </c>
      <c r="G70" s="25">
        <v>40</v>
      </c>
      <c r="H70" s="25">
        <v>1</v>
      </c>
      <c r="I70" s="87">
        <f>_xll.qlRateHelperEarliestDate($B70,Trigger)</f>
        <v>41919</v>
      </c>
      <c r="J70" s="88">
        <f>_xll.qlRateHelperLatestDate($B70,Trigger)</f>
        <v>47035</v>
      </c>
    </row>
    <row r="71" spans="2:10" x14ac:dyDescent="0.2">
      <c r="B71" s="263" t="str">
        <f>SwapsFromBasis!K19</f>
        <v>obj_0059d#0001</v>
      </c>
      <c r="C71" s="85" t="str">
        <f>SUBSTITUTE(_xll.qlRateHelperQuoteName(B71),"6L","3LBASIS")</f>
        <v>GBPSB3LBASIS15Y_Quote</v>
      </c>
      <c r="D71" s="86">
        <f>_xll.qlRateHelperQuoteValue($B71,Trigger)</f>
        <v>2.6009999999999998E-2</v>
      </c>
      <c r="E71" s="86">
        <f>_xll.qlSwapRateHelperSpread($B71,Trigger)</f>
        <v>1.3625E-3</v>
      </c>
      <c r="F71" s="25" t="b">
        <v>1</v>
      </c>
      <c r="G71" s="25">
        <v>40</v>
      </c>
      <c r="H71" s="25">
        <v>1</v>
      </c>
      <c r="I71" s="87">
        <f>_xll.qlRateHelperEarliestDate($B71,Trigger)</f>
        <v>41919</v>
      </c>
      <c r="J71" s="88">
        <f>_xll.qlRateHelperLatestDate($B71,Trigger)</f>
        <v>47399</v>
      </c>
    </row>
    <row r="72" spans="2:10" x14ac:dyDescent="0.2">
      <c r="B72" s="263" t="str">
        <f>SwapsFromBasis!K20</f>
        <v>obj_0059e#0001</v>
      </c>
      <c r="C72" s="85" t="str">
        <f>SUBSTITUTE(_xll.qlRateHelperQuoteName(B72),"6L","3LBASIS")</f>
        <v>GBPSB3LBASIS16Y_Quote</v>
      </c>
      <c r="D72" s="86" t="e">
        <f>_xll.qlRateHelperQuoteValue($B72,Trigger)</f>
        <v>#NUM!</v>
      </c>
      <c r="E72" s="86">
        <f>_xll.qlSwapRateHelperSpread($B72,Trigger)</f>
        <v>1.330281738401671E-3</v>
      </c>
      <c r="F72" s="25" t="b">
        <v>0</v>
      </c>
      <c r="G72" s="25">
        <v>40</v>
      </c>
      <c r="H72" s="25">
        <v>1</v>
      </c>
      <c r="I72" s="87">
        <f>_xll.qlRateHelperEarliestDate($B72,Trigger)</f>
        <v>41919</v>
      </c>
      <c r="J72" s="88">
        <f>_xll.qlRateHelperLatestDate($B72,Trigger)</f>
        <v>47763</v>
      </c>
    </row>
    <row r="73" spans="2:10" x14ac:dyDescent="0.2">
      <c r="B73" s="263" t="str">
        <f>SwapsFromBasis!K21</f>
        <v>obj_0059f#0001</v>
      </c>
      <c r="C73" s="85" t="str">
        <f>SUBSTITUTE(_xll.qlRateHelperQuoteName(B73),"6L","3LBASIS")</f>
        <v>GBPSB3LBASIS17Y_Quote</v>
      </c>
      <c r="D73" s="86" t="e">
        <f>_xll.qlRateHelperQuoteValue($B73,Trigger)</f>
        <v>#NUM!</v>
      </c>
      <c r="E73" s="86">
        <f>_xll.qlSwapRateHelperSpread($B73,Trigger)</f>
        <v>1.2963574519073474E-3</v>
      </c>
      <c r="F73" s="25" t="b">
        <v>0</v>
      </c>
      <c r="G73" s="25">
        <v>40</v>
      </c>
      <c r="H73" s="25">
        <v>1</v>
      </c>
      <c r="I73" s="87">
        <f>_xll.qlRateHelperEarliestDate($B73,Trigger)</f>
        <v>41919</v>
      </c>
      <c r="J73" s="88">
        <f>_xll.qlRateHelperLatestDate($B73,Trigger)</f>
        <v>48128</v>
      </c>
    </row>
    <row r="74" spans="2:10" x14ac:dyDescent="0.2">
      <c r="B74" s="263" t="str">
        <f>SwapsFromBasis!K22</f>
        <v>obj_005a0#0001</v>
      </c>
      <c r="C74" s="85" t="str">
        <f>SUBSTITUTE(_xll.qlRateHelperQuoteName(B74),"6L","3LBASIS")</f>
        <v>GBPSB3LBASIS18Y_Quote</v>
      </c>
      <c r="D74" s="86" t="e">
        <f>_xll.qlRateHelperQuoteValue($B74,Trigger)</f>
        <v>#NUM!</v>
      </c>
      <c r="E74" s="86">
        <f>_xll.qlSwapRateHelperSpread($B74,Trigger)</f>
        <v>1.2622922962121882E-3</v>
      </c>
      <c r="F74" s="25" t="b">
        <v>0</v>
      </c>
      <c r="G74" s="25">
        <v>40</v>
      </c>
      <c r="H74" s="25">
        <v>1</v>
      </c>
      <c r="I74" s="87">
        <f>_xll.qlRateHelperEarliestDate($B74,Trigger)</f>
        <v>41919</v>
      </c>
      <c r="J74" s="88">
        <f>_xll.qlRateHelperLatestDate($B74,Trigger)</f>
        <v>48494</v>
      </c>
    </row>
    <row r="75" spans="2:10" x14ac:dyDescent="0.2">
      <c r="B75" s="263" t="str">
        <f>SwapsFromBasis!K23</f>
        <v>obj_005a1#0001</v>
      </c>
      <c r="C75" s="85" t="str">
        <f>SUBSTITUTE(_xll.qlRateHelperQuoteName(B75),"6L","3LBASIS")</f>
        <v>GBPSB3LBASIS19Y_Quote</v>
      </c>
      <c r="D75" s="86" t="e">
        <f>_xll.qlRateHelperQuoteValue($B75,Trigger)</f>
        <v>#NUM!</v>
      </c>
      <c r="E75" s="86">
        <f>_xll.qlSwapRateHelperSpread($B75,Trigger)</f>
        <v>1.2296514270113527E-3</v>
      </c>
      <c r="F75" s="25" t="b">
        <v>0</v>
      </c>
      <c r="G75" s="25">
        <v>40</v>
      </c>
      <c r="H75" s="25">
        <v>1</v>
      </c>
      <c r="I75" s="87">
        <f>_xll.qlRateHelperEarliestDate($B75,Trigger)</f>
        <v>41919</v>
      </c>
      <c r="J75" s="88">
        <f>_xll.qlRateHelperLatestDate($B75,Trigger)</f>
        <v>48859</v>
      </c>
    </row>
    <row r="76" spans="2:10" x14ac:dyDescent="0.2">
      <c r="B76" s="263" t="str">
        <f>SwapsFromBasis!K24</f>
        <v>obj_005a2#0001</v>
      </c>
      <c r="C76" s="85" t="str">
        <f>SUBSTITUTE(_xll.qlRateHelperQuoteName(B76),"6L","3LBASIS")</f>
        <v>GBPSB3LBASIS20Y_Quote</v>
      </c>
      <c r="D76" s="86">
        <f>_xll.qlRateHelperQuoteValue($B76,Trigger)</f>
        <v>2.7160000000000004E-2</v>
      </c>
      <c r="E76" s="86">
        <f>_xll.qlSwapRateHelperSpread($B76,Trigger)</f>
        <v>1.1999999999999999E-3</v>
      </c>
      <c r="F76" s="25" t="b">
        <v>1</v>
      </c>
      <c r="G76" s="25">
        <v>40</v>
      </c>
      <c r="H76" s="25">
        <v>1</v>
      </c>
      <c r="I76" s="87">
        <f>_xll.qlRateHelperEarliestDate($B76,Trigger)</f>
        <v>41919</v>
      </c>
      <c r="J76" s="88">
        <f>_xll.qlRateHelperLatestDate($B76,Trigger)</f>
        <v>49226</v>
      </c>
    </row>
    <row r="77" spans="2:10" x14ac:dyDescent="0.2">
      <c r="B77" s="263" t="str">
        <f>SwapsFromBasis!K25</f>
        <v>obj_005a3#0001</v>
      </c>
      <c r="C77" s="85" t="str">
        <f>SUBSTITUTE(_xll.qlRateHelperQuoteName(B77),"6L","3LBASIS")</f>
        <v>GBPSB3LBASIS21Y_Quote</v>
      </c>
      <c r="D77" s="86" t="e">
        <f>_xll.qlRateHelperQuoteValue($B77,Trigger)</f>
        <v>#NUM!</v>
      </c>
      <c r="E77" s="86">
        <f>_xll.qlSwapRateHelperSpread($B77,Trigger)</f>
        <v>1.174492251296361E-3</v>
      </c>
      <c r="F77" s="25" t="b">
        <v>0</v>
      </c>
      <c r="G77" s="25">
        <v>40</v>
      </c>
      <c r="H77" s="25">
        <v>1</v>
      </c>
      <c r="I77" s="87">
        <f>_xll.qlRateHelperEarliestDate($B77,Trigger)</f>
        <v>41919</v>
      </c>
      <c r="J77" s="88">
        <f>_xll.qlRateHelperLatestDate($B77,Trigger)</f>
        <v>49590</v>
      </c>
    </row>
    <row r="78" spans="2:10" x14ac:dyDescent="0.2">
      <c r="B78" s="263" t="str">
        <f>SwapsFromBasis!K26</f>
        <v>obj_005a4#0001</v>
      </c>
      <c r="C78" s="85" t="str">
        <f>SUBSTITUTE(_xll.qlRateHelperQuoteName(B78),"6L","3LBASIS")</f>
        <v>GBPSB3LBASIS22Y_Quote</v>
      </c>
      <c r="D78" s="86" t="e">
        <f>_xll.qlRateHelperQuoteValue($B78,Trigger)</f>
        <v>#NUM!</v>
      </c>
      <c r="E78" s="86">
        <f>_xll.qlSwapRateHelperSpread($B78,Trigger)</f>
        <v>1.1526387387109525E-3</v>
      </c>
      <c r="F78" s="25" t="b">
        <v>0</v>
      </c>
      <c r="G78" s="25">
        <v>40</v>
      </c>
      <c r="H78" s="25">
        <v>1</v>
      </c>
      <c r="I78" s="87">
        <f>_xll.qlRateHelperEarliestDate($B78,Trigger)</f>
        <v>41919</v>
      </c>
      <c r="J78" s="88">
        <f>_xll.qlRateHelperLatestDate($B78,Trigger)</f>
        <v>49955</v>
      </c>
    </row>
    <row r="79" spans="2:10" x14ac:dyDescent="0.2">
      <c r="B79" s="263" t="str">
        <f>SwapsFromBasis!K27</f>
        <v>obj_005a5#0001</v>
      </c>
      <c r="C79" s="85" t="str">
        <f>SUBSTITUTE(_xll.qlRateHelperQuoteName(B79),"6L","3LBASIS")</f>
        <v>GBPSB3LBASIS23Y_Quote</v>
      </c>
      <c r="D79" s="86" t="e">
        <f>_xll.qlRateHelperQuoteValue($B79,Trigger)</f>
        <v>#NUM!</v>
      </c>
      <c r="E79" s="86">
        <f>_xll.qlSwapRateHelperSpread($B79,Trigger)</f>
        <v>1.1335391004773639E-3</v>
      </c>
      <c r="F79" s="25" t="b">
        <v>0</v>
      </c>
      <c r="G79" s="25">
        <v>40</v>
      </c>
      <c r="H79" s="25">
        <v>1</v>
      </c>
      <c r="I79" s="87">
        <f>_xll.qlRateHelperEarliestDate($B79,Trigger)</f>
        <v>41919</v>
      </c>
      <c r="J79" s="88">
        <f>_xll.qlRateHelperLatestDate($B79,Trigger)</f>
        <v>50320</v>
      </c>
    </row>
    <row r="80" spans="2:10" x14ac:dyDescent="0.2">
      <c r="B80" s="263" t="str">
        <f>SwapsFromBasis!K28</f>
        <v>obj_005a6#0001</v>
      </c>
      <c r="C80" s="85" t="str">
        <f>SUBSTITUTE(_xll.qlRateHelperQuoteName(B80),"6L","3LBASIS")</f>
        <v>GBPSB3LBASIS24Y_Quote</v>
      </c>
      <c r="D80" s="86" t="e">
        <f>_xll.qlRateHelperQuoteValue($B80,Trigger)</f>
        <v>#NUM!</v>
      </c>
      <c r="E80" s="86">
        <f>_xll.qlSwapRateHelperSpread($B80,Trigger)</f>
        <v>1.1162929748291834E-3</v>
      </c>
      <c r="F80" s="25" t="b">
        <v>0</v>
      </c>
      <c r="G80" s="25">
        <v>40</v>
      </c>
      <c r="H80" s="25">
        <v>1</v>
      </c>
      <c r="I80" s="87">
        <f>_xll.qlRateHelperEarliestDate($B80,Trigger)</f>
        <v>41919</v>
      </c>
      <c r="J80" s="88">
        <f>_xll.qlRateHelperLatestDate($B80,Trigger)</f>
        <v>50685</v>
      </c>
    </row>
    <row r="81" spans="2:10" x14ac:dyDescent="0.2">
      <c r="B81" s="263" t="str">
        <f>SwapsFromBasis!K29</f>
        <v>obj_005a7#0001</v>
      </c>
      <c r="C81" s="85" t="str">
        <f>SUBSTITUTE(_xll.qlRateHelperQuoteName(B81),"6L","3LBASIS")</f>
        <v>GBPSB3LBASIS25Y_Quote</v>
      </c>
      <c r="D81" s="86">
        <f>_xll.qlRateHelperQuoteValue($B81,Trigger)</f>
        <v>2.7539999999999999E-2</v>
      </c>
      <c r="E81" s="86">
        <f>_xll.qlSwapRateHelperSpread($B81,Trigger)</f>
        <v>1.1000000000000001E-3</v>
      </c>
      <c r="F81" s="25" t="b">
        <v>1</v>
      </c>
      <c r="G81" s="25">
        <v>40</v>
      </c>
      <c r="H81" s="25">
        <v>1</v>
      </c>
      <c r="I81" s="87">
        <f>_xll.qlRateHelperEarliestDate($B81,Trigger)</f>
        <v>41919</v>
      </c>
      <c r="J81" s="88">
        <f>_xll.qlRateHelperLatestDate($B81,Trigger)</f>
        <v>51050</v>
      </c>
    </row>
    <row r="82" spans="2:10" x14ac:dyDescent="0.2">
      <c r="B82" s="263" t="str">
        <f>SwapsFromBasis!K30</f>
        <v>obj_005a8#0001</v>
      </c>
      <c r="C82" s="85" t="str">
        <f>SUBSTITUTE(_xll.qlRateHelperQuoteName(B82),"6L","3LBASIS")</f>
        <v>GBPSB3LBASIS26Y_Quote</v>
      </c>
      <c r="D82" s="86" t="e">
        <f>_xll.qlRateHelperQuoteValue($B82,Trigger)</f>
        <v>#NUM!</v>
      </c>
      <c r="E82" s="86">
        <f>_xll.qlSwapRateHelperSpread($B82,Trigger)</f>
        <v>1.0839492564128851E-3</v>
      </c>
      <c r="F82" s="25" t="b">
        <v>0</v>
      </c>
      <c r="G82" s="25">
        <v>40</v>
      </c>
      <c r="H82" s="25">
        <v>1</v>
      </c>
      <c r="I82" s="87">
        <f>_xll.qlRateHelperEarliestDate($B82,Trigger)</f>
        <v>41919</v>
      </c>
      <c r="J82" s="88">
        <f>_xll.qlRateHelperLatestDate($B82,Trigger)</f>
        <v>51417</v>
      </c>
    </row>
    <row r="83" spans="2:10" x14ac:dyDescent="0.2">
      <c r="B83" s="263" t="str">
        <f>SwapsFromBasis!K31</f>
        <v>obj_005a9#0001</v>
      </c>
      <c r="C83" s="85" t="str">
        <f>SUBSTITUTE(_xll.qlRateHelperQuoteName(B83),"6L","3LBASIS")</f>
        <v>GBPSB3LBASIS27Y_Quote</v>
      </c>
      <c r="D83" s="86" t="e">
        <f>_xll.qlRateHelperQuoteValue($B83,Trigger)</f>
        <v>#NUM!</v>
      </c>
      <c r="E83" s="86">
        <f>_xll.qlSwapRateHelperSpread($B83,Trigger)</f>
        <v>1.0681875932488422E-3</v>
      </c>
      <c r="F83" s="25" t="b">
        <v>0</v>
      </c>
      <c r="G83" s="25">
        <v>40</v>
      </c>
      <c r="H83" s="25">
        <v>1</v>
      </c>
      <c r="I83" s="87">
        <f>_xll.qlRateHelperEarliestDate($B83,Trigger)</f>
        <v>41919</v>
      </c>
      <c r="J83" s="88">
        <f>_xll.qlRateHelperLatestDate($B83,Trigger)</f>
        <v>51781</v>
      </c>
    </row>
    <row r="84" spans="2:10" x14ac:dyDescent="0.2">
      <c r="B84" s="263" t="str">
        <f>SwapsFromBasis!K32</f>
        <v>obj_005aa#0001</v>
      </c>
      <c r="C84" s="85" t="str">
        <f>SUBSTITUTE(_xll.qlRateHelperQuoteName(B84),"6L","3LBASIS")</f>
        <v>GBPSB3LBASIS28Y_Quote</v>
      </c>
      <c r="D84" s="86" t="e">
        <f>_xll.qlRateHelperQuoteValue($B84,Trigger)</f>
        <v>#NUM!</v>
      </c>
      <c r="E84" s="86">
        <f>_xll.qlSwapRateHelperSpread($B84,Trigger)</f>
        <v>1.0529513018783562E-3</v>
      </c>
      <c r="F84" s="25" t="b">
        <v>0</v>
      </c>
      <c r="G84" s="25">
        <v>40</v>
      </c>
      <c r="H84" s="25">
        <v>1</v>
      </c>
      <c r="I84" s="87">
        <f>_xll.qlRateHelperEarliestDate($B84,Trigger)</f>
        <v>41919</v>
      </c>
      <c r="J84" s="88">
        <f>_xll.qlRateHelperLatestDate($B84,Trigger)</f>
        <v>52146</v>
      </c>
    </row>
    <row r="85" spans="2:10" x14ac:dyDescent="0.2">
      <c r="B85" s="263" t="str">
        <f>SwapsFromBasis!K33</f>
        <v>obj_005ab#0001</v>
      </c>
      <c r="C85" s="85" t="str">
        <f>SUBSTITUTE(_xll.qlRateHelperQuoteName(B85),"6L","3LBASIS")</f>
        <v>GBPSB3LBASIS29Y_Quote</v>
      </c>
      <c r="D85" s="86" t="e">
        <f>_xll.qlRateHelperQuoteValue($B85,Trigger)</f>
        <v>#NUM!</v>
      </c>
      <c r="E85" s="86">
        <f>_xll.qlSwapRateHelperSpread($B85,Trigger)</f>
        <v>1.0384766736719136E-3</v>
      </c>
      <c r="F85" s="25" t="b">
        <v>0</v>
      </c>
      <c r="G85" s="25">
        <v>40</v>
      </c>
      <c r="H85" s="25">
        <v>1</v>
      </c>
      <c r="I85" s="87">
        <f>_xll.qlRateHelperEarliestDate($B85,Trigger)</f>
        <v>41919</v>
      </c>
      <c r="J85" s="88">
        <f>_xll.qlRateHelperLatestDate($B85,Trigger)</f>
        <v>52511</v>
      </c>
    </row>
    <row r="86" spans="2:10" x14ac:dyDescent="0.2">
      <c r="B86" s="263" t="str">
        <f>SwapsFromBasis!K34</f>
        <v>obj_005ac#0001</v>
      </c>
      <c r="C86" s="85" t="str">
        <f>SUBSTITUTE(_xll.qlRateHelperQuoteName(B86),"6L","3LBASIS")</f>
        <v>GBPSB3LBASIS30Y_Quote</v>
      </c>
      <c r="D86" s="86">
        <f>_xll.qlRateHelperQuoteValue($B86,Trigger)</f>
        <v>2.7690000000000003E-2</v>
      </c>
      <c r="E86" s="86">
        <f>_xll.qlSwapRateHelperSpread($B86,Trigger)</f>
        <v>1.0250000000000001E-3</v>
      </c>
      <c r="F86" s="25" t="b">
        <v>1</v>
      </c>
      <c r="G86" s="25">
        <v>40</v>
      </c>
      <c r="H86" s="25">
        <v>1</v>
      </c>
      <c r="I86" s="87">
        <f>_xll.qlRateHelperEarliestDate($B86,Trigger)</f>
        <v>41919</v>
      </c>
      <c r="J86" s="88">
        <f>_xll.qlRateHelperLatestDate($B86,Trigger)</f>
        <v>52877</v>
      </c>
    </row>
    <row r="87" spans="2:10" x14ac:dyDescent="0.2">
      <c r="B87" s="263" t="str">
        <f>SwapsFromBasis!K35</f>
        <v>obj_005ad#0001</v>
      </c>
      <c r="C87" s="85" t="str">
        <f>SUBSTITUTE(_xll.qlRateHelperQuoteName(B87),"6L","3LBASIS")</f>
        <v>GBPSB3LBASIS35Y_Quote</v>
      </c>
      <c r="D87" s="86" t="e">
        <f>_xll.qlRateHelperQuoteValue($B87,Trigger)</f>
        <v>#NUM!</v>
      </c>
      <c r="E87" s="86">
        <f>_xll.qlSwapRateHelperSpread($B87,Trigger)</f>
        <v>9.7340553960201552E-4</v>
      </c>
      <c r="F87" s="25" t="b">
        <v>0</v>
      </c>
      <c r="G87" s="25">
        <v>40</v>
      </c>
      <c r="H87" s="25">
        <v>1</v>
      </c>
      <c r="I87" s="87">
        <f>_xll.qlRateHelperEarliestDate($B87,Trigger)</f>
        <v>41919</v>
      </c>
      <c r="J87" s="88">
        <f>_xll.qlRateHelperLatestDate($B87,Trigger)</f>
        <v>54703</v>
      </c>
    </row>
    <row r="88" spans="2:10" x14ac:dyDescent="0.2">
      <c r="B88" s="263" t="str">
        <f>SwapsFromBasis!K36</f>
        <v>obj_005ae#0001</v>
      </c>
      <c r="C88" s="85" t="str">
        <f>SUBSTITUTE(_xll.qlRateHelperQuoteName(B88),"6L","3LBASIS")</f>
        <v>GBPSB3LBASIS40Y_Quote</v>
      </c>
      <c r="D88" s="86">
        <f>_xll.qlRateHelperQuoteValue($B88,Trigger)</f>
        <v>2.758E-2</v>
      </c>
      <c r="E88" s="86">
        <f>_xll.qlSwapRateHelperSpread($B88,Trigger)</f>
        <v>9.3749999999999997E-4</v>
      </c>
      <c r="F88" s="25" t="b">
        <v>1</v>
      </c>
      <c r="G88" s="25">
        <v>40</v>
      </c>
      <c r="H88" s="25">
        <v>1</v>
      </c>
      <c r="I88" s="87">
        <f>_xll.qlRateHelperEarliestDate($B88,Trigger)</f>
        <v>41919</v>
      </c>
      <c r="J88" s="88">
        <f>_xll.qlRateHelperLatestDate($B88,Trigger)</f>
        <v>56529</v>
      </c>
    </row>
    <row r="89" spans="2:10" x14ac:dyDescent="0.2">
      <c r="B89" s="263" t="str">
        <f>SwapsFromBasis!K37</f>
        <v>obj_005af#0001</v>
      </c>
      <c r="C89" s="85" t="str">
        <f>SUBSTITUTE(_xll.qlRateHelperQuoteName(B89),"6L","3LBASIS")</f>
        <v>GBPSB3LBASIS50Y_Quote</v>
      </c>
      <c r="D89" s="86">
        <f>_xll.qlRateHelperQuoteValue($B89,Trigger)</f>
        <v>2.759E-2</v>
      </c>
      <c r="E89" s="86">
        <f>_xll.qlSwapRateHelperSpread($B89,Trigger)</f>
        <v>8.7500000000000002E-4</v>
      </c>
      <c r="F89" s="25" t="b">
        <v>1</v>
      </c>
      <c r="G89" s="25">
        <v>40</v>
      </c>
      <c r="H89" s="25">
        <v>1</v>
      </c>
      <c r="I89" s="87">
        <f>_xll.qlRateHelperEarliestDate($B89,Trigger)</f>
        <v>41919</v>
      </c>
      <c r="J89" s="88">
        <f>_xll.qlRateHelperLatestDate($B89,Trigger)</f>
        <v>60182</v>
      </c>
    </row>
    <row r="90" spans="2:10" x14ac:dyDescent="0.2">
      <c r="B90" s="264" t="str">
        <f>SwapsFromBasis!K38</f>
        <v>obj_005b0#0001</v>
      </c>
      <c r="C90" s="96" t="str">
        <f>SUBSTITUTE(_xll.qlRateHelperQuoteName(B90),"6L","3LBASIS")</f>
        <v>GBPSB3LBASIS60Y_Quote</v>
      </c>
      <c r="D90" s="97">
        <f>_xll.qlRateHelperQuoteValue($B90,Trigger)</f>
        <v>2.7720000000000002E-2</v>
      </c>
      <c r="E90" s="97">
        <f>_xll.qlSwapRateHelperSpread($B90,Trigger)</f>
        <v>8.25E-4</v>
      </c>
      <c r="F90" s="98" t="b">
        <v>1</v>
      </c>
      <c r="G90" s="98">
        <v>40</v>
      </c>
      <c r="H90" s="98">
        <v>1</v>
      </c>
      <c r="I90" s="99">
        <f>_xll.qlRateHelperEarliestDate($B90,Trigger)</f>
        <v>41919</v>
      </c>
      <c r="J90" s="100">
        <f>_xll.qlRateHelperLatestDate($B90,Trigger)</f>
        <v>63835</v>
      </c>
    </row>
    <row r="91" spans="2:10" x14ac:dyDescent="0.2">
      <c r="B91" s="262" t="str">
        <f>Swaps!K5</f>
        <v>obj_00529#0001</v>
      </c>
      <c r="C91" s="90" t="str">
        <f>SUBSTITUTE(_xll.qlRateHelperQuoteName(B91),"6L","3LBASIS")</f>
        <v>GBPAM3L6M_Quote</v>
      </c>
      <c r="D91" s="91">
        <f>_xll.qlRateHelperQuoteValue($B91,Trigger)</f>
        <v>6.1399999999999996E-3</v>
      </c>
      <c r="E91" s="91">
        <f>_xll.qlSwapRateHelperSpread($B91,Trigger)</f>
        <v>0</v>
      </c>
      <c r="F91" s="92" t="b">
        <v>0</v>
      </c>
      <c r="G91" s="92">
        <v>50</v>
      </c>
      <c r="H91" s="92">
        <v>1</v>
      </c>
      <c r="I91" s="93">
        <f>_xll.qlRateHelperEarliestDate($B91,Trigger)</f>
        <v>41919</v>
      </c>
      <c r="J91" s="94">
        <f>_xll.qlRateHelperLatestDate($B91,Trigger)</f>
        <v>42101</v>
      </c>
    </row>
    <row r="92" spans="2:10" x14ac:dyDescent="0.2">
      <c r="B92" s="263" t="str">
        <f>Swaps!K6</f>
        <v>obj_0052a#0001</v>
      </c>
      <c r="C92" s="85" t="str">
        <f>SUBSTITUTE(_xll.qlRateHelperQuoteName(B92),"6L","3LBASIS")</f>
        <v>GBPAM3L9M_Quote</v>
      </c>
      <c r="D92" s="86">
        <f>_xll.qlRateHelperQuoteValue($B92,Trigger)</f>
        <v>6.7900000000000009E-3</v>
      </c>
      <c r="E92" s="86">
        <f>_xll.qlSwapRateHelperSpread($B92,Trigger)</f>
        <v>0</v>
      </c>
      <c r="F92" s="25" t="b">
        <v>0</v>
      </c>
      <c r="G92" s="25">
        <v>50</v>
      </c>
      <c r="H92" s="25">
        <v>1</v>
      </c>
      <c r="I92" s="87">
        <f>_xll.qlRateHelperEarliestDate($B92,Trigger)</f>
        <v>41919</v>
      </c>
      <c r="J92" s="88">
        <f>_xll.qlRateHelperLatestDate($B92,Trigger)</f>
        <v>42192</v>
      </c>
    </row>
    <row r="93" spans="2:10" x14ac:dyDescent="0.2">
      <c r="B93" s="263" t="str">
        <f>Swaps!K7</f>
        <v>obj_0052b#0001</v>
      </c>
      <c r="C93" s="85" t="str">
        <f>SUBSTITUTE(_xll.qlRateHelperQuoteName(B93),"6L","3LBASIS")</f>
        <v>GBPAM3L1Y_Quote</v>
      </c>
      <c r="D93" s="86">
        <f>_xll.qlRateHelperQuoteValue($B93,Trigger)</f>
        <v>7.5500000000000003E-3</v>
      </c>
      <c r="E93" s="86">
        <f>_xll.qlSwapRateHelperSpread($B93,Trigger)</f>
        <v>0</v>
      </c>
      <c r="F93" s="25" t="b">
        <v>0</v>
      </c>
      <c r="G93" s="25">
        <v>50</v>
      </c>
      <c r="H93" s="25">
        <v>1</v>
      </c>
      <c r="I93" s="87">
        <f>_xll.qlRateHelperEarliestDate($B93,Trigger)</f>
        <v>41919</v>
      </c>
      <c r="J93" s="88">
        <f>_xll.qlRateHelperLatestDate($B93,Trigger)</f>
        <v>42284</v>
      </c>
    </row>
    <row r="94" spans="2:10" x14ac:dyDescent="0.2">
      <c r="B94" s="263" t="str">
        <f>Swaps!K8</f>
        <v>obj_0052c#0001</v>
      </c>
      <c r="C94" s="85" t="str">
        <f>SUBSTITUTE(_xll.qlRateHelperQuoteName(B94),"6L","3LBASIS")</f>
        <v>GBPAM3L15M_Quote</v>
      </c>
      <c r="D94" s="86">
        <f>_xll.qlRateHelperQuoteValue($B94,Trigger)</f>
        <v>8.3599999999999994E-3</v>
      </c>
      <c r="E94" s="86">
        <f>_xll.qlSwapRateHelperSpread($B94,Trigger)</f>
        <v>0</v>
      </c>
      <c r="F94" s="25" t="b">
        <v>0</v>
      </c>
      <c r="G94" s="25">
        <v>50</v>
      </c>
      <c r="H94" s="25">
        <v>1</v>
      </c>
      <c r="I94" s="87">
        <f>_xll.qlRateHelperEarliestDate($B94,Trigger)</f>
        <v>41919</v>
      </c>
      <c r="J94" s="88">
        <f>_xll.qlRateHelperLatestDate($B94,Trigger)</f>
        <v>42376</v>
      </c>
    </row>
    <row r="95" spans="2:10" x14ac:dyDescent="0.2">
      <c r="B95" s="263" t="str">
        <f>Swaps!K9</f>
        <v>obj_0052d#0001</v>
      </c>
      <c r="C95" s="85" t="str">
        <f>SUBSTITUTE(_xll.qlRateHelperQuoteName(B95),"6L","3LBASIS")</f>
        <v>GBPAM3L18M_Quote</v>
      </c>
      <c r="D95" s="86">
        <f>_xll.qlRateHelperQuoteValue($B95,Trigger)</f>
        <v>9.1800000000000007E-3</v>
      </c>
      <c r="E95" s="86">
        <f>_xll.qlSwapRateHelperSpread($B95,Trigger)</f>
        <v>0</v>
      </c>
      <c r="F95" s="25" t="b">
        <v>0</v>
      </c>
      <c r="G95" s="25">
        <v>50</v>
      </c>
      <c r="H95" s="25">
        <v>1</v>
      </c>
      <c r="I95" s="87">
        <f>_xll.qlRateHelperEarliestDate($B95,Trigger)</f>
        <v>41919</v>
      </c>
      <c r="J95" s="88">
        <f>_xll.qlRateHelperLatestDate($B95,Trigger)</f>
        <v>42467</v>
      </c>
    </row>
    <row r="96" spans="2:10" x14ac:dyDescent="0.2">
      <c r="B96" s="263" t="str">
        <f>Swaps!K10</f>
        <v>obj_0053b#0001</v>
      </c>
      <c r="C96" s="85" t="str">
        <f>SUBSTITUTE(_xll.qlRateHelperQuoteName(B96),"6L","3LBASIS")</f>
        <v>GBPSM3L1Y_Quote</v>
      </c>
      <c r="D96" s="86">
        <f>_xll.qlRateHelperQuoteValue($B96,Trigger)</f>
        <v>7.5399999999999998E-3</v>
      </c>
      <c r="E96" s="86">
        <f>_xll.qlSwapRateHelperSpread($B96,Trigger)</f>
        <v>0</v>
      </c>
      <c r="F96" s="25" t="b">
        <v>0</v>
      </c>
      <c r="G96" s="25">
        <v>50</v>
      </c>
      <c r="H96" s="25">
        <v>1</v>
      </c>
      <c r="I96" s="87">
        <f>_xll.qlRateHelperEarliestDate($B96,Trigger)</f>
        <v>41919</v>
      </c>
      <c r="J96" s="88">
        <f>_xll.qlRateHelperLatestDate($B96,Trigger)</f>
        <v>42284</v>
      </c>
    </row>
    <row r="97" spans="2:10" x14ac:dyDescent="0.2">
      <c r="B97" s="263" t="str">
        <f>Swaps!K11</f>
        <v>obj_0053a#0001</v>
      </c>
      <c r="C97" s="85" t="str">
        <f>SUBSTITUTE(_xll.qlRateHelperQuoteName(B97),"6L","3LBASIS")</f>
        <v>GBPSM3L2Y_Quote</v>
      </c>
      <c r="D97" s="86">
        <f>_xll.qlRateHelperQuoteValue($B97,Trigger)</f>
        <v>1.0789999999999999E-2</v>
      </c>
      <c r="E97" s="86">
        <f>_xll.qlSwapRateHelperSpread($B97,Trigger)</f>
        <v>0</v>
      </c>
      <c r="F97" s="25" t="b">
        <v>0</v>
      </c>
      <c r="G97" s="25">
        <v>50</v>
      </c>
      <c r="H97" s="25">
        <v>1</v>
      </c>
      <c r="I97" s="87">
        <f>_xll.qlRateHelperEarliestDate($B97,Trigger)</f>
        <v>41919</v>
      </c>
      <c r="J97" s="88">
        <f>_xll.qlRateHelperLatestDate($B97,Trigger)</f>
        <v>42650</v>
      </c>
    </row>
    <row r="98" spans="2:10" x14ac:dyDescent="0.2">
      <c r="B98" s="263" t="str">
        <f>Swaps!K12</f>
        <v>obj_0054b#0001</v>
      </c>
      <c r="C98" s="85" t="str">
        <f>SUBSTITUTE(_xll.qlRateHelperQuoteName(B98),"6L","3LBASIS")</f>
        <v>GBPSM3L3Y_Quote</v>
      </c>
      <c r="D98" s="86">
        <f>_xll.qlRateHelperQuoteValue($B98,Trigger)</f>
        <v>1.366E-2</v>
      </c>
      <c r="E98" s="86">
        <f>_xll.qlSwapRateHelperSpread($B98,Trigger)</f>
        <v>0</v>
      </c>
      <c r="F98" s="25" t="b">
        <v>0</v>
      </c>
      <c r="G98" s="25">
        <v>50</v>
      </c>
      <c r="H98" s="25">
        <v>1</v>
      </c>
      <c r="I98" s="87">
        <f>_xll.qlRateHelperEarliestDate($B98,Trigger)</f>
        <v>41919</v>
      </c>
      <c r="J98" s="88">
        <f>_xll.qlRateHelperLatestDate($B98,Trigger)</f>
        <v>43017</v>
      </c>
    </row>
    <row r="99" spans="2:10" x14ac:dyDescent="0.2">
      <c r="B99" s="263" t="str">
        <f>Swaps!K13</f>
        <v>obj_0055a#0001</v>
      </c>
      <c r="C99" s="85" t="str">
        <f>SUBSTITUTE(_xll.qlRateHelperQuoteName(B99),"6L","3LBASIS")</f>
        <v>GBPSM3L4Y_Quote</v>
      </c>
      <c r="D99" s="86">
        <f>_xll.qlRateHelperQuoteValue($B99,Trigger)</f>
        <v>1.5769999999999999E-2</v>
      </c>
      <c r="E99" s="86">
        <f>_xll.qlSwapRateHelperSpread($B99,Trigger)</f>
        <v>0</v>
      </c>
      <c r="F99" s="25" t="b">
        <v>0</v>
      </c>
      <c r="G99" s="25">
        <v>50</v>
      </c>
      <c r="H99" s="25">
        <v>1</v>
      </c>
      <c r="I99" s="87">
        <f>_xll.qlRateHelperEarliestDate($B99,Trigger)</f>
        <v>41919</v>
      </c>
      <c r="J99" s="88">
        <f>_xll.qlRateHelperLatestDate($B99,Trigger)</f>
        <v>43381</v>
      </c>
    </row>
    <row r="100" spans="2:10" x14ac:dyDescent="0.2">
      <c r="B100" s="263" t="str">
        <f>Swaps!K14</f>
        <v>obj_0055b#0001</v>
      </c>
      <c r="C100" s="85" t="str">
        <f>SUBSTITUTE(_xll.qlRateHelperQuoteName(B100),"6L","3LBASIS")</f>
        <v>GBPSM3L5Y_Quote</v>
      </c>
      <c r="D100" s="86">
        <f>_xll.qlRateHelperQuoteValue($B100,Trigger)</f>
        <v>1.736E-2</v>
      </c>
      <c r="E100" s="86">
        <f>_xll.qlSwapRateHelperSpread($B100,Trigger)</f>
        <v>0</v>
      </c>
      <c r="F100" s="25" t="b">
        <v>0</v>
      </c>
      <c r="G100" s="25">
        <v>50</v>
      </c>
      <c r="H100" s="25">
        <v>1</v>
      </c>
      <c r="I100" s="87">
        <f>_xll.qlRateHelperEarliestDate($B100,Trigger)</f>
        <v>41919</v>
      </c>
      <c r="J100" s="88">
        <f>_xll.qlRateHelperLatestDate($B100,Trigger)</f>
        <v>43745</v>
      </c>
    </row>
    <row r="101" spans="2:10" x14ac:dyDescent="0.2">
      <c r="B101" s="263" t="str">
        <f>Swaps!K15</f>
        <v>obj_00558#0001</v>
      </c>
      <c r="C101" s="85" t="str">
        <f>SUBSTITUTE(_xll.qlRateHelperQuoteName(B101),"6L","3LBASIS")</f>
        <v>GBPSM3L6Y_Quote</v>
      </c>
      <c r="D101" s="86">
        <f>_xll.qlRateHelperQuoteValue($B101,Trigger)</f>
        <v>1.8620000000000001E-2</v>
      </c>
      <c r="E101" s="86">
        <f>_xll.qlSwapRateHelperSpread($B101,Trigger)</f>
        <v>0</v>
      </c>
      <c r="F101" s="25" t="b">
        <v>0</v>
      </c>
      <c r="G101" s="25">
        <v>50</v>
      </c>
      <c r="H101" s="25">
        <v>1</v>
      </c>
      <c r="I101" s="87">
        <f>_xll.qlRateHelperEarliestDate($B101,Trigger)</f>
        <v>41919</v>
      </c>
      <c r="J101" s="88">
        <f>_xll.qlRateHelperLatestDate($B101,Trigger)</f>
        <v>44111</v>
      </c>
    </row>
    <row r="102" spans="2:10" x14ac:dyDescent="0.2">
      <c r="B102" s="263" t="str">
        <f>Swaps!K16</f>
        <v>obj_0054f#0001</v>
      </c>
      <c r="C102" s="85" t="str">
        <f>SUBSTITUTE(_xll.qlRateHelperQuoteName(B102),"6L","3LBASIS")</f>
        <v>GBPSM3L7Y_Quote</v>
      </c>
      <c r="D102" s="86">
        <f>_xll.qlRateHelperQuoteValue($B102,Trigger)</f>
        <v>1.9689999999999999E-2</v>
      </c>
      <c r="E102" s="86">
        <f>_xll.qlSwapRateHelperSpread($B102,Trigger)</f>
        <v>0</v>
      </c>
      <c r="F102" s="25" t="b">
        <v>0</v>
      </c>
      <c r="G102" s="25">
        <v>50</v>
      </c>
      <c r="H102" s="25">
        <v>1</v>
      </c>
      <c r="I102" s="87">
        <f>_xll.qlRateHelperEarliestDate($B102,Trigger)</f>
        <v>41919</v>
      </c>
      <c r="J102" s="88">
        <f>_xll.qlRateHelperLatestDate($B102,Trigger)</f>
        <v>44476</v>
      </c>
    </row>
    <row r="103" spans="2:10" x14ac:dyDescent="0.2">
      <c r="B103" s="263" t="str">
        <f>Swaps!K17</f>
        <v>obj_00546#0001</v>
      </c>
      <c r="C103" s="85" t="str">
        <f>SUBSTITUTE(_xll.qlRateHelperQuoteName(B103),"6L","3LBASIS")</f>
        <v>GBPSM3L8Y_Quote</v>
      </c>
      <c r="D103" s="86">
        <f>_xll.qlRateHelperQuoteValue($B103,Trigger)</f>
        <v>2.06E-2</v>
      </c>
      <c r="E103" s="86">
        <f>_xll.qlSwapRateHelperSpread($B103,Trigger)</f>
        <v>0</v>
      </c>
      <c r="F103" s="25" t="b">
        <v>0</v>
      </c>
      <c r="G103" s="25">
        <v>50</v>
      </c>
      <c r="H103" s="25">
        <v>1</v>
      </c>
      <c r="I103" s="87">
        <f>_xll.qlRateHelperEarliestDate($B103,Trigger)</f>
        <v>41919</v>
      </c>
      <c r="J103" s="88">
        <f>_xll.qlRateHelperLatestDate($B103,Trigger)</f>
        <v>44841</v>
      </c>
    </row>
    <row r="104" spans="2:10" x14ac:dyDescent="0.2">
      <c r="B104" s="263" t="str">
        <f>Swaps!K18</f>
        <v>obj_0053c#0001</v>
      </c>
      <c r="C104" s="85" t="str">
        <f>SUBSTITUTE(_xll.qlRateHelperQuoteName(B104),"6L","3LBASIS")</f>
        <v>GBPSM3L9Y_Quote</v>
      </c>
      <c r="D104" s="86">
        <f>_xll.qlRateHelperQuoteValue($B104,Trigger)</f>
        <v>2.1390000000000003E-2</v>
      </c>
      <c r="E104" s="86">
        <f>_xll.qlSwapRateHelperSpread($B104,Trigger)</f>
        <v>0</v>
      </c>
      <c r="F104" s="25" t="b">
        <v>0</v>
      </c>
      <c r="G104" s="25">
        <v>50</v>
      </c>
      <c r="H104" s="25">
        <v>1</v>
      </c>
      <c r="I104" s="87">
        <f>_xll.qlRateHelperEarliestDate($B104,Trigger)</f>
        <v>41919</v>
      </c>
      <c r="J104" s="88">
        <f>_xll.qlRateHelperLatestDate($B104,Trigger)</f>
        <v>45208</v>
      </c>
    </row>
    <row r="105" spans="2:10" x14ac:dyDescent="0.2">
      <c r="B105" s="263" t="str">
        <f>Swaps!K19</f>
        <v>obj_00545#0001</v>
      </c>
      <c r="C105" s="85" t="str">
        <f>SUBSTITUTE(_xll.qlRateHelperQuoteName(B105),"6L","3LBASIS")</f>
        <v>GBPSM3L10Y_Quote</v>
      </c>
      <c r="D105" s="86">
        <f>_xll.qlRateHelperQuoteValue($B105,Trigger)</f>
        <v>2.2090000000000002E-2</v>
      </c>
      <c r="E105" s="86">
        <f>_xll.qlSwapRateHelperSpread($B105,Trigger)</f>
        <v>0</v>
      </c>
      <c r="F105" s="25" t="b">
        <v>0</v>
      </c>
      <c r="G105" s="25">
        <v>50</v>
      </c>
      <c r="H105" s="25">
        <v>1</v>
      </c>
      <c r="I105" s="87">
        <f>_xll.qlRateHelperEarliestDate($B105,Trigger)</f>
        <v>41919</v>
      </c>
      <c r="J105" s="88">
        <f>_xll.qlRateHelperLatestDate($B105,Trigger)</f>
        <v>45572</v>
      </c>
    </row>
    <row r="106" spans="2:10" x14ac:dyDescent="0.2">
      <c r="B106" s="263" t="str">
        <f>Swaps!K20</f>
        <v>obj_00548#0001</v>
      </c>
      <c r="C106" s="85" t="str">
        <f>SUBSTITUTE(_xll.qlRateHelperQuoteName(B106),"6L","3LBASIS")</f>
        <v>GBPSM3L11Y_Quote</v>
      </c>
      <c r="D106" s="86">
        <f>_xll.qlRateHelperQuoteValue($B106,Trigger)</f>
        <v>2.2729999999999997E-2</v>
      </c>
      <c r="E106" s="86">
        <f>_xll.qlSwapRateHelperSpread($B106,Trigger)</f>
        <v>0</v>
      </c>
      <c r="F106" s="25" t="b">
        <v>0</v>
      </c>
      <c r="G106" s="25">
        <v>50</v>
      </c>
      <c r="H106" s="25">
        <v>1</v>
      </c>
      <c r="I106" s="87">
        <f>_xll.qlRateHelperEarliestDate($B106,Trigger)</f>
        <v>41919</v>
      </c>
      <c r="J106" s="88">
        <f>_xll.qlRateHelperLatestDate($B106,Trigger)</f>
        <v>45937</v>
      </c>
    </row>
    <row r="107" spans="2:10" x14ac:dyDescent="0.2">
      <c r="B107" s="263" t="str">
        <f>Swaps!K21</f>
        <v>obj_00556#0001</v>
      </c>
      <c r="C107" s="85" t="str">
        <f>SUBSTITUTE(_xll.qlRateHelperQuoteName(B107),"6L","3LBASIS")</f>
        <v>GBPSM3L12Y_Quote</v>
      </c>
      <c r="D107" s="86">
        <f>_xll.qlRateHelperQuoteValue($B107,Trigger)</f>
        <v>2.3300000000000001E-2</v>
      </c>
      <c r="E107" s="86">
        <f>_xll.qlSwapRateHelperSpread($B107,Trigger)</f>
        <v>0</v>
      </c>
      <c r="F107" s="25" t="b">
        <v>0</v>
      </c>
      <c r="G107" s="25">
        <v>50</v>
      </c>
      <c r="H107" s="25">
        <v>1</v>
      </c>
      <c r="I107" s="87">
        <f>_xll.qlRateHelperEarliestDate($B107,Trigger)</f>
        <v>41919</v>
      </c>
      <c r="J107" s="88">
        <f>_xll.qlRateHelperLatestDate($B107,Trigger)</f>
        <v>46302</v>
      </c>
    </row>
    <row r="108" spans="2:10" x14ac:dyDescent="0.2">
      <c r="B108" s="263" t="str">
        <f>Swaps!K22</f>
        <v>obj_00557#0001</v>
      </c>
      <c r="C108" s="85" t="str">
        <f>SUBSTITUTE(_xll.qlRateHelperQuoteName(B108),"6L","3LBASIS")</f>
        <v>GBPSM3L13Y_Quote</v>
      </c>
      <c r="D108" s="86" t="e">
        <f>_xll.qlRateHelperQuoteValue($B108,Trigger)</f>
        <v>#NUM!</v>
      </c>
      <c r="E108" s="86">
        <f>_xll.qlSwapRateHelperSpread($B108,Trigger)</f>
        <v>0</v>
      </c>
      <c r="F108" s="25" t="b">
        <v>0</v>
      </c>
      <c r="G108" s="25">
        <v>50</v>
      </c>
      <c r="H108" s="25">
        <v>1</v>
      </c>
      <c r="I108" s="87">
        <f>_xll.qlRateHelperEarliestDate($B108,Trigger)</f>
        <v>41919</v>
      </c>
      <c r="J108" s="88">
        <f>_xll.qlRateHelperLatestDate($B108,Trigger)</f>
        <v>46667</v>
      </c>
    </row>
    <row r="109" spans="2:10" x14ac:dyDescent="0.2">
      <c r="B109" s="263" t="str">
        <f>Swaps!K23</f>
        <v>obj_0053f#0001</v>
      </c>
      <c r="C109" s="85" t="str">
        <f>SUBSTITUTE(_xll.qlRateHelperQuoteName(B109),"6L","3LBASIS")</f>
        <v>GBPSM3L14Y_Quote</v>
      </c>
      <c r="D109" s="86" t="e">
        <f>_xll.qlRateHelperQuoteValue($B109,Trigger)</f>
        <v>#NUM!</v>
      </c>
      <c r="E109" s="86">
        <f>_xll.qlSwapRateHelperSpread($B109,Trigger)</f>
        <v>0</v>
      </c>
      <c r="F109" s="25" t="b">
        <v>0</v>
      </c>
      <c r="G109" s="25">
        <v>50</v>
      </c>
      <c r="H109" s="25">
        <v>1</v>
      </c>
      <c r="I109" s="87">
        <f>_xll.qlRateHelperEarliestDate($B109,Trigger)</f>
        <v>41919</v>
      </c>
      <c r="J109" s="88">
        <f>_xll.qlRateHelperLatestDate($B109,Trigger)</f>
        <v>47035</v>
      </c>
    </row>
    <row r="110" spans="2:10" x14ac:dyDescent="0.2">
      <c r="B110" s="263" t="str">
        <f>Swaps!K24</f>
        <v>obj_00563#0001</v>
      </c>
      <c r="C110" s="85" t="str">
        <f>SUBSTITUTE(_xll.qlRateHelperQuoteName(B110),"6L","3LBASIS")</f>
        <v>GBPSM3L15Y_Quote</v>
      </c>
      <c r="D110" s="86">
        <f>_xll.qlRateHelperQuoteValue($B110,Trigger)</f>
        <v>2.4649999999999998E-2</v>
      </c>
      <c r="E110" s="86">
        <f>_xll.qlSwapRateHelperSpread($B110,Trigger)</f>
        <v>0</v>
      </c>
      <c r="F110" s="25" t="b">
        <v>0</v>
      </c>
      <c r="G110" s="25">
        <v>50</v>
      </c>
      <c r="H110" s="25">
        <v>1</v>
      </c>
      <c r="I110" s="87">
        <f>_xll.qlRateHelperEarliestDate($B110,Trigger)</f>
        <v>41919</v>
      </c>
      <c r="J110" s="88">
        <f>_xll.qlRateHelperLatestDate($B110,Trigger)</f>
        <v>47399</v>
      </c>
    </row>
    <row r="111" spans="2:10" x14ac:dyDescent="0.2">
      <c r="B111" s="263" t="str">
        <f>Swaps!K25</f>
        <v>obj_0054c#0001</v>
      </c>
      <c r="C111" s="85" t="str">
        <f>SUBSTITUTE(_xll.qlRateHelperQuoteName(B111),"6L","3LBASIS")</f>
        <v>GBPSM3L16Y_Quote</v>
      </c>
      <c r="D111" s="86" t="e">
        <f>_xll.qlRateHelperQuoteValue($B111,Trigger)</f>
        <v>#NUM!</v>
      </c>
      <c r="E111" s="86">
        <f>_xll.qlSwapRateHelperSpread($B111,Trigger)</f>
        <v>0</v>
      </c>
      <c r="F111" s="25" t="b">
        <v>0</v>
      </c>
      <c r="G111" s="25">
        <v>50</v>
      </c>
      <c r="H111" s="25">
        <v>1</v>
      </c>
      <c r="I111" s="87">
        <f>_xll.qlRateHelperEarliestDate($B111,Trigger)</f>
        <v>41919</v>
      </c>
      <c r="J111" s="88">
        <f>_xll.qlRateHelperLatestDate($B111,Trigger)</f>
        <v>47763</v>
      </c>
    </row>
    <row r="112" spans="2:10" x14ac:dyDescent="0.2">
      <c r="B112" s="263" t="str">
        <f>Swaps!K26</f>
        <v>obj_00543#0001</v>
      </c>
      <c r="C112" s="85" t="str">
        <f>SUBSTITUTE(_xll.qlRateHelperQuoteName(B112),"6L","3LBASIS")</f>
        <v>GBPSM3L17Y_Quote</v>
      </c>
      <c r="D112" s="86" t="e">
        <f>_xll.qlRateHelperQuoteValue($B112,Trigger)</f>
        <v>#NUM!</v>
      </c>
      <c r="E112" s="86">
        <f>_xll.qlSwapRateHelperSpread($B112,Trigger)</f>
        <v>0</v>
      </c>
      <c r="F112" s="25" t="b">
        <v>0</v>
      </c>
      <c r="G112" s="25">
        <v>50</v>
      </c>
      <c r="H112" s="25">
        <v>1</v>
      </c>
      <c r="I112" s="87">
        <f>_xll.qlRateHelperEarliestDate($B112,Trigger)</f>
        <v>41919</v>
      </c>
      <c r="J112" s="88">
        <f>_xll.qlRateHelperLatestDate($B112,Trigger)</f>
        <v>48128</v>
      </c>
    </row>
    <row r="113" spans="2:10" x14ac:dyDescent="0.2">
      <c r="B113" s="263" t="str">
        <f>Swaps!K27</f>
        <v>obj_0053d#0001</v>
      </c>
      <c r="C113" s="85" t="str">
        <f>SUBSTITUTE(_xll.qlRateHelperQuoteName(B113),"6L","3LBASIS")</f>
        <v>GBPSM3L18Y_Quote</v>
      </c>
      <c r="D113" s="86" t="e">
        <f>_xll.qlRateHelperQuoteValue($B113,Trigger)</f>
        <v>#NUM!</v>
      </c>
      <c r="E113" s="86">
        <f>_xll.qlSwapRateHelperSpread($B113,Trigger)</f>
        <v>0</v>
      </c>
      <c r="F113" s="25" t="b">
        <v>0</v>
      </c>
      <c r="G113" s="25">
        <v>50</v>
      </c>
      <c r="H113" s="25">
        <v>1</v>
      </c>
      <c r="I113" s="87">
        <f>_xll.qlRateHelperEarliestDate($B113,Trigger)</f>
        <v>41919</v>
      </c>
      <c r="J113" s="88">
        <f>_xll.qlRateHelperLatestDate($B113,Trigger)</f>
        <v>48494</v>
      </c>
    </row>
    <row r="114" spans="2:10" x14ac:dyDescent="0.2">
      <c r="B114" s="263" t="str">
        <f>Swaps!K28</f>
        <v>obj_00538#0001</v>
      </c>
      <c r="C114" s="85" t="str">
        <f>SUBSTITUTE(_xll.qlRateHelperQuoteName(B114),"6L","3LBASIS")</f>
        <v>GBPSM3L19Y_Quote</v>
      </c>
      <c r="D114" s="86" t="e">
        <f>_xll.qlRateHelperQuoteValue($B114,Trigger)</f>
        <v>#NUM!</v>
      </c>
      <c r="E114" s="86">
        <f>_xll.qlSwapRateHelperSpread($B114,Trigger)</f>
        <v>0</v>
      </c>
      <c r="F114" s="25" t="b">
        <v>0</v>
      </c>
      <c r="G114" s="25">
        <v>50</v>
      </c>
      <c r="H114" s="25">
        <v>1</v>
      </c>
      <c r="I114" s="87">
        <f>_xll.qlRateHelperEarliestDate($B114,Trigger)</f>
        <v>41919</v>
      </c>
      <c r="J114" s="88">
        <f>_xll.qlRateHelperLatestDate($B114,Trigger)</f>
        <v>48859</v>
      </c>
    </row>
    <row r="115" spans="2:10" x14ac:dyDescent="0.2">
      <c r="B115" s="263" t="str">
        <f>Swaps!K29</f>
        <v>obj_0053e#0001</v>
      </c>
      <c r="C115" s="85" t="str">
        <f>SUBSTITUTE(_xll.qlRateHelperQuoteName(B115),"6L","3LBASIS")</f>
        <v>GBPSM3L20Y_Quote</v>
      </c>
      <c r="D115" s="86">
        <f>_xll.qlRateHelperQuoteValue($B115,Trigger)</f>
        <v>2.597E-2</v>
      </c>
      <c r="E115" s="86">
        <f>_xll.qlSwapRateHelperSpread($B115,Trigger)</f>
        <v>0</v>
      </c>
      <c r="F115" s="25" t="b">
        <v>0</v>
      </c>
      <c r="G115" s="25">
        <v>50</v>
      </c>
      <c r="H115" s="25">
        <v>1</v>
      </c>
      <c r="I115" s="87">
        <f>_xll.qlRateHelperEarliestDate($B115,Trigger)</f>
        <v>41919</v>
      </c>
      <c r="J115" s="88">
        <f>_xll.qlRateHelperLatestDate($B115,Trigger)</f>
        <v>49226</v>
      </c>
    </row>
    <row r="116" spans="2:10" x14ac:dyDescent="0.2">
      <c r="B116" s="263" t="str">
        <f>Swaps!K30</f>
        <v>obj_00536#0001</v>
      </c>
      <c r="C116" s="85" t="str">
        <f>SUBSTITUTE(_xll.qlRateHelperQuoteName(B116),"6L","3LBASIS")</f>
        <v>GBPSM3L21Y_Quote</v>
      </c>
      <c r="D116" s="86" t="e">
        <f>_xll.qlRateHelperQuoteValue($B116,Trigger)</f>
        <v>#NUM!</v>
      </c>
      <c r="E116" s="86">
        <f>_xll.qlSwapRateHelperSpread($B116,Trigger)</f>
        <v>0</v>
      </c>
      <c r="F116" s="25" t="b">
        <v>0</v>
      </c>
      <c r="G116" s="25">
        <v>50</v>
      </c>
      <c r="H116" s="25">
        <v>1</v>
      </c>
      <c r="I116" s="87">
        <f>_xll.qlRateHelperEarliestDate($B116,Trigger)</f>
        <v>41919</v>
      </c>
      <c r="J116" s="88">
        <f>_xll.qlRateHelperLatestDate($B116,Trigger)</f>
        <v>49590</v>
      </c>
    </row>
    <row r="117" spans="2:10" x14ac:dyDescent="0.2">
      <c r="B117" s="263" t="str">
        <f>Swaps!K31</f>
        <v>obj_00551#0001</v>
      </c>
      <c r="C117" s="85" t="str">
        <f>SUBSTITUTE(_xll.qlRateHelperQuoteName(B117),"6L","3LBASIS")</f>
        <v>GBPSM3L22Y_Quote</v>
      </c>
      <c r="D117" s="86" t="e">
        <f>_xll.qlRateHelperQuoteValue($B117,Trigger)</f>
        <v>#NUM!</v>
      </c>
      <c r="E117" s="86">
        <f>_xll.qlSwapRateHelperSpread($B117,Trigger)</f>
        <v>0</v>
      </c>
      <c r="F117" s="25" t="b">
        <v>0</v>
      </c>
      <c r="G117" s="25">
        <v>50</v>
      </c>
      <c r="H117" s="25">
        <v>1</v>
      </c>
      <c r="I117" s="87">
        <f>_xll.qlRateHelperEarliestDate($B117,Trigger)</f>
        <v>41919</v>
      </c>
      <c r="J117" s="88">
        <f>_xll.qlRateHelperLatestDate($B117,Trigger)</f>
        <v>49955</v>
      </c>
    </row>
    <row r="118" spans="2:10" x14ac:dyDescent="0.2">
      <c r="B118" s="263" t="str">
        <f>Swaps!K32</f>
        <v>obj_00560#0001</v>
      </c>
      <c r="C118" s="85" t="str">
        <f>SUBSTITUTE(_xll.qlRateHelperQuoteName(B118),"6L","3LBASIS")</f>
        <v>GBPSM3L23Y_Quote</v>
      </c>
      <c r="D118" s="86" t="e">
        <f>_xll.qlRateHelperQuoteValue($B118,Trigger)</f>
        <v>#NUM!</v>
      </c>
      <c r="E118" s="86">
        <f>_xll.qlSwapRateHelperSpread($B118,Trigger)</f>
        <v>0</v>
      </c>
      <c r="F118" s="25" t="b">
        <v>0</v>
      </c>
      <c r="G118" s="25">
        <v>50</v>
      </c>
      <c r="H118" s="25">
        <v>1</v>
      </c>
      <c r="I118" s="87">
        <f>_xll.qlRateHelperEarliestDate($B118,Trigger)</f>
        <v>41919</v>
      </c>
      <c r="J118" s="88">
        <f>_xll.qlRateHelperLatestDate($B118,Trigger)</f>
        <v>50320</v>
      </c>
    </row>
    <row r="119" spans="2:10" x14ac:dyDescent="0.2">
      <c r="B119" s="263" t="str">
        <f>Swaps!K33</f>
        <v>obj_00549#0001</v>
      </c>
      <c r="C119" s="85" t="str">
        <f>SUBSTITUTE(_xll.qlRateHelperQuoteName(B119),"6L","3LBASIS")</f>
        <v>GBPSM3L24Y_Quote</v>
      </c>
      <c r="D119" s="86" t="e">
        <f>_xll.qlRateHelperQuoteValue($B119,Trigger)</f>
        <v>#NUM!</v>
      </c>
      <c r="E119" s="86">
        <f>_xll.qlSwapRateHelperSpread($B119,Trigger)</f>
        <v>0</v>
      </c>
      <c r="F119" s="25" t="b">
        <v>0</v>
      </c>
      <c r="G119" s="25">
        <v>50</v>
      </c>
      <c r="H119" s="25">
        <v>1</v>
      </c>
      <c r="I119" s="87">
        <f>_xll.qlRateHelperEarliestDate($B119,Trigger)</f>
        <v>41919</v>
      </c>
      <c r="J119" s="88">
        <f>_xll.qlRateHelperLatestDate($B119,Trigger)</f>
        <v>50685</v>
      </c>
    </row>
    <row r="120" spans="2:10" x14ac:dyDescent="0.2">
      <c r="B120" s="263" t="str">
        <f>Swaps!K34</f>
        <v>obj_0055f#0001</v>
      </c>
      <c r="C120" s="85" t="str">
        <f>SUBSTITUTE(_xll.qlRateHelperQuoteName(B120),"6L","3LBASIS")</f>
        <v>GBPSM3L25Y_Quote</v>
      </c>
      <c r="D120" s="86">
        <f>_xll.qlRateHelperQuoteValue($B120,Trigger)</f>
        <v>2.6450000000000001E-2</v>
      </c>
      <c r="E120" s="86">
        <f>_xll.qlSwapRateHelperSpread($B120,Trigger)</f>
        <v>0</v>
      </c>
      <c r="F120" s="25" t="b">
        <v>0</v>
      </c>
      <c r="G120" s="25">
        <v>50</v>
      </c>
      <c r="H120" s="25">
        <v>1</v>
      </c>
      <c r="I120" s="87">
        <f>_xll.qlRateHelperEarliestDate($B120,Trigger)</f>
        <v>41919</v>
      </c>
      <c r="J120" s="88">
        <f>_xll.qlRateHelperLatestDate($B120,Trigger)</f>
        <v>51050</v>
      </c>
    </row>
    <row r="121" spans="2:10" x14ac:dyDescent="0.2">
      <c r="B121" s="263" t="str">
        <f>Swaps!K35</f>
        <v>obj_00537#0001</v>
      </c>
      <c r="C121" s="85" t="str">
        <f>SUBSTITUTE(_xll.qlRateHelperQuoteName(B121),"6L","3LBASIS")</f>
        <v>GBPSM3L26Y_Quote</v>
      </c>
      <c r="D121" s="86" t="e">
        <f>_xll.qlRateHelperQuoteValue($B121,Trigger)</f>
        <v>#NUM!</v>
      </c>
      <c r="E121" s="86">
        <f>_xll.qlSwapRateHelperSpread($B121,Trigger)</f>
        <v>0</v>
      </c>
      <c r="F121" s="25" t="b">
        <v>0</v>
      </c>
      <c r="G121" s="25">
        <v>50</v>
      </c>
      <c r="H121" s="25">
        <v>1</v>
      </c>
      <c r="I121" s="87">
        <f>_xll.qlRateHelperEarliestDate($B121,Trigger)</f>
        <v>41919</v>
      </c>
      <c r="J121" s="88">
        <f>_xll.qlRateHelperLatestDate($B121,Trigger)</f>
        <v>51417</v>
      </c>
    </row>
    <row r="122" spans="2:10" x14ac:dyDescent="0.2">
      <c r="B122" s="263" t="str">
        <f>Swaps!K36</f>
        <v>obj_00559#0001</v>
      </c>
      <c r="C122" s="85" t="str">
        <f>SUBSTITUTE(_xll.qlRateHelperQuoteName(B122),"6L","3LBASIS")</f>
        <v>GBPSM3L27Y_Quote</v>
      </c>
      <c r="D122" s="86" t="e">
        <f>_xll.qlRateHelperQuoteValue($B122,Trigger)</f>
        <v>#NUM!</v>
      </c>
      <c r="E122" s="86">
        <f>_xll.qlSwapRateHelperSpread($B122,Trigger)</f>
        <v>0</v>
      </c>
      <c r="F122" s="25" t="b">
        <v>0</v>
      </c>
      <c r="G122" s="25">
        <v>50</v>
      </c>
      <c r="H122" s="25">
        <v>1</v>
      </c>
      <c r="I122" s="87">
        <f>_xll.qlRateHelperEarliestDate($B122,Trigger)</f>
        <v>41919</v>
      </c>
      <c r="J122" s="88">
        <f>_xll.qlRateHelperLatestDate($B122,Trigger)</f>
        <v>51781</v>
      </c>
    </row>
    <row r="123" spans="2:10" x14ac:dyDescent="0.2">
      <c r="B123" s="263" t="str">
        <f>Swaps!K37</f>
        <v>obj_00550#0001</v>
      </c>
      <c r="C123" s="85" t="str">
        <f>SUBSTITUTE(_xll.qlRateHelperQuoteName(B123),"6L","3LBASIS")</f>
        <v>GBPSM3L28Y_Quote</v>
      </c>
      <c r="D123" s="86" t="e">
        <f>_xll.qlRateHelperQuoteValue($B123,Trigger)</f>
        <v>#NUM!</v>
      </c>
      <c r="E123" s="86">
        <f>_xll.qlSwapRateHelperSpread($B123,Trigger)</f>
        <v>0</v>
      </c>
      <c r="F123" s="25" t="b">
        <v>0</v>
      </c>
      <c r="G123" s="25">
        <v>50</v>
      </c>
      <c r="H123" s="25">
        <v>1</v>
      </c>
      <c r="I123" s="87">
        <f>_xll.qlRateHelperEarliestDate($B123,Trigger)</f>
        <v>41919</v>
      </c>
      <c r="J123" s="88">
        <f>_xll.qlRateHelperLatestDate($B123,Trigger)</f>
        <v>52146</v>
      </c>
    </row>
    <row r="124" spans="2:10" x14ac:dyDescent="0.2">
      <c r="B124" s="263" t="str">
        <f>Swaps!K38</f>
        <v>obj_00547#0001</v>
      </c>
      <c r="C124" s="85" t="str">
        <f>SUBSTITUTE(_xll.qlRateHelperQuoteName(B124),"6L","3LBASIS")</f>
        <v>GBPSM3L29Y_Quote</v>
      </c>
      <c r="D124" s="86" t="e">
        <f>_xll.qlRateHelperQuoteValue($B124,Trigger)</f>
        <v>#NUM!</v>
      </c>
      <c r="E124" s="86">
        <f>_xll.qlSwapRateHelperSpread($B124,Trigger)</f>
        <v>0</v>
      </c>
      <c r="F124" s="25" t="b">
        <v>0</v>
      </c>
      <c r="G124" s="25">
        <v>50</v>
      </c>
      <c r="H124" s="25">
        <v>1</v>
      </c>
      <c r="I124" s="87">
        <f>_xll.qlRateHelperEarliestDate($B124,Trigger)</f>
        <v>41919</v>
      </c>
      <c r="J124" s="88">
        <f>_xll.qlRateHelperLatestDate($B124,Trigger)</f>
        <v>52511</v>
      </c>
    </row>
    <row r="125" spans="2:10" x14ac:dyDescent="0.2">
      <c r="B125" s="263" t="str">
        <f>Swaps!K39</f>
        <v>obj_00562#0001</v>
      </c>
      <c r="C125" s="85" t="str">
        <f>SUBSTITUTE(_xll.qlRateHelperQuoteName(B125),"6L","3LBASIS")</f>
        <v>GBPSM3L30Y_Quote</v>
      </c>
      <c r="D125" s="86">
        <f>_xll.qlRateHelperQuoteValue($B125,Trigger)</f>
        <v>2.6669999999999999E-2</v>
      </c>
      <c r="E125" s="86">
        <f>_xll.qlSwapRateHelperSpread($B125,Trigger)</f>
        <v>0</v>
      </c>
      <c r="F125" s="25" t="b">
        <v>0</v>
      </c>
      <c r="G125" s="25">
        <v>50</v>
      </c>
      <c r="H125" s="25">
        <v>1</v>
      </c>
      <c r="I125" s="87">
        <f>_xll.qlRateHelperEarliestDate($B125,Trigger)</f>
        <v>41919</v>
      </c>
      <c r="J125" s="88">
        <f>_xll.qlRateHelperLatestDate($B125,Trigger)</f>
        <v>52877</v>
      </c>
    </row>
    <row r="126" spans="2:10" x14ac:dyDescent="0.2">
      <c r="B126" s="263" t="str">
        <f>Swaps!K40</f>
        <v>obj_00539#0001</v>
      </c>
      <c r="C126" s="85" t="str">
        <f>SUBSTITUTE(_xll.qlRateHelperQuoteName(B126),"6L","3LBASIS")</f>
        <v>GBPSM3L35Y_Quote</v>
      </c>
      <c r="D126" s="86" t="e">
        <f>_xll.qlRateHelperQuoteValue($B126,Trigger)</f>
        <v>#NUM!</v>
      </c>
      <c r="E126" s="86">
        <f>_xll.qlSwapRateHelperSpread($B126,Trigger)</f>
        <v>0</v>
      </c>
      <c r="F126" s="25" t="b">
        <v>0</v>
      </c>
      <c r="G126" s="25">
        <v>50</v>
      </c>
      <c r="H126" s="25">
        <v>1</v>
      </c>
      <c r="I126" s="87">
        <f>_xll.qlRateHelperEarliestDate($B126,Trigger)</f>
        <v>41919</v>
      </c>
      <c r="J126" s="88">
        <f>_xll.qlRateHelperLatestDate($B126,Trigger)</f>
        <v>54703</v>
      </c>
    </row>
    <row r="127" spans="2:10" x14ac:dyDescent="0.2">
      <c r="B127" s="263" t="str">
        <f>Swaps!K41</f>
        <v>obj_00540#0001</v>
      </c>
      <c r="C127" s="85" t="str">
        <f>SUBSTITUTE(_xll.qlRateHelperQuoteName(B127),"6L","3LBASIS")</f>
        <v>GBPSM3L40Y_Quote</v>
      </c>
      <c r="D127" s="86">
        <f>_xll.qlRateHelperQuoteValue($B127,Trigger)</f>
        <v>2.665E-2</v>
      </c>
      <c r="E127" s="86">
        <f>_xll.qlSwapRateHelperSpread($B127,Trigger)</f>
        <v>0</v>
      </c>
      <c r="F127" s="25" t="b">
        <v>0</v>
      </c>
      <c r="G127" s="25">
        <v>50</v>
      </c>
      <c r="H127" s="25">
        <v>1</v>
      </c>
      <c r="I127" s="87">
        <f>_xll.qlRateHelperEarliestDate($B127,Trigger)</f>
        <v>41919</v>
      </c>
      <c r="J127" s="88">
        <f>_xll.qlRateHelperLatestDate($B127,Trigger)</f>
        <v>56529</v>
      </c>
    </row>
    <row r="128" spans="2:10" x14ac:dyDescent="0.2">
      <c r="B128" s="263" t="str">
        <f>Swaps!K42</f>
        <v>obj_0055e#0001</v>
      </c>
      <c r="C128" s="85" t="str">
        <f>SUBSTITUTE(_xll.qlRateHelperQuoteName(B128),"6L","3LBASIS")</f>
        <v>GBPSM3L50Y_Quote</v>
      </c>
      <c r="D128" s="86">
        <f>_xll.qlRateHelperQuoteValue($B128,Trigger)</f>
        <v>2.6720000000000001E-2</v>
      </c>
      <c r="E128" s="86">
        <f>_xll.qlSwapRateHelperSpread($B128,Trigger)</f>
        <v>0</v>
      </c>
      <c r="F128" s="25" t="b">
        <v>0</v>
      </c>
      <c r="G128" s="25">
        <v>50</v>
      </c>
      <c r="H128" s="25">
        <v>1</v>
      </c>
      <c r="I128" s="87">
        <f>_xll.qlRateHelperEarliestDate($B128,Trigger)</f>
        <v>41919</v>
      </c>
      <c r="J128" s="88">
        <f>_xll.qlRateHelperLatestDate($B128,Trigger)</f>
        <v>60182</v>
      </c>
    </row>
    <row r="129" spans="2:10" x14ac:dyDescent="0.2">
      <c r="B129" s="264" t="str">
        <f>Swaps!K43</f>
        <v>obj_00544#0001</v>
      </c>
      <c r="C129" s="96" t="str">
        <f>SUBSTITUTE(_xll.qlRateHelperQuoteName(B129),"6L","3LBASIS")</f>
        <v>GBPSM3L60Y_Quote</v>
      </c>
      <c r="D129" s="97">
        <f>_xll.qlRateHelperQuoteValue($B129,Trigger)</f>
        <v>2.69E-2</v>
      </c>
      <c r="E129" s="97">
        <f>_xll.qlSwapRateHelperSpread($B129,Trigger)</f>
        <v>0</v>
      </c>
      <c r="F129" s="98" t="b">
        <v>0</v>
      </c>
      <c r="G129" s="98">
        <v>50</v>
      </c>
      <c r="H129" s="98">
        <v>1</v>
      </c>
      <c r="I129" s="99">
        <f>_xll.qlRateHelperEarliestDate($B129,Trigger)</f>
        <v>41919</v>
      </c>
      <c r="J129" s="100">
        <f>_xll.qlRateHelperLatestDate($B129,Trigger)</f>
        <v>63835</v>
      </c>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x14ac:dyDescent="0.2"/>
  <cols>
    <col min="1" max="1" width="31.140625" style="1" bestFit="1" customWidth="1"/>
    <col min="2" max="2" width="9" style="1" bestFit="1" customWidth="1"/>
    <col min="3" max="3" width="2.7109375" style="1" customWidth="1"/>
    <col min="4" max="4" width="18" style="22" hidden="1" customWidth="1"/>
    <col min="5" max="5" width="22.42578125" style="22" bestFit="1" customWidth="1"/>
    <col min="6" max="7" width="8" style="22" bestFit="1" customWidth="1"/>
    <col min="8" max="9" width="17.28515625" style="22" bestFit="1" customWidth="1"/>
    <col min="10" max="11" width="12" style="1" bestFit="1" customWidth="1"/>
    <col min="12" max="12" width="23.28515625" style="1" bestFit="1" customWidth="1"/>
    <col min="13" max="16384" width="9.140625" style="1"/>
  </cols>
  <sheetData>
    <row r="1" spans="1:13" ht="24.75" customHeight="1" thickBot="1" x14ac:dyDescent="0.25">
      <c r="A1" s="284" t="s">
        <v>55</v>
      </c>
      <c r="B1" s="285"/>
      <c r="D1" s="105" t="s">
        <v>54</v>
      </c>
      <c r="E1" s="2" t="s">
        <v>155</v>
      </c>
      <c r="F1" s="3" t="s">
        <v>53</v>
      </c>
      <c r="G1" s="3"/>
      <c r="H1" s="3" t="s">
        <v>40</v>
      </c>
      <c r="I1" s="4" t="s">
        <v>39</v>
      </c>
      <c r="J1" s="5">
        <f t="array" ref="J1:J126">_xll.qlPiecewiseYieldCurveData(YieldCurve)</f>
        <v>1</v>
      </c>
      <c r="K1" s="5"/>
      <c r="L1" s="258"/>
    </row>
    <row r="2" spans="1:13" x14ac:dyDescent="0.2">
      <c r="A2" s="6" t="s">
        <v>52</v>
      </c>
      <c r="B2" s="7">
        <v>8</v>
      </c>
      <c r="D2" s="8" t="str">
        <f t="array" ref="D2:D126">_xll.qlRateHelperSelection(_xll.ohFilter(RateHelpers,RateHelpersIncluded),_xll.ohFilter(RateHelpersPriority,RateHelpersIncluded),nIMMFutures,nSerialFutures,FrontFuturesRollingDays,DepoInclusionCriteria,_xll.ohFilter(MinDistance,RateHelpersIncluded),Trigger)</f>
        <v>obj_00555</v>
      </c>
      <c r="E2" s="8" t="str">
        <f>SUBSTITUTE(_xll.qlRateHelperQuoteName(D2),"6L","3LBASIS")</f>
        <v>GBP1MD_SYNTH3M_Quote</v>
      </c>
      <c r="F2" s="9">
        <f>_xll.qlRateHelperRate($D2)</f>
        <v>5.4380000000000001E-3</v>
      </c>
      <c r="G2" s="9" t="str">
        <f>IF(ISERROR(_xll.qlSwapRateHelperSpread($D2)),IF(ISERROR(_xll.qlFuturesRateHelperConvexityAdjustment($D2)),"--",_xll.qlFuturesRateHelperConvexityAdjustment($D2)),_xll.qlSwapRateHelperSpread($D2))</f>
        <v>--</v>
      </c>
      <c r="H2" s="10">
        <f>_xll.qlRateHelperEarliestDate($D2)</f>
        <v>41919</v>
      </c>
      <c r="I2" s="11">
        <f>_xll.qlRateHelperLatestDate($D2)</f>
        <v>41950</v>
      </c>
      <c r="J2" s="5">
        <v>0.99953835567966076</v>
      </c>
      <c r="K2" s="5"/>
      <c r="L2" s="258"/>
      <c r="M2" s="12"/>
    </row>
    <row r="3" spans="1:13" x14ac:dyDescent="0.2">
      <c r="A3" s="13" t="s">
        <v>51</v>
      </c>
      <c r="B3" s="14">
        <v>0</v>
      </c>
      <c r="D3" s="8" t="str">
        <v>obj_00564</v>
      </c>
      <c r="E3" s="8" t="str">
        <f>SUBSTITUTE(_xll.qlRateHelperQuoteName(D3),"6L","3LBASIS")</f>
        <v>GBP2MD_SYNTH3M_Quote</v>
      </c>
      <c r="F3" s="9">
        <f>_xll.qlRateHelperRate($D3)</f>
        <v>5.574E-3</v>
      </c>
      <c r="G3" s="9" t="str">
        <f>IF(ISERROR(_xll.qlSwapRateHelperSpread($D3)),IF(ISERROR(_xll.qlFuturesRateHelperConvexityAdjustment($D3)),"--",_xll.qlFuturesRateHelperConvexityAdjustment($D3)),_xll.qlSwapRateHelperSpread($D3))</f>
        <v>--</v>
      </c>
      <c r="H3" s="10">
        <f>_xll.qlRateHelperEarliestDate($D3)</f>
        <v>41919</v>
      </c>
      <c r="I3" s="11">
        <f>_xll.qlRateHelperLatestDate($D3)</f>
        <v>41981</v>
      </c>
      <c r="J3" s="5">
        <v>0.99905407917503031</v>
      </c>
      <c r="K3" s="5"/>
      <c r="L3" s="258"/>
      <c r="M3" s="12"/>
    </row>
    <row r="4" spans="1:13" x14ac:dyDescent="0.2">
      <c r="A4" s="13" t="s">
        <v>50</v>
      </c>
      <c r="B4" s="14">
        <v>1</v>
      </c>
      <c r="D4" s="8" t="str">
        <v>obj_00542</v>
      </c>
      <c r="E4" s="8" t="str">
        <f>SUBSTITUTE(_xll.qlRateHelperQuoteName(D4),"6L","3LBASIS")</f>
        <v>GBP3MD_SYNTH3M_Quote</v>
      </c>
      <c r="F4" s="9">
        <f>_xll.qlRateHelperRate($D4)</f>
        <v>5.6280000000000002E-3</v>
      </c>
      <c r="G4" s="9" t="str">
        <f>IF(ISERROR(_xll.qlSwapRateHelperSpread($D4)),IF(ISERROR(_xll.qlFuturesRateHelperConvexityAdjustment($D4)),"--",_xll.qlFuturesRateHelperConvexityAdjustment($D4)),_xll.qlSwapRateHelperSpread($D4))</f>
        <v>--</v>
      </c>
      <c r="H4" s="10">
        <f>_xll.qlRateHelperEarliestDate($D4)</f>
        <v>41919</v>
      </c>
      <c r="I4" s="11">
        <f>_xll.qlRateHelperLatestDate($D4)</f>
        <v>42011</v>
      </c>
      <c r="J4" s="5">
        <v>0.99858344509078001</v>
      </c>
      <c r="K4" s="5"/>
      <c r="L4" s="258"/>
      <c r="M4" s="12"/>
    </row>
    <row r="5" spans="1:13" x14ac:dyDescent="0.2">
      <c r="A5" s="13" t="s">
        <v>49</v>
      </c>
      <c r="B5" s="15" t="s">
        <v>48</v>
      </c>
      <c r="D5" s="8" t="str">
        <v>obj_00573</v>
      </c>
      <c r="E5" s="8" t="str">
        <f>SUBSTITUTE(_xll.qlRateHelperQuoteName(D5),"6L","3LBASIS")</f>
        <v>GBPFUT3MZ4_Quote</v>
      </c>
      <c r="F5" s="9">
        <f>_xll.qlRateHelperRate($D5)</f>
        <v>6.2499999999999778E-3</v>
      </c>
      <c r="G5" s="9">
        <f>IF(ISERROR(_xll.qlSwapRateHelperSpread($D5)),IF(ISERROR(_xll.qlFuturesRateHelperConvexityAdjustment($D5)),"--",_xll.qlFuturesRateHelperConvexityAdjustment($D5)),_xll.qlSwapRateHelperSpread($D5))</f>
        <v>0</v>
      </c>
      <c r="H5" s="10">
        <f>_xll.qlRateHelperEarliestDate($D5)</f>
        <v>41990</v>
      </c>
      <c r="I5" s="11">
        <f>_xll.qlRateHelperLatestDate($D5)</f>
        <v>42080</v>
      </c>
      <c r="J5" s="5">
        <v>0.99737662800098381</v>
      </c>
      <c r="K5" s="5"/>
      <c r="L5" s="258"/>
      <c r="M5" s="12"/>
    </row>
    <row r="6" spans="1:13" x14ac:dyDescent="0.2">
      <c r="D6" s="8" t="str">
        <v>obj_00567</v>
      </c>
      <c r="E6" s="8" t="str">
        <f>SUBSTITUTE(_xll.qlRateHelperQuoteName(D6),"6L","3LBASIS")</f>
        <v>GBPFUT3MH5_Quote</v>
      </c>
      <c r="F6" s="9">
        <f>_xll.qlRateHelperRate($D6)</f>
        <v>7.7500000000000346E-3</v>
      </c>
      <c r="G6" s="9">
        <f>IF(ISERROR(_xll.qlSwapRateHelperSpread($D6)),IF(ISERROR(_xll.qlFuturesRateHelperConvexityAdjustment($D6)),"--",_xll.qlFuturesRateHelperConvexityAdjustment($D6)),_xll.qlSwapRateHelperSpread($D6))</f>
        <v>0</v>
      </c>
      <c r="H6" s="10">
        <f>_xll.qlRateHelperEarliestDate($D6)</f>
        <v>42081</v>
      </c>
      <c r="I6" s="11">
        <f>_xll.qlRateHelperLatestDate($D6)</f>
        <v>42173</v>
      </c>
      <c r="J6" s="5">
        <v>0.99541314529870739</v>
      </c>
      <c r="K6" s="5"/>
      <c r="L6" s="258"/>
    </row>
    <row r="7" spans="1:13" x14ac:dyDescent="0.2">
      <c r="D7" s="8" t="str">
        <v>obj_0056f</v>
      </c>
      <c r="E7" s="8" t="str">
        <f>SUBSTITUTE(_xll.qlRateHelperQuoteName(D7),"6L","3LBASIS")</f>
        <v>GBPFUT3MM5_Quote</v>
      </c>
      <c r="F7" s="9">
        <f>_xll.qlRateHelperRate($D7)</f>
        <v>9.3579999999999774E-3</v>
      </c>
      <c r="G7" s="9">
        <f>IF(ISERROR(_xll.qlSwapRateHelperSpread($D7)),IF(ISERROR(_xll.qlFuturesRateHelperConvexityAdjustment($D7)),"--",_xll.qlFuturesRateHelperConvexityAdjustment($D7)),_xll.qlSwapRateHelperSpread($D7))</f>
        <v>0</v>
      </c>
      <c r="H7" s="10">
        <f>_xll.qlRateHelperEarliestDate($D7)</f>
        <v>42172</v>
      </c>
      <c r="I7" s="11">
        <f>_xll.qlRateHelperLatestDate($D7)</f>
        <v>42264</v>
      </c>
      <c r="J7" s="5">
        <v>0.99309395283583668</v>
      </c>
      <c r="K7" s="5"/>
      <c r="L7" s="258"/>
    </row>
    <row r="8" spans="1:13" x14ac:dyDescent="0.2">
      <c r="D8" s="8" t="str">
        <v>obj_00574</v>
      </c>
      <c r="E8" s="8" t="str">
        <f>SUBSTITUTE(_xll.qlRateHelperQuoteName(D8),"6L","3LBASIS")</f>
        <v>GBPFUT3MU5_Quote</v>
      </c>
      <c r="F8" s="9">
        <f>_xll.qlRateHelperRate($D8)</f>
        <v>1.1083000000000176E-2</v>
      </c>
      <c r="G8" s="9">
        <f>IF(ISERROR(_xll.qlSwapRateHelperSpread($D8)),IF(ISERROR(_xll.qlFuturesRateHelperConvexityAdjustment($D8)),"--",_xll.qlFuturesRateHelperConvexityAdjustment($D8)),_xll.qlSwapRateHelperSpread($D8))</f>
        <v>0</v>
      </c>
      <c r="H8" s="10">
        <f>_xll.qlRateHelperEarliestDate($D8)</f>
        <v>42263</v>
      </c>
      <c r="I8" s="11">
        <f>_xll.qlRateHelperLatestDate($D8)</f>
        <v>42354</v>
      </c>
      <c r="J8" s="5">
        <v>0.990385100360476</v>
      </c>
      <c r="K8" s="5"/>
      <c r="L8" s="258"/>
    </row>
    <row r="9" spans="1:13" x14ac:dyDescent="0.2">
      <c r="D9" s="8" t="str">
        <v>obj_00570</v>
      </c>
      <c r="E9" s="8" t="str">
        <f>SUBSTITUTE(_xll.qlRateHelperQuoteName(D9),"6L","3LBASIS")</f>
        <v>GBPFUT3MZ5_Quote</v>
      </c>
      <c r="F9" s="9">
        <f>_xll.qlRateHelperRate($D9)</f>
        <v>1.2852000000000086E-2</v>
      </c>
      <c r="G9" s="9">
        <f>IF(ISERROR(_xll.qlSwapRateHelperSpread($D9)),IF(ISERROR(_xll.qlFuturesRateHelperConvexityAdjustment($D9)),"--",_xll.qlFuturesRateHelperConvexityAdjustment($D9)),_xll.qlSwapRateHelperSpread($D9))</f>
        <v>0</v>
      </c>
      <c r="H9" s="10">
        <f>_xll.qlRateHelperEarliestDate($D9)</f>
        <v>42354</v>
      </c>
      <c r="I9" s="11">
        <f>_xll.qlRateHelperLatestDate($D9)</f>
        <v>42445</v>
      </c>
      <c r="J9" s="5">
        <v>0.98722184682360115</v>
      </c>
      <c r="K9" s="5"/>
      <c r="L9" s="258"/>
    </row>
    <row r="10" spans="1:13" x14ac:dyDescent="0.2">
      <c r="D10" s="8" t="str">
        <v>obj_0058e</v>
      </c>
      <c r="E10" s="8" t="str">
        <f>SUBSTITUTE(_xll.qlRateHelperQuoteName(D10),"6L","3LBASIS")</f>
        <v>GBPFUT3MH6_Quote</v>
      </c>
      <c r="F10" s="9">
        <f>_xll.qlRateHelperRate($D10)</f>
        <v>1.4515999999999973E-2</v>
      </c>
      <c r="G10" s="9">
        <f>IF(ISERROR(_xll.qlSwapRateHelperSpread($D10)),IF(ISERROR(_xll.qlFuturesRateHelperConvexityAdjustment($D10)),"--",_xll.qlFuturesRateHelperConvexityAdjustment($D10)),_xll.qlSwapRateHelperSpread($D10))</f>
        <v>0</v>
      </c>
      <c r="H10" s="10">
        <f>_xll.qlRateHelperEarliestDate($D10)</f>
        <v>42445</v>
      </c>
      <c r="I10" s="11">
        <f>_xll.qlRateHelperLatestDate($D10)</f>
        <v>42537</v>
      </c>
      <c r="J10" s="5">
        <v>0.98362294026119979</v>
      </c>
      <c r="K10" s="5"/>
      <c r="L10" s="258"/>
      <c r="M10" s="12"/>
    </row>
    <row r="11" spans="1:13" x14ac:dyDescent="0.2">
      <c r="D11" s="8" t="str">
        <v>obj_0057a</v>
      </c>
      <c r="E11" s="8" t="str">
        <f>SUBSTITUTE(_xll.qlRateHelperQuoteName(D11),"6L","3LBASIS")</f>
        <v>GBPFUT3MM6_Quote</v>
      </c>
      <c r="F11" s="9">
        <v>0.02</v>
      </c>
      <c r="G11" s="9">
        <f>IF(ISERROR(_xll.qlSwapRateHelperSpread($D11)),IF(ISERROR(_xll.qlFuturesRateHelperConvexityAdjustment($D11)),"--",_xll.qlFuturesRateHelperConvexityAdjustment($D11)),_xll.qlSwapRateHelperSpread($D11))</f>
        <v>0</v>
      </c>
      <c r="H11" s="10">
        <f>_xll.qlRateHelperEarliestDate($D11)</f>
        <v>42536</v>
      </c>
      <c r="I11" s="11">
        <f>_xll.qlRateHelperLatestDate($D11)</f>
        <v>42628</v>
      </c>
      <c r="J11" s="5">
        <v>0.97969485176164106</v>
      </c>
      <c r="K11" s="5"/>
      <c r="L11" s="258"/>
      <c r="M11" s="12"/>
    </row>
    <row r="12" spans="1:13" x14ac:dyDescent="0.2">
      <c r="A12" s="17"/>
      <c r="D12" s="8" t="str">
        <v>obj_00580</v>
      </c>
      <c r="E12" s="8" t="str">
        <f>SUBSTITUTE(_xll.qlRateHelperQuoteName(D12),"6L","3LBASIS")</f>
        <v>GBPFUT3MU6_Quote</v>
      </c>
      <c r="F12" s="9">
        <f>_xll.qlRateHelperRate($D12)</f>
        <v>1.7625000000000002E-2</v>
      </c>
      <c r="G12" s="9">
        <f>IF(ISERROR(_xll.qlSwapRateHelperSpread($D12)),IF(ISERROR(_xll.qlFuturesRateHelperConvexityAdjustment($D12)),"--",_xll.qlFuturesRateHelperConvexityAdjustment($D12)),_xll.qlSwapRateHelperSpread($D12))</f>
        <v>0</v>
      </c>
      <c r="H12" s="10">
        <f>_xll.qlRateHelperEarliestDate($D12)</f>
        <v>42634</v>
      </c>
      <c r="I12" s="11">
        <f>_xll.qlRateHelperLatestDate($D12)</f>
        <v>42725</v>
      </c>
      <c r="J12" s="5">
        <v>0.97513856735170612</v>
      </c>
      <c r="K12" s="5"/>
      <c r="L12" s="258"/>
      <c r="M12" s="12"/>
    </row>
    <row r="13" spans="1:13" x14ac:dyDescent="0.2">
      <c r="A13" s="17"/>
      <c r="D13" s="8" t="str">
        <v>obj_00591</v>
      </c>
      <c r="E13" s="8" t="str">
        <f>SUBSTITUTE(_xll.qlRateHelperQuoteName(D13),"6L","3LBASIS")</f>
        <v>GBPSB3LBASIS3Y_Quote</v>
      </c>
      <c r="F13" s="9">
        <f>_xll.qlRateHelperRate($D13)</f>
        <v>1.4650000000000002E-2</v>
      </c>
      <c r="G13" s="9">
        <f>IF(ISERROR(_xll.qlSwapRateHelperSpread($D13)),IF(ISERROR(_xll.qlFuturesRateHelperConvexityAdjustment($D13)),"--",_xll.qlFuturesRateHelperConvexityAdjustment($D13)),_xll.qlSwapRateHelperSpread($D13))</f>
        <v>1.0124999999999999E-3</v>
      </c>
      <c r="H13" s="10">
        <f>_xll.qlRateHelperEarliestDate($D13)</f>
        <v>41919</v>
      </c>
      <c r="I13" s="11">
        <f>_xll.qlRateHelperLatestDate($D13)</f>
        <v>43017</v>
      </c>
      <c r="J13" s="5">
        <v>0.95978939574012023</v>
      </c>
      <c r="K13" s="5"/>
      <c r="L13" s="258"/>
      <c r="M13" s="12"/>
    </row>
    <row r="14" spans="1:13" x14ac:dyDescent="0.2">
      <c r="D14" s="8" t="str">
        <v>obj_00592</v>
      </c>
      <c r="E14" s="8" t="str">
        <f>SUBSTITUTE(_xll.qlRateHelperQuoteName(D14),"6L","3LBASIS")</f>
        <v>GBPSB3LBASIS4Y_Quote</v>
      </c>
      <c r="F14" s="9">
        <f>_xll.qlRateHelperRate($D14)</f>
        <v>1.686E-2</v>
      </c>
      <c r="G14" s="9">
        <f>IF(ISERROR(_xll.qlSwapRateHelperSpread($D14)),IF(ISERROR(_xll.qlFuturesRateHelperConvexityAdjustment($D14)),"--",_xll.qlFuturesRateHelperConvexityAdjustment($D14)),_xll.qlSwapRateHelperSpread($D14))</f>
        <v>1.1000000000000001E-3</v>
      </c>
      <c r="H14" s="10">
        <f>_xll.qlRateHelperEarliestDate($D14)</f>
        <v>41919</v>
      </c>
      <c r="I14" s="11">
        <f>_xll.qlRateHelperLatestDate($D14)</f>
        <v>43381</v>
      </c>
      <c r="J14" s="5">
        <v>0.93871548019792683</v>
      </c>
      <c r="K14" s="5"/>
      <c r="L14" s="258"/>
      <c r="M14" s="12"/>
    </row>
    <row r="15" spans="1:13" x14ac:dyDescent="0.2">
      <c r="D15" s="8" t="str">
        <v>obj_00593</v>
      </c>
      <c r="E15" s="8" t="str">
        <f>SUBSTITUTE(_xll.qlRateHelperQuoteName(D15),"6L","3LBASIS")</f>
        <v>GBPSB3LBASIS5Y_Quote</v>
      </c>
      <c r="F15" s="9">
        <f>_xll.qlRateHelperRate($D15)</f>
        <v>1.8540000000000001E-2</v>
      </c>
      <c r="G15" s="9">
        <f>IF(ISERROR(_xll.qlSwapRateHelperSpread($D15)),IF(ISERROR(_xll.qlFuturesRateHelperConvexityAdjustment($D15)),"--",_xll.qlFuturesRateHelperConvexityAdjustment($D15)),_xll.qlSwapRateHelperSpread($D15))</f>
        <v>1.1875E-3</v>
      </c>
      <c r="H15" s="10">
        <f>_xll.qlRateHelperEarliestDate($D15)</f>
        <v>41919</v>
      </c>
      <c r="I15" s="11">
        <f>_xll.qlRateHelperLatestDate($D15)</f>
        <v>43745</v>
      </c>
      <c r="J15" s="5">
        <v>0.91659447695909935</v>
      </c>
      <c r="K15" s="5"/>
      <c r="L15" s="258"/>
      <c r="M15" s="12"/>
    </row>
    <row r="16" spans="1:13" x14ac:dyDescent="0.2">
      <c r="D16" s="8" t="str">
        <v>obj_00594</v>
      </c>
      <c r="E16" s="8" t="str">
        <f>SUBSTITUTE(_xll.qlRateHelperQuoteName(D16),"6L","3LBASIS")</f>
        <v>GBPSB3LBASIS6Y_Quote</v>
      </c>
      <c r="F16" s="9">
        <f>_xll.qlRateHelperRate($D16)</f>
        <v>1.9889999999999998E-2</v>
      </c>
      <c r="G16" s="9">
        <f>IF(ISERROR(_xll.qlSwapRateHelperSpread($D16)),IF(ISERROR(_xll.qlFuturesRateHelperConvexityAdjustment($D16)),"--",_xll.qlFuturesRateHelperConvexityAdjustment($D16)),_xll.qlSwapRateHelperSpread($D16))</f>
        <v>1.2750000000000001E-3</v>
      </c>
      <c r="H16" s="10">
        <f>_xll.qlRateHelperEarliestDate($D16)</f>
        <v>41919</v>
      </c>
      <c r="I16" s="11">
        <f>_xll.qlRateHelperLatestDate($D16)</f>
        <v>44111</v>
      </c>
      <c r="J16" s="5">
        <v>0.89377175460387448</v>
      </c>
      <c r="K16" s="5"/>
      <c r="L16" s="258"/>
      <c r="M16" s="12"/>
    </row>
    <row r="17" spans="4:13" x14ac:dyDescent="0.2">
      <c r="D17" s="8" t="str">
        <v>obj_00595</v>
      </c>
      <c r="E17" s="8" t="str">
        <f>SUBSTITUTE(_xll.qlRateHelperQuoteName(D17),"6L","3LBASIS")</f>
        <v>GBPSB3LBASIS7Y_Quote</v>
      </c>
      <c r="F17" s="9">
        <f>_xll.qlRateHelperRate($D17)</f>
        <v>2.1010000000000001E-2</v>
      </c>
      <c r="G17" s="9">
        <f>IF(ISERROR(_xll.qlSwapRateHelperSpread($D17)),IF(ISERROR(_xll.qlFuturesRateHelperConvexityAdjustment($D17)),"--",_xll.qlFuturesRateHelperConvexityAdjustment($D17)),_xll.qlSwapRateHelperSpread($D17))</f>
        <v>1.3125000000000001E-3</v>
      </c>
      <c r="H17" s="10">
        <f>_xll.qlRateHelperEarliestDate($D17)</f>
        <v>41919</v>
      </c>
      <c r="I17" s="11">
        <f>_xll.qlRateHelperLatestDate($D17)</f>
        <v>44476</v>
      </c>
      <c r="J17" s="5">
        <v>0.87037753566912657</v>
      </c>
      <c r="K17" s="5"/>
      <c r="L17" s="258"/>
      <c r="M17" s="12"/>
    </row>
    <row r="18" spans="4:13" x14ac:dyDescent="0.2">
      <c r="D18" s="8" t="str">
        <v>obj_00596</v>
      </c>
      <c r="E18" s="8" t="str">
        <f>SUBSTITUTE(_xll.qlRateHelperQuoteName(D18),"6L","3LBASIS")</f>
        <v>GBPSB3LBASIS8Y_Quote</v>
      </c>
      <c r="F18" s="9">
        <f>_xll.qlRateHelperRate($D18)</f>
        <v>2.198E-2</v>
      </c>
      <c r="G18" s="9">
        <f>IF(ISERROR(_xll.qlSwapRateHelperSpread($D18)),IF(ISERROR(_xll.qlFuturesRateHelperConvexityAdjustment($D18)),"--",_xll.qlFuturesRateHelperConvexityAdjustment($D18)),_xll.qlSwapRateHelperSpread($D18))</f>
        <v>1.3749999999999999E-3</v>
      </c>
      <c r="H18" s="10">
        <f>_xll.qlRateHelperEarliestDate($D18)</f>
        <v>41919</v>
      </c>
      <c r="I18" s="11">
        <f>_xll.qlRateHelperLatestDate($D18)</f>
        <v>44841</v>
      </c>
      <c r="J18" s="5">
        <v>0.84688357225671562</v>
      </c>
      <c r="K18" s="5"/>
      <c r="L18" s="258"/>
      <c r="M18" s="12"/>
    </row>
    <row r="19" spans="4:13" x14ac:dyDescent="0.2">
      <c r="D19" s="8" t="str">
        <v>obj_00597</v>
      </c>
      <c r="E19" s="8" t="str">
        <f>SUBSTITUTE(_xll.qlRateHelperQuoteName(D19),"6L","3LBASIS")</f>
        <v>GBPSB3LBASIS9Y_Quote</v>
      </c>
      <c r="F19" s="9">
        <f>_xll.qlRateHelperRate($D19)</f>
        <v>2.2809999999999997E-2</v>
      </c>
      <c r="G19" s="9">
        <f>IF(ISERROR(_xll.qlSwapRateHelperSpread($D19)),IF(ISERROR(_xll.qlFuturesRateHelperConvexityAdjustment($D19)),"--",_xll.qlFuturesRateHelperConvexityAdjustment($D19)),_xll.qlSwapRateHelperSpread($D19))</f>
        <v>1.4250000000000001E-3</v>
      </c>
      <c r="H19" s="10">
        <f>_xll.qlRateHelperEarliestDate($D19)</f>
        <v>41919</v>
      </c>
      <c r="I19" s="11">
        <f>_xll.qlRateHelperLatestDate($D19)</f>
        <v>45208</v>
      </c>
      <c r="J19" s="5">
        <v>0.82331129043526596</v>
      </c>
      <c r="K19" s="5"/>
      <c r="L19" s="258"/>
      <c r="M19" s="12"/>
    </row>
    <row r="20" spans="4:13" x14ac:dyDescent="0.2">
      <c r="D20" s="8" t="str">
        <v>obj_00598</v>
      </c>
      <c r="E20" s="8" t="str">
        <f>SUBSTITUTE(_xll.qlRateHelperQuoteName(D20),"6L","3LBASIS")</f>
        <v>GBPSB3LBASIS10Y_Quote</v>
      </c>
      <c r="F20" s="9">
        <f>_xll.qlRateHelperRate($D20)</f>
        <v>2.3529999999999999E-2</v>
      </c>
      <c r="G20" s="9">
        <f>IF(ISERROR(_xll.qlSwapRateHelperSpread($D20)),IF(ISERROR(_xll.qlFuturesRateHelperConvexityAdjustment($D20)),"--",_xll.qlFuturesRateHelperConvexityAdjustment($D20)),_xll.qlSwapRateHelperSpread($D20))</f>
        <v>1.4499999999999999E-3</v>
      </c>
      <c r="H20" s="10">
        <f>_xll.qlRateHelperEarliestDate($D20)</f>
        <v>41919</v>
      </c>
      <c r="I20" s="11">
        <f>_xll.qlRateHelperLatestDate($D20)</f>
        <v>45572</v>
      </c>
      <c r="J20" s="5">
        <v>0.79988434841549261</v>
      </c>
      <c r="K20" s="5"/>
      <c r="L20" s="258"/>
      <c r="M20" s="12"/>
    </row>
    <row r="21" spans="4:13" x14ac:dyDescent="0.2">
      <c r="D21" s="8" t="str">
        <v>obj_0059a</v>
      </c>
      <c r="E21" s="8" t="str">
        <f>SUBSTITUTE(_xll.qlRateHelperQuoteName(D21),"6L","3LBASIS")</f>
        <v>GBPSB3LBASIS12Y_Quote</v>
      </c>
      <c r="F21" s="9">
        <f>_xll.qlRateHelperRate($D21)</f>
        <v>2.4729999999999999E-2</v>
      </c>
      <c r="G21" s="9">
        <f>IF(ISERROR(_xll.qlSwapRateHelperSpread($D21)),IF(ISERROR(_xll.qlFuturesRateHelperConvexityAdjustment($D21)),"--",_xll.qlFuturesRateHelperConvexityAdjustment($D21)),_xll.qlSwapRateHelperSpread($D21))</f>
        <v>1.4375E-3</v>
      </c>
      <c r="H21" s="10">
        <f>_xll.qlRateHelperEarliestDate($D21)</f>
        <v>41919</v>
      </c>
      <c r="I21" s="11">
        <f>_xll.qlRateHelperLatestDate($D21)</f>
        <v>46302</v>
      </c>
      <c r="J21" s="5">
        <v>0.75312601888629693</v>
      </c>
      <c r="K21" s="5"/>
      <c r="L21" s="258"/>
      <c r="M21" s="12"/>
    </row>
    <row r="22" spans="4:13" x14ac:dyDescent="0.2">
      <c r="D22" s="8" t="str">
        <v>obj_0059d</v>
      </c>
      <c r="E22" s="8" t="str">
        <f>SUBSTITUTE(_xll.qlRateHelperQuoteName(D22),"6L","3LBASIS")</f>
        <v>GBPSB3LBASIS15Y_Quote</v>
      </c>
      <c r="F22" s="9">
        <f>_xll.qlRateHelperRate($D22)</f>
        <v>2.6009999999999998E-2</v>
      </c>
      <c r="G22" s="9">
        <f>IF(ISERROR(_xll.qlSwapRateHelperSpread($D22)),IF(ISERROR(_xll.qlFuturesRateHelperConvexityAdjustment($D22)),"--",_xll.qlFuturesRateHelperConvexityAdjustment($D22)),_xll.qlSwapRateHelperSpread($D22))</f>
        <v>1.3625E-3</v>
      </c>
      <c r="H22" s="10">
        <f>_xll.qlRateHelperEarliestDate($D22)</f>
        <v>41919</v>
      </c>
      <c r="I22" s="11">
        <f>_xll.qlRateHelperLatestDate($D22)</f>
        <v>47399</v>
      </c>
      <c r="J22" s="5">
        <v>0.68609294206301541</v>
      </c>
      <c r="K22" s="5"/>
      <c r="L22" s="258"/>
      <c r="M22" s="12"/>
    </row>
    <row r="23" spans="4:13" x14ac:dyDescent="0.2">
      <c r="D23" s="8" t="str">
        <v>obj_005a2</v>
      </c>
      <c r="E23" s="8" t="str">
        <f>SUBSTITUTE(_xll.qlRateHelperQuoteName(D23),"6L","3LBASIS")</f>
        <v>GBPSB3LBASIS20Y_Quote</v>
      </c>
      <c r="F23" s="9">
        <f>_xll.qlRateHelperRate($D23)</f>
        <v>2.7160000000000004E-2</v>
      </c>
      <c r="G23" s="9">
        <f>IF(ISERROR(_xll.qlSwapRateHelperSpread($D23)),IF(ISERROR(_xll.qlFuturesRateHelperConvexityAdjustment($D23)),"--",_xll.qlFuturesRateHelperConvexityAdjustment($D23)),_xll.qlSwapRateHelperSpread($D23))</f>
        <v>1.1999999999999999E-3</v>
      </c>
      <c r="H23" s="10">
        <f>_xll.qlRateHelperEarliestDate($D23)</f>
        <v>41919</v>
      </c>
      <c r="I23" s="11">
        <f>_xll.qlRateHelperLatestDate($D23)</f>
        <v>49226</v>
      </c>
      <c r="J23" s="5">
        <v>0.58770996736808923</v>
      </c>
      <c r="K23" s="5"/>
      <c r="L23" s="258"/>
      <c r="M23" s="12"/>
    </row>
    <row r="24" spans="4:13" x14ac:dyDescent="0.2">
      <c r="D24" s="8" t="str">
        <v>obj_005a7</v>
      </c>
      <c r="E24" s="8" t="str">
        <f>SUBSTITUTE(_xll.qlRateHelperQuoteName(D24),"6L","3LBASIS")</f>
        <v>GBPSB3LBASIS25Y_Quote</v>
      </c>
      <c r="F24" s="9">
        <f>_xll.qlRateHelperRate($D24)</f>
        <v>2.7539999999999999E-2</v>
      </c>
      <c r="G24" s="9">
        <f>IF(ISERROR(_xll.qlSwapRateHelperSpread($D24)),IF(ISERROR(_xll.qlFuturesRateHelperConvexityAdjustment($D24)),"--",_xll.qlFuturesRateHelperConvexityAdjustment($D24)),_xll.qlSwapRateHelperSpread($D24))</f>
        <v>1.1000000000000001E-3</v>
      </c>
      <c r="H24" s="10">
        <f>_xll.qlRateHelperEarliestDate($D24)</f>
        <v>41919</v>
      </c>
      <c r="I24" s="11">
        <f>_xll.qlRateHelperLatestDate($D24)</f>
        <v>51050</v>
      </c>
      <c r="J24" s="5">
        <v>0.50847792308243611</v>
      </c>
      <c r="K24" s="5"/>
      <c r="L24" s="258"/>
      <c r="M24" s="12"/>
    </row>
    <row r="25" spans="4:13" x14ac:dyDescent="0.2">
      <c r="D25" s="8" t="str">
        <v>obj_005ac</v>
      </c>
      <c r="E25" s="8" t="str">
        <f>SUBSTITUTE(_xll.qlRateHelperQuoteName(D25),"6L","3LBASIS")</f>
        <v>GBPSB3LBASIS30Y_Quote</v>
      </c>
      <c r="F25" s="9">
        <f>_xll.qlRateHelperRate($D25)</f>
        <v>2.7690000000000003E-2</v>
      </c>
      <c r="G25" s="9">
        <f>IF(ISERROR(_xll.qlSwapRateHelperSpread($D25)),IF(ISERROR(_xll.qlFuturesRateHelperConvexityAdjustment($D25)),"--",_xll.qlFuturesRateHelperConvexityAdjustment($D25)),_xll.qlSwapRateHelperSpread($D25))</f>
        <v>1.0250000000000001E-3</v>
      </c>
      <c r="H25" s="10">
        <f>_xll.qlRateHelperEarliestDate($D25)</f>
        <v>41919</v>
      </c>
      <c r="I25" s="11">
        <f>_xll.qlRateHelperLatestDate($D25)</f>
        <v>52877</v>
      </c>
      <c r="J25" s="5">
        <v>0.44154129596958047</v>
      </c>
      <c r="K25" s="5"/>
      <c r="L25" s="258"/>
      <c r="M25" s="12"/>
    </row>
    <row r="26" spans="4:13" x14ac:dyDescent="0.2">
      <c r="D26" s="8" t="str">
        <v>obj_005ae</v>
      </c>
      <c r="E26" s="8" t="str">
        <f>SUBSTITUTE(_xll.qlRateHelperQuoteName(D26),"6L","3LBASIS")</f>
        <v>GBPSB3LBASIS40Y_Quote</v>
      </c>
      <c r="F26" s="9">
        <f>_xll.qlRateHelperRate($D26)</f>
        <v>2.758E-2</v>
      </c>
      <c r="G26" s="9">
        <f>IF(ISERROR(_xll.qlSwapRateHelperSpread($D26)),IF(ISERROR(_xll.qlFuturesRateHelperConvexityAdjustment($D26)),"--",_xll.qlFuturesRateHelperConvexityAdjustment($D26)),_xll.qlSwapRateHelperSpread($D26))</f>
        <v>9.3749999999999997E-4</v>
      </c>
      <c r="H26" s="10">
        <f>_xll.qlRateHelperEarliestDate($D26)</f>
        <v>41919</v>
      </c>
      <c r="I26" s="11">
        <f>_xll.qlRateHelperLatestDate($D26)</f>
        <v>56529</v>
      </c>
      <c r="J26" s="5">
        <v>0.33931031927682442</v>
      </c>
      <c r="K26" s="5"/>
      <c r="L26" s="258"/>
      <c r="M26" s="12"/>
    </row>
    <row r="27" spans="4:13" x14ac:dyDescent="0.2">
      <c r="D27" s="8" t="str">
        <v>obj_005af</v>
      </c>
      <c r="E27" s="8" t="str">
        <f>SUBSTITUTE(_xll.qlRateHelperQuoteName(D27),"6L","3LBASIS")</f>
        <v>GBPSB3LBASIS50Y_Quote</v>
      </c>
      <c r="F27" s="9">
        <f>_xll.qlRateHelperRate($D27)</f>
        <v>2.759E-2</v>
      </c>
      <c r="G27" s="9">
        <f>IF(ISERROR(_xll.qlSwapRateHelperSpread($D27)),IF(ISERROR(_xll.qlFuturesRateHelperConvexityAdjustment($D27)),"--",_xll.qlFuturesRateHelperConvexityAdjustment($D27)),_xll.qlSwapRateHelperSpread($D27))</f>
        <v>8.7500000000000002E-4</v>
      </c>
      <c r="H27" s="10">
        <f>_xll.qlRateHelperEarliestDate($D27)</f>
        <v>41919</v>
      </c>
      <c r="I27" s="11">
        <f>_xll.qlRateHelperLatestDate($D27)</f>
        <v>60182</v>
      </c>
      <c r="J27" s="5">
        <v>0.25853039026488384</v>
      </c>
      <c r="K27" s="5"/>
      <c r="L27" s="258"/>
      <c r="M27" s="12"/>
    </row>
    <row r="28" spans="4:13" x14ac:dyDescent="0.2">
      <c r="D28" s="8" t="str">
        <v>obj_005b0</v>
      </c>
      <c r="E28" s="8" t="str">
        <f>SUBSTITUTE(_xll.qlRateHelperQuoteName(D28),"6L","3LBASIS")</f>
        <v>GBPSB3LBASIS60Y_Quote</v>
      </c>
      <c r="F28" s="9">
        <f>_xll.qlRateHelperRate($D28)</f>
        <v>2.7720000000000002E-2</v>
      </c>
      <c r="G28" s="9">
        <f>IF(ISERROR(_xll.qlSwapRateHelperSpread($D28)),IF(ISERROR(_xll.qlFuturesRateHelperConvexityAdjustment($D28)),"--",_xll.qlFuturesRateHelperConvexityAdjustment($D28)),_xll.qlSwapRateHelperSpread($D28))</f>
        <v>8.25E-4</v>
      </c>
      <c r="H28" s="10">
        <f>_xll.qlRateHelperEarliestDate($D28)</f>
        <v>41919</v>
      </c>
      <c r="I28" s="11">
        <f>_xll.qlRateHelperLatestDate($D28)</f>
        <v>63835</v>
      </c>
      <c r="J28" s="5">
        <v>0.19361961415974122</v>
      </c>
      <c r="K28" s="5"/>
      <c r="L28" s="258"/>
      <c r="M28" s="12"/>
    </row>
    <row r="29" spans="4:13" x14ac:dyDescent="0.2">
      <c r="D29" s="8" t="e">
        <v>#N/A</v>
      </c>
      <c r="E29" s="8" t="e">
        <f>SUBSTITUTE(_xll.qlRateHelperQuoteName(D29),"6L","3LBASIS")</f>
        <v>#VALUE!</v>
      </c>
      <c r="F29" s="9" t="e">
        <f>_xll.qlRateHelperRate($D29)</f>
        <v>#VALUE!</v>
      </c>
      <c r="G29" s="9" t="str">
        <f>IF(ISERROR(_xll.qlSwapRateHelperSpread($D29)),IF(ISERROR(_xll.qlFuturesRateHelperConvexityAdjustment($D29)),"--",_xll.qlFuturesRateHelperConvexityAdjustment($D29)),_xll.qlSwapRateHelperSpread($D29))</f>
        <v>--</v>
      </c>
      <c r="H29" s="10" t="e">
        <f>_xll.qlRateHelperEarliestDate($D29)</f>
        <v>#VALUE!</v>
      </c>
      <c r="I29" s="11" t="e">
        <f>_xll.qlRateHelperLatestDate($D29)</f>
        <v>#VALUE!</v>
      </c>
      <c r="J29" s="5" t="e">
        <v>#N/A</v>
      </c>
      <c r="K29" s="5"/>
      <c r="L29" s="258"/>
      <c r="M29" s="12"/>
    </row>
    <row r="30" spans="4:13" x14ac:dyDescent="0.2">
      <c r="D30" s="8" t="e">
        <v>#N/A</v>
      </c>
      <c r="E30" s="8" t="e">
        <f>SUBSTITUTE(_xll.qlRateHelperQuoteName(D30),"6L","3LBASIS")</f>
        <v>#VALUE!</v>
      </c>
      <c r="F30" s="9" t="e">
        <f>_xll.qlRateHelperRate($D30)</f>
        <v>#VALUE!</v>
      </c>
      <c r="G30" s="9" t="str">
        <f>IF(ISERROR(_xll.qlSwapRateHelperSpread($D30)),IF(ISERROR(_xll.qlFuturesRateHelperConvexityAdjustment($D30)),"--",_xll.qlFuturesRateHelperConvexityAdjustment($D30)),_xll.qlSwapRateHelperSpread($D30))</f>
        <v>--</v>
      </c>
      <c r="H30" s="10" t="e">
        <f>_xll.qlRateHelperEarliestDate($D30)</f>
        <v>#VALUE!</v>
      </c>
      <c r="I30" s="11" t="e">
        <f>_xll.qlRateHelperLatestDate($D30)</f>
        <v>#VALUE!</v>
      </c>
      <c r="J30" s="5" t="e">
        <v>#N/A</v>
      </c>
      <c r="K30" s="5"/>
      <c r="L30" s="258"/>
    </row>
    <row r="31" spans="4:13" x14ac:dyDescent="0.2">
      <c r="D31" s="8" t="e">
        <v>#N/A</v>
      </c>
      <c r="E31" s="8" t="e">
        <f>SUBSTITUTE(_xll.qlRateHelperQuoteName(D31),"6L","3LBASIS")</f>
        <v>#VALUE!</v>
      </c>
      <c r="F31" s="9" t="e">
        <f>_xll.qlRateHelperRate($D31)</f>
        <v>#VALUE!</v>
      </c>
      <c r="G31" s="9" t="str">
        <f>IF(ISERROR(_xll.qlSwapRateHelperSpread($D31)),IF(ISERROR(_xll.qlFuturesRateHelperConvexityAdjustment($D31)),"--",_xll.qlFuturesRateHelperConvexityAdjustment($D31)),_xll.qlSwapRateHelperSpread($D31))</f>
        <v>--</v>
      </c>
      <c r="H31" s="10" t="e">
        <f>_xll.qlRateHelperEarliestDate($D31)</f>
        <v>#VALUE!</v>
      </c>
      <c r="I31" s="11" t="e">
        <f>_xll.qlRateHelperLatestDate($D31)</f>
        <v>#VALUE!</v>
      </c>
      <c r="J31" s="5" t="e">
        <v>#N/A</v>
      </c>
      <c r="K31" s="5"/>
      <c r="L31" s="258"/>
    </row>
    <row r="32" spans="4:13" x14ac:dyDescent="0.2">
      <c r="D32" s="8" t="e">
        <v>#N/A</v>
      </c>
      <c r="E32" s="8" t="e">
        <f>SUBSTITUTE(_xll.qlRateHelperQuoteName(D32),"6L","3LBASIS")</f>
        <v>#VALUE!</v>
      </c>
      <c r="F32" s="9" t="e">
        <f>_xll.qlRateHelperRate($D32)</f>
        <v>#VALUE!</v>
      </c>
      <c r="G32" s="9" t="str">
        <f>IF(ISERROR(_xll.qlSwapRateHelperSpread($D32)),IF(ISERROR(_xll.qlFuturesRateHelperConvexityAdjustment($D32)),"--",_xll.qlFuturesRateHelperConvexityAdjustment($D32)),_xll.qlSwapRateHelperSpread($D32))</f>
        <v>--</v>
      </c>
      <c r="H32" s="10" t="e">
        <f>_xll.qlRateHelperEarliestDate($D32)</f>
        <v>#VALUE!</v>
      </c>
      <c r="I32" s="11" t="e">
        <f>_xll.qlRateHelperLatestDate($D32)</f>
        <v>#VALUE!</v>
      </c>
      <c r="J32" s="5" t="e">
        <v>#N/A</v>
      </c>
      <c r="K32" s="5"/>
      <c r="L32" s="258"/>
    </row>
    <row r="33" spans="4:12" x14ac:dyDescent="0.2">
      <c r="D33" s="8" t="e">
        <v>#N/A</v>
      </c>
      <c r="E33" s="8" t="e">
        <f>SUBSTITUTE(_xll.qlRateHelperQuoteName(D33),"6L","3LBASIS")</f>
        <v>#VALUE!</v>
      </c>
      <c r="F33" s="9" t="e">
        <f>_xll.qlRateHelperRate($D33)</f>
        <v>#VALUE!</v>
      </c>
      <c r="G33" s="9" t="str">
        <f>IF(ISERROR(_xll.qlSwapRateHelperSpread($D33)),IF(ISERROR(_xll.qlFuturesRateHelperConvexityAdjustment($D33)),"--",_xll.qlFuturesRateHelperConvexityAdjustment($D33)),_xll.qlSwapRateHelperSpread($D33))</f>
        <v>--</v>
      </c>
      <c r="H33" s="10" t="e">
        <f>_xll.qlRateHelperEarliestDate($D33)</f>
        <v>#VALUE!</v>
      </c>
      <c r="I33" s="11" t="e">
        <f>_xll.qlRateHelperLatestDate($D33)</f>
        <v>#VALUE!</v>
      </c>
      <c r="J33" s="5" t="e">
        <v>#N/A</v>
      </c>
      <c r="K33" s="5"/>
      <c r="L33" s="258"/>
    </row>
    <row r="34" spans="4:12" x14ac:dyDescent="0.2">
      <c r="D34" s="8" t="e">
        <v>#N/A</v>
      </c>
      <c r="E34" s="8" t="e">
        <f>SUBSTITUTE(_xll.qlRateHelperQuoteName(D34),"6L","3LBASIS")</f>
        <v>#VALUE!</v>
      </c>
      <c r="F34" s="9" t="e">
        <f>_xll.qlRateHelperRate($D34)</f>
        <v>#VALUE!</v>
      </c>
      <c r="G34" s="9" t="str">
        <f>IF(ISERROR(_xll.qlSwapRateHelperSpread($D34)),IF(ISERROR(_xll.qlFuturesRateHelperConvexityAdjustment($D34)),"--",_xll.qlFuturesRateHelperConvexityAdjustment($D34)),_xll.qlSwapRateHelperSpread($D34))</f>
        <v>--</v>
      </c>
      <c r="H34" s="10" t="e">
        <f>_xll.qlRateHelperEarliestDate($D34)</f>
        <v>#VALUE!</v>
      </c>
      <c r="I34" s="11" t="e">
        <f>_xll.qlRateHelperLatestDate($D34)</f>
        <v>#VALUE!</v>
      </c>
      <c r="J34" s="5" t="e">
        <v>#N/A</v>
      </c>
      <c r="K34" s="5"/>
      <c r="L34" s="258"/>
    </row>
    <row r="35" spans="4:12" x14ac:dyDescent="0.2">
      <c r="D35" s="8" t="e">
        <v>#N/A</v>
      </c>
      <c r="E35" s="8" t="e">
        <f>SUBSTITUTE(_xll.qlRateHelperQuoteName(D35),"6L","3LBASIS")</f>
        <v>#VALUE!</v>
      </c>
      <c r="F35" s="9" t="e">
        <f>_xll.qlRateHelperRate($D35)</f>
        <v>#VALUE!</v>
      </c>
      <c r="G35" s="9" t="str">
        <f>IF(ISERROR(_xll.qlSwapRateHelperSpread($D35)),IF(ISERROR(_xll.qlFuturesRateHelperConvexityAdjustment($D35)),"--",_xll.qlFuturesRateHelperConvexityAdjustment($D35)),_xll.qlSwapRateHelperSpread($D35))</f>
        <v>--</v>
      </c>
      <c r="H35" s="10" t="e">
        <f>_xll.qlRateHelperEarliestDate($D35)</f>
        <v>#VALUE!</v>
      </c>
      <c r="I35" s="11" t="e">
        <f>_xll.qlRateHelperLatestDate($D35)</f>
        <v>#VALUE!</v>
      </c>
      <c r="J35" s="5" t="e">
        <v>#N/A</v>
      </c>
      <c r="K35" s="5"/>
      <c r="L35" s="258"/>
    </row>
    <row r="36" spans="4:12" x14ac:dyDescent="0.2">
      <c r="D36" s="8" t="e">
        <v>#N/A</v>
      </c>
      <c r="E36" s="8" t="e">
        <f>SUBSTITUTE(_xll.qlRateHelperQuoteName(D36),"6L","3LBASIS")</f>
        <v>#VALUE!</v>
      </c>
      <c r="F36" s="9" t="e">
        <f>_xll.qlRateHelperRate($D36)</f>
        <v>#VALUE!</v>
      </c>
      <c r="G36" s="9" t="str">
        <f>IF(ISERROR(_xll.qlSwapRateHelperSpread($D36)),IF(ISERROR(_xll.qlFuturesRateHelperConvexityAdjustment($D36)),"--",_xll.qlFuturesRateHelperConvexityAdjustment($D36)),_xll.qlSwapRateHelperSpread($D36))</f>
        <v>--</v>
      </c>
      <c r="H36" s="10" t="e">
        <f>_xll.qlRateHelperEarliestDate($D36)</f>
        <v>#VALUE!</v>
      </c>
      <c r="I36" s="11" t="e">
        <f>_xll.qlRateHelperLatestDate($D36)</f>
        <v>#VALUE!</v>
      </c>
      <c r="J36" s="5" t="e">
        <v>#N/A</v>
      </c>
      <c r="K36" s="5"/>
      <c r="L36" s="258"/>
    </row>
    <row r="37" spans="4:12" x14ac:dyDescent="0.2">
      <c r="D37" s="8" t="e">
        <v>#N/A</v>
      </c>
      <c r="E37" s="8" t="e">
        <f>SUBSTITUTE(_xll.qlRateHelperQuoteName(D37),"6L","3LBASIS")</f>
        <v>#VALUE!</v>
      </c>
      <c r="F37" s="9" t="e">
        <f>_xll.qlRateHelperRate($D37)</f>
        <v>#VALUE!</v>
      </c>
      <c r="G37" s="9" t="str">
        <f>IF(ISERROR(_xll.qlSwapRateHelperSpread($D37)),IF(ISERROR(_xll.qlFuturesRateHelperConvexityAdjustment($D37)),"--",_xll.qlFuturesRateHelperConvexityAdjustment($D37)),_xll.qlSwapRateHelperSpread($D37))</f>
        <v>--</v>
      </c>
      <c r="H37" s="10" t="e">
        <f>_xll.qlRateHelperEarliestDate($D37)</f>
        <v>#VALUE!</v>
      </c>
      <c r="I37" s="11" t="e">
        <f>_xll.qlRateHelperLatestDate($D37)</f>
        <v>#VALUE!</v>
      </c>
      <c r="J37" s="5" t="e">
        <v>#N/A</v>
      </c>
      <c r="K37" s="5"/>
      <c r="L37" s="258"/>
    </row>
    <row r="38" spans="4:12" x14ac:dyDescent="0.2">
      <c r="D38" s="8" t="e">
        <v>#N/A</v>
      </c>
      <c r="E38" s="8" t="e">
        <f>SUBSTITUTE(_xll.qlRateHelperQuoteName(D38),"6L","3LBASIS")</f>
        <v>#VALUE!</v>
      </c>
      <c r="F38" s="9" t="e">
        <f>_xll.qlRateHelperRate($D38)</f>
        <v>#VALUE!</v>
      </c>
      <c r="G38" s="9" t="str">
        <f>IF(ISERROR(_xll.qlSwapRateHelperSpread($D38)),IF(ISERROR(_xll.qlFuturesRateHelperConvexityAdjustment($D38)),"--",_xll.qlFuturesRateHelperConvexityAdjustment($D38)),_xll.qlSwapRateHelperSpread($D38))</f>
        <v>--</v>
      </c>
      <c r="H38" s="10" t="e">
        <f>_xll.qlRateHelperEarliestDate($D38)</f>
        <v>#VALUE!</v>
      </c>
      <c r="I38" s="11" t="e">
        <f>_xll.qlRateHelperLatestDate($D38)</f>
        <v>#VALUE!</v>
      </c>
      <c r="J38" s="5" t="e">
        <v>#N/A</v>
      </c>
      <c r="K38" s="5"/>
      <c r="L38" s="258"/>
    </row>
    <row r="39" spans="4:12" x14ac:dyDescent="0.2">
      <c r="D39" s="8" t="e">
        <v>#N/A</v>
      </c>
      <c r="E39" s="8" t="e">
        <f>SUBSTITUTE(_xll.qlRateHelperQuoteName(D39),"6L","3LBASIS")</f>
        <v>#VALUE!</v>
      </c>
      <c r="F39" s="9" t="e">
        <f>_xll.qlRateHelperRate($D39)</f>
        <v>#VALUE!</v>
      </c>
      <c r="G39" s="9" t="str">
        <f>IF(ISERROR(_xll.qlSwapRateHelperSpread($D39)),IF(ISERROR(_xll.qlFuturesRateHelperConvexityAdjustment($D39)),"--",_xll.qlFuturesRateHelperConvexityAdjustment($D39)),_xll.qlSwapRateHelperSpread($D39))</f>
        <v>--</v>
      </c>
      <c r="H39" s="10" t="e">
        <f>_xll.qlRateHelperEarliestDate($D39)</f>
        <v>#VALUE!</v>
      </c>
      <c r="I39" s="11" t="e">
        <f>_xll.qlRateHelperLatestDate($D39)</f>
        <v>#VALUE!</v>
      </c>
      <c r="J39" s="5" t="e">
        <v>#N/A</v>
      </c>
      <c r="K39" s="5"/>
      <c r="L39" s="258"/>
    </row>
    <row r="40" spans="4:12" x14ac:dyDescent="0.2">
      <c r="D40" s="8" t="e">
        <v>#N/A</v>
      </c>
      <c r="E40" s="8" t="e">
        <f>SUBSTITUTE(_xll.qlRateHelperQuoteName(D40),"6L","3LBASIS")</f>
        <v>#VALUE!</v>
      </c>
      <c r="F40" s="9" t="e">
        <f>_xll.qlRateHelperRate($D40)</f>
        <v>#VALUE!</v>
      </c>
      <c r="G40" s="9" t="str">
        <f>IF(ISERROR(_xll.qlSwapRateHelperSpread($D40)),IF(ISERROR(_xll.qlFuturesRateHelperConvexityAdjustment($D40)),"--",_xll.qlFuturesRateHelperConvexityAdjustment($D40)),_xll.qlSwapRateHelperSpread($D40))</f>
        <v>--</v>
      </c>
      <c r="H40" s="10" t="e">
        <f>_xll.qlRateHelperEarliestDate($D40)</f>
        <v>#VALUE!</v>
      </c>
      <c r="I40" s="11" t="e">
        <f>_xll.qlRateHelperLatestDate($D40)</f>
        <v>#VALUE!</v>
      </c>
      <c r="J40" s="5" t="e">
        <v>#N/A</v>
      </c>
      <c r="K40" s="5"/>
      <c r="L40" s="258"/>
    </row>
    <row r="41" spans="4:12" x14ac:dyDescent="0.2">
      <c r="D41" s="8" t="e">
        <v>#N/A</v>
      </c>
      <c r="E41" s="8" t="e">
        <f>SUBSTITUTE(_xll.qlRateHelperQuoteName(D41),"6L","3LBASIS")</f>
        <v>#VALUE!</v>
      </c>
      <c r="F41" s="9" t="e">
        <f>_xll.qlRateHelperRate($D41)</f>
        <v>#VALUE!</v>
      </c>
      <c r="G41" s="9" t="str">
        <f>IF(ISERROR(_xll.qlSwapRateHelperSpread($D41)),IF(ISERROR(_xll.qlFuturesRateHelperConvexityAdjustment($D41)),"--",_xll.qlFuturesRateHelperConvexityAdjustment($D41)),_xll.qlSwapRateHelperSpread($D41))</f>
        <v>--</v>
      </c>
      <c r="H41" s="10" t="e">
        <f>_xll.qlRateHelperEarliestDate($D41)</f>
        <v>#VALUE!</v>
      </c>
      <c r="I41" s="11" t="e">
        <f>_xll.qlRateHelperLatestDate($D41)</f>
        <v>#VALUE!</v>
      </c>
      <c r="J41" s="5" t="e">
        <v>#N/A</v>
      </c>
      <c r="K41" s="5"/>
      <c r="L41" s="258"/>
    </row>
    <row r="42" spans="4:12" x14ac:dyDescent="0.2">
      <c r="D42" s="8" t="e">
        <v>#N/A</v>
      </c>
      <c r="E42" s="8" t="e">
        <f>SUBSTITUTE(_xll.qlRateHelperQuoteName(D42),"6L","3LBASIS")</f>
        <v>#VALUE!</v>
      </c>
      <c r="F42" s="9" t="e">
        <f>_xll.qlRateHelperRate($D42)</f>
        <v>#VALUE!</v>
      </c>
      <c r="G42" s="9" t="str">
        <f>IF(ISERROR(_xll.qlSwapRateHelperSpread($D42)),IF(ISERROR(_xll.qlFuturesRateHelperConvexityAdjustment($D42)),"--",_xll.qlFuturesRateHelperConvexityAdjustment($D42)),_xll.qlSwapRateHelperSpread($D42))</f>
        <v>--</v>
      </c>
      <c r="H42" s="10" t="e">
        <f>_xll.qlRateHelperEarliestDate($D42)</f>
        <v>#VALUE!</v>
      </c>
      <c r="I42" s="11" t="e">
        <f>_xll.qlRateHelperLatestDate($D42)</f>
        <v>#VALUE!</v>
      </c>
      <c r="J42" s="5" t="e">
        <v>#N/A</v>
      </c>
      <c r="K42" s="5"/>
      <c r="L42" s="258"/>
    </row>
    <row r="43" spans="4:12" x14ac:dyDescent="0.2">
      <c r="D43" s="8" t="e">
        <v>#N/A</v>
      </c>
      <c r="E43" s="8" t="e">
        <f>SUBSTITUTE(_xll.qlRateHelperQuoteName(D43),"6L","3LBASIS")</f>
        <v>#VALUE!</v>
      </c>
      <c r="F43" s="9" t="e">
        <f>_xll.qlRateHelperRate($D43)</f>
        <v>#VALUE!</v>
      </c>
      <c r="G43" s="9" t="str">
        <f>IF(ISERROR(_xll.qlSwapRateHelperSpread($D43)),IF(ISERROR(_xll.qlFuturesRateHelperConvexityAdjustment($D43)),"--",_xll.qlFuturesRateHelperConvexityAdjustment($D43)),_xll.qlSwapRateHelperSpread($D43))</f>
        <v>--</v>
      </c>
      <c r="H43" s="10" t="e">
        <f>_xll.qlRateHelperEarliestDate($D43)</f>
        <v>#VALUE!</v>
      </c>
      <c r="I43" s="11" t="e">
        <f>_xll.qlRateHelperLatestDate($D43)</f>
        <v>#VALUE!</v>
      </c>
      <c r="J43" s="5" t="e">
        <v>#N/A</v>
      </c>
      <c r="K43" s="5"/>
      <c r="L43" s="258"/>
    </row>
    <row r="44" spans="4:12" x14ac:dyDescent="0.2">
      <c r="D44" s="8" t="e">
        <v>#N/A</v>
      </c>
      <c r="E44" s="8" t="e">
        <f>SUBSTITUTE(_xll.qlRateHelperQuoteName(D44),"6L","3LBASIS")</f>
        <v>#VALUE!</v>
      </c>
      <c r="F44" s="9" t="e">
        <f>_xll.qlRateHelperRate($D44)</f>
        <v>#VALUE!</v>
      </c>
      <c r="G44" s="9" t="str">
        <f>IF(ISERROR(_xll.qlSwapRateHelperSpread($D44)),IF(ISERROR(_xll.qlFuturesRateHelperConvexityAdjustment($D44)),"--",_xll.qlFuturesRateHelperConvexityAdjustment($D44)),_xll.qlSwapRateHelperSpread($D44))</f>
        <v>--</v>
      </c>
      <c r="H44" s="10" t="e">
        <f>_xll.qlRateHelperEarliestDate($D44)</f>
        <v>#VALUE!</v>
      </c>
      <c r="I44" s="11" t="e">
        <f>_xll.qlRateHelperLatestDate($D44)</f>
        <v>#VALUE!</v>
      </c>
      <c r="J44" s="5" t="e">
        <v>#N/A</v>
      </c>
      <c r="K44" s="5"/>
      <c r="L44" s="258"/>
    </row>
    <row r="45" spans="4:12" x14ac:dyDescent="0.2">
      <c r="D45" s="8" t="e">
        <v>#N/A</v>
      </c>
      <c r="E45" s="8" t="e">
        <f>SUBSTITUTE(_xll.qlRateHelperQuoteName(D45),"6L","3LBASIS")</f>
        <v>#VALUE!</v>
      </c>
      <c r="F45" s="9" t="e">
        <f>_xll.qlRateHelperRate($D45)</f>
        <v>#VALUE!</v>
      </c>
      <c r="G45" s="9" t="str">
        <f>IF(ISERROR(_xll.qlSwapRateHelperSpread($D45)),IF(ISERROR(_xll.qlFuturesRateHelperConvexityAdjustment($D45)),"--",_xll.qlFuturesRateHelperConvexityAdjustment($D45)),_xll.qlSwapRateHelperSpread($D45))</f>
        <v>--</v>
      </c>
      <c r="H45" s="10" t="e">
        <f>_xll.qlRateHelperEarliestDate($D45)</f>
        <v>#VALUE!</v>
      </c>
      <c r="I45" s="11" t="e">
        <f>_xll.qlRateHelperLatestDate($D45)</f>
        <v>#VALUE!</v>
      </c>
      <c r="J45" s="5" t="e">
        <v>#N/A</v>
      </c>
      <c r="K45" s="5"/>
      <c r="L45" s="258"/>
    </row>
    <row r="46" spans="4:12" x14ac:dyDescent="0.2">
      <c r="D46" s="8" t="e">
        <v>#N/A</v>
      </c>
      <c r="E46" s="8" t="e">
        <f>SUBSTITUTE(_xll.qlRateHelperQuoteName(D46),"6L","3LBASIS")</f>
        <v>#VALUE!</v>
      </c>
      <c r="F46" s="9" t="e">
        <f>_xll.qlRateHelperRate($D46)</f>
        <v>#VALUE!</v>
      </c>
      <c r="G46" s="9" t="str">
        <f>IF(ISERROR(_xll.qlSwapRateHelperSpread($D46)),IF(ISERROR(_xll.qlFuturesRateHelperConvexityAdjustment($D46)),"--",_xll.qlFuturesRateHelperConvexityAdjustment($D46)),_xll.qlSwapRateHelperSpread($D46))</f>
        <v>--</v>
      </c>
      <c r="H46" s="10" t="e">
        <f>_xll.qlRateHelperEarliestDate($D46)</f>
        <v>#VALUE!</v>
      </c>
      <c r="I46" s="11" t="e">
        <f>_xll.qlRateHelperLatestDate($D46)</f>
        <v>#VALUE!</v>
      </c>
      <c r="J46" s="5" t="e">
        <v>#N/A</v>
      </c>
      <c r="K46" s="5"/>
      <c r="L46" s="258"/>
    </row>
    <row r="47" spans="4:12" x14ac:dyDescent="0.2">
      <c r="D47" s="8" t="e">
        <v>#N/A</v>
      </c>
      <c r="E47" s="8" t="e">
        <f>SUBSTITUTE(_xll.qlRateHelperQuoteName(D47),"6L","3LBASIS")</f>
        <v>#VALUE!</v>
      </c>
      <c r="F47" s="9" t="e">
        <f>_xll.qlRateHelperRate($D47)</f>
        <v>#VALUE!</v>
      </c>
      <c r="G47" s="9" t="str">
        <f>IF(ISERROR(_xll.qlSwapRateHelperSpread($D47)),IF(ISERROR(_xll.qlFuturesRateHelperConvexityAdjustment($D47)),"--",_xll.qlFuturesRateHelperConvexityAdjustment($D47)),_xll.qlSwapRateHelperSpread($D47))</f>
        <v>--</v>
      </c>
      <c r="H47" s="10" t="e">
        <f>_xll.qlRateHelperEarliestDate($D47)</f>
        <v>#VALUE!</v>
      </c>
      <c r="I47" s="11" t="e">
        <f>_xll.qlRateHelperLatestDate($D47)</f>
        <v>#VALUE!</v>
      </c>
      <c r="J47" s="5" t="e">
        <v>#N/A</v>
      </c>
      <c r="K47" s="5"/>
      <c r="L47" s="258"/>
    </row>
    <row r="48" spans="4:12" x14ac:dyDescent="0.2">
      <c r="D48" s="8" t="e">
        <v>#N/A</v>
      </c>
      <c r="E48" s="8" t="e">
        <f>SUBSTITUTE(_xll.qlRateHelperQuoteName(D48),"6L","3LBASIS")</f>
        <v>#VALUE!</v>
      </c>
      <c r="F48" s="9" t="e">
        <f>_xll.qlRateHelperRate($D48)</f>
        <v>#VALUE!</v>
      </c>
      <c r="G48" s="9" t="str">
        <f>IF(ISERROR(_xll.qlSwapRateHelperSpread($D48)),IF(ISERROR(_xll.qlFuturesRateHelperConvexityAdjustment($D48)),"--",_xll.qlFuturesRateHelperConvexityAdjustment($D48)),_xll.qlSwapRateHelperSpread($D48))</f>
        <v>--</v>
      </c>
      <c r="H48" s="10" t="e">
        <f>_xll.qlRateHelperEarliestDate($D48)</f>
        <v>#VALUE!</v>
      </c>
      <c r="I48" s="11" t="e">
        <f>_xll.qlRateHelperLatestDate($D48)</f>
        <v>#VALUE!</v>
      </c>
      <c r="J48" s="5" t="e">
        <v>#N/A</v>
      </c>
      <c r="K48" s="5"/>
      <c r="L48" s="258"/>
    </row>
    <row r="49" spans="4:12" x14ac:dyDescent="0.2">
      <c r="D49" s="8" t="e">
        <v>#N/A</v>
      </c>
      <c r="E49" s="8" t="e">
        <f>SUBSTITUTE(_xll.qlRateHelperQuoteName(D49),"6L","3LBASIS")</f>
        <v>#VALUE!</v>
      </c>
      <c r="F49" s="9" t="e">
        <f>_xll.qlRateHelperRate($D49)</f>
        <v>#VALUE!</v>
      </c>
      <c r="G49" s="9" t="str">
        <f>IF(ISERROR(_xll.qlSwapRateHelperSpread($D49)),IF(ISERROR(_xll.qlFuturesRateHelperConvexityAdjustment($D49)),"--",_xll.qlFuturesRateHelperConvexityAdjustment($D49)),_xll.qlSwapRateHelperSpread($D49))</f>
        <v>--</v>
      </c>
      <c r="H49" s="10" t="e">
        <f>_xll.qlRateHelperEarliestDate($D49)</f>
        <v>#VALUE!</v>
      </c>
      <c r="I49" s="11" t="e">
        <f>_xll.qlRateHelperLatestDate($D49)</f>
        <v>#VALUE!</v>
      </c>
      <c r="J49" s="5" t="e">
        <v>#N/A</v>
      </c>
      <c r="K49" s="5"/>
      <c r="L49" s="258"/>
    </row>
    <row r="50" spans="4:12" x14ac:dyDescent="0.2">
      <c r="D50" s="8" t="e">
        <v>#N/A</v>
      </c>
      <c r="E50" s="8" t="e">
        <f>SUBSTITUTE(_xll.qlRateHelperQuoteName(D50),"6L","3LBASIS")</f>
        <v>#VALUE!</v>
      </c>
      <c r="F50" s="9" t="e">
        <f>_xll.qlRateHelperRate($D50)</f>
        <v>#VALUE!</v>
      </c>
      <c r="G50" s="9" t="str">
        <f>IF(ISERROR(_xll.qlSwapRateHelperSpread($D50)),IF(ISERROR(_xll.qlFuturesRateHelperConvexityAdjustment($D50)),"--",_xll.qlFuturesRateHelperConvexityAdjustment($D50)),_xll.qlSwapRateHelperSpread($D50))</f>
        <v>--</v>
      </c>
      <c r="H50" s="10" t="e">
        <f>_xll.qlRateHelperEarliestDate($D50)</f>
        <v>#VALUE!</v>
      </c>
      <c r="I50" s="11" t="e">
        <f>_xll.qlRateHelperLatestDate($D50)</f>
        <v>#VALUE!</v>
      </c>
      <c r="J50" s="5" t="e">
        <v>#N/A</v>
      </c>
      <c r="K50" s="5"/>
      <c r="L50" s="258"/>
    </row>
    <row r="51" spans="4:12" x14ac:dyDescent="0.2">
      <c r="D51" s="8" t="e">
        <v>#N/A</v>
      </c>
      <c r="E51" s="8" t="e">
        <f>SUBSTITUTE(_xll.qlRateHelperQuoteName(D51),"6L","3LBASIS")</f>
        <v>#VALUE!</v>
      </c>
      <c r="F51" s="9" t="e">
        <f>_xll.qlRateHelperRate($D51)</f>
        <v>#VALUE!</v>
      </c>
      <c r="G51" s="9" t="str">
        <f>IF(ISERROR(_xll.qlSwapRateHelperSpread($D51)),IF(ISERROR(_xll.qlFuturesRateHelperConvexityAdjustment($D51)),"--",_xll.qlFuturesRateHelperConvexityAdjustment($D51)),_xll.qlSwapRateHelperSpread($D51))</f>
        <v>--</v>
      </c>
      <c r="H51" s="10" t="e">
        <f>_xll.qlRateHelperEarliestDate($D51)</f>
        <v>#VALUE!</v>
      </c>
      <c r="I51" s="11" t="e">
        <f>_xll.qlRateHelperLatestDate($D51)</f>
        <v>#VALUE!</v>
      </c>
      <c r="J51" s="5" t="e">
        <v>#N/A</v>
      </c>
      <c r="K51" s="5"/>
      <c r="L51" s="258"/>
    </row>
    <row r="52" spans="4:12" x14ac:dyDescent="0.2">
      <c r="D52" s="8" t="e">
        <v>#N/A</v>
      </c>
      <c r="E52" s="8" t="e">
        <f>SUBSTITUTE(_xll.qlRateHelperQuoteName(D52),"6L","3LBASIS")</f>
        <v>#VALUE!</v>
      </c>
      <c r="F52" s="9" t="e">
        <f>_xll.qlRateHelperRate($D52)</f>
        <v>#VALUE!</v>
      </c>
      <c r="G52" s="9" t="str">
        <f>IF(ISERROR(_xll.qlSwapRateHelperSpread($D52)),IF(ISERROR(_xll.qlFuturesRateHelperConvexityAdjustment($D52)),"--",_xll.qlFuturesRateHelperConvexityAdjustment($D52)),_xll.qlSwapRateHelperSpread($D52))</f>
        <v>--</v>
      </c>
      <c r="H52" s="10" t="e">
        <f>_xll.qlRateHelperEarliestDate($D52)</f>
        <v>#VALUE!</v>
      </c>
      <c r="I52" s="11" t="e">
        <f>_xll.qlRateHelperLatestDate($D52)</f>
        <v>#VALUE!</v>
      </c>
      <c r="J52" s="5" t="e">
        <v>#N/A</v>
      </c>
      <c r="K52" s="5"/>
      <c r="L52" s="258"/>
    </row>
    <row r="53" spans="4:12" x14ac:dyDescent="0.2">
      <c r="D53" s="8" t="e">
        <v>#N/A</v>
      </c>
      <c r="E53" s="8" t="e">
        <f>SUBSTITUTE(_xll.qlRateHelperQuoteName(D53),"6L","3LBASIS")</f>
        <v>#VALUE!</v>
      </c>
      <c r="F53" s="9" t="e">
        <f>_xll.qlRateHelperRate($D53)</f>
        <v>#VALUE!</v>
      </c>
      <c r="G53" s="9" t="str">
        <f>IF(ISERROR(_xll.qlSwapRateHelperSpread($D53)),IF(ISERROR(_xll.qlFuturesRateHelperConvexityAdjustment($D53)),"--",_xll.qlFuturesRateHelperConvexityAdjustment($D53)),_xll.qlSwapRateHelperSpread($D53))</f>
        <v>--</v>
      </c>
      <c r="H53" s="10" t="e">
        <f>_xll.qlRateHelperEarliestDate($D53)</f>
        <v>#VALUE!</v>
      </c>
      <c r="I53" s="11" t="e">
        <f>_xll.qlRateHelperLatestDate($D53)</f>
        <v>#VALUE!</v>
      </c>
      <c r="J53" s="5" t="e">
        <v>#N/A</v>
      </c>
      <c r="K53" s="5"/>
      <c r="L53" s="258"/>
    </row>
    <row r="54" spans="4:12" x14ac:dyDescent="0.2">
      <c r="D54" s="8" t="e">
        <v>#N/A</v>
      </c>
      <c r="E54" s="8" t="e">
        <f>SUBSTITUTE(_xll.qlRateHelperQuoteName(D54),"6L","3LBASIS")</f>
        <v>#VALUE!</v>
      </c>
      <c r="F54" s="9" t="e">
        <f>_xll.qlRateHelperRate($D54)</f>
        <v>#VALUE!</v>
      </c>
      <c r="G54" s="9" t="str">
        <f>IF(ISERROR(_xll.qlSwapRateHelperSpread($D54)),IF(ISERROR(_xll.qlFuturesRateHelperConvexityAdjustment($D54)),"--",_xll.qlFuturesRateHelperConvexityAdjustment($D54)),_xll.qlSwapRateHelperSpread($D54))</f>
        <v>--</v>
      </c>
      <c r="H54" s="10" t="e">
        <f>_xll.qlRateHelperEarliestDate($D54)</f>
        <v>#VALUE!</v>
      </c>
      <c r="I54" s="11" t="e">
        <f>_xll.qlRateHelperLatestDate($D54)</f>
        <v>#VALUE!</v>
      </c>
      <c r="J54" s="5" t="e">
        <v>#N/A</v>
      </c>
      <c r="K54" s="5"/>
      <c r="L54" s="258"/>
    </row>
    <row r="55" spans="4:12" x14ac:dyDescent="0.2">
      <c r="D55" s="8" t="e">
        <v>#N/A</v>
      </c>
      <c r="E55" s="8" t="e">
        <f>SUBSTITUTE(_xll.qlRateHelperQuoteName(D55),"6L","3LBASIS")</f>
        <v>#VALUE!</v>
      </c>
      <c r="F55" s="9" t="e">
        <f>_xll.qlRateHelperRate($D55)</f>
        <v>#VALUE!</v>
      </c>
      <c r="G55" s="9" t="str">
        <f>IF(ISERROR(_xll.qlSwapRateHelperSpread($D55)),IF(ISERROR(_xll.qlFuturesRateHelperConvexityAdjustment($D55)),"--",_xll.qlFuturesRateHelperConvexityAdjustment($D55)),_xll.qlSwapRateHelperSpread($D55))</f>
        <v>--</v>
      </c>
      <c r="H55" s="10" t="e">
        <f>_xll.qlRateHelperEarliestDate($D55)</f>
        <v>#VALUE!</v>
      </c>
      <c r="I55" s="11" t="e">
        <f>_xll.qlRateHelperLatestDate($D55)</f>
        <v>#VALUE!</v>
      </c>
      <c r="J55" s="5" t="e">
        <v>#N/A</v>
      </c>
      <c r="K55" s="5"/>
      <c r="L55" s="258"/>
    </row>
    <row r="56" spans="4:12" x14ac:dyDescent="0.2">
      <c r="D56" s="8" t="e">
        <v>#N/A</v>
      </c>
      <c r="E56" s="8" t="e">
        <f>SUBSTITUTE(_xll.qlRateHelperQuoteName(D56),"6L","3LBASIS")</f>
        <v>#VALUE!</v>
      </c>
      <c r="F56" s="9" t="e">
        <f>_xll.qlRateHelperRate($D56)</f>
        <v>#VALUE!</v>
      </c>
      <c r="G56" s="9" t="str">
        <f>IF(ISERROR(_xll.qlSwapRateHelperSpread($D56)),IF(ISERROR(_xll.qlFuturesRateHelperConvexityAdjustment($D56)),"--",_xll.qlFuturesRateHelperConvexityAdjustment($D56)),_xll.qlSwapRateHelperSpread($D56))</f>
        <v>--</v>
      </c>
      <c r="H56" s="10" t="e">
        <f>_xll.qlRateHelperEarliestDate($D56)</f>
        <v>#VALUE!</v>
      </c>
      <c r="I56" s="11" t="e">
        <f>_xll.qlRateHelperLatestDate($D56)</f>
        <v>#VALUE!</v>
      </c>
      <c r="J56" s="5" t="e">
        <v>#N/A</v>
      </c>
      <c r="K56" s="5"/>
      <c r="L56" s="258"/>
    </row>
    <row r="57" spans="4:12" x14ac:dyDescent="0.2">
      <c r="D57" s="8" t="e">
        <v>#N/A</v>
      </c>
      <c r="E57" s="8" t="e">
        <f>SUBSTITUTE(_xll.qlRateHelperQuoteName(D57),"6L","3LBASIS")</f>
        <v>#VALUE!</v>
      </c>
      <c r="F57" s="9" t="e">
        <f>_xll.qlRateHelperRate($D57)</f>
        <v>#VALUE!</v>
      </c>
      <c r="G57" s="9" t="str">
        <f>IF(ISERROR(_xll.qlSwapRateHelperSpread($D57)),IF(ISERROR(_xll.qlFuturesRateHelperConvexityAdjustment($D57)),"--",_xll.qlFuturesRateHelperConvexityAdjustment($D57)),_xll.qlSwapRateHelperSpread($D57))</f>
        <v>--</v>
      </c>
      <c r="H57" s="10" t="e">
        <f>_xll.qlRateHelperEarliestDate($D57)</f>
        <v>#VALUE!</v>
      </c>
      <c r="I57" s="11" t="e">
        <f>_xll.qlRateHelperLatestDate($D57)</f>
        <v>#VALUE!</v>
      </c>
      <c r="J57" s="5" t="e">
        <v>#N/A</v>
      </c>
      <c r="K57" s="5"/>
      <c r="L57" s="258"/>
    </row>
    <row r="58" spans="4:12" x14ac:dyDescent="0.2">
      <c r="D58" s="8" t="e">
        <v>#N/A</v>
      </c>
      <c r="E58" s="8" t="e">
        <f>SUBSTITUTE(_xll.qlRateHelperQuoteName(D58),"6L","3LBASIS")</f>
        <v>#VALUE!</v>
      </c>
      <c r="F58" s="9" t="e">
        <f>_xll.qlRateHelperRate($D58)</f>
        <v>#VALUE!</v>
      </c>
      <c r="G58" s="9" t="str">
        <f>IF(ISERROR(_xll.qlSwapRateHelperSpread($D58)),IF(ISERROR(_xll.qlFuturesRateHelperConvexityAdjustment($D58)),"--",_xll.qlFuturesRateHelperConvexityAdjustment($D58)),_xll.qlSwapRateHelperSpread($D58))</f>
        <v>--</v>
      </c>
      <c r="H58" s="10" t="e">
        <f>_xll.qlRateHelperEarliestDate($D58)</f>
        <v>#VALUE!</v>
      </c>
      <c r="I58" s="11" t="e">
        <f>_xll.qlRateHelperLatestDate($D58)</f>
        <v>#VALUE!</v>
      </c>
      <c r="J58" s="5" t="e">
        <v>#N/A</v>
      </c>
      <c r="K58" s="5"/>
      <c r="L58" s="258"/>
    </row>
    <row r="59" spans="4:12" x14ac:dyDescent="0.2">
      <c r="D59" s="8" t="e">
        <v>#N/A</v>
      </c>
      <c r="E59" s="8" t="e">
        <f>SUBSTITUTE(_xll.qlRateHelperQuoteName(D59),"6L","3LBASIS")</f>
        <v>#VALUE!</v>
      </c>
      <c r="F59" s="9" t="e">
        <f>_xll.qlRateHelperRate($D59)</f>
        <v>#VALUE!</v>
      </c>
      <c r="G59" s="9" t="str">
        <f>IF(ISERROR(_xll.qlSwapRateHelperSpread($D59)),IF(ISERROR(_xll.qlFuturesRateHelperConvexityAdjustment($D59)),"--",_xll.qlFuturesRateHelperConvexityAdjustment($D59)),_xll.qlSwapRateHelperSpread($D59))</f>
        <v>--</v>
      </c>
      <c r="H59" s="10" t="e">
        <f>_xll.qlRateHelperEarliestDate($D59)</f>
        <v>#VALUE!</v>
      </c>
      <c r="I59" s="11" t="e">
        <f>_xll.qlRateHelperLatestDate($D59)</f>
        <v>#VALUE!</v>
      </c>
      <c r="J59" s="5" t="e">
        <v>#N/A</v>
      </c>
      <c r="K59" s="5"/>
      <c r="L59" s="258"/>
    </row>
    <row r="60" spans="4:12" x14ac:dyDescent="0.2">
      <c r="D60" s="8" t="e">
        <v>#N/A</v>
      </c>
      <c r="E60" s="8" t="e">
        <f>SUBSTITUTE(_xll.qlRateHelperQuoteName(D60),"6L","3LBASIS")</f>
        <v>#VALUE!</v>
      </c>
      <c r="F60" s="9" t="e">
        <f>_xll.qlRateHelperRate($D60)</f>
        <v>#VALUE!</v>
      </c>
      <c r="G60" s="9" t="str">
        <f>IF(ISERROR(_xll.qlSwapRateHelperSpread($D60)),IF(ISERROR(_xll.qlFuturesRateHelperConvexityAdjustment($D60)),"--",_xll.qlFuturesRateHelperConvexityAdjustment($D60)),_xll.qlSwapRateHelperSpread($D60))</f>
        <v>--</v>
      </c>
      <c r="H60" s="10" t="e">
        <f>_xll.qlRateHelperEarliestDate($D60)</f>
        <v>#VALUE!</v>
      </c>
      <c r="I60" s="11" t="e">
        <f>_xll.qlRateHelperLatestDate($D60)</f>
        <v>#VALUE!</v>
      </c>
      <c r="J60" s="5" t="e">
        <v>#N/A</v>
      </c>
      <c r="K60" s="5"/>
      <c r="L60" s="258"/>
    </row>
    <row r="61" spans="4:12" x14ac:dyDescent="0.2">
      <c r="D61" s="8" t="e">
        <v>#N/A</v>
      </c>
      <c r="E61" s="8" t="e">
        <f>SUBSTITUTE(_xll.qlRateHelperQuoteName(D61),"6L","3LBASIS")</f>
        <v>#VALUE!</v>
      </c>
      <c r="F61" s="9" t="e">
        <f>_xll.qlRateHelperRate($D61)</f>
        <v>#VALUE!</v>
      </c>
      <c r="G61" s="9" t="str">
        <f>IF(ISERROR(_xll.qlSwapRateHelperSpread($D61)),IF(ISERROR(_xll.qlFuturesRateHelperConvexityAdjustment($D61)),"--",_xll.qlFuturesRateHelperConvexityAdjustment($D61)),_xll.qlSwapRateHelperSpread($D61))</f>
        <v>--</v>
      </c>
      <c r="H61" s="10" t="e">
        <f>_xll.qlRateHelperEarliestDate($D61)</f>
        <v>#VALUE!</v>
      </c>
      <c r="I61" s="11" t="e">
        <f>_xll.qlRateHelperLatestDate($D61)</f>
        <v>#VALUE!</v>
      </c>
      <c r="J61" s="5" t="e">
        <v>#N/A</v>
      </c>
      <c r="K61" s="5"/>
      <c r="L61" s="258"/>
    </row>
    <row r="62" spans="4:12" x14ac:dyDescent="0.2">
      <c r="D62" s="8" t="e">
        <v>#N/A</v>
      </c>
      <c r="E62" s="8" t="e">
        <f>SUBSTITUTE(_xll.qlRateHelperQuoteName(D62),"6L","3LBASIS")</f>
        <v>#VALUE!</v>
      </c>
      <c r="F62" s="9" t="e">
        <f>_xll.qlRateHelperRate($D62)</f>
        <v>#VALUE!</v>
      </c>
      <c r="G62" s="9" t="str">
        <f>IF(ISERROR(_xll.qlSwapRateHelperSpread($D62)),IF(ISERROR(_xll.qlFuturesRateHelperConvexityAdjustment($D62)),"--",_xll.qlFuturesRateHelperConvexityAdjustment($D62)),_xll.qlSwapRateHelperSpread($D62))</f>
        <v>--</v>
      </c>
      <c r="H62" s="10" t="e">
        <f>_xll.qlRateHelperEarliestDate($D62)</f>
        <v>#VALUE!</v>
      </c>
      <c r="I62" s="11" t="e">
        <f>_xll.qlRateHelperLatestDate($D62)</f>
        <v>#VALUE!</v>
      </c>
      <c r="J62" s="5" t="e">
        <v>#N/A</v>
      </c>
      <c r="K62" s="5"/>
      <c r="L62" s="258"/>
    </row>
    <row r="63" spans="4:12" x14ac:dyDescent="0.2">
      <c r="D63" s="8" t="e">
        <v>#N/A</v>
      </c>
      <c r="E63" s="8" t="e">
        <f>SUBSTITUTE(_xll.qlRateHelperQuoteName(D63),"6L","3LBASIS")</f>
        <v>#VALUE!</v>
      </c>
      <c r="F63" s="9" t="e">
        <f>_xll.qlRateHelperRate($D63)</f>
        <v>#VALUE!</v>
      </c>
      <c r="G63" s="9" t="str">
        <f>IF(ISERROR(_xll.qlSwapRateHelperSpread($D63)),IF(ISERROR(_xll.qlFuturesRateHelperConvexityAdjustment($D63)),"--",_xll.qlFuturesRateHelperConvexityAdjustment($D63)),_xll.qlSwapRateHelperSpread($D63))</f>
        <v>--</v>
      </c>
      <c r="H63" s="10" t="e">
        <f>_xll.qlRateHelperEarliestDate($D63)</f>
        <v>#VALUE!</v>
      </c>
      <c r="I63" s="11" t="e">
        <f>_xll.qlRateHelperLatestDate($D63)</f>
        <v>#VALUE!</v>
      </c>
      <c r="J63" s="5" t="e">
        <v>#N/A</v>
      </c>
      <c r="K63" s="5"/>
      <c r="L63" s="258"/>
    </row>
    <row r="64" spans="4:12" x14ac:dyDescent="0.2">
      <c r="D64" s="8" t="e">
        <v>#N/A</v>
      </c>
      <c r="E64" s="8" t="e">
        <f>SUBSTITUTE(_xll.qlRateHelperQuoteName(D64),"6L","3LBASIS")</f>
        <v>#VALUE!</v>
      </c>
      <c r="F64" s="9" t="e">
        <f>_xll.qlRateHelperRate($D64)</f>
        <v>#VALUE!</v>
      </c>
      <c r="G64" s="9" t="str">
        <f>IF(ISERROR(_xll.qlSwapRateHelperSpread($D64)),IF(ISERROR(_xll.qlFuturesRateHelperConvexityAdjustment($D64)),"--",_xll.qlFuturesRateHelperConvexityAdjustment($D64)),_xll.qlSwapRateHelperSpread($D64))</f>
        <v>--</v>
      </c>
      <c r="H64" s="10" t="e">
        <f>_xll.qlRateHelperEarliestDate($D64)</f>
        <v>#VALUE!</v>
      </c>
      <c r="I64" s="11" t="e">
        <f>_xll.qlRateHelperLatestDate($D64)</f>
        <v>#VALUE!</v>
      </c>
      <c r="J64" s="5" t="e">
        <v>#N/A</v>
      </c>
      <c r="K64" s="5"/>
      <c r="L64" s="258"/>
    </row>
    <row r="65" spans="4:12" x14ac:dyDescent="0.2">
      <c r="D65" s="8" t="e">
        <v>#N/A</v>
      </c>
      <c r="E65" s="8" t="e">
        <f>SUBSTITUTE(_xll.qlRateHelperQuoteName(D65),"6L","3LBASIS")</f>
        <v>#VALUE!</v>
      </c>
      <c r="F65" s="9" t="e">
        <f>_xll.qlRateHelperRate($D65)</f>
        <v>#VALUE!</v>
      </c>
      <c r="G65" s="9" t="str">
        <f>IF(ISERROR(_xll.qlSwapRateHelperSpread($D65)),IF(ISERROR(_xll.qlFuturesRateHelperConvexityAdjustment($D65)),"--",_xll.qlFuturesRateHelperConvexityAdjustment($D65)),_xll.qlSwapRateHelperSpread($D65))</f>
        <v>--</v>
      </c>
      <c r="H65" s="10" t="e">
        <f>_xll.qlRateHelperEarliestDate($D65)</f>
        <v>#VALUE!</v>
      </c>
      <c r="I65" s="11" t="e">
        <f>_xll.qlRateHelperLatestDate($D65)</f>
        <v>#VALUE!</v>
      </c>
      <c r="J65" s="5" t="e">
        <v>#N/A</v>
      </c>
      <c r="K65" s="5"/>
      <c r="L65" s="258"/>
    </row>
    <row r="66" spans="4:12" x14ac:dyDescent="0.2">
      <c r="D66" s="8" t="e">
        <v>#N/A</v>
      </c>
      <c r="E66" s="8" t="e">
        <f>SUBSTITUTE(_xll.qlRateHelperQuoteName(D66),"6L","3LBASIS")</f>
        <v>#VALUE!</v>
      </c>
      <c r="F66" s="9" t="e">
        <f>_xll.qlRateHelperRate($D66)</f>
        <v>#VALUE!</v>
      </c>
      <c r="G66" s="9" t="str">
        <f>IF(ISERROR(_xll.qlSwapRateHelperSpread($D66)),IF(ISERROR(_xll.qlFuturesRateHelperConvexityAdjustment($D66)),"--",_xll.qlFuturesRateHelperConvexityAdjustment($D66)),_xll.qlSwapRateHelperSpread($D66))</f>
        <v>--</v>
      </c>
      <c r="H66" s="10" t="e">
        <f>_xll.qlRateHelperEarliestDate($D66)</f>
        <v>#VALUE!</v>
      </c>
      <c r="I66" s="11" t="e">
        <f>_xll.qlRateHelperLatestDate($D66)</f>
        <v>#VALUE!</v>
      </c>
      <c r="J66" s="5" t="e">
        <v>#N/A</v>
      </c>
      <c r="K66" s="5"/>
      <c r="L66" s="258"/>
    </row>
    <row r="67" spans="4:12" x14ac:dyDescent="0.2">
      <c r="D67" s="8" t="e">
        <v>#N/A</v>
      </c>
      <c r="E67" s="8" t="e">
        <f>SUBSTITUTE(_xll.qlRateHelperQuoteName(D67),"6L","3LBASIS")</f>
        <v>#VALUE!</v>
      </c>
      <c r="F67" s="9" t="e">
        <f>_xll.qlRateHelperRate($D67)</f>
        <v>#VALUE!</v>
      </c>
      <c r="G67" s="9" t="str">
        <f>IF(ISERROR(_xll.qlSwapRateHelperSpread($D67)),IF(ISERROR(_xll.qlFuturesRateHelperConvexityAdjustment($D67)),"--",_xll.qlFuturesRateHelperConvexityAdjustment($D67)),_xll.qlSwapRateHelperSpread($D67))</f>
        <v>--</v>
      </c>
      <c r="H67" s="10" t="e">
        <f>_xll.qlRateHelperEarliestDate($D67)</f>
        <v>#VALUE!</v>
      </c>
      <c r="I67" s="11" t="e">
        <f>_xll.qlRateHelperLatestDate($D67)</f>
        <v>#VALUE!</v>
      </c>
      <c r="J67" s="5" t="e">
        <v>#N/A</v>
      </c>
      <c r="K67" s="5"/>
      <c r="L67" s="258"/>
    </row>
    <row r="68" spans="4:12" x14ac:dyDescent="0.2">
      <c r="D68" s="8" t="e">
        <v>#N/A</v>
      </c>
      <c r="E68" s="8" t="e">
        <f>SUBSTITUTE(_xll.qlRateHelperQuoteName(D68),"6L","3LBASIS")</f>
        <v>#VALUE!</v>
      </c>
      <c r="F68" s="9" t="e">
        <f>_xll.qlRateHelperRate($D68)</f>
        <v>#VALUE!</v>
      </c>
      <c r="G68" s="9" t="str">
        <f>IF(ISERROR(_xll.qlSwapRateHelperSpread($D68)),IF(ISERROR(_xll.qlFuturesRateHelperConvexityAdjustment($D68)),"--",_xll.qlFuturesRateHelperConvexityAdjustment($D68)),_xll.qlSwapRateHelperSpread($D68))</f>
        <v>--</v>
      </c>
      <c r="H68" s="10" t="e">
        <f>_xll.qlRateHelperEarliestDate($D68)</f>
        <v>#VALUE!</v>
      </c>
      <c r="I68" s="11" t="e">
        <f>_xll.qlRateHelperLatestDate($D68)</f>
        <v>#VALUE!</v>
      </c>
      <c r="J68" s="5" t="e">
        <v>#N/A</v>
      </c>
      <c r="K68" s="5"/>
      <c r="L68" s="258"/>
    </row>
    <row r="69" spans="4:12" x14ac:dyDescent="0.2">
      <c r="D69" s="8" t="e">
        <v>#N/A</v>
      </c>
      <c r="E69" s="8" t="e">
        <f>SUBSTITUTE(_xll.qlRateHelperQuoteName(D69),"6L","3LBASIS")</f>
        <v>#VALUE!</v>
      </c>
      <c r="F69" s="9" t="e">
        <f>_xll.qlRateHelperRate($D69)</f>
        <v>#VALUE!</v>
      </c>
      <c r="G69" s="9" t="str">
        <f>IF(ISERROR(_xll.qlSwapRateHelperSpread($D69)),IF(ISERROR(_xll.qlFuturesRateHelperConvexityAdjustment($D69)),"--",_xll.qlFuturesRateHelperConvexityAdjustment($D69)),_xll.qlSwapRateHelperSpread($D69))</f>
        <v>--</v>
      </c>
      <c r="H69" s="10" t="e">
        <f>_xll.qlRateHelperEarliestDate($D69)</f>
        <v>#VALUE!</v>
      </c>
      <c r="I69" s="11" t="e">
        <f>_xll.qlRateHelperLatestDate($D69)</f>
        <v>#VALUE!</v>
      </c>
      <c r="J69" s="5" t="e">
        <v>#N/A</v>
      </c>
      <c r="K69" s="5"/>
      <c r="L69" s="258"/>
    </row>
    <row r="70" spans="4:12" x14ac:dyDescent="0.2">
      <c r="D70" s="8" t="e">
        <v>#N/A</v>
      </c>
      <c r="E70" s="8" t="e">
        <f>SUBSTITUTE(_xll.qlRateHelperQuoteName(D70),"6L","3LBASIS")</f>
        <v>#VALUE!</v>
      </c>
      <c r="F70" s="9" t="e">
        <f>_xll.qlRateHelperRate($D70)</f>
        <v>#VALUE!</v>
      </c>
      <c r="G70" s="9" t="str">
        <f>IF(ISERROR(_xll.qlSwapRateHelperSpread($D70)),IF(ISERROR(_xll.qlFuturesRateHelperConvexityAdjustment($D70)),"--",_xll.qlFuturesRateHelperConvexityAdjustment($D70)),_xll.qlSwapRateHelperSpread($D70))</f>
        <v>--</v>
      </c>
      <c r="H70" s="10" t="e">
        <f>_xll.qlRateHelperEarliestDate($D70)</f>
        <v>#VALUE!</v>
      </c>
      <c r="I70" s="11" t="e">
        <f>_xll.qlRateHelperLatestDate($D70)</f>
        <v>#VALUE!</v>
      </c>
      <c r="J70" s="5" t="e">
        <v>#N/A</v>
      </c>
      <c r="K70" s="5"/>
      <c r="L70" s="258"/>
    </row>
    <row r="71" spans="4:12" x14ac:dyDescent="0.2">
      <c r="D71" s="8" t="e">
        <v>#N/A</v>
      </c>
      <c r="E71" s="8" t="e">
        <f>SUBSTITUTE(_xll.qlRateHelperQuoteName(D71),"6L","3LBASIS")</f>
        <v>#VALUE!</v>
      </c>
      <c r="F71" s="9" t="e">
        <f>_xll.qlRateHelperRate($D71)</f>
        <v>#VALUE!</v>
      </c>
      <c r="G71" s="9" t="str">
        <f>IF(ISERROR(_xll.qlSwapRateHelperSpread($D71)),IF(ISERROR(_xll.qlFuturesRateHelperConvexityAdjustment($D71)),"--",_xll.qlFuturesRateHelperConvexityAdjustment($D71)),_xll.qlSwapRateHelperSpread($D71))</f>
        <v>--</v>
      </c>
      <c r="H71" s="10" t="e">
        <f>_xll.qlRateHelperEarliestDate($D71)</f>
        <v>#VALUE!</v>
      </c>
      <c r="I71" s="11" t="e">
        <f>_xll.qlRateHelperLatestDate($D71)</f>
        <v>#VALUE!</v>
      </c>
      <c r="J71" s="5" t="e">
        <v>#N/A</v>
      </c>
      <c r="K71" s="5"/>
      <c r="L71" s="258"/>
    </row>
    <row r="72" spans="4:12" x14ac:dyDescent="0.2">
      <c r="D72" s="8" t="e">
        <v>#N/A</v>
      </c>
      <c r="E72" s="8" t="e">
        <f>SUBSTITUTE(_xll.qlRateHelperQuoteName(D72),"6L","3LBASIS")</f>
        <v>#VALUE!</v>
      </c>
      <c r="F72" s="9" t="e">
        <f>_xll.qlRateHelperRate($D72)</f>
        <v>#VALUE!</v>
      </c>
      <c r="G72" s="9" t="str">
        <f>IF(ISERROR(_xll.qlSwapRateHelperSpread($D72)),IF(ISERROR(_xll.qlFuturesRateHelperConvexityAdjustment($D72)),"--",_xll.qlFuturesRateHelperConvexityAdjustment($D72)),_xll.qlSwapRateHelperSpread($D72))</f>
        <v>--</v>
      </c>
      <c r="H72" s="10" t="e">
        <f>_xll.qlRateHelperEarliestDate($D72)</f>
        <v>#VALUE!</v>
      </c>
      <c r="I72" s="11" t="e">
        <f>_xll.qlRateHelperLatestDate($D72)</f>
        <v>#VALUE!</v>
      </c>
      <c r="J72" s="5" t="e">
        <v>#N/A</v>
      </c>
      <c r="K72" s="5"/>
      <c r="L72" s="258"/>
    </row>
    <row r="73" spans="4:12" x14ac:dyDescent="0.2">
      <c r="D73" s="8" t="e">
        <v>#N/A</v>
      </c>
      <c r="E73" s="8" t="e">
        <f>SUBSTITUTE(_xll.qlRateHelperQuoteName(D73),"6L","3LBASIS")</f>
        <v>#VALUE!</v>
      </c>
      <c r="F73" s="9" t="e">
        <f>_xll.qlRateHelperRate($D73)</f>
        <v>#VALUE!</v>
      </c>
      <c r="G73" s="9" t="str">
        <f>IF(ISERROR(_xll.qlSwapRateHelperSpread($D73)),IF(ISERROR(_xll.qlFuturesRateHelperConvexityAdjustment($D73)),"--",_xll.qlFuturesRateHelperConvexityAdjustment($D73)),_xll.qlSwapRateHelperSpread($D73))</f>
        <v>--</v>
      </c>
      <c r="H73" s="10" t="e">
        <f>_xll.qlRateHelperEarliestDate($D73)</f>
        <v>#VALUE!</v>
      </c>
      <c r="I73" s="11" t="e">
        <f>_xll.qlRateHelperLatestDate($D73)</f>
        <v>#VALUE!</v>
      </c>
      <c r="J73" s="5" t="e">
        <v>#N/A</v>
      </c>
      <c r="K73" s="5"/>
      <c r="L73" s="258"/>
    </row>
    <row r="74" spans="4:12" x14ac:dyDescent="0.2">
      <c r="D74" s="8" t="e">
        <v>#N/A</v>
      </c>
      <c r="E74" s="8" t="e">
        <f>SUBSTITUTE(_xll.qlRateHelperQuoteName(D74),"6L","3LBASIS")</f>
        <v>#VALUE!</v>
      </c>
      <c r="F74" s="9" t="e">
        <f>_xll.qlRateHelperRate($D74)</f>
        <v>#VALUE!</v>
      </c>
      <c r="G74" s="9" t="str">
        <f>IF(ISERROR(_xll.qlSwapRateHelperSpread($D74)),IF(ISERROR(_xll.qlFuturesRateHelperConvexityAdjustment($D74)),"--",_xll.qlFuturesRateHelperConvexityAdjustment($D74)),_xll.qlSwapRateHelperSpread($D74))</f>
        <v>--</v>
      </c>
      <c r="H74" s="10" t="e">
        <f>_xll.qlRateHelperEarliestDate($D74)</f>
        <v>#VALUE!</v>
      </c>
      <c r="I74" s="11" t="e">
        <f>_xll.qlRateHelperLatestDate($D74)</f>
        <v>#VALUE!</v>
      </c>
      <c r="J74" s="5" t="e">
        <v>#N/A</v>
      </c>
      <c r="K74" s="5"/>
      <c r="L74" s="258"/>
    </row>
    <row r="75" spans="4:12" x14ac:dyDescent="0.2">
      <c r="D75" s="8" t="e">
        <v>#N/A</v>
      </c>
      <c r="E75" s="8" t="e">
        <f>SUBSTITUTE(_xll.qlRateHelperQuoteName(D75),"6L","3LBASIS")</f>
        <v>#VALUE!</v>
      </c>
      <c r="F75" s="9" t="e">
        <f>_xll.qlRateHelperRate($D75)</f>
        <v>#VALUE!</v>
      </c>
      <c r="G75" s="9" t="str">
        <f>IF(ISERROR(_xll.qlSwapRateHelperSpread($D75)),IF(ISERROR(_xll.qlFuturesRateHelperConvexityAdjustment($D75)),"--",_xll.qlFuturesRateHelperConvexityAdjustment($D75)),_xll.qlSwapRateHelperSpread($D75))</f>
        <v>--</v>
      </c>
      <c r="H75" s="10" t="e">
        <f>_xll.qlRateHelperEarliestDate($D75)</f>
        <v>#VALUE!</v>
      </c>
      <c r="I75" s="11" t="e">
        <f>_xll.qlRateHelperLatestDate($D75)</f>
        <v>#VALUE!</v>
      </c>
      <c r="J75" s="5" t="e">
        <v>#N/A</v>
      </c>
      <c r="K75" s="5"/>
      <c r="L75" s="258"/>
    </row>
    <row r="76" spans="4:12" x14ac:dyDescent="0.2">
      <c r="D76" s="8" t="e">
        <v>#N/A</v>
      </c>
      <c r="E76" s="8" t="e">
        <f>SUBSTITUTE(_xll.qlRateHelperQuoteName(D76),"6L","3LBASIS")</f>
        <v>#VALUE!</v>
      </c>
      <c r="F76" s="9" t="e">
        <f>_xll.qlRateHelperRate($D76)</f>
        <v>#VALUE!</v>
      </c>
      <c r="G76" s="9" t="str">
        <f>IF(ISERROR(_xll.qlSwapRateHelperSpread($D76)),IF(ISERROR(_xll.qlFuturesRateHelperConvexityAdjustment($D76)),"--",_xll.qlFuturesRateHelperConvexityAdjustment($D76)),_xll.qlSwapRateHelperSpread($D76))</f>
        <v>--</v>
      </c>
      <c r="H76" s="10" t="e">
        <f>_xll.qlRateHelperEarliestDate($D76)</f>
        <v>#VALUE!</v>
      </c>
      <c r="I76" s="11" t="e">
        <f>_xll.qlRateHelperLatestDate($D76)</f>
        <v>#VALUE!</v>
      </c>
      <c r="J76" s="5" t="e">
        <v>#N/A</v>
      </c>
      <c r="K76" s="5"/>
      <c r="L76" s="258"/>
    </row>
    <row r="77" spans="4:12" x14ac:dyDescent="0.2">
      <c r="D77" s="8" t="e">
        <v>#N/A</v>
      </c>
      <c r="E77" s="8" t="e">
        <f>SUBSTITUTE(_xll.qlRateHelperQuoteName(D77),"6L","3LBASIS")</f>
        <v>#VALUE!</v>
      </c>
      <c r="F77" s="9" t="e">
        <f>_xll.qlRateHelperRate($D77)</f>
        <v>#VALUE!</v>
      </c>
      <c r="G77" s="9" t="str">
        <f>IF(ISERROR(_xll.qlSwapRateHelperSpread($D77)),IF(ISERROR(_xll.qlFuturesRateHelperConvexityAdjustment($D77)),"--",_xll.qlFuturesRateHelperConvexityAdjustment($D77)),_xll.qlSwapRateHelperSpread($D77))</f>
        <v>--</v>
      </c>
      <c r="H77" s="10" t="e">
        <f>_xll.qlRateHelperEarliestDate($D77)</f>
        <v>#VALUE!</v>
      </c>
      <c r="I77" s="11" t="e">
        <f>_xll.qlRateHelperLatestDate($D77)</f>
        <v>#VALUE!</v>
      </c>
      <c r="J77" s="5" t="e">
        <v>#N/A</v>
      </c>
      <c r="K77" s="5"/>
      <c r="L77" s="258"/>
    </row>
    <row r="78" spans="4:12" x14ac:dyDescent="0.2">
      <c r="D78" s="8" t="e">
        <v>#N/A</v>
      </c>
      <c r="E78" s="8" t="e">
        <f>SUBSTITUTE(_xll.qlRateHelperQuoteName(D78),"6L","3LBASIS")</f>
        <v>#VALUE!</v>
      </c>
      <c r="F78" s="9" t="e">
        <f>_xll.qlRateHelperRate($D78)</f>
        <v>#VALUE!</v>
      </c>
      <c r="G78" s="9" t="str">
        <f>IF(ISERROR(_xll.qlSwapRateHelperSpread($D78)),IF(ISERROR(_xll.qlFuturesRateHelperConvexityAdjustment($D78)),"--",_xll.qlFuturesRateHelperConvexityAdjustment($D78)),_xll.qlSwapRateHelperSpread($D78))</f>
        <v>--</v>
      </c>
      <c r="H78" s="10" t="e">
        <f>_xll.qlRateHelperEarliestDate($D78)</f>
        <v>#VALUE!</v>
      </c>
      <c r="I78" s="11" t="e">
        <f>_xll.qlRateHelperLatestDate($D78)</f>
        <v>#VALUE!</v>
      </c>
      <c r="J78" s="5" t="e">
        <v>#N/A</v>
      </c>
      <c r="K78" s="5"/>
      <c r="L78" s="258"/>
    </row>
    <row r="79" spans="4:12" x14ac:dyDescent="0.2">
      <c r="D79" s="8" t="e">
        <v>#N/A</v>
      </c>
      <c r="E79" s="8" t="e">
        <f>SUBSTITUTE(_xll.qlRateHelperQuoteName(D79),"6L","3LBASIS")</f>
        <v>#VALUE!</v>
      </c>
      <c r="F79" s="9" t="e">
        <f>_xll.qlRateHelperRate($D79)</f>
        <v>#VALUE!</v>
      </c>
      <c r="G79" s="9" t="str">
        <f>IF(ISERROR(_xll.qlSwapRateHelperSpread($D79)),IF(ISERROR(_xll.qlFuturesRateHelperConvexityAdjustment($D79)),"--",_xll.qlFuturesRateHelperConvexityAdjustment($D79)),_xll.qlSwapRateHelperSpread($D79))</f>
        <v>--</v>
      </c>
      <c r="H79" s="10" t="e">
        <f>_xll.qlRateHelperEarliestDate($D79)</f>
        <v>#VALUE!</v>
      </c>
      <c r="I79" s="11" t="e">
        <f>_xll.qlRateHelperLatestDate($D79)</f>
        <v>#VALUE!</v>
      </c>
      <c r="J79" s="5" t="e">
        <v>#N/A</v>
      </c>
      <c r="K79" s="5"/>
      <c r="L79" s="258"/>
    </row>
    <row r="80" spans="4:12" x14ac:dyDescent="0.2">
      <c r="D80" s="8" t="e">
        <v>#N/A</v>
      </c>
      <c r="E80" s="8" t="e">
        <f>SUBSTITUTE(_xll.qlRateHelperQuoteName(D80),"6L","3LBASIS")</f>
        <v>#VALUE!</v>
      </c>
      <c r="F80" s="9" t="e">
        <f>_xll.qlRateHelperRate($D80)</f>
        <v>#VALUE!</v>
      </c>
      <c r="G80" s="9" t="str">
        <f>IF(ISERROR(_xll.qlSwapRateHelperSpread($D80)),IF(ISERROR(_xll.qlFuturesRateHelperConvexityAdjustment($D80)),"--",_xll.qlFuturesRateHelperConvexityAdjustment($D80)),_xll.qlSwapRateHelperSpread($D80))</f>
        <v>--</v>
      </c>
      <c r="H80" s="10" t="e">
        <f>_xll.qlRateHelperEarliestDate($D80)</f>
        <v>#VALUE!</v>
      </c>
      <c r="I80" s="11" t="e">
        <f>_xll.qlRateHelperLatestDate($D80)</f>
        <v>#VALUE!</v>
      </c>
      <c r="J80" s="5" t="e">
        <v>#N/A</v>
      </c>
      <c r="K80" s="5"/>
      <c r="L80" s="258"/>
    </row>
    <row r="81" spans="4:12" x14ac:dyDescent="0.2">
      <c r="D81" s="8" t="e">
        <v>#N/A</v>
      </c>
      <c r="E81" s="8" t="e">
        <f>SUBSTITUTE(_xll.qlRateHelperQuoteName(D81),"6L","3LBASIS")</f>
        <v>#VALUE!</v>
      </c>
      <c r="F81" s="9" t="e">
        <f>_xll.qlRateHelperRate($D81)</f>
        <v>#VALUE!</v>
      </c>
      <c r="G81" s="9" t="str">
        <f>IF(ISERROR(_xll.qlSwapRateHelperSpread($D81)),IF(ISERROR(_xll.qlFuturesRateHelperConvexityAdjustment($D81)),"--",_xll.qlFuturesRateHelperConvexityAdjustment($D81)),_xll.qlSwapRateHelperSpread($D81))</f>
        <v>--</v>
      </c>
      <c r="H81" s="10" t="e">
        <f>_xll.qlRateHelperEarliestDate($D81)</f>
        <v>#VALUE!</v>
      </c>
      <c r="I81" s="11" t="e">
        <f>_xll.qlRateHelperLatestDate($D81)</f>
        <v>#VALUE!</v>
      </c>
      <c r="J81" s="5" t="e">
        <v>#N/A</v>
      </c>
      <c r="K81" s="5"/>
      <c r="L81" s="258"/>
    </row>
    <row r="82" spans="4:12" x14ac:dyDescent="0.2">
      <c r="D82" s="8" t="e">
        <v>#N/A</v>
      </c>
      <c r="E82" s="8" t="e">
        <f>SUBSTITUTE(_xll.qlRateHelperQuoteName(D82),"6L","3LBASIS")</f>
        <v>#VALUE!</v>
      </c>
      <c r="F82" s="9" t="e">
        <f>_xll.qlRateHelperRate($D82)</f>
        <v>#VALUE!</v>
      </c>
      <c r="G82" s="9" t="str">
        <f>IF(ISERROR(_xll.qlSwapRateHelperSpread($D82)),IF(ISERROR(_xll.qlFuturesRateHelperConvexityAdjustment($D82)),"--",_xll.qlFuturesRateHelperConvexityAdjustment($D82)),_xll.qlSwapRateHelperSpread($D82))</f>
        <v>--</v>
      </c>
      <c r="H82" s="10" t="e">
        <f>_xll.qlRateHelperEarliestDate($D82)</f>
        <v>#VALUE!</v>
      </c>
      <c r="I82" s="11" t="e">
        <f>_xll.qlRateHelperLatestDate($D82)</f>
        <v>#VALUE!</v>
      </c>
      <c r="J82" s="5" t="e">
        <v>#N/A</v>
      </c>
      <c r="K82" s="5"/>
      <c r="L82" s="258"/>
    </row>
    <row r="83" spans="4:12" x14ac:dyDescent="0.2">
      <c r="D83" s="8" t="e">
        <v>#N/A</v>
      </c>
      <c r="E83" s="8" t="e">
        <f>SUBSTITUTE(_xll.qlRateHelperQuoteName(D83),"6L","3LBASIS")</f>
        <v>#VALUE!</v>
      </c>
      <c r="F83" s="9" t="e">
        <f>_xll.qlRateHelperRate($D83)</f>
        <v>#VALUE!</v>
      </c>
      <c r="G83" s="9" t="str">
        <f>IF(ISERROR(_xll.qlSwapRateHelperSpread($D83)),IF(ISERROR(_xll.qlFuturesRateHelperConvexityAdjustment($D83)),"--",_xll.qlFuturesRateHelperConvexityAdjustment($D83)),_xll.qlSwapRateHelperSpread($D83))</f>
        <v>--</v>
      </c>
      <c r="H83" s="10" t="e">
        <f>_xll.qlRateHelperEarliestDate($D83)</f>
        <v>#VALUE!</v>
      </c>
      <c r="I83" s="11" t="e">
        <f>_xll.qlRateHelperLatestDate($D83)</f>
        <v>#VALUE!</v>
      </c>
      <c r="J83" s="5" t="e">
        <v>#N/A</v>
      </c>
      <c r="K83" s="5"/>
      <c r="L83" s="258"/>
    </row>
    <row r="84" spans="4:12" x14ac:dyDescent="0.2">
      <c r="D84" s="8" t="e">
        <v>#N/A</v>
      </c>
      <c r="E84" s="8" t="e">
        <f>SUBSTITUTE(_xll.qlRateHelperQuoteName(D84),"6L","3LBASIS")</f>
        <v>#VALUE!</v>
      </c>
      <c r="F84" s="9" t="e">
        <f>_xll.qlRateHelperRate($D84)</f>
        <v>#VALUE!</v>
      </c>
      <c r="G84" s="9" t="str">
        <f>IF(ISERROR(_xll.qlSwapRateHelperSpread($D84)),IF(ISERROR(_xll.qlFuturesRateHelperConvexityAdjustment($D84)),"--",_xll.qlFuturesRateHelperConvexityAdjustment($D84)),_xll.qlSwapRateHelperSpread($D84))</f>
        <v>--</v>
      </c>
      <c r="H84" s="10" t="e">
        <f>_xll.qlRateHelperEarliestDate($D84)</f>
        <v>#VALUE!</v>
      </c>
      <c r="I84" s="11" t="e">
        <f>_xll.qlRateHelperLatestDate($D84)</f>
        <v>#VALUE!</v>
      </c>
      <c r="J84" s="5" t="e">
        <v>#N/A</v>
      </c>
      <c r="K84" s="5"/>
      <c r="L84" s="258"/>
    </row>
    <row r="85" spans="4:12" x14ac:dyDescent="0.2">
      <c r="D85" s="8" t="e">
        <v>#N/A</v>
      </c>
      <c r="E85" s="8" t="e">
        <f>SUBSTITUTE(_xll.qlRateHelperQuoteName(D85),"6L","3LBASIS")</f>
        <v>#VALUE!</v>
      </c>
      <c r="F85" s="9" t="e">
        <f>_xll.qlRateHelperRate($D85)</f>
        <v>#VALUE!</v>
      </c>
      <c r="G85" s="9" t="str">
        <f>IF(ISERROR(_xll.qlSwapRateHelperSpread($D85)),IF(ISERROR(_xll.qlFuturesRateHelperConvexityAdjustment($D85)),"--",_xll.qlFuturesRateHelperConvexityAdjustment($D85)),_xll.qlSwapRateHelperSpread($D85))</f>
        <v>--</v>
      </c>
      <c r="H85" s="10" t="e">
        <f>_xll.qlRateHelperEarliestDate($D85)</f>
        <v>#VALUE!</v>
      </c>
      <c r="I85" s="11" t="e">
        <f>_xll.qlRateHelperLatestDate($D85)</f>
        <v>#VALUE!</v>
      </c>
      <c r="J85" s="5" t="e">
        <v>#N/A</v>
      </c>
      <c r="K85" s="5"/>
      <c r="L85" s="258"/>
    </row>
    <row r="86" spans="4:12" x14ac:dyDescent="0.2">
      <c r="D86" s="8" t="e">
        <v>#N/A</v>
      </c>
      <c r="E86" s="8" t="e">
        <f>SUBSTITUTE(_xll.qlRateHelperQuoteName(D86),"6L","3LBASIS")</f>
        <v>#VALUE!</v>
      </c>
      <c r="F86" s="9" t="e">
        <f>_xll.qlRateHelperRate($D86)</f>
        <v>#VALUE!</v>
      </c>
      <c r="G86" s="9" t="str">
        <f>IF(ISERROR(_xll.qlSwapRateHelperSpread($D86)),IF(ISERROR(_xll.qlFuturesRateHelperConvexityAdjustment($D86)),"--",_xll.qlFuturesRateHelperConvexityAdjustment($D86)),_xll.qlSwapRateHelperSpread($D86))</f>
        <v>--</v>
      </c>
      <c r="H86" s="10" t="e">
        <f>_xll.qlRateHelperEarliestDate($D86)</f>
        <v>#VALUE!</v>
      </c>
      <c r="I86" s="11" t="e">
        <f>_xll.qlRateHelperLatestDate($D86)</f>
        <v>#VALUE!</v>
      </c>
      <c r="J86" s="5" t="e">
        <v>#N/A</v>
      </c>
      <c r="K86" s="5"/>
      <c r="L86" s="258"/>
    </row>
    <row r="87" spans="4:12" x14ac:dyDescent="0.2">
      <c r="D87" s="8" t="e">
        <v>#N/A</v>
      </c>
      <c r="E87" s="8" t="e">
        <f>SUBSTITUTE(_xll.qlRateHelperQuoteName(D87),"6L","3LBASIS")</f>
        <v>#VALUE!</v>
      </c>
      <c r="F87" s="9" t="e">
        <f>_xll.qlRateHelperRate($D87)</f>
        <v>#VALUE!</v>
      </c>
      <c r="G87" s="9" t="str">
        <f>IF(ISERROR(_xll.qlSwapRateHelperSpread($D87)),IF(ISERROR(_xll.qlFuturesRateHelperConvexityAdjustment($D87)),"--",_xll.qlFuturesRateHelperConvexityAdjustment($D87)),_xll.qlSwapRateHelperSpread($D87))</f>
        <v>--</v>
      </c>
      <c r="H87" s="10" t="e">
        <f>_xll.qlRateHelperEarliestDate($D87)</f>
        <v>#VALUE!</v>
      </c>
      <c r="I87" s="11" t="e">
        <f>_xll.qlRateHelperLatestDate($D87)</f>
        <v>#VALUE!</v>
      </c>
      <c r="J87" s="5" t="e">
        <v>#N/A</v>
      </c>
      <c r="K87" s="5"/>
      <c r="L87" s="258"/>
    </row>
    <row r="88" spans="4:12" x14ac:dyDescent="0.2">
      <c r="D88" s="8" t="e">
        <v>#N/A</v>
      </c>
      <c r="E88" s="8" t="e">
        <f>SUBSTITUTE(_xll.qlRateHelperQuoteName(D88),"6L","3LBASIS")</f>
        <v>#VALUE!</v>
      </c>
      <c r="F88" s="9" t="e">
        <f>_xll.qlRateHelperRate($D88)</f>
        <v>#VALUE!</v>
      </c>
      <c r="G88" s="9" t="str">
        <f>IF(ISERROR(_xll.qlSwapRateHelperSpread($D88)),IF(ISERROR(_xll.qlFuturesRateHelperConvexityAdjustment($D88)),"--",_xll.qlFuturesRateHelperConvexityAdjustment($D88)),_xll.qlSwapRateHelperSpread($D88))</f>
        <v>--</v>
      </c>
      <c r="H88" s="10" t="e">
        <f>_xll.qlRateHelperEarliestDate($D88)</f>
        <v>#VALUE!</v>
      </c>
      <c r="I88" s="11" t="e">
        <f>_xll.qlRateHelperLatestDate($D88)</f>
        <v>#VALUE!</v>
      </c>
      <c r="J88" s="5" t="e">
        <v>#N/A</v>
      </c>
      <c r="K88" s="5"/>
      <c r="L88" s="258"/>
    </row>
    <row r="89" spans="4:12" x14ac:dyDescent="0.2">
      <c r="D89" s="8" t="e">
        <v>#N/A</v>
      </c>
      <c r="E89" s="8" t="e">
        <f>SUBSTITUTE(_xll.qlRateHelperQuoteName(D89),"6L","3LBASIS")</f>
        <v>#VALUE!</v>
      </c>
      <c r="F89" s="9" t="e">
        <f>_xll.qlRateHelperRate($D89)</f>
        <v>#VALUE!</v>
      </c>
      <c r="G89" s="9" t="str">
        <f>IF(ISERROR(_xll.qlSwapRateHelperSpread($D89)),IF(ISERROR(_xll.qlFuturesRateHelperConvexityAdjustment($D89)),"--",_xll.qlFuturesRateHelperConvexityAdjustment($D89)),_xll.qlSwapRateHelperSpread($D89))</f>
        <v>--</v>
      </c>
      <c r="H89" s="10" t="e">
        <f>_xll.qlRateHelperEarliestDate($D89)</f>
        <v>#VALUE!</v>
      </c>
      <c r="I89" s="11" t="e">
        <f>_xll.qlRateHelperLatestDate($D89)</f>
        <v>#VALUE!</v>
      </c>
      <c r="J89" s="5" t="e">
        <v>#N/A</v>
      </c>
      <c r="K89" s="5"/>
      <c r="L89" s="258"/>
    </row>
    <row r="90" spans="4:12" x14ac:dyDescent="0.2">
      <c r="D90" s="8" t="e">
        <v>#N/A</v>
      </c>
      <c r="E90" s="8" t="e">
        <f>SUBSTITUTE(_xll.qlRateHelperQuoteName(D90),"6L","3LBASIS")</f>
        <v>#VALUE!</v>
      </c>
      <c r="F90" s="9" t="e">
        <f>_xll.qlRateHelperRate($D90)</f>
        <v>#VALUE!</v>
      </c>
      <c r="G90" s="9" t="str">
        <f>IF(ISERROR(_xll.qlSwapRateHelperSpread($D90)),IF(ISERROR(_xll.qlFuturesRateHelperConvexityAdjustment($D90)),"--",_xll.qlFuturesRateHelperConvexityAdjustment($D90)),_xll.qlSwapRateHelperSpread($D90))</f>
        <v>--</v>
      </c>
      <c r="H90" s="10" t="e">
        <f>_xll.qlRateHelperEarliestDate($D90)</f>
        <v>#VALUE!</v>
      </c>
      <c r="I90" s="11" t="e">
        <f>_xll.qlRateHelperLatestDate($D90)</f>
        <v>#VALUE!</v>
      </c>
      <c r="J90" s="5" t="e">
        <v>#N/A</v>
      </c>
      <c r="K90" s="5"/>
      <c r="L90" s="258"/>
    </row>
    <row r="91" spans="4:12" x14ac:dyDescent="0.2">
      <c r="D91" s="8" t="e">
        <v>#N/A</v>
      </c>
      <c r="E91" s="8" t="e">
        <f>SUBSTITUTE(_xll.qlRateHelperQuoteName(D91),"6L","3LBASIS")</f>
        <v>#VALUE!</v>
      </c>
      <c r="F91" s="9" t="e">
        <f>_xll.qlRateHelperRate($D91)</f>
        <v>#VALUE!</v>
      </c>
      <c r="G91" s="9" t="str">
        <f>IF(ISERROR(_xll.qlSwapRateHelperSpread($D91)),IF(ISERROR(_xll.qlFuturesRateHelperConvexityAdjustment($D91)),"--",_xll.qlFuturesRateHelperConvexityAdjustment($D91)),_xll.qlSwapRateHelperSpread($D91))</f>
        <v>--</v>
      </c>
      <c r="H91" s="10" t="e">
        <f>_xll.qlRateHelperEarliestDate($D91)</f>
        <v>#VALUE!</v>
      </c>
      <c r="I91" s="11" t="e">
        <f>_xll.qlRateHelperLatestDate($D91)</f>
        <v>#VALUE!</v>
      </c>
      <c r="J91" s="5" t="e">
        <v>#N/A</v>
      </c>
      <c r="K91" s="5"/>
      <c r="L91" s="258"/>
    </row>
    <row r="92" spans="4:12" x14ac:dyDescent="0.2">
      <c r="D92" s="8" t="e">
        <v>#N/A</v>
      </c>
      <c r="E92" s="8" t="e">
        <f>SUBSTITUTE(_xll.qlRateHelperQuoteName(D92),"6L","3LBASIS")</f>
        <v>#VALUE!</v>
      </c>
      <c r="F92" s="9" t="e">
        <f>_xll.qlRateHelperRate($D92)</f>
        <v>#VALUE!</v>
      </c>
      <c r="G92" s="9" t="str">
        <f>IF(ISERROR(_xll.qlSwapRateHelperSpread($D92)),IF(ISERROR(_xll.qlFuturesRateHelperConvexityAdjustment($D92)),"--",_xll.qlFuturesRateHelperConvexityAdjustment($D92)),_xll.qlSwapRateHelperSpread($D92))</f>
        <v>--</v>
      </c>
      <c r="H92" s="10" t="e">
        <f>_xll.qlRateHelperEarliestDate($D92)</f>
        <v>#VALUE!</v>
      </c>
      <c r="I92" s="11" t="e">
        <f>_xll.qlRateHelperLatestDate($D92)</f>
        <v>#VALUE!</v>
      </c>
      <c r="J92" s="5" t="e">
        <v>#N/A</v>
      </c>
      <c r="K92" s="5"/>
      <c r="L92" s="258"/>
    </row>
    <row r="93" spans="4:12" x14ac:dyDescent="0.2">
      <c r="D93" s="8" t="e">
        <v>#N/A</v>
      </c>
      <c r="E93" s="8" t="e">
        <f>SUBSTITUTE(_xll.qlRateHelperQuoteName(D93),"6L","3LBASIS")</f>
        <v>#VALUE!</v>
      </c>
      <c r="F93" s="9" t="e">
        <f>_xll.qlRateHelperRate($D93)</f>
        <v>#VALUE!</v>
      </c>
      <c r="G93" s="9" t="str">
        <f>IF(ISERROR(_xll.qlSwapRateHelperSpread($D93)),IF(ISERROR(_xll.qlFuturesRateHelperConvexityAdjustment($D93)),"--",_xll.qlFuturesRateHelperConvexityAdjustment($D93)),_xll.qlSwapRateHelperSpread($D93))</f>
        <v>--</v>
      </c>
      <c r="H93" s="10" t="e">
        <f>_xll.qlRateHelperEarliestDate($D93)</f>
        <v>#VALUE!</v>
      </c>
      <c r="I93" s="11" t="e">
        <f>_xll.qlRateHelperLatestDate($D93)</f>
        <v>#VALUE!</v>
      </c>
      <c r="J93" s="5" t="e">
        <v>#N/A</v>
      </c>
      <c r="K93" s="5"/>
      <c r="L93" s="258"/>
    </row>
    <row r="94" spans="4:12" x14ac:dyDescent="0.2">
      <c r="D94" s="8" t="e">
        <v>#N/A</v>
      </c>
      <c r="E94" s="8" t="e">
        <f>SUBSTITUTE(_xll.qlRateHelperQuoteName(D94),"6L","3LBASIS")</f>
        <v>#VALUE!</v>
      </c>
      <c r="F94" s="9" t="e">
        <f>_xll.qlRateHelperRate($D94)</f>
        <v>#VALUE!</v>
      </c>
      <c r="G94" s="9" t="str">
        <f>IF(ISERROR(_xll.qlSwapRateHelperSpread($D94)),IF(ISERROR(_xll.qlFuturesRateHelperConvexityAdjustment($D94)),"--",_xll.qlFuturesRateHelperConvexityAdjustment($D94)),_xll.qlSwapRateHelperSpread($D94))</f>
        <v>--</v>
      </c>
      <c r="H94" s="10" t="e">
        <f>_xll.qlRateHelperEarliestDate($D94)</f>
        <v>#VALUE!</v>
      </c>
      <c r="I94" s="11" t="e">
        <f>_xll.qlRateHelperLatestDate($D94)</f>
        <v>#VALUE!</v>
      </c>
      <c r="J94" s="5" t="e">
        <v>#N/A</v>
      </c>
      <c r="K94" s="5"/>
      <c r="L94" s="258"/>
    </row>
    <row r="95" spans="4:12" x14ac:dyDescent="0.2">
      <c r="D95" s="8" t="e">
        <v>#N/A</v>
      </c>
      <c r="E95" s="8" t="e">
        <f>SUBSTITUTE(_xll.qlRateHelperQuoteName(D95),"6L","3LBASIS")</f>
        <v>#VALUE!</v>
      </c>
      <c r="F95" s="9" t="e">
        <f>_xll.qlRateHelperRate($D95)</f>
        <v>#VALUE!</v>
      </c>
      <c r="G95" s="9" t="str">
        <f>IF(ISERROR(_xll.qlSwapRateHelperSpread($D95)),IF(ISERROR(_xll.qlFuturesRateHelperConvexityAdjustment($D95)),"--",_xll.qlFuturesRateHelperConvexityAdjustment($D95)),_xll.qlSwapRateHelperSpread($D95))</f>
        <v>--</v>
      </c>
      <c r="H95" s="10" t="e">
        <f>_xll.qlRateHelperEarliestDate($D95)</f>
        <v>#VALUE!</v>
      </c>
      <c r="I95" s="11" t="e">
        <f>_xll.qlRateHelperLatestDate($D95)</f>
        <v>#VALUE!</v>
      </c>
      <c r="J95" s="5" t="e">
        <v>#N/A</v>
      </c>
      <c r="K95" s="5"/>
      <c r="L95" s="258"/>
    </row>
    <row r="96" spans="4:12" x14ac:dyDescent="0.2">
      <c r="D96" s="8" t="e">
        <v>#N/A</v>
      </c>
      <c r="E96" s="8" t="e">
        <f>SUBSTITUTE(_xll.qlRateHelperQuoteName(D96),"6L","3LBASIS")</f>
        <v>#VALUE!</v>
      </c>
      <c r="F96" s="9" t="e">
        <f>_xll.qlRateHelperRate($D96)</f>
        <v>#VALUE!</v>
      </c>
      <c r="G96" s="9" t="str">
        <f>IF(ISERROR(_xll.qlSwapRateHelperSpread($D96)),IF(ISERROR(_xll.qlFuturesRateHelperConvexityAdjustment($D96)),"--",_xll.qlFuturesRateHelperConvexityAdjustment($D96)),_xll.qlSwapRateHelperSpread($D96))</f>
        <v>--</v>
      </c>
      <c r="H96" s="10" t="e">
        <f>_xll.qlRateHelperEarliestDate($D96)</f>
        <v>#VALUE!</v>
      </c>
      <c r="I96" s="11" t="e">
        <f>_xll.qlRateHelperLatestDate($D96)</f>
        <v>#VALUE!</v>
      </c>
      <c r="J96" s="5" t="e">
        <v>#N/A</v>
      </c>
      <c r="K96" s="5"/>
      <c r="L96" s="258"/>
    </row>
    <row r="97" spans="4:12" x14ac:dyDescent="0.2">
      <c r="D97" s="8" t="e">
        <v>#N/A</v>
      </c>
      <c r="E97" s="8" t="e">
        <f>SUBSTITUTE(_xll.qlRateHelperQuoteName(D97),"6L","3LBASIS")</f>
        <v>#VALUE!</v>
      </c>
      <c r="F97" s="9" t="e">
        <f>_xll.qlRateHelperRate($D97)</f>
        <v>#VALUE!</v>
      </c>
      <c r="G97" s="9" t="str">
        <f>IF(ISERROR(_xll.qlSwapRateHelperSpread($D97)),IF(ISERROR(_xll.qlFuturesRateHelperConvexityAdjustment($D97)),"--",_xll.qlFuturesRateHelperConvexityAdjustment($D97)),_xll.qlSwapRateHelperSpread($D97))</f>
        <v>--</v>
      </c>
      <c r="H97" s="10" t="e">
        <f>_xll.qlRateHelperEarliestDate($D97)</f>
        <v>#VALUE!</v>
      </c>
      <c r="I97" s="11" t="e">
        <f>_xll.qlRateHelperLatestDate($D97)</f>
        <v>#VALUE!</v>
      </c>
      <c r="J97" s="5" t="e">
        <v>#N/A</v>
      </c>
      <c r="K97" s="5"/>
      <c r="L97" s="258"/>
    </row>
    <row r="98" spans="4:12" x14ac:dyDescent="0.2">
      <c r="D98" s="8" t="e">
        <v>#N/A</v>
      </c>
      <c r="E98" s="8" t="e">
        <f>SUBSTITUTE(_xll.qlRateHelperQuoteName(D98),"6L","3LBASIS")</f>
        <v>#VALUE!</v>
      </c>
      <c r="F98" s="9" t="e">
        <f>_xll.qlRateHelperRate($D98)</f>
        <v>#VALUE!</v>
      </c>
      <c r="G98" s="9" t="str">
        <f>IF(ISERROR(_xll.qlSwapRateHelperSpread($D98)),IF(ISERROR(_xll.qlFuturesRateHelperConvexityAdjustment($D98)),"--",_xll.qlFuturesRateHelperConvexityAdjustment($D98)),_xll.qlSwapRateHelperSpread($D98))</f>
        <v>--</v>
      </c>
      <c r="H98" s="10" t="e">
        <f>_xll.qlRateHelperEarliestDate($D98)</f>
        <v>#VALUE!</v>
      </c>
      <c r="I98" s="11" t="e">
        <f>_xll.qlRateHelperLatestDate($D98)</f>
        <v>#VALUE!</v>
      </c>
      <c r="J98" s="5" t="e">
        <v>#N/A</v>
      </c>
      <c r="K98" s="5"/>
      <c r="L98" s="258"/>
    </row>
    <row r="99" spans="4:12" x14ac:dyDescent="0.2">
      <c r="D99" s="8" t="e">
        <v>#N/A</v>
      </c>
      <c r="E99" s="8" t="e">
        <f>SUBSTITUTE(_xll.qlRateHelperQuoteName(D99),"6L","3LBASIS")</f>
        <v>#VALUE!</v>
      </c>
      <c r="F99" s="9" t="e">
        <f>_xll.qlRateHelperRate($D99)</f>
        <v>#VALUE!</v>
      </c>
      <c r="G99" s="9" t="str">
        <f>IF(ISERROR(_xll.qlSwapRateHelperSpread($D99)),IF(ISERROR(_xll.qlFuturesRateHelperConvexityAdjustment($D99)),"--",_xll.qlFuturesRateHelperConvexityAdjustment($D99)),_xll.qlSwapRateHelperSpread($D99))</f>
        <v>--</v>
      </c>
      <c r="H99" s="10" t="e">
        <f>_xll.qlRateHelperEarliestDate($D99)</f>
        <v>#VALUE!</v>
      </c>
      <c r="I99" s="11" t="e">
        <f>_xll.qlRateHelperLatestDate($D99)</f>
        <v>#VALUE!</v>
      </c>
      <c r="J99" s="5" t="e">
        <v>#N/A</v>
      </c>
      <c r="K99" s="5"/>
      <c r="L99" s="258"/>
    </row>
    <row r="100" spans="4:12" x14ac:dyDescent="0.2">
      <c r="D100" s="8" t="e">
        <v>#N/A</v>
      </c>
      <c r="E100" s="8" t="e">
        <f>SUBSTITUTE(_xll.qlRateHelperQuoteName(D100),"6L","3LBASIS")</f>
        <v>#VALUE!</v>
      </c>
      <c r="F100" s="9" t="e">
        <f>_xll.qlRateHelperRate($D100)</f>
        <v>#VALUE!</v>
      </c>
      <c r="G100" s="9" t="str">
        <f>IF(ISERROR(_xll.qlSwapRateHelperSpread($D100)),IF(ISERROR(_xll.qlFuturesRateHelperConvexityAdjustment($D100)),"--",_xll.qlFuturesRateHelperConvexityAdjustment($D100)),_xll.qlSwapRateHelperSpread($D100))</f>
        <v>--</v>
      </c>
      <c r="H100" s="10" t="e">
        <f>_xll.qlRateHelperEarliestDate($D100)</f>
        <v>#VALUE!</v>
      </c>
      <c r="I100" s="11" t="e">
        <f>_xll.qlRateHelperLatestDate($D100)</f>
        <v>#VALUE!</v>
      </c>
      <c r="J100" s="5" t="e">
        <v>#N/A</v>
      </c>
      <c r="K100" s="5"/>
      <c r="L100" s="258"/>
    </row>
    <row r="101" spans="4:12" x14ac:dyDescent="0.2">
      <c r="D101" s="8" t="e">
        <v>#N/A</v>
      </c>
      <c r="E101" s="8" t="e">
        <f>SUBSTITUTE(_xll.qlRateHelperQuoteName(D101),"6L","3LBASIS")</f>
        <v>#VALUE!</v>
      </c>
      <c r="F101" s="9" t="e">
        <f>_xll.qlRateHelperRate($D101)</f>
        <v>#VALUE!</v>
      </c>
      <c r="G101" s="9" t="str">
        <f>IF(ISERROR(_xll.qlSwapRateHelperSpread($D101)),IF(ISERROR(_xll.qlFuturesRateHelperConvexityAdjustment($D101)),"--",_xll.qlFuturesRateHelperConvexityAdjustment($D101)),_xll.qlSwapRateHelperSpread($D101))</f>
        <v>--</v>
      </c>
      <c r="H101" s="10" t="e">
        <f>_xll.qlRateHelperEarliestDate($D101)</f>
        <v>#VALUE!</v>
      </c>
      <c r="I101" s="11" t="e">
        <f>_xll.qlRateHelperLatestDate($D101)</f>
        <v>#VALUE!</v>
      </c>
      <c r="J101" s="5" t="e">
        <v>#N/A</v>
      </c>
      <c r="K101" s="5"/>
      <c r="L101" s="258"/>
    </row>
    <row r="102" spans="4:12" x14ac:dyDescent="0.2">
      <c r="D102" s="8" t="e">
        <v>#N/A</v>
      </c>
      <c r="E102" s="8" t="e">
        <f>SUBSTITUTE(_xll.qlRateHelperQuoteName(D102),"6L","3LBASIS")</f>
        <v>#VALUE!</v>
      </c>
      <c r="F102" s="9" t="e">
        <f>_xll.qlRateHelperRate($D102)</f>
        <v>#VALUE!</v>
      </c>
      <c r="G102" s="9" t="str">
        <f>IF(ISERROR(_xll.qlSwapRateHelperSpread($D102)),IF(ISERROR(_xll.qlFuturesRateHelperConvexityAdjustment($D102)),"--",_xll.qlFuturesRateHelperConvexityAdjustment($D102)),_xll.qlSwapRateHelperSpread($D102))</f>
        <v>--</v>
      </c>
      <c r="H102" s="10" t="e">
        <f>_xll.qlRateHelperEarliestDate($D102)</f>
        <v>#VALUE!</v>
      </c>
      <c r="I102" s="11" t="e">
        <f>_xll.qlRateHelperLatestDate($D102)</f>
        <v>#VALUE!</v>
      </c>
      <c r="J102" s="5" t="e">
        <v>#N/A</v>
      </c>
      <c r="K102" s="5"/>
      <c r="L102" s="258"/>
    </row>
    <row r="103" spans="4:12" x14ac:dyDescent="0.2">
      <c r="D103" s="8" t="e">
        <v>#N/A</v>
      </c>
      <c r="E103" s="8" t="e">
        <f>SUBSTITUTE(_xll.qlRateHelperQuoteName(D103),"6L","3LBASIS")</f>
        <v>#VALUE!</v>
      </c>
      <c r="F103" s="9" t="e">
        <f>_xll.qlRateHelperRate($D103)</f>
        <v>#VALUE!</v>
      </c>
      <c r="G103" s="9" t="str">
        <f>IF(ISERROR(_xll.qlSwapRateHelperSpread($D103)),IF(ISERROR(_xll.qlFuturesRateHelperConvexityAdjustment($D103)),"--",_xll.qlFuturesRateHelperConvexityAdjustment($D103)),_xll.qlSwapRateHelperSpread($D103))</f>
        <v>--</v>
      </c>
      <c r="H103" s="10" t="e">
        <f>_xll.qlRateHelperEarliestDate($D103)</f>
        <v>#VALUE!</v>
      </c>
      <c r="I103" s="11" t="e">
        <f>_xll.qlRateHelperLatestDate($D103)</f>
        <v>#VALUE!</v>
      </c>
      <c r="J103" s="5" t="e">
        <v>#N/A</v>
      </c>
      <c r="K103" s="5"/>
      <c r="L103" s="258"/>
    </row>
    <row r="104" spans="4:12" x14ac:dyDescent="0.2">
      <c r="D104" s="8" t="e">
        <v>#N/A</v>
      </c>
      <c r="E104" s="8" t="e">
        <f>SUBSTITUTE(_xll.qlRateHelperQuoteName(D104),"6L","3LBASIS")</f>
        <v>#VALUE!</v>
      </c>
      <c r="F104" s="9" t="e">
        <f>_xll.qlRateHelperRate($D104)</f>
        <v>#VALUE!</v>
      </c>
      <c r="G104" s="9" t="str">
        <f>IF(ISERROR(_xll.qlSwapRateHelperSpread($D104)),IF(ISERROR(_xll.qlFuturesRateHelperConvexityAdjustment($D104)),"--",_xll.qlFuturesRateHelperConvexityAdjustment($D104)),_xll.qlSwapRateHelperSpread($D104))</f>
        <v>--</v>
      </c>
      <c r="H104" s="10" t="e">
        <f>_xll.qlRateHelperEarliestDate($D104)</f>
        <v>#VALUE!</v>
      </c>
      <c r="I104" s="11" t="e">
        <f>_xll.qlRateHelperLatestDate($D104)</f>
        <v>#VALUE!</v>
      </c>
      <c r="J104" s="5" t="e">
        <v>#N/A</v>
      </c>
      <c r="K104" s="5"/>
      <c r="L104" s="258"/>
    </row>
    <row r="105" spans="4:12" x14ac:dyDescent="0.2">
      <c r="D105" s="8" t="e">
        <v>#N/A</v>
      </c>
      <c r="E105" s="8" t="e">
        <f>SUBSTITUTE(_xll.qlRateHelperQuoteName(D105),"6L","3LBASIS")</f>
        <v>#VALUE!</v>
      </c>
      <c r="F105" s="9" t="e">
        <f>_xll.qlRateHelperRate($D105)</f>
        <v>#VALUE!</v>
      </c>
      <c r="G105" s="9" t="str">
        <f>IF(ISERROR(_xll.qlSwapRateHelperSpread($D105)),IF(ISERROR(_xll.qlFuturesRateHelperConvexityAdjustment($D105)),"--",_xll.qlFuturesRateHelperConvexityAdjustment($D105)),_xll.qlSwapRateHelperSpread($D105))</f>
        <v>--</v>
      </c>
      <c r="H105" s="10" t="e">
        <f>_xll.qlRateHelperEarliestDate($D105)</f>
        <v>#VALUE!</v>
      </c>
      <c r="I105" s="11" t="e">
        <f>_xll.qlRateHelperLatestDate($D105)</f>
        <v>#VALUE!</v>
      </c>
      <c r="J105" s="5" t="e">
        <v>#N/A</v>
      </c>
      <c r="K105" s="5"/>
      <c r="L105" s="258"/>
    </row>
    <row r="106" spans="4:12" x14ac:dyDescent="0.2">
      <c r="D106" s="8" t="e">
        <v>#N/A</v>
      </c>
      <c r="E106" s="8" t="e">
        <f>SUBSTITUTE(_xll.qlRateHelperQuoteName(D106),"6L","3LBASIS")</f>
        <v>#VALUE!</v>
      </c>
      <c r="F106" s="9" t="e">
        <f>_xll.qlRateHelperRate($D106)</f>
        <v>#VALUE!</v>
      </c>
      <c r="G106" s="9" t="str">
        <f>IF(ISERROR(_xll.qlSwapRateHelperSpread($D106)),IF(ISERROR(_xll.qlFuturesRateHelperConvexityAdjustment($D106)),"--",_xll.qlFuturesRateHelperConvexityAdjustment($D106)),_xll.qlSwapRateHelperSpread($D106))</f>
        <v>--</v>
      </c>
      <c r="H106" s="10" t="e">
        <f>_xll.qlRateHelperEarliestDate($D106)</f>
        <v>#VALUE!</v>
      </c>
      <c r="I106" s="11" t="e">
        <f>_xll.qlRateHelperLatestDate($D106)</f>
        <v>#VALUE!</v>
      </c>
      <c r="J106" s="5" t="e">
        <v>#N/A</v>
      </c>
      <c r="K106" s="5"/>
      <c r="L106" s="258"/>
    </row>
    <row r="107" spans="4:12" x14ac:dyDescent="0.2">
      <c r="D107" s="8" t="e">
        <v>#N/A</v>
      </c>
      <c r="E107" s="8" t="e">
        <f>SUBSTITUTE(_xll.qlRateHelperQuoteName(D107),"6L","3LBASIS")</f>
        <v>#VALUE!</v>
      </c>
      <c r="F107" s="9" t="e">
        <f>_xll.qlRateHelperRate($D107)</f>
        <v>#VALUE!</v>
      </c>
      <c r="G107" s="9" t="str">
        <f>IF(ISERROR(_xll.qlSwapRateHelperSpread($D107)),IF(ISERROR(_xll.qlFuturesRateHelperConvexityAdjustment($D107)),"--",_xll.qlFuturesRateHelperConvexityAdjustment($D107)),_xll.qlSwapRateHelperSpread($D107))</f>
        <v>--</v>
      </c>
      <c r="H107" s="10" t="e">
        <f>_xll.qlRateHelperEarliestDate($D107)</f>
        <v>#VALUE!</v>
      </c>
      <c r="I107" s="11" t="e">
        <f>_xll.qlRateHelperLatestDate($D107)</f>
        <v>#VALUE!</v>
      </c>
      <c r="J107" s="5" t="e">
        <v>#N/A</v>
      </c>
      <c r="K107" s="5"/>
      <c r="L107" s="258"/>
    </row>
    <row r="108" spans="4:12" x14ac:dyDescent="0.2">
      <c r="D108" s="8" t="e">
        <v>#N/A</v>
      </c>
      <c r="E108" s="8" t="e">
        <f>SUBSTITUTE(_xll.qlRateHelperQuoteName(D108),"6L","3LBASIS")</f>
        <v>#VALUE!</v>
      </c>
      <c r="F108" s="9" t="e">
        <f>_xll.qlRateHelperRate($D108)</f>
        <v>#VALUE!</v>
      </c>
      <c r="G108" s="9" t="str">
        <f>IF(ISERROR(_xll.qlSwapRateHelperSpread($D108)),IF(ISERROR(_xll.qlFuturesRateHelperConvexityAdjustment($D108)),"--",_xll.qlFuturesRateHelperConvexityAdjustment($D108)),_xll.qlSwapRateHelperSpread($D108))</f>
        <v>--</v>
      </c>
      <c r="H108" s="10" t="e">
        <f>_xll.qlRateHelperEarliestDate($D108)</f>
        <v>#VALUE!</v>
      </c>
      <c r="I108" s="11" t="e">
        <f>_xll.qlRateHelperLatestDate($D108)</f>
        <v>#VALUE!</v>
      </c>
      <c r="J108" s="5" t="e">
        <v>#N/A</v>
      </c>
      <c r="K108" s="5"/>
      <c r="L108" s="258"/>
    </row>
    <row r="109" spans="4:12" x14ac:dyDescent="0.2">
      <c r="D109" s="8" t="e">
        <v>#N/A</v>
      </c>
      <c r="E109" s="8" t="e">
        <f>SUBSTITUTE(_xll.qlRateHelperQuoteName(D109),"6L","3LBASIS")</f>
        <v>#VALUE!</v>
      </c>
      <c r="F109" s="9" t="e">
        <f>_xll.qlRateHelperRate($D109)</f>
        <v>#VALUE!</v>
      </c>
      <c r="G109" s="9" t="str">
        <f>IF(ISERROR(_xll.qlSwapRateHelperSpread($D109)),IF(ISERROR(_xll.qlFuturesRateHelperConvexityAdjustment($D109)),"--",_xll.qlFuturesRateHelperConvexityAdjustment($D109)),_xll.qlSwapRateHelperSpread($D109))</f>
        <v>--</v>
      </c>
      <c r="H109" s="10" t="e">
        <f>_xll.qlRateHelperEarliestDate($D109)</f>
        <v>#VALUE!</v>
      </c>
      <c r="I109" s="11" t="e">
        <f>_xll.qlRateHelperLatestDate($D109)</f>
        <v>#VALUE!</v>
      </c>
      <c r="J109" s="5" t="e">
        <v>#N/A</v>
      </c>
      <c r="K109" s="5"/>
      <c r="L109" s="258"/>
    </row>
    <row r="110" spans="4:12" x14ac:dyDescent="0.2">
      <c r="D110" s="8" t="e">
        <v>#N/A</v>
      </c>
      <c r="E110" s="8" t="e">
        <f>SUBSTITUTE(_xll.qlRateHelperQuoteName(D110),"6L","3LBASIS")</f>
        <v>#VALUE!</v>
      </c>
      <c r="F110" s="9" t="e">
        <f>_xll.qlRateHelperRate($D110)</f>
        <v>#VALUE!</v>
      </c>
      <c r="G110" s="9" t="str">
        <f>IF(ISERROR(_xll.qlSwapRateHelperSpread($D110)),IF(ISERROR(_xll.qlFuturesRateHelperConvexityAdjustment($D110)),"--",_xll.qlFuturesRateHelperConvexityAdjustment($D110)),_xll.qlSwapRateHelperSpread($D110))</f>
        <v>--</v>
      </c>
      <c r="H110" s="10" t="e">
        <f>_xll.qlRateHelperEarliestDate($D110)</f>
        <v>#VALUE!</v>
      </c>
      <c r="I110" s="11" t="e">
        <f>_xll.qlRateHelperLatestDate($D110)</f>
        <v>#VALUE!</v>
      </c>
      <c r="J110" s="5" t="e">
        <v>#N/A</v>
      </c>
      <c r="K110" s="5"/>
      <c r="L110" s="258"/>
    </row>
    <row r="111" spans="4:12" x14ac:dyDescent="0.2">
      <c r="D111" s="8" t="e">
        <v>#N/A</v>
      </c>
      <c r="E111" s="8" t="e">
        <f>SUBSTITUTE(_xll.qlRateHelperQuoteName(D111),"6L","3LBASIS")</f>
        <v>#VALUE!</v>
      </c>
      <c r="F111" s="9" t="e">
        <f>_xll.qlRateHelperRate($D111)</f>
        <v>#VALUE!</v>
      </c>
      <c r="G111" s="9" t="str">
        <f>IF(ISERROR(_xll.qlSwapRateHelperSpread($D111)),IF(ISERROR(_xll.qlFuturesRateHelperConvexityAdjustment($D111)),"--",_xll.qlFuturesRateHelperConvexityAdjustment($D111)),_xll.qlSwapRateHelperSpread($D111))</f>
        <v>--</v>
      </c>
      <c r="H111" s="10" t="e">
        <f>_xll.qlRateHelperEarliestDate($D111)</f>
        <v>#VALUE!</v>
      </c>
      <c r="I111" s="11" t="e">
        <f>_xll.qlRateHelperLatestDate($D111)</f>
        <v>#VALUE!</v>
      </c>
      <c r="J111" s="5" t="e">
        <v>#N/A</v>
      </c>
      <c r="K111" s="5"/>
      <c r="L111" s="258"/>
    </row>
    <row r="112" spans="4:12" x14ac:dyDescent="0.2">
      <c r="D112" s="8" t="e">
        <v>#N/A</v>
      </c>
      <c r="E112" s="8" t="e">
        <f>SUBSTITUTE(_xll.qlRateHelperQuoteName(D112),"6L","3LBASIS")</f>
        <v>#VALUE!</v>
      </c>
      <c r="F112" s="9" t="e">
        <f>_xll.qlRateHelperRate($D112)</f>
        <v>#VALUE!</v>
      </c>
      <c r="G112" s="9" t="str">
        <f>IF(ISERROR(_xll.qlSwapRateHelperSpread($D112)),IF(ISERROR(_xll.qlFuturesRateHelperConvexityAdjustment($D112)),"--",_xll.qlFuturesRateHelperConvexityAdjustment($D112)),_xll.qlSwapRateHelperSpread($D112))</f>
        <v>--</v>
      </c>
      <c r="H112" s="10" t="e">
        <f>_xll.qlRateHelperEarliestDate($D112)</f>
        <v>#VALUE!</v>
      </c>
      <c r="I112" s="11" t="e">
        <f>_xll.qlRateHelperLatestDate($D112)</f>
        <v>#VALUE!</v>
      </c>
      <c r="J112" s="5" t="e">
        <v>#N/A</v>
      </c>
      <c r="K112" s="5"/>
      <c r="L112" s="258"/>
    </row>
    <row r="113" spans="4:12" x14ac:dyDescent="0.2">
      <c r="D113" s="8" t="e">
        <v>#N/A</v>
      </c>
      <c r="E113" s="8" t="e">
        <f>SUBSTITUTE(_xll.qlRateHelperQuoteName(D113),"6L","3LBASIS")</f>
        <v>#VALUE!</v>
      </c>
      <c r="F113" s="9" t="e">
        <f>_xll.qlRateHelperRate($D113)</f>
        <v>#VALUE!</v>
      </c>
      <c r="G113" s="9" t="str">
        <f>IF(ISERROR(_xll.qlSwapRateHelperSpread($D113)),IF(ISERROR(_xll.qlFuturesRateHelperConvexityAdjustment($D113)),"--",_xll.qlFuturesRateHelperConvexityAdjustment($D113)),_xll.qlSwapRateHelperSpread($D113))</f>
        <v>--</v>
      </c>
      <c r="H113" s="10" t="e">
        <f>_xll.qlRateHelperEarliestDate($D113)</f>
        <v>#VALUE!</v>
      </c>
      <c r="I113" s="11" t="e">
        <f>_xll.qlRateHelperLatestDate($D113)</f>
        <v>#VALUE!</v>
      </c>
      <c r="J113" s="5" t="e">
        <v>#N/A</v>
      </c>
      <c r="K113" s="5"/>
      <c r="L113" s="258"/>
    </row>
    <row r="114" spans="4:12" x14ac:dyDescent="0.2">
      <c r="D114" s="8" t="e">
        <v>#N/A</v>
      </c>
      <c r="E114" s="8" t="e">
        <f>SUBSTITUTE(_xll.qlRateHelperQuoteName(D114),"6L","3LBASIS")</f>
        <v>#VALUE!</v>
      </c>
      <c r="F114" s="9" t="e">
        <f>_xll.qlRateHelperRate($D114)</f>
        <v>#VALUE!</v>
      </c>
      <c r="G114" s="9" t="str">
        <f>IF(ISERROR(_xll.qlSwapRateHelperSpread($D114)),IF(ISERROR(_xll.qlFuturesRateHelperConvexityAdjustment($D114)),"--",_xll.qlFuturesRateHelperConvexityAdjustment($D114)),_xll.qlSwapRateHelperSpread($D114))</f>
        <v>--</v>
      </c>
      <c r="H114" s="10" t="e">
        <f>_xll.qlRateHelperEarliestDate($D114)</f>
        <v>#VALUE!</v>
      </c>
      <c r="I114" s="11" t="e">
        <f>_xll.qlRateHelperLatestDate($D114)</f>
        <v>#VALUE!</v>
      </c>
      <c r="J114" s="5" t="e">
        <v>#N/A</v>
      </c>
      <c r="K114" s="5"/>
      <c r="L114" s="258"/>
    </row>
    <row r="115" spans="4:12" x14ac:dyDescent="0.2">
      <c r="D115" s="8" t="e">
        <v>#N/A</v>
      </c>
      <c r="E115" s="8" t="e">
        <f>SUBSTITUTE(_xll.qlRateHelperQuoteName(D115),"6L","3LBASIS")</f>
        <v>#VALUE!</v>
      </c>
      <c r="F115" s="9" t="e">
        <f>_xll.qlRateHelperRate($D115)</f>
        <v>#VALUE!</v>
      </c>
      <c r="G115" s="9" t="str">
        <f>IF(ISERROR(_xll.qlSwapRateHelperSpread($D115)),IF(ISERROR(_xll.qlFuturesRateHelperConvexityAdjustment($D115)),"--",_xll.qlFuturesRateHelperConvexityAdjustment($D115)),_xll.qlSwapRateHelperSpread($D115))</f>
        <v>--</v>
      </c>
      <c r="H115" s="10" t="e">
        <f>_xll.qlRateHelperEarliestDate($D115)</f>
        <v>#VALUE!</v>
      </c>
      <c r="I115" s="11" t="e">
        <f>_xll.qlRateHelperLatestDate($D115)</f>
        <v>#VALUE!</v>
      </c>
      <c r="J115" s="5" t="e">
        <v>#N/A</v>
      </c>
      <c r="K115" s="5"/>
      <c r="L115" s="258"/>
    </row>
    <row r="116" spans="4:12" x14ac:dyDescent="0.2">
      <c r="D116" s="8" t="e">
        <v>#N/A</v>
      </c>
      <c r="E116" s="8" t="e">
        <f>SUBSTITUTE(_xll.qlRateHelperQuoteName(D116),"6L","3LBASIS")</f>
        <v>#VALUE!</v>
      </c>
      <c r="F116" s="9" t="e">
        <f>_xll.qlRateHelperRate($D116)</f>
        <v>#VALUE!</v>
      </c>
      <c r="G116" s="9" t="str">
        <f>IF(ISERROR(_xll.qlSwapRateHelperSpread($D116)),IF(ISERROR(_xll.qlFuturesRateHelperConvexityAdjustment($D116)),"--",_xll.qlFuturesRateHelperConvexityAdjustment($D116)),_xll.qlSwapRateHelperSpread($D116))</f>
        <v>--</v>
      </c>
      <c r="H116" s="10" t="e">
        <f>_xll.qlRateHelperEarliestDate($D116)</f>
        <v>#VALUE!</v>
      </c>
      <c r="I116" s="11" t="e">
        <f>_xll.qlRateHelperLatestDate($D116)</f>
        <v>#VALUE!</v>
      </c>
      <c r="J116" s="5" t="e">
        <v>#N/A</v>
      </c>
      <c r="K116" s="5"/>
      <c r="L116" s="258"/>
    </row>
    <row r="117" spans="4:12" x14ac:dyDescent="0.2">
      <c r="D117" s="8" t="e">
        <v>#N/A</v>
      </c>
      <c r="E117" s="8" t="e">
        <f>SUBSTITUTE(_xll.qlRateHelperQuoteName(D117),"6L","3LBASIS")</f>
        <v>#VALUE!</v>
      </c>
      <c r="F117" s="9" t="e">
        <f>_xll.qlRateHelperRate($D117)</f>
        <v>#VALUE!</v>
      </c>
      <c r="G117" s="9" t="str">
        <f>IF(ISERROR(_xll.qlSwapRateHelperSpread($D117)),IF(ISERROR(_xll.qlFuturesRateHelperConvexityAdjustment($D117)),"--",_xll.qlFuturesRateHelperConvexityAdjustment($D117)),_xll.qlSwapRateHelperSpread($D117))</f>
        <v>--</v>
      </c>
      <c r="H117" s="10" t="e">
        <f>_xll.qlRateHelperEarliestDate($D117)</f>
        <v>#VALUE!</v>
      </c>
      <c r="I117" s="11" t="e">
        <f>_xll.qlRateHelperLatestDate($D117)</f>
        <v>#VALUE!</v>
      </c>
      <c r="J117" s="5" t="e">
        <v>#N/A</v>
      </c>
      <c r="K117" s="5"/>
      <c r="L117" s="258"/>
    </row>
    <row r="118" spans="4:12" x14ac:dyDescent="0.2">
      <c r="D118" s="8" t="e">
        <v>#N/A</v>
      </c>
      <c r="E118" s="8" t="e">
        <f>SUBSTITUTE(_xll.qlRateHelperQuoteName(D118),"6L","3LBASIS")</f>
        <v>#VALUE!</v>
      </c>
      <c r="F118" s="9" t="e">
        <f>_xll.qlRateHelperRate($D118)</f>
        <v>#VALUE!</v>
      </c>
      <c r="G118" s="9" t="str">
        <f>IF(ISERROR(_xll.qlSwapRateHelperSpread($D118)),IF(ISERROR(_xll.qlFuturesRateHelperConvexityAdjustment($D118)),"--",_xll.qlFuturesRateHelperConvexityAdjustment($D118)),_xll.qlSwapRateHelperSpread($D118))</f>
        <v>--</v>
      </c>
      <c r="H118" s="10" t="e">
        <f>_xll.qlRateHelperEarliestDate($D118)</f>
        <v>#VALUE!</v>
      </c>
      <c r="I118" s="11" t="e">
        <f>_xll.qlRateHelperLatestDate($D118)</f>
        <v>#VALUE!</v>
      </c>
      <c r="J118" s="5" t="e">
        <v>#N/A</v>
      </c>
      <c r="K118" s="5"/>
      <c r="L118" s="258"/>
    </row>
    <row r="119" spans="4:12" x14ac:dyDescent="0.2">
      <c r="D119" s="8" t="e">
        <v>#N/A</v>
      </c>
      <c r="E119" s="8" t="e">
        <f>SUBSTITUTE(_xll.qlRateHelperQuoteName(D119),"6L","3LBASIS")</f>
        <v>#VALUE!</v>
      </c>
      <c r="F119" s="9" t="e">
        <f>_xll.qlRateHelperRate($D119)</f>
        <v>#VALUE!</v>
      </c>
      <c r="G119" s="9" t="str">
        <f>IF(ISERROR(_xll.qlSwapRateHelperSpread($D119)),IF(ISERROR(_xll.qlFuturesRateHelperConvexityAdjustment($D119)),"--",_xll.qlFuturesRateHelperConvexityAdjustment($D119)),_xll.qlSwapRateHelperSpread($D119))</f>
        <v>--</v>
      </c>
      <c r="H119" s="10" t="e">
        <f>_xll.qlRateHelperEarliestDate($D119)</f>
        <v>#VALUE!</v>
      </c>
      <c r="I119" s="11" t="e">
        <f>_xll.qlRateHelperLatestDate($D119)</f>
        <v>#VALUE!</v>
      </c>
      <c r="J119" s="5" t="e">
        <v>#N/A</v>
      </c>
      <c r="K119" s="5"/>
      <c r="L119" s="258"/>
    </row>
    <row r="120" spans="4:12" x14ac:dyDescent="0.2">
      <c r="D120" s="8" t="e">
        <v>#N/A</v>
      </c>
      <c r="E120" s="8" t="e">
        <f>SUBSTITUTE(_xll.qlRateHelperQuoteName(D120),"6L","3LBASIS")</f>
        <v>#VALUE!</v>
      </c>
      <c r="F120" s="9" t="e">
        <f>_xll.qlRateHelperRate($D120)</f>
        <v>#VALUE!</v>
      </c>
      <c r="G120" s="9" t="str">
        <f>IF(ISERROR(_xll.qlSwapRateHelperSpread($D120)),IF(ISERROR(_xll.qlFuturesRateHelperConvexityAdjustment($D120)),"--",_xll.qlFuturesRateHelperConvexityAdjustment($D120)),_xll.qlSwapRateHelperSpread($D120))</f>
        <v>--</v>
      </c>
      <c r="H120" s="10" t="e">
        <f>_xll.qlRateHelperEarliestDate($D120)</f>
        <v>#VALUE!</v>
      </c>
      <c r="I120" s="11" t="e">
        <f>_xll.qlRateHelperLatestDate($D120)</f>
        <v>#VALUE!</v>
      </c>
      <c r="J120" s="5" t="e">
        <v>#N/A</v>
      </c>
      <c r="K120" s="5"/>
      <c r="L120" s="258"/>
    </row>
    <row r="121" spans="4:12" x14ac:dyDescent="0.2">
      <c r="D121" s="8" t="e">
        <v>#N/A</v>
      </c>
      <c r="E121" s="8" t="e">
        <f>SUBSTITUTE(_xll.qlRateHelperQuoteName(D121),"6L","3LBASIS")</f>
        <v>#VALUE!</v>
      </c>
      <c r="F121" s="9" t="e">
        <f>_xll.qlRateHelperRate($D121)</f>
        <v>#VALUE!</v>
      </c>
      <c r="G121" s="9" t="str">
        <f>IF(ISERROR(_xll.qlSwapRateHelperSpread($D121)),IF(ISERROR(_xll.qlFuturesRateHelperConvexityAdjustment($D121)),"--",_xll.qlFuturesRateHelperConvexityAdjustment($D121)),_xll.qlSwapRateHelperSpread($D121))</f>
        <v>--</v>
      </c>
      <c r="H121" s="10" t="e">
        <f>_xll.qlRateHelperEarliestDate($D121)</f>
        <v>#VALUE!</v>
      </c>
      <c r="I121" s="11" t="e">
        <f>_xll.qlRateHelperLatestDate($D121)</f>
        <v>#VALUE!</v>
      </c>
      <c r="J121" s="5" t="e">
        <v>#N/A</v>
      </c>
      <c r="K121" s="5"/>
      <c r="L121" s="258"/>
    </row>
    <row r="122" spans="4:12" x14ac:dyDescent="0.2">
      <c r="D122" s="8" t="e">
        <v>#N/A</v>
      </c>
      <c r="E122" s="8" t="e">
        <f>SUBSTITUTE(_xll.qlRateHelperQuoteName(D122),"6L","3LBASIS")</f>
        <v>#VALUE!</v>
      </c>
      <c r="F122" s="9" t="e">
        <f>_xll.qlRateHelperRate($D122)</f>
        <v>#VALUE!</v>
      </c>
      <c r="G122" s="9" t="str">
        <f>IF(ISERROR(_xll.qlSwapRateHelperSpread($D122)),IF(ISERROR(_xll.qlFuturesRateHelperConvexityAdjustment($D122)),"--",_xll.qlFuturesRateHelperConvexityAdjustment($D122)),_xll.qlSwapRateHelperSpread($D122))</f>
        <v>--</v>
      </c>
      <c r="H122" s="10" t="e">
        <f>_xll.qlRateHelperEarliestDate($D122)</f>
        <v>#VALUE!</v>
      </c>
      <c r="I122" s="11" t="e">
        <f>_xll.qlRateHelperLatestDate($D122)</f>
        <v>#VALUE!</v>
      </c>
      <c r="J122" s="5" t="e">
        <v>#N/A</v>
      </c>
      <c r="K122" s="5"/>
      <c r="L122" s="258"/>
    </row>
    <row r="123" spans="4:12" x14ac:dyDescent="0.2">
      <c r="D123" s="8" t="e">
        <v>#N/A</v>
      </c>
      <c r="E123" s="8" t="e">
        <f>SUBSTITUTE(_xll.qlRateHelperQuoteName(D123),"6L","3LBASIS")</f>
        <v>#VALUE!</v>
      </c>
      <c r="F123" s="9" t="e">
        <f>_xll.qlRateHelperRate($D123)</f>
        <v>#VALUE!</v>
      </c>
      <c r="G123" s="9" t="str">
        <f>IF(ISERROR(_xll.qlSwapRateHelperSpread($D123)),IF(ISERROR(_xll.qlFuturesRateHelperConvexityAdjustment($D123)),"--",_xll.qlFuturesRateHelperConvexityAdjustment($D123)),_xll.qlSwapRateHelperSpread($D123))</f>
        <v>--</v>
      </c>
      <c r="H123" s="10" t="e">
        <f>_xll.qlRateHelperEarliestDate($D123)</f>
        <v>#VALUE!</v>
      </c>
      <c r="I123" s="11" t="e">
        <f>_xll.qlRateHelperLatestDate($D123)</f>
        <v>#VALUE!</v>
      </c>
      <c r="J123" s="5" t="e">
        <v>#N/A</v>
      </c>
      <c r="K123" s="5"/>
      <c r="L123" s="258"/>
    </row>
    <row r="124" spans="4:12" x14ac:dyDescent="0.2">
      <c r="D124" s="8" t="e">
        <v>#N/A</v>
      </c>
      <c r="E124" s="8" t="e">
        <f>SUBSTITUTE(_xll.qlRateHelperQuoteName(D124),"6L","3LBASIS")</f>
        <v>#VALUE!</v>
      </c>
      <c r="F124" s="9" t="e">
        <f>_xll.qlRateHelperRate($D124)</f>
        <v>#VALUE!</v>
      </c>
      <c r="G124" s="9" t="str">
        <f>IF(ISERROR(_xll.qlSwapRateHelperSpread($D124)),IF(ISERROR(_xll.qlFuturesRateHelperConvexityAdjustment($D124)),"--",_xll.qlFuturesRateHelperConvexityAdjustment($D124)),_xll.qlSwapRateHelperSpread($D124))</f>
        <v>--</v>
      </c>
      <c r="H124" s="10" t="e">
        <f>_xll.qlRateHelperEarliestDate($D124)</f>
        <v>#VALUE!</v>
      </c>
      <c r="I124" s="11" t="e">
        <f>_xll.qlRateHelperLatestDate($D124)</f>
        <v>#VALUE!</v>
      </c>
      <c r="J124" s="5" t="e">
        <v>#N/A</v>
      </c>
      <c r="K124" s="5"/>
      <c r="L124" s="258"/>
    </row>
    <row r="125" spans="4:12" x14ac:dyDescent="0.2">
      <c r="D125" s="8" t="e">
        <v>#N/A</v>
      </c>
      <c r="E125" s="8" t="e">
        <f>SUBSTITUTE(_xll.qlRateHelperQuoteName(D125),"6L","3LBASIS")</f>
        <v>#VALUE!</v>
      </c>
      <c r="F125" s="9" t="e">
        <f>_xll.qlRateHelperRate($D125)</f>
        <v>#VALUE!</v>
      </c>
      <c r="G125" s="9" t="str">
        <f>IF(ISERROR(_xll.qlSwapRateHelperSpread($D125)),IF(ISERROR(_xll.qlFuturesRateHelperConvexityAdjustment($D125)),"--",_xll.qlFuturesRateHelperConvexityAdjustment($D125)),_xll.qlSwapRateHelperSpread($D125))</f>
        <v>--</v>
      </c>
      <c r="H125" s="10" t="e">
        <f>_xll.qlRateHelperEarliestDate($D125)</f>
        <v>#VALUE!</v>
      </c>
      <c r="I125" s="11" t="e">
        <f>_xll.qlRateHelperLatestDate($D125)</f>
        <v>#VALUE!</v>
      </c>
      <c r="J125" s="5" t="e">
        <v>#N/A</v>
      </c>
      <c r="K125" s="5"/>
      <c r="L125" s="258"/>
    </row>
    <row r="126" spans="4:12" ht="12" thickBot="1" x14ac:dyDescent="0.25">
      <c r="D126" s="18" t="e">
        <v>#N/A</v>
      </c>
      <c r="E126" s="18" t="e">
        <f>SUBSTITUTE(_xll.qlRateHelperQuoteName(D126),"6L","3LBASIS")</f>
        <v>#VALUE!</v>
      </c>
      <c r="F126" s="19" t="e">
        <f>_xll.qlRateHelperRate($D126)</f>
        <v>#VALUE!</v>
      </c>
      <c r="G126" s="19" t="str">
        <f>IF(ISERROR(_xll.qlSwapRateHelperSpread($D126)),IF(ISERROR(_xll.qlFuturesRateHelperConvexityAdjustment($D126)),"--",_xll.qlFuturesRateHelperConvexityAdjustment($D126)),_xll.qlSwapRateHelperSpread($D126))</f>
        <v>--</v>
      </c>
      <c r="H126" s="20" t="e">
        <f>_xll.qlRateHelperEarliestDate($D126)</f>
        <v>#VALUE!</v>
      </c>
      <c r="I126" s="21" t="e">
        <f>_xll.qlRateHelperLatestDate($D126)</f>
        <v>#VALUE!</v>
      </c>
      <c r="J126" s="5" t="e">
        <v>#N/A</v>
      </c>
      <c r="K126" s="5"/>
      <c r="L126" s="258"/>
    </row>
  </sheetData>
  <mergeCells count="1">
    <mergeCell ref="A1:B1"/>
  </mergeCells>
  <dataValidations count="1">
    <dataValidation type="list" allowBlank="1" showInputMessage="1" showErrorMessage="1" sqref="B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B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B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B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B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B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B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B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B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B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B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B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B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B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B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B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
  <sheetViews>
    <sheetView workbookViewId="0">
      <selection activeCell="E2" sqref="E2"/>
    </sheetView>
  </sheetViews>
  <sheetFormatPr defaultRowHeight="13.5" x14ac:dyDescent="0.25"/>
  <cols>
    <col min="1" max="1" width="2.7109375" style="28" customWidth="1"/>
    <col min="2" max="2" width="3" style="28" bestFit="1" customWidth="1"/>
    <col min="3" max="3" width="15.140625" style="28" bestFit="1" customWidth="1"/>
    <col min="4" max="4" width="21.42578125" style="28" bestFit="1" customWidth="1"/>
    <col min="5" max="5" width="25" style="28" bestFit="1" customWidth="1"/>
    <col min="6" max="6" width="35.7109375" style="28" customWidth="1"/>
    <col min="7" max="7" width="2.7109375" style="28" customWidth="1"/>
    <col min="8" max="8" width="9.140625" style="28"/>
    <col min="9" max="9" width="16.42578125" style="28" bestFit="1" customWidth="1"/>
    <col min="10" max="16384" width="9.140625" style="28"/>
  </cols>
  <sheetData>
    <row r="1" spans="1:9" ht="11.25" customHeight="1" x14ac:dyDescent="0.25">
      <c r="A1" s="23"/>
      <c r="B1" s="24"/>
      <c r="C1" s="25" t="s">
        <v>88</v>
      </c>
      <c r="D1" s="26" t="str">
        <f>Currency&amp;"_YC"&amp;$C$1&amp;"RH"</f>
        <v>GBP_YC3MRH</v>
      </c>
      <c r="E1" s="45" t="str">
        <f>$D$1&amp;"_Deposits.xml"</f>
        <v>GBP_YC3MRH_Deposits.xml</v>
      </c>
      <c r="F1" s="1"/>
      <c r="G1" s="27"/>
    </row>
    <row r="2" spans="1:9" ht="22.5" customHeight="1" x14ac:dyDescent="0.25">
      <c r="A2" s="29"/>
      <c r="B2" s="30"/>
      <c r="C2" s="30" t="s">
        <v>93</v>
      </c>
      <c r="D2" s="30" t="s">
        <v>92</v>
      </c>
      <c r="E2" s="32" t="str">
        <f>IF(Serialize,_xll.ohObjectSave(E4:E9,SerializationPath&amp;E1,FileOverwrite,Serialize),"---")</f>
        <v>---</v>
      </c>
      <c r="F2" s="33" t="str">
        <f>_xll.ohRangeRetrieveError(E2)</f>
        <v/>
      </c>
      <c r="G2" s="27"/>
    </row>
    <row r="3" spans="1:9" ht="11.25" customHeight="1" x14ac:dyDescent="0.25">
      <c r="A3" s="29"/>
      <c r="B3" s="34" t="s">
        <v>124</v>
      </c>
      <c r="C3" s="35" t="str">
        <f>_xll.qlLibor(,Currency,B3,,,Trigger,ObjectOverwrite)</f>
        <v>obj_0052e#0001</v>
      </c>
      <c r="D3" s="36" t="str">
        <f t="shared" ref="D3:D9" si="0">Currency&amp;B3&amp;"D_SYNTH"&amp;$C$1&amp;QuoteSuffix</f>
        <v>GBPSND_SYNTH3M_Quote</v>
      </c>
      <c r="E3" s="37" t="str">
        <f>_xll.qlDepositRateHelper(,D3,C3,Permanent,Trigger,ObjectOverwrite)</f>
        <v>obj_00561#0001</v>
      </c>
      <c r="F3" s="38"/>
      <c r="G3" s="27"/>
    </row>
    <row r="4" spans="1:9" ht="11.25" customHeight="1" x14ac:dyDescent="0.25">
      <c r="A4" s="29"/>
      <c r="B4" s="39" t="s">
        <v>91</v>
      </c>
      <c r="C4" s="35" t="str">
        <f>_xll.qlLibor(,Currency,B4,,,Trigger,ObjectOverwrite)</f>
        <v>obj_00552#0001</v>
      </c>
      <c r="D4" s="36" t="str">
        <f t="shared" si="0"/>
        <v>GBPSWD_SYNTH3M_Quote</v>
      </c>
      <c r="E4" s="37" t="str">
        <f>_xll.qlDepositRateHelper(,D4,C4,Permanent,Trigger,ObjectOverwrite)</f>
        <v>obj_00553#0001</v>
      </c>
      <c r="F4" s="40" t="str">
        <f>_xll.ohRangeRetrieveError(E4)</f>
        <v/>
      </c>
      <c r="G4" s="27"/>
      <c r="I4" s="41"/>
    </row>
    <row r="5" spans="1:9" ht="11.25" customHeight="1" x14ac:dyDescent="0.25">
      <c r="A5" s="29"/>
      <c r="B5" s="39" t="s">
        <v>125</v>
      </c>
      <c r="C5" s="35" t="str">
        <f>_xll.qlLibor(,Currency,B5,,,Trigger,ObjectOverwrite)</f>
        <v>obj_0055c#0001</v>
      </c>
      <c r="D5" s="36" t="str">
        <f t="shared" si="0"/>
        <v>GBP2WD_SYNTH3M_Quote</v>
      </c>
      <c r="E5" s="37" t="str">
        <f>_xll.qlDepositRateHelper(,D5,C5,Permanent,Trigger,ObjectOverwrite)</f>
        <v>obj_0055d#0001</v>
      </c>
      <c r="F5" s="40"/>
      <c r="G5" s="27"/>
      <c r="I5" s="41"/>
    </row>
    <row r="6" spans="1:9" ht="11.25" customHeight="1" x14ac:dyDescent="0.25">
      <c r="A6" s="29"/>
      <c r="B6" s="39" t="s">
        <v>126</v>
      </c>
      <c r="C6" s="35" t="str">
        <f>_xll.qlLibor(,Currency,B6,,,Trigger,ObjectOverwrite)</f>
        <v>obj_0054d#0001</v>
      </c>
      <c r="D6" s="36" t="str">
        <f t="shared" si="0"/>
        <v>GBP3WD_SYNTH3M_Quote</v>
      </c>
      <c r="E6" s="37" t="str">
        <f>_xll.qlDepositRateHelper(,D6,C6,Permanent,Trigger,ObjectOverwrite)</f>
        <v>obj_0054e#0001</v>
      </c>
      <c r="F6" s="40"/>
      <c r="G6" s="27"/>
      <c r="I6" s="41"/>
    </row>
    <row r="7" spans="1:9" ht="11.25" customHeight="1" x14ac:dyDescent="0.25">
      <c r="A7" s="29"/>
      <c r="B7" s="39" t="s">
        <v>90</v>
      </c>
      <c r="C7" s="35" t="str">
        <f>_xll.qlLibor(,Currency,B7,,,Trigger,ObjectOverwrite)</f>
        <v>obj_00554#0001</v>
      </c>
      <c r="D7" s="36" t="str">
        <f t="shared" si="0"/>
        <v>GBP1MD_SYNTH3M_Quote</v>
      </c>
      <c r="E7" s="37" t="str">
        <f>_xll.qlDepositRateHelper(,D7,C7,Permanent,Trigger,ObjectOverwrite)</f>
        <v>obj_00555#0001</v>
      </c>
      <c r="F7" s="40" t="str">
        <f>_xll.ohRangeRetrieveError(E7)</f>
        <v/>
      </c>
      <c r="G7" s="27"/>
      <c r="I7" s="41"/>
    </row>
    <row r="8" spans="1:9" ht="11.25" customHeight="1" x14ac:dyDescent="0.25">
      <c r="A8" s="29"/>
      <c r="B8" s="39" t="s">
        <v>89</v>
      </c>
      <c r="C8" s="35" t="str">
        <f>_xll.qlLibor(,Currency,B8,,,Trigger,ObjectOverwrite)</f>
        <v>obj_0054a#0001</v>
      </c>
      <c r="D8" s="36" t="str">
        <f t="shared" si="0"/>
        <v>GBP2MD_SYNTH3M_Quote</v>
      </c>
      <c r="E8" s="37" t="str">
        <f>_xll.qlDepositRateHelper(,D8,C8,Permanent,Trigger,ObjectOverwrite)</f>
        <v>obj_00564#0001</v>
      </c>
      <c r="F8" s="40" t="str">
        <f>_xll.ohRangeRetrieveError(E8)</f>
        <v/>
      </c>
      <c r="G8" s="27"/>
      <c r="I8" s="41"/>
    </row>
    <row r="9" spans="1:9" ht="11.25" customHeight="1" x14ac:dyDescent="0.25">
      <c r="A9" s="29"/>
      <c r="B9" s="39" t="s">
        <v>88</v>
      </c>
      <c r="C9" s="35" t="str">
        <f>_xll.qlLibor(,Currency,B9,,,Trigger,ObjectOverwrite)</f>
        <v>obj_00541#0001</v>
      </c>
      <c r="D9" s="36" t="str">
        <f t="shared" si="0"/>
        <v>GBP3MD_SYNTH3M_Quote</v>
      </c>
      <c r="E9" s="37" t="str">
        <f>_xll.qlDepositRateHelper(,D9,C9,Permanent,Trigger,ObjectOverwrite)</f>
        <v>obj_00542#0001</v>
      </c>
      <c r="F9" s="40" t="str">
        <f>_xll.ohRangeRetrieveError(E9)</f>
        <v/>
      </c>
      <c r="G9" s="27"/>
      <c r="I9" s="41"/>
    </row>
    <row r="10" spans="1:9" ht="11.25" customHeight="1" thickBot="1" x14ac:dyDescent="0.3">
      <c r="A10" s="42"/>
      <c r="B10" s="43"/>
      <c r="C10" s="43"/>
      <c r="D10" s="43"/>
      <c r="E10" s="43"/>
      <c r="F10" s="43"/>
      <c r="G10" s="44"/>
      <c r="I10" s="41"/>
    </row>
    <row r="11" spans="1:9" x14ac:dyDescent="0.25">
      <c r="I11" s="41"/>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1"/>
  <sheetViews>
    <sheetView workbookViewId="0">
      <selection activeCell="H2" sqref="H2"/>
    </sheetView>
  </sheetViews>
  <sheetFormatPr defaultRowHeight="11.25" x14ac:dyDescent="0.2"/>
  <cols>
    <col min="1" max="1" width="2.7109375" style="1" customWidth="1"/>
    <col min="2" max="2" width="3" style="1" bestFit="1" customWidth="1"/>
    <col min="3" max="3" width="2" style="1" bestFit="1" customWidth="1"/>
    <col min="4" max="4" width="4" style="1" bestFit="1" customWidth="1"/>
    <col min="5" max="5" width="11" style="1" bestFit="1" customWidth="1"/>
    <col min="6" max="6" width="10" style="1" bestFit="1" customWidth="1"/>
    <col min="7" max="7" width="16.140625" style="1" bestFit="1" customWidth="1"/>
    <col min="8" max="8" width="20.85546875" style="22" bestFit="1" customWidth="1"/>
    <col min="9" max="9" width="35.7109375" style="1" customWidth="1"/>
    <col min="10" max="10" width="2.7109375" style="1" customWidth="1"/>
    <col min="11" max="16384" width="9.140625" style="1"/>
  </cols>
  <sheetData>
    <row r="1" spans="1:10" ht="11.25" customHeight="1" x14ac:dyDescent="0.2">
      <c r="A1" s="62"/>
      <c r="B1" s="64"/>
      <c r="C1" s="63"/>
      <c r="D1" s="63">
        <v>3</v>
      </c>
      <c r="E1" s="64" t="str">
        <f>_xll.qlPeriodEquivalent(D1&amp;"M")</f>
        <v>3M</v>
      </c>
      <c r="F1" s="25"/>
      <c r="G1" s="179" t="str">
        <f>Currency&amp;"_YC"&amp;$E$1&amp;"RH"</f>
        <v>GBP_YC3MRH</v>
      </c>
      <c r="H1" s="180" t="str">
        <f>$G$1&amp;"_FRAs.xml"</f>
        <v>GBP_YC3MRH_FRAs.xml</v>
      </c>
      <c r="I1" s="73"/>
      <c r="J1" s="181"/>
    </row>
    <row r="2" spans="1:10" ht="22.5" customHeight="1" x14ac:dyDescent="0.2">
      <c r="A2" s="29"/>
      <c r="B2" s="182"/>
      <c r="C2" s="183"/>
      <c r="D2" s="184"/>
      <c r="E2" s="185" t="s">
        <v>93</v>
      </c>
      <c r="F2" s="185" t="s">
        <v>156</v>
      </c>
      <c r="G2" s="185" t="s">
        <v>92</v>
      </c>
      <c r="H2" s="186" t="str">
        <f>IF(Serialize,_xll.ohObjectSave(H3:H8,SerializationPath&amp;H1,FileOverwrite,Serialize),"---")</f>
        <v>---</v>
      </c>
      <c r="I2" s="187" t="str">
        <f>_xll.ohRangeRetrieveError(H2)</f>
        <v/>
      </c>
      <c r="J2" s="27"/>
    </row>
    <row r="3" spans="1:10" ht="11.25" customHeight="1" x14ac:dyDescent="0.2">
      <c r="A3" s="29"/>
      <c r="B3" s="188" t="str">
        <f t="shared" ref="B3:B8" si="0">C3&amp;"M"</f>
        <v>1M</v>
      </c>
      <c r="C3" s="189">
        <v>1</v>
      </c>
      <c r="D3" s="190" t="str">
        <f t="shared" ref="D3:D8" si="1">"x"&amp;C3+$D$1&amp;"F"</f>
        <v>x4F</v>
      </c>
      <c r="E3" s="188" t="str">
        <f t="shared" ref="E3:E8" si="2">PROPER(Currency)&amp;FamilyName&amp;$E$1</f>
        <v>GbpLibor3M</v>
      </c>
      <c r="F3" s="69" t="b">
        <v>0</v>
      </c>
      <c r="G3" s="188" t="str">
        <f t="shared" ref="G3:G8" si="3">Currency&amp;C3&amp;D3&amp;IF(F3,"_SYNTH"&amp;$E$1,"")&amp;"_Quote"</f>
        <v>GBP1x4F_Quote</v>
      </c>
      <c r="H3" s="188" t="str">
        <f>_xll.qlFraRateHelper(,G3,B3,E3,Permanent,Trigger,ObjectOverwrite)</f>
        <v>obj_0052f#0001</v>
      </c>
      <c r="I3" s="191" t="str">
        <f>_xll.ohRangeRetrieveError(H3)</f>
        <v/>
      </c>
      <c r="J3" s="27"/>
    </row>
    <row r="4" spans="1:10" ht="11.25" customHeight="1" x14ac:dyDescent="0.2">
      <c r="A4" s="29"/>
      <c r="B4" s="188" t="str">
        <f t="shared" si="0"/>
        <v>2M</v>
      </c>
      <c r="C4" s="189">
        <v>2</v>
      </c>
      <c r="D4" s="190" t="str">
        <f t="shared" si="1"/>
        <v>x5F</v>
      </c>
      <c r="E4" s="188" t="str">
        <f t="shared" si="2"/>
        <v>GbpLibor3M</v>
      </c>
      <c r="F4" s="69" t="b">
        <v>0</v>
      </c>
      <c r="G4" s="188" t="str">
        <f t="shared" si="3"/>
        <v>GBP2x5F_Quote</v>
      </c>
      <c r="H4" s="188" t="str">
        <f>_xll.qlFraRateHelper(,G4,B4,E4,Permanent,Trigger,ObjectOverwrite)</f>
        <v>obj_00532#0001</v>
      </c>
      <c r="I4" s="191" t="str">
        <f>_xll.ohRangeRetrieveError(H4)</f>
        <v/>
      </c>
      <c r="J4" s="27"/>
    </row>
    <row r="5" spans="1:10" ht="11.25" customHeight="1" x14ac:dyDescent="0.2">
      <c r="A5" s="29"/>
      <c r="B5" s="188" t="str">
        <f t="shared" si="0"/>
        <v>3M</v>
      </c>
      <c r="C5" s="189">
        <v>3</v>
      </c>
      <c r="D5" s="190" t="str">
        <f t="shared" si="1"/>
        <v>x6F</v>
      </c>
      <c r="E5" s="188" t="str">
        <f t="shared" si="2"/>
        <v>GbpLibor3M</v>
      </c>
      <c r="F5" s="69" t="b">
        <v>0</v>
      </c>
      <c r="G5" s="188" t="str">
        <f t="shared" si="3"/>
        <v>GBP3x6F_Quote</v>
      </c>
      <c r="H5" s="188" t="str">
        <f>_xll.qlFraRateHelper(,G5,B5,E5,Permanent,Trigger,ObjectOverwrite)</f>
        <v>obj_00530#0001</v>
      </c>
      <c r="I5" s="191" t="str">
        <f>_xll.ohRangeRetrieveError(H5)</f>
        <v/>
      </c>
      <c r="J5" s="27"/>
    </row>
    <row r="6" spans="1:10" ht="11.25" customHeight="1" x14ac:dyDescent="0.2">
      <c r="A6" s="29"/>
      <c r="B6" s="188" t="str">
        <f t="shared" si="0"/>
        <v>4M</v>
      </c>
      <c r="C6" s="189">
        <v>4</v>
      </c>
      <c r="D6" s="190" t="str">
        <f t="shared" si="1"/>
        <v>x7F</v>
      </c>
      <c r="E6" s="188" t="str">
        <f t="shared" si="2"/>
        <v>GbpLibor3M</v>
      </c>
      <c r="F6" s="69" t="b">
        <v>0</v>
      </c>
      <c r="G6" s="188" t="str">
        <f t="shared" si="3"/>
        <v>GBP4x7F_Quote</v>
      </c>
      <c r="H6" s="188" t="str">
        <f>_xll.qlFraRateHelper(,G6,B6,E6,Permanent,Trigger,ObjectOverwrite)</f>
        <v>obj_00534#0001</v>
      </c>
      <c r="I6" s="191" t="str">
        <f>_xll.ohRangeRetrieveError(H6)</f>
        <v/>
      </c>
      <c r="J6" s="27"/>
    </row>
    <row r="7" spans="1:10" ht="11.25" customHeight="1" x14ac:dyDescent="0.2">
      <c r="A7" s="29"/>
      <c r="B7" s="188" t="str">
        <f t="shared" si="0"/>
        <v>5M</v>
      </c>
      <c r="C7" s="189">
        <v>5</v>
      </c>
      <c r="D7" s="190" t="str">
        <f t="shared" si="1"/>
        <v>x8F</v>
      </c>
      <c r="E7" s="188" t="str">
        <f t="shared" si="2"/>
        <v>GbpLibor3M</v>
      </c>
      <c r="F7" s="69" t="b">
        <v>0</v>
      </c>
      <c r="G7" s="188" t="str">
        <f t="shared" si="3"/>
        <v>GBP5x8F_Quote</v>
      </c>
      <c r="H7" s="188" t="str">
        <f>_xll.qlFraRateHelper(,G7,B7,E7,Permanent,Trigger,ObjectOverwrite)</f>
        <v>obj_00533#0001</v>
      </c>
      <c r="I7" s="191" t="str">
        <f>_xll.ohRangeRetrieveError(H7)</f>
        <v/>
      </c>
      <c r="J7" s="27"/>
    </row>
    <row r="8" spans="1:10" ht="11.25" customHeight="1" x14ac:dyDescent="0.2">
      <c r="A8" s="29"/>
      <c r="B8" s="188" t="str">
        <f t="shared" si="0"/>
        <v>6M</v>
      </c>
      <c r="C8" s="189">
        <v>6</v>
      </c>
      <c r="D8" s="190" t="str">
        <f t="shared" si="1"/>
        <v>x9F</v>
      </c>
      <c r="E8" s="188" t="str">
        <f t="shared" si="2"/>
        <v>GbpLibor3M</v>
      </c>
      <c r="F8" s="69" t="b">
        <v>0</v>
      </c>
      <c r="G8" s="188" t="str">
        <f t="shared" si="3"/>
        <v>GBP6x9F_Quote</v>
      </c>
      <c r="H8" s="188" t="str">
        <f>_xll.qlFraRateHelper(,G8,B8,E8,Permanent,Trigger,ObjectOverwrite)</f>
        <v>obj_00535#0001</v>
      </c>
      <c r="I8" s="191" t="str">
        <f>_xll.ohRangeRetrieveError(H8)</f>
        <v/>
      </c>
      <c r="J8" s="27"/>
    </row>
    <row r="9" spans="1:10" ht="11.25" customHeight="1" thickBot="1" x14ac:dyDescent="0.25">
      <c r="A9" s="42"/>
      <c r="B9" s="43"/>
      <c r="C9" s="43"/>
      <c r="D9" s="43"/>
      <c r="E9" s="43"/>
      <c r="F9" s="43"/>
      <c r="G9" s="43"/>
      <c r="H9" s="81"/>
      <c r="I9" s="81"/>
      <c r="J9" s="44"/>
    </row>
    <row r="11" spans="1:10" x14ac:dyDescent="0.2">
      <c r="H11"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46"/>
  <sheetViews>
    <sheetView workbookViewId="0"/>
  </sheetViews>
  <sheetFormatPr defaultRowHeight="13.5" x14ac:dyDescent="0.25"/>
  <cols>
    <col min="1" max="1" width="2.7109375" style="28" customWidth="1"/>
    <col min="2" max="2" width="3" style="28" bestFit="1" customWidth="1"/>
    <col min="3" max="3" width="6" style="28" bestFit="1" customWidth="1"/>
    <col min="4" max="4" width="7" style="28" bestFit="1" customWidth="1"/>
    <col min="5" max="5" width="12.7109375" style="28" customWidth="1"/>
    <col min="6" max="6" width="17.28515625" style="28" bestFit="1" customWidth="1"/>
    <col min="7" max="8" width="26.140625" style="28" bestFit="1" customWidth="1"/>
    <col min="9" max="9" width="20.5703125" style="28" customWidth="1"/>
    <col min="10" max="10" width="2.7109375" style="28" customWidth="1"/>
    <col min="11" max="16384" width="9.140625" style="28"/>
  </cols>
  <sheetData>
    <row r="1" spans="1:11" ht="11.25" customHeight="1" x14ac:dyDescent="0.25">
      <c r="A1" s="23"/>
      <c r="B1" s="46"/>
      <c r="C1" s="46"/>
      <c r="D1" s="46"/>
      <c r="F1" s="25" t="s">
        <v>88</v>
      </c>
      <c r="G1" s="47" t="str">
        <f>Currency&amp;"_YC"&amp;$F$1&amp;"RH"</f>
        <v>GBP_YC3MRH</v>
      </c>
      <c r="H1" s="31" t="str">
        <f>$G$1&amp;"_Futures"&amp;$F$1&amp;".xml"</f>
        <v>GBP_YC3MRH_Futures3M.xml</v>
      </c>
      <c r="I1" s="48"/>
      <c r="J1" s="27"/>
    </row>
    <row r="2" spans="1:11" ht="22.5" customHeight="1" x14ac:dyDescent="0.25">
      <c r="A2" s="23"/>
      <c r="B2" s="34" t="s">
        <v>106</v>
      </c>
      <c r="C2" s="30" t="s">
        <v>105</v>
      </c>
      <c r="D2" s="49" t="s">
        <v>104</v>
      </c>
      <c r="E2" s="30" t="s">
        <v>93</v>
      </c>
      <c r="F2" s="30" t="s">
        <v>92</v>
      </c>
      <c r="G2" s="34" t="s">
        <v>103</v>
      </c>
      <c r="H2" s="66" t="str">
        <f>IF(Serialize,_xll.ohObjectSave(H3:H44,SerializationPath&amp;H1,FileOverwrite,Serialize),"---")</f>
        <v>---</v>
      </c>
      <c r="I2" s="33" t="str">
        <f>_xll.ohRangeRetrieveError(H2)</f>
        <v/>
      </c>
      <c r="J2" s="27"/>
    </row>
    <row r="3" spans="1:11" ht="11.25" customHeight="1" x14ac:dyDescent="0.25">
      <c r="A3" s="50"/>
      <c r="B3" s="51">
        <v>1</v>
      </c>
      <c r="C3" s="52" t="b">
        <v>0</v>
      </c>
      <c r="D3" s="52" t="str">
        <f t="array" ref="D3:D44">_xll.qlIMMNextCodes(_xll.qlSettingsEvaluationDate(Trigger)-1,C3:C44)</f>
        <v>V4</v>
      </c>
      <c r="E3" s="52" t="str">
        <f t="shared" ref="E3:E44" si="0">PROPER(Currency)&amp;FamilyName&amp;$F$1</f>
        <v>GbpLibor3M</v>
      </c>
      <c r="F3" s="61" t="str">
        <f t="shared" ref="F3:F44" si="1">Currency&amp;"FUT"&amp;$F$1&amp;$D3&amp;QuoteSuffix</f>
        <v>GBPFUT3MV4_Quote</v>
      </c>
      <c r="G3" s="61">
        <v>0</v>
      </c>
      <c r="H3" s="53" t="str">
        <f>_xll.qlFuturesRateHelper(,$F3,$D3,$E3,$G3,Permanent,Trigger,ObjectOverwrite)</f>
        <v>obj_00568#0001</v>
      </c>
      <c r="I3" s="54" t="str">
        <f>_xll.ohRangeRetrieveError(H3)</f>
        <v/>
      </c>
      <c r="J3" s="27"/>
      <c r="K3" s="55"/>
    </row>
    <row r="4" spans="1:11" ht="11.25" customHeight="1" x14ac:dyDescent="0.25">
      <c r="A4" s="50"/>
      <c r="B4" s="39">
        <v>2</v>
      </c>
      <c r="C4" s="56" t="b">
        <v>0</v>
      </c>
      <c r="D4" s="56" t="str">
        <v>X4</v>
      </c>
      <c r="E4" s="52" t="str">
        <f t="shared" si="0"/>
        <v>GbpLibor3M</v>
      </c>
      <c r="F4" s="61" t="str">
        <f t="shared" si="1"/>
        <v>GBPFUT3MX4_Quote</v>
      </c>
      <c r="G4" s="61">
        <v>0</v>
      </c>
      <c r="H4" s="57" t="str">
        <f>_xll.qlFuturesRateHelper(,$F4,$D4,$E4,$G4,Permanent,Trigger,ObjectOverwrite)</f>
        <v>obj_0057c#0001</v>
      </c>
      <c r="I4" s="40" t="str">
        <f>_xll.ohRangeRetrieveError(H4)</f>
        <v/>
      </c>
      <c r="J4" s="27"/>
      <c r="K4" s="55"/>
    </row>
    <row r="5" spans="1:11" ht="11.25" customHeight="1" x14ac:dyDescent="0.25">
      <c r="A5" s="50"/>
      <c r="B5" s="39">
        <v>3</v>
      </c>
      <c r="C5" s="56" t="b">
        <v>0</v>
      </c>
      <c r="D5" s="56" t="str">
        <v>Z4</v>
      </c>
      <c r="E5" s="52" t="str">
        <f t="shared" si="0"/>
        <v>GbpLibor3M</v>
      </c>
      <c r="F5" s="61" t="str">
        <f t="shared" si="1"/>
        <v>GBPFUT3MZ4_Quote</v>
      </c>
      <c r="G5" s="61">
        <v>0</v>
      </c>
      <c r="H5" s="57" t="str">
        <f>_xll.qlFuturesRateHelper(,$F5,$D5,$E5,$G5,Permanent,Trigger,ObjectOverwrite)</f>
        <v>obj_00573#0001</v>
      </c>
      <c r="I5" s="40" t="str">
        <f>_xll.ohRangeRetrieveError(H5)</f>
        <v/>
      </c>
      <c r="J5" s="27"/>
      <c r="K5" s="55"/>
    </row>
    <row r="6" spans="1:11" ht="11.25" customHeight="1" x14ac:dyDescent="0.25">
      <c r="A6" s="50"/>
      <c r="B6" s="39">
        <v>4</v>
      </c>
      <c r="C6" s="56" t="b">
        <v>0</v>
      </c>
      <c r="D6" s="56" t="str">
        <v>F5</v>
      </c>
      <c r="E6" s="52" t="str">
        <f t="shared" si="0"/>
        <v>GbpLibor3M</v>
      </c>
      <c r="F6" s="61" t="str">
        <f t="shared" si="1"/>
        <v>GBPFUT3MF5_Quote</v>
      </c>
      <c r="G6" s="61">
        <v>0</v>
      </c>
      <c r="H6" s="57" t="str">
        <f>_xll.qlFuturesRateHelper(,$F6,$D6,$E6,$G6,Permanent,Trigger,ObjectOverwrite)</f>
        <v>obj_00581#0001</v>
      </c>
      <c r="I6" s="40" t="str">
        <f>_xll.ohRangeRetrieveError(H6)</f>
        <v/>
      </c>
      <c r="J6" s="27"/>
      <c r="K6" s="55"/>
    </row>
    <row r="7" spans="1:11" ht="11.25" customHeight="1" x14ac:dyDescent="0.25">
      <c r="A7" s="50"/>
      <c r="B7" s="39">
        <v>5</v>
      </c>
      <c r="C7" s="56" t="b">
        <v>0</v>
      </c>
      <c r="D7" s="56" t="str">
        <v>G5</v>
      </c>
      <c r="E7" s="52" t="str">
        <f t="shared" si="0"/>
        <v>GbpLibor3M</v>
      </c>
      <c r="F7" s="61" t="str">
        <f t="shared" si="1"/>
        <v>GBPFUT3MG5_Quote</v>
      </c>
      <c r="G7" s="61">
        <v>0</v>
      </c>
      <c r="H7" s="57" t="str">
        <f>_xll.qlFuturesRateHelper(,$F7,$D7,$E7,$G7,Permanent,Trigger,ObjectOverwrite)</f>
        <v>obj_0058d#0001</v>
      </c>
      <c r="I7" s="40" t="str">
        <f>_xll.ohRangeRetrieveError(H7)</f>
        <v/>
      </c>
      <c r="J7" s="27"/>
      <c r="K7" s="55"/>
    </row>
    <row r="8" spans="1:11" ht="11.25" customHeight="1" x14ac:dyDescent="0.25">
      <c r="A8" s="50"/>
      <c r="B8" s="39">
        <v>6</v>
      </c>
      <c r="C8" s="56" t="b">
        <v>0</v>
      </c>
      <c r="D8" s="56" t="str">
        <v>H5</v>
      </c>
      <c r="E8" s="52" t="str">
        <f t="shared" si="0"/>
        <v>GbpLibor3M</v>
      </c>
      <c r="F8" s="61" t="str">
        <f t="shared" si="1"/>
        <v>GBPFUT3MH5_Quote</v>
      </c>
      <c r="G8" s="61">
        <v>0</v>
      </c>
      <c r="H8" s="57" t="str">
        <f>_xll.qlFuturesRateHelper(,$F8,$D8,$E8,$G8,Permanent,Trigger,ObjectOverwrite)</f>
        <v>obj_00567#0001</v>
      </c>
      <c r="I8" s="40" t="str">
        <f>_xll.ohRangeRetrieveError(H8)</f>
        <v/>
      </c>
      <c r="J8" s="27"/>
      <c r="K8" s="55"/>
    </row>
    <row r="9" spans="1:11" ht="11.25" customHeight="1" x14ac:dyDescent="0.25">
      <c r="A9" s="50"/>
      <c r="B9" s="39">
        <v>7</v>
      </c>
      <c r="C9" s="56" t="b">
        <v>0</v>
      </c>
      <c r="D9" s="56" t="str">
        <v>J5</v>
      </c>
      <c r="E9" s="52" t="str">
        <f t="shared" si="0"/>
        <v>GbpLibor3M</v>
      </c>
      <c r="F9" s="61" t="str">
        <f t="shared" si="1"/>
        <v>GBPFUT3MJ5_Quote</v>
      </c>
      <c r="G9" s="61">
        <v>0</v>
      </c>
      <c r="H9" s="57" t="str">
        <f>_xll.qlFuturesRateHelper(,$F9,$D9,$E9,$G9,Permanent,Trigger,ObjectOverwrite)</f>
        <v>obj_00571#0001</v>
      </c>
      <c r="I9" s="40" t="str">
        <f>_xll.ohRangeRetrieveError(H9)</f>
        <v/>
      </c>
      <c r="J9" s="27"/>
      <c r="K9" s="55"/>
    </row>
    <row r="10" spans="1:11" ht="11.25" customHeight="1" x14ac:dyDescent="0.25">
      <c r="A10" s="50"/>
      <c r="B10" s="39">
        <v>8</v>
      </c>
      <c r="C10" s="56" t="b">
        <v>0</v>
      </c>
      <c r="D10" s="56" t="str">
        <v>K5</v>
      </c>
      <c r="E10" s="52" t="str">
        <f t="shared" si="0"/>
        <v>GbpLibor3M</v>
      </c>
      <c r="F10" s="61" t="str">
        <f t="shared" si="1"/>
        <v>GBPFUT3MK5_Quote</v>
      </c>
      <c r="G10" s="61">
        <v>0</v>
      </c>
      <c r="H10" s="57" t="str">
        <f>_xll.qlFuturesRateHelper(,$F10,$D10,$E10,$G10,Permanent,Trigger,ObjectOverwrite)</f>
        <v>obj_0057d#0001</v>
      </c>
      <c r="I10" s="40" t="str">
        <f>_xll.ohRangeRetrieveError(H10)</f>
        <v/>
      </c>
      <c r="J10" s="27"/>
      <c r="K10" s="55"/>
    </row>
    <row r="11" spans="1:11" ht="11.25" customHeight="1" x14ac:dyDescent="0.25">
      <c r="A11" s="50"/>
      <c r="B11" s="39">
        <v>9</v>
      </c>
      <c r="C11" s="56" t="b">
        <v>0</v>
      </c>
      <c r="D11" s="56" t="str">
        <v>M5</v>
      </c>
      <c r="E11" s="52" t="str">
        <f t="shared" si="0"/>
        <v>GbpLibor3M</v>
      </c>
      <c r="F11" s="61" t="str">
        <f t="shared" si="1"/>
        <v>GBPFUT3MM5_Quote</v>
      </c>
      <c r="G11" s="61">
        <v>0</v>
      </c>
      <c r="H11" s="57" t="str">
        <f>_xll.qlFuturesRateHelper(,$F11,$D11,$E11,$G11,Permanent,Trigger,ObjectOverwrite)</f>
        <v>obj_0056f#0001</v>
      </c>
      <c r="I11" s="40" t="str">
        <f>_xll.ohRangeRetrieveError(H11)</f>
        <v/>
      </c>
      <c r="J11" s="27"/>
      <c r="K11" s="55"/>
    </row>
    <row r="12" spans="1:11" ht="11.25" customHeight="1" x14ac:dyDescent="0.25">
      <c r="A12" s="50"/>
      <c r="B12" s="39">
        <v>10</v>
      </c>
      <c r="C12" s="56" t="b">
        <v>0</v>
      </c>
      <c r="D12" s="56" t="str">
        <v>N5</v>
      </c>
      <c r="E12" s="52" t="str">
        <f t="shared" si="0"/>
        <v>GbpLibor3M</v>
      </c>
      <c r="F12" s="61" t="str">
        <f t="shared" si="1"/>
        <v>GBPFUT3MN5_Quote</v>
      </c>
      <c r="G12" s="61">
        <v>0</v>
      </c>
      <c r="H12" s="57" t="str">
        <f>_xll.qlFuturesRateHelper(,$F12,$D12,$E12,$G12,Permanent,Trigger,ObjectOverwrite)</f>
        <v>obj_00576#0001</v>
      </c>
      <c r="I12" s="40" t="str">
        <f>_xll.ohRangeRetrieveError(H12)</f>
        <v/>
      </c>
      <c r="J12" s="27"/>
      <c r="K12" s="55"/>
    </row>
    <row r="13" spans="1:11" ht="11.25" customHeight="1" x14ac:dyDescent="0.25">
      <c r="A13" s="50"/>
      <c r="B13" s="39">
        <v>11</v>
      </c>
      <c r="C13" s="56" t="b">
        <v>0</v>
      </c>
      <c r="D13" s="56" t="str">
        <v>Q5</v>
      </c>
      <c r="E13" s="52" t="str">
        <f t="shared" si="0"/>
        <v>GbpLibor3M</v>
      </c>
      <c r="F13" s="61" t="str">
        <f t="shared" si="1"/>
        <v>GBPFUT3MQ5_Quote</v>
      </c>
      <c r="G13" s="61">
        <v>0</v>
      </c>
      <c r="H13" s="57" t="str">
        <f>_xll.qlFuturesRateHelper(,$F13,$D13,$E13,$G13,Permanent,Trigger,ObjectOverwrite)</f>
        <v>obj_00579#0001</v>
      </c>
      <c r="I13" s="40" t="str">
        <f>_xll.ohRangeRetrieveError(H13)</f>
        <v/>
      </c>
      <c r="J13" s="27"/>
      <c r="K13" s="55"/>
    </row>
    <row r="14" spans="1:11" ht="11.25" customHeight="1" x14ac:dyDescent="0.25">
      <c r="A14" s="50"/>
      <c r="B14" s="39">
        <v>12</v>
      </c>
      <c r="C14" s="56" t="b">
        <v>0</v>
      </c>
      <c r="D14" s="56" t="str">
        <v>U5</v>
      </c>
      <c r="E14" s="52" t="str">
        <f t="shared" si="0"/>
        <v>GbpLibor3M</v>
      </c>
      <c r="F14" s="61" t="str">
        <f t="shared" si="1"/>
        <v>GBPFUT3MU5_Quote</v>
      </c>
      <c r="G14" s="61">
        <v>0</v>
      </c>
      <c r="H14" s="57" t="str">
        <f>_xll.qlFuturesRateHelper(,$F14,$D14,$E14,$G14,Permanent,Trigger,ObjectOverwrite)</f>
        <v>obj_00574#0001</v>
      </c>
      <c r="I14" s="40" t="str">
        <f>_xll.ohRangeRetrieveError(H14)</f>
        <v/>
      </c>
      <c r="J14" s="27"/>
      <c r="K14" s="55"/>
    </row>
    <row r="15" spans="1:11" ht="11.25" customHeight="1" x14ac:dyDescent="0.25">
      <c r="A15" s="50"/>
      <c r="B15" s="39">
        <v>13</v>
      </c>
      <c r="C15" s="56" t="b">
        <v>1</v>
      </c>
      <c r="D15" s="56" t="str">
        <v>Z5</v>
      </c>
      <c r="E15" s="52" t="str">
        <f t="shared" si="0"/>
        <v>GbpLibor3M</v>
      </c>
      <c r="F15" s="61" t="str">
        <f t="shared" si="1"/>
        <v>GBPFUT3MZ5_Quote</v>
      </c>
      <c r="G15" s="61">
        <v>0</v>
      </c>
      <c r="H15" s="57" t="str">
        <f>_xll.qlFuturesRateHelper(,$F15,$D15,$E15,$G15,Permanent,Trigger,ObjectOverwrite)</f>
        <v>obj_00570#0001</v>
      </c>
      <c r="I15" s="40" t="str">
        <f>_xll.ohRangeRetrieveError(H15)</f>
        <v/>
      </c>
      <c r="J15" s="27"/>
      <c r="K15" s="55"/>
    </row>
    <row r="16" spans="1:11" ht="11.25" customHeight="1" x14ac:dyDescent="0.25">
      <c r="A16" s="50"/>
      <c r="B16" s="39">
        <v>14</v>
      </c>
      <c r="C16" s="56" t="b">
        <v>1</v>
      </c>
      <c r="D16" s="56" t="str">
        <v>H6</v>
      </c>
      <c r="E16" s="52" t="str">
        <f t="shared" si="0"/>
        <v>GbpLibor3M</v>
      </c>
      <c r="F16" s="61" t="str">
        <f t="shared" si="1"/>
        <v>GBPFUT3MH6_Quote</v>
      </c>
      <c r="G16" s="61">
        <v>0</v>
      </c>
      <c r="H16" s="57" t="str">
        <f>_xll.qlFuturesRateHelper(,$F16,$D16,$E16,$G16,Permanent,Trigger,ObjectOverwrite)</f>
        <v>obj_0058e#0001</v>
      </c>
      <c r="I16" s="40" t="str">
        <f>_xll.ohRangeRetrieveError(H16)</f>
        <v/>
      </c>
      <c r="J16" s="27"/>
      <c r="K16" s="55"/>
    </row>
    <row r="17" spans="1:20" ht="11.25" customHeight="1" x14ac:dyDescent="0.25">
      <c r="A17" s="50"/>
      <c r="B17" s="39">
        <v>15</v>
      </c>
      <c r="C17" s="56" t="b">
        <v>1</v>
      </c>
      <c r="D17" s="56" t="str">
        <v>M6</v>
      </c>
      <c r="E17" s="52" t="str">
        <f t="shared" si="0"/>
        <v>GbpLibor3M</v>
      </c>
      <c r="F17" s="61" t="str">
        <f t="shared" si="1"/>
        <v>GBPFUT3MM6_Quote</v>
      </c>
      <c r="G17" s="61">
        <v>0</v>
      </c>
      <c r="H17" s="57" t="str">
        <f>_xll.qlFuturesRateHelper(,$F17,$D17,$E17,$G17,Permanent,Trigger,ObjectOverwrite)</f>
        <v>obj_0057a#0001</v>
      </c>
      <c r="I17" s="40" t="str">
        <f>_xll.ohRangeRetrieveError(H17)</f>
        <v/>
      </c>
      <c r="J17" s="27"/>
      <c r="K17" s="55"/>
    </row>
    <row r="18" spans="1:20" ht="11.25" customHeight="1" x14ac:dyDescent="0.25">
      <c r="A18" s="50"/>
      <c r="B18" s="39">
        <v>16</v>
      </c>
      <c r="C18" s="56" t="b">
        <v>1</v>
      </c>
      <c r="D18" s="56" t="str">
        <v>U6</v>
      </c>
      <c r="E18" s="52" t="str">
        <f t="shared" si="0"/>
        <v>GbpLibor3M</v>
      </c>
      <c r="F18" s="61" t="str">
        <f t="shared" si="1"/>
        <v>GBPFUT3MU6_Quote</v>
      </c>
      <c r="G18" s="61">
        <v>0</v>
      </c>
      <c r="H18" s="57" t="str">
        <f>_xll.qlFuturesRateHelper(,$F18,$D18,$E18,$G18,Permanent,Trigger,ObjectOverwrite)</f>
        <v>obj_00580#0001</v>
      </c>
      <c r="I18" s="40" t="str">
        <f>_xll.ohRangeRetrieveError(H18)</f>
        <v/>
      </c>
      <c r="J18" s="27"/>
      <c r="K18" s="55"/>
    </row>
    <row r="19" spans="1:20" ht="11.25" customHeight="1" x14ac:dyDescent="0.25">
      <c r="A19" s="50"/>
      <c r="B19" s="39">
        <v>17</v>
      </c>
      <c r="C19" s="56" t="b">
        <v>1</v>
      </c>
      <c r="D19" s="56" t="str">
        <v>Z6</v>
      </c>
      <c r="E19" s="52" t="str">
        <f t="shared" si="0"/>
        <v>GbpLibor3M</v>
      </c>
      <c r="F19" s="61" t="str">
        <f t="shared" si="1"/>
        <v>GBPFUT3MZ6_Quote</v>
      </c>
      <c r="G19" s="61">
        <v>0</v>
      </c>
      <c r="H19" s="57" t="str">
        <f>_xll.qlFuturesRateHelper(,$F19,$D19,$E19,$G19,Permanent,Trigger,ObjectOverwrite)</f>
        <v>obj_0058f#0001</v>
      </c>
      <c r="I19" s="40" t="str">
        <f>_xll.ohRangeRetrieveError(H19)</f>
        <v/>
      </c>
      <c r="J19" s="27"/>
      <c r="K19" s="55"/>
    </row>
    <row r="20" spans="1:20" ht="11.25" customHeight="1" x14ac:dyDescent="0.25">
      <c r="A20" s="50"/>
      <c r="B20" s="39">
        <v>18</v>
      </c>
      <c r="C20" s="56" t="b">
        <v>1</v>
      </c>
      <c r="D20" s="56" t="str">
        <v>H7</v>
      </c>
      <c r="E20" s="52" t="str">
        <f t="shared" si="0"/>
        <v>GbpLibor3M</v>
      </c>
      <c r="F20" s="61" t="str">
        <f t="shared" si="1"/>
        <v>GBPFUT3MH7_Quote</v>
      </c>
      <c r="G20" s="61">
        <v>0</v>
      </c>
      <c r="H20" s="57" t="str">
        <f>_xll.qlFuturesRateHelper(,$F20,$D20,$E20,$G20,Permanent,Trigger,ObjectOverwrite)</f>
        <v>obj_00575#0001</v>
      </c>
      <c r="I20" s="40" t="str">
        <f>_xll.ohRangeRetrieveError(H20)</f>
        <v/>
      </c>
      <c r="J20" s="27"/>
      <c r="K20" s="55"/>
    </row>
    <row r="21" spans="1:20" ht="11.25" customHeight="1" x14ac:dyDescent="0.25">
      <c r="A21" s="50"/>
      <c r="B21" s="39">
        <v>19</v>
      </c>
      <c r="C21" s="56" t="b">
        <v>1</v>
      </c>
      <c r="D21" s="56" t="str">
        <v>M7</v>
      </c>
      <c r="E21" s="52" t="str">
        <f t="shared" si="0"/>
        <v>GbpLibor3M</v>
      </c>
      <c r="F21" s="61" t="str">
        <f t="shared" si="1"/>
        <v>GBPFUT3MM7_Quote</v>
      </c>
      <c r="G21" s="61">
        <v>0</v>
      </c>
      <c r="H21" s="57" t="str">
        <f>_xll.qlFuturesRateHelper(,$F21,$D21,$E21,$G21,Permanent,Trigger,ObjectOverwrite)</f>
        <v>obj_00577#0001</v>
      </c>
      <c r="I21" s="40" t="str">
        <f>_xll.ohRangeRetrieveError(H21)</f>
        <v/>
      </c>
      <c r="J21" s="27"/>
      <c r="K21" s="55"/>
    </row>
    <row r="22" spans="1:20" ht="11.25" customHeight="1" x14ac:dyDescent="0.25">
      <c r="A22" s="50"/>
      <c r="B22" s="39">
        <v>20</v>
      </c>
      <c r="C22" s="56" t="b">
        <v>1</v>
      </c>
      <c r="D22" s="56" t="str">
        <v>U7</v>
      </c>
      <c r="E22" s="52" t="str">
        <f t="shared" si="0"/>
        <v>GbpLibor3M</v>
      </c>
      <c r="F22" s="61" t="str">
        <f t="shared" si="1"/>
        <v>GBPFUT3MU7_Quote</v>
      </c>
      <c r="G22" s="61">
        <v>0</v>
      </c>
      <c r="H22" s="57" t="str">
        <f>_xll.qlFuturesRateHelper(,$F22,$D22,$E22,$G22,Permanent,Trigger,ObjectOverwrite)</f>
        <v>obj_0057e#0001</v>
      </c>
      <c r="I22" s="40" t="str">
        <f>_xll.ohRangeRetrieveError(H22)</f>
        <v/>
      </c>
      <c r="J22" s="27"/>
      <c r="K22" s="55"/>
    </row>
    <row r="23" spans="1:20" ht="11.25" customHeight="1" x14ac:dyDescent="0.25">
      <c r="A23" s="50"/>
      <c r="B23" s="39">
        <v>21</v>
      </c>
      <c r="C23" s="56" t="b">
        <v>1</v>
      </c>
      <c r="D23" s="56" t="str">
        <v>Z7</v>
      </c>
      <c r="E23" s="52" t="str">
        <f t="shared" si="0"/>
        <v>GbpLibor3M</v>
      </c>
      <c r="F23" s="61" t="str">
        <f t="shared" si="1"/>
        <v>GBPFUT3MZ7_Quote</v>
      </c>
      <c r="G23" s="61">
        <v>0</v>
      </c>
      <c r="H23" s="57" t="str">
        <f>_xll.qlFuturesRateHelper(,$F23,$D23,$E23,$G23,Permanent,Trigger,ObjectOverwrite)</f>
        <v>obj_00584#0001</v>
      </c>
      <c r="I23" s="40" t="str">
        <f>_xll.ohRangeRetrieveError(H23)</f>
        <v/>
      </c>
      <c r="J23" s="27"/>
      <c r="K23" s="55"/>
    </row>
    <row r="24" spans="1:20" ht="11.25" customHeight="1" x14ac:dyDescent="0.25">
      <c r="A24" s="50"/>
      <c r="B24" s="39">
        <v>22</v>
      </c>
      <c r="C24" s="56" t="b">
        <v>1</v>
      </c>
      <c r="D24" s="56" t="str">
        <v>H8</v>
      </c>
      <c r="E24" s="52" t="str">
        <f t="shared" si="0"/>
        <v>GbpLibor3M</v>
      </c>
      <c r="F24" s="61" t="str">
        <f t="shared" si="1"/>
        <v>GBPFUT3MH8_Quote</v>
      </c>
      <c r="G24" s="61">
        <v>0</v>
      </c>
      <c r="H24" s="57" t="str">
        <f>_xll.qlFuturesRateHelper(,$F24,$D24,$E24,$G24,Permanent,Trigger,ObjectOverwrite)</f>
        <v>obj_00585#0001</v>
      </c>
      <c r="I24" s="40" t="str">
        <f>_xll.ohRangeRetrieveError(H24)</f>
        <v/>
      </c>
      <c r="J24" s="27"/>
      <c r="K24" s="55"/>
    </row>
    <row r="25" spans="1:20" ht="11.25" customHeight="1" x14ac:dyDescent="0.25">
      <c r="A25" s="50"/>
      <c r="B25" s="39">
        <v>23</v>
      </c>
      <c r="C25" s="56" t="b">
        <v>1</v>
      </c>
      <c r="D25" s="56" t="str">
        <v>M8</v>
      </c>
      <c r="E25" s="52" t="str">
        <f t="shared" si="0"/>
        <v>GbpLibor3M</v>
      </c>
      <c r="F25" s="61" t="str">
        <f t="shared" si="1"/>
        <v>GBPFUT3MM8_Quote</v>
      </c>
      <c r="G25" s="61">
        <v>0</v>
      </c>
      <c r="H25" s="57" t="str">
        <f>_xll.qlFuturesRateHelper(,$F25,$D25,$E25,$G25,Permanent,Trigger,ObjectOverwrite)</f>
        <v>obj_00582#0001</v>
      </c>
      <c r="I25" s="40" t="str">
        <f>_xll.ohRangeRetrieveError(H25)</f>
        <v/>
      </c>
      <c r="J25" s="27"/>
      <c r="K25" s="55"/>
    </row>
    <row r="26" spans="1:20" ht="11.25" customHeight="1" x14ac:dyDescent="0.25">
      <c r="A26" s="50"/>
      <c r="B26" s="39">
        <v>24</v>
      </c>
      <c r="C26" s="56" t="b">
        <v>1</v>
      </c>
      <c r="D26" s="56" t="str">
        <v>U8</v>
      </c>
      <c r="E26" s="52" t="str">
        <f t="shared" si="0"/>
        <v>GbpLibor3M</v>
      </c>
      <c r="F26" s="61" t="str">
        <f t="shared" si="1"/>
        <v>GBPFUT3MU8_Quote</v>
      </c>
      <c r="G26" s="61">
        <v>0</v>
      </c>
      <c r="H26" s="57" t="str">
        <f>_xll.qlFuturesRateHelper(,$F26,$D26,$E26,$G26,Permanent,Trigger,ObjectOverwrite)</f>
        <v>obj_00589#0001</v>
      </c>
      <c r="I26" s="40" t="str">
        <f>_xll.ohRangeRetrieveError(H26)</f>
        <v/>
      </c>
      <c r="J26" s="27"/>
      <c r="K26" s="55"/>
    </row>
    <row r="27" spans="1:20" ht="11.25" customHeight="1" x14ac:dyDescent="0.25">
      <c r="A27" s="50"/>
      <c r="B27" s="39">
        <v>25</v>
      </c>
      <c r="C27" s="56" t="b">
        <v>1</v>
      </c>
      <c r="D27" s="56" t="str">
        <v>Z8</v>
      </c>
      <c r="E27" s="52" t="str">
        <f t="shared" si="0"/>
        <v>GbpLibor3M</v>
      </c>
      <c r="F27" s="61" t="str">
        <f t="shared" si="1"/>
        <v>GBPFUT3MZ8_Quote</v>
      </c>
      <c r="G27" s="61">
        <v>0</v>
      </c>
      <c r="H27" s="57" t="str">
        <f>_xll.qlFuturesRateHelper(,$F27,$D27,$E27,$G27,Permanent,Trigger,ObjectOverwrite)</f>
        <v>obj_0057f#0001</v>
      </c>
      <c r="I27" s="40" t="str">
        <f>_xll.ohRangeRetrieveError(H27)</f>
        <v/>
      </c>
      <c r="J27" s="27"/>
      <c r="K27" s="55"/>
    </row>
    <row r="28" spans="1:20" ht="11.25" customHeight="1" x14ac:dyDescent="0.25">
      <c r="A28" s="50"/>
      <c r="B28" s="39">
        <v>26</v>
      </c>
      <c r="C28" s="56" t="b">
        <v>1</v>
      </c>
      <c r="D28" s="56" t="str">
        <v>H9</v>
      </c>
      <c r="E28" s="52" t="str">
        <f t="shared" si="0"/>
        <v>GbpLibor3M</v>
      </c>
      <c r="F28" s="61" t="str">
        <f t="shared" si="1"/>
        <v>GBPFUT3MH9_Quote</v>
      </c>
      <c r="G28" s="61">
        <v>0</v>
      </c>
      <c r="H28" s="57" t="str">
        <f>_xll.qlFuturesRateHelper(,$F28,$D28,$E28,$G28,Permanent,Trigger,ObjectOverwrite)</f>
        <v>obj_00587#0001</v>
      </c>
      <c r="I28" s="40" t="str">
        <f>_xll.ohRangeRetrieveError(H28)</f>
        <v/>
      </c>
      <c r="J28" s="27"/>
      <c r="K28" s="55"/>
    </row>
    <row r="29" spans="1:20" ht="11.25" customHeight="1" x14ac:dyDescent="0.25">
      <c r="A29" s="50"/>
      <c r="B29" s="39">
        <v>27</v>
      </c>
      <c r="C29" s="56" t="b">
        <v>1</v>
      </c>
      <c r="D29" s="56" t="str">
        <v>M9</v>
      </c>
      <c r="E29" s="52" t="str">
        <f t="shared" si="0"/>
        <v>GbpLibor3M</v>
      </c>
      <c r="F29" s="61" t="str">
        <f t="shared" si="1"/>
        <v>GBPFUT3MM9_Quote</v>
      </c>
      <c r="G29" s="61">
        <v>0</v>
      </c>
      <c r="H29" s="57" t="str">
        <f>_xll.qlFuturesRateHelper(,$F29,$D29,$E29,$G29,Permanent,Trigger,ObjectOverwrite)</f>
        <v>obj_00588#0001</v>
      </c>
      <c r="I29" s="40" t="str">
        <f>_xll.ohRangeRetrieveError(H29)</f>
        <v/>
      </c>
      <c r="J29" s="27"/>
      <c r="K29" s="55"/>
    </row>
    <row r="30" spans="1:20" ht="11.25" customHeight="1" x14ac:dyDescent="0.25">
      <c r="A30" s="50"/>
      <c r="B30" s="39">
        <v>28</v>
      </c>
      <c r="C30" s="56" t="b">
        <v>1</v>
      </c>
      <c r="D30" s="56" t="str">
        <v>U9</v>
      </c>
      <c r="E30" s="52" t="str">
        <f t="shared" si="0"/>
        <v>GbpLibor3M</v>
      </c>
      <c r="F30" s="61" t="str">
        <f t="shared" si="1"/>
        <v>GBPFUT3MU9_Quote</v>
      </c>
      <c r="G30" s="61">
        <v>0</v>
      </c>
      <c r="H30" s="57" t="str">
        <f>_xll.qlFuturesRateHelper(,$F30,$D30,$E30,$G30,Permanent,Trigger,ObjectOverwrite)</f>
        <v>obj_0056a#0001</v>
      </c>
      <c r="I30" s="40" t="str">
        <f>_xll.ohRangeRetrieveError(H30)</f>
        <v/>
      </c>
      <c r="J30" s="27"/>
      <c r="K30" s="55"/>
    </row>
    <row r="31" spans="1:20" ht="11.25" customHeight="1" x14ac:dyDescent="0.25">
      <c r="A31" s="50"/>
      <c r="B31" s="39">
        <v>29</v>
      </c>
      <c r="C31" s="56" t="b">
        <v>1</v>
      </c>
      <c r="D31" s="56" t="str">
        <v>Z9</v>
      </c>
      <c r="E31" s="52" t="str">
        <f t="shared" si="0"/>
        <v>GbpLibor3M</v>
      </c>
      <c r="F31" s="61" t="str">
        <f t="shared" si="1"/>
        <v>GBPFUT3MZ9_Quote</v>
      </c>
      <c r="G31" s="61">
        <v>0</v>
      </c>
      <c r="H31" s="57" t="str">
        <f>_xll.qlFuturesRateHelper(,$F31,$D31,$E31,$G31,Permanent,Trigger,ObjectOverwrite)</f>
        <v>obj_0057b#0001</v>
      </c>
      <c r="I31" s="40" t="str">
        <f>_xll.ohRangeRetrieveError(H31)</f>
        <v/>
      </c>
      <c r="J31" s="27"/>
      <c r="K31" s="55"/>
    </row>
    <row r="32" spans="1:20" ht="11.25" customHeight="1" x14ac:dyDescent="0.25">
      <c r="A32" s="50"/>
      <c r="B32" s="39">
        <v>30</v>
      </c>
      <c r="C32" s="56" t="b">
        <v>1</v>
      </c>
      <c r="D32" s="56" t="str">
        <v>H0</v>
      </c>
      <c r="E32" s="52" t="str">
        <f t="shared" si="0"/>
        <v>GbpLibor3M</v>
      </c>
      <c r="F32" s="61" t="str">
        <f t="shared" si="1"/>
        <v>GBPFUT3MH0_Quote</v>
      </c>
      <c r="G32" s="61">
        <v>0</v>
      </c>
      <c r="H32" s="57" t="str">
        <f>_xll.qlFuturesRateHelper(,$F32,$D32,$E32,$G32,Permanent,Trigger,ObjectOverwrite)</f>
        <v>obj_0056d#0001</v>
      </c>
      <c r="I32" s="40" t="str">
        <f>_xll.ohRangeRetrieveError(H32)</f>
        <v/>
      </c>
      <c r="J32" s="27"/>
      <c r="K32" s="55"/>
      <c r="T32" s="58"/>
    </row>
    <row r="33" spans="1:11" ht="11.25" customHeight="1" x14ac:dyDescent="0.25">
      <c r="A33" s="50"/>
      <c r="B33" s="39">
        <v>31</v>
      </c>
      <c r="C33" s="56" t="b">
        <v>1</v>
      </c>
      <c r="D33" s="56" t="str">
        <v>M0</v>
      </c>
      <c r="E33" s="52" t="str">
        <f t="shared" si="0"/>
        <v>GbpLibor3M</v>
      </c>
      <c r="F33" s="61" t="str">
        <f t="shared" si="1"/>
        <v>GBPFUT3MM0_Quote</v>
      </c>
      <c r="G33" s="61">
        <v>0</v>
      </c>
      <c r="H33" s="57" t="str">
        <f>_xll.qlFuturesRateHelper(,$F33,$D33,$E33,$G33,Permanent,Trigger,ObjectOverwrite)</f>
        <v>obj_0058a#0001</v>
      </c>
      <c r="I33" s="40" t="str">
        <f>_xll.ohRangeRetrieveError(H33)</f>
        <v/>
      </c>
      <c r="J33" s="27"/>
      <c r="K33" s="55"/>
    </row>
    <row r="34" spans="1:11" ht="11.25" customHeight="1" x14ac:dyDescent="0.25">
      <c r="A34" s="50"/>
      <c r="B34" s="39">
        <v>32</v>
      </c>
      <c r="C34" s="56" t="b">
        <v>1</v>
      </c>
      <c r="D34" s="56" t="str">
        <v>U0</v>
      </c>
      <c r="E34" s="52" t="str">
        <f t="shared" si="0"/>
        <v>GbpLibor3M</v>
      </c>
      <c r="F34" s="61" t="str">
        <f t="shared" si="1"/>
        <v>GBPFUT3MU0_Quote</v>
      </c>
      <c r="G34" s="61">
        <v>0</v>
      </c>
      <c r="H34" s="57" t="str">
        <f>_xll.qlFuturesRateHelper(,$F34,$D34,$E34,$G34,Permanent,Trigger,ObjectOverwrite)</f>
        <v>obj_00566#0001</v>
      </c>
      <c r="I34" s="40" t="str">
        <f>_xll.ohRangeRetrieveError(H34)</f>
        <v/>
      </c>
      <c r="J34" s="27"/>
      <c r="K34" s="55"/>
    </row>
    <row r="35" spans="1:11" ht="11.25" customHeight="1" x14ac:dyDescent="0.25">
      <c r="A35" s="50"/>
      <c r="B35" s="39">
        <v>33</v>
      </c>
      <c r="C35" s="56" t="b">
        <v>1</v>
      </c>
      <c r="D35" s="56" t="str">
        <v>Z0</v>
      </c>
      <c r="E35" s="52" t="str">
        <f t="shared" si="0"/>
        <v>GbpLibor3M</v>
      </c>
      <c r="F35" s="61" t="str">
        <f t="shared" si="1"/>
        <v>GBPFUT3MZ0_Quote</v>
      </c>
      <c r="G35" s="61">
        <v>0</v>
      </c>
      <c r="H35" s="57" t="str">
        <f>_xll.qlFuturesRateHelper(,$F35,$D35,$E35,$G35,Permanent,Trigger,ObjectOverwrite)</f>
        <v>obj_00578#0001</v>
      </c>
      <c r="I35" s="40" t="str">
        <f>_xll.ohRangeRetrieveError(H35)</f>
        <v/>
      </c>
      <c r="J35" s="27"/>
      <c r="K35" s="55"/>
    </row>
    <row r="36" spans="1:11" ht="11.25" customHeight="1" x14ac:dyDescent="0.25">
      <c r="A36" s="50"/>
      <c r="B36" s="39">
        <v>34</v>
      </c>
      <c r="C36" s="56" t="b">
        <v>1</v>
      </c>
      <c r="D36" s="56" t="str">
        <v>H1</v>
      </c>
      <c r="E36" s="52" t="str">
        <f t="shared" si="0"/>
        <v>GbpLibor3M</v>
      </c>
      <c r="F36" s="61" t="str">
        <f t="shared" si="1"/>
        <v>GBPFUT3MH1_Quote</v>
      </c>
      <c r="G36" s="61">
        <v>0</v>
      </c>
      <c r="H36" s="57" t="str">
        <f>_xll.qlFuturesRateHelper(,$F36,$D36,$E36,$G36,Permanent,Trigger,ObjectOverwrite)</f>
        <v>obj_0056e#0001</v>
      </c>
      <c r="I36" s="40" t="str">
        <f>_xll.ohRangeRetrieveError(H36)</f>
        <v/>
      </c>
      <c r="J36" s="27"/>
      <c r="K36" s="55"/>
    </row>
    <row r="37" spans="1:11" ht="11.25" customHeight="1" x14ac:dyDescent="0.25">
      <c r="A37" s="50"/>
      <c r="B37" s="39">
        <v>35</v>
      </c>
      <c r="C37" s="56" t="b">
        <v>1</v>
      </c>
      <c r="D37" s="56" t="str">
        <v>M1</v>
      </c>
      <c r="E37" s="52" t="str">
        <f t="shared" si="0"/>
        <v>GbpLibor3M</v>
      </c>
      <c r="F37" s="61" t="str">
        <f t="shared" si="1"/>
        <v>GBPFUT3MM1_Quote</v>
      </c>
      <c r="G37" s="61">
        <v>0</v>
      </c>
      <c r="H37" s="57" t="str">
        <f>_xll.qlFuturesRateHelper(,$F37,$D37,$E37,$G37,Permanent,Trigger,ObjectOverwrite)</f>
        <v>obj_0056b#0001</v>
      </c>
      <c r="I37" s="40" t="str">
        <f>_xll.ohRangeRetrieveError(H37)</f>
        <v/>
      </c>
      <c r="J37" s="27"/>
      <c r="K37" s="55"/>
    </row>
    <row r="38" spans="1:11" ht="11.25" customHeight="1" x14ac:dyDescent="0.25">
      <c r="A38" s="50"/>
      <c r="B38" s="39">
        <v>36</v>
      </c>
      <c r="C38" s="56" t="b">
        <v>1</v>
      </c>
      <c r="D38" s="56" t="str">
        <v>U1</v>
      </c>
      <c r="E38" s="52" t="str">
        <f t="shared" si="0"/>
        <v>GbpLibor3M</v>
      </c>
      <c r="F38" s="61" t="str">
        <f t="shared" si="1"/>
        <v>GBPFUT3MU1_Quote</v>
      </c>
      <c r="G38" s="61">
        <v>0</v>
      </c>
      <c r="H38" s="57" t="str">
        <f>_xll.qlFuturesRateHelper(,$F38,$D38,$E38,$G38,Permanent,Trigger,ObjectOverwrite)</f>
        <v>obj_00583#0001</v>
      </c>
      <c r="I38" s="40" t="str">
        <f>_xll.ohRangeRetrieveError(H38)</f>
        <v/>
      </c>
      <c r="J38" s="27"/>
      <c r="K38" s="55"/>
    </row>
    <row r="39" spans="1:11" ht="11.25" customHeight="1" x14ac:dyDescent="0.25">
      <c r="A39" s="50"/>
      <c r="B39" s="39">
        <v>37</v>
      </c>
      <c r="C39" s="56" t="b">
        <v>1</v>
      </c>
      <c r="D39" s="56" t="str">
        <v>Z1</v>
      </c>
      <c r="E39" s="52" t="str">
        <f t="shared" si="0"/>
        <v>GbpLibor3M</v>
      </c>
      <c r="F39" s="61" t="str">
        <f t="shared" si="1"/>
        <v>GBPFUT3MZ1_Quote</v>
      </c>
      <c r="G39" s="61">
        <v>0</v>
      </c>
      <c r="H39" s="57" t="str">
        <f>_xll.qlFuturesRateHelper(,$F39,$D39,$E39,$G39,Permanent,Trigger,ObjectOverwrite)</f>
        <v>obj_00569#0001</v>
      </c>
      <c r="I39" s="40" t="str">
        <f>_xll.ohRangeRetrieveError(H39)</f>
        <v/>
      </c>
      <c r="J39" s="27"/>
      <c r="K39" s="55"/>
    </row>
    <row r="40" spans="1:11" ht="11.25" customHeight="1" x14ac:dyDescent="0.25">
      <c r="A40" s="50"/>
      <c r="B40" s="39">
        <v>38</v>
      </c>
      <c r="C40" s="56" t="b">
        <v>1</v>
      </c>
      <c r="D40" s="56" t="str">
        <v>H2</v>
      </c>
      <c r="E40" s="52" t="str">
        <f t="shared" si="0"/>
        <v>GbpLibor3M</v>
      </c>
      <c r="F40" s="61" t="str">
        <f t="shared" si="1"/>
        <v>GBPFUT3MH2_Quote</v>
      </c>
      <c r="G40" s="61">
        <v>0</v>
      </c>
      <c r="H40" s="57" t="str">
        <f>_xll.qlFuturesRateHelper(,$F40,$D40,$E40,$G40,Permanent,Trigger,ObjectOverwrite)</f>
        <v>obj_00572#0001</v>
      </c>
      <c r="I40" s="40" t="str">
        <f>_xll.ohRangeRetrieveError(H40)</f>
        <v/>
      </c>
      <c r="J40" s="27"/>
    </row>
    <row r="41" spans="1:11" ht="11.25" customHeight="1" x14ac:dyDescent="0.25">
      <c r="A41" s="50"/>
      <c r="B41" s="39">
        <v>39</v>
      </c>
      <c r="C41" s="56" t="b">
        <v>1</v>
      </c>
      <c r="D41" s="56" t="str">
        <v>M2</v>
      </c>
      <c r="E41" s="52" t="str">
        <f t="shared" si="0"/>
        <v>GbpLibor3M</v>
      </c>
      <c r="F41" s="61" t="str">
        <f t="shared" si="1"/>
        <v>GBPFUT3MM2_Quote</v>
      </c>
      <c r="G41" s="61">
        <v>0</v>
      </c>
      <c r="H41" s="57" t="str">
        <f>_xll.qlFuturesRateHelper(,$F41,$D41,$E41,$G41,Permanent,Trigger,ObjectOverwrite)</f>
        <v>obj_0056c#0001</v>
      </c>
      <c r="I41" s="40" t="str">
        <f>_xll.ohRangeRetrieveError(H41)</f>
        <v/>
      </c>
      <c r="J41" s="27"/>
    </row>
    <row r="42" spans="1:11" ht="11.25" customHeight="1" x14ac:dyDescent="0.25">
      <c r="A42" s="50"/>
      <c r="B42" s="39">
        <v>40</v>
      </c>
      <c r="C42" s="56" t="b">
        <v>1</v>
      </c>
      <c r="D42" s="56" t="str">
        <v>U2</v>
      </c>
      <c r="E42" s="52" t="str">
        <f t="shared" si="0"/>
        <v>GbpLibor3M</v>
      </c>
      <c r="F42" s="61" t="str">
        <f t="shared" si="1"/>
        <v>GBPFUT3MU2_Quote</v>
      </c>
      <c r="G42" s="61">
        <v>0</v>
      </c>
      <c r="H42" s="57" t="str">
        <f>_xll.qlFuturesRateHelper(,$F42,$D42,$E42,$G42,Permanent,Trigger,ObjectOverwrite)</f>
        <v>obj_00586#0001</v>
      </c>
      <c r="I42" s="40" t="str">
        <f>_xll.ohRangeRetrieveError(H42)</f>
        <v/>
      </c>
      <c r="J42" s="27"/>
    </row>
    <row r="43" spans="1:11" ht="11.25" customHeight="1" x14ac:dyDescent="0.25">
      <c r="A43" s="50"/>
      <c r="B43" s="39">
        <v>41</v>
      </c>
      <c r="C43" s="56" t="b">
        <v>1</v>
      </c>
      <c r="D43" s="56" t="str">
        <v>Z2</v>
      </c>
      <c r="E43" s="52" t="str">
        <f t="shared" si="0"/>
        <v>GbpLibor3M</v>
      </c>
      <c r="F43" s="61" t="str">
        <f t="shared" si="1"/>
        <v>GBPFUT3MZ2_Quote</v>
      </c>
      <c r="G43" s="61">
        <v>0</v>
      </c>
      <c r="H43" s="57" t="str">
        <f>_xll.qlFuturesRateHelper(,$F43,$D43,$E43,$G43,Permanent,Trigger,ObjectOverwrite)</f>
        <v>obj_0058c#0001</v>
      </c>
      <c r="I43" s="40" t="str">
        <f>_xll.ohRangeRetrieveError(H43)</f>
        <v/>
      </c>
      <c r="J43" s="27"/>
    </row>
    <row r="44" spans="1:11" ht="11.25" customHeight="1" x14ac:dyDescent="0.25">
      <c r="A44" s="50"/>
      <c r="B44" s="39">
        <v>42</v>
      </c>
      <c r="C44" s="56" t="b">
        <v>1</v>
      </c>
      <c r="D44" s="56" t="str">
        <v>H3</v>
      </c>
      <c r="E44" s="52" t="str">
        <f t="shared" si="0"/>
        <v>GbpLibor3M</v>
      </c>
      <c r="F44" s="61" t="str">
        <f t="shared" si="1"/>
        <v>GBPFUT3MH3_Quote</v>
      </c>
      <c r="G44" s="61">
        <v>0</v>
      </c>
      <c r="H44" s="57" t="str">
        <f>_xll.qlFuturesRateHelper(,$F44,$D44,$E44,$G44,Permanent,Trigger,ObjectOverwrite)</f>
        <v>obj_0058b#0001</v>
      </c>
      <c r="I44" s="40" t="str">
        <f>_xll.ohRangeRetrieveError(H44)</f>
        <v/>
      </c>
      <c r="J44" s="27"/>
    </row>
    <row r="45" spans="1:11" ht="11.25" customHeight="1" thickBot="1" x14ac:dyDescent="0.3">
      <c r="A45" s="59"/>
      <c r="B45" s="60"/>
      <c r="C45" s="60"/>
      <c r="D45" s="60"/>
      <c r="E45" s="60"/>
      <c r="F45" s="60"/>
      <c r="G45" s="60"/>
      <c r="H45" s="60"/>
      <c r="I45" s="60"/>
      <c r="J45" s="44"/>
    </row>
    <row r="46" spans="1:11" ht="11.25" customHeight="1" x14ac:dyDescent="0.25"/>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4"/>
  <sheetViews>
    <sheetView workbookViewId="0">
      <selection activeCell="K2" sqref="K2"/>
    </sheetView>
  </sheetViews>
  <sheetFormatPr defaultRowHeight="11.25" x14ac:dyDescent="0.2"/>
  <cols>
    <col min="1" max="1" width="2.7109375" style="1" customWidth="1"/>
    <col min="2" max="2" width="6" style="1" customWidth="1"/>
    <col min="3" max="3" width="4" style="1" bestFit="1" customWidth="1"/>
    <col min="4" max="5" width="3" style="1" bestFit="1" customWidth="1"/>
    <col min="6" max="6" width="11" style="1" bestFit="1" customWidth="1"/>
    <col min="7" max="8" width="19.28515625" style="1" bestFit="1" customWidth="1"/>
    <col min="9" max="9" width="8" style="1" bestFit="1" customWidth="1"/>
    <col min="10" max="10" width="17.28515625" style="1" bestFit="1" customWidth="1"/>
    <col min="11" max="11" width="30.7109375" style="22" bestFit="1" customWidth="1"/>
    <col min="12" max="12" width="35.7109375" style="1" customWidth="1"/>
    <col min="13" max="13" width="2.7109375" style="1" customWidth="1"/>
    <col min="14" max="14" width="2.5703125" style="1" customWidth="1"/>
    <col min="15" max="16384" width="9.140625" style="1"/>
  </cols>
  <sheetData>
    <row r="1" spans="1:13" ht="11.25" customHeight="1" x14ac:dyDescent="0.2">
      <c r="A1" s="29"/>
      <c r="B1" s="24"/>
      <c r="C1" s="24"/>
      <c r="D1" s="24"/>
      <c r="E1" s="24"/>
      <c r="F1" s="24"/>
      <c r="G1" s="24"/>
      <c r="H1" s="25" t="s">
        <v>116</v>
      </c>
      <c r="I1" s="25" t="s">
        <v>88</v>
      </c>
      <c r="J1" s="25" t="str">
        <f>Currency&amp;"_YC"&amp;$I$1&amp;"RH"</f>
        <v>GBP_YC3MRH</v>
      </c>
      <c r="K1" s="25" t="str">
        <f>J1&amp;"_SwapsFromBasis.xml"</f>
        <v>GBP_YC3MRH_SwapsFromBasis.xml</v>
      </c>
      <c r="L1" s="24"/>
      <c r="M1" s="65"/>
    </row>
    <row r="2" spans="1:13" ht="22.5" customHeight="1" x14ac:dyDescent="0.2">
      <c r="A2" s="29"/>
      <c r="B2" s="30" t="s">
        <v>115</v>
      </c>
      <c r="C2" s="30"/>
      <c r="D2" s="30"/>
      <c r="E2" s="30"/>
      <c r="F2" s="30" t="s">
        <v>114</v>
      </c>
      <c r="G2" s="30" t="s">
        <v>113</v>
      </c>
      <c r="H2" s="30" t="s">
        <v>112</v>
      </c>
      <c r="I2" s="30" t="s">
        <v>111</v>
      </c>
      <c r="J2" s="30" t="s">
        <v>92</v>
      </c>
      <c r="K2" s="66" t="str">
        <f>IF(Serialize,_xll.ohObjectSave(K3:K43,SerializationPath&amp;K1,FileOverwrite,Serialize),"---")</f>
        <v>---</v>
      </c>
      <c r="L2" s="67" t="str">
        <f>_xll.ohRangeRetrieveError(K2)</f>
        <v/>
      </c>
      <c r="M2" s="65"/>
    </row>
    <row r="3" spans="1:13" ht="11.25" customHeight="1" x14ac:dyDescent="0.2">
      <c r="A3" s="23"/>
      <c r="B3" s="24"/>
      <c r="C3" s="24"/>
      <c r="D3" s="24"/>
      <c r="E3" s="24"/>
      <c r="F3" s="24"/>
      <c r="G3" s="24"/>
      <c r="H3" s="24"/>
      <c r="I3" s="24"/>
      <c r="J3" s="24"/>
      <c r="K3" s="56" t="str">
        <f>_xll.qlLibor(,Currency,$I$1,,Permanent,Trigger,ObjectOverwrite)</f>
        <v>obj_00528#0001</v>
      </c>
      <c r="L3" s="68" t="str">
        <f>_xll.ohRangeRetrieveError(K3)</f>
        <v/>
      </c>
      <c r="M3" s="65"/>
    </row>
    <row r="4" spans="1:13" ht="11.25" customHeight="1" x14ac:dyDescent="0.2">
      <c r="A4" s="23"/>
      <c r="B4" s="24"/>
      <c r="C4" s="24"/>
      <c r="D4" s="24"/>
      <c r="E4" s="24"/>
      <c r="F4" s="24"/>
      <c r="G4" s="24"/>
      <c r="H4" s="24"/>
      <c r="I4" s="24"/>
      <c r="J4" s="24"/>
      <c r="K4" s="85"/>
      <c r="L4" s="85"/>
      <c r="M4" s="261"/>
    </row>
    <row r="5" spans="1:13" x14ac:dyDescent="0.2">
      <c r="A5" s="29"/>
      <c r="B5" s="273" t="s">
        <v>110</v>
      </c>
      <c r="C5" s="273" t="s">
        <v>162</v>
      </c>
      <c r="D5" s="273" t="s">
        <v>74</v>
      </c>
      <c r="E5" s="273" t="s">
        <v>108</v>
      </c>
      <c r="F5" s="274" t="s">
        <v>154</v>
      </c>
      <c r="G5" s="274" t="s">
        <v>107</v>
      </c>
      <c r="H5" s="274" t="s">
        <v>159</v>
      </c>
      <c r="I5" s="275">
        <v>0</v>
      </c>
      <c r="J5" s="276" t="str">
        <f t="shared" ref="J5:J43" si="0">Currency&amp;$D5&amp;E5&amp;$C5&amp;"_Quote"</f>
        <v>GBPAM3L6M_Quote</v>
      </c>
      <c r="K5" s="273" t="str">
        <f>_xll.qlSwapRateHelper2(,$J5,$C5,Calendar,$F5,$G5,$H5,$K$3,$I5,B5,Discounting,Permanent,,ObjectOverwrite)</f>
        <v>obj_00529#0001</v>
      </c>
      <c r="L5" s="67" t="str">
        <f>_xll.ohRangeRetrieveError(K5)</f>
        <v/>
      </c>
      <c r="M5" s="65"/>
    </row>
    <row r="6" spans="1:13" x14ac:dyDescent="0.2">
      <c r="A6" s="29"/>
      <c r="B6" s="273" t="s">
        <v>110</v>
      </c>
      <c r="C6" s="273" t="s">
        <v>163</v>
      </c>
      <c r="D6" s="273" t="s">
        <v>74</v>
      </c>
      <c r="E6" s="273" t="s">
        <v>108</v>
      </c>
      <c r="F6" s="274" t="s">
        <v>154</v>
      </c>
      <c r="G6" s="277" t="s">
        <v>107</v>
      </c>
      <c r="H6" s="274" t="s">
        <v>159</v>
      </c>
      <c r="I6" s="275">
        <v>0</v>
      </c>
      <c r="J6" s="276" t="str">
        <f t="shared" si="0"/>
        <v>GBPAM3L9M_Quote</v>
      </c>
      <c r="K6" s="273" t="str">
        <f>_xll.qlSwapRateHelper2(,$J6,$C6,Calendar,$F6,$G6,$H6,$K$3,$I6,B6,Discounting,Permanent,,ObjectOverwrite)</f>
        <v>obj_0052a#0001</v>
      </c>
      <c r="L6" s="67" t="str">
        <f>_xll.ohRangeRetrieveError(K6)</f>
        <v/>
      </c>
      <c r="M6" s="65"/>
    </row>
    <row r="7" spans="1:13" x14ac:dyDescent="0.2">
      <c r="A7" s="29"/>
      <c r="B7" s="273" t="s">
        <v>110</v>
      </c>
      <c r="C7" s="273" t="s">
        <v>33</v>
      </c>
      <c r="D7" s="273" t="s">
        <v>74</v>
      </c>
      <c r="E7" s="273" t="s">
        <v>108</v>
      </c>
      <c r="F7" s="274" t="s">
        <v>154</v>
      </c>
      <c r="G7" s="277" t="s">
        <v>107</v>
      </c>
      <c r="H7" s="274" t="s">
        <v>159</v>
      </c>
      <c r="I7" s="275">
        <v>0</v>
      </c>
      <c r="J7" s="276" t="str">
        <f t="shared" si="0"/>
        <v>GBPAM3L1Y_Quote</v>
      </c>
      <c r="K7" s="273" t="str">
        <f>_xll.qlSwapRateHelper2(,$J7,$C7,Calendar,$F7,$G7,$H7,$K$3,$I7,B7,Discounting,Permanent,,ObjectOverwrite)</f>
        <v>obj_0052b#0001</v>
      </c>
      <c r="L7" s="67" t="str">
        <f>_xll.ohRangeRetrieveError(K7)</f>
        <v/>
      </c>
      <c r="M7" s="65"/>
    </row>
    <row r="8" spans="1:13" x14ac:dyDescent="0.2">
      <c r="A8" s="29"/>
      <c r="B8" s="273" t="s">
        <v>110</v>
      </c>
      <c r="C8" s="273" t="s">
        <v>164</v>
      </c>
      <c r="D8" s="273" t="s">
        <v>74</v>
      </c>
      <c r="E8" s="273" t="s">
        <v>108</v>
      </c>
      <c r="F8" s="274" t="s">
        <v>154</v>
      </c>
      <c r="G8" s="277" t="s">
        <v>107</v>
      </c>
      <c r="H8" s="274" t="s">
        <v>159</v>
      </c>
      <c r="I8" s="275">
        <v>0</v>
      </c>
      <c r="J8" s="276" t="str">
        <f t="shared" si="0"/>
        <v>GBPAM3L15M_Quote</v>
      </c>
      <c r="K8" s="273" t="str">
        <f>_xll.qlSwapRateHelper2(,$J8,$C8,Calendar,$F8,$G8,$H8,$K$3,$I8,B8,Discounting,Permanent,,ObjectOverwrite)</f>
        <v>obj_0052c#0001</v>
      </c>
      <c r="L8" s="67" t="str">
        <f>_xll.ohRangeRetrieveError(K8)</f>
        <v/>
      </c>
      <c r="M8" s="65"/>
    </row>
    <row r="9" spans="1:13" x14ac:dyDescent="0.2">
      <c r="A9" s="29"/>
      <c r="B9" s="273" t="s">
        <v>110</v>
      </c>
      <c r="C9" s="273" t="s">
        <v>165</v>
      </c>
      <c r="D9" s="273" t="s">
        <v>74</v>
      </c>
      <c r="E9" s="273" t="s">
        <v>108</v>
      </c>
      <c r="F9" s="274" t="s">
        <v>154</v>
      </c>
      <c r="G9" s="277" t="s">
        <v>107</v>
      </c>
      <c r="H9" s="274" t="s">
        <v>159</v>
      </c>
      <c r="I9" s="275">
        <v>0</v>
      </c>
      <c r="J9" s="276" t="str">
        <f t="shared" si="0"/>
        <v>GBPAM3L18M_Quote</v>
      </c>
      <c r="K9" s="273" t="str">
        <f>_xll.qlSwapRateHelper2(,$J9,$C9,Calendar,$F9,$G9,$H9,$K$3,$I9,B9,Discounting,Permanent,,ObjectOverwrite)</f>
        <v>obj_0052d#0001</v>
      </c>
      <c r="L9" s="67" t="str">
        <f>_xll.ohRangeRetrieveError(K9)</f>
        <v/>
      </c>
      <c r="M9" s="65"/>
    </row>
    <row r="10" spans="1:13" ht="11.25" customHeight="1" x14ac:dyDescent="0.2">
      <c r="A10" s="29"/>
      <c r="B10" s="260" t="s">
        <v>110</v>
      </c>
      <c r="C10" s="260" t="s">
        <v>33</v>
      </c>
      <c r="D10" s="260" t="s">
        <v>161</v>
      </c>
      <c r="E10" s="260" t="s">
        <v>108</v>
      </c>
      <c r="F10" s="259" t="s">
        <v>160</v>
      </c>
      <c r="G10" s="56" t="s">
        <v>107</v>
      </c>
      <c r="H10" s="56" t="s">
        <v>119</v>
      </c>
      <c r="I10" s="70">
        <v>0</v>
      </c>
      <c r="J10" s="71" t="str">
        <f t="shared" si="0"/>
        <v>GBPSM3L1Y_Quote</v>
      </c>
      <c r="K10" s="69" t="str">
        <f>_xll.qlSwapRateHelper2(,$J10,$C10,Calendar,$F10,$G10,$H10,$K$3,$I10,B10,Discounting,Permanent,,ObjectOverwrite)</f>
        <v>obj_0053b#0001</v>
      </c>
      <c r="L10" s="67" t="str">
        <f>_xll.ohRangeRetrieveError(K10)</f>
        <v/>
      </c>
      <c r="M10" s="65"/>
    </row>
    <row r="11" spans="1:13" ht="11.25" customHeight="1" x14ac:dyDescent="0.2">
      <c r="A11" s="29"/>
      <c r="B11" s="69" t="s">
        <v>110</v>
      </c>
      <c r="C11" s="69" t="s">
        <v>32</v>
      </c>
      <c r="D11" s="69" t="s">
        <v>161</v>
      </c>
      <c r="E11" s="69" t="s">
        <v>108</v>
      </c>
      <c r="F11" s="259" t="s">
        <v>160</v>
      </c>
      <c r="G11" s="52" t="s">
        <v>107</v>
      </c>
      <c r="H11" s="56" t="s">
        <v>119</v>
      </c>
      <c r="I11" s="70">
        <v>0</v>
      </c>
      <c r="J11" s="71" t="str">
        <f t="shared" si="0"/>
        <v>GBPSM3L2Y_Quote</v>
      </c>
      <c r="K11" s="69" t="str">
        <f>_xll.qlSwapRateHelper2(,$J11,$C11,Calendar,$F11,$G11,$H11,$K$3,$I11,B11,Discounting,Permanent,,ObjectOverwrite)</f>
        <v>obj_0053a#0001</v>
      </c>
      <c r="L11" s="67" t="str">
        <f>_xll.ohRangeRetrieveError(K11)</f>
        <v/>
      </c>
      <c r="M11" s="65"/>
    </row>
    <row r="12" spans="1:13" ht="11.25" customHeight="1" x14ac:dyDescent="0.2">
      <c r="A12" s="29"/>
      <c r="B12" s="69" t="s">
        <v>110</v>
      </c>
      <c r="C12" s="69" t="s">
        <v>31</v>
      </c>
      <c r="D12" s="69" t="s">
        <v>161</v>
      </c>
      <c r="E12" s="69" t="s">
        <v>108</v>
      </c>
      <c r="F12" s="259" t="s">
        <v>160</v>
      </c>
      <c r="G12" s="52" t="s">
        <v>107</v>
      </c>
      <c r="H12" s="56" t="s">
        <v>119</v>
      </c>
      <c r="I12" s="70">
        <v>0</v>
      </c>
      <c r="J12" s="71" t="str">
        <f t="shared" si="0"/>
        <v>GBPSM3L3Y_Quote</v>
      </c>
      <c r="K12" s="69" t="str">
        <f>_xll.qlSwapRateHelper2(,$J12,$C12,Calendar,$F12,$G12,$H12,$K$3,$I12,B12,Discounting,Permanent,,ObjectOverwrite)</f>
        <v>obj_0054b#0001</v>
      </c>
      <c r="L12" s="67" t="str">
        <f>_xll.ohRangeRetrieveError(K12)</f>
        <v/>
      </c>
      <c r="M12" s="65"/>
    </row>
    <row r="13" spans="1:13" ht="11.25" customHeight="1" x14ac:dyDescent="0.2">
      <c r="A13" s="29"/>
      <c r="B13" s="69" t="s">
        <v>110</v>
      </c>
      <c r="C13" s="69" t="s">
        <v>30</v>
      </c>
      <c r="D13" s="69" t="s">
        <v>161</v>
      </c>
      <c r="E13" s="69" t="s">
        <v>108</v>
      </c>
      <c r="F13" s="259" t="s">
        <v>160</v>
      </c>
      <c r="G13" s="52" t="s">
        <v>107</v>
      </c>
      <c r="H13" s="56" t="s">
        <v>119</v>
      </c>
      <c r="I13" s="70">
        <v>0</v>
      </c>
      <c r="J13" s="71" t="str">
        <f t="shared" si="0"/>
        <v>GBPSM3L4Y_Quote</v>
      </c>
      <c r="K13" s="69" t="str">
        <f>_xll.qlSwapRateHelper2(,$J13,$C13,Calendar,$F13,$G13,$H13,$K$3,$I13,B13,Discounting,Permanent,,ObjectOverwrite)</f>
        <v>obj_0055a#0001</v>
      </c>
      <c r="L13" s="67" t="str">
        <f>_xll.ohRangeRetrieveError(K13)</f>
        <v/>
      </c>
      <c r="M13" s="65"/>
    </row>
    <row r="14" spans="1:13" ht="11.25" customHeight="1" x14ac:dyDescent="0.2">
      <c r="A14" s="29"/>
      <c r="B14" s="69" t="s">
        <v>110</v>
      </c>
      <c r="C14" s="69" t="s">
        <v>29</v>
      </c>
      <c r="D14" s="69" t="s">
        <v>161</v>
      </c>
      <c r="E14" s="69" t="s">
        <v>108</v>
      </c>
      <c r="F14" s="259" t="s">
        <v>160</v>
      </c>
      <c r="G14" s="52" t="s">
        <v>107</v>
      </c>
      <c r="H14" s="56" t="s">
        <v>119</v>
      </c>
      <c r="I14" s="70">
        <v>0</v>
      </c>
      <c r="J14" s="71" t="str">
        <f t="shared" si="0"/>
        <v>GBPSM3L5Y_Quote</v>
      </c>
      <c r="K14" s="69" t="str">
        <f>_xll.qlSwapRateHelper2(,$J14,$C14,Calendar,$F14,$G14,$H14,$K$3,$I14,B14,Discounting,Permanent,,ObjectOverwrite)</f>
        <v>obj_0055b#0001</v>
      </c>
      <c r="L14" s="67" t="str">
        <f>_xll.ohRangeRetrieveError(K14)</f>
        <v/>
      </c>
      <c r="M14" s="65"/>
    </row>
    <row r="15" spans="1:13" ht="11.25" customHeight="1" x14ac:dyDescent="0.2">
      <c r="A15" s="29"/>
      <c r="B15" s="69" t="s">
        <v>110</v>
      </c>
      <c r="C15" s="69" t="s">
        <v>28</v>
      </c>
      <c r="D15" s="69" t="s">
        <v>161</v>
      </c>
      <c r="E15" s="69" t="s">
        <v>108</v>
      </c>
      <c r="F15" s="259" t="s">
        <v>160</v>
      </c>
      <c r="G15" s="52" t="s">
        <v>107</v>
      </c>
      <c r="H15" s="56" t="s">
        <v>119</v>
      </c>
      <c r="I15" s="70">
        <v>0</v>
      </c>
      <c r="J15" s="71" t="str">
        <f t="shared" si="0"/>
        <v>GBPSM3L6Y_Quote</v>
      </c>
      <c r="K15" s="69" t="str">
        <f>_xll.qlSwapRateHelper2(,$J15,$C15,Calendar,$F15,$G15,$H15,$K$3,$I15,B15,Discounting,Permanent,,ObjectOverwrite)</f>
        <v>obj_00558#0001</v>
      </c>
      <c r="L15" s="67" t="str">
        <f>_xll.ohRangeRetrieveError(K15)</f>
        <v/>
      </c>
      <c r="M15" s="65"/>
    </row>
    <row r="16" spans="1:13" ht="11.25" customHeight="1" x14ac:dyDescent="0.2">
      <c r="A16" s="29"/>
      <c r="B16" s="69" t="s">
        <v>110</v>
      </c>
      <c r="C16" s="69" t="s">
        <v>27</v>
      </c>
      <c r="D16" s="69" t="s">
        <v>161</v>
      </c>
      <c r="E16" s="69" t="s">
        <v>108</v>
      </c>
      <c r="F16" s="259" t="s">
        <v>160</v>
      </c>
      <c r="G16" s="52" t="s">
        <v>107</v>
      </c>
      <c r="H16" s="56" t="s">
        <v>119</v>
      </c>
      <c r="I16" s="70">
        <v>0</v>
      </c>
      <c r="J16" s="71" t="str">
        <f t="shared" si="0"/>
        <v>GBPSM3L7Y_Quote</v>
      </c>
      <c r="K16" s="69" t="str">
        <f>_xll.qlSwapRateHelper2(,$J16,$C16,Calendar,$F16,$G16,$H16,$K$3,$I16,B16,Discounting,Permanent,,ObjectOverwrite)</f>
        <v>obj_0054f#0001</v>
      </c>
      <c r="L16" s="67" t="str">
        <f>_xll.ohRangeRetrieveError(K16)</f>
        <v/>
      </c>
      <c r="M16" s="65"/>
    </row>
    <row r="17" spans="1:13" ht="11.25" customHeight="1" x14ac:dyDescent="0.2">
      <c r="A17" s="29"/>
      <c r="B17" s="69" t="s">
        <v>110</v>
      </c>
      <c r="C17" s="69" t="s">
        <v>26</v>
      </c>
      <c r="D17" s="69" t="s">
        <v>161</v>
      </c>
      <c r="E17" s="69" t="s">
        <v>108</v>
      </c>
      <c r="F17" s="259" t="s">
        <v>160</v>
      </c>
      <c r="G17" s="52" t="s">
        <v>107</v>
      </c>
      <c r="H17" s="56" t="s">
        <v>119</v>
      </c>
      <c r="I17" s="70">
        <v>0</v>
      </c>
      <c r="J17" s="71" t="str">
        <f t="shared" si="0"/>
        <v>GBPSM3L8Y_Quote</v>
      </c>
      <c r="K17" s="69" t="str">
        <f>_xll.qlSwapRateHelper2(,$J17,$C17,Calendar,$F17,$G17,$H17,$K$3,$I17,B17,Discounting,Permanent,,ObjectOverwrite)</f>
        <v>obj_00546#0001</v>
      </c>
      <c r="L17" s="67" t="str">
        <f>_xll.ohRangeRetrieveError(K17)</f>
        <v/>
      </c>
      <c r="M17" s="65"/>
    </row>
    <row r="18" spans="1:13" ht="11.25" customHeight="1" x14ac:dyDescent="0.2">
      <c r="A18" s="29"/>
      <c r="B18" s="69" t="s">
        <v>110</v>
      </c>
      <c r="C18" s="69" t="s">
        <v>25</v>
      </c>
      <c r="D18" s="69" t="s">
        <v>161</v>
      </c>
      <c r="E18" s="69" t="s">
        <v>108</v>
      </c>
      <c r="F18" s="259" t="s">
        <v>160</v>
      </c>
      <c r="G18" s="52" t="s">
        <v>107</v>
      </c>
      <c r="H18" s="56" t="s">
        <v>119</v>
      </c>
      <c r="I18" s="70">
        <v>0</v>
      </c>
      <c r="J18" s="71" t="str">
        <f t="shared" si="0"/>
        <v>GBPSM3L9Y_Quote</v>
      </c>
      <c r="K18" s="69" t="str">
        <f>_xll.qlSwapRateHelper2(,$J18,$C18,Calendar,$F18,$G18,$H18,$K$3,$I18,B18,Discounting,Permanent,,ObjectOverwrite)</f>
        <v>obj_0053c#0001</v>
      </c>
      <c r="L18" s="67" t="str">
        <f>_xll.ohRangeRetrieveError(K18)</f>
        <v/>
      </c>
      <c r="M18" s="65"/>
    </row>
    <row r="19" spans="1:13" ht="11.25" customHeight="1" x14ac:dyDescent="0.2">
      <c r="A19" s="29"/>
      <c r="B19" s="69" t="s">
        <v>110</v>
      </c>
      <c r="C19" s="69" t="s">
        <v>24</v>
      </c>
      <c r="D19" s="69" t="s">
        <v>161</v>
      </c>
      <c r="E19" s="69" t="s">
        <v>108</v>
      </c>
      <c r="F19" s="259" t="s">
        <v>160</v>
      </c>
      <c r="G19" s="52" t="s">
        <v>107</v>
      </c>
      <c r="H19" s="56" t="s">
        <v>119</v>
      </c>
      <c r="I19" s="70">
        <v>0</v>
      </c>
      <c r="J19" s="71" t="str">
        <f t="shared" si="0"/>
        <v>GBPSM3L10Y_Quote</v>
      </c>
      <c r="K19" s="69" t="str">
        <f>_xll.qlSwapRateHelper2(,$J19,$C19,Calendar,$F19,$G19,$H19,$K$3,$I19,B19,Discounting,Permanent,,ObjectOverwrite)</f>
        <v>obj_00545#0001</v>
      </c>
      <c r="L19" s="67" t="str">
        <f>_xll.ohRangeRetrieveError(K19)</f>
        <v/>
      </c>
      <c r="M19" s="65"/>
    </row>
    <row r="20" spans="1:13" ht="11.25" customHeight="1" x14ac:dyDescent="0.2">
      <c r="A20" s="29"/>
      <c r="B20" s="69" t="s">
        <v>110</v>
      </c>
      <c r="C20" s="69" t="s">
        <v>23</v>
      </c>
      <c r="D20" s="69" t="s">
        <v>161</v>
      </c>
      <c r="E20" s="69" t="s">
        <v>108</v>
      </c>
      <c r="F20" s="259" t="s">
        <v>160</v>
      </c>
      <c r="G20" s="52" t="s">
        <v>107</v>
      </c>
      <c r="H20" s="56" t="s">
        <v>119</v>
      </c>
      <c r="I20" s="70">
        <v>0</v>
      </c>
      <c r="J20" s="71" t="str">
        <f t="shared" si="0"/>
        <v>GBPSM3L11Y_Quote</v>
      </c>
      <c r="K20" s="69" t="str">
        <f>_xll.qlSwapRateHelper2(,$J20,$C20,Calendar,$F20,$G20,$H20,$K$3,$I20,B20,Discounting,Permanent,,ObjectOverwrite)</f>
        <v>obj_00548#0001</v>
      </c>
      <c r="L20" s="67" t="str">
        <f>_xll.ohRangeRetrieveError(K20)</f>
        <v/>
      </c>
      <c r="M20" s="65"/>
    </row>
    <row r="21" spans="1:13" ht="11.25" customHeight="1" x14ac:dyDescent="0.2">
      <c r="A21" s="29"/>
      <c r="B21" s="69" t="s">
        <v>110</v>
      </c>
      <c r="C21" s="69" t="s">
        <v>22</v>
      </c>
      <c r="D21" s="69" t="s">
        <v>161</v>
      </c>
      <c r="E21" s="69" t="s">
        <v>108</v>
      </c>
      <c r="F21" s="259" t="s">
        <v>160</v>
      </c>
      <c r="G21" s="52" t="s">
        <v>107</v>
      </c>
      <c r="H21" s="56" t="s">
        <v>119</v>
      </c>
      <c r="I21" s="70">
        <v>0</v>
      </c>
      <c r="J21" s="71" t="str">
        <f t="shared" si="0"/>
        <v>GBPSM3L12Y_Quote</v>
      </c>
      <c r="K21" s="69" t="str">
        <f>_xll.qlSwapRateHelper2(,$J21,$C21,Calendar,$F21,$G21,$H21,$K$3,$I21,B21,Discounting,Permanent,,ObjectOverwrite)</f>
        <v>obj_00556#0001</v>
      </c>
      <c r="L21" s="67" t="str">
        <f>_xll.ohRangeRetrieveError(K21)</f>
        <v/>
      </c>
      <c r="M21" s="65"/>
    </row>
    <row r="22" spans="1:13" ht="11.25" customHeight="1" x14ac:dyDescent="0.2">
      <c r="A22" s="29"/>
      <c r="B22" s="69" t="s">
        <v>110</v>
      </c>
      <c r="C22" s="69" t="s">
        <v>21</v>
      </c>
      <c r="D22" s="69" t="s">
        <v>161</v>
      </c>
      <c r="E22" s="69" t="s">
        <v>108</v>
      </c>
      <c r="F22" s="259" t="s">
        <v>160</v>
      </c>
      <c r="G22" s="52" t="s">
        <v>107</v>
      </c>
      <c r="H22" s="56" t="s">
        <v>119</v>
      </c>
      <c r="I22" s="70">
        <v>0</v>
      </c>
      <c r="J22" s="71" t="str">
        <f t="shared" si="0"/>
        <v>GBPSM3L13Y_Quote</v>
      </c>
      <c r="K22" s="69" t="str">
        <f>_xll.qlSwapRateHelper2(,$J22,$C22,Calendar,$F22,$G22,$H22,$K$3,$I22,B22,Discounting,Permanent,,ObjectOverwrite)</f>
        <v>obj_00557#0001</v>
      </c>
      <c r="L22" s="67" t="str">
        <f>_xll.ohRangeRetrieveError(K22)</f>
        <v/>
      </c>
      <c r="M22" s="65"/>
    </row>
    <row r="23" spans="1:13" ht="11.25" customHeight="1" x14ac:dyDescent="0.2">
      <c r="A23" s="29"/>
      <c r="B23" s="69" t="s">
        <v>110</v>
      </c>
      <c r="C23" s="69" t="s">
        <v>20</v>
      </c>
      <c r="D23" s="69" t="s">
        <v>161</v>
      </c>
      <c r="E23" s="69" t="s">
        <v>108</v>
      </c>
      <c r="F23" s="259" t="s">
        <v>160</v>
      </c>
      <c r="G23" s="52" t="s">
        <v>107</v>
      </c>
      <c r="H23" s="56" t="s">
        <v>119</v>
      </c>
      <c r="I23" s="70">
        <v>0</v>
      </c>
      <c r="J23" s="71" t="str">
        <f t="shared" si="0"/>
        <v>GBPSM3L14Y_Quote</v>
      </c>
      <c r="K23" s="69" t="str">
        <f>_xll.qlSwapRateHelper2(,$J23,$C23,Calendar,$F23,$G23,$H23,$K$3,$I23,B23,Discounting,Permanent,,ObjectOverwrite)</f>
        <v>obj_0053f#0001</v>
      </c>
      <c r="L23" s="67" t="str">
        <f>_xll.ohRangeRetrieveError(K23)</f>
        <v/>
      </c>
      <c r="M23" s="65"/>
    </row>
    <row r="24" spans="1:13" ht="11.25" customHeight="1" x14ac:dyDescent="0.2">
      <c r="A24" s="29"/>
      <c r="B24" s="69" t="s">
        <v>110</v>
      </c>
      <c r="C24" s="69" t="s">
        <v>19</v>
      </c>
      <c r="D24" s="69" t="s">
        <v>161</v>
      </c>
      <c r="E24" s="69" t="s">
        <v>108</v>
      </c>
      <c r="F24" s="259" t="s">
        <v>160</v>
      </c>
      <c r="G24" s="52" t="s">
        <v>107</v>
      </c>
      <c r="H24" s="56" t="s">
        <v>119</v>
      </c>
      <c r="I24" s="70">
        <v>0</v>
      </c>
      <c r="J24" s="71" t="str">
        <f t="shared" si="0"/>
        <v>GBPSM3L15Y_Quote</v>
      </c>
      <c r="K24" s="69" t="str">
        <f>_xll.qlSwapRateHelper2(,$J24,$C24,Calendar,$F24,$G24,$H24,$K$3,$I24,B24,Discounting,Permanent,,ObjectOverwrite)</f>
        <v>obj_00563#0001</v>
      </c>
      <c r="L24" s="67" t="str">
        <f>_xll.ohRangeRetrieveError(K24)</f>
        <v/>
      </c>
      <c r="M24" s="65"/>
    </row>
    <row r="25" spans="1:13" ht="11.25" customHeight="1" x14ac:dyDescent="0.2">
      <c r="A25" s="29"/>
      <c r="B25" s="69" t="s">
        <v>110</v>
      </c>
      <c r="C25" s="69" t="s">
        <v>18</v>
      </c>
      <c r="D25" s="69" t="s">
        <v>161</v>
      </c>
      <c r="E25" s="69" t="s">
        <v>108</v>
      </c>
      <c r="F25" s="259" t="s">
        <v>160</v>
      </c>
      <c r="G25" s="52" t="s">
        <v>107</v>
      </c>
      <c r="H25" s="56" t="s">
        <v>119</v>
      </c>
      <c r="I25" s="70">
        <v>0</v>
      </c>
      <c r="J25" s="71" t="str">
        <f t="shared" si="0"/>
        <v>GBPSM3L16Y_Quote</v>
      </c>
      <c r="K25" s="69" t="str">
        <f>_xll.qlSwapRateHelper2(,$J25,$C25,Calendar,$F25,$G25,$H25,$K$3,$I25,B25,Discounting,Permanent,,ObjectOverwrite)</f>
        <v>obj_0054c#0001</v>
      </c>
      <c r="L25" s="67" t="str">
        <f>_xll.ohRangeRetrieveError(K25)</f>
        <v/>
      </c>
      <c r="M25" s="65"/>
    </row>
    <row r="26" spans="1:13" ht="11.25" customHeight="1" x14ac:dyDescent="0.2">
      <c r="A26" s="29"/>
      <c r="B26" s="69" t="s">
        <v>110</v>
      </c>
      <c r="C26" s="69" t="s">
        <v>17</v>
      </c>
      <c r="D26" s="69" t="s">
        <v>161</v>
      </c>
      <c r="E26" s="69" t="s">
        <v>108</v>
      </c>
      <c r="F26" s="259" t="s">
        <v>160</v>
      </c>
      <c r="G26" s="52" t="s">
        <v>107</v>
      </c>
      <c r="H26" s="56" t="s">
        <v>119</v>
      </c>
      <c r="I26" s="70">
        <v>0</v>
      </c>
      <c r="J26" s="71" t="str">
        <f t="shared" si="0"/>
        <v>GBPSM3L17Y_Quote</v>
      </c>
      <c r="K26" s="69" t="str">
        <f>_xll.qlSwapRateHelper2(,$J26,$C26,Calendar,$F26,$G26,$H26,$K$3,$I26,B26,Discounting,Permanent,,ObjectOverwrite)</f>
        <v>obj_00543#0001</v>
      </c>
      <c r="L26" s="67" t="str">
        <f>_xll.ohRangeRetrieveError(K26)</f>
        <v/>
      </c>
      <c r="M26" s="65"/>
    </row>
    <row r="27" spans="1:13" ht="11.25" customHeight="1" x14ac:dyDescent="0.2">
      <c r="A27" s="29"/>
      <c r="B27" s="69" t="s">
        <v>110</v>
      </c>
      <c r="C27" s="69" t="s">
        <v>16</v>
      </c>
      <c r="D27" s="69" t="s">
        <v>161</v>
      </c>
      <c r="E27" s="69" t="s">
        <v>108</v>
      </c>
      <c r="F27" s="259" t="s">
        <v>160</v>
      </c>
      <c r="G27" s="52" t="s">
        <v>107</v>
      </c>
      <c r="H27" s="56" t="s">
        <v>119</v>
      </c>
      <c r="I27" s="70">
        <v>0</v>
      </c>
      <c r="J27" s="71" t="str">
        <f t="shared" si="0"/>
        <v>GBPSM3L18Y_Quote</v>
      </c>
      <c r="K27" s="69" t="str">
        <f>_xll.qlSwapRateHelper2(,$J27,$C27,Calendar,$F27,$G27,$H27,$K$3,$I27,B27,Discounting,Permanent,,ObjectOverwrite)</f>
        <v>obj_0053d#0001</v>
      </c>
      <c r="L27" s="67" t="str">
        <f>_xll.ohRangeRetrieveError(K27)</f>
        <v/>
      </c>
      <c r="M27" s="65"/>
    </row>
    <row r="28" spans="1:13" ht="11.25" customHeight="1" x14ac:dyDescent="0.2">
      <c r="A28" s="29"/>
      <c r="B28" s="69" t="s">
        <v>110</v>
      </c>
      <c r="C28" s="69" t="s">
        <v>15</v>
      </c>
      <c r="D28" s="69" t="s">
        <v>161</v>
      </c>
      <c r="E28" s="69" t="s">
        <v>108</v>
      </c>
      <c r="F28" s="259" t="s">
        <v>160</v>
      </c>
      <c r="G28" s="52" t="s">
        <v>107</v>
      </c>
      <c r="H28" s="56" t="s">
        <v>119</v>
      </c>
      <c r="I28" s="70">
        <v>0</v>
      </c>
      <c r="J28" s="71" t="str">
        <f t="shared" si="0"/>
        <v>GBPSM3L19Y_Quote</v>
      </c>
      <c r="K28" s="69" t="str">
        <f>_xll.qlSwapRateHelper2(,$J28,$C28,Calendar,$F28,$G28,$H28,$K$3,$I28,B28,Discounting,Permanent,,ObjectOverwrite)</f>
        <v>obj_00538#0001</v>
      </c>
      <c r="L28" s="67" t="str">
        <f>_xll.ohRangeRetrieveError(K28)</f>
        <v/>
      </c>
      <c r="M28" s="65"/>
    </row>
    <row r="29" spans="1:13" ht="11.25" customHeight="1" x14ac:dyDescent="0.2">
      <c r="A29" s="29"/>
      <c r="B29" s="69" t="s">
        <v>110</v>
      </c>
      <c r="C29" s="69" t="s">
        <v>14</v>
      </c>
      <c r="D29" s="69" t="s">
        <v>161</v>
      </c>
      <c r="E29" s="69" t="s">
        <v>108</v>
      </c>
      <c r="F29" s="259" t="s">
        <v>160</v>
      </c>
      <c r="G29" s="52" t="s">
        <v>107</v>
      </c>
      <c r="H29" s="56" t="s">
        <v>119</v>
      </c>
      <c r="I29" s="70">
        <v>0</v>
      </c>
      <c r="J29" s="71" t="str">
        <f t="shared" si="0"/>
        <v>GBPSM3L20Y_Quote</v>
      </c>
      <c r="K29" s="69" t="str">
        <f>_xll.qlSwapRateHelper2(,$J29,$C29,Calendar,$F29,$G29,$H29,$K$3,$I29,B29,Discounting,Permanent,,ObjectOverwrite)</f>
        <v>obj_0053e#0001</v>
      </c>
      <c r="L29" s="67" t="str">
        <f>_xll.ohRangeRetrieveError(K29)</f>
        <v/>
      </c>
      <c r="M29" s="65"/>
    </row>
    <row r="30" spans="1:13" ht="11.25" customHeight="1" x14ac:dyDescent="0.2">
      <c r="A30" s="29"/>
      <c r="B30" s="69" t="s">
        <v>110</v>
      </c>
      <c r="C30" s="69" t="s">
        <v>13</v>
      </c>
      <c r="D30" s="69" t="s">
        <v>161</v>
      </c>
      <c r="E30" s="69" t="s">
        <v>108</v>
      </c>
      <c r="F30" s="259" t="s">
        <v>160</v>
      </c>
      <c r="G30" s="52" t="s">
        <v>107</v>
      </c>
      <c r="H30" s="56" t="s">
        <v>119</v>
      </c>
      <c r="I30" s="70">
        <v>0</v>
      </c>
      <c r="J30" s="71" t="str">
        <f t="shared" si="0"/>
        <v>GBPSM3L21Y_Quote</v>
      </c>
      <c r="K30" s="69" t="str">
        <f>_xll.qlSwapRateHelper2(,$J30,$C30,Calendar,$F30,$G30,$H30,$K$3,$I30,B30,Discounting,Permanent,,ObjectOverwrite)</f>
        <v>obj_00536#0001</v>
      </c>
      <c r="L30" s="67" t="str">
        <f>_xll.ohRangeRetrieveError(K30)</f>
        <v/>
      </c>
      <c r="M30" s="65"/>
    </row>
    <row r="31" spans="1:13" ht="11.25" customHeight="1" x14ac:dyDescent="0.2">
      <c r="A31" s="29"/>
      <c r="B31" s="69" t="s">
        <v>110</v>
      </c>
      <c r="C31" s="69" t="s">
        <v>12</v>
      </c>
      <c r="D31" s="69" t="s">
        <v>161</v>
      </c>
      <c r="E31" s="69" t="s">
        <v>108</v>
      </c>
      <c r="F31" s="259" t="s">
        <v>160</v>
      </c>
      <c r="G31" s="52" t="s">
        <v>107</v>
      </c>
      <c r="H31" s="56" t="s">
        <v>119</v>
      </c>
      <c r="I31" s="70">
        <v>0</v>
      </c>
      <c r="J31" s="71" t="str">
        <f t="shared" si="0"/>
        <v>GBPSM3L22Y_Quote</v>
      </c>
      <c r="K31" s="69" t="str">
        <f>_xll.qlSwapRateHelper2(,$J31,$C31,Calendar,$F31,$G31,$H31,$K$3,$I31,B31,Discounting,Permanent,,ObjectOverwrite)</f>
        <v>obj_00551#0001</v>
      </c>
      <c r="L31" s="67" t="str">
        <f>_xll.ohRangeRetrieveError(K31)</f>
        <v/>
      </c>
      <c r="M31" s="65"/>
    </row>
    <row r="32" spans="1:13" ht="11.25" customHeight="1" x14ac:dyDescent="0.2">
      <c r="A32" s="29"/>
      <c r="B32" s="69" t="s">
        <v>110</v>
      </c>
      <c r="C32" s="69" t="s">
        <v>11</v>
      </c>
      <c r="D32" s="69" t="s">
        <v>161</v>
      </c>
      <c r="E32" s="69" t="s">
        <v>108</v>
      </c>
      <c r="F32" s="259" t="s">
        <v>160</v>
      </c>
      <c r="G32" s="52" t="s">
        <v>107</v>
      </c>
      <c r="H32" s="56" t="s">
        <v>119</v>
      </c>
      <c r="I32" s="70">
        <v>0</v>
      </c>
      <c r="J32" s="71" t="str">
        <f t="shared" si="0"/>
        <v>GBPSM3L23Y_Quote</v>
      </c>
      <c r="K32" s="69" t="str">
        <f>_xll.qlSwapRateHelper2(,$J32,$C32,Calendar,$F32,$G32,$H32,$K$3,$I32,B32,Discounting,Permanent,,ObjectOverwrite)</f>
        <v>obj_00560#0001</v>
      </c>
      <c r="L32" s="67" t="str">
        <f>_xll.ohRangeRetrieveError(K32)</f>
        <v/>
      </c>
      <c r="M32" s="65"/>
    </row>
    <row r="33" spans="1:13" ht="11.25" customHeight="1" x14ac:dyDescent="0.2">
      <c r="A33" s="29"/>
      <c r="B33" s="69" t="s">
        <v>110</v>
      </c>
      <c r="C33" s="69" t="s">
        <v>10</v>
      </c>
      <c r="D33" s="69" t="s">
        <v>161</v>
      </c>
      <c r="E33" s="69" t="s">
        <v>108</v>
      </c>
      <c r="F33" s="259" t="s">
        <v>160</v>
      </c>
      <c r="G33" s="52" t="s">
        <v>107</v>
      </c>
      <c r="H33" s="56" t="s">
        <v>119</v>
      </c>
      <c r="I33" s="70">
        <v>0</v>
      </c>
      <c r="J33" s="71" t="str">
        <f t="shared" si="0"/>
        <v>GBPSM3L24Y_Quote</v>
      </c>
      <c r="K33" s="69" t="str">
        <f>_xll.qlSwapRateHelper2(,$J33,$C33,Calendar,$F33,$G33,$H33,$K$3,$I33,B33,Discounting,Permanent,,ObjectOverwrite)</f>
        <v>obj_00549#0001</v>
      </c>
      <c r="L33" s="67" t="str">
        <f>_xll.ohRangeRetrieveError(K33)</f>
        <v/>
      </c>
      <c r="M33" s="65"/>
    </row>
    <row r="34" spans="1:13" ht="11.25" customHeight="1" x14ac:dyDescent="0.2">
      <c r="A34" s="29"/>
      <c r="B34" s="69" t="s">
        <v>110</v>
      </c>
      <c r="C34" s="69" t="s">
        <v>9</v>
      </c>
      <c r="D34" s="69" t="s">
        <v>161</v>
      </c>
      <c r="E34" s="69" t="s">
        <v>108</v>
      </c>
      <c r="F34" s="259" t="s">
        <v>160</v>
      </c>
      <c r="G34" s="52" t="s">
        <v>107</v>
      </c>
      <c r="H34" s="56" t="s">
        <v>119</v>
      </c>
      <c r="I34" s="70">
        <v>0</v>
      </c>
      <c r="J34" s="71" t="str">
        <f t="shared" si="0"/>
        <v>GBPSM3L25Y_Quote</v>
      </c>
      <c r="K34" s="69" t="str">
        <f>_xll.qlSwapRateHelper2(,$J34,$C34,Calendar,$F34,$G34,$H34,$K$3,$I34,B34,Discounting,Permanent,,ObjectOverwrite)</f>
        <v>obj_0055f#0001</v>
      </c>
      <c r="L34" s="67" t="str">
        <f>_xll.ohRangeRetrieveError(K34)</f>
        <v/>
      </c>
      <c r="M34" s="65"/>
    </row>
    <row r="35" spans="1:13" ht="11.25" customHeight="1" x14ac:dyDescent="0.2">
      <c r="A35" s="29"/>
      <c r="B35" s="69" t="s">
        <v>110</v>
      </c>
      <c r="C35" s="69" t="s">
        <v>8</v>
      </c>
      <c r="D35" s="69" t="s">
        <v>161</v>
      </c>
      <c r="E35" s="69" t="s">
        <v>108</v>
      </c>
      <c r="F35" s="259" t="s">
        <v>160</v>
      </c>
      <c r="G35" s="52" t="s">
        <v>107</v>
      </c>
      <c r="H35" s="56" t="s">
        <v>119</v>
      </c>
      <c r="I35" s="70">
        <v>0</v>
      </c>
      <c r="J35" s="71" t="str">
        <f t="shared" si="0"/>
        <v>GBPSM3L26Y_Quote</v>
      </c>
      <c r="K35" s="69" t="str">
        <f>_xll.qlSwapRateHelper2(,$J35,$C35,Calendar,$F35,$G35,$H35,$K$3,$I35,B35,Discounting,Permanent,,ObjectOverwrite)</f>
        <v>obj_00537#0001</v>
      </c>
      <c r="L35" s="67" t="str">
        <f>_xll.ohRangeRetrieveError(K35)</f>
        <v/>
      </c>
      <c r="M35" s="65"/>
    </row>
    <row r="36" spans="1:13" ht="11.25" customHeight="1" x14ac:dyDescent="0.2">
      <c r="A36" s="29"/>
      <c r="B36" s="69" t="s">
        <v>110</v>
      </c>
      <c r="C36" s="69" t="s">
        <v>7</v>
      </c>
      <c r="D36" s="69" t="s">
        <v>161</v>
      </c>
      <c r="E36" s="69" t="s">
        <v>108</v>
      </c>
      <c r="F36" s="259" t="s">
        <v>160</v>
      </c>
      <c r="G36" s="52" t="s">
        <v>107</v>
      </c>
      <c r="H36" s="56" t="s">
        <v>119</v>
      </c>
      <c r="I36" s="70">
        <v>0</v>
      </c>
      <c r="J36" s="71" t="str">
        <f t="shared" si="0"/>
        <v>GBPSM3L27Y_Quote</v>
      </c>
      <c r="K36" s="69" t="str">
        <f>_xll.qlSwapRateHelper2(,$J36,$C36,Calendar,$F36,$G36,$H36,$K$3,$I36,B36,Discounting,Permanent,,ObjectOverwrite)</f>
        <v>obj_00559#0001</v>
      </c>
      <c r="L36" s="67" t="str">
        <f>_xll.ohRangeRetrieveError(K36)</f>
        <v/>
      </c>
      <c r="M36" s="65"/>
    </row>
    <row r="37" spans="1:13" ht="11.25" customHeight="1" x14ac:dyDescent="0.2">
      <c r="A37" s="29"/>
      <c r="B37" s="69" t="s">
        <v>110</v>
      </c>
      <c r="C37" s="69" t="s">
        <v>6</v>
      </c>
      <c r="D37" s="69" t="s">
        <v>161</v>
      </c>
      <c r="E37" s="69" t="s">
        <v>108</v>
      </c>
      <c r="F37" s="259" t="s">
        <v>160</v>
      </c>
      <c r="G37" s="52" t="s">
        <v>107</v>
      </c>
      <c r="H37" s="56" t="s">
        <v>119</v>
      </c>
      <c r="I37" s="70">
        <v>0</v>
      </c>
      <c r="J37" s="71" t="str">
        <f t="shared" si="0"/>
        <v>GBPSM3L28Y_Quote</v>
      </c>
      <c r="K37" s="69" t="str">
        <f>_xll.qlSwapRateHelper2(,$J37,$C37,Calendar,$F37,$G37,$H37,$K$3,$I37,B37,Discounting,Permanent,,ObjectOverwrite)</f>
        <v>obj_00550#0001</v>
      </c>
      <c r="L37" s="67" t="str">
        <f>_xll.ohRangeRetrieveError(K37)</f>
        <v/>
      </c>
      <c r="M37" s="65"/>
    </row>
    <row r="38" spans="1:13" ht="11.25" customHeight="1" x14ac:dyDescent="0.2">
      <c r="A38" s="29"/>
      <c r="B38" s="69" t="s">
        <v>110</v>
      </c>
      <c r="C38" s="69" t="s">
        <v>5</v>
      </c>
      <c r="D38" s="69" t="s">
        <v>161</v>
      </c>
      <c r="E38" s="69" t="s">
        <v>108</v>
      </c>
      <c r="F38" s="259" t="s">
        <v>160</v>
      </c>
      <c r="G38" s="52" t="s">
        <v>107</v>
      </c>
      <c r="H38" s="56" t="s">
        <v>119</v>
      </c>
      <c r="I38" s="70">
        <v>0</v>
      </c>
      <c r="J38" s="71" t="str">
        <f t="shared" si="0"/>
        <v>GBPSM3L29Y_Quote</v>
      </c>
      <c r="K38" s="69" t="str">
        <f>_xll.qlSwapRateHelper2(,$J38,$C38,Calendar,$F38,$G38,$H38,$K$3,$I38,B38,Discounting,Permanent,,ObjectOverwrite)</f>
        <v>obj_00547#0001</v>
      </c>
      <c r="L38" s="67" t="str">
        <f>_xll.ohRangeRetrieveError(K38)</f>
        <v/>
      </c>
      <c r="M38" s="65"/>
    </row>
    <row r="39" spans="1:13" ht="11.25" customHeight="1" x14ac:dyDescent="0.2">
      <c r="A39" s="29"/>
      <c r="B39" s="69" t="s">
        <v>110</v>
      </c>
      <c r="C39" s="69" t="s">
        <v>4</v>
      </c>
      <c r="D39" s="69" t="s">
        <v>161</v>
      </c>
      <c r="E39" s="69" t="s">
        <v>108</v>
      </c>
      <c r="F39" s="259" t="s">
        <v>160</v>
      </c>
      <c r="G39" s="52" t="s">
        <v>107</v>
      </c>
      <c r="H39" s="56" t="s">
        <v>119</v>
      </c>
      <c r="I39" s="70">
        <v>0</v>
      </c>
      <c r="J39" s="71" t="str">
        <f t="shared" si="0"/>
        <v>GBPSM3L30Y_Quote</v>
      </c>
      <c r="K39" s="69" t="str">
        <f>_xll.qlSwapRateHelper2(,$J39,$C39,Calendar,$F39,$G39,$H39,$K$3,$I39,B39,Discounting,Permanent,,ObjectOverwrite)</f>
        <v>obj_00562#0001</v>
      </c>
      <c r="L39" s="67" t="str">
        <f>_xll.ohRangeRetrieveError(K39)</f>
        <v/>
      </c>
      <c r="M39" s="65"/>
    </row>
    <row r="40" spans="1:13" ht="11.25" customHeight="1" x14ac:dyDescent="0.2">
      <c r="A40" s="29"/>
      <c r="B40" s="69" t="s">
        <v>110</v>
      </c>
      <c r="C40" s="69" t="s">
        <v>3</v>
      </c>
      <c r="D40" s="69" t="s">
        <v>161</v>
      </c>
      <c r="E40" s="69" t="s">
        <v>108</v>
      </c>
      <c r="F40" s="259" t="s">
        <v>160</v>
      </c>
      <c r="G40" s="52" t="s">
        <v>107</v>
      </c>
      <c r="H40" s="56" t="s">
        <v>119</v>
      </c>
      <c r="I40" s="70">
        <v>0</v>
      </c>
      <c r="J40" s="71" t="str">
        <f t="shared" si="0"/>
        <v>GBPSM3L35Y_Quote</v>
      </c>
      <c r="K40" s="69" t="str">
        <f>_xll.qlSwapRateHelper2(,$J40,$C40,Calendar,$F40,$G40,$H40,$K$3,$I40,B40,Discounting,Permanent,,ObjectOverwrite)</f>
        <v>obj_00539#0001</v>
      </c>
      <c r="L40" s="67" t="str">
        <f>_xll.ohRangeRetrieveError(K40)</f>
        <v/>
      </c>
      <c r="M40" s="65"/>
    </row>
    <row r="41" spans="1:13" ht="11.25" customHeight="1" x14ac:dyDescent="0.2">
      <c r="A41" s="29"/>
      <c r="B41" s="69" t="s">
        <v>110</v>
      </c>
      <c r="C41" s="69" t="s">
        <v>2</v>
      </c>
      <c r="D41" s="69" t="s">
        <v>161</v>
      </c>
      <c r="E41" s="69" t="s">
        <v>108</v>
      </c>
      <c r="F41" s="259" t="s">
        <v>160</v>
      </c>
      <c r="G41" s="52" t="s">
        <v>107</v>
      </c>
      <c r="H41" s="56" t="s">
        <v>119</v>
      </c>
      <c r="I41" s="70">
        <v>0</v>
      </c>
      <c r="J41" s="71" t="str">
        <f t="shared" si="0"/>
        <v>GBPSM3L40Y_Quote</v>
      </c>
      <c r="K41" s="69" t="str">
        <f>_xll.qlSwapRateHelper2(,$J41,$C41,Calendar,$F41,$G41,$H41,$K$3,$I41,B41,Discounting,Permanent,,ObjectOverwrite)</f>
        <v>obj_00540#0001</v>
      </c>
      <c r="L41" s="67" t="str">
        <f>_xll.ohRangeRetrieveError(K41)</f>
        <v/>
      </c>
      <c r="M41" s="65"/>
    </row>
    <row r="42" spans="1:13" ht="11.25" customHeight="1" x14ac:dyDescent="0.2">
      <c r="A42" s="29"/>
      <c r="B42" s="69" t="s">
        <v>110</v>
      </c>
      <c r="C42" s="69" t="s">
        <v>1</v>
      </c>
      <c r="D42" s="69" t="s">
        <v>161</v>
      </c>
      <c r="E42" s="69" t="s">
        <v>108</v>
      </c>
      <c r="F42" s="259" t="s">
        <v>160</v>
      </c>
      <c r="G42" s="52" t="s">
        <v>107</v>
      </c>
      <c r="H42" s="56" t="s">
        <v>119</v>
      </c>
      <c r="I42" s="70">
        <v>0</v>
      </c>
      <c r="J42" s="71" t="str">
        <f t="shared" si="0"/>
        <v>GBPSM3L50Y_Quote</v>
      </c>
      <c r="K42" s="69" t="str">
        <f>_xll.qlSwapRateHelper2(,$J42,$C42,Calendar,$F42,$G42,$H42,$K$3,$I42,B42,Discounting,Permanent,,ObjectOverwrite)</f>
        <v>obj_0055e#0001</v>
      </c>
      <c r="L42" s="67" t="str">
        <f>_xll.ohRangeRetrieveError(K42)</f>
        <v/>
      </c>
      <c r="M42" s="65"/>
    </row>
    <row r="43" spans="1:13" ht="11.25" customHeight="1" x14ac:dyDescent="0.2">
      <c r="A43" s="29"/>
      <c r="B43" s="69" t="s">
        <v>110</v>
      </c>
      <c r="C43" s="69" t="s">
        <v>0</v>
      </c>
      <c r="D43" s="69" t="s">
        <v>161</v>
      </c>
      <c r="E43" s="69" t="s">
        <v>108</v>
      </c>
      <c r="F43" s="259" t="s">
        <v>160</v>
      </c>
      <c r="G43" s="52" t="s">
        <v>107</v>
      </c>
      <c r="H43" s="56" t="s">
        <v>119</v>
      </c>
      <c r="I43" s="70">
        <v>0</v>
      </c>
      <c r="J43" s="71" t="str">
        <f t="shared" si="0"/>
        <v>GBPSM3L60Y_Quote</v>
      </c>
      <c r="K43" s="69" t="str">
        <f>_xll.qlSwapRateHelper2(,$J43,$C43,Calendar,$F43,$G43,$H43,$K$3,$I43,B43,Discounting,Permanent,,ObjectOverwrite)</f>
        <v>obj_00544#0001</v>
      </c>
      <c r="L43" s="67" t="str">
        <f>_xll.ohRangeRetrieveError(K43)</f>
        <v/>
      </c>
      <c r="M43" s="65"/>
    </row>
    <row r="44" spans="1:13" ht="12" thickBot="1" x14ac:dyDescent="0.25">
      <c r="A44" s="42"/>
      <c r="B44" s="43"/>
      <c r="C44" s="43"/>
      <c r="D44" s="43"/>
      <c r="E44" s="43"/>
      <c r="F44" s="43"/>
      <c r="G44" s="43"/>
      <c r="H44" s="43"/>
      <c r="I44" s="43"/>
      <c r="J44" s="43"/>
      <c r="K44" s="81"/>
      <c r="L44" s="81"/>
      <c r="M44" s="82"/>
    </row>
  </sheetData>
  <dataValidations count="3">
    <dataValidation type="list" allowBlank="1" showInputMessage="1" showErrorMessage="1" sqref="G5:G43">
      <formula1>"Following,Modified Following,Preceding,Modified Preceding,Month End Reference,Unadjusted Month End,Unadjusted"</formula1>
    </dataValidation>
    <dataValidation type="list" allowBlank="1" showInputMessage="1" showErrorMessage="1" sqref="H5:H43">
      <formula1>"Actual/Actual (ISDA),Actual/360,30/360 (Bond Basis),30E/360 (Eurobond Basis),Actual/365 (Fixed),Actual/Actual (ISMA),Actual/Actual (AFB),1/1,30/360 (Italian),Simple"</formula1>
    </dataValidation>
    <dataValidation type="list" allowBlank="1" showInputMessage="1" showErrorMessage="1" sqref="F5:F43">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39"/>
  <sheetViews>
    <sheetView workbookViewId="0">
      <selection activeCell="K2" sqref="K2"/>
    </sheetView>
  </sheetViews>
  <sheetFormatPr defaultRowHeight="11.25" x14ac:dyDescent="0.2"/>
  <cols>
    <col min="1" max="1" width="2.7109375" style="1" customWidth="1"/>
    <col min="2" max="2" width="6" style="1" customWidth="1"/>
    <col min="3" max="3" width="4" style="1" bestFit="1" customWidth="1"/>
    <col min="4" max="5" width="3" style="1" bestFit="1" customWidth="1"/>
    <col min="6" max="6" width="11" style="1" bestFit="1" customWidth="1"/>
    <col min="7" max="8" width="19.28515625" style="1" bestFit="1" customWidth="1"/>
    <col min="9" max="10" width="17.28515625" style="1" bestFit="1" customWidth="1"/>
    <col min="11" max="11" width="30.7109375" style="22" bestFit="1" customWidth="1"/>
    <col min="12" max="12" width="35.7109375" style="1" customWidth="1"/>
    <col min="13" max="13" width="2.7109375" style="1" customWidth="1"/>
    <col min="14" max="14" width="2.5703125" style="1" customWidth="1"/>
    <col min="15" max="15" width="4" style="1" bestFit="1" customWidth="1"/>
    <col min="16" max="16" width="3.28515625" style="1" bestFit="1" customWidth="1"/>
    <col min="17" max="17" width="3.5703125" style="1" bestFit="1" customWidth="1"/>
    <col min="18" max="16384" width="9.140625" style="1"/>
  </cols>
  <sheetData>
    <row r="1" spans="1:17" ht="11.25" customHeight="1" x14ac:dyDescent="0.2">
      <c r="A1" s="29"/>
      <c r="B1" s="24"/>
      <c r="C1" s="24"/>
      <c r="D1" s="24"/>
      <c r="E1" s="24"/>
      <c r="F1" s="24"/>
      <c r="G1" s="24"/>
      <c r="H1" s="25" t="s">
        <v>116</v>
      </c>
      <c r="I1" s="25" t="s">
        <v>88</v>
      </c>
      <c r="J1" s="25" t="str">
        <f>Currency&amp;"_YC"&amp;$I$1&amp;"RH"</f>
        <v>GBP_YC3MRH</v>
      </c>
      <c r="K1" s="25" t="str">
        <f>J1&amp;"_SwapsFromBasis.xml"</f>
        <v>GBP_YC3MRH_SwapsFromBasis.xml</v>
      </c>
      <c r="L1" s="24"/>
      <c r="M1" s="65"/>
    </row>
    <row r="2" spans="1:17" ht="22.5" customHeight="1" x14ac:dyDescent="0.2">
      <c r="A2" s="29"/>
      <c r="B2" s="30" t="s">
        <v>115</v>
      </c>
      <c r="C2" s="30"/>
      <c r="D2" s="30"/>
      <c r="E2" s="30"/>
      <c r="F2" s="30" t="s">
        <v>114</v>
      </c>
      <c r="G2" s="30" t="s">
        <v>113</v>
      </c>
      <c r="H2" s="30" t="s">
        <v>112</v>
      </c>
      <c r="I2" s="30" t="s">
        <v>111</v>
      </c>
      <c r="J2" s="30" t="s">
        <v>92</v>
      </c>
      <c r="K2" s="66" t="str">
        <f>IF(Serialize,_xll.ohObjectSave(K3:K38,SerializationPath&amp;K1,FileOverwrite,Serialize),"---")</f>
        <v>---</v>
      </c>
      <c r="L2" s="67" t="str">
        <f>_xll.ohRangeRetrieveError(K2)</f>
        <v/>
      </c>
      <c r="M2" s="65"/>
    </row>
    <row r="3" spans="1:17" ht="11.25" customHeight="1" x14ac:dyDescent="0.2">
      <c r="A3" s="23"/>
      <c r="B3" s="24"/>
      <c r="C3" s="24"/>
      <c r="D3" s="24"/>
      <c r="E3" s="24"/>
      <c r="F3" s="24"/>
      <c r="G3" s="24"/>
      <c r="H3" s="24"/>
      <c r="I3" s="24"/>
      <c r="J3" s="24"/>
      <c r="K3" s="56" t="str">
        <f>_xll.qlLibor(,Currency,$I$1,,Permanent,Trigger,ObjectOverwrite)</f>
        <v>obj_00531#0001</v>
      </c>
      <c r="L3" s="68" t="str">
        <f>_xll.ohRangeRetrieveError(K3)</f>
        <v/>
      </c>
      <c r="M3" s="65"/>
    </row>
    <row r="4" spans="1:17" ht="11.25" customHeight="1" x14ac:dyDescent="0.2">
      <c r="A4" s="23"/>
      <c r="B4" s="24"/>
      <c r="C4" s="24"/>
      <c r="D4" s="24"/>
      <c r="E4" s="24"/>
      <c r="F4" s="24"/>
      <c r="G4" s="24"/>
      <c r="H4" s="24"/>
      <c r="I4" s="24"/>
      <c r="J4" s="24"/>
      <c r="K4" s="24"/>
      <c r="L4" s="24"/>
      <c r="M4" s="65"/>
    </row>
    <row r="5" spans="1:17" ht="11.25" customHeight="1" thickBot="1" x14ac:dyDescent="0.25">
      <c r="A5" s="29"/>
      <c r="B5" s="260" t="s">
        <v>110</v>
      </c>
      <c r="C5" s="260" t="s">
        <v>33</v>
      </c>
      <c r="D5" s="260" t="str">
        <f>VLOOKUP(Currency,Swap3MConventions,2)</f>
        <v>SB</v>
      </c>
      <c r="E5" s="260" t="str">
        <f>VLOOKUP(Currency,Swap3MConventions,3)</f>
        <v>3L</v>
      </c>
      <c r="F5" s="259" t="s">
        <v>154</v>
      </c>
      <c r="G5" s="259" t="s">
        <v>107</v>
      </c>
      <c r="H5" s="56" t="str">
        <f t="shared" ref="H5:H38" si="0">IF(UPPER(RIGHT($D5))="B",BondBasisDayCounter,IF(UPPER(RIGHT($D5))="M",MoneyMarketDayCounter,"--"))</f>
        <v>Actual/365 (Fixed)</v>
      </c>
      <c r="I5" s="70" t="str">
        <f t="shared" ref="I5:I38" si="1">Currency&amp;$E5&amp;$H$1&amp;$C5&amp;QuoteSuffix</f>
        <v>GBP3L6L1Y_Quote</v>
      </c>
      <c r="J5" s="71" t="str">
        <f t="shared" ref="J5:J38" si="2">Currency&amp;$D5&amp;$H$1&amp;$C5&amp;"_Quote"</f>
        <v>GBPSB6L1Y_Quote</v>
      </c>
      <c r="K5" s="69" t="str">
        <f>_xll.qlSwapRateHelper2(,$J5,$C5,Calendar,$F5,$G5,$H5,$K$3,$I5,B5,Discounting,Permanent,,ObjectOverwrite)</f>
        <v>obj_00565#0001</v>
      </c>
      <c r="L5" s="67" t="str">
        <f>_xll.ohRangeRetrieveError(K5)</f>
        <v/>
      </c>
      <c r="M5" s="65"/>
    </row>
    <row r="6" spans="1:17" ht="11.25" customHeight="1" x14ac:dyDescent="0.2">
      <c r="A6" s="29"/>
      <c r="B6" s="69" t="str">
        <f t="shared" ref="B6:B38" si="3">B5</f>
        <v>0d</v>
      </c>
      <c r="C6" s="69" t="s">
        <v>32</v>
      </c>
      <c r="D6" s="69" t="str">
        <f t="shared" ref="D6:D38" si="4">D5</f>
        <v>SB</v>
      </c>
      <c r="E6" s="69" t="str">
        <f t="shared" ref="E6:E38" si="5">E5</f>
        <v>3L</v>
      </c>
      <c r="F6" s="52" t="str">
        <f t="shared" ref="F6:F38" si="6">IF(UPPER(LEFT($D6))="A","Annual",IF(UPPER(LEFT($D6))="S","Semiannual","--"))</f>
        <v>Semiannual</v>
      </c>
      <c r="G6" s="52" t="s">
        <v>107</v>
      </c>
      <c r="H6" s="52" t="str">
        <f t="shared" si="0"/>
        <v>Actual/365 (Fixed)</v>
      </c>
      <c r="I6" s="70" t="str">
        <f t="shared" si="1"/>
        <v>GBP3L6L2Y_Quote</v>
      </c>
      <c r="J6" s="71" t="str">
        <f t="shared" si="2"/>
        <v>GBPSB6L2Y_Quote</v>
      </c>
      <c r="K6" s="69" t="str">
        <f>_xll.qlSwapRateHelper2(,$J6,$C6,Calendar,$F6,$G6,$H6,$K$3,$I6,B6,Discounting,Permanent,,ObjectOverwrite)</f>
        <v>obj_00590#0001</v>
      </c>
      <c r="L6" s="67" t="str">
        <f>_xll.ohRangeRetrieveError(K6)</f>
        <v/>
      </c>
      <c r="M6" s="65"/>
      <c r="O6" s="72" t="s">
        <v>85</v>
      </c>
      <c r="P6" s="73" t="s">
        <v>82</v>
      </c>
      <c r="Q6" s="74" t="s">
        <v>108</v>
      </c>
    </row>
    <row r="7" spans="1:17" ht="11.25" customHeight="1" x14ac:dyDescent="0.2">
      <c r="A7" s="29"/>
      <c r="B7" s="69" t="str">
        <f t="shared" si="3"/>
        <v>0d</v>
      </c>
      <c r="C7" s="69" t="s">
        <v>31</v>
      </c>
      <c r="D7" s="69" t="str">
        <f t="shared" si="4"/>
        <v>SB</v>
      </c>
      <c r="E7" s="69" t="str">
        <f t="shared" si="5"/>
        <v>3L</v>
      </c>
      <c r="F7" s="52" t="str">
        <f t="shared" si="6"/>
        <v>Semiannual</v>
      </c>
      <c r="G7" s="52" t="s">
        <v>107</v>
      </c>
      <c r="H7" s="52" t="str">
        <f t="shared" si="0"/>
        <v>Actual/365 (Fixed)</v>
      </c>
      <c r="I7" s="70" t="str">
        <f t="shared" si="1"/>
        <v>GBP3L6L3Y_Quote</v>
      </c>
      <c r="J7" s="71" t="str">
        <f t="shared" si="2"/>
        <v>GBPSB6L3Y_Quote</v>
      </c>
      <c r="K7" s="69" t="str">
        <f>_xll.qlSwapRateHelper2(,$J7,$C7,Calendar,$F7,$G7,$H7,$K$3,$I7,B7,Discounting,Permanent,,ObjectOverwrite)</f>
        <v>obj_00591#0001</v>
      </c>
      <c r="L7" s="67" t="str">
        <f>_xll.ohRangeRetrieveError(K7)</f>
        <v/>
      </c>
      <c r="M7" s="65"/>
      <c r="O7" s="75" t="s">
        <v>83</v>
      </c>
      <c r="P7" s="76" t="s">
        <v>82</v>
      </c>
      <c r="Q7" s="77" t="s">
        <v>109</v>
      </c>
    </row>
    <row r="8" spans="1:17" ht="11.25" customHeight="1" x14ac:dyDescent="0.2">
      <c r="A8" s="29"/>
      <c r="B8" s="69" t="str">
        <f t="shared" si="3"/>
        <v>0d</v>
      </c>
      <c r="C8" s="69" t="s">
        <v>30</v>
      </c>
      <c r="D8" s="69" t="str">
        <f t="shared" si="4"/>
        <v>SB</v>
      </c>
      <c r="E8" s="69" t="str">
        <f t="shared" si="5"/>
        <v>3L</v>
      </c>
      <c r="F8" s="52" t="str">
        <f t="shared" si="6"/>
        <v>Semiannual</v>
      </c>
      <c r="G8" s="52" t="s">
        <v>107</v>
      </c>
      <c r="H8" s="52" t="str">
        <f t="shared" si="0"/>
        <v>Actual/365 (Fixed)</v>
      </c>
      <c r="I8" s="70" t="str">
        <f t="shared" si="1"/>
        <v>GBP3L6L4Y_Quote</v>
      </c>
      <c r="J8" s="71" t="str">
        <f t="shared" si="2"/>
        <v>GBPSB6L4Y_Quote</v>
      </c>
      <c r="K8" s="69" t="str">
        <f>_xll.qlSwapRateHelper2(,$J8,$C8,Calendar,$F8,$G8,$H8,$K$3,$I8,B8,Discounting,Permanent,,ObjectOverwrite)</f>
        <v>obj_00592#0001</v>
      </c>
      <c r="L8" s="67" t="str">
        <f>_xll.ohRangeRetrieveError(K8)</f>
        <v/>
      </c>
      <c r="M8" s="65"/>
      <c r="O8" s="75" t="s">
        <v>80</v>
      </c>
      <c r="P8" s="76" t="s">
        <v>79</v>
      </c>
      <c r="Q8" s="77" t="s">
        <v>108</v>
      </c>
    </row>
    <row r="9" spans="1:17" ht="11.25" customHeight="1" x14ac:dyDescent="0.2">
      <c r="A9" s="29"/>
      <c r="B9" s="69" t="str">
        <f t="shared" si="3"/>
        <v>0d</v>
      </c>
      <c r="C9" s="69" t="s">
        <v>29</v>
      </c>
      <c r="D9" s="69" t="str">
        <f t="shared" si="4"/>
        <v>SB</v>
      </c>
      <c r="E9" s="69" t="str">
        <f t="shared" si="5"/>
        <v>3L</v>
      </c>
      <c r="F9" s="52" t="str">
        <f t="shared" si="6"/>
        <v>Semiannual</v>
      </c>
      <c r="G9" s="52" t="s">
        <v>107</v>
      </c>
      <c r="H9" s="52" t="str">
        <f t="shared" si="0"/>
        <v>Actual/365 (Fixed)</v>
      </c>
      <c r="I9" s="70" t="str">
        <f t="shared" si="1"/>
        <v>GBP3L6L5Y_Quote</v>
      </c>
      <c r="J9" s="71" t="str">
        <f t="shared" si="2"/>
        <v>GBPSB6L5Y_Quote</v>
      </c>
      <c r="K9" s="69" t="str">
        <f>_xll.qlSwapRateHelper2(,$J9,$C9,Calendar,$F9,$G9,$H9,$K$3,$I9,B9,Discounting,Permanent,,ObjectOverwrite)</f>
        <v>obj_00593#0001</v>
      </c>
      <c r="L9" s="67" t="str">
        <f>_xll.ohRangeRetrieveError(K9)</f>
        <v/>
      </c>
      <c r="M9" s="65"/>
      <c r="O9" s="75" t="s">
        <v>77</v>
      </c>
      <c r="P9" s="76" t="s">
        <v>79</v>
      </c>
      <c r="Q9" s="77" t="s">
        <v>108</v>
      </c>
    </row>
    <row r="10" spans="1:17" ht="11.25" customHeight="1" thickBot="1" x14ac:dyDescent="0.25">
      <c r="A10" s="29"/>
      <c r="B10" s="69" t="str">
        <f t="shared" si="3"/>
        <v>0d</v>
      </c>
      <c r="C10" s="69" t="s">
        <v>28</v>
      </c>
      <c r="D10" s="69" t="str">
        <f t="shared" si="4"/>
        <v>SB</v>
      </c>
      <c r="E10" s="69" t="str">
        <f t="shared" si="5"/>
        <v>3L</v>
      </c>
      <c r="F10" s="52" t="str">
        <f t="shared" si="6"/>
        <v>Semiannual</v>
      </c>
      <c r="G10" s="52" t="s">
        <v>107</v>
      </c>
      <c r="H10" s="52" t="str">
        <f t="shared" si="0"/>
        <v>Actual/365 (Fixed)</v>
      </c>
      <c r="I10" s="70" t="str">
        <f t="shared" si="1"/>
        <v>GBP3L6L6Y_Quote</v>
      </c>
      <c r="J10" s="71" t="str">
        <f t="shared" si="2"/>
        <v>GBPSB6L6Y_Quote</v>
      </c>
      <c r="K10" s="69" t="str">
        <f>_xll.qlSwapRateHelper2(,$J10,$C10,Calendar,$F10,$G10,$H10,$K$3,$I10,B10,Discounting,Permanent,,ObjectOverwrite)</f>
        <v>obj_00594#0001</v>
      </c>
      <c r="L10" s="67" t="str">
        <f>_xll.ohRangeRetrieveError(K10)</f>
        <v/>
      </c>
      <c r="M10" s="65"/>
      <c r="O10" s="78" t="s">
        <v>75</v>
      </c>
      <c r="P10" s="79" t="s">
        <v>74</v>
      </c>
      <c r="Q10" s="80" t="s">
        <v>108</v>
      </c>
    </row>
    <row r="11" spans="1:17" ht="11.25" customHeight="1" x14ac:dyDescent="0.2">
      <c r="A11" s="29"/>
      <c r="B11" s="69" t="str">
        <f t="shared" si="3"/>
        <v>0d</v>
      </c>
      <c r="C11" s="69" t="s">
        <v>27</v>
      </c>
      <c r="D11" s="69" t="str">
        <f t="shared" si="4"/>
        <v>SB</v>
      </c>
      <c r="E11" s="69" t="str">
        <f t="shared" si="5"/>
        <v>3L</v>
      </c>
      <c r="F11" s="52" t="str">
        <f t="shared" si="6"/>
        <v>Semiannual</v>
      </c>
      <c r="G11" s="52" t="s">
        <v>107</v>
      </c>
      <c r="H11" s="52" t="str">
        <f t="shared" si="0"/>
        <v>Actual/365 (Fixed)</v>
      </c>
      <c r="I11" s="70" t="str">
        <f t="shared" si="1"/>
        <v>GBP3L6L7Y_Quote</v>
      </c>
      <c r="J11" s="71" t="str">
        <f t="shared" si="2"/>
        <v>GBPSB6L7Y_Quote</v>
      </c>
      <c r="K11" s="69" t="str">
        <f>_xll.qlSwapRateHelper2(,$J11,$C11,Calendar,$F11,$G11,$H11,$K$3,$I11,B11,Discounting,Permanent,,ObjectOverwrite)</f>
        <v>obj_00595#0001</v>
      </c>
      <c r="L11" s="67" t="str">
        <f>_xll.ohRangeRetrieveError(K11)</f>
        <v/>
      </c>
      <c r="M11" s="65"/>
      <c r="O11" s="76"/>
      <c r="P11" s="76"/>
      <c r="Q11" s="76"/>
    </row>
    <row r="12" spans="1:17" ht="11.25" customHeight="1" x14ac:dyDescent="0.2">
      <c r="A12" s="29"/>
      <c r="B12" s="69" t="str">
        <f t="shared" si="3"/>
        <v>0d</v>
      </c>
      <c r="C12" s="69" t="s">
        <v>26</v>
      </c>
      <c r="D12" s="69" t="str">
        <f t="shared" si="4"/>
        <v>SB</v>
      </c>
      <c r="E12" s="69" t="str">
        <f t="shared" si="5"/>
        <v>3L</v>
      </c>
      <c r="F12" s="52" t="str">
        <f t="shared" si="6"/>
        <v>Semiannual</v>
      </c>
      <c r="G12" s="52" t="s">
        <v>107</v>
      </c>
      <c r="H12" s="52" t="str">
        <f t="shared" si="0"/>
        <v>Actual/365 (Fixed)</v>
      </c>
      <c r="I12" s="70" t="str">
        <f t="shared" si="1"/>
        <v>GBP3L6L8Y_Quote</v>
      </c>
      <c r="J12" s="71" t="str">
        <f t="shared" si="2"/>
        <v>GBPSB6L8Y_Quote</v>
      </c>
      <c r="K12" s="69" t="str">
        <f>_xll.qlSwapRateHelper2(,$J12,$C12,Calendar,$F12,$G12,$H12,$K$3,$I12,B12,Discounting,Permanent,,ObjectOverwrite)</f>
        <v>obj_00596#0001</v>
      </c>
      <c r="L12" s="67" t="str">
        <f>_xll.ohRangeRetrieveError(K12)</f>
        <v/>
      </c>
      <c r="M12" s="65"/>
    </row>
    <row r="13" spans="1:17" ht="11.25" customHeight="1" x14ac:dyDescent="0.2">
      <c r="A13" s="29"/>
      <c r="B13" s="69" t="str">
        <f t="shared" si="3"/>
        <v>0d</v>
      </c>
      <c r="C13" s="69" t="s">
        <v>25</v>
      </c>
      <c r="D13" s="69" t="str">
        <f t="shared" si="4"/>
        <v>SB</v>
      </c>
      <c r="E13" s="69" t="str">
        <f t="shared" si="5"/>
        <v>3L</v>
      </c>
      <c r="F13" s="52" t="str">
        <f t="shared" si="6"/>
        <v>Semiannual</v>
      </c>
      <c r="G13" s="52" t="s">
        <v>107</v>
      </c>
      <c r="H13" s="52" t="str">
        <f t="shared" si="0"/>
        <v>Actual/365 (Fixed)</v>
      </c>
      <c r="I13" s="70" t="str">
        <f t="shared" si="1"/>
        <v>GBP3L6L9Y_Quote</v>
      </c>
      <c r="J13" s="71" t="str">
        <f t="shared" si="2"/>
        <v>GBPSB6L9Y_Quote</v>
      </c>
      <c r="K13" s="69" t="str">
        <f>_xll.qlSwapRateHelper2(,$J13,$C13,Calendar,$F13,$G13,$H13,$K$3,$I13,B13,Discounting,Permanent,,ObjectOverwrite)</f>
        <v>obj_00597#0001</v>
      </c>
      <c r="L13" s="67" t="str">
        <f>_xll.ohRangeRetrieveError(K13)</f>
        <v/>
      </c>
      <c r="M13" s="65"/>
    </row>
    <row r="14" spans="1:17" ht="11.25" customHeight="1" x14ac:dyDescent="0.2">
      <c r="A14" s="29"/>
      <c r="B14" s="69" t="str">
        <f t="shared" si="3"/>
        <v>0d</v>
      </c>
      <c r="C14" s="69" t="s">
        <v>24</v>
      </c>
      <c r="D14" s="69" t="str">
        <f t="shared" si="4"/>
        <v>SB</v>
      </c>
      <c r="E14" s="69" t="str">
        <f t="shared" si="5"/>
        <v>3L</v>
      </c>
      <c r="F14" s="52" t="str">
        <f t="shared" si="6"/>
        <v>Semiannual</v>
      </c>
      <c r="G14" s="52" t="s">
        <v>107</v>
      </c>
      <c r="H14" s="52" t="str">
        <f t="shared" si="0"/>
        <v>Actual/365 (Fixed)</v>
      </c>
      <c r="I14" s="70" t="str">
        <f t="shared" si="1"/>
        <v>GBP3L6L10Y_Quote</v>
      </c>
      <c r="J14" s="71" t="str">
        <f t="shared" si="2"/>
        <v>GBPSB6L10Y_Quote</v>
      </c>
      <c r="K14" s="69" t="str">
        <f>_xll.qlSwapRateHelper2(,$J14,$C14,Calendar,$F14,$G14,$H14,$K$3,$I14,B14,Discounting,Permanent,,ObjectOverwrite)</f>
        <v>obj_00598#0001</v>
      </c>
      <c r="L14" s="67" t="str">
        <f>_xll.ohRangeRetrieveError(K14)</f>
        <v/>
      </c>
      <c r="M14" s="65"/>
    </row>
    <row r="15" spans="1:17" ht="11.25" customHeight="1" x14ac:dyDescent="0.2">
      <c r="A15" s="29"/>
      <c r="B15" s="69" t="str">
        <f t="shared" si="3"/>
        <v>0d</v>
      </c>
      <c r="C15" s="69" t="s">
        <v>23</v>
      </c>
      <c r="D15" s="69" t="str">
        <f t="shared" si="4"/>
        <v>SB</v>
      </c>
      <c r="E15" s="69" t="str">
        <f t="shared" si="5"/>
        <v>3L</v>
      </c>
      <c r="F15" s="52" t="str">
        <f t="shared" si="6"/>
        <v>Semiannual</v>
      </c>
      <c r="G15" s="52" t="s">
        <v>107</v>
      </c>
      <c r="H15" s="52" t="str">
        <f t="shared" si="0"/>
        <v>Actual/365 (Fixed)</v>
      </c>
      <c r="I15" s="70" t="str">
        <f t="shared" si="1"/>
        <v>GBP3L6L11Y_Quote</v>
      </c>
      <c r="J15" s="71" t="str">
        <f t="shared" si="2"/>
        <v>GBPSB6L11Y_Quote</v>
      </c>
      <c r="K15" s="69" t="str">
        <f>_xll.qlSwapRateHelper2(,$J15,$C15,Calendar,$F15,$G15,$H15,$K$3,$I15,B15,Discounting,Permanent,,ObjectOverwrite)</f>
        <v>obj_00599#0001</v>
      </c>
      <c r="L15" s="67" t="str">
        <f>_xll.ohRangeRetrieveError(K15)</f>
        <v/>
      </c>
      <c r="M15" s="65"/>
    </row>
    <row r="16" spans="1:17" ht="11.25" customHeight="1" x14ac:dyDescent="0.2">
      <c r="A16" s="29"/>
      <c r="B16" s="69" t="str">
        <f t="shared" si="3"/>
        <v>0d</v>
      </c>
      <c r="C16" s="69" t="s">
        <v>22</v>
      </c>
      <c r="D16" s="69" t="str">
        <f t="shared" si="4"/>
        <v>SB</v>
      </c>
      <c r="E16" s="69" t="str">
        <f t="shared" si="5"/>
        <v>3L</v>
      </c>
      <c r="F16" s="52" t="str">
        <f t="shared" si="6"/>
        <v>Semiannual</v>
      </c>
      <c r="G16" s="52" t="s">
        <v>107</v>
      </c>
      <c r="H16" s="52" t="str">
        <f t="shared" si="0"/>
        <v>Actual/365 (Fixed)</v>
      </c>
      <c r="I16" s="70" t="str">
        <f t="shared" si="1"/>
        <v>GBP3L6L12Y_Quote</v>
      </c>
      <c r="J16" s="71" t="str">
        <f t="shared" si="2"/>
        <v>GBPSB6L12Y_Quote</v>
      </c>
      <c r="K16" s="69" t="str">
        <f>_xll.qlSwapRateHelper2(,$J16,$C16,Calendar,$F16,$G16,$H16,$K$3,$I16,B16,Discounting,Permanent,,ObjectOverwrite)</f>
        <v>obj_0059a#0001</v>
      </c>
      <c r="L16" s="67" t="str">
        <f>_xll.ohRangeRetrieveError(K16)</f>
        <v/>
      </c>
      <c r="M16" s="65"/>
    </row>
    <row r="17" spans="1:13" ht="11.25" customHeight="1" x14ac:dyDescent="0.2">
      <c r="A17" s="29"/>
      <c r="B17" s="69" t="str">
        <f t="shared" si="3"/>
        <v>0d</v>
      </c>
      <c r="C17" s="69" t="s">
        <v>21</v>
      </c>
      <c r="D17" s="69" t="str">
        <f t="shared" si="4"/>
        <v>SB</v>
      </c>
      <c r="E17" s="69" t="str">
        <f t="shared" si="5"/>
        <v>3L</v>
      </c>
      <c r="F17" s="52" t="str">
        <f t="shared" si="6"/>
        <v>Semiannual</v>
      </c>
      <c r="G17" s="52" t="s">
        <v>107</v>
      </c>
      <c r="H17" s="52" t="str">
        <f t="shared" si="0"/>
        <v>Actual/365 (Fixed)</v>
      </c>
      <c r="I17" s="70" t="str">
        <f t="shared" si="1"/>
        <v>GBP3L6L13Y_Quote</v>
      </c>
      <c r="J17" s="71" t="str">
        <f t="shared" si="2"/>
        <v>GBPSB6L13Y_Quote</v>
      </c>
      <c r="K17" s="69" t="str">
        <f>_xll.qlSwapRateHelper2(,$J17,$C17,Calendar,$F17,$G17,$H17,$K$3,$I17,B17,Discounting,Permanent,,ObjectOverwrite)</f>
        <v>obj_0059b#0001</v>
      </c>
      <c r="L17" s="67" t="str">
        <f>_xll.ohRangeRetrieveError(K17)</f>
        <v/>
      </c>
      <c r="M17" s="65"/>
    </row>
    <row r="18" spans="1:13" ht="11.25" customHeight="1" x14ac:dyDescent="0.2">
      <c r="A18" s="29"/>
      <c r="B18" s="69" t="str">
        <f t="shared" si="3"/>
        <v>0d</v>
      </c>
      <c r="C18" s="69" t="s">
        <v>20</v>
      </c>
      <c r="D18" s="69" t="str">
        <f t="shared" si="4"/>
        <v>SB</v>
      </c>
      <c r="E18" s="69" t="str">
        <f t="shared" si="5"/>
        <v>3L</v>
      </c>
      <c r="F18" s="52" t="str">
        <f t="shared" si="6"/>
        <v>Semiannual</v>
      </c>
      <c r="G18" s="52" t="s">
        <v>107</v>
      </c>
      <c r="H18" s="52" t="str">
        <f t="shared" si="0"/>
        <v>Actual/365 (Fixed)</v>
      </c>
      <c r="I18" s="70" t="str">
        <f t="shared" si="1"/>
        <v>GBP3L6L14Y_Quote</v>
      </c>
      <c r="J18" s="71" t="str">
        <f t="shared" si="2"/>
        <v>GBPSB6L14Y_Quote</v>
      </c>
      <c r="K18" s="69" t="str">
        <f>_xll.qlSwapRateHelper2(,$J18,$C18,Calendar,$F18,$G18,$H18,$K$3,$I18,B18,Discounting,Permanent,,ObjectOverwrite)</f>
        <v>obj_0059c#0001</v>
      </c>
      <c r="L18" s="67" t="str">
        <f>_xll.ohRangeRetrieveError(K18)</f>
        <v/>
      </c>
      <c r="M18" s="65"/>
    </row>
    <row r="19" spans="1:13" ht="11.25" customHeight="1" x14ac:dyDescent="0.2">
      <c r="A19" s="29"/>
      <c r="B19" s="69" t="str">
        <f t="shared" si="3"/>
        <v>0d</v>
      </c>
      <c r="C19" s="69" t="s">
        <v>19</v>
      </c>
      <c r="D19" s="69" t="str">
        <f t="shared" si="4"/>
        <v>SB</v>
      </c>
      <c r="E19" s="69" t="str">
        <f t="shared" si="5"/>
        <v>3L</v>
      </c>
      <c r="F19" s="52" t="str">
        <f t="shared" si="6"/>
        <v>Semiannual</v>
      </c>
      <c r="G19" s="52" t="s">
        <v>107</v>
      </c>
      <c r="H19" s="52" t="str">
        <f t="shared" si="0"/>
        <v>Actual/365 (Fixed)</v>
      </c>
      <c r="I19" s="70" t="str">
        <f t="shared" si="1"/>
        <v>GBP3L6L15Y_Quote</v>
      </c>
      <c r="J19" s="71" t="str">
        <f t="shared" si="2"/>
        <v>GBPSB6L15Y_Quote</v>
      </c>
      <c r="K19" s="69" t="str">
        <f>_xll.qlSwapRateHelper2(,$J19,$C19,Calendar,$F19,$G19,$H19,$K$3,$I19,B19,Discounting,Permanent,,ObjectOverwrite)</f>
        <v>obj_0059d#0001</v>
      </c>
      <c r="L19" s="67" t="str">
        <f>_xll.ohRangeRetrieveError(K19)</f>
        <v/>
      </c>
      <c r="M19" s="65"/>
    </row>
    <row r="20" spans="1:13" ht="11.25" customHeight="1" x14ac:dyDescent="0.2">
      <c r="A20" s="29"/>
      <c r="B20" s="69" t="str">
        <f t="shared" si="3"/>
        <v>0d</v>
      </c>
      <c r="C20" s="69" t="s">
        <v>18</v>
      </c>
      <c r="D20" s="69" t="str">
        <f t="shared" si="4"/>
        <v>SB</v>
      </c>
      <c r="E20" s="69" t="str">
        <f t="shared" si="5"/>
        <v>3L</v>
      </c>
      <c r="F20" s="52" t="str">
        <f t="shared" si="6"/>
        <v>Semiannual</v>
      </c>
      <c r="G20" s="52" t="s">
        <v>107</v>
      </c>
      <c r="H20" s="52" t="str">
        <f t="shared" si="0"/>
        <v>Actual/365 (Fixed)</v>
      </c>
      <c r="I20" s="70" t="str">
        <f t="shared" si="1"/>
        <v>GBP3L6L16Y_Quote</v>
      </c>
      <c r="J20" s="71" t="str">
        <f t="shared" si="2"/>
        <v>GBPSB6L16Y_Quote</v>
      </c>
      <c r="K20" s="69" t="str">
        <f>_xll.qlSwapRateHelper2(,$J20,$C20,Calendar,$F20,$G20,$H20,$K$3,$I20,B20,Discounting,Permanent,,ObjectOverwrite)</f>
        <v>obj_0059e#0001</v>
      </c>
      <c r="L20" s="67" t="str">
        <f>_xll.ohRangeRetrieveError(K20)</f>
        <v/>
      </c>
      <c r="M20" s="65"/>
    </row>
    <row r="21" spans="1:13" ht="11.25" customHeight="1" x14ac:dyDescent="0.2">
      <c r="A21" s="29"/>
      <c r="B21" s="69" t="str">
        <f t="shared" si="3"/>
        <v>0d</v>
      </c>
      <c r="C21" s="69" t="s">
        <v>17</v>
      </c>
      <c r="D21" s="69" t="str">
        <f t="shared" si="4"/>
        <v>SB</v>
      </c>
      <c r="E21" s="69" t="str">
        <f t="shared" si="5"/>
        <v>3L</v>
      </c>
      <c r="F21" s="52" t="str">
        <f t="shared" si="6"/>
        <v>Semiannual</v>
      </c>
      <c r="G21" s="52" t="s">
        <v>107</v>
      </c>
      <c r="H21" s="52" t="str">
        <f t="shared" si="0"/>
        <v>Actual/365 (Fixed)</v>
      </c>
      <c r="I21" s="70" t="str">
        <f t="shared" si="1"/>
        <v>GBP3L6L17Y_Quote</v>
      </c>
      <c r="J21" s="71" t="str">
        <f t="shared" si="2"/>
        <v>GBPSB6L17Y_Quote</v>
      </c>
      <c r="K21" s="69" t="str">
        <f>_xll.qlSwapRateHelper2(,$J21,$C21,Calendar,$F21,$G21,$H21,$K$3,$I21,B21,Discounting,Permanent,,ObjectOverwrite)</f>
        <v>obj_0059f#0001</v>
      </c>
      <c r="L21" s="67" t="str">
        <f>_xll.ohRangeRetrieveError(K21)</f>
        <v/>
      </c>
      <c r="M21" s="65"/>
    </row>
    <row r="22" spans="1:13" ht="11.25" customHeight="1" x14ac:dyDescent="0.2">
      <c r="A22" s="29"/>
      <c r="B22" s="69" t="str">
        <f t="shared" si="3"/>
        <v>0d</v>
      </c>
      <c r="C22" s="69" t="s">
        <v>16</v>
      </c>
      <c r="D22" s="69" t="str">
        <f t="shared" si="4"/>
        <v>SB</v>
      </c>
      <c r="E22" s="69" t="str">
        <f t="shared" si="5"/>
        <v>3L</v>
      </c>
      <c r="F22" s="52" t="str">
        <f t="shared" si="6"/>
        <v>Semiannual</v>
      </c>
      <c r="G22" s="52" t="s">
        <v>107</v>
      </c>
      <c r="H22" s="52" t="str">
        <f t="shared" si="0"/>
        <v>Actual/365 (Fixed)</v>
      </c>
      <c r="I22" s="70" t="str">
        <f t="shared" si="1"/>
        <v>GBP3L6L18Y_Quote</v>
      </c>
      <c r="J22" s="71" t="str">
        <f t="shared" si="2"/>
        <v>GBPSB6L18Y_Quote</v>
      </c>
      <c r="K22" s="69" t="str">
        <f>_xll.qlSwapRateHelper2(,$J22,$C22,Calendar,$F22,$G22,$H22,$K$3,$I22,B22,Discounting,Permanent,,ObjectOverwrite)</f>
        <v>obj_005a0#0001</v>
      </c>
      <c r="L22" s="67" t="str">
        <f>_xll.ohRangeRetrieveError(K22)</f>
        <v/>
      </c>
      <c r="M22" s="65"/>
    </row>
    <row r="23" spans="1:13" ht="11.25" customHeight="1" x14ac:dyDescent="0.2">
      <c r="A23" s="29"/>
      <c r="B23" s="69" t="str">
        <f t="shared" si="3"/>
        <v>0d</v>
      </c>
      <c r="C23" s="69" t="s">
        <v>15</v>
      </c>
      <c r="D23" s="69" t="str">
        <f t="shared" si="4"/>
        <v>SB</v>
      </c>
      <c r="E23" s="69" t="str">
        <f t="shared" si="5"/>
        <v>3L</v>
      </c>
      <c r="F23" s="52" t="str">
        <f t="shared" si="6"/>
        <v>Semiannual</v>
      </c>
      <c r="G23" s="52" t="s">
        <v>107</v>
      </c>
      <c r="H23" s="52" t="str">
        <f t="shared" si="0"/>
        <v>Actual/365 (Fixed)</v>
      </c>
      <c r="I23" s="70" t="str">
        <f t="shared" si="1"/>
        <v>GBP3L6L19Y_Quote</v>
      </c>
      <c r="J23" s="71" t="str">
        <f t="shared" si="2"/>
        <v>GBPSB6L19Y_Quote</v>
      </c>
      <c r="K23" s="69" t="str">
        <f>_xll.qlSwapRateHelper2(,$J23,$C23,Calendar,$F23,$G23,$H23,$K$3,$I23,B23,Discounting,Permanent,,ObjectOverwrite)</f>
        <v>obj_005a1#0001</v>
      </c>
      <c r="L23" s="67" t="str">
        <f>_xll.ohRangeRetrieveError(K23)</f>
        <v/>
      </c>
      <c r="M23" s="65"/>
    </row>
    <row r="24" spans="1:13" ht="11.25" customHeight="1" x14ac:dyDescent="0.2">
      <c r="A24" s="29"/>
      <c r="B24" s="69" t="str">
        <f t="shared" si="3"/>
        <v>0d</v>
      </c>
      <c r="C24" s="69" t="s">
        <v>14</v>
      </c>
      <c r="D24" s="69" t="str">
        <f t="shared" si="4"/>
        <v>SB</v>
      </c>
      <c r="E24" s="69" t="str">
        <f t="shared" si="5"/>
        <v>3L</v>
      </c>
      <c r="F24" s="52" t="str">
        <f t="shared" si="6"/>
        <v>Semiannual</v>
      </c>
      <c r="G24" s="52" t="s">
        <v>107</v>
      </c>
      <c r="H24" s="52" t="str">
        <f t="shared" si="0"/>
        <v>Actual/365 (Fixed)</v>
      </c>
      <c r="I24" s="70" t="str">
        <f t="shared" si="1"/>
        <v>GBP3L6L20Y_Quote</v>
      </c>
      <c r="J24" s="71" t="str">
        <f t="shared" si="2"/>
        <v>GBPSB6L20Y_Quote</v>
      </c>
      <c r="K24" s="69" t="str">
        <f>_xll.qlSwapRateHelper2(,$J24,$C24,Calendar,$F24,$G24,$H24,$K$3,$I24,B24,Discounting,Permanent,,ObjectOverwrite)</f>
        <v>obj_005a2#0001</v>
      </c>
      <c r="L24" s="67" t="str">
        <f>_xll.ohRangeRetrieveError(K24)</f>
        <v/>
      </c>
      <c r="M24" s="65"/>
    </row>
    <row r="25" spans="1:13" ht="11.25" customHeight="1" x14ac:dyDescent="0.2">
      <c r="A25" s="29"/>
      <c r="B25" s="69" t="str">
        <f t="shared" si="3"/>
        <v>0d</v>
      </c>
      <c r="C25" s="69" t="s">
        <v>13</v>
      </c>
      <c r="D25" s="69" t="str">
        <f t="shared" si="4"/>
        <v>SB</v>
      </c>
      <c r="E25" s="69" t="str">
        <f t="shared" si="5"/>
        <v>3L</v>
      </c>
      <c r="F25" s="52" t="str">
        <f t="shared" si="6"/>
        <v>Semiannual</v>
      </c>
      <c r="G25" s="52" t="s">
        <v>107</v>
      </c>
      <c r="H25" s="52" t="str">
        <f t="shared" si="0"/>
        <v>Actual/365 (Fixed)</v>
      </c>
      <c r="I25" s="70" t="str">
        <f t="shared" si="1"/>
        <v>GBP3L6L21Y_Quote</v>
      </c>
      <c r="J25" s="71" t="str">
        <f t="shared" si="2"/>
        <v>GBPSB6L21Y_Quote</v>
      </c>
      <c r="K25" s="69" t="str">
        <f>_xll.qlSwapRateHelper2(,$J25,$C25,Calendar,$F25,$G25,$H25,$K$3,$I25,B25,Discounting,Permanent,,ObjectOverwrite)</f>
        <v>obj_005a3#0001</v>
      </c>
      <c r="L25" s="67" t="str">
        <f>_xll.ohRangeRetrieveError(K25)</f>
        <v/>
      </c>
      <c r="M25" s="65"/>
    </row>
    <row r="26" spans="1:13" ht="11.25" customHeight="1" x14ac:dyDescent="0.2">
      <c r="A26" s="29"/>
      <c r="B26" s="69" t="str">
        <f t="shared" si="3"/>
        <v>0d</v>
      </c>
      <c r="C26" s="69" t="s">
        <v>12</v>
      </c>
      <c r="D26" s="69" t="str">
        <f t="shared" si="4"/>
        <v>SB</v>
      </c>
      <c r="E26" s="69" t="str">
        <f t="shared" si="5"/>
        <v>3L</v>
      </c>
      <c r="F26" s="52" t="str">
        <f t="shared" si="6"/>
        <v>Semiannual</v>
      </c>
      <c r="G26" s="52" t="s">
        <v>107</v>
      </c>
      <c r="H26" s="52" t="str">
        <f t="shared" si="0"/>
        <v>Actual/365 (Fixed)</v>
      </c>
      <c r="I26" s="70" t="str">
        <f t="shared" si="1"/>
        <v>GBP3L6L22Y_Quote</v>
      </c>
      <c r="J26" s="71" t="str">
        <f t="shared" si="2"/>
        <v>GBPSB6L22Y_Quote</v>
      </c>
      <c r="K26" s="69" t="str">
        <f>_xll.qlSwapRateHelper2(,$J26,$C26,Calendar,$F26,$G26,$H26,$K$3,$I26,B26,Discounting,Permanent,,ObjectOverwrite)</f>
        <v>obj_005a4#0001</v>
      </c>
      <c r="L26" s="67" t="str">
        <f>_xll.ohRangeRetrieveError(K26)</f>
        <v/>
      </c>
      <c r="M26" s="65"/>
    </row>
    <row r="27" spans="1:13" ht="11.25" customHeight="1" x14ac:dyDescent="0.2">
      <c r="A27" s="29"/>
      <c r="B27" s="69" t="str">
        <f t="shared" si="3"/>
        <v>0d</v>
      </c>
      <c r="C27" s="69" t="s">
        <v>11</v>
      </c>
      <c r="D27" s="69" t="str">
        <f t="shared" si="4"/>
        <v>SB</v>
      </c>
      <c r="E27" s="69" t="str">
        <f t="shared" si="5"/>
        <v>3L</v>
      </c>
      <c r="F27" s="52" t="str">
        <f t="shared" si="6"/>
        <v>Semiannual</v>
      </c>
      <c r="G27" s="52" t="s">
        <v>107</v>
      </c>
      <c r="H27" s="52" t="str">
        <f t="shared" si="0"/>
        <v>Actual/365 (Fixed)</v>
      </c>
      <c r="I27" s="70" t="str">
        <f t="shared" si="1"/>
        <v>GBP3L6L23Y_Quote</v>
      </c>
      <c r="J27" s="71" t="str">
        <f t="shared" si="2"/>
        <v>GBPSB6L23Y_Quote</v>
      </c>
      <c r="K27" s="69" t="str">
        <f>_xll.qlSwapRateHelper2(,$J27,$C27,Calendar,$F27,$G27,$H27,$K$3,$I27,B27,Discounting,Permanent,,ObjectOverwrite)</f>
        <v>obj_005a5#0001</v>
      </c>
      <c r="L27" s="67" t="str">
        <f>_xll.ohRangeRetrieveError(K27)</f>
        <v/>
      </c>
      <c r="M27" s="65"/>
    </row>
    <row r="28" spans="1:13" ht="11.25" customHeight="1" x14ac:dyDescent="0.2">
      <c r="A28" s="29"/>
      <c r="B28" s="69" t="str">
        <f t="shared" si="3"/>
        <v>0d</v>
      </c>
      <c r="C28" s="69" t="s">
        <v>10</v>
      </c>
      <c r="D28" s="69" t="str">
        <f t="shared" si="4"/>
        <v>SB</v>
      </c>
      <c r="E28" s="69" t="str">
        <f t="shared" si="5"/>
        <v>3L</v>
      </c>
      <c r="F28" s="52" t="str">
        <f t="shared" si="6"/>
        <v>Semiannual</v>
      </c>
      <c r="G28" s="52" t="s">
        <v>107</v>
      </c>
      <c r="H28" s="52" t="str">
        <f t="shared" si="0"/>
        <v>Actual/365 (Fixed)</v>
      </c>
      <c r="I28" s="70" t="str">
        <f t="shared" si="1"/>
        <v>GBP3L6L24Y_Quote</v>
      </c>
      <c r="J28" s="71" t="str">
        <f t="shared" si="2"/>
        <v>GBPSB6L24Y_Quote</v>
      </c>
      <c r="K28" s="69" t="str">
        <f>_xll.qlSwapRateHelper2(,$J28,$C28,Calendar,$F28,$G28,$H28,$K$3,$I28,B28,Discounting,Permanent,,ObjectOverwrite)</f>
        <v>obj_005a6#0001</v>
      </c>
      <c r="L28" s="67" t="str">
        <f>_xll.ohRangeRetrieveError(K28)</f>
        <v/>
      </c>
      <c r="M28" s="65"/>
    </row>
    <row r="29" spans="1:13" ht="11.25" customHeight="1" x14ac:dyDescent="0.2">
      <c r="A29" s="29"/>
      <c r="B29" s="69" t="str">
        <f t="shared" si="3"/>
        <v>0d</v>
      </c>
      <c r="C29" s="69" t="s">
        <v>9</v>
      </c>
      <c r="D29" s="69" t="str">
        <f t="shared" si="4"/>
        <v>SB</v>
      </c>
      <c r="E29" s="69" t="str">
        <f t="shared" si="5"/>
        <v>3L</v>
      </c>
      <c r="F29" s="52" t="str">
        <f t="shared" si="6"/>
        <v>Semiannual</v>
      </c>
      <c r="G29" s="52" t="s">
        <v>107</v>
      </c>
      <c r="H29" s="52" t="str">
        <f t="shared" si="0"/>
        <v>Actual/365 (Fixed)</v>
      </c>
      <c r="I29" s="70" t="str">
        <f t="shared" si="1"/>
        <v>GBP3L6L25Y_Quote</v>
      </c>
      <c r="J29" s="71" t="str">
        <f t="shared" si="2"/>
        <v>GBPSB6L25Y_Quote</v>
      </c>
      <c r="K29" s="69" t="str">
        <f>_xll.qlSwapRateHelper2(,$J29,$C29,Calendar,$F29,$G29,$H29,$K$3,$I29,B29,Discounting,Permanent,,ObjectOverwrite)</f>
        <v>obj_005a7#0001</v>
      </c>
      <c r="L29" s="67" t="str">
        <f>_xll.ohRangeRetrieveError(K29)</f>
        <v/>
      </c>
      <c r="M29" s="65"/>
    </row>
    <row r="30" spans="1:13" ht="11.25" customHeight="1" x14ac:dyDescent="0.2">
      <c r="A30" s="29"/>
      <c r="B30" s="69" t="str">
        <f t="shared" si="3"/>
        <v>0d</v>
      </c>
      <c r="C30" s="69" t="s">
        <v>8</v>
      </c>
      <c r="D30" s="69" t="str">
        <f t="shared" si="4"/>
        <v>SB</v>
      </c>
      <c r="E30" s="69" t="str">
        <f t="shared" si="5"/>
        <v>3L</v>
      </c>
      <c r="F30" s="52" t="str">
        <f t="shared" si="6"/>
        <v>Semiannual</v>
      </c>
      <c r="G30" s="52" t="s">
        <v>107</v>
      </c>
      <c r="H30" s="52" t="str">
        <f t="shared" si="0"/>
        <v>Actual/365 (Fixed)</v>
      </c>
      <c r="I30" s="70" t="str">
        <f t="shared" si="1"/>
        <v>GBP3L6L26Y_Quote</v>
      </c>
      <c r="J30" s="71" t="str">
        <f t="shared" si="2"/>
        <v>GBPSB6L26Y_Quote</v>
      </c>
      <c r="K30" s="69" t="str">
        <f>_xll.qlSwapRateHelper2(,$J30,$C30,Calendar,$F30,$G30,$H30,$K$3,$I30,B30,Discounting,Permanent,,ObjectOverwrite)</f>
        <v>obj_005a8#0001</v>
      </c>
      <c r="L30" s="67" t="str">
        <f>_xll.ohRangeRetrieveError(K30)</f>
        <v/>
      </c>
      <c r="M30" s="65"/>
    </row>
    <row r="31" spans="1:13" ht="11.25" customHeight="1" x14ac:dyDescent="0.2">
      <c r="A31" s="29"/>
      <c r="B31" s="69" t="str">
        <f t="shared" si="3"/>
        <v>0d</v>
      </c>
      <c r="C31" s="69" t="s">
        <v>7</v>
      </c>
      <c r="D31" s="69" t="str">
        <f t="shared" si="4"/>
        <v>SB</v>
      </c>
      <c r="E31" s="69" t="str">
        <f t="shared" si="5"/>
        <v>3L</v>
      </c>
      <c r="F31" s="52" t="str">
        <f t="shared" si="6"/>
        <v>Semiannual</v>
      </c>
      <c r="G31" s="52" t="s">
        <v>107</v>
      </c>
      <c r="H31" s="52" t="str">
        <f t="shared" si="0"/>
        <v>Actual/365 (Fixed)</v>
      </c>
      <c r="I31" s="70" t="str">
        <f t="shared" si="1"/>
        <v>GBP3L6L27Y_Quote</v>
      </c>
      <c r="J31" s="71" t="str">
        <f t="shared" si="2"/>
        <v>GBPSB6L27Y_Quote</v>
      </c>
      <c r="K31" s="69" t="str">
        <f>_xll.qlSwapRateHelper2(,$J31,$C31,Calendar,$F31,$G31,$H31,$K$3,$I31,B31,Discounting,Permanent,,ObjectOverwrite)</f>
        <v>obj_005a9#0001</v>
      </c>
      <c r="L31" s="67" t="str">
        <f>_xll.ohRangeRetrieveError(K31)</f>
        <v/>
      </c>
      <c r="M31" s="65"/>
    </row>
    <row r="32" spans="1:13" ht="11.25" customHeight="1" x14ac:dyDescent="0.2">
      <c r="A32" s="29"/>
      <c r="B32" s="69" t="str">
        <f t="shared" si="3"/>
        <v>0d</v>
      </c>
      <c r="C32" s="69" t="s">
        <v>6</v>
      </c>
      <c r="D32" s="69" t="str">
        <f t="shared" si="4"/>
        <v>SB</v>
      </c>
      <c r="E32" s="69" t="str">
        <f t="shared" si="5"/>
        <v>3L</v>
      </c>
      <c r="F32" s="52" t="str">
        <f t="shared" si="6"/>
        <v>Semiannual</v>
      </c>
      <c r="G32" s="52" t="s">
        <v>107</v>
      </c>
      <c r="H32" s="52" t="str">
        <f t="shared" si="0"/>
        <v>Actual/365 (Fixed)</v>
      </c>
      <c r="I32" s="70" t="str">
        <f t="shared" si="1"/>
        <v>GBP3L6L28Y_Quote</v>
      </c>
      <c r="J32" s="71" t="str">
        <f t="shared" si="2"/>
        <v>GBPSB6L28Y_Quote</v>
      </c>
      <c r="K32" s="69" t="str">
        <f>_xll.qlSwapRateHelper2(,$J32,$C32,Calendar,$F32,$G32,$H32,$K$3,$I32,B32,Discounting,Permanent,,ObjectOverwrite)</f>
        <v>obj_005aa#0001</v>
      </c>
      <c r="L32" s="67" t="str">
        <f>_xll.ohRangeRetrieveError(K32)</f>
        <v/>
      </c>
      <c r="M32" s="65"/>
    </row>
    <row r="33" spans="1:13" ht="11.25" customHeight="1" x14ac:dyDescent="0.2">
      <c r="A33" s="29"/>
      <c r="B33" s="69" t="str">
        <f t="shared" si="3"/>
        <v>0d</v>
      </c>
      <c r="C33" s="69" t="s">
        <v>5</v>
      </c>
      <c r="D33" s="69" t="str">
        <f t="shared" si="4"/>
        <v>SB</v>
      </c>
      <c r="E33" s="69" t="str">
        <f t="shared" si="5"/>
        <v>3L</v>
      </c>
      <c r="F33" s="52" t="str">
        <f t="shared" si="6"/>
        <v>Semiannual</v>
      </c>
      <c r="G33" s="52" t="s">
        <v>107</v>
      </c>
      <c r="H33" s="52" t="str">
        <f t="shared" si="0"/>
        <v>Actual/365 (Fixed)</v>
      </c>
      <c r="I33" s="70" t="str">
        <f t="shared" si="1"/>
        <v>GBP3L6L29Y_Quote</v>
      </c>
      <c r="J33" s="71" t="str">
        <f t="shared" si="2"/>
        <v>GBPSB6L29Y_Quote</v>
      </c>
      <c r="K33" s="69" t="str">
        <f>_xll.qlSwapRateHelper2(,$J33,$C33,Calendar,$F33,$G33,$H33,$K$3,$I33,B33,Discounting,Permanent,,ObjectOverwrite)</f>
        <v>obj_005ab#0001</v>
      </c>
      <c r="L33" s="67" t="str">
        <f>_xll.ohRangeRetrieveError(K33)</f>
        <v/>
      </c>
      <c r="M33" s="65"/>
    </row>
    <row r="34" spans="1:13" ht="11.25" customHeight="1" x14ac:dyDescent="0.2">
      <c r="A34" s="29"/>
      <c r="B34" s="69" t="str">
        <f t="shared" si="3"/>
        <v>0d</v>
      </c>
      <c r="C34" s="69" t="s">
        <v>4</v>
      </c>
      <c r="D34" s="69" t="str">
        <f t="shared" si="4"/>
        <v>SB</v>
      </c>
      <c r="E34" s="69" t="str">
        <f t="shared" si="5"/>
        <v>3L</v>
      </c>
      <c r="F34" s="52" t="str">
        <f t="shared" si="6"/>
        <v>Semiannual</v>
      </c>
      <c r="G34" s="52" t="s">
        <v>107</v>
      </c>
      <c r="H34" s="52" t="str">
        <f t="shared" si="0"/>
        <v>Actual/365 (Fixed)</v>
      </c>
      <c r="I34" s="70" t="str">
        <f t="shared" si="1"/>
        <v>GBP3L6L30Y_Quote</v>
      </c>
      <c r="J34" s="71" t="str">
        <f t="shared" si="2"/>
        <v>GBPSB6L30Y_Quote</v>
      </c>
      <c r="K34" s="69" t="str">
        <f>_xll.qlSwapRateHelper2(,$J34,$C34,Calendar,$F34,$G34,$H34,$K$3,$I34,B34,Discounting,Permanent,,ObjectOverwrite)</f>
        <v>obj_005ac#0001</v>
      </c>
      <c r="L34" s="67" t="str">
        <f>_xll.ohRangeRetrieveError(K34)</f>
        <v/>
      </c>
      <c r="M34" s="65"/>
    </row>
    <row r="35" spans="1:13" ht="11.25" customHeight="1" x14ac:dyDescent="0.2">
      <c r="A35" s="29"/>
      <c r="B35" s="69" t="str">
        <f t="shared" si="3"/>
        <v>0d</v>
      </c>
      <c r="C35" s="69" t="s">
        <v>3</v>
      </c>
      <c r="D35" s="69" t="str">
        <f t="shared" si="4"/>
        <v>SB</v>
      </c>
      <c r="E35" s="69" t="str">
        <f t="shared" si="5"/>
        <v>3L</v>
      </c>
      <c r="F35" s="52" t="str">
        <f t="shared" si="6"/>
        <v>Semiannual</v>
      </c>
      <c r="G35" s="52" t="s">
        <v>107</v>
      </c>
      <c r="H35" s="52" t="str">
        <f t="shared" si="0"/>
        <v>Actual/365 (Fixed)</v>
      </c>
      <c r="I35" s="70" t="str">
        <f t="shared" si="1"/>
        <v>GBP3L6L35Y_Quote</v>
      </c>
      <c r="J35" s="71" t="str">
        <f t="shared" si="2"/>
        <v>GBPSB6L35Y_Quote</v>
      </c>
      <c r="K35" s="69" t="str">
        <f>_xll.qlSwapRateHelper2(,$J35,$C35,Calendar,$F35,$G35,$H35,$K$3,$I35,B35,Discounting,Permanent,,ObjectOverwrite)</f>
        <v>obj_005ad#0001</v>
      </c>
      <c r="L35" s="67" t="str">
        <f>_xll.ohRangeRetrieveError(K35)</f>
        <v/>
      </c>
      <c r="M35" s="65"/>
    </row>
    <row r="36" spans="1:13" ht="11.25" customHeight="1" x14ac:dyDescent="0.2">
      <c r="A36" s="29"/>
      <c r="B36" s="69" t="str">
        <f t="shared" si="3"/>
        <v>0d</v>
      </c>
      <c r="C36" s="69" t="s">
        <v>2</v>
      </c>
      <c r="D36" s="69" t="str">
        <f t="shared" si="4"/>
        <v>SB</v>
      </c>
      <c r="E36" s="69" t="str">
        <f t="shared" si="5"/>
        <v>3L</v>
      </c>
      <c r="F36" s="52" t="str">
        <f t="shared" si="6"/>
        <v>Semiannual</v>
      </c>
      <c r="G36" s="52" t="s">
        <v>107</v>
      </c>
      <c r="H36" s="52" t="str">
        <f t="shared" si="0"/>
        <v>Actual/365 (Fixed)</v>
      </c>
      <c r="I36" s="70" t="str">
        <f t="shared" si="1"/>
        <v>GBP3L6L40Y_Quote</v>
      </c>
      <c r="J36" s="71" t="str">
        <f t="shared" si="2"/>
        <v>GBPSB6L40Y_Quote</v>
      </c>
      <c r="K36" s="69" t="str">
        <f>_xll.qlSwapRateHelper2(,$J36,$C36,Calendar,$F36,$G36,$H36,$K$3,$I36,B36,Discounting,Permanent,,ObjectOverwrite)</f>
        <v>obj_005ae#0001</v>
      </c>
      <c r="L36" s="67" t="str">
        <f>_xll.ohRangeRetrieveError(K36)</f>
        <v/>
      </c>
      <c r="M36" s="65"/>
    </row>
    <row r="37" spans="1:13" ht="11.25" customHeight="1" x14ac:dyDescent="0.2">
      <c r="A37" s="29"/>
      <c r="B37" s="69" t="str">
        <f t="shared" si="3"/>
        <v>0d</v>
      </c>
      <c r="C37" s="69" t="s">
        <v>1</v>
      </c>
      <c r="D37" s="69" t="str">
        <f t="shared" si="4"/>
        <v>SB</v>
      </c>
      <c r="E37" s="69" t="str">
        <f t="shared" si="5"/>
        <v>3L</v>
      </c>
      <c r="F37" s="52" t="str">
        <f t="shared" si="6"/>
        <v>Semiannual</v>
      </c>
      <c r="G37" s="52" t="s">
        <v>107</v>
      </c>
      <c r="H37" s="52" t="str">
        <f t="shared" si="0"/>
        <v>Actual/365 (Fixed)</v>
      </c>
      <c r="I37" s="70" t="str">
        <f t="shared" si="1"/>
        <v>GBP3L6L50Y_Quote</v>
      </c>
      <c r="J37" s="71" t="str">
        <f t="shared" si="2"/>
        <v>GBPSB6L50Y_Quote</v>
      </c>
      <c r="K37" s="69" t="str">
        <f>_xll.qlSwapRateHelper2(,$J37,$C37,Calendar,$F37,$G37,$H37,$K$3,$I37,B37,Discounting,Permanent,,ObjectOverwrite)</f>
        <v>obj_005af#0001</v>
      </c>
      <c r="L37" s="67" t="str">
        <f>_xll.ohRangeRetrieveError(K37)</f>
        <v/>
      </c>
      <c r="M37" s="65"/>
    </row>
    <row r="38" spans="1:13" ht="11.25" customHeight="1" x14ac:dyDescent="0.2">
      <c r="A38" s="29"/>
      <c r="B38" s="69" t="str">
        <f t="shared" si="3"/>
        <v>0d</v>
      </c>
      <c r="C38" s="69" t="s">
        <v>0</v>
      </c>
      <c r="D38" s="69" t="str">
        <f t="shared" si="4"/>
        <v>SB</v>
      </c>
      <c r="E38" s="69" t="str">
        <f t="shared" si="5"/>
        <v>3L</v>
      </c>
      <c r="F38" s="52" t="str">
        <f t="shared" si="6"/>
        <v>Semiannual</v>
      </c>
      <c r="G38" s="52" t="s">
        <v>107</v>
      </c>
      <c r="H38" s="52" t="str">
        <f t="shared" si="0"/>
        <v>Actual/365 (Fixed)</v>
      </c>
      <c r="I38" s="70" t="str">
        <f t="shared" si="1"/>
        <v>GBP3L6L60Y_Quote</v>
      </c>
      <c r="J38" s="71" t="str">
        <f t="shared" si="2"/>
        <v>GBPSB6L60Y_Quote</v>
      </c>
      <c r="K38" s="69" t="str">
        <f>_xll.qlSwapRateHelper2(,$J38,$C38,Calendar,$F38,$G38,$H38,$K$3,$I38,B38,Discounting,Permanent,,ObjectOverwrite)</f>
        <v>obj_005b0#0001</v>
      </c>
      <c r="L38" s="67" t="str">
        <f>_xll.ohRangeRetrieveError(K38)</f>
        <v/>
      </c>
      <c r="M38" s="65"/>
    </row>
    <row r="39" spans="1:13" ht="11.25" customHeight="1" thickBot="1" x14ac:dyDescent="0.25">
      <c r="A39" s="42"/>
      <c r="B39" s="43"/>
      <c r="C39" s="43"/>
      <c r="D39" s="43"/>
      <c r="E39" s="43"/>
      <c r="F39" s="43"/>
      <c r="G39" s="43"/>
      <c r="H39" s="43"/>
      <c r="I39" s="43"/>
      <c r="J39" s="43"/>
      <c r="K39" s="81"/>
      <c r="L39" s="81"/>
      <c r="M39" s="82"/>
    </row>
  </sheetData>
  <dataValidations count="1">
    <dataValidation type="list" allowBlank="1" showInputMessage="1" showErrorMessage="1" sqref="G5:G38">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112" bestFit="1" customWidth="1"/>
    <col min="3" max="3" width="17.28515625" style="112" bestFit="1" customWidth="1"/>
    <col min="4" max="4" width="7" style="1" bestFit="1" customWidth="1"/>
    <col min="5" max="5" width="17.28515625" style="1" bestFit="1" customWidth="1"/>
    <col min="6" max="6" width="20.28515625" style="112" bestFit="1" customWidth="1"/>
    <col min="7" max="7" width="4" style="112" bestFit="1" customWidth="1"/>
    <col min="8" max="8" width="6" style="112" bestFit="1" customWidth="1"/>
    <col min="9" max="9" width="11" style="112" bestFit="1" customWidth="1"/>
    <col min="10" max="10" width="15.140625" style="112" bestFit="1" customWidth="1"/>
    <col min="11" max="11" width="10" style="1" bestFit="1" customWidth="1"/>
    <col min="12" max="12" width="4" style="1" customWidth="1"/>
    <col min="13" max="13" width="15.140625" style="1" hidden="1" customWidth="1" outlineLevel="1"/>
    <col min="14" max="14" width="22.42578125" style="1" bestFit="1" customWidth="1" collapsed="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17" hidden="1" customWidth="1" outlineLevel="1"/>
    <col min="20" max="20" width="16.140625" style="1" customWidth="1" collapsed="1"/>
    <col min="21" max="21" width="10" style="1" bestFit="1" customWidth="1"/>
    <col min="22" max="22" width="15.140625" style="1" bestFit="1" customWidth="1"/>
    <col min="23" max="23" width="19.28515625" style="1" bestFit="1" customWidth="1"/>
    <col min="24" max="25" width="17.28515625" style="1" bestFit="1" customWidth="1"/>
    <col min="26" max="27" width="15.140625" style="1" bestFit="1" customWidth="1"/>
    <col min="28" max="28" width="13.140625" style="1" bestFit="1" customWidth="1"/>
    <col min="29" max="16384" width="9.140625" style="1"/>
  </cols>
  <sheetData>
    <row r="1" spans="1:28" s="112" customFormat="1" ht="12" hidden="1" outlineLevel="1" thickBot="1" x14ac:dyDescent="0.25">
      <c r="A1" s="106"/>
      <c r="B1" s="107" t="s">
        <v>127</v>
      </c>
      <c r="C1" s="108"/>
      <c r="D1" s="107"/>
      <c r="E1" s="109"/>
      <c r="F1" s="110"/>
      <c r="G1" s="106" t="s">
        <v>128</v>
      </c>
      <c r="H1" s="111"/>
      <c r="I1" s="110"/>
      <c r="J1" s="111"/>
      <c r="K1" s="110"/>
    </row>
    <row r="2" spans="1:28" hidden="1" outlineLevel="1" x14ac:dyDescent="0.2">
      <c r="A2" s="113"/>
      <c r="B2" s="114" t="s">
        <v>129</v>
      </c>
      <c r="C2" s="115" t="s">
        <v>130</v>
      </c>
      <c r="D2" s="115" t="s">
        <v>84</v>
      </c>
      <c r="E2" s="115" t="s">
        <v>131</v>
      </c>
      <c r="F2" s="116" t="s">
        <v>132</v>
      </c>
      <c r="G2" s="114" t="s">
        <v>130</v>
      </c>
      <c r="H2" s="115" t="s">
        <v>131</v>
      </c>
      <c r="I2" s="116" t="s">
        <v>133</v>
      </c>
      <c r="J2" s="115" t="s">
        <v>134</v>
      </c>
      <c r="K2" s="116" t="s">
        <v>135</v>
      </c>
      <c r="L2" s="112"/>
      <c r="M2" s="112"/>
    </row>
    <row r="3" spans="1:28" hidden="1" outlineLevel="1" x14ac:dyDescent="0.2">
      <c r="A3" s="118"/>
      <c r="B3" s="119" t="str">
        <f>_xll.qlPeriodEquivalent(D3&amp;"M")</f>
        <v>1Y</v>
      </c>
      <c r="C3" s="120">
        <f>_xll.qlDateEndOfMonth(EDATE(_xll.qlSettingsEvaluationDate(Trigger),-1))</f>
        <v>41912</v>
      </c>
      <c r="D3" s="121">
        <v>12</v>
      </c>
      <c r="E3" s="120">
        <f t="shared" ref="E3:E16" si="0">EDATE($Y$19,$D3)</f>
        <v>42284</v>
      </c>
      <c r="F3" s="122">
        <f>IF(D3&lt;=12,1,IF(D3&lt;=24,3,IF(D3&lt;=120,6,IF(D3&lt;=240,12,IF(D3&lt;=360,36,60)))))</f>
        <v>1</v>
      </c>
      <c r="G3" s="123">
        <f>ROUNDDOWN(J3*10,2)/10</f>
        <v>5.0000000000000001E-3</v>
      </c>
      <c r="H3" s="124">
        <f>IF(K3-J3&gt;1%,(QUOTIENT(K3*10000,50)+1)*0.5%,(QUOTIENT(K3*10000,10)+1)*0.1%)</f>
        <v>1.2E-2</v>
      </c>
      <c r="I3" s="125">
        <f>IF(H3-G3&lt;0.5%,0.05%,IF(H3-G3&lt;1%,0.1%,IF(H3-G3&lt;2%,0.25%,0.5%)))</f>
        <v>1E-3</v>
      </c>
      <c r="J3" s="124">
        <f>MIN(_xll.ohPack($Z$19:INDEX($Z$19:$Z$3552,MATCH(E3+1,$Y$19:$Y$3552,1),1)))</f>
        <v>5.6279999999997556E-3</v>
      </c>
      <c r="K3" s="125">
        <f>MAX(_xll.ohPack($Z$19:INDEX($Z$19:$Z$3552,MATCH(E3+1,$Y$19:$Y$3552,1),1)))</f>
        <v>1.1523966501383272E-2</v>
      </c>
      <c r="L3" s="112"/>
      <c r="M3" s="112"/>
      <c r="N3" s="12"/>
    </row>
    <row r="4" spans="1:28" ht="12" hidden="1" customHeight="1" outlineLevel="1" x14ac:dyDescent="0.25">
      <c r="A4" s="118"/>
      <c r="B4" s="119" t="str">
        <f>_xll.qlPeriodEquivalent(D4&amp;"M")</f>
        <v>2Y</v>
      </c>
      <c r="C4" s="120">
        <f>_xll.qlDateEndOfMonth(EDATE(_xll.qlIMMNextDate(_xll.qlSettingsEvaluationDate(Trigger)-1,TRUE),-3))</f>
        <v>41912</v>
      </c>
      <c r="D4" s="121">
        <v>24</v>
      </c>
      <c r="E4" s="120">
        <f t="shared" si="0"/>
        <v>42650</v>
      </c>
      <c r="F4" s="122">
        <f t="shared" ref="F4:F16" si="1">IF(D4&lt;=12,1,IF(D4&lt;=24,3,IF(D4&lt;=120,6,IF(D4&lt;=240,12,IF(D4&lt;=360,36,60)))))</f>
        <v>3</v>
      </c>
      <c r="G4" s="123">
        <f t="shared" ref="G4:G16" si="2">ROUNDDOWN(J4*10,2)/10</f>
        <v>5.0000000000000001E-3</v>
      </c>
      <c r="H4" s="124">
        <f t="shared" ref="H4:H16" si="3">IF(K4-J4&gt;1%,(QUOTIENT(K4*10000,50)+1)*0.5%,(QUOTIENT(K4*10000,10)+1)*0.1%)</f>
        <v>0.02</v>
      </c>
      <c r="I4" s="125">
        <f t="shared" ref="I4:I16" si="4">IF(H4-G4&lt;0.5%,0.05%,IF(H4-G4&lt;1%,0.1%,IF(H4-G4&lt;2%,0.25%,0.5%)))</f>
        <v>2.5000000000000001E-3</v>
      </c>
      <c r="J4" s="124">
        <f>MIN(_xll.ohPack($Z$19:INDEX($Z$19:$Z$3552,MATCH(E4+1,$Y$19:$Y$3552,1),1)))</f>
        <v>5.6279999999997556E-3</v>
      </c>
      <c r="K4" s="125">
        <f>MAX(_xll.ohPack($Z$19:INDEX($Z$19:$Z$3552,MATCH(E4+1,$Y$19:$Y$3552,1),1)))</f>
        <v>1.787633052211611E-2</v>
      </c>
      <c r="L4" s="112"/>
      <c r="M4" s="112"/>
      <c r="X4"/>
      <c r="Y4"/>
      <c r="Z4"/>
      <c r="AA4"/>
      <c r="AB4"/>
    </row>
    <row r="5" spans="1:28" hidden="1" outlineLevel="1" x14ac:dyDescent="0.2">
      <c r="A5" s="118"/>
      <c r="B5" s="119" t="str">
        <f>_xll.qlPeriodEquivalent(D5&amp;"M")</f>
        <v>5Y</v>
      </c>
      <c r="C5" s="120">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21">
        <v>60</v>
      </c>
      <c r="E5" s="120">
        <f t="shared" si="0"/>
        <v>43745</v>
      </c>
      <c r="F5" s="122">
        <f t="shared" si="1"/>
        <v>6</v>
      </c>
      <c r="G5" s="123">
        <f t="shared" si="2"/>
        <v>5.0000000000000001E-3</v>
      </c>
      <c r="H5" s="124">
        <f t="shared" si="3"/>
        <v>2.5000000000000001E-2</v>
      </c>
      <c r="I5" s="125">
        <f t="shared" si="4"/>
        <v>5.0000000000000001E-3</v>
      </c>
      <c r="J5" s="124">
        <f>MIN(_xll.ohPack($Z$19:INDEX($Z$19:$Z$3552,MATCH(E5+1,$Y$19:$Y$3552,1),1)))</f>
        <v>5.6279999999997556E-3</v>
      </c>
      <c r="K5" s="125">
        <f>MAX(_xll.ohPack($Z$19:INDEX($Z$19:$Z$3552,MATCH(E5+1,$Y$19:$Y$3552,1),1)))</f>
        <v>2.4726069359341095E-2</v>
      </c>
      <c r="L5" s="112"/>
      <c r="M5" s="112"/>
    </row>
    <row r="6" spans="1:28" hidden="1" outlineLevel="1" x14ac:dyDescent="0.2">
      <c r="A6" s="118" t="s">
        <v>136</v>
      </c>
      <c r="B6" s="119" t="str">
        <f>_xll.qlPeriodEquivalent(D6&amp;"M")</f>
        <v>10Y</v>
      </c>
      <c r="C6" s="120">
        <f>C5</f>
        <v>41820</v>
      </c>
      <c r="D6" s="121">
        <v>120</v>
      </c>
      <c r="E6" s="120">
        <f t="shared" si="0"/>
        <v>45572</v>
      </c>
      <c r="F6" s="122">
        <f t="shared" si="1"/>
        <v>6</v>
      </c>
      <c r="G6" s="123">
        <f t="shared" si="2"/>
        <v>5.0000000000000001E-3</v>
      </c>
      <c r="H6" s="124">
        <f t="shared" si="3"/>
        <v>0.03</v>
      </c>
      <c r="I6" s="125">
        <f t="shared" si="4"/>
        <v>5.0000000000000001E-3</v>
      </c>
      <c r="J6" s="124">
        <f>MIN(_xll.ohPack($Z$19:INDEX($Z$19:$Z$3552,MATCH(E6+1,$Y$19:$Y$3552,1),1)))</f>
        <v>5.6279999999997556E-3</v>
      </c>
      <c r="K6" s="125">
        <f>MAX(_xll.ohPack($Z$19:INDEX($Z$19:$Z$3552,MATCH(E6+1,$Y$19:$Y$3552,1),1)))</f>
        <v>2.9610406765429909E-2</v>
      </c>
      <c r="L6" s="112"/>
      <c r="M6" s="112"/>
    </row>
    <row r="7" spans="1:28" hidden="1" outlineLevel="1" x14ac:dyDescent="0.2">
      <c r="A7" s="118"/>
      <c r="B7" s="119" t="str">
        <f>_xll.qlPeriodEquivalent(D7&amp;"M")</f>
        <v>20Y</v>
      </c>
      <c r="C7" s="120">
        <f>IF(AND(MONTH(C6)=12),C6,_xll.qlDateEndOfMonth(EDATE(C6,-6)))</f>
        <v>41639</v>
      </c>
      <c r="D7" s="121">
        <v>240</v>
      </c>
      <c r="E7" s="120">
        <f t="shared" si="0"/>
        <v>49224</v>
      </c>
      <c r="F7" s="122">
        <f t="shared" si="1"/>
        <v>12</v>
      </c>
      <c r="G7" s="123">
        <f t="shared" si="2"/>
        <v>5.0000000000000001E-3</v>
      </c>
      <c r="H7" s="124">
        <f t="shared" si="3"/>
        <v>3.5000000000000003E-2</v>
      </c>
      <c r="I7" s="125">
        <f t="shared" si="4"/>
        <v>5.0000000000000001E-3</v>
      </c>
      <c r="J7" s="124">
        <f>MIN(_xll.ohPack($Z$19:INDEX($Z$19:$Z$3552,MATCH(E7+1,$Y$19:$Y$3552,1),1)))</f>
        <v>5.6279999999997556E-3</v>
      </c>
      <c r="K7" s="125">
        <f>MAX(_xll.ohPack($Z$19:INDEX($Z$19:$Z$3552,MATCH(E7+1,$Y$19:$Y$3552,1),1)))</f>
        <v>3.1431383324550033E-2</v>
      </c>
      <c r="L7" s="112"/>
      <c r="M7" s="112"/>
    </row>
    <row r="8" spans="1:28" hidden="1" outlineLevel="1" x14ac:dyDescent="0.2">
      <c r="A8" s="118"/>
      <c r="B8" s="119" t="str">
        <f>_xll.qlPeriodEquivalent(D8&amp;"M")</f>
        <v>30Y</v>
      </c>
      <c r="C8" s="120">
        <f>C7</f>
        <v>41639</v>
      </c>
      <c r="D8" s="121">
        <v>360</v>
      </c>
      <c r="E8" s="120">
        <f t="shared" si="0"/>
        <v>52877</v>
      </c>
      <c r="F8" s="122">
        <f t="shared" si="1"/>
        <v>36</v>
      </c>
      <c r="G8" s="123">
        <f t="shared" si="2"/>
        <v>5.0000000000000001E-3</v>
      </c>
      <c r="H8" s="124">
        <f t="shared" si="3"/>
        <v>3.5000000000000003E-2</v>
      </c>
      <c r="I8" s="125">
        <f t="shared" si="4"/>
        <v>5.0000000000000001E-3</v>
      </c>
      <c r="J8" s="124">
        <f>MIN(_xll.ohPack($Z$19:INDEX($Z$19:$Z$3552,MATCH(E8+1,$Y$19:$Y$3552,1),1)))</f>
        <v>5.6279999999997556E-3</v>
      </c>
      <c r="K8" s="125">
        <f>MAX(_xll.ohPack($Z$19:INDEX($Z$19:$Z$3552,MATCH(E8+1,$Y$19:$Y$3552,1),1)))</f>
        <v>3.1431383324550033E-2</v>
      </c>
      <c r="L8" s="112"/>
      <c r="M8" s="112"/>
      <c r="AA8" s="126"/>
    </row>
    <row r="9" spans="1:28" ht="12" hidden="1" outlineLevel="1" thickBot="1" x14ac:dyDescent="0.25">
      <c r="A9" s="118"/>
      <c r="B9" s="119" t="str">
        <f>_xll.qlPeriodEquivalent(D9&amp;"M")</f>
        <v>60Y</v>
      </c>
      <c r="C9" s="120">
        <f>C8</f>
        <v>41639</v>
      </c>
      <c r="D9" s="121">
        <f>60*12</f>
        <v>720</v>
      </c>
      <c r="E9" s="120">
        <f t="shared" si="0"/>
        <v>63834</v>
      </c>
      <c r="F9" s="122">
        <f t="shared" si="1"/>
        <v>60</v>
      </c>
      <c r="G9" s="123">
        <f t="shared" si="2"/>
        <v>5.0000000000000001E-3</v>
      </c>
      <c r="H9" s="124">
        <f t="shared" si="3"/>
        <v>3.5000000000000003E-2</v>
      </c>
      <c r="I9" s="125">
        <f t="shared" si="4"/>
        <v>5.0000000000000001E-3</v>
      </c>
      <c r="J9" s="124">
        <f>MIN(_xll.ohPack($Z$19:INDEX($Z$19:$Z$3552,MATCH(E9+1,$Y$19:$Y$3552,1),1)))</f>
        <v>5.6279999999997556E-3</v>
      </c>
      <c r="K9" s="125">
        <f>MAX(_xll.ohPack($Z$19:INDEX($Z$19:$Z$3552,MATCH(E9+1,$Y$19:$Y$3552,1),1)))</f>
        <v>3.1431383324550033E-2</v>
      </c>
      <c r="L9" s="112"/>
      <c r="M9" s="112"/>
      <c r="AA9" s="126"/>
    </row>
    <row r="10" spans="1:28" hidden="1" outlineLevel="1" x14ac:dyDescent="0.2">
      <c r="A10" s="127"/>
      <c r="B10" s="128" t="str">
        <f>_xll.qlPeriodEquivalent(D10&amp;"M")</f>
        <v>1Y</v>
      </c>
      <c r="C10" s="129">
        <f>C3</f>
        <v>41912</v>
      </c>
      <c r="D10" s="130">
        <v>12</v>
      </c>
      <c r="E10" s="129">
        <f t="shared" si="0"/>
        <v>42284</v>
      </c>
      <c r="F10" s="131">
        <f t="shared" si="1"/>
        <v>1</v>
      </c>
      <c r="G10" s="132">
        <f t="shared" si="2"/>
        <v>5.0000000000000001E-3</v>
      </c>
      <c r="H10" s="133">
        <f t="shared" si="3"/>
        <v>1.0999999999999999E-2</v>
      </c>
      <c r="I10" s="134">
        <f t="shared" si="4"/>
        <v>1E-3</v>
      </c>
      <c r="J10" s="133">
        <f>MIN(_xll.ohPack($AA$19:INDEX($AA$19:$AA$3552,MATCH(E10+1,$Y$19:$Y$3552,1),1)))</f>
        <v>5.361614245926738E-3</v>
      </c>
      <c r="K10" s="134">
        <f>MAX(_xll.ohPack($AA$19:INDEX($AA$19:$AA$3552,MATCH(E10+1,$Y$19:$Y$3552,1),1)))</f>
        <v>1.0619145633302685E-2</v>
      </c>
      <c r="L10" s="112"/>
      <c r="M10" s="112"/>
    </row>
    <row r="11" spans="1:28" hidden="1" outlineLevel="1" x14ac:dyDescent="0.2">
      <c r="A11" s="118"/>
      <c r="B11" s="119" t="str">
        <f>_xll.qlPeriodEquivalent(D11&amp;"M")</f>
        <v>2Y</v>
      </c>
      <c r="C11" s="120">
        <f t="shared" ref="C11:C16" si="5">C4</f>
        <v>41912</v>
      </c>
      <c r="D11" s="121">
        <v>24</v>
      </c>
      <c r="E11" s="120">
        <f t="shared" si="0"/>
        <v>42650</v>
      </c>
      <c r="F11" s="122">
        <f t="shared" si="1"/>
        <v>3</v>
      </c>
      <c r="G11" s="123">
        <f t="shared" si="2"/>
        <v>5.0000000000000001E-3</v>
      </c>
      <c r="H11" s="124">
        <f t="shared" si="3"/>
        <v>0.02</v>
      </c>
      <c r="I11" s="125">
        <f t="shared" si="4"/>
        <v>2.5000000000000001E-3</v>
      </c>
      <c r="J11" s="124">
        <f>MIN(_xll.ohPack($AA$19:INDEX($AA$19:$AA$3552,MATCH(E11+1,$Y$19:$Y$3552,1),1)))</f>
        <v>5.361614245926738E-3</v>
      </c>
      <c r="K11" s="125">
        <f>MAX(_xll.ohPack($AA$19:INDEX($AA$19:$AA$3552,MATCH(E11+1,$Y$19:$Y$3552,1),1)))</f>
        <v>1.7178310524495664E-2</v>
      </c>
      <c r="L11" s="112"/>
      <c r="M11" s="112"/>
    </row>
    <row r="12" spans="1:28" hidden="1" outlineLevel="1" x14ac:dyDescent="0.2">
      <c r="A12" s="118"/>
      <c r="B12" s="119" t="str">
        <f>_xll.qlPeriodEquivalent(D12&amp;"M")</f>
        <v>5Y</v>
      </c>
      <c r="C12" s="120">
        <f t="shared" si="5"/>
        <v>41820</v>
      </c>
      <c r="D12" s="121">
        <v>60</v>
      </c>
      <c r="E12" s="120">
        <f t="shared" si="0"/>
        <v>43745</v>
      </c>
      <c r="F12" s="122">
        <f t="shared" si="1"/>
        <v>6</v>
      </c>
      <c r="G12" s="123">
        <f>ROUNDDOWN(J12*10,2)/10</f>
        <v>5.0000000000000001E-3</v>
      </c>
      <c r="H12" s="124">
        <f t="shared" si="3"/>
        <v>2.5000000000000001E-2</v>
      </c>
      <c r="I12" s="125">
        <f t="shared" si="4"/>
        <v>5.0000000000000001E-3</v>
      </c>
      <c r="J12" s="124">
        <f>MIN(_xll.ohPack($AA$19:INDEX($AA$19:$AA$3552,MATCH(E12+1,$Y$19:$Y$3552,1),1)))</f>
        <v>5.361614245926738E-3</v>
      </c>
      <c r="K12" s="125">
        <f>MAX(_xll.ohPack($AA$19:INDEX($AA$19:$AA$3552,MATCH(E12+1,$Y$19:$Y$3552,1),1)))</f>
        <v>2.451422795103908E-2</v>
      </c>
      <c r="L12" s="112"/>
      <c r="M12" s="112"/>
    </row>
    <row r="13" spans="1:28" hidden="1" outlineLevel="1" x14ac:dyDescent="0.2">
      <c r="A13" s="118" t="s">
        <v>137</v>
      </c>
      <c r="B13" s="119" t="str">
        <f>_xll.qlPeriodEquivalent(D13&amp;"M")</f>
        <v>10Y</v>
      </c>
      <c r="C13" s="120">
        <f t="shared" si="5"/>
        <v>41820</v>
      </c>
      <c r="D13" s="121">
        <v>120</v>
      </c>
      <c r="E13" s="120">
        <f t="shared" si="0"/>
        <v>45572</v>
      </c>
      <c r="F13" s="122">
        <f t="shared" si="1"/>
        <v>6</v>
      </c>
      <c r="G13" s="123">
        <f t="shared" si="2"/>
        <v>5.0000000000000001E-3</v>
      </c>
      <c r="H13" s="124">
        <f t="shared" si="3"/>
        <v>0.03</v>
      </c>
      <c r="I13" s="125">
        <f t="shared" si="4"/>
        <v>5.0000000000000001E-3</v>
      </c>
      <c r="J13" s="124">
        <f>MIN(_xll.ohPack($AA$19:INDEX($AA$19:$AA$3552,MATCH(E13+1,$Y$19:$Y$3552,1),1)))</f>
        <v>5.361614245926738E-3</v>
      </c>
      <c r="K13" s="125">
        <f>MAX(_xll.ohPack($AA$19:INDEX($AA$19:$AA$3552,MATCH(E13+1,$Y$19:$Y$3552,1),1)))</f>
        <v>2.9390745902013737E-2</v>
      </c>
      <c r="L13" s="112"/>
      <c r="M13" s="112"/>
    </row>
    <row r="14" spans="1:28" hidden="1" outlineLevel="1" x14ac:dyDescent="0.2">
      <c r="A14" s="118"/>
      <c r="B14" s="119" t="str">
        <f>_xll.qlPeriodEquivalent(D14&amp;"M")</f>
        <v>20Y</v>
      </c>
      <c r="C14" s="120">
        <f t="shared" si="5"/>
        <v>41639</v>
      </c>
      <c r="D14" s="121">
        <v>240</v>
      </c>
      <c r="E14" s="120">
        <f t="shared" si="0"/>
        <v>49224</v>
      </c>
      <c r="F14" s="122">
        <f t="shared" si="1"/>
        <v>12</v>
      </c>
      <c r="G14" s="123">
        <f t="shared" si="2"/>
        <v>5.0000000000000001E-3</v>
      </c>
      <c r="H14" s="124">
        <f t="shared" si="3"/>
        <v>3.5000000000000003E-2</v>
      </c>
      <c r="I14" s="125">
        <f t="shared" si="4"/>
        <v>5.0000000000000001E-3</v>
      </c>
      <c r="J14" s="124">
        <f>MIN(_xll.ohPack($AA$19:INDEX($AA$19:$AA$3552,MATCH(E14+1,$Y$19:$Y$3552,1),1)))</f>
        <v>5.361614245926738E-3</v>
      </c>
      <c r="K14" s="125">
        <f>MAX(_xll.ohPack($AA$19:INDEX($AA$19:$AA$3552,MATCH(E14+1,$Y$19:$Y$3552,1),1)))</f>
        <v>3.1313320372582609E-2</v>
      </c>
      <c r="L14" s="112"/>
      <c r="M14" s="112"/>
    </row>
    <row r="15" spans="1:28" hidden="1" outlineLevel="1" x14ac:dyDescent="0.2">
      <c r="A15" s="118"/>
      <c r="B15" s="119" t="str">
        <f>_xll.qlPeriodEquivalent(D15&amp;"M")</f>
        <v>30Y</v>
      </c>
      <c r="C15" s="120">
        <f t="shared" si="5"/>
        <v>41639</v>
      </c>
      <c r="D15" s="121">
        <v>360</v>
      </c>
      <c r="E15" s="120">
        <f t="shared" si="0"/>
        <v>52877</v>
      </c>
      <c r="F15" s="122">
        <f t="shared" si="1"/>
        <v>36</v>
      </c>
      <c r="G15" s="123">
        <f t="shared" si="2"/>
        <v>5.0000000000000001E-3</v>
      </c>
      <c r="H15" s="124">
        <f t="shared" si="3"/>
        <v>3.5000000000000003E-2</v>
      </c>
      <c r="I15" s="125">
        <f t="shared" si="4"/>
        <v>5.0000000000000001E-3</v>
      </c>
      <c r="J15" s="124">
        <f>MIN(_xll.ohPack($AA$19:INDEX($AA$19:$AA$3552,MATCH(E15+1,$Y$19:$Y$3552,1),1)))</f>
        <v>5.361614245926738E-3</v>
      </c>
      <c r="K15" s="125">
        <f>MAX(_xll.ohPack($AA$19:INDEX($AA$19:$AA$3552,MATCH(E15+1,$Y$19:$Y$3552,1),1)))</f>
        <v>3.1313320372582609E-2</v>
      </c>
      <c r="L15" s="112"/>
      <c r="M15" s="112"/>
    </row>
    <row r="16" spans="1:28" ht="12" hidden="1" outlineLevel="1" thickBot="1" x14ac:dyDescent="0.25">
      <c r="A16" s="135"/>
      <c r="B16" s="119" t="str">
        <f>_xll.qlPeriodEquivalent(D16&amp;"M")</f>
        <v>60Y</v>
      </c>
      <c r="C16" s="120">
        <f t="shared" si="5"/>
        <v>41639</v>
      </c>
      <c r="D16" s="121">
        <v>720</v>
      </c>
      <c r="E16" s="120">
        <f t="shared" si="0"/>
        <v>63834</v>
      </c>
      <c r="F16" s="122">
        <f t="shared" si="1"/>
        <v>60</v>
      </c>
      <c r="G16" s="123">
        <f t="shared" si="2"/>
        <v>5.0000000000000001E-3</v>
      </c>
      <c r="H16" s="124">
        <f t="shared" si="3"/>
        <v>3.5000000000000003E-2</v>
      </c>
      <c r="I16" s="125">
        <f t="shared" si="4"/>
        <v>5.0000000000000001E-3</v>
      </c>
      <c r="J16" s="124">
        <f>MIN(_xll.ohPack($AA$19:INDEX($AA$19:$AA$3552,MATCH(E16+1,$Y$19:$Y$3552,1),1)))</f>
        <v>5.361614245926738E-3</v>
      </c>
      <c r="K16" s="125">
        <f>MAX(_xll.ohPack($AA$19:INDEX($AA$19:$AA$3552,MATCH(E16+1,$Y$19:$Y$3552,1),1)))</f>
        <v>3.1313320372582609E-2</v>
      </c>
      <c r="L16" s="112"/>
      <c r="M16" s="112"/>
      <c r="Z16" s="136" t="s">
        <v>138</v>
      </c>
      <c r="AA16" s="136" t="s">
        <v>139</v>
      </c>
    </row>
    <row r="17" spans="1:27" ht="12" collapsed="1" thickBot="1" x14ac:dyDescent="0.25">
      <c r="A17" s="73"/>
      <c r="B17" s="137"/>
      <c r="C17" s="137"/>
      <c r="D17" s="73"/>
      <c r="E17" s="73"/>
      <c r="F17" s="137"/>
      <c r="G17" s="137"/>
      <c r="H17" s="137"/>
      <c r="I17" s="137"/>
      <c r="J17" s="137"/>
      <c r="K17" s="73"/>
      <c r="L17" s="76"/>
      <c r="M17" s="76"/>
      <c r="Z17" s="138" t="str">
        <f>_xll.qlLibor(,Currency,IndexTenor,YieldCurve,,YieldCurve)</f>
        <v>obj_005b2#0001</v>
      </c>
      <c r="AA17" s="138" t="str">
        <f>_xll.qlSonia(,YieldCurve,,YieldCurve)</f>
        <v>obj_005b4#0001</v>
      </c>
    </row>
    <row r="18" spans="1:27" ht="12" thickBot="1" x14ac:dyDescent="0.25">
      <c r="M18" s="139" t="s">
        <v>46</v>
      </c>
      <c r="N18" s="139" t="s">
        <v>140</v>
      </c>
      <c r="O18" s="140" t="s">
        <v>141</v>
      </c>
      <c r="P18" s="141" t="s">
        <v>45</v>
      </c>
      <c r="Q18" s="140" t="s">
        <v>142</v>
      </c>
      <c r="R18" s="140" t="s">
        <v>143</v>
      </c>
      <c r="S18" s="140" t="s">
        <v>144</v>
      </c>
      <c r="T18" s="142" t="s">
        <v>145</v>
      </c>
      <c r="U18" s="136" t="s">
        <v>146</v>
      </c>
      <c r="V18" s="112"/>
      <c r="W18" s="143" t="s">
        <v>147</v>
      </c>
      <c r="X18" s="144" t="s">
        <v>143</v>
      </c>
      <c r="Y18" s="144" t="s">
        <v>141</v>
      </c>
      <c r="Z18" s="145" t="s">
        <v>148</v>
      </c>
      <c r="AA18" s="146" t="s">
        <v>137</v>
      </c>
    </row>
    <row r="19" spans="1:27" ht="12" thickBot="1" x14ac:dyDescent="0.25">
      <c r="J19" s="147" t="s">
        <v>149</v>
      </c>
      <c r="M19" s="75" t="str">
        <f t="array" ref="M19:M24">_xll.ohFilter(RateHelpers!B9:B14,IF(ISERROR(RateHelpers!D9:D14),FALSE,TRUE))</f>
        <v>obj_0052f#0001</v>
      </c>
      <c r="N19" s="75" t="str">
        <f>_xll.qlRateHelperQuoteName(M19)</f>
        <v>GBP1x4F_Quote</v>
      </c>
      <c r="O19" s="148">
        <f>_xll.qlRateHelperEarliestDate(M19)</f>
        <v>41950</v>
      </c>
      <c r="P19" s="149">
        <f>_xll.qlRateHelperQuoteValue(M19,"ohTrigger(Trigger,RecalcTrigger))")</f>
        <v>5.8000000000000005E-3</v>
      </c>
      <c r="Q19" s="76" t="e">
        <f>NA()</f>
        <v>#N/A</v>
      </c>
      <c r="R19" s="148">
        <f>_xll.qlInterestRateIndexFixingDate(IborIndex,O19)</f>
        <v>41950</v>
      </c>
      <c r="S19" s="149">
        <f>_xll.qlIndexFixing(IborIndex,R19,TRUE,RecalcTrigger)</f>
        <v>5.8611255183138233E-3</v>
      </c>
      <c r="T19" s="150">
        <f t="shared" ref="T19:T24" si="6">S19-P19</f>
        <v>6.1125518313822833E-5</v>
      </c>
      <c r="U19" s="151">
        <f t="array" ref="U19">MAX(ABS(T19:T24))</f>
        <v>8.0608360232121284E-5</v>
      </c>
      <c r="V19" s="152"/>
      <c r="W19" s="75" t="s">
        <v>150</v>
      </c>
      <c r="X19" s="153">
        <f>_xll.qlSettingsEvaluationDate(Trigger)</f>
        <v>41919</v>
      </c>
      <c r="Y19" s="153">
        <f>_xll.qlCalendarAdvance(Calendar,X19,NDays&amp;"D")</f>
        <v>41919</v>
      </c>
      <c r="Z19" s="154">
        <f t="array" ref="Z19:Z3552">IFERROR(_xll.qlIndexFixing(IborIndex,X19:X3552,TRUE,RecalcTrigger),NA())</f>
        <v>5.6279999999997556E-3</v>
      </c>
      <c r="AA19" s="156">
        <f t="array" ref="AA19:AA3552">IFERROR(_xll.qlIndexFixing(OverNightIndex,Y19:Y3552,TRUE,RecalcTrigger),NA())</f>
        <v>5.361614245926738E-3</v>
      </c>
    </row>
    <row r="20" spans="1:27" ht="12" thickBot="1" x14ac:dyDescent="0.25">
      <c r="J20" s="158"/>
      <c r="M20" s="75" t="str">
        <v>obj_00532#0001</v>
      </c>
      <c r="N20" s="75" t="str">
        <f>_xll.qlRateHelperQuoteName(M20)</f>
        <v>GBP2x5F_Quote</v>
      </c>
      <c r="O20" s="148">
        <f>_xll.qlRateHelperEarliestDate(M20)</f>
        <v>41981</v>
      </c>
      <c r="P20" s="149">
        <f>_xll.qlRateHelperQuoteValue(M20,"ohTrigger(Trigger,RecalcTrigger))")</f>
        <v>6.1500000000000001E-3</v>
      </c>
      <c r="Q20" s="76" t="e">
        <f>NA()</f>
        <v>#N/A</v>
      </c>
      <c r="R20" s="148">
        <f>_xll.qlInterestRateIndexFixingDate(IborIndex,O20)</f>
        <v>41981</v>
      </c>
      <c r="S20" s="149">
        <f>_xll.qlIndexFixing(IborIndex,R20,TRUE,RecalcTrigger)</f>
        <v>6.1396000154907964E-3</v>
      </c>
      <c r="T20" s="150">
        <f t="shared" si="6"/>
        <v>-1.0399984509203673E-5</v>
      </c>
      <c r="W20" s="75" t="str">
        <f>W19</f>
        <v>1D</v>
      </c>
      <c r="X20" s="148">
        <f>_xll.qlCalendarAdvance(Calendar,X19,W20,"f",FALSE)</f>
        <v>41920</v>
      </c>
      <c r="Y20" s="153">
        <f>_xll.qlCalendarAdvance(Calendar,X20,NDays&amp;"D")</f>
        <v>41920</v>
      </c>
      <c r="Z20" s="154">
        <v>5.6334566622922768E-3</v>
      </c>
      <c r="AA20" s="156">
        <v>5.3620840635981715E-3</v>
      </c>
    </row>
    <row r="21" spans="1:27" ht="12" thickBot="1" x14ac:dyDescent="0.25">
      <c r="M21" s="75" t="str">
        <v>obj_00530#0001</v>
      </c>
      <c r="N21" s="75" t="str">
        <f>_xll.qlRateHelperQuoteName(M21)</f>
        <v>GBP3x6F_Quote</v>
      </c>
      <c r="O21" s="148">
        <f>_xll.qlRateHelperEarliestDate(M21)</f>
        <v>42011</v>
      </c>
      <c r="P21" s="149">
        <f>_xll.qlRateHelperQuoteValue(M21,"ohTrigger(Trigger,RecalcTrigger))")</f>
        <v>6.6500000000000005E-3</v>
      </c>
      <c r="Q21" s="76" t="e">
        <f>NA()</f>
        <v>#N/A</v>
      </c>
      <c r="R21" s="148">
        <f>_xll.qlInterestRateIndexFixingDate(IborIndex,O21)</f>
        <v>42011</v>
      </c>
      <c r="S21" s="149">
        <f>_xll.qlIndexFixing(IborIndex,R21,TRUE,RecalcTrigger)</f>
        <v>6.5721500766147013E-3</v>
      </c>
      <c r="T21" s="150">
        <f t="shared" si="6"/>
        <v>-7.7849923385299273E-5</v>
      </c>
      <c r="W21" s="75" t="str">
        <f t="shared" ref="W21:W84" si="7">W20</f>
        <v>1D</v>
      </c>
      <c r="X21" s="148">
        <f>_xll.qlCalendarAdvance(Calendar,X20,W21,"f",FALSE)</f>
        <v>41921</v>
      </c>
      <c r="Y21" s="153">
        <f>_xll.qlCalendarAdvance(Calendar,X21,NDays&amp;"D")</f>
        <v>41921</v>
      </c>
      <c r="Z21" s="154">
        <v>5.6390750810316088E-3</v>
      </c>
      <c r="AA21" s="156">
        <v>5.3630236990220848E-3</v>
      </c>
    </row>
    <row r="22" spans="1:27" ht="23.25" thickBot="1" x14ac:dyDescent="0.25">
      <c r="J22" s="287" t="s">
        <v>169</v>
      </c>
      <c r="M22" s="75" t="str">
        <v>obj_00534#0001</v>
      </c>
      <c r="N22" s="75" t="str">
        <f>_xll.qlRateHelperQuoteName(M22)</f>
        <v>GBP4x7F_Quote</v>
      </c>
      <c r="O22" s="148">
        <f>_xll.qlRateHelperEarliestDate(M22)</f>
        <v>42044</v>
      </c>
      <c r="P22" s="149">
        <f>_xll.qlRateHelperQuoteValue(M22,"ohTrigger(Trigger,RecalcTrigger))")</f>
        <v>7.1999999999999998E-3</v>
      </c>
      <c r="Q22" s="76" t="e">
        <f>NA()</f>
        <v>#N/A</v>
      </c>
      <c r="R22" s="148">
        <f>_xll.qlInterestRateIndexFixingDate(IborIndex,O22)</f>
        <v>42044</v>
      </c>
      <c r="S22" s="149">
        <f>_xll.qlIndexFixing(IborIndex,R22,TRUE,RecalcTrigger)</f>
        <v>7.1193916397678785E-3</v>
      </c>
      <c r="T22" s="150">
        <f t="shared" si="6"/>
        <v>-8.0608360232121284E-5</v>
      </c>
      <c r="W22" s="75" t="str">
        <f t="shared" si="7"/>
        <v>1D</v>
      </c>
      <c r="X22" s="148">
        <f>_xll.qlCalendarAdvance(Calendar,X21,W22,"f",FALSE)</f>
        <v>41922</v>
      </c>
      <c r="Y22" s="153">
        <f>_xll.qlCalendarAdvance(Calendar,X22,NDays&amp;"D")</f>
        <v>41922</v>
      </c>
      <c r="Z22" s="154">
        <v>5.6508135012037514E-3</v>
      </c>
      <c r="AA22" s="156">
        <v>5.3665479306519446E-3</v>
      </c>
    </row>
    <row r="23" spans="1:27" ht="12" thickBot="1" x14ac:dyDescent="0.25">
      <c r="J23" s="286" t="str">
        <f>ROUNDDOWN((_xll.qlTermStructureMaxDate(YieldCurve,Trigger)-_xll.qlTermStructureReferenceDate(YieldCurve,Trigger))/365,)&amp;"Y"</f>
        <v>60Y</v>
      </c>
      <c r="M23" s="75" t="str">
        <v>obj_00533#0001</v>
      </c>
      <c r="N23" s="75" t="str">
        <f>_xll.qlRateHelperQuoteName(M23)</f>
        <v>GBP5x8F_Quote</v>
      </c>
      <c r="O23" s="148">
        <f>_xll.qlRateHelperEarliestDate(M23)</f>
        <v>42072</v>
      </c>
      <c r="P23" s="149">
        <f>_xll.qlRateHelperQuoteValue(M23,"ohTrigger(Trigger,RecalcTrigger))")</f>
        <v>7.6E-3</v>
      </c>
      <c r="Q23" s="76" t="e">
        <f>NA()</f>
        <v>#N/A</v>
      </c>
      <c r="R23" s="148">
        <f>_xll.qlInterestRateIndexFixingDate(IborIndex,O23)</f>
        <v>42072</v>
      </c>
      <c r="S23" s="149">
        <f>_xll.qlIndexFixing(IborIndex,R23,TRUE,RecalcTrigger)</f>
        <v>7.5971074039808259E-3</v>
      </c>
      <c r="T23" s="150">
        <f t="shared" si="6"/>
        <v>-2.8925960191741179E-6</v>
      </c>
      <c r="W23" s="75" t="str">
        <f t="shared" si="7"/>
        <v>1D</v>
      </c>
      <c r="X23" s="148">
        <f>_xll.qlCalendarAdvance(Calendar,X22,W23,"f",FALSE)</f>
        <v>41925</v>
      </c>
      <c r="Y23" s="153">
        <f>_xll.qlCalendarAdvance(Calendar,X23,NDays&amp;"D")</f>
        <v>41925</v>
      </c>
      <c r="Z23" s="154">
        <v>5.6630677047802749E-3</v>
      </c>
      <c r="AA23" s="156">
        <v>5.3714804179183506E-3</v>
      </c>
    </row>
    <row r="24" spans="1:27" ht="12" thickBot="1" x14ac:dyDescent="0.25">
      <c r="M24" s="75" t="str">
        <v>obj_00535#0001</v>
      </c>
      <c r="N24" s="75" t="str">
        <f>_xll.qlRateHelperQuoteName(M24)</f>
        <v>GBP6x9F_Quote</v>
      </c>
      <c r="O24" s="148">
        <f>_xll.qlRateHelperEarliestDate(M24)</f>
        <v>42101</v>
      </c>
      <c r="P24" s="149">
        <f>_xll.qlRateHelperQuoteValue(M24,"ohTrigger(Trigger,RecalcTrigger))")</f>
        <v>8.0499999999999999E-3</v>
      </c>
      <c r="Q24" s="76" t="e">
        <f>NA()</f>
        <v>#N/A</v>
      </c>
      <c r="R24" s="148">
        <f>_xll.qlInterestRateIndexFixingDate(IborIndex,O24)</f>
        <v>42101</v>
      </c>
      <c r="S24" s="149">
        <f>_xll.qlIndexFixing(IborIndex,R24,TRUE,RecalcTrigger)</f>
        <v>8.0843958764658785E-3</v>
      </c>
      <c r="T24" s="150">
        <f t="shared" si="6"/>
        <v>3.4395876465878605E-5</v>
      </c>
      <c r="W24" s="75" t="str">
        <f t="shared" si="7"/>
        <v>1D</v>
      </c>
      <c r="X24" s="148">
        <f>_xll.qlCalendarAdvance(Calendar,X23,W24,"f",FALSE)</f>
        <v>41926</v>
      </c>
      <c r="Y24" s="153">
        <f>_xll.qlCalendarAdvance(Calendar,X24,NDays&amp;"D")</f>
        <v>41926</v>
      </c>
      <c r="Z24" s="154">
        <v>5.6694209438903666E-3</v>
      </c>
      <c r="AA24" s="156">
        <v>5.3747691419425703E-3</v>
      </c>
    </row>
    <row r="25" spans="1:27" ht="12" thickBot="1" x14ac:dyDescent="0.25">
      <c r="M25" s="73"/>
      <c r="N25" s="159"/>
      <c r="O25" s="73"/>
      <c r="P25" s="73"/>
      <c r="Q25" s="73"/>
      <c r="R25" s="73"/>
      <c r="S25" s="73"/>
      <c r="T25" s="160"/>
      <c r="W25" s="75" t="str">
        <f t="shared" si="7"/>
        <v>1D</v>
      </c>
      <c r="X25" s="148">
        <f>_xll.qlCalendarAdvance(Calendar,X24,W25,"f",FALSE)</f>
        <v>41927</v>
      </c>
      <c r="Y25" s="153">
        <f>_xll.qlCalendarAdvance(Calendar,X25,NDays&amp;"D")</f>
        <v>41927</v>
      </c>
      <c r="Z25" s="154">
        <v>5.675906354607161E-3</v>
      </c>
      <c r="AA25" s="156">
        <v>5.378527683800316E-3</v>
      </c>
    </row>
    <row r="26" spans="1:27" x14ac:dyDescent="0.2">
      <c r="M26" s="192" t="s">
        <v>46</v>
      </c>
      <c r="N26" s="139" t="s">
        <v>151</v>
      </c>
      <c r="O26" s="140" t="s">
        <v>141</v>
      </c>
      <c r="P26" s="141" t="s">
        <v>45</v>
      </c>
      <c r="Q26" s="140" t="s">
        <v>142</v>
      </c>
      <c r="R26" s="140" t="s">
        <v>143</v>
      </c>
      <c r="S26" s="140" t="s">
        <v>144</v>
      </c>
      <c r="T26" s="142" t="s">
        <v>145</v>
      </c>
      <c r="U26" s="136" t="s">
        <v>146</v>
      </c>
      <c r="W26" s="75" t="str">
        <f t="shared" si="7"/>
        <v>1D</v>
      </c>
      <c r="X26" s="148">
        <f>_xll.qlCalendarAdvance(Calendar,X25,W26,"f",FALSE)</f>
        <v>41928</v>
      </c>
      <c r="Y26" s="153">
        <f>_xll.qlCalendarAdvance(Calendar,X26,NDays&amp;"D")</f>
        <v>41928</v>
      </c>
      <c r="Z26" s="154">
        <v>5.6825190060696487E-3</v>
      </c>
      <c r="AA26" s="156">
        <v>5.3827560433294952E-3</v>
      </c>
    </row>
    <row r="27" spans="1:27" x14ac:dyDescent="0.2">
      <c r="M27" s="161" t="str">
        <f t="array" ref="M27:M60">_xll.ohFilter(RateHelpers!B15:B56,RateHelpers!M15:M56)</f>
        <v>obj_00573#0001</v>
      </c>
      <c r="N27" s="75" t="str">
        <f>_xll.qlRateHelperQuoteName(M27)</f>
        <v>GBPFUT3MZ4_Quote</v>
      </c>
      <c r="O27" s="148">
        <f>_xll.qlRateHelperEarliestDate(M27)</f>
        <v>41990</v>
      </c>
      <c r="P27" s="149">
        <f>1-_xll.qlRateHelperQuoteValue(M27,_xll.ohTrigger(RecalcTrigger,Trigger))/100</f>
        <v>6.2499999999999778E-3</v>
      </c>
      <c r="Q27" s="154" t="e">
        <f>NA()</f>
        <v>#N/A</v>
      </c>
      <c r="R27" s="148">
        <f>_xll.qlInterestRateIndexFixingDate(IborIndex,O27)</f>
        <v>41990</v>
      </c>
      <c r="S27" s="149">
        <f>_xll.qlIndexFixing(IborIndex,R27,TRUE,RecalcTrigger)</f>
        <v>6.2499999979549348E-3</v>
      </c>
      <c r="T27" s="150">
        <f>S27+_xll.qlFuturesRateHelperConvexityAdjustment(M27)-P27</f>
        <v>-2.0450429544238702E-12</v>
      </c>
      <c r="U27" s="151">
        <f t="array" ref="U27">MAX(ABS(T27:T34))</f>
        <v>2.0450429544238702E-12</v>
      </c>
      <c r="W27" s="75" t="str">
        <f t="shared" si="7"/>
        <v>1D</v>
      </c>
      <c r="X27" s="148">
        <f>_xll.qlCalendarAdvance(Calendar,X26,W27,"f",FALSE)</f>
        <v>41929</v>
      </c>
      <c r="Y27" s="153">
        <f>_xll.qlCalendarAdvance(Calendar,X27,NDays&amp;"D")</f>
        <v>41929</v>
      </c>
      <c r="Z27" s="154">
        <v>5.6965765233211981E-3</v>
      </c>
      <c r="AA27" s="156">
        <v>5.3928584990799635E-3</v>
      </c>
    </row>
    <row r="28" spans="1:27" x14ac:dyDescent="0.2">
      <c r="M28" s="161" t="str">
        <v>obj_00567#0001</v>
      </c>
      <c r="N28" s="75" t="str">
        <f>_xll.qlRateHelperQuoteName(M28)</f>
        <v>GBPFUT3MH5_Quote</v>
      </c>
      <c r="O28" s="148">
        <f>_xll.qlRateHelperEarliestDate(M28)</f>
        <v>42081</v>
      </c>
      <c r="P28" s="149">
        <f>1-_xll.qlRateHelperQuoteValue(M28,_xll.ohTrigger(RecalcTrigger,Trigger))/100</f>
        <v>7.7500000000000346E-3</v>
      </c>
      <c r="Q28" s="154" t="e">
        <f>NA()</f>
        <v>#N/A</v>
      </c>
      <c r="R28" s="148">
        <f>_xll.qlInterestRateIndexFixingDate(IborIndex,O28)</f>
        <v>42081</v>
      </c>
      <c r="S28" s="149">
        <f>_xll.qlIndexFixing(IborIndex,R28,TRUE,RecalcTrigger)</f>
        <v>7.7500000000021389E-3</v>
      </c>
      <c r="T28" s="150">
        <f>S28+_xll.qlFuturesRateHelperConvexityAdjustment(M28)-P28</f>
        <v>2.104219576359867E-15</v>
      </c>
      <c r="W28" s="75" t="str">
        <f t="shared" si="7"/>
        <v>1D</v>
      </c>
      <c r="X28" s="148">
        <f>_xll.qlCalendarAdvance(Calendar,X27,W28,"f",FALSE)</f>
        <v>41932</v>
      </c>
      <c r="Y28" s="153">
        <f>_xll.qlCalendarAdvance(Calendar,X28,NDays&amp;"D")</f>
        <v>41932</v>
      </c>
      <c r="Z28" s="154">
        <v>5.7101434013952174E-3</v>
      </c>
      <c r="AA28" s="156">
        <v>5.4043676597814727E-3</v>
      </c>
    </row>
    <row r="29" spans="1:27" x14ac:dyDescent="0.2">
      <c r="M29" s="161" t="str">
        <v>obj_0056f#0001</v>
      </c>
      <c r="N29" s="75" t="str">
        <f>_xll.qlRateHelperQuoteName(M29)</f>
        <v>GBPFUT3MM5_Quote</v>
      </c>
      <c r="O29" s="148">
        <f>_xll.qlRateHelperEarliestDate(M29)</f>
        <v>42172</v>
      </c>
      <c r="P29" s="149">
        <f>1-_xll.qlRateHelperQuoteValue(M29,_xll.ohTrigger(RecalcTrigger,Trigger))/100</f>
        <v>9.3579999999999774E-3</v>
      </c>
      <c r="Q29" s="154" t="e">
        <f>NA()</f>
        <v>#N/A</v>
      </c>
      <c r="R29" s="148">
        <f>_xll.qlInterestRateIndexFixingDate(IborIndex,O29)</f>
        <v>42172</v>
      </c>
      <c r="S29" s="149">
        <f>_xll.qlIndexFixing(IborIndex,R29,TRUE,RecalcTrigger)</f>
        <v>9.3580000015667398E-3</v>
      </c>
      <c r="T29" s="150">
        <f>S29+_xll.qlFuturesRateHelperConvexityAdjustment(M29)-P29</f>
        <v>1.5667623448623047E-12</v>
      </c>
      <c r="W29" s="75" t="str">
        <f t="shared" si="7"/>
        <v>1D</v>
      </c>
      <c r="X29" s="148">
        <f>_xll.qlCalendarAdvance(Calendar,X28,W29,"f",FALSE)</f>
        <v>41933</v>
      </c>
      <c r="Y29" s="153">
        <f>_xll.qlCalendarAdvance(Calendar,X29,NDays&amp;"D")</f>
        <v>41933</v>
      </c>
      <c r="Z29" s="154">
        <v>5.7173182928940448E-3</v>
      </c>
      <c r="AA29" s="156">
        <v>5.4109451084782823E-3</v>
      </c>
    </row>
    <row r="30" spans="1:27" x14ac:dyDescent="0.2">
      <c r="M30" s="161" t="str">
        <v>obj_00574#0001</v>
      </c>
      <c r="N30" s="75" t="str">
        <f>_xll.qlRateHelperQuoteName(M30)</f>
        <v>GBPFUT3MU5_Quote</v>
      </c>
      <c r="O30" s="148">
        <f>_xll.qlRateHelperEarliestDate(M30)</f>
        <v>42263</v>
      </c>
      <c r="P30" s="149">
        <f>1-_xll.qlRateHelperQuoteValue(M30,_xll.ohTrigger(RecalcTrigger,Trigger))/100</f>
        <v>1.1083000000000176E-2</v>
      </c>
      <c r="Q30" s="154" t="e">
        <f>NA()</f>
        <v>#N/A</v>
      </c>
      <c r="R30" s="148">
        <f>_xll.qlInterestRateIndexFixingDate(IborIndex,O30)</f>
        <v>42263</v>
      </c>
      <c r="S30" s="149">
        <f>_xll.qlIndexFixing(IborIndex,R30,TRUE,RecalcTrigger)</f>
        <v>1.1082999999949756E-2</v>
      </c>
      <c r="T30" s="150">
        <f>S30+_xll.qlFuturesRateHelperConvexityAdjustment(M30)-P30</f>
        <v>-5.0419737829265898E-14</v>
      </c>
      <c r="W30" s="75" t="str">
        <f t="shared" si="7"/>
        <v>1D</v>
      </c>
      <c r="X30" s="148">
        <f>_xll.qlCalendarAdvance(Calendar,X29,W30,"f",FALSE)</f>
        <v>41934</v>
      </c>
      <c r="Y30" s="153">
        <f>_xll.qlCalendarAdvance(Calendar,X30,NDays&amp;"D")</f>
        <v>41934</v>
      </c>
      <c r="Z30" s="154">
        <v>5.7245908394888741E-3</v>
      </c>
      <c r="AA30" s="156">
        <v>5.4179923750896641E-3</v>
      </c>
    </row>
    <row r="31" spans="1:27" x14ac:dyDescent="0.2">
      <c r="M31" s="161" t="str">
        <v>obj_00570#0001</v>
      </c>
      <c r="N31" s="75" t="str">
        <f>_xll.qlRateHelperQuoteName(M31)</f>
        <v>GBPFUT3MZ5_Quote</v>
      </c>
      <c r="O31" s="148">
        <f>_xll.qlRateHelperEarliestDate(M31)</f>
        <v>42354</v>
      </c>
      <c r="P31" s="149">
        <f>1-_xll.qlRateHelperQuoteValue(M31,_xll.ohTrigger(RecalcTrigger,Trigger))/100</f>
        <v>1.2852000000000086E-2</v>
      </c>
      <c r="Q31" s="154" t="e">
        <f>NA()</f>
        <v>#N/A</v>
      </c>
      <c r="R31" s="148">
        <f>_xll.qlInterestRateIndexFixingDate(IborIndex,O31)</f>
        <v>42354</v>
      </c>
      <c r="S31" s="149">
        <f>_xll.qlIndexFixing(IborIndex,R31,TRUE,RecalcTrigger)</f>
        <v>1.2852000000000511E-2</v>
      </c>
      <c r="T31" s="150">
        <f>S31+_xll.qlFuturesRateHelperConvexityAdjustment(M31)-P31</f>
        <v>4.2500725161431774E-16</v>
      </c>
      <c r="W31" s="75" t="str">
        <f t="shared" si="7"/>
        <v>1D</v>
      </c>
      <c r="X31" s="148">
        <f>_xll.qlCalendarAdvance(Calendar,X30,W31,"f",FALSE)</f>
        <v>41935</v>
      </c>
      <c r="Y31" s="153">
        <f>_xll.qlCalendarAdvance(Calendar,X31,NDays&amp;"D")</f>
        <v>41935</v>
      </c>
      <c r="Z31" s="154">
        <v>5.7319561101460336E-3</v>
      </c>
      <c r="AA31" s="156">
        <v>5.4255094596966646E-3</v>
      </c>
    </row>
    <row r="32" spans="1:27" x14ac:dyDescent="0.2">
      <c r="M32" s="161" t="str">
        <v>obj_0058e#0001</v>
      </c>
      <c r="N32" s="75" t="str">
        <f>_xll.qlRateHelperQuoteName(M32)</f>
        <v>GBPFUT3MH6_Quote</v>
      </c>
      <c r="O32" s="148">
        <f>_xll.qlRateHelperEarliestDate(M32)</f>
        <v>42445</v>
      </c>
      <c r="P32" s="149">
        <f>1-_xll.qlRateHelperQuoteValue(M32,_xll.ohTrigger(RecalcTrigger,Trigger))/100</f>
        <v>1.4515999999999973E-2</v>
      </c>
      <c r="Q32" s="154" t="e">
        <f>NA()</f>
        <v>#N/A</v>
      </c>
      <c r="R32" s="148">
        <f>_xll.qlInterestRateIndexFixingDate(IborIndex,O32)</f>
        <v>42445</v>
      </c>
      <c r="S32" s="149">
        <f>_xll.qlIndexFixing(IborIndex,R32,TRUE,RecalcTrigger)</f>
        <v>1.4515999999999706E-2</v>
      </c>
      <c r="T32" s="150">
        <f>S32+_xll.qlFuturesRateHelperConvexityAdjustment(M32)-P32</f>
        <v>-2.6714741530042829E-16</v>
      </c>
      <c r="W32" s="75" t="str">
        <f t="shared" si="7"/>
        <v>1D</v>
      </c>
      <c r="X32" s="148">
        <f>_xll.qlCalendarAdvance(Calendar,X31,W32,"f",FALSE)</f>
        <v>41936</v>
      </c>
      <c r="Y32" s="153">
        <f>_xll.qlCalendarAdvance(Calendar,X32,NDays&amp;"D")</f>
        <v>41936</v>
      </c>
      <c r="Z32" s="154">
        <v>5.7479864781528655E-3</v>
      </c>
      <c r="AA32" s="156">
        <v>5.4421908302441464E-3</v>
      </c>
    </row>
    <row r="33" spans="10:27" x14ac:dyDescent="0.2">
      <c r="M33" s="161" t="str">
        <v>obj_0057a#0001</v>
      </c>
      <c r="N33" s="75" t="str">
        <f>_xll.qlRateHelperQuoteName(M33)</f>
        <v>GBPFUT3MM6_Quote</v>
      </c>
      <c r="O33" s="148">
        <f>_xll.qlRateHelperEarliestDate(M33)</f>
        <v>42536</v>
      </c>
      <c r="P33" s="149">
        <f>1-_xll.qlRateHelperQuoteValue(M33,_xll.ohTrigger(RecalcTrigger,Trigger))/100</f>
        <v>1.6074000000000033E-2</v>
      </c>
      <c r="Q33" s="154" t="e">
        <f>NA()</f>
        <v>#N/A</v>
      </c>
      <c r="R33" s="148">
        <f>_xll.qlInterestRateIndexFixingDate(IborIndex,O33)</f>
        <v>42536</v>
      </c>
      <c r="S33" s="149">
        <f>_xll.qlIndexFixing(IborIndex,R33,TRUE,RecalcTrigger)</f>
        <v>1.6073999999954822E-2</v>
      </c>
      <c r="T33" s="150">
        <f>S33+_xll.qlFuturesRateHelperConvexityAdjustment(M33)-P33</f>
        <v>-4.5210363230907546E-14</v>
      </c>
      <c r="W33" s="75" t="str">
        <f t="shared" si="7"/>
        <v>1D</v>
      </c>
      <c r="X33" s="148">
        <f>_xll.qlCalendarAdvance(Calendar,X32,W33,"f",FALSE)</f>
        <v>41939</v>
      </c>
      <c r="Y33" s="153">
        <f>_xll.qlCalendarAdvance(Calendar,X33,NDays&amp;"D")</f>
        <v>41939</v>
      </c>
      <c r="Z33" s="154">
        <v>5.7622458116418276E-3</v>
      </c>
      <c r="AA33" s="156">
        <v>5.4602759777566678E-3</v>
      </c>
    </row>
    <row r="34" spans="10:27" x14ac:dyDescent="0.2">
      <c r="M34" s="161" t="str">
        <v>obj_00580#0001</v>
      </c>
      <c r="N34" s="75" t="str">
        <f>_xll.qlRateHelperQuoteName(M34)</f>
        <v>GBPFUT3MU6_Quote</v>
      </c>
      <c r="O34" s="148">
        <f>_xll.qlRateHelperEarliestDate(M34)</f>
        <v>42634</v>
      </c>
      <c r="P34" s="149">
        <f>1-_xll.qlRateHelperQuoteValue(M34,_xll.ohTrigger(RecalcTrigger,Trigger))/100</f>
        <v>1.7625000000000002E-2</v>
      </c>
      <c r="Q34" s="154" t="e">
        <f>NA()</f>
        <v>#N/A</v>
      </c>
      <c r="R34" s="148">
        <f>_xll.qlInterestRateIndexFixingDate(IborIndex,O34)</f>
        <v>42634</v>
      </c>
      <c r="S34" s="149">
        <f>_xll.qlIndexFixing(IborIndex,R34,TRUE,RecalcTrigger)</f>
        <v>1.7625000000000442E-2</v>
      </c>
      <c r="T34" s="150">
        <f>S34+_xll.qlFuturesRateHelperConvexityAdjustment(M34)-P34</f>
        <v>4.40619762898109E-16</v>
      </c>
      <c r="W34" s="75" t="str">
        <f t="shared" si="7"/>
        <v>1D</v>
      </c>
      <c r="X34" s="148">
        <f>_xll.qlCalendarAdvance(Calendar,X33,W34,"f",FALSE)</f>
        <v>41940</v>
      </c>
      <c r="Y34" s="153">
        <f>_xll.qlCalendarAdvance(Calendar,X34,NDays&amp;"D")</f>
        <v>41940</v>
      </c>
      <c r="Z34" s="154">
        <v>5.7700007360140535E-3</v>
      </c>
      <c r="AA34" s="156">
        <v>5.4701421524228078E-3</v>
      </c>
    </row>
    <row r="35" spans="10:27" x14ac:dyDescent="0.2">
      <c r="M35" s="161" t="str">
        <v>obj_0058f#0001</v>
      </c>
      <c r="N35" s="75" t="str">
        <f>_xll.qlRateHelperQuoteName(M35)</f>
        <v>GBPFUT3MZ6_Quote</v>
      </c>
      <c r="O35" s="148">
        <f>_xll.qlRateHelperEarliestDate(M35)</f>
        <v>42725</v>
      </c>
      <c r="P35" s="149">
        <f>1-_xll.qlRateHelperQuoteValue(M35,_xll.ohTrigger(RecalcTrigger,Trigger))/100</f>
        <v>1.92500000000001E-2</v>
      </c>
      <c r="Q35" s="154" t="e">
        <f>NA()</f>
        <v>#N/A</v>
      </c>
      <c r="R35" s="148">
        <f>_xll.qlInterestRateIndexFixingDate(IborIndex,O35)</f>
        <v>42725</v>
      </c>
      <c r="S35" s="149">
        <f>_xll.qlIndexFixing(IborIndex,R35,TRUE,RecalcTrigger)</f>
        <v>1.8826086438062929E-2</v>
      </c>
      <c r="T35" s="150">
        <f>S35+_xll.qlFuturesRateHelperConvexityAdjustment(M35)-P35</f>
        <v>-4.2391356193717186E-4</v>
      </c>
      <c r="W35" s="75" t="str">
        <f t="shared" si="7"/>
        <v>1D</v>
      </c>
      <c r="X35" s="148">
        <f>_xll.qlCalendarAdvance(Calendar,X34,W35,"f",FALSE)</f>
        <v>41941</v>
      </c>
      <c r="Y35" s="153">
        <f>_xll.qlCalendarAdvance(Calendar,X35,NDays&amp;"D")</f>
        <v>41941</v>
      </c>
      <c r="Z35" s="154">
        <v>5.7778187975779374E-3</v>
      </c>
      <c r="AA35" s="156">
        <v>5.4804781450845663E-3</v>
      </c>
    </row>
    <row r="36" spans="10:27" x14ac:dyDescent="0.2">
      <c r="M36" s="161" t="str">
        <v>obj_00575#0001</v>
      </c>
      <c r="N36" s="75" t="str">
        <f>_xll.qlRateHelperQuoteName(M36)</f>
        <v>GBPFUT3MH7_Quote</v>
      </c>
      <c r="O36" s="148">
        <f>_xll.qlRateHelperEarliestDate(M36)</f>
        <v>42809</v>
      </c>
      <c r="P36" s="149">
        <f>1-_xll.qlRateHelperQuoteValue(M36,_xll.ohTrigger(RecalcTrigger,Trigger))/100</f>
        <v>2.0250000000000101E-2</v>
      </c>
      <c r="Q36" s="154" t="e">
        <f>NA()</f>
        <v>#N/A</v>
      </c>
      <c r="R36" s="148">
        <f>_xll.qlInterestRateIndexFixingDate(IborIndex,O36)</f>
        <v>42809</v>
      </c>
      <c r="S36" s="149">
        <f>_xll.qlIndexFixing(IborIndex,R36,TRUE,RecalcTrigger)</f>
        <v>1.9784039868208116E-2</v>
      </c>
      <c r="T36" s="150">
        <f>S36+_xll.qlFuturesRateHelperConvexityAdjustment(M36)-P36</f>
        <v>-4.6596013179198495E-4</v>
      </c>
      <c r="W36" s="75" t="str">
        <f t="shared" si="7"/>
        <v>1D</v>
      </c>
      <c r="X36" s="148">
        <f>_xll.qlCalendarAdvance(Calendar,X35,W36,"f",FALSE)</f>
        <v>41942</v>
      </c>
      <c r="Y36" s="153">
        <f>_xll.qlCalendarAdvance(Calendar,X36,NDays&amp;"D")</f>
        <v>41942</v>
      </c>
      <c r="Z36" s="154">
        <v>5.7856950650707634E-3</v>
      </c>
      <c r="AA36" s="156">
        <v>5.4912839560661286E-3</v>
      </c>
    </row>
    <row r="37" spans="10:27" x14ac:dyDescent="0.2">
      <c r="M37" s="161" t="str">
        <v>obj_00577#0001</v>
      </c>
      <c r="N37" s="75" t="str">
        <f>_xll.qlRateHelperQuoteName(M37)</f>
        <v>GBPFUT3MM7_Quote</v>
      </c>
      <c r="O37" s="148">
        <f>_xll.qlRateHelperEarliestDate(M37)</f>
        <v>42907</v>
      </c>
      <c r="P37" s="149">
        <f>1-_xll.qlRateHelperQuoteValue(M37,_xll.ohTrigger(RecalcTrigger,Trigger))/100</f>
        <v>2.1249999999999991E-2</v>
      </c>
      <c r="Q37" s="154" t="e">
        <f>NA()</f>
        <v>#N/A</v>
      </c>
      <c r="R37" s="148">
        <f>_xll.qlInterestRateIndexFixingDate(IborIndex,O37)</f>
        <v>42907</v>
      </c>
      <c r="S37" s="149">
        <f>_xll.qlIndexFixing(IborIndex,R37,TRUE,RecalcTrigger)</f>
        <v>2.0703446476302432E-2</v>
      </c>
      <c r="T37" s="150">
        <f>S37+_xll.qlFuturesRateHelperConvexityAdjustment(M37)-P37</f>
        <v>-5.4655352369755925E-4</v>
      </c>
      <c r="W37" s="75" t="str">
        <f t="shared" si="7"/>
        <v>1D</v>
      </c>
      <c r="X37" s="148">
        <f>_xll.qlCalendarAdvance(Calendar,X36,W37,"f",FALSE)</f>
        <v>41943</v>
      </c>
      <c r="Y37" s="153">
        <f>_xll.qlCalendarAdvance(Calendar,X37,NDays&amp;"D")</f>
        <v>41943</v>
      </c>
      <c r="Z37" s="154">
        <v>5.7888432610727659E-3</v>
      </c>
      <c r="AA37" s="156">
        <v>5.5145449521324759E-3</v>
      </c>
    </row>
    <row r="38" spans="10:27" x14ac:dyDescent="0.2">
      <c r="M38" s="161" t="str">
        <v>obj_0057e#0001</v>
      </c>
      <c r="N38" s="75" t="str">
        <f>_xll.qlRateHelperQuoteName(M38)</f>
        <v>GBPFUT3MU7_Quote</v>
      </c>
      <c r="O38" s="148">
        <f>_xll.qlRateHelperEarliestDate(M38)</f>
        <v>42998</v>
      </c>
      <c r="P38" s="149">
        <f>1-_xll.qlRateHelperQuoteValue(M38,_xll.ohTrigger(RecalcTrigger,Trigger))/100</f>
        <v>2.210000000000012E-2</v>
      </c>
      <c r="Q38" s="154" t="e">
        <f>NA()</f>
        <v>#N/A</v>
      </c>
      <c r="R38" s="148">
        <f>_xll.qlInterestRateIndexFixingDate(IborIndex,O38)</f>
        <v>42998</v>
      </c>
      <c r="S38" s="149">
        <f>_xll.qlIndexFixing(IborIndex,R38,TRUE,RecalcTrigger)</f>
        <v>2.1385591669165167E-2</v>
      </c>
      <c r="T38" s="150">
        <f>S38+_xll.qlFuturesRateHelperConvexityAdjustment(M38)-P38</f>
        <v>-7.1440833083495289E-4</v>
      </c>
      <c r="W38" s="75" t="str">
        <f t="shared" si="7"/>
        <v>1D</v>
      </c>
      <c r="X38" s="148">
        <f>_xll.qlCalendarAdvance(Calendar,X37,W38,"f",FALSE)</f>
        <v>41946</v>
      </c>
      <c r="Y38" s="153">
        <f>_xll.qlCalendarAdvance(Calendar,X38,NDays&amp;"D")</f>
        <v>41946</v>
      </c>
      <c r="Z38" s="154">
        <v>5.8176835677469247E-3</v>
      </c>
      <c r="AA38" s="156">
        <v>5.5392053823799525E-3</v>
      </c>
    </row>
    <row r="39" spans="10:27" x14ac:dyDescent="0.2">
      <c r="M39" s="161" t="str">
        <v>obj_00584#0001</v>
      </c>
      <c r="N39" s="75" t="str">
        <f>_xll.qlRateHelperQuoteName(M39)</f>
        <v>GBPFUT3MZ7_Quote</v>
      </c>
      <c r="O39" s="148">
        <f>_xll.qlRateHelperEarliestDate(M39)</f>
        <v>43089</v>
      </c>
      <c r="P39" s="149">
        <f>1-_xll.qlRateHelperQuoteValue(M39,_xll.ohTrigger(RecalcTrigger,Trigger))/100</f>
        <v>2.2849999999999926E-2</v>
      </c>
      <c r="Q39" s="154" t="e">
        <f>NA()</f>
        <v>#N/A</v>
      </c>
      <c r="R39" s="148">
        <f>_xll.qlInterestRateIndexFixingDate(IborIndex,O39)</f>
        <v>43089</v>
      </c>
      <c r="S39" s="149">
        <f>_xll.qlIndexFixing(IborIndex,R39,TRUE,RecalcTrigger)</f>
        <v>2.1975635734226871E-2</v>
      </c>
      <c r="T39" s="150">
        <f>S39+_xll.qlFuturesRateHelperConvexityAdjustment(M39)-P39</f>
        <v>-8.7436426577305534E-4</v>
      </c>
      <c r="W39" s="75" t="str">
        <f t="shared" si="7"/>
        <v>1D</v>
      </c>
      <c r="X39" s="148">
        <f>_xll.qlCalendarAdvance(Calendar,X38,W39,"f",FALSE)</f>
        <v>41947</v>
      </c>
      <c r="Y39" s="153">
        <f>_xll.qlCalendarAdvance(Calendar,X39,NDays&amp;"D")</f>
        <v>41947</v>
      </c>
      <c r="Z39" s="154">
        <v>5.8257768946178914E-3</v>
      </c>
      <c r="AA39" s="156">
        <v>5.552360284798441E-3</v>
      </c>
    </row>
    <row r="40" spans="10:27" x14ac:dyDescent="0.2">
      <c r="M40" s="161" t="str">
        <v>obj_00585#0001</v>
      </c>
      <c r="N40" s="75" t="str">
        <f>_xll.qlRateHelperQuoteName(M40)</f>
        <v>GBPFUT3MH8_Quote</v>
      </c>
      <c r="O40" s="148">
        <f>_xll.qlRateHelperEarliestDate(M40)</f>
        <v>43180</v>
      </c>
      <c r="P40" s="149">
        <f>1-_xll.qlRateHelperQuoteValue(M40,_xll.ohTrigger(RecalcTrigger,Trigger))/100</f>
        <v>2.3449999999999971E-2</v>
      </c>
      <c r="Q40" s="154" t="e">
        <f>NA()</f>
        <v>#N/A</v>
      </c>
      <c r="R40" s="148">
        <f>_xll.qlInterestRateIndexFixingDate(IborIndex,O40)</f>
        <v>43180</v>
      </c>
      <c r="S40" s="149">
        <f>_xll.qlIndexFixing(IborIndex,R40,TRUE,RecalcTrigger)</f>
        <v>2.2514814334159354E-2</v>
      </c>
      <c r="T40" s="150">
        <f>S40+_xll.qlFuturesRateHelperConvexityAdjustment(M40)-P40</f>
        <v>-9.3518566584061685E-4</v>
      </c>
      <c r="W40" s="75" t="str">
        <f t="shared" si="7"/>
        <v>1D</v>
      </c>
      <c r="X40" s="148">
        <f>_xll.qlCalendarAdvance(Calendar,X39,W40,"f",FALSE)</f>
        <v>41948</v>
      </c>
      <c r="Y40" s="153">
        <f>_xll.qlCalendarAdvance(Calendar,X40,NDays&amp;"D")</f>
        <v>41948</v>
      </c>
      <c r="Z40" s="154">
        <v>5.8338988390433675E-3</v>
      </c>
      <c r="AA40" s="156">
        <v>5.5659850056988258E-3</v>
      </c>
    </row>
    <row r="41" spans="10:27" x14ac:dyDescent="0.2">
      <c r="M41" s="161" t="str">
        <v>obj_00582#0001</v>
      </c>
      <c r="N41" s="75" t="str">
        <f>_xll.qlRateHelperQuoteName(M41)</f>
        <v>GBPFUT3MM8_Quote</v>
      </c>
      <c r="O41" s="148">
        <f>_xll.qlRateHelperEarliestDate(M41)</f>
        <v>43271</v>
      </c>
      <c r="P41" s="149">
        <f>1-_xll.qlRateHelperQuoteValue(M41,_xll.ohTrigger(RecalcTrigger,Trigger))/100</f>
        <v>2.410000000000001E-2</v>
      </c>
      <c r="Q41" s="154" t="e">
        <f>NA()</f>
        <v>#N/A</v>
      </c>
      <c r="R41" s="148">
        <f>_xll.qlInterestRateIndexFixingDate(IborIndex,O41)</f>
        <v>43271</v>
      </c>
      <c r="S41" s="149">
        <f>_xll.qlIndexFixing(IborIndex,R41,TRUE,RecalcTrigger)</f>
        <v>2.2985086161760301E-2</v>
      </c>
      <c r="T41" s="150">
        <f>S41+_xll.qlFuturesRateHelperConvexityAdjustment(M41)-P41</f>
        <v>-1.1149138382397089E-3</v>
      </c>
      <c r="U41" s="162"/>
      <c r="W41" s="75" t="str">
        <f t="shared" si="7"/>
        <v>1D</v>
      </c>
      <c r="X41" s="148">
        <f>_xll.qlCalendarAdvance(Calendar,X40,W41,"f",FALSE)</f>
        <v>41949</v>
      </c>
      <c r="Y41" s="153">
        <f>_xll.qlCalendarAdvance(Calendar,X41,NDays&amp;"D")</f>
        <v>41949</v>
      </c>
      <c r="Z41" s="154">
        <v>5.8420444694928311E-3</v>
      </c>
      <c r="AA41" s="156">
        <v>5.5800795450811069E-3</v>
      </c>
    </row>
    <row r="42" spans="10:27" x14ac:dyDescent="0.2">
      <c r="M42" s="161" t="str">
        <v>obj_00589#0001</v>
      </c>
      <c r="N42" s="75" t="str">
        <f>_xll.qlRateHelperQuoteName(M42)</f>
        <v>GBPFUT3MU8_Quote</v>
      </c>
      <c r="O42" s="148">
        <f>_xll.qlRateHelperEarliestDate(M42)</f>
        <v>43362</v>
      </c>
      <c r="P42" s="149">
        <f>1-_xll.qlRateHelperQuoteValue(M42,_xll.ohTrigger(RecalcTrigger,Trigger))/100</f>
        <v>2.4650000000000061E-2</v>
      </c>
      <c r="Q42" s="154" t="e">
        <f>NA()</f>
        <v>#N/A</v>
      </c>
      <c r="R42" s="148">
        <f>_xll.qlInterestRateIndexFixingDate(IborIndex,O42)</f>
        <v>43362</v>
      </c>
      <c r="S42" s="149">
        <f>_xll.qlIndexFixing(IborIndex,R42,TRUE,RecalcTrigger)</f>
        <v>2.3393379770352957E-2</v>
      </c>
      <c r="T42" s="150">
        <f>S42+_xll.qlFuturesRateHelperConvexityAdjustment(M42)-P42</f>
        <v>-1.2566202296471034E-3</v>
      </c>
      <c r="U42" s="162"/>
      <c r="W42" s="75" t="str">
        <f t="shared" si="7"/>
        <v>1D</v>
      </c>
      <c r="X42" s="148">
        <f>_xll.qlCalendarAdvance(Calendar,X41,W42,"f",FALSE)</f>
        <v>41950</v>
      </c>
      <c r="Y42" s="153">
        <f>_xll.qlCalendarAdvance(Calendar,X42,NDays&amp;"D")</f>
        <v>41950</v>
      </c>
      <c r="Z42" s="154">
        <v>5.8611255183138233E-3</v>
      </c>
      <c r="AA42" s="156">
        <v>5.6082139963020703E-3</v>
      </c>
    </row>
    <row r="43" spans="10:27" x14ac:dyDescent="0.2">
      <c r="M43" s="161" t="str">
        <v>obj_0057f#0001</v>
      </c>
      <c r="N43" s="75" t="str">
        <f>_xll.qlRateHelperQuoteName(M43)</f>
        <v>GBPFUT3MZ8_Quote</v>
      </c>
      <c r="O43" s="148">
        <f>_xll.qlRateHelperEarliestDate(M43)</f>
        <v>43453</v>
      </c>
      <c r="P43" s="149">
        <f>1-_xll.qlRateHelperQuoteValue(M43,_xll.ohTrigger(RecalcTrigger,Trigger))/100</f>
        <v>2.5200000000000111E-2</v>
      </c>
      <c r="Q43" s="154" t="e">
        <f>NA()</f>
        <v>#N/A</v>
      </c>
      <c r="R43" s="148">
        <f>_xll.qlInterestRateIndexFixingDate(IborIndex,O43)</f>
        <v>43453</v>
      </c>
      <c r="S43" s="149">
        <f>_xll.qlIndexFixing(IborIndex,R43,TRUE,RecalcTrigger)</f>
        <v>2.3760533942667517E-2</v>
      </c>
      <c r="T43" s="150">
        <f>S43+_xll.qlFuturesRateHelperConvexityAdjustment(M43)-P43</f>
        <v>-1.4394660573325939E-3</v>
      </c>
      <c r="U43" s="162"/>
      <c r="W43" s="75" t="str">
        <f t="shared" si="7"/>
        <v>1D</v>
      </c>
      <c r="X43" s="148">
        <f>_xll.qlCalendarAdvance(Calendar,X42,W43,"f",FALSE)</f>
        <v>41953</v>
      </c>
      <c r="Y43" s="153">
        <f>_xll.qlCalendarAdvance(Calendar,X43,NDays&amp;"D")</f>
        <v>41953</v>
      </c>
      <c r="Z43" s="154">
        <v>5.8748209594293981E-3</v>
      </c>
      <c r="AA43" s="156">
        <v>5.6341388090985767E-3</v>
      </c>
    </row>
    <row r="44" spans="10:27" x14ac:dyDescent="0.2">
      <c r="M44" s="161" t="str">
        <v>obj_00587#0001</v>
      </c>
      <c r="N44" s="75" t="str">
        <f>_xll.qlRateHelperQuoteName(M44)</f>
        <v>GBPFUT3MH9_Quote</v>
      </c>
      <c r="O44" s="148">
        <f>_xll.qlRateHelperEarliestDate(M44)</f>
        <v>43544</v>
      </c>
      <c r="P44" s="149">
        <f>1-_xll.qlRateHelperQuoteValue(M44,_xll.ohTrigger(RecalcTrigger,Trigger))/100</f>
        <v>2.5649999999999951E-2</v>
      </c>
      <c r="Q44" s="154" t="e">
        <f>NA()</f>
        <v>#N/A</v>
      </c>
      <c r="R44" s="148">
        <f>_xll.qlInterestRateIndexFixingDate(IborIndex,O44)</f>
        <v>43544</v>
      </c>
      <c r="S44" s="149">
        <f>_xll.qlIndexFixing(IborIndex,R44,TRUE,RecalcTrigger)</f>
        <v>2.4102146487896763E-2</v>
      </c>
      <c r="T44" s="150">
        <f>S44+_xll.qlFuturesRateHelperConvexityAdjustment(M44)-P44</f>
        <v>-1.5478535121031881E-3</v>
      </c>
      <c r="W44" s="75" t="str">
        <f t="shared" si="7"/>
        <v>1D</v>
      </c>
      <c r="X44" s="148">
        <f>_xll.qlCalendarAdvance(Calendar,X43,W44,"f",FALSE)</f>
        <v>41954</v>
      </c>
      <c r="Y44" s="153">
        <f>_xll.qlCalendarAdvance(Calendar,X44,NDays&amp;"D")</f>
        <v>41954</v>
      </c>
      <c r="Z44" s="154">
        <v>5.883087430253525E-3</v>
      </c>
      <c r="AA44" s="156">
        <v>5.6460308221917277E-3</v>
      </c>
    </row>
    <row r="45" spans="10:27" x14ac:dyDescent="0.2">
      <c r="M45" s="161" t="e">
        <v>#N/A</v>
      </c>
      <c r="N45" s="75" t="e">
        <f>_xll.qlRateHelperQuoteName(M45)</f>
        <v>#VALUE!</v>
      </c>
      <c r="O45" s="148" t="e">
        <f>_xll.qlRateHelperEarliestDate(M45)</f>
        <v>#VALUE!</v>
      </c>
      <c r="P45" s="149" t="e">
        <f>1-_xll.qlRateHelperQuoteValue(M45,_xll.ohTrigger(RecalcTrigger,Trigger))/100</f>
        <v>#VALUE!</v>
      </c>
      <c r="Q45" s="154" t="e">
        <f>NA()</f>
        <v>#N/A</v>
      </c>
      <c r="R45" s="148" t="e">
        <f>_xll.qlInterestRateIndexFixingDate(IborIndex,O45)</f>
        <v>#NUM!</v>
      </c>
      <c r="S45" s="149" t="e">
        <f>_xll.qlIndexFixing(IborIndex,R45,TRUE,RecalcTrigger)</f>
        <v>#NUM!</v>
      </c>
      <c r="T45" s="150" t="e">
        <f>S45+_xll.qlFuturesRateHelperConvexityAdjustment(M45)-P45</f>
        <v>#NUM!</v>
      </c>
      <c r="W45" s="75" t="str">
        <f t="shared" si="7"/>
        <v>1D</v>
      </c>
      <c r="X45" s="148">
        <f>_xll.qlCalendarAdvance(Calendar,X44,W45,"f",FALSE)</f>
        <v>41955</v>
      </c>
      <c r="Y45" s="153">
        <f>_xll.qlCalendarAdvance(Calendar,X45,NDays&amp;"D")</f>
        <v>41955</v>
      </c>
      <c r="Z45" s="154">
        <v>5.8913975442047468E-3</v>
      </c>
      <c r="AA45" s="156">
        <v>5.657254748909768E-3</v>
      </c>
    </row>
    <row r="46" spans="10:27" x14ac:dyDescent="0.2">
      <c r="M46" s="161" t="e">
        <v>#N/A</v>
      </c>
      <c r="N46" s="75" t="e">
        <f>_xll.qlRateHelperQuoteName(M46)</f>
        <v>#VALUE!</v>
      </c>
      <c r="O46" s="148" t="e">
        <f>_xll.qlRateHelperEarliestDate(M46)</f>
        <v>#VALUE!</v>
      </c>
      <c r="P46" s="149" t="e">
        <f>1-_xll.qlRateHelperQuoteValue(M46,_xll.ohTrigger(RecalcTrigger,Trigger))/100</f>
        <v>#VALUE!</v>
      </c>
      <c r="Q46" s="154" t="e">
        <f>NA()</f>
        <v>#N/A</v>
      </c>
      <c r="R46" s="148" t="e">
        <f>_xll.qlInterestRateIndexFixingDate(IborIndex,O46)</f>
        <v>#NUM!</v>
      </c>
      <c r="S46" s="149" t="e">
        <f>_xll.qlIndexFixing(IborIndex,R46,TRUE,RecalcTrigger)</f>
        <v>#NUM!</v>
      </c>
      <c r="T46" s="150" t="e">
        <f>S46+_xll.qlFuturesRateHelperConvexityAdjustment(M46)-P46</f>
        <v>#NUM!</v>
      </c>
      <c r="U46" s="162"/>
      <c r="W46" s="75" t="str">
        <f t="shared" si="7"/>
        <v>1D</v>
      </c>
      <c r="X46" s="148">
        <f>_xll.qlCalendarAdvance(Calendar,X45,W46,"f",FALSE)</f>
        <v>41956</v>
      </c>
      <c r="Y46" s="153">
        <f>_xll.qlCalendarAdvance(Calendar,X46,NDays&amp;"D")</f>
        <v>41956</v>
      </c>
      <c r="Z46" s="154">
        <v>5.899758756508439E-3</v>
      </c>
      <c r="AA46" s="156">
        <v>5.6678105891716513E-3</v>
      </c>
    </row>
    <row r="47" spans="10:27" x14ac:dyDescent="0.2">
      <c r="M47" s="161" t="e">
        <v>#N/A</v>
      </c>
      <c r="N47" s="75" t="e">
        <f>_xll.qlRateHelperQuoteName(M47)</f>
        <v>#VALUE!</v>
      </c>
      <c r="O47" s="148" t="e">
        <f>_xll.qlRateHelperEarliestDate(M47)</f>
        <v>#VALUE!</v>
      </c>
      <c r="P47" s="149" t="e">
        <f>1-_xll.qlRateHelperQuoteValue(M47,_xll.ohTrigger(RecalcTrigger,Trigger))/100</f>
        <v>#VALUE!</v>
      </c>
      <c r="Q47" s="154" t="e">
        <f>NA()</f>
        <v>#N/A</v>
      </c>
      <c r="R47" s="148" t="e">
        <f>_xll.qlInterestRateIndexFixingDate(IborIndex,O47)</f>
        <v>#NUM!</v>
      </c>
      <c r="S47" s="149" t="e">
        <f>_xll.qlIndexFixing(IborIndex,R47,TRUE,RecalcTrigger)</f>
        <v>#NUM!</v>
      </c>
      <c r="T47" s="150" t="e">
        <f>S47+_xll.qlFuturesRateHelperConvexityAdjustment(M47)-P47</f>
        <v>#NUM!</v>
      </c>
      <c r="U47" s="162"/>
      <c r="W47" s="75" t="str">
        <f t="shared" si="7"/>
        <v>1D</v>
      </c>
      <c r="X47" s="148">
        <f>_xll.qlCalendarAdvance(Calendar,X46,W47,"f",FALSE)</f>
        <v>41957</v>
      </c>
      <c r="Y47" s="153">
        <f>_xll.qlCalendarAdvance(Calendar,X47,NDays&amp;"D")</f>
        <v>41957</v>
      </c>
      <c r="Z47" s="154">
        <v>5.9202366294627655E-3</v>
      </c>
      <c r="AA47" s="156">
        <v>5.6867839137442209E-3</v>
      </c>
    </row>
    <row r="48" spans="10:27" x14ac:dyDescent="0.2">
      <c r="J48" s="163" t="b">
        <v>0</v>
      </c>
      <c r="M48" s="161" t="e">
        <v>#N/A</v>
      </c>
      <c r="N48" s="75" t="e">
        <f>_xll.qlRateHelperQuoteName(M48)</f>
        <v>#VALUE!</v>
      </c>
      <c r="O48" s="148" t="e">
        <f>_xll.qlRateHelperEarliestDate(M48)</f>
        <v>#VALUE!</v>
      </c>
      <c r="P48" s="149" t="e">
        <f>1-_xll.qlRateHelperQuoteValue(M48,_xll.ohTrigger(RecalcTrigger,Trigger))/100</f>
        <v>#VALUE!</v>
      </c>
      <c r="Q48" s="154" t="e">
        <f>NA()</f>
        <v>#N/A</v>
      </c>
      <c r="R48" s="148" t="e">
        <f>_xll.qlInterestRateIndexFixingDate(IborIndex,O48)</f>
        <v>#NUM!</v>
      </c>
      <c r="S48" s="149" t="e">
        <f>_xll.qlIndexFixing(IborIndex,R48,TRUE,RecalcTrigger)</f>
        <v>#NUM!</v>
      </c>
      <c r="T48" s="150" t="e">
        <f>S48+_xll.qlFuturesRateHelperConvexityAdjustment(M48)-P48</f>
        <v>#NUM!</v>
      </c>
      <c r="U48" s="162"/>
      <c r="W48" s="75" t="str">
        <f t="shared" si="7"/>
        <v>1D</v>
      </c>
      <c r="X48" s="148">
        <f>_xll.qlCalendarAdvance(Calendar,X47,W48,"f",FALSE)</f>
        <v>41960</v>
      </c>
      <c r="Y48" s="153">
        <f>_xll.qlCalendarAdvance(Calendar,X48,NDays&amp;"D")</f>
        <v>41960</v>
      </c>
      <c r="Z48" s="154">
        <v>5.9338636960687297E-3</v>
      </c>
      <c r="AA48" s="156">
        <v>5.7033530849281977E-3</v>
      </c>
    </row>
    <row r="49" spans="10:27" x14ac:dyDescent="0.2">
      <c r="M49" s="161" t="e">
        <v>#N/A</v>
      </c>
      <c r="N49" s="75" t="e">
        <f>_xll.qlRateHelperQuoteName(M49)</f>
        <v>#VALUE!</v>
      </c>
      <c r="O49" s="148" t="e">
        <f>_xll.qlRateHelperEarliestDate(M49)</f>
        <v>#VALUE!</v>
      </c>
      <c r="P49" s="149" t="e">
        <f>1-_xll.qlRateHelperQuoteValue(M49,_xll.ohTrigger(RecalcTrigger,Trigger))/100</f>
        <v>#VALUE!</v>
      </c>
      <c r="Q49" s="154" t="e">
        <f>NA()</f>
        <v>#N/A</v>
      </c>
      <c r="R49" s="148" t="e">
        <f>_xll.qlInterestRateIndexFixingDate(IborIndex,O49)</f>
        <v>#NUM!</v>
      </c>
      <c r="S49" s="149" t="e">
        <f>_xll.qlIndexFixing(IborIndex,R49,TRUE,RecalcTrigger)</f>
        <v>#NUM!</v>
      </c>
      <c r="T49" s="150" t="e">
        <f>S49+_xll.qlFuturesRateHelperConvexityAdjustment(M49)-P49</f>
        <v>#NUM!</v>
      </c>
      <c r="U49" s="162"/>
      <c r="W49" s="75" t="str">
        <f t="shared" si="7"/>
        <v>1D</v>
      </c>
      <c r="X49" s="148">
        <f>_xll.qlCalendarAdvance(Calendar,X48,W49,"f",FALSE)</f>
        <v>41961</v>
      </c>
      <c r="Y49" s="153">
        <f>_xll.qlCalendarAdvance(Calendar,X49,NDays&amp;"D")</f>
        <v>41961</v>
      </c>
      <c r="Z49" s="154">
        <v>5.9425922308357733E-3</v>
      </c>
      <c r="AA49" s="156">
        <v>5.7105684921798794E-3</v>
      </c>
    </row>
    <row r="50" spans="10:27" x14ac:dyDescent="0.2">
      <c r="M50" s="161" t="e">
        <v>#N/A</v>
      </c>
      <c r="N50" s="75" t="e">
        <f>_xll.qlRateHelperQuoteName(M50)</f>
        <v>#VALUE!</v>
      </c>
      <c r="O50" s="148" t="e">
        <f>_xll.qlRateHelperEarliestDate(M50)</f>
        <v>#VALUE!</v>
      </c>
      <c r="P50" s="149" t="e">
        <f>1-_xll.qlRateHelperQuoteValue(M50,_xll.ohTrigger(RecalcTrigger,Trigger))/100</f>
        <v>#VALUE!</v>
      </c>
      <c r="Q50" s="154" t="e">
        <f>NA()</f>
        <v>#N/A</v>
      </c>
      <c r="R50" s="148" t="e">
        <f>_xll.qlInterestRateIndexFixingDate(IborIndex,O50)</f>
        <v>#NUM!</v>
      </c>
      <c r="S50" s="149" t="e">
        <f>_xll.qlIndexFixing(IborIndex,R50,TRUE,RecalcTrigger)</f>
        <v>#NUM!</v>
      </c>
      <c r="T50" s="150" t="e">
        <f>S50+_xll.qlFuturesRateHelperConvexityAdjustment(M50)-P50</f>
        <v>#NUM!</v>
      </c>
      <c r="U50" s="162"/>
      <c r="W50" s="75" t="str">
        <f t="shared" si="7"/>
        <v>1D</v>
      </c>
      <c r="X50" s="148">
        <f>_xll.qlCalendarAdvance(Calendar,X49,W50,"f",FALSE)</f>
        <v>41962</v>
      </c>
      <c r="Y50" s="153">
        <f>_xll.qlCalendarAdvance(Calendar,X50,NDays&amp;"D")</f>
        <v>41962</v>
      </c>
      <c r="Z50" s="154">
        <v>5.9514165967135086E-3</v>
      </c>
      <c r="AA50" s="156">
        <v>5.7171158127322652E-3</v>
      </c>
    </row>
    <row r="51" spans="10:27" x14ac:dyDescent="0.2">
      <c r="M51" s="161" t="e">
        <v>#N/A</v>
      </c>
      <c r="N51" s="75" t="e">
        <f>_xll.qlRateHelperQuoteName(M51)</f>
        <v>#VALUE!</v>
      </c>
      <c r="O51" s="148" t="e">
        <f>_xll.qlRateHelperEarliestDate(M51)</f>
        <v>#VALUE!</v>
      </c>
      <c r="P51" s="149" t="e">
        <f>1-_xll.qlRateHelperQuoteValue(M51,_xll.ohTrigger(RecalcTrigger,Trigger))/100</f>
        <v>#VALUE!</v>
      </c>
      <c r="Q51" s="154" t="e">
        <f>NA()</f>
        <v>#N/A</v>
      </c>
      <c r="R51" s="148" t="e">
        <f>_xll.qlInterestRateIndexFixingDate(IborIndex,O51)</f>
        <v>#NUM!</v>
      </c>
      <c r="S51" s="149" t="e">
        <f>_xll.qlIndexFixing(IborIndex,R51,TRUE,RecalcTrigger)</f>
        <v>#NUM!</v>
      </c>
      <c r="T51" s="150" t="e">
        <f>S51+_xll.qlFuturesRateHelperConvexityAdjustment(M51)-P51</f>
        <v>#NUM!</v>
      </c>
      <c r="U51" s="162"/>
      <c r="W51" s="75" t="str">
        <f t="shared" si="7"/>
        <v>1D</v>
      </c>
      <c r="X51" s="148">
        <f>_xll.qlCalendarAdvance(Calendar,X50,W51,"f",FALSE)</f>
        <v>41963</v>
      </c>
      <c r="Y51" s="153">
        <f>_xll.qlCalendarAdvance(Calendar,X51,NDays&amp;"D")</f>
        <v>41963</v>
      </c>
      <c r="Z51" s="154">
        <v>5.9603442494074212E-3</v>
      </c>
      <c r="AA51" s="156">
        <v>5.7229950465853552E-3</v>
      </c>
    </row>
    <row r="52" spans="10:27" x14ac:dyDescent="0.2">
      <c r="J52" s="163" t="b">
        <v>1</v>
      </c>
      <c r="M52" s="161" t="e">
        <v>#N/A</v>
      </c>
      <c r="N52" s="75" t="e">
        <f>_xll.qlRateHelperQuoteName(M52)</f>
        <v>#VALUE!</v>
      </c>
      <c r="O52" s="148" t="e">
        <f>_xll.qlRateHelperEarliestDate(M52)</f>
        <v>#VALUE!</v>
      </c>
      <c r="P52" s="149" t="e">
        <f>1-_xll.qlRateHelperQuoteValue(M52,_xll.ohTrigger(RecalcTrigger,Trigger))/100</f>
        <v>#VALUE!</v>
      </c>
      <c r="Q52" s="154" t="e">
        <f>NA()</f>
        <v>#N/A</v>
      </c>
      <c r="R52" s="148" t="e">
        <f>_xll.qlInterestRateIndexFixingDate(IborIndex,O52)</f>
        <v>#NUM!</v>
      </c>
      <c r="S52" s="149" t="e">
        <f>_xll.qlIndexFixing(IborIndex,R52,TRUE,RecalcTrigger)</f>
        <v>#NUM!</v>
      </c>
      <c r="T52" s="150" t="e">
        <f>S52+_xll.qlFuturesRateHelperConvexityAdjustment(M52)-P52</f>
        <v>#NUM!</v>
      </c>
      <c r="U52" s="162"/>
      <c r="W52" s="75" t="str">
        <f t="shared" si="7"/>
        <v>1D</v>
      </c>
      <c r="X52" s="148">
        <f>_xll.qlCalendarAdvance(Calendar,X51,W52,"f",FALSE)</f>
        <v>41964</v>
      </c>
      <c r="Y52" s="153">
        <f>_xll.qlCalendarAdvance(Calendar,X52,NDays&amp;"D")</f>
        <v>41964</v>
      </c>
      <c r="Z52" s="154">
        <v>5.982531062408732E-3</v>
      </c>
      <c r="AA52" s="156">
        <v>5.732616591103505E-3</v>
      </c>
    </row>
    <row r="53" spans="10:27" x14ac:dyDescent="0.2">
      <c r="M53" s="75" t="e">
        <v>#N/A</v>
      </c>
      <c r="N53" s="75" t="e">
        <f>_xll.qlRateHelperQuoteName(M53)</f>
        <v>#VALUE!</v>
      </c>
      <c r="O53" s="148" t="e">
        <f>_xll.qlRateHelperEarliestDate(M53)</f>
        <v>#VALUE!</v>
      </c>
      <c r="P53" s="149" t="e">
        <f>1-_xll.qlRateHelperQuoteValue(M53,_xll.ohTrigger(RecalcTrigger,Trigger))/100</f>
        <v>#VALUE!</v>
      </c>
      <c r="Q53" s="154" t="e">
        <f>NA()</f>
        <v>#N/A</v>
      </c>
      <c r="R53" s="148" t="e">
        <f>_xll.qlInterestRateIndexFixingDate(IborIndex,O53)</f>
        <v>#NUM!</v>
      </c>
      <c r="S53" s="149" t="e">
        <f>_xll.qlIndexFixing(IborIndex,R53,TRUE,RecalcTrigger)</f>
        <v>#NUM!</v>
      </c>
      <c r="T53" s="150" t="e">
        <f>S53+_xll.qlFuturesRateHelperConvexityAdjustment(M53)-P53</f>
        <v>#NUM!</v>
      </c>
      <c r="U53" s="162"/>
      <c r="W53" s="75" t="str">
        <f t="shared" si="7"/>
        <v>1D</v>
      </c>
      <c r="X53" s="148">
        <f>_xll.qlCalendarAdvance(Calendar,X52,W53,"f",FALSE)</f>
        <v>41967</v>
      </c>
      <c r="Y53" s="153">
        <f>_xll.qlCalendarAdvance(Calendar,X53,NDays&amp;"D")</f>
        <v>41967</v>
      </c>
      <c r="Z53" s="154">
        <v>5.9972368450911971E-3</v>
      </c>
      <c r="AA53" s="156">
        <v>5.7398311135459235E-3</v>
      </c>
    </row>
    <row r="54" spans="10:27" x14ac:dyDescent="0.2">
      <c r="M54" s="75" t="e">
        <v>#N/A</v>
      </c>
      <c r="N54" s="75" t="e">
        <f>_xll.qlRateHelperQuoteName(M54)</f>
        <v>#VALUE!</v>
      </c>
      <c r="O54" s="148" t="e">
        <f>_xll.qlRateHelperEarliestDate(M54)</f>
        <v>#VALUE!</v>
      </c>
      <c r="P54" s="149" t="e">
        <f>1-_xll.qlRateHelperQuoteValue(M54,_xll.ohTrigger(RecalcTrigger,Trigger))/100</f>
        <v>#VALUE!</v>
      </c>
      <c r="Q54" s="154" t="e">
        <f>NA()</f>
        <v>#N/A</v>
      </c>
      <c r="R54" s="148" t="e">
        <f>_xll.qlInterestRateIndexFixingDate(IborIndex,O54)</f>
        <v>#NUM!</v>
      </c>
      <c r="S54" s="149" t="e">
        <f>_xll.qlIndexFixing(IborIndex,R54,TRUE,RecalcTrigger)</f>
        <v>#NUM!</v>
      </c>
      <c r="T54" s="150" t="e">
        <f>S54+_xll.qlFuturesRateHelperConvexityAdjustment(M54)-P54</f>
        <v>#NUM!</v>
      </c>
      <c r="U54" s="162"/>
      <c r="W54" s="75" t="str">
        <f t="shared" si="7"/>
        <v>1D</v>
      </c>
      <c r="X54" s="148">
        <f>_xll.qlCalendarAdvance(Calendar,X53,W54,"f",FALSE)</f>
        <v>41968</v>
      </c>
      <c r="Y54" s="153">
        <f>_xll.qlCalendarAdvance(Calendar,X54,NDays&amp;"D")</f>
        <v>41968</v>
      </c>
      <c r="Z54" s="154">
        <v>6.0067927701254456E-3</v>
      </c>
      <c r="AA54" s="156">
        <v>5.7423699130920713E-3</v>
      </c>
    </row>
    <row r="55" spans="10:27" x14ac:dyDescent="0.2">
      <c r="J55" s="163" t="b">
        <v>0</v>
      </c>
      <c r="M55" s="75" t="e">
        <v>#N/A</v>
      </c>
      <c r="N55" s="75" t="e">
        <f>_xll.qlRateHelperQuoteName(M55)</f>
        <v>#VALUE!</v>
      </c>
      <c r="O55" s="148" t="e">
        <f>_xll.qlRateHelperEarliestDate(M55)</f>
        <v>#VALUE!</v>
      </c>
      <c r="P55" s="149" t="e">
        <f>1-_xll.qlRateHelperQuoteValue(M55,_xll.ohTrigger(RecalcTrigger,Trigger))/100</f>
        <v>#VALUE!</v>
      </c>
      <c r="Q55" s="154" t="e">
        <f>NA()</f>
        <v>#N/A</v>
      </c>
      <c r="R55" s="148" t="e">
        <f>_xll.qlInterestRateIndexFixingDate(IborIndex,O55)</f>
        <v>#NUM!</v>
      </c>
      <c r="S55" s="149" t="e">
        <f>_xll.qlIndexFixing(IborIndex,R55,TRUE,RecalcTrigger)</f>
        <v>#NUM!</v>
      </c>
      <c r="T55" s="150" t="e">
        <f>S55+_xll.qlFuturesRateHelperConvexityAdjustment(M55)-P55</f>
        <v>#NUM!</v>
      </c>
      <c r="U55" s="162"/>
      <c r="W55" s="75" t="str">
        <f t="shared" si="7"/>
        <v>1D</v>
      </c>
      <c r="X55" s="148">
        <f>_xll.qlCalendarAdvance(Calendar,X54,W55,"f",FALSE)</f>
        <v>41969</v>
      </c>
      <c r="Y55" s="153">
        <f>_xll.qlCalendarAdvance(Calendar,X55,NDays&amp;"D")</f>
        <v>41969</v>
      </c>
      <c r="Z55" s="154">
        <v>6.0164967178482093E-3</v>
      </c>
      <c r="AA55" s="156">
        <v>5.7442406257768308E-3</v>
      </c>
    </row>
    <row r="56" spans="10:27" x14ac:dyDescent="0.2">
      <c r="M56" s="75" t="e">
        <v>#N/A</v>
      </c>
      <c r="N56" s="75" t="e">
        <f>_xll.qlRateHelperQuoteName(M56)</f>
        <v>#VALUE!</v>
      </c>
      <c r="O56" s="148" t="e">
        <f>_xll.qlRateHelperEarliestDate(M56)</f>
        <v>#VALUE!</v>
      </c>
      <c r="P56" s="149" t="e">
        <f>1-_xll.qlRateHelperQuoteValue(M56,_xll.ohTrigger(RecalcTrigger,Trigger))/100</f>
        <v>#VALUE!</v>
      </c>
      <c r="Q56" s="154" t="e">
        <f>NA()</f>
        <v>#N/A</v>
      </c>
      <c r="R56" s="148" t="e">
        <f>_xll.qlInterestRateIndexFixingDate(IborIndex,O56)</f>
        <v>#NUM!</v>
      </c>
      <c r="S56" s="149" t="e">
        <f>_xll.qlIndexFixing(IborIndex,R56,TRUE,RecalcTrigger)</f>
        <v>#NUM!</v>
      </c>
      <c r="T56" s="150" t="e">
        <f>S56+_xll.qlFuturesRateHelperConvexityAdjustment(M56)-P56</f>
        <v>#NUM!</v>
      </c>
      <c r="U56" s="162"/>
      <c r="W56" s="75" t="str">
        <f t="shared" si="7"/>
        <v>1D</v>
      </c>
      <c r="X56" s="148">
        <f>_xll.qlCalendarAdvance(Calendar,X55,W56,"f",FALSE)</f>
        <v>41970</v>
      </c>
      <c r="Y56" s="153">
        <f>_xll.qlCalendarAdvance(Calendar,X56,NDays&amp;"D")</f>
        <v>41970</v>
      </c>
      <c r="Z56" s="154">
        <v>6.0263561445349396E-3</v>
      </c>
      <c r="AA56" s="156">
        <v>5.7454432515191556E-3</v>
      </c>
    </row>
    <row r="57" spans="10:27" x14ac:dyDescent="0.2">
      <c r="M57" s="75" t="e">
        <v>#N/A</v>
      </c>
      <c r="N57" s="75" t="e">
        <f>_xll.qlRateHelperQuoteName(M57)</f>
        <v>#VALUE!</v>
      </c>
      <c r="O57" s="148" t="e">
        <f>_xll.qlRateHelperEarliestDate(M57)</f>
        <v>#VALUE!</v>
      </c>
      <c r="P57" s="149" t="e">
        <f>1-_xll.qlRateHelperQuoteValue(M57,_xll.ohTrigger(RecalcTrigger,Trigger))/100</f>
        <v>#VALUE!</v>
      </c>
      <c r="Q57" s="154" t="e">
        <f>NA()</f>
        <v>#N/A</v>
      </c>
      <c r="R57" s="148" t="e">
        <f>_xll.qlInterestRateIndexFixingDate(IborIndex,O57)</f>
        <v>#NUM!</v>
      </c>
      <c r="S57" s="149" t="e">
        <f>_xll.qlIndexFixing(IborIndex,R57,TRUE,RecalcTrigger)</f>
        <v>#NUM!</v>
      </c>
      <c r="T57" s="150" t="e">
        <f>S57+_xll.qlFuturesRateHelperConvexityAdjustment(M57)-P57</f>
        <v>#NUM!</v>
      </c>
      <c r="U57" s="162"/>
      <c r="W57" s="75" t="str">
        <f t="shared" si="7"/>
        <v>1D</v>
      </c>
      <c r="X57" s="148">
        <f>_xll.qlCalendarAdvance(Calendar,X56,W57,"f",FALSE)</f>
        <v>41971</v>
      </c>
      <c r="Y57" s="153">
        <f>_xll.qlCalendarAdvance(Calendar,X57,NDays&amp;"D")</f>
        <v>41971</v>
      </c>
      <c r="Z57" s="154">
        <v>6.029348191793074E-3</v>
      </c>
      <c r="AA57" s="156">
        <v>5.7457119913687888E-3</v>
      </c>
    </row>
    <row r="58" spans="10:27" x14ac:dyDescent="0.2">
      <c r="M58" s="75" t="e">
        <v>#N/A</v>
      </c>
      <c r="N58" s="75" t="e">
        <f>_xll.qlRateHelperQuoteName(M58)</f>
        <v>#VALUE!</v>
      </c>
      <c r="O58" s="148" t="e">
        <f>_xll.qlRateHelperEarliestDate(M58)</f>
        <v>#VALUE!</v>
      </c>
      <c r="P58" s="149" t="e">
        <f>1-_xll.qlRateHelperQuoteValue(M58,_xll.ohTrigger(RecalcTrigger,Trigger))/100</f>
        <v>#VALUE!</v>
      </c>
      <c r="Q58" s="154" t="e">
        <f>NA()</f>
        <v>#N/A</v>
      </c>
      <c r="R58" s="148" t="e">
        <f>_xll.qlInterestRateIndexFixingDate(IborIndex,O58)</f>
        <v>#NUM!</v>
      </c>
      <c r="S58" s="149" t="e">
        <f>_xll.qlIndexFixing(IborIndex,R58,TRUE,RecalcTrigger)</f>
        <v>#NUM!</v>
      </c>
      <c r="T58" s="150" t="e">
        <f>S58+_xll.qlFuturesRateHelperConvexityAdjustment(M58)-P58</f>
        <v>#NUM!</v>
      </c>
      <c r="U58" s="162"/>
      <c r="W58" s="75" t="str">
        <f t="shared" si="7"/>
        <v>1D</v>
      </c>
      <c r="X58" s="148">
        <f>_xll.qlCalendarAdvance(Calendar,X57,W58,"f",FALSE)</f>
        <v>41974</v>
      </c>
      <c r="Y58" s="153">
        <f>_xll.qlCalendarAdvance(Calendar,X58,NDays&amp;"D")</f>
        <v>41974</v>
      </c>
      <c r="Z58" s="154">
        <v>6.0602739391130327E-3</v>
      </c>
      <c r="AA58" s="156">
        <v>5.7435728853072465E-3</v>
      </c>
    </row>
    <row r="59" spans="10:27" x14ac:dyDescent="0.2">
      <c r="M59" s="75" t="e">
        <v>#N/A</v>
      </c>
      <c r="N59" s="75" t="e">
        <f>_xll.qlRateHelperQuoteName(M59)</f>
        <v>#VALUE!</v>
      </c>
      <c r="O59" s="148" t="e">
        <f>_xll.qlRateHelperEarliestDate(M59)</f>
        <v>#VALUE!</v>
      </c>
      <c r="P59" s="149" t="e">
        <f>1-_xll.qlRateHelperQuoteValue(M59,_xll.ohTrigger(RecalcTrigger,Trigger))/100</f>
        <v>#VALUE!</v>
      </c>
      <c r="Q59" s="154" t="e">
        <f>NA()</f>
        <v>#N/A</v>
      </c>
      <c r="R59" s="148" t="e">
        <f>_xll.qlInterestRateIndexFixingDate(IborIndex,O59)</f>
        <v>#NUM!</v>
      </c>
      <c r="S59" s="149" t="e">
        <f>_xll.qlIndexFixing(IborIndex,R59,TRUE,RecalcTrigger)</f>
        <v>#NUM!</v>
      </c>
      <c r="T59" s="150" t="e">
        <f>S59+_xll.qlFuturesRateHelperConvexityAdjustment(M59)-P59</f>
        <v>#NUM!</v>
      </c>
      <c r="U59" s="162"/>
      <c r="W59" s="75" t="str">
        <f t="shared" si="7"/>
        <v>1D</v>
      </c>
      <c r="X59" s="148">
        <f>_xll.qlCalendarAdvance(Calendar,X58,W59,"f",FALSE)</f>
        <v>41975</v>
      </c>
      <c r="Y59" s="153">
        <f>_xll.qlCalendarAdvance(Calendar,X59,NDays&amp;"D")</f>
        <v>41975</v>
      </c>
      <c r="Z59" s="154">
        <v>6.0636974224836694E-3</v>
      </c>
      <c r="AA59" s="156">
        <v>5.7414350764184441E-3</v>
      </c>
    </row>
    <row r="60" spans="10:27" ht="12" thickBot="1" x14ac:dyDescent="0.25">
      <c r="M60" s="78" t="e">
        <v>#N/A</v>
      </c>
      <c r="N60" s="75" t="e">
        <f>_xll.qlRateHelperQuoteName(M60)</f>
        <v>#VALUE!</v>
      </c>
      <c r="O60" s="148" t="e">
        <f>_xll.qlRateHelperEarliestDate(M60)</f>
        <v>#VALUE!</v>
      </c>
      <c r="P60" s="149" t="e">
        <f>1-_xll.qlRateHelperQuoteValue(M60,_xll.ohTrigger(RecalcTrigger,Trigger))/100</f>
        <v>#VALUE!</v>
      </c>
      <c r="Q60" s="154" t="e">
        <f>NA()</f>
        <v>#N/A</v>
      </c>
      <c r="R60" s="148" t="e">
        <f>_xll.qlInterestRateIndexFixingDate(IborIndex,O60)</f>
        <v>#NUM!</v>
      </c>
      <c r="S60" s="149" t="e">
        <f>_xll.qlIndexFixing(IborIndex,R60,TRUE,RecalcTrigger)</f>
        <v>#NUM!</v>
      </c>
      <c r="T60" s="150" t="e">
        <f>S60+_xll.qlFuturesRateHelperConvexityAdjustment(M60)-P60</f>
        <v>#NUM!</v>
      </c>
      <c r="U60" s="162"/>
      <c r="W60" s="75" t="str">
        <f t="shared" si="7"/>
        <v>1D</v>
      </c>
      <c r="X60" s="148">
        <f>_xll.qlCalendarAdvance(Calendar,X59,W60,"f",FALSE)</f>
        <v>41976</v>
      </c>
      <c r="Y60" s="153">
        <f>_xll.qlCalendarAdvance(Calendar,X60,NDays&amp;"D")</f>
        <v>41976</v>
      </c>
      <c r="Z60" s="154">
        <v>6.0745277088260809E-3</v>
      </c>
      <c r="AA60" s="156">
        <v>5.7386291806682532E-3</v>
      </c>
    </row>
    <row r="61" spans="10:27" ht="12" thickBot="1" x14ac:dyDescent="0.25">
      <c r="N61" s="159"/>
      <c r="O61" s="164"/>
      <c r="P61" s="165"/>
      <c r="Q61" s="166"/>
      <c r="R61" s="159"/>
      <c r="S61" s="167"/>
      <c r="T61" s="168"/>
      <c r="U61" s="162"/>
      <c r="W61" s="75" t="str">
        <f t="shared" si="7"/>
        <v>1D</v>
      </c>
      <c r="X61" s="148">
        <f>_xll.qlCalendarAdvance(Calendar,X60,W61,"f",FALSE)</f>
        <v>41977</v>
      </c>
      <c r="Y61" s="153">
        <f>_xll.qlCalendarAdvance(Calendar,X61,NDays&amp;"D")</f>
        <v>41977</v>
      </c>
      <c r="Z61" s="154">
        <v>6.085569902975165E-3</v>
      </c>
      <c r="AA61" s="156">
        <v>5.7351551979756277E-3</v>
      </c>
    </row>
    <row r="62" spans="10:27" x14ac:dyDescent="0.2">
      <c r="M62" s="139"/>
      <c r="N62" s="139" t="s">
        <v>152</v>
      </c>
      <c r="O62" s="140" t="s">
        <v>141</v>
      </c>
      <c r="P62" s="140" t="s">
        <v>45</v>
      </c>
      <c r="Q62" s="169"/>
      <c r="R62" s="140" t="s">
        <v>143</v>
      </c>
      <c r="S62" s="140" t="s">
        <v>144</v>
      </c>
      <c r="T62" s="142" t="s">
        <v>145</v>
      </c>
      <c r="U62" s="136" t="s">
        <v>146</v>
      </c>
      <c r="W62" s="75" t="str">
        <f t="shared" si="7"/>
        <v>1D</v>
      </c>
      <c r="X62" s="148">
        <f>_xll.qlCalendarAdvance(Calendar,X61,W62,"f",FALSE)</f>
        <v>41978</v>
      </c>
      <c r="Y62" s="153">
        <f>_xll.qlCalendarAdvance(Calendar,X62,NDays&amp;"D")</f>
        <v>41978</v>
      </c>
      <c r="Z62" s="154">
        <v>6.0968316274011688E-3</v>
      </c>
      <c r="AA62" s="156">
        <v>5.7260701039770403E-3</v>
      </c>
    </row>
    <row r="63" spans="10:27" x14ac:dyDescent="0.2">
      <c r="M63" s="75" t="str">
        <f t="array" ref="M63:M70">_xll.ohFilter(RateHelpers!C15:C56,RateHelpers!N15:N56)</f>
        <v>GBPFUT3MV4_Quote</v>
      </c>
      <c r="N63" s="75" t="e">
        <f>_xll.qlRateHelperQuoteName(M63)</f>
        <v>#NUM!</v>
      </c>
      <c r="O63" s="148" t="e">
        <f>_xll.qlRateHelperEarliestDate(M63)</f>
        <v>#NUM!</v>
      </c>
      <c r="P63" s="170" t="e">
        <f>1-_xll.qlRateHelperQuoteValue(M63,_xll.ohTrigger(RecalcTrigger,Trigger))/100</f>
        <v>#NUM!</v>
      </c>
      <c r="Q63" s="154" t="e">
        <f>NA()</f>
        <v>#N/A</v>
      </c>
      <c r="R63" s="148" t="e">
        <f>_xll.qlInterestRateIndexFixingDate(IborIndex,O63)</f>
        <v>#NUM!</v>
      </c>
      <c r="S63" s="149" t="e">
        <f>_xll.qlIndexFixing(IborIndex,R63,TRUE,RecalcTrigger)</f>
        <v>#NUM!</v>
      </c>
      <c r="T63" s="150" t="e">
        <f t="shared" ref="T63:T70" si="8">S63-P63</f>
        <v>#NUM!</v>
      </c>
      <c r="U63" s="151">
        <f t="array" ref="U63">MAX(ABS(_xll.ohFilter(T63:T70,IF(ISERROR(T63:T70),FALSE,TRUE))))</f>
        <v>0</v>
      </c>
      <c r="W63" s="75" t="str">
        <f t="shared" si="7"/>
        <v>1D</v>
      </c>
      <c r="X63" s="148">
        <f>_xll.qlCalendarAdvance(Calendar,X62,W63,"f",FALSE)</f>
        <v>41981</v>
      </c>
      <c r="Y63" s="153">
        <f>_xll.qlCalendarAdvance(Calendar,X63,NDays&amp;"D")</f>
        <v>41981</v>
      </c>
      <c r="Z63" s="154">
        <v>6.1396000154907964E-3</v>
      </c>
      <c r="AA63" s="156">
        <v>5.7148089657776957E-3</v>
      </c>
    </row>
    <row r="64" spans="10:27" x14ac:dyDescent="0.2">
      <c r="M64" s="75" t="str">
        <v>GBPFUT3MX4_Quote</v>
      </c>
      <c r="N64" s="75" t="e">
        <f>_xll.qlRateHelperQuoteName(M64)</f>
        <v>#NUM!</v>
      </c>
      <c r="O64" s="148" t="e">
        <f>_xll.qlRateHelperEarliestDate(M64)</f>
        <v>#NUM!</v>
      </c>
      <c r="P64" s="170" t="e">
        <f>1-_xll.qlRateHelperQuoteValue(M64,_xll.ohTrigger(RecalcTrigger,Trigger))/100</f>
        <v>#NUM!</v>
      </c>
      <c r="Q64" s="154" t="e">
        <f>NA()</f>
        <v>#N/A</v>
      </c>
      <c r="R64" s="148" t="e">
        <f>_xll.qlInterestRateIndexFixingDate(IborIndex,O64)</f>
        <v>#NUM!</v>
      </c>
      <c r="S64" s="149" t="e">
        <f>_xll.qlIndexFixing(IborIndex,R64,TRUE,RecalcTrigger)</f>
        <v>#NUM!</v>
      </c>
      <c r="T64" s="150" t="e">
        <f t="shared" si="8"/>
        <v>#NUM!</v>
      </c>
      <c r="W64" s="75" t="str">
        <f t="shared" si="7"/>
        <v>1D</v>
      </c>
      <c r="X64" s="148">
        <f>_xll.qlCalendarAdvance(Calendar,X63,W64,"f",FALSE)</f>
        <v>41982</v>
      </c>
      <c r="Y64" s="153">
        <f>_xll.qlCalendarAdvance(Calendar,X64,NDays&amp;"D")</f>
        <v>41982</v>
      </c>
      <c r="Z64" s="154">
        <v>6.1442237158656618E-3</v>
      </c>
      <c r="AA64" s="156">
        <v>5.7093779493033736E-3</v>
      </c>
    </row>
    <row r="65" spans="10:27" x14ac:dyDescent="0.2">
      <c r="M65" s="75" t="str">
        <v>GBPFUT3MF5_Quote</v>
      </c>
      <c r="N65" s="75" t="e">
        <f>_xll.qlRateHelperQuoteName(M65)</f>
        <v>#NUM!</v>
      </c>
      <c r="O65" s="148" t="e">
        <f>_xll.qlRateHelperEarliestDate(M65)</f>
        <v>#NUM!</v>
      </c>
      <c r="P65" s="170" t="e">
        <f>1-_xll.qlRateHelperQuoteValue(M65,_xll.ohTrigger(RecalcTrigger,Trigger))/100</f>
        <v>#NUM!</v>
      </c>
      <c r="Q65" s="154" t="e">
        <f>NA()</f>
        <v>#N/A</v>
      </c>
      <c r="R65" s="148" t="e">
        <f>_xll.qlInterestRateIndexFixingDate(IborIndex,O65)</f>
        <v>#NUM!</v>
      </c>
      <c r="S65" s="149" t="e">
        <f>_xll.qlIndexFixing(IborIndex,R65,TRUE,RecalcTrigger)</f>
        <v>#NUM!</v>
      </c>
      <c r="T65" s="150" t="e">
        <f t="shared" si="8"/>
        <v>#NUM!</v>
      </c>
      <c r="W65" s="75" t="str">
        <f t="shared" si="7"/>
        <v>1D</v>
      </c>
      <c r="X65" s="148">
        <f>_xll.qlCalendarAdvance(Calendar,X64,W65,"f",FALSE)</f>
        <v>41983</v>
      </c>
      <c r="Y65" s="153">
        <f>_xll.qlCalendarAdvance(Calendar,X65,NDays&amp;"D")</f>
        <v>41983</v>
      </c>
      <c r="Z65" s="154">
        <v>6.1566794731470944E-3</v>
      </c>
      <c r="AA65" s="156">
        <v>5.7046622463308161E-3</v>
      </c>
    </row>
    <row r="66" spans="10:27" x14ac:dyDescent="0.2">
      <c r="M66" s="75" t="str">
        <v>GBPFUT3MG5_Quote</v>
      </c>
      <c r="N66" s="75" t="e">
        <f>_xll.qlRateHelperQuoteName(M66)</f>
        <v>#NUM!</v>
      </c>
      <c r="O66" s="148" t="e">
        <f>_xll.qlRateHelperEarliestDate(M66)</f>
        <v>#NUM!</v>
      </c>
      <c r="P66" s="170" t="e">
        <f>1-_xll.qlRateHelperQuoteValue(M66,_xll.ohTrigger(RecalcTrigger,Trigger))/100</f>
        <v>#NUM!</v>
      </c>
      <c r="Q66" s="154" t="e">
        <f>NA()</f>
        <v>#N/A</v>
      </c>
      <c r="R66" s="148" t="e">
        <f>_xll.qlInterestRateIndexFixingDate(IborIndex,O66)</f>
        <v>#NUM!</v>
      </c>
      <c r="S66" s="149" t="e">
        <f>_xll.qlIndexFixing(IborIndex,R66,TRUE,RecalcTrigger)</f>
        <v>#NUM!</v>
      </c>
      <c r="T66" s="150" t="e">
        <f t="shared" si="8"/>
        <v>#NUM!</v>
      </c>
      <c r="W66" s="75" t="str">
        <f t="shared" si="7"/>
        <v>1D</v>
      </c>
      <c r="X66" s="148">
        <f>_xll.qlCalendarAdvance(Calendar,X65,W66,"f",FALSE)</f>
        <v>41984</v>
      </c>
      <c r="Y66" s="153">
        <f>_xll.qlCalendarAdvance(Calendar,X66,NDays&amp;"D")</f>
        <v>41984</v>
      </c>
      <c r="Z66" s="154">
        <v>6.1693697095622658E-3</v>
      </c>
      <c r="AA66" s="156">
        <v>5.7006618567789769E-3</v>
      </c>
    </row>
    <row r="67" spans="10:27" x14ac:dyDescent="0.2">
      <c r="M67" s="75" t="str">
        <v>GBPFUT3MJ5_Quote</v>
      </c>
      <c r="N67" s="75" t="e">
        <f>_xll.qlRateHelperQuoteName(M67)</f>
        <v>#NUM!</v>
      </c>
      <c r="O67" s="148" t="e">
        <f>_xll.qlRateHelperEarliestDate(M67)</f>
        <v>#NUM!</v>
      </c>
      <c r="P67" s="170" t="e">
        <f>1-_xll.qlRateHelperQuoteValue(M67,_xll.ohTrigger(RecalcTrigger,Trigger))/100</f>
        <v>#NUM!</v>
      </c>
      <c r="Q67" s="154" t="e">
        <f>NA()</f>
        <v>#N/A</v>
      </c>
      <c r="R67" s="148" t="e">
        <f>_xll.qlInterestRateIndexFixingDate(IborIndex,O67)</f>
        <v>#NUM!</v>
      </c>
      <c r="S67" s="149" t="e">
        <f>_xll.qlIndexFixing(IborIndex,R67,TRUE,RecalcTrigger)</f>
        <v>#NUM!</v>
      </c>
      <c r="T67" s="150" t="e">
        <f t="shared" si="8"/>
        <v>#NUM!</v>
      </c>
      <c r="U67" s="162"/>
      <c r="W67" s="75" t="str">
        <f t="shared" si="7"/>
        <v>1D</v>
      </c>
      <c r="X67" s="148">
        <f>_xll.qlCalendarAdvance(Calendar,X66,W67,"f",FALSE)</f>
        <v>41985</v>
      </c>
      <c r="Y67" s="153">
        <f>_xll.qlCalendarAdvance(Calendar,X67,NDays&amp;"D")</f>
        <v>41985</v>
      </c>
      <c r="Z67" s="154">
        <v>6.1822866539056956E-3</v>
      </c>
      <c r="AA67" s="156">
        <v>5.6951343152918579E-3</v>
      </c>
    </row>
    <row r="68" spans="10:27" x14ac:dyDescent="0.2">
      <c r="M68" s="75" t="str">
        <v>GBPFUT3MK5_Quote</v>
      </c>
      <c r="N68" s="75" t="e">
        <f>_xll.qlRateHelperQuoteName(M68)</f>
        <v>#NUM!</v>
      </c>
      <c r="O68" s="148" t="e">
        <f>_xll.qlRateHelperEarliestDate(M68)</f>
        <v>#NUM!</v>
      </c>
      <c r="P68" s="170" t="e">
        <f>1-_xll.qlRateHelperQuoteValue(M68,_xll.ohTrigger(RecalcTrigger,Trigger))/100</f>
        <v>#NUM!</v>
      </c>
      <c r="Q68" s="154" t="e">
        <f>NA()</f>
        <v>#N/A</v>
      </c>
      <c r="R68" s="148" t="e">
        <f>_xll.qlInterestRateIndexFixingDate(IborIndex,O68)</f>
        <v>#NUM!</v>
      </c>
      <c r="S68" s="149" t="e">
        <f>_xll.qlIndexFixing(IborIndex,R68,TRUE,RecalcTrigger)</f>
        <v>#NUM!</v>
      </c>
      <c r="T68" s="150" t="e">
        <f t="shared" si="8"/>
        <v>#NUM!</v>
      </c>
      <c r="W68" s="75" t="str">
        <f t="shared" si="7"/>
        <v>1D</v>
      </c>
      <c r="X68" s="148">
        <f>_xll.qlCalendarAdvance(Calendar,X67,W68,"f",FALSE)</f>
        <v>41988</v>
      </c>
      <c r="Y68" s="153">
        <f>_xll.qlCalendarAdvance(Calendar,X68,NDays&amp;"D")</f>
        <v>41988</v>
      </c>
      <c r="Z68" s="154">
        <v>6.2301814625601425E-3</v>
      </c>
      <c r="AA68" s="156">
        <v>5.6918134327788028E-3</v>
      </c>
    </row>
    <row r="69" spans="10:27" x14ac:dyDescent="0.2">
      <c r="M69" s="75" t="str">
        <v>GBPFUT3MN5_Quote</v>
      </c>
      <c r="N69" s="75" t="e">
        <f>_xll.qlRateHelperQuoteName(M69)</f>
        <v>#NUM!</v>
      </c>
      <c r="O69" s="148" t="e">
        <f>_xll.qlRateHelperEarliestDate(M69)</f>
        <v>#NUM!</v>
      </c>
      <c r="P69" s="170" t="e">
        <f>1-_xll.qlRateHelperQuoteValue(M69,_xll.ohTrigger(RecalcTrigger,Trigger))/100</f>
        <v>#NUM!</v>
      </c>
      <c r="Q69" s="154" t="e">
        <f>NA()</f>
        <v>#N/A</v>
      </c>
      <c r="R69" s="148" t="e">
        <f>_xll.qlInterestRateIndexFixingDate(IborIndex,O69)</f>
        <v>#NUM!</v>
      </c>
      <c r="S69" s="149" t="e">
        <f>_xll.qlIndexFixing(IborIndex,R69,TRUE,RecalcTrigger)</f>
        <v>#NUM!</v>
      </c>
      <c r="T69" s="150" t="e">
        <f t="shared" si="8"/>
        <v>#NUM!</v>
      </c>
      <c r="W69" s="75" t="str">
        <f t="shared" si="7"/>
        <v>1D</v>
      </c>
      <c r="X69" s="148">
        <f>_xll.qlCalendarAdvance(Calendar,X68,W69,"f",FALSE)</f>
        <v>41989</v>
      </c>
      <c r="Y69" s="153">
        <f>_xll.qlCalendarAdvance(Calendar,X69,NDays&amp;"D")</f>
        <v>41989</v>
      </c>
      <c r="Z69" s="154">
        <v>6.2360660842848172E-3</v>
      </c>
      <c r="AA69" s="156">
        <v>5.6913896102495087E-3</v>
      </c>
    </row>
    <row r="70" spans="10:27" ht="12" thickBot="1" x14ac:dyDescent="0.25">
      <c r="M70" s="78" t="str">
        <v>GBPFUT3MQ5_Quote</v>
      </c>
      <c r="N70" s="78" t="e">
        <f>_xll.qlRateHelperQuoteName(M70)</f>
        <v>#NUM!</v>
      </c>
      <c r="O70" s="171" t="e">
        <f>_xll.qlRateHelperEarliestDate(M70)</f>
        <v>#NUM!</v>
      </c>
      <c r="P70" s="172" t="e">
        <f>1-_xll.qlRateHelperQuoteValue(M70,_xll.ohTrigger(RecalcTrigger,Trigger))/100</f>
        <v>#NUM!</v>
      </c>
      <c r="Q70" s="155" t="e">
        <f>NA()</f>
        <v>#N/A</v>
      </c>
      <c r="R70" s="79" t="e">
        <f>_xll.qlInterestRateIndexFixingDate(IborIndex,O70)</f>
        <v>#NUM!</v>
      </c>
      <c r="S70" s="173" t="e">
        <f>_xll.qlIndexFixing(IborIndex,R70,TRUE,RecalcTrigger)</f>
        <v>#NUM!</v>
      </c>
      <c r="T70" s="150" t="e">
        <f t="shared" si="8"/>
        <v>#NUM!</v>
      </c>
      <c r="U70" s="162"/>
      <c r="W70" s="75" t="str">
        <f t="shared" si="7"/>
        <v>1D</v>
      </c>
      <c r="X70" s="148">
        <f>_xll.qlCalendarAdvance(Calendar,X69,W70,"f",FALSE)</f>
        <v>41990</v>
      </c>
      <c r="Y70" s="153">
        <f>_xll.qlCalendarAdvance(Calendar,X70,NDays&amp;"D")</f>
        <v>41990</v>
      </c>
      <c r="Z70" s="154">
        <v>6.2499999979549348E-3</v>
      </c>
      <c r="AA70" s="156">
        <v>5.6916811010598867E-3</v>
      </c>
    </row>
    <row r="71" spans="10:27" ht="12" thickBot="1" x14ac:dyDescent="0.25">
      <c r="J71" s="1"/>
      <c r="S71" s="1"/>
      <c r="T71" s="160"/>
      <c r="U71" s="162"/>
      <c r="W71" s="75" t="str">
        <f t="shared" si="7"/>
        <v>1D</v>
      </c>
      <c r="X71" s="148">
        <f>_xll.qlCalendarAdvance(Calendar,X70,W71,"f",FALSE)</f>
        <v>41991</v>
      </c>
      <c r="Y71" s="153">
        <f>_xll.qlCalendarAdvance(Calendar,X71,NDays&amp;"D")</f>
        <v>41991</v>
      </c>
      <c r="Z71" s="154">
        <v>6.2641139810648934E-3</v>
      </c>
      <c r="AA71" s="156">
        <v>5.6926879052909829E-3</v>
      </c>
    </row>
    <row r="72" spans="10:27" x14ac:dyDescent="0.2">
      <c r="M72" s="192" t="s">
        <v>46</v>
      </c>
      <c r="N72" s="139" t="s">
        <v>166</v>
      </c>
      <c r="O72" s="140" t="s">
        <v>39</v>
      </c>
      <c r="P72" s="140" t="s">
        <v>45</v>
      </c>
      <c r="Q72" s="169" t="s">
        <v>167</v>
      </c>
      <c r="R72" s="140" t="s">
        <v>168</v>
      </c>
      <c r="S72" s="140" t="s">
        <v>144</v>
      </c>
      <c r="T72" s="142" t="s">
        <v>145</v>
      </c>
      <c r="U72" s="136" t="s">
        <v>146</v>
      </c>
      <c r="W72" s="75" t="str">
        <f t="shared" si="7"/>
        <v>1D</v>
      </c>
      <c r="X72" s="148">
        <f>_xll.qlCalendarAdvance(Calendar,X71,W72,"f",FALSE)</f>
        <v>41992</v>
      </c>
      <c r="Y72" s="153">
        <f>_xll.qlCalendarAdvance(Calendar,X72,NDays&amp;"D")</f>
        <v>41992</v>
      </c>
      <c r="Z72" s="154">
        <v>6.2784002126251822E-3</v>
      </c>
      <c r="AA72" s="156">
        <v>5.6971748147479264E-3</v>
      </c>
    </row>
    <row r="73" spans="10:27" x14ac:dyDescent="0.2">
      <c r="M73" s="265" t="str">
        <f t="array" ref="M73:M111">_xll.ohFilter(RateHelpers!B91:B129,IF(ISERROR(RateHelpers!D91:D129),FALSE,TRUE))</f>
        <v>obj_00529#0001</v>
      </c>
      <c r="N73" s="75" t="str">
        <f>_xll.qlRateHelperQuoteName(M73)</f>
        <v>GBPAM3L6M_Quote</v>
      </c>
      <c r="O73" s="148">
        <f>_xll.qlRateHelperLatestDate(M73)</f>
        <v>42101</v>
      </c>
      <c r="P73" s="149">
        <f>_xll.qlRateHelperQuoteValue(M73)</f>
        <v>6.1399999999999996E-3</v>
      </c>
      <c r="Q73" s="174" t="str">
        <f>SUBSTITUTE(SUBSTITUTE(N73,"_Quote",""),"GBPAM3L","")</f>
        <v>6M</v>
      </c>
      <c r="R73" s="76" t="str">
        <f>_xll.qlSwapIndex(,FamilyName,Q73,NDays,Currency,Calendar,"1Y","mf","actual/360",IborIndex,Discounting,,_xll.ohTrigger(Trigger,RecalcTrigger))</f>
        <v>obj_005c1#0001</v>
      </c>
      <c r="S73" s="149">
        <f>_xll.qlIndexFixing(R73,$X$19,TRUE,Trigger)</f>
        <v>6.0149466738142476E-3</v>
      </c>
      <c r="T73" s="278">
        <f>S73-P73</f>
        <v>-1.2505332618575199E-4</v>
      </c>
      <c r="U73" s="151">
        <f t="array" ref="U73">MAX(ABS(_xll.ohFilter(T73:T111,IF(ISERROR(T73:T111),FALSE,TRUE))))</f>
        <v>1.5508478557848225E-4</v>
      </c>
      <c r="W73" s="75" t="str">
        <f t="shared" si="7"/>
        <v>1D</v>
      </c>
      <c r="X73" s="148">
        <f>_xll.qlCalendarAdvance(Calendar,X72,W73,"f",FALSE)</f>
        <v>41995</v>
      </c>
      <c r="Y73" s="153">
        <f>_xll.qlCalendarAdvance(Calendar,X73,NDays&amp;"D")</f>
        <v>41995</v>
      </c>
      <c r="Z73" s="154">
        <v>6.3302502338024903E-3</v>
      </c>
      <c r="AA73" s="156">
        <v>5.703868255936273E-3</v>
      </c>
    </row>
    <row r="74" spans="10:27" x14ac:dyDescent="0.2">
      <c r="M74" s="265" t="str">
        <v>obj_0052a#0001</v>
      </c>
      <c r="N74" s="75" t="str">
        <f>_xll.qlRateHelperQuoteName(M74)</f>
        <v>GBPAM3L9M_Quote</v>
      </c>
      <c r="O74" s="148">
        <f>_xll.qlRateHelperLatestDate(M74)</f>
        <v>42192</v>
      </c>
      <c r="P74" s="149">
        <f>_xll.qlRateHelperQuoteValue(M74)</f>
        <v>6.7900000000000009E-3</v>
      </c>
      <c r="Q74" s="174" t="str">
        <f t="shared" ref="Q74:Q77" si="9">SUBSTITUTE(SUBSTITUTE(N74,"_Quote",""),"GBPAM3L","")</f>
        <v>9M</v>
      </c>
      <c r="R74" s="76" t="str">
        <f>_xll.qlSwapIndex(,FamilyName,Q74,NDays,Currency,Calendar,"1Y","mf","actual/360",IborIndex,Discounting,,_xll.ohTrigger(Trigger,RecalcTrigger))</f>
        <v>obj_005bb#0001</v>
      </c>
      <c r="S74" s="149">
        <f>_xll.qlIndexFixing(R74,$X$19,TRUE,Trigger)</f>
        <v>6.6744799160702046E-3</v>
      </c>
      <c r="T74" s="278">
        <f t="shared" ref="T74:T111" si="10">S74-P74</f>
        <v>-1.1552008392979631E-4</v>
      </c>
      <c r="W74" s="75" t="str">
        <f t="shared" si="7"/>
        <v>1D</v>
      </c>
      <c r="X74" s="148">
        <f>_xll.qlCalendarAdvance(Calendar,X73,W74,"f",FALSE)</f>
        <v>41996</v>
      </c>
      <c r="Y74" s="153">
        <f>_xll.qlCalendarAdvance(Calendar,X74,NDays&amp;"D")</f>
        <v>41996</v>
      </c>
      <c r="Z74" s="154">
        <v>6.3371110032933598E-3</v>
      </c>
      <c r="AA74" s="156">
        <v>5.7084516271899144E-3</v>
      </c>
    </row>
    <row r="75" spans="10:27" x14ac:dyDescent="0.2">
      <c r="M75" s="265" t="str">
        <v>obj_0052b#0001</v>
      </c>
      <c r="N75" s="75" t="str">
        <f>_xll.qlRateHelperQuoteName(M75)</f>
        <v>GBPAM3L1Y_Quote</v>
      </c>
      <c r="O75" s="148">
        <f>_xll.qlRateHelperLatestDate(M75)</f>
        <v>42284</v>
      </c>
      <c r="P75" s="149">
        <f>_xll.qlRateHelperQuoteValue(M75)</f>
        <v>7.5500000000000003E-3</v>
      </c>
      <c r="Q75" s="174" t="str">
        <f t="shared" si="9"/>
        <v>1Y</v>
      </c>
      <c r="R75" s="76" t="str">
        <f>_xll.qlSwapIndex(,FamilyName,Q75,NDays,Currency,Calendar,"1Y","mf","actual/360",IborIndex,Discounting,,_xll.ohTrigger(Trigger,RecalcTrigger))</f>
        <v>obj_005bc#0001</v>
      </c>
      <c r="S75" s="149">
        <f>_xll.qlIndexFixing(R75,$X$19,TRUE,Trigger)</f>
        <v>7.4212902920171913E-3</v>
      </c>
      <c r="T75" s="278">
        <f t="shared" si="10"/>
        <v>-1.2870970798280895E-4</v>
      </c>
      <c r="W75" s="75" t="str">
        <f t="shared" si="7"/>
        <v>1D</v>
      </c>
      <c r="X75" s="148">
        <f>_xll.qlCalendarAdvance(Calendar,X74,W75,"f",FALSE)</f>
        <v>41997</v>
      </c>
      <c r="Y75" s="153">
        <f>_xll.qlCalendarAdvance(Calendar,X75,NDays&amp;"D")</f>
        <v>41997</v>
      </c>
      <c r="Z75" s="154">
        <v>6.3521410112238955E-3</v>
      </c>
      <c r="AA75" s="156">
        <v>5.7273886691417975E-3</v>
      </c>
    </row>
    <row r="76" spans="10:27" x14ac:dyDescent="0.2">
      <c r="M76" s="265" t="str">
        <v>obj_0052c#0001</v>
      </c>
      <c r="N76" s="75" t="str">
        <f>_xll.qlRateHelperQuoteName(M76)</f>
        <v>GBPAM3L15M_Quote</v>
      </c>
      <c r="O76" s="148">
        <f>_xll.qlRateHelperLatestDate(M76)</f>
        <v>42376</v>
      </c>
      <c r="P76" s="149">
        <f>_xll.qlRateHelperQuoteValue(M76)</f>
        <v>8.3599999999999994E-3</v>
      </c>
      <c r="Q76" s="174" t="str">
        <f t="shared" si="9"/>
        <v>15M</v>
      </c>
      <c r="R76" s="76" t="str">
        <f>_xll.qlSwapIndex(,FamilyName,Q76,NDays,Currency,Calendar,"1Y","mf","actual/360",IborIndex,Discounting,,_xll.ohTrigger(Trigger,RecalcTrigger))</f>
        <v>obj_005c4#0001</v>
      </c>
      <c r="S76" s="149">
        <f>_xll.qlIndexFixing(R76,$X$19,TRUE,Trigger)</f>
        <v>8.2136831055499623E-3</v>
      </c>
      <c r="T76" s="278">
        <f t="shared" si="10"/>
        <v>-1.4631689445003711E-4</v>
      </c>
      <c r="W76" s="75" t="str">
        <f t="shared" si="7"/>
        <v>1D</v>
      </c>
      <c r="X76" s="148">
        <f>_xll.qlCalendarAdvance(Calendar,X75,W76,"f",FALSE)</f>
        <v>42002</v>
      </c>
      <c r="Y76" s="153">
        <f>_xll.qlCalendarAdvance(Calendar,X76,NDays&amp;"D")</f>
        <v>42002</v>
      </c>
      <c r="Z76" s="154">
        <v>6.4371547477362406E-3</v>
      </c>
      <c r="AA76" s="156">
        <v>5.7509734386540501E-3</v>
      </c>
    </row>
    <row r="77" spans="10:27" ht="12" thickBot="1" x14ac:dyDescent="0.25">
      <c r="M77" s="265" t="str">
        <v>obj_0052d#0001</v>
      </c>
      <c r="N77" s="75" t="str">
        <f>_xll.qlRateHelperQuoteName(M77)</f>
        <v>GBPAM3L18M_Quote</v>
      </c>
      <c r="O77" s="148">
        <f>_xll.qlRateHelperLatestDate(M77)</f>
        <v>42467</v>
      </c>
      <c r="P77" s="149">
        <f>_xll.qlRateHelperQuoteValue(M77)</f>
        <v>9.1800000000000007E-3</v>
      </c>
      <c r="Q77" s="174" t="str">
        <f t="shared" si="9"/>
        <v>18M</v>
      </c>
      <c r="R77" s="76" t="str">
        <f>_xll.qlSwapIndex(,FamilyName,Q77,NDays,Currency,Calendar,"1Y","mf","actual/360",IborIndex,Discounting,,_xll.ohTrigger(Trigger,RecalcTrigger))</f>
        <v>obj_005be#0001</v>
      </c>
      <c r="S77" s="149">
        <f>_xll.qlIndexFixing(R77,$X$19,TRUE,Trigger)</f>
        <v>9.0249152144215184E-3</v>
      </c>
      <c r="T77" s="278">
        <f t="shared" si="10"/>
        <v>-1.5508478557848225E-4</v>
      </c>
      <c r="W77" s="75" t="str">
        <f t="shared" si="7"/>
        <v>1D</v>
      </c>
      <c r="X77" s="148">
        <f>_xll.qlCalendarAdvance(Calendar,X76,W77,"f",FALSE)</f>
        <v>42003</v>
      </c>
      <c r="Y77" s="153">
        <f>_xll.qlCalendarAdvance(Calendar,X77,NDays&amp;"D")</f>
        <v>42003</v>
      </c>
      <c r="Z77" s="154">
        <v>6.444677441575385E-3</v>
      </c>
      <c r="AA77" s="156">
        <v>5.7605640049873674E-3</v>
      </c>
    </row>
    <row r="78" spans="10:27" x14ac:dyDescent="0.2">
      <c r="M78" s="267" t="str">
        <v>obj_0053b#0001</v>
      </c>
      <c r="N78" s="72" t="str">
        <f>_xll.qlRateHelperQuoteName(M78)</f>
        <v>GBPSM3L1Y_Quote</v>
      </c>
      <c r="O78" s="269">
        <f>_xll.qlRateHelperLatestDate(M78)</f>
        <v>42284</v>
      </c>
      <c r="P78" s="270">
        <f>_xll.qlRateHelperQuoteValue(M78)</f>
        <v>7.5399999999999998E-3</v>
      </c>
      <c r="Q78" s="268" t="str">
        <f>SUBSTITUTE(SUBSTITUTE(N78,"_Quote",""),"GBPSM3L","")</f>
        <v>1Y</v>
      </c>
      <c r="R78" s="73" t="str">
        <f>_xll.qlSwapIndex(,FamilyName,Q78,NDays,Currency,Calendar,"6M","mf","actual/365 (fixed)",IborIndex,Discounting,,_xll.ohTrigger(Trigger,RecalcTrigger))</f>
        <v>obj_005cb#0001</v>
      </c>
      <c r="S78" s="270">
        <f>_xll.qlIndexFixing(R78,$X$19,TRUE,Trigger)</f>
        <v>7.5103996626466581E-3</v>
      </c>
      <c r="T78" s="279">
        <f t="shared" si="10"/>
        <v>-2.9600337353341728E-5</v>
      </c>
      <c r="W78" s="75" t="str">
        <f t="shared" si="7"/>
        <v>1D</v>
      </c>
      <c r="X78" s="148">
        <f>_xll.qlCalendarAdvance(Calendar,X77,W78,"f",FALSE)</f>
        <v>42004</v>
      </c>
      <c r="Y78" s="153">
        <f>_xll.qlCalendarAdvance(Calendar,X78,NDays&amp;"D")</f>
        <v>42004</v>
      </c>
      <c r="Z78" s="154">
        <v>6.4604198136569832E-3</v>
      </c>
      <c r="AA78" s="156">
        <v>5.7764261896481317E-3</v>
      </c>
    </row>
    <row r="79" spans="10:27" x14ac:dyDescent="0.2">
      <c r="M79" s="265" t="str">
        <v>obj_0053a#0001</v>
      </c>
      <c r="N79" s="75" t="str">
        <f>_xll.qlRateHelperQuoteName(M79)</f>
        <v>GBPSM3L2Y_Quote</v>
      </c>
      <c r="O79" s="148">
        <f>_xll.qlRateHelperLatestDate(M79)</f>
        <v>42650</v>
      </c>
      <c r="P79" s="149">
        <f>_xll.qlRateHelperQuoteValue(M79)</f>
        <v>1.0789999999999999E-2</v>
      </c>
      <c r="Q79" s="174" t="str">
        <f t="shared" ref="Q79:Q111" si="11">SUBSTITUTE(SUBSTITUTE(N79,"_Quote",""),"GBPSM3L","")</f>
        <v>2Y</v>
      </c>
      <c r="R79" s="76" t="str">
        <f>_xll.qlSwapIndex(,FamilyName,Q79,NDays,Currency,Calendar,"6M","mf","actual/365 (fixed)",IborIndex,Discounting,,_xll.ohTrigger(Trigger,RecalcTrigger))</f>
        <v>obj_005ca#0001</v>
      </c>
      <c r="S79" s="149">
        <f>_xll.qlIndexFixing(R79,$X$19,TRUE,Trigger)</f>
        <v>1.0762663536524258E-2</v>
      </c>
      <c r="T79" s="278">
        <f t="shared" si="10"/>
        <v>-2.7336463475741493E-5</v>
      </c>
      <c r="W79" s="75" t="str">
        <f t="shared" si="7"/>
        <v>1D</v>
      </c>
      <c r="X79" s="148">
        <f>_xll.qlCalendarAdvance(Calendar,X78,W79,"f",FALSE)</f>
        <v>42006</v>
      </c>
      <c r="Y79" s="153">
        <f>_xll.qlCalendarAdvance(Calendar,X79,NDays&amp;"D")</f>
        <v>42006</v>
      </c>
      <c r="Z79" s="154">
        <v>6.4921080408308421E-3</v>
      </c>
      <c r="AA79" s="156">
        <v>5.8064102123208308E-3</v>
      </c>
    </row>
    <row r="80" spans="10:27" x14ac:dyDescent="0.2">
      <c r="M80" s="265" t="str">
        <v>obj_0054b#0001</v>
      </c>
      <c r="N80" s="75" t="str">
        <f>_xll.qlRateHelperQuoteName(M80)</f>
        <v>GBPSM3L3Y_Quote</v>
      </c>
      <c r="O80" s="148">
        <f>_xll.qlRateHelperLatestDate(M80)</f>
        <v>43017</v>
      </c>
      <c r="P80" s="149">
        <f>_xll.qlRateHelperQuoteValue(M80)</f>
        <v>1.366E-2</v>
      </c>
      <c r="Q80" s="174" t="str">
        <f t="shared" si="11"/>
        <v>3Y</v>
      </c>
      <c r="R80" s="76" t="str">
        <f>_xll.qlSwapIndex(,FamilyName,Q80,NDays,Currency,Calendar,"6M","mf","actual/365 (fixed)",IborIndex,Discounting,,_xll.ohTrigger(Trigger,RecalcTrigger))</f>
        <v>obj_005c7#0001</v>
      </c>
      <c r="S80" s="149">
        <f>_xll.qlIndexFixing(R80,$X$19,TRUE,Trigger)</f>
        <v>1.3635924486491369E-2</v>
      </c>
      <c r="T80" s="278">
        <f t="shared" si="10"/>
        <v>-2.4075513508631588E-5</v>
      </c>
      <c r="W80" s="75" t="str">
        <f t="shared" si="7"/>
        <v>1D</v>
      </c>
      <c r="X80" s="148">
        <f>_xll.qlCalendarAdvance(Calendar,X79,W80,"f",FALSE)</f>
        <v>42009</v>
      </c>
      <c r="Y80" s="153">
        <f>_xll.qlCalendarAdvance(Calendar,X80,NDays&amp;"D")</f>
        <v>42009</v>
      </c>
      <c r="Z80" s="154">
        <v>6.5564498416580911E-3</v>
      </c>
      <c r="AA80" s="156">
        <v>5.8331289945479092E-3</v>
      </c>
    </row>
    <row r="81" spans="13:27" x14ac:dyDescent="0.2">
      <c r="M81" s="265" t="str">
        <v>obj_0055a#0001</v>
      </c>
      <c r="N81" s="75" t="str">
        <f>_xll.qlRateHelperQuoteName(M81)</f>
        <v>GBPSM3L4Y_Quote</v>
      </c>
      <c r="O81" s="148">
        <f>_xll.qlRateHelperLatestDate(M81)</f>
        <v>43381</v>
      </c>
      <c r="P81" s="149">
        <f>_xll.qlRateHelperQuoteValue(M81)</f>
        <v>1.5769999999999999E-2</v>
      </c>
      <c r="Q81" s="174" t="str">
        <f t="shared" si="11"/>
        <v>4Y</v>
      </c>
      <c r="R81" s="76" t="str">
        <f>_xll.qlSwapIndex(,FamilyName,Q81,NDays,Currency,Calendar,"6M","mf","actual/365 (fixed)",IborIndex,Discounting,,_xll.ohTrigger(Trigger,RecalcTrigger))</f>
        <v>obj_005b3#0001</v>
      </c>
      <c r="S81" s="149">
        <f>_xll.qlIndexFixing(R81,$X$19,TRUE,Trigger)</f>
        <v>1.5758040511964663E-2</v>
      </c>
      <c r="T81" s="278">
        <f t="shared" si="10"/>
        <v>-1.1959488035336724E-5</v>
      </c>
      <c r="W81" s="75" t="str">
        <f t="shared" si="7"/>
        <v>1D</v>
      </c>
      <c r="X81" s="148">
        <f>_xll.qlCalendarAdvance(Calendar,X80,W81,"f",FALSE)</f>
        <v>42010</v>
      </c>
      <c r="Y81" s="153">
        <f>_xll.qlCalendarAdvance(Calendar,X81,NDays&amp;"D")</f>
        <v>42010</v>
      </c>
      <c r="Z81" s="154">
        <v>6.5642935172706618E-3</v>
      </c>
      <c r="AA81" s="156">
        <v>5.8477267587164761E-3</v>
      </c>
    </row>
    <row r="82" spans="13:27" x14ac:dyDescent="0.2">
      <c r="M82" s="265" t="str">
        <v>obj_0055b#0001</v>
      </c>
      <c r="N82" s="75" t="str">
        <f>_xll.qlRateHelperQuoteName(M82)</f>
        <v>GBPSM3L5Y_Quote</v>
      </c>
      <c r="O82" s="148">
        <f>_xll.qlRateHelperLatestDate(M82)</f>
        <v>43745</v>
      </c>
      <c r="P82" s="149">
        <f>_xll.qlRateHelperQuoteValue(M82)</f>
        <v>1.736E-2</v>
      </c>
      <c r="Q82" s="174" t="str">
        <f t="shared" si="11"/>
        <v>5Y</v>
      </c>
      <c r="R82" s="76" t="str">
        <f>_xll.qlSwapIndex(,FamilyName,Q82,NDays,Currency,Calendar,"6M","mf","actual/365 (fixed)",IborIndex,Discounting,,_xll.ohTrigger(Trigger,RecalcTrigger))</f>
        <v>obj_005bf#0001</v>
      </c>
      <c r="S82" s="149">
        <f>_xll.qlIndexFixing(R82,$X$19,TRUE,Trigger)</f>
        <v>1.7350174845998698E-2</v>
      </c>
      <c r="T82" s="278">
        <f t="shared" si="10"/>
        <v>-9.8251540013027938E-6</v>
      </c>
      <c r="W82" s="75" t="str">
        <f t="shared" si="7"/>
        <v>1D</v>
      </c>
      <c r="X82" s="148">
        <f>_xll.qlCalendarAdvance(Calendar,X81,W82,"f",FALSE)</f>
        <v>42011</v>
      </c>
      <c r="Y82" s="153">
        <f>_xll.qlCalendarAdvance(Calendar,X82,NDays&amp;"D")</f>
        <v>42011</v>
      </c>
      <c r="Z82" s="154">
        <v>6.5721500766147013E-3</v>
      </c>
      <c r="AA82" s="156">
        <v>5.8629234117024698E-3</v>
      </c>
    </row>
    <row r="83" spans="13:27" x14ac:dyDescent="0.2">
      <c r="M83" s="265" t="str">
        <v>obj_00558#0001</v>
      </c>
      <c r="N83" s="75" t="str">
        <f>_xll.qlRateHelperQuoteName(M83)</f>
        <v>GBPSM3L6Y_Quote</v>
      </c>
      <c r="O83" s="148">
        <f>_xll.qlRateHelperLatestDate(M83)</f>
        <v>44111</v>
      </c>
      <c r="P83" s="149">
        <f>_xll.qlRateHelperQuoteValue(M83)</f>
        <v>1.8620000000000001E-2</v>
      </c>
      <c r="Q83" s="174" t="str">
        <f t="shared" si="11"/>
        <v>6Y</v>
      </c>
      <c r="R83" s="76" t="str">
        <f>_xll.qlSwapIndex(,FamilyName,Q83,NDays,Currency,Calendar,"6M","mf","actual/365 (fixed)",IborIndex,Discounting,,_xll.ohTrigger(Trigger,RecalcTrigger))</f>
        <v>obj_005bd#0001</v>
      </c>
      <c r="S83" s="149">
        <f>_xll.qlIndexFixing(R83,$X$19,TRUE,Trigger)</f>
        <v>1.8612318735819495E-2</v>
      </c>
      <c r="T83" s="278">
        <f t="shared" si="10"/>
        <v>-7.6812641805062976E-6</v>
      </c>
      <c r="W83" s="75" t="str">
        <f t="shared" si="7"/>
        <v>1D</v>
      </c>
      <c r="X83" s="148">
        <f>_xll.qlCalendarAdvance(Calendar,X82,W83,"f",FALSE)</f>
        <v>42012</v>
      </c>
      <c r="Y83" s="153">
        <f>_xll.qlCalendarAdvance(Calendar,X83,NDays&amp;"D")</f>
        <v>42012</v>
      </c>
      <c r="Z83" s="154">
        <v>6.5882379403932297E-3</v>
      </c>
      <c r="AA83" s="156">
        <v>5.878253252012966E-3</v>
      </c>
    </row>
    <row r="84" spans="13:27" x14ac:dyDescent="0.2">
      <c r="M84" s="265" t="str">
        <v>obj_0054f#0001</v>
      </c>
      <c r="N84" s="75" t="str">
        <f>_xll.qlRateHelperQuoteName(M84)</f>
        <v>GBPSM3L7Y_Quote</v>
      </c>
      <c r="O84" s="148">
        <f>_xll.qlRateHelperLatestDate(M84)</f>
        <v>44476</v>
      </c>
      <c r="P84" s="149">
        <f>_xll.qlRateHelperQuoteValue(M84)</f>
        <v>1.9689999999999999E-2</v>
      </c>
      <c r="Q84" s="174" t="str">
        <f t="shared" si="11"/>
        <v>7Y</v>
      </c>
      <c r="R84" s="76" t="str">
        <f>_xll.qlSwapIndex(,FamilyName,Q84,NDays,Currency,Calendar,"6M","mf","actual/365 (fixed)",IborIndex,Discounting,,_xll.ohTrigger(Trigger,RecalcTrigger))</f>
        <v>obj_005c0#0001</v>
      </c>
      <c r="S84" s="149">
        <f>_xll.qlIndexFixing(R84,$X$19,TRUE,Trigger)</f>
        <v>1.9694576196012756E-2</v>
      </c>
      <c r="T84" s="278">
        <f t="shared" si="10"/>
        <v>4.5761960127572998E-6</v>
      </c>
      <c r="W84" s="75" t="str">
        <f t="shared" si="7"/>
        <v>1D</v>
      </c>
      <c r="X84" s="148">
        <f>_xll.qlCalendarAdvance(Calendar,X83,W84,"f",FALSE)</f>
        <v>42013</v>
      </c>
      <c r="Y84" s="153">
        <f>_xll.qlCalendarAdvance(Calendar,X84,NDays&amp;"D")</f>
        <v>42013</v>
      </c>
      <c r="Z84" s="154">
        <v>6.6043413549295871E-3</v>
      </c>
      <c r="AA84" s="156">
        <v>5.9090644655135369E-3</v>
      </c>
    </row>
    <row r="85" spans="13:27" x14ac:dyDescent="0.2">
      <c r="M85" s="265" t="str">
        <v>obj_00546#0001</v>
      </c>
      <c r="N85" s="75" t="str">
        <f>_xll.qlRateHelperQuoteName(M85)</f>
        <v>GBPSM3L8Y_Quote</v>
      </c>
      <c r="O85" s="148">
        <f>_xll.qlRateHelperLatestDate(M85)</f>
        <v>44841</v>
      </c>
      <c r="P85" s="149">
        <f>_xll.qlRateHelperQuoteValue(M85)</f>
        <v>2.06E-2</v>
      </c>
      <c r="Q85" s="174" t="str">
        <f t="shared" si="11"/>
        <v>8Y</v>
      </c>
      <c r="R85" s="76" t="str">
        <f>_xll.qlSwapIndex(,FamilyName,Q85,NDays,Currency,Calendar,"6M","mf","actual/365 (fixed)",IborIndex,Discounting,,_xll.ohTrigger(Trigger,RecalcTrigger))</f>
        <v>obj_005b7#0001</v>
      </c>
      <c r="S85" s="149">
        <f>_xll.qlIndexFixing(R85,$X$19,TRUE,Trigger)</f>
        <v>2.0601792059363029E-2</v>
      </c>
      <c r="T85" s="278">
        <f t="shared" si="10"/>
        <v>1.7920593630288417E-6</v>
      </c>
      <c r="W85" s="75" t="str">
        <f t="shared" ref="W85:W148" si="12">W84</f>
        <v>1D</v>
      </c>
      <c r="X85" s="148">
        <f>_xll.qlCalendarAdvance(Calendar,X84,W85,"f",FALSE)</f>
        <v>42016</v>
      </c>
      <c r="Y85" s="153">
        <f>_xll.qlCalendarAdvance(Calendar,X85,NDays&amp;"D")</f>
        <v>42016</v>
      </c>
      <c r="Z85" s="154">
        <v>6.6610038264637407E-3</v>
      </c>
      <c r="AA85" s="156">
        <v>5.939740230984647E-3</v>
      </c>
    </row>
    <row r="86" spans="13:27" x14ac:dyDescent="0.2">
      <c r="M86" s="265" t="str">
        <v>obj_0053c#0001</v>
      </c>
      <c r="N86" s="75" t="str">
        <f>_xll.qlRateHelperQuoteName(M86)</f>
        <v>GBPSM3L9Y_Quote</v>
      </c>
      <c r="O86" s="148">
        <f>_xll.qlRateHelperLatestDate(M86)</f>
        <v>45208</v>
      </c>
      <c r="P86" s="149">
        <f>_xll.qlRateHelperQuoteValue(M86)</f>
        <v>2.1390000000000003E-2</v>
      </c>
      <c r="Q86" s="174" t="str">
        <f t="shared" si="11"/>
        <v>9Y</v>
      </c>
      <c r="R86" s="76" t="str">
        <f>_xll.qlSwapIndex(,FamilyName,Q86,NDays,Currency,Calendar,"6M","mf","actual/365 (fixed)",IborIndex,Discounting,,_xll.ohTrigger(Trigger,RecalcTrigger))</f>
        <v>obj_005ba#0001</v>
      </c>
      <c r="S86" s="149">
        <f>_xll.qlIndexFixing(R86,$X$19,TRUE,Trigger)</f>
        <v>2.1381536905890869E-2</v>
      </c>
      <c r="T86" s="278">
        <f t="shared" si="10"/>
        <v>-8.4630941091339007E-6</v>
      </c>
      <c r="W86" s="75" t="str">
        <f t="shared" si="12"/>
        <v>1D</v>
      </c>
      <c r="X86" s="148">
        <f>_xll.qlCalendarAdvance(Calendar,X85,W86,"f",FALSE)</f>
        <v>42017</v>
      </c>
      <c r="Y86" s="153">
        <f>_xll.qlCalendarAdvance(Calendar,X86,NDays&amp;"D")</f>
        <v>42017</v>
      </c>
      <c r="Z86" s="154">
        <v>6.6689093415109747E-3</v>
      </c>
      <c r="AA86" s="156">
        <v>5.9551538802005144E-3</v>
      </c>
    </row>
    <row r="87" spans="13:27" x14ac:dyDescent="0.2">
      <c r="M87" s="265" t="str">
        <v>obj_00545#0001</v>
      </c>
      <c r="N87" s="75" t="str">
        <f>_xll.qlRateHelperQuoteName(M87)</f>
        <v>GBPSM3L10Y_Quote</v>
      </c>
      <c r="O87" s="148">
        <f>_xll.qlRateHelperLatestDate(M87)</f>
        <v>45572</v>
      </c>
      <c r="P87" s="149">
        <f>_xll.qlRateHelperQuoteValue(M87)</f>
        <v>2.2090000000000002E-2</v>
      </c>
      <c r="Q87" s="174" t="str">
        <f t="shared" si="11"/>
        <v>10Y</v>
      </c>
      <c r="R87" s="76" t="str">
        <f>_xll.qlSwapIndex(,FamilyName,Q87,NDays,Currency,Calendar,"6M","mf","actual/365 (fixed)",IborIndex,Discounting,,_xll.ohTrigger(Trigger,RecalcTrigger))</f>
        <v>obj_005c3#0001</v>
      </c>
      <c r="S87" s="149">
        <f>_xll.qlIndexFixing(R87,$X$19,TRUE,Trigger)</f>
        <v>2.2076353893092801E-2</v>
      </c>
      <c r="T87" s="278">
        <f t="shared" si="10"/>
        <v>-1.3646106907200944E-5</v>
      </c>
      <c r="W87" s="75" t="str">
        <f t="shared" si="12"/>
        <v>1D</v>
      </c>
      <c r="X87" s="148">
        <f>_xll.qlCalendarAdvance(Calendar,X86,W87,"f",FALSE)</f>
        <v>42018</v>
      </c>
      <c r="Y87" s="153">
        <f>_xll.qlCalendarAdvance(Calendar,X87,NDays&amp;"D")</f>
        <v>42018</v>
      </c>
      <c r="Z87" s="154">
        <v>6.6850896254648674E-3</v>
      </c>
      <c r="AA87" s="156">
        <v>5.9705842912460838E-3</v>
      </c>
    </row>
    <row r="88" spans="13:27" x14ac:dyDescent="0.2">
      <c r="M88" s="265" t="str">
        <v>obj_00548#0001</v>
      </c>
      <c r="N88" s="75" t="str">
        <f>_xll.qlRateHelperQuoteName(M88)</f>
        <v>GBPSM3L11Y_Quote</v>
      </c>
      <c r="O88" s="148">
        <f>_xll.qlRateHelperLatestDate(M88)</f>
        <v>45937</v>
      </c>
      <c r="P88" s="149">
        <f>_xll.qlRateHelperQuoteValue(M88)</f>
        <v>2.2729999999999997E-2</v>
      </c>
      <c r="Q88" s="174" t="str">
        <f t="shared" si="11"/>
        <v>11Y</v>
      </c>
      <c r="R88" s="76" t="str">
        <f>_xll.qlSwapIndex(,FamilyName,Q88,NDays,Currency,Calendar,"6M","mf","actual/365 (fixed)",IborIndex,Discounting,,_xll.ohTrigger(Trigger,RecalcTrigger))</f>
        <v>obj_005b9#0001</v>
      </c>
      <c r="S88" s="149">
        <f>_xll.qlIndexFixing(R88,$X$19,TRUE,Trigger)</f>
        <v>2.2714177017588981E-2</v>
      </c>
      <c r="T88" s="278">
        <f t="shared" si="10"/>
        <v>-1.582298241101579E-5</v>
      </c>
      <c r="W88" s="75" t="str">
        <f t="shared" si="12"/>
        <v>1D</v>
      </c>
      <c r="X88" s="148">
        <f>_xll.qlCalendarAdvance(Calendar,X87,W88,"f",FALSE)</f>
        <v>42019</v>
      </c>
      <c r="Y88" s="153">
        <f>_xll.qlCalendarAdvance(Calendar,X88,NDays&amp;"D")</f>
        <v>42019</v>
      </c>
      <c r="Z88" s="154">
        <v>6.7012851064194795E-3</v>
      </c>
      <c r="AA88" s="156">
        <v>5.9860314641213552E-3</v>
      </c>
    </row>
    <row r="89" spans="13:27" x14ac:dyDescent="0.2">
      <c r="M89" s="265" t="str">
        <v>obj_00556#0001</v>
      </c>
      <c r="N89" s="75" t="str">
        <f>_xll.qlRateHelperQuoteName(M89)</f>
        <v>GBPSM3L12Y_Quote</v>
      </c>
      <c r="O89" s="148">
        <f>_xll.qlRateHelperLatestDate(M89)</f>
        <v>46302</v>
      </c>
      <c r="P89" s="149">
        <f>_xll.qlRateHelperQuoteValue(M89)</f>
        <v>2.3300000000000001E-2</v>
      </c>
      <c r="Q89" s="174" t="str">
        <f t="shared" si="11"/>
        <v>12Y</v>
      </c>
      <c r="R89" s="76" t="str">
        <f>_xll.qlSwapIndex(,FamilyName,Q89,NDays,Currency,Calendar,"6M","mf","actual/365 (fixed)",IborIndex,Discounting,,_xll.ohTrigger(Trigger,RecalcTrigger))</f>
        <v>obj_005c5#0001</v>
      </c>
      <c r="S89" s="149">
        <f>_xll.qlIndexFixing(R89,$X$19,TRUE,Trigger)</f>
        <v>2.328866556410877E-2</v>
      </c>
      <c r="T89" s="278">
        <f t="shared" si="10"/>
        <v>-1.1334435891231093E-5</v>
      </c>
      <c r="W89" s="75" t="str">
        <f t="shared" si="12"/>
        <v>1D</v>
      </c>
      <c r="X89" s="148">
        <f>_xll.qlCalendarAdvance(Calendar,X88,W89,"f",FALSE)</f>
        <v>42020</v>
      </c>
      <c r="Y89" s="153">
        <f>_xll.qlCalendarAdvance(Calendar,X89,NDays&amp;"D")</f>
        <v>42020</v>
      </c>
      <c r="Z89" s="154">
        <v>6.7174957254127416E-3</v>
      </c>
      <c r="AA89" s="156">
        <v>6.0170808720738664E-3</v>
      </c>
    </row>
    <row r="90" spans="13:27" x14ac:dyDescent="0.2">
      <c r="M90" s="265" t="str">
        <v>obj_00563#0001</v>
      </c>
      <c r="N90" s="75" t="str">
        <f>_xll.qlRateHelperQuoteName(M90)</f>
        <v>GBPSM3L15Y_Quote</v>
      </c>
      <c r="O90" s="148">
        <f>_xll.qlRateHelperLatestDate(M90)</f>
        <v>47399</v>
      </c>
      <c r="P90" s="149">
        <f>_xll.qlRateHelperQuoteValue(M90)</f>
        <v>2.4649999999999998E-2</v>
      </c>
      <c r="Q90" s="174" t="str">
        <f t="shared" si="11"/>
        <v>15Y</v>
      </c>
      <c r="R90" s="76" t="str">
        <f>_xll.qlSwapIndex(,FamilyName,Q90,NDays,Currency,Calendar,"6M","mf","actual/365 (fixed)",IborIndex,Discounting,,_xll.ohTrigger(Trigger,RecalcTrigger))</f>
        <v>obj_005c9#0001</v>
      </c>
      <c r="S90" s="149">
        <f>_xll.qlIndexFixing(R90,$X$19,TRUE,Trigger)</f>
        <v>2.4643619814431299E-2</v>
      </c>
      <c r="T90" s="278">
        <f t="shared" si="10"/>
        <v>-6.3801855686995701E-6</v>
      </c>
      <c r="W90" s="75" t="str">
        <f t="shared" si="12"/>
        <v>1D</v>
      </c>
      <c r="X90" s="148">
        <f>_xll.qlCalendarAdvance(Calendar,X89,W90,"f",FALSE)</f>
        <v>42023</v>
      </c>
      <c r="Y90" s="153">
        <f>_xll.qlCalendarAdvance(Calendar,X90,NDays&amp;"D")</f>
        <v>42023</v>
      </c>
      <c r="Z90" s="154">
        <v>6.7745281166891732E-3</v>
      </c>
      <c r="AA90" s="156">
        <v>6.0479877735952758E-3</v>
      </c>
    </row>
    <row r="91" spans="13:27" x14ac:dyDescent="0.2">
      <c r="M91" s="265" t="str">
        <v>obj_0053e#0001</v>
      </c>
      <c r="N91" s="75" t="str">
        <f>_xll.qlRateHelperQuoteName(M91)</f>
        <v>GBPSM3L20Y_Quote</v>
      </c>
      <c r="O91" s="148">
        <f>_xll.qlRateHelperLatestDate(M91)</f>
        <v>49226</v>
      </c>
      <c r="P91" s="149">
        <f>_xll.qlRateHelperQuoteValue(M91)</f>
        <v>2.597E-2</v>
      </c>
      <c r="Q91" s="174" t="str">
        <f t="shared" si="11"/>
        <v>20Y</v>
      </c>
      <c r="R91" s="76" t="str">
        <f>_xll.qlSwapIndex(,FamilyName,Q91,NDays,Currency,Calendar,"6M","mf","actual/365 (fixed)",IborIndex,Discounting,,_xll.ohTrigger(Trigger,RecalcTrigger))</f>
        <v>obj_005b6#0001</v>
      </c>
      <c r="S91" s="149">
        <f>_xll.qlIndexFixing(R91,$X$19,TRUE,Trigger)</f>
        <v>2.5956363563170468E-2</v>
      </c>
      <c r="T91" s="278">
        <f t="shared" si="10"/>
        <v>-1.3636436829531778E-5</v>
      </c>
      <c r="W91" s="75" t="str">
        <f t="shared" si="12"/>
        <v>1D</v>
      </c>
      <c r="X91" s="148">
        <f>_xll.qlCalendarAdvance(Calendar,X90,W91,"f",FALSE)</f>
        <v>42024</v>
      </c>
      <c r="Y91" s="153">
        <f>_xll.qlCalendarAdvance(Calendar,X91,NDays&amp;"D")</f>
        <v>42024</v>
      </c>
      <c r="Z91" s="154">
        <v>6.7824884024912692E-3</v>
      </c>
      <c r="AA91" s="156">
        <v>6.0635187554569647E-3</v>
      </c>
    </row>
    <row r="92" spans="13:27" x14ac:dyDescent="0.2">
      <c r="M92" s="265" t="str">
        <v>obj_0055f#0001</v>
      </c>
      <c r="N92" s="75" t="str">
        <f>_xll.qlRateHelperQuoteName(M92)</f>
        <v>GBPSM3L25Y_Quote</v>
      </c>
      <c r="O92" s="148">
        <f>_xll.qlRateHelperLatestDate(M92)</f>
        <v>51050</v>
      </c>
      <c r="P92" s="149">
        <f>_xll.qlRateHelperQuoteValue(M92)</f>
        <v>2.6450000000000001E-2</v>
      </c>
      <c r="Q92" s="174" t="str">
        <f t="shared" si="11"/>
        <v>25Y</v>
      </c>
      <c r="R92" s="76" t="str">
        <f>_xll.qlSwapIndex(,FamilyName,Q92,NDays,Currency,Calendar,"6M","mf","actual/365 (fixed)",IborIndex,Discounting,,_xll.ohTrigger(Trigger,RecalcTrigger))</f>
        <v>obj_005c6#0001</v>
      </c>
      <c r="S92" s="149">
        <f>_xll.qlIndexFixing(R92,$X$19,TRUE,Trigger)</f>
        <v>2.6436585670684704E-2</v>
      </c>
      <c r="T92" s="278">
        <f t="shared" si="10"/>
        <v>-1.3414329315297041E-5</v>
      </c>
      <c r="W92" s="75" t="str">
        <f t="shared" si="12"/>
        <v>1D</v>
      </c>
      <c r="X92" s="148">
        <f>_xll.qlCalendarAdvance(Calendar,X91,W92,"f",FALSE)</f>
        <v>42025</v>
      </c>
      <c r="Y92" s="153">
        <f>_xll.qlCalendarAdvance(Calendar,X92,NDays&amp;"D")</f>
        <v>42025</v>
      </c>
      <c r="Z92" s="154">
        <v>6.7987738272116127E-3</v>
      </c>
      <c r="AA92" s="156">
        <v>6.0790664992294019E-3</v>
      </c>
    </row>
    <row r="93" spans="13:27" x14ac:dyDescent="0.2">
      <c r="M93" s="265" t="str">
        <v>obj_00562#0001</v>
      </c>
      <c r="N93" s="75" t="str">
        <f>_xll.qlRateHelperQuoteName(M93)</f>
        <v>GBPSM3L30Y_Quote</v>
      </c>
      <c r="O93" s="148">
        <f>_xll.qlRateHelperLatestDate(M93)</f>
        <v>52877</v>
      </c>
      <c r="P93" s="149">
        <f>_xll.qlRateHelperQuoteValue(M93)</f>
        <v>2.6669999999999999E-2</v>
      </c>
      <c r="Q93" s="174" t="str">
        <f t="shared" si="11"/>
        <v>30Y</v>
      </c>
      <c r="R93" s="76" t="str">
        <f>_xll.qlSwapIndex(,FamilyName,Q93,NDays,Currency,Calendar,"6M","mf","actual/365 (fixed)",IborIndex,Discounting,,_xll.ohTrigger(Trigger,RecalcTrigger))</f>
        <v>obj_005c2#0001</v>
      </c>
      <c r="S93" s="149">
        <f>_xll.qlIndexFixing(R93,$X$19,TRUE,Trigger)</f>
        <v>2.6661778309325559E-2</v>
      </c>
      <c r="T93" s="278">
        <f t="shared" si="10"/>
        <v>-8.2216906744404794E-6</v>
      </c>
      <c r="W93" s="75" t="str">
        <f t="shared" si="12"/>
        <v>1D</v>
      </c>
      <c r="X93" s="148">
        <f>_xll.qlCalendarAdvance(Calendar,X92,W93,"f",FALSE)</f>
        <v>42026</v>
      </c>
      <c r="Y93" s="153">
        <f>_xll.qlCalendarAdvance(Calendar,X93,NDays&amp;"D")</f>
        <v>42026</v>
      </c>
      <c r="Z93" s="154">
        <v>6.8150740361783771E-3</v>
      </c>
      <c r="AA93" s="156">
        <v>6.0946310047504948E-3</v>
      </c>
    </row>
    <row r="94" spans="13:27" x14ac:dyDescent="0.2">
      <c r="M94" s="265" t="str">
        <v>obj_00540#0001</v>
      </c>
      <c r="N94" s="75" t="str">
        <f>_xll.qlRateHelperQuoteName(M94)</f>
        <v>GBPSM3L40Y_Quote</v>
      </c>
      <c r="O94" s="148">
        <f>_xll.qlRateHelperLatestDate(M94)</f>
        <v>56529</v>
      </c>
      <c r="P94" s="149">
        <f>_xll.qlRateHelperQuoteValue(M94)</f>
        <v>2.665E-2</v>
      </c>
      <c r="Q94" s="174" t="str">
        <f t="shared" si="11"/>
        <v>40Y</v>
      </c>
      <c r="R94" s="76" t="str">
        <f>_xll.qlSwapIndex(,FamilyName,Q94,NDays,Currency,Calendar,"6M","mf","actual/365 (fixed)",IborIndex,Discounting,,_xll.ohTrigger(Trigger,RecalcTrigger))</f>
        <v>obj_005b5#0001</v>
      </c>
      <c r="S94" s="149">
        <f>_xll.qlIndexFixing(R94,$X$19,TRUE,Trigger)</f>
        <v>2.6639543148183752E-2</v>
      </c>
      <c r="T94" s="278">
        <f t="shared" si="10"/>
        <v>-1.0456851816248447E-5</v>
      </c>
      <c r="W94" s="75" t="str">
        <f t="shared" si="12"/>
        <v>1D</v>
      </c>
      <c r="X94" s="148">
        <f>_xll.qlCalendarAdvance(Calendar,X93,W94,"f",FALSE)</f>
        <v>42027</v>
      </c>
      <c r="Y94" s="153">
        <f>_xll.qlCalendarAdvance(Calendar,X94,NDays&amp;"D")</f>
        <v>42027</v>
      </c>
      <c r="Z94" s="154">
        <v>6.8313889704240873E-3</v>
      </c>
      <c r="AA94" s="156">
        <v>6.1259186988453047E-3</v>
      </c>
    </row>
    <row r="95" spans="13:27" x14ac:dyDescent="0.2">
      <c r="M95" s="265" t="str">
        <v>obj_0055e#0001</v>
      </c>
      <c r="N95" s="75" t="str">
        <f>_xll.qlRateHelperQuoteName(M95)</f>
        <v>GBPSM3L50Y_Quote</v>
      </c>
      <c r="O95" s="148">
        <f>_xll.qlRateHelperLatestDate(M95)</f>
        <v>60182</v>
      </c>
      <c r="P95" s="149">
        <f>_xll.qlRateHelperQuoteValue(M95)</f>
        <v>2.6720000000000001E-2</v>
      </c>
      <c r="Q95" s="174" t="str">
        <f t="shared" si="11"/>
        <v>50Y</v>
      </c>
      <c r="R95" s="76" t="str">
        <f>_xll.qlSwapIndex(,FamilyName,Q95,NDays,Currency,Calendar,"6M","mf","actual/365 (fixed)",IborIndex,Discounting,,_xll.ohTrigger(Trigger,RecalcTrigger))</f>
        <v>obj_005c8#0001</v>
      </c>
      <c r="S95" s="149">
        <f>_xll.qlIndexFixing(R95,$X$19,TRUE,Trigger)</f>
        <v>2.6712223718380949E-2</v>
      </c>
      <c r="T95" s="278">
        <f t="shared" si="10"/>
        <v>-7.7762816190520001E-6</v>
      </c>
      <c r="W95" s="75" t="str">
        <f t="shared" si="12"/>
        <v>1D</v>
      </c>
      <c r="X95" s="148">
        <f>_xll.qlCalendarAdvance(Calendar,X94,W95,"f",FALSE)</f>
        <v>42030</v>
      </c>
      <c r="Y95" s="153">
        <f>_xll.qlCalendarAdvance(Calendar,X95,NDays&amp;"D")</f>
        <v>42030</v>
      </c>
      <c r="Z95" s="154">
        <v>6.8887808514546296E-3</v>
      </c>
      <c r="AA95" s="156">
        <v>6.1570566451318864E-3</v>
      </c>
    </row>
    <row r="96" spans="13:27" x14ac:dyDescent="0.2">
      <c r="M96" s="265" t="str">
        <v>obj_00544#0001</v>
      </c>
      <c r="N96" s="75" t="str">
        <f>_xll.qlRateHelperQuoteName(M96)</f>
        <v>GBPSM3L60Y_Quote</v>
      </c>
      <c r="O96" s="148">
        <f>_xll.qlRateHelperLatestDate(M96)</f>
        <v>63835</v>
      </c>
      <c r="P96" s="149">
        <f>_xll.qlRateHelperQuoteValue(M96)</f>
        <v>2.69E-2</v>
      </c>
      <c r="Q96" s="174" t="str">
        <f t="shared" si="11"/>
        <v>60Y</v>
      </c>
      <c r="R96" s="76" t="str">
        <f>_xll.qlSwapIndex(,FamilyName,Q96,NDays,Currency,Calendar,"6M","mf","actual/365 (fixed)",IborIndex,Discounting,,_xll.ohTrigger(Trigger,RecalcTrigger))</f>
        <v>obj_005b8#0001</v>
      </c>
      <c r="S96" s="149">
        <f>_xll.qlIndexFixing(R96,$X$19,TRUE,Trigger)</f>
        <v>2.6892358957855762E-2</v>
      </c>
      <c r="T96" s="278">
        <f t="shared" si="10"/>
        <v>-7.6410421442386911E-6</v>
      </c>
      <c r="W96" s="75" t="str">
        <f t="shared" si="12"/>
        <v>1D</v>
      </c>
      <c r="X96" s="148">
        <f>_xll.qlCalendarAdvance(Calendar,X95,W96,"f",FALSE)</f>
        <v>42031</v>
      </c>
      <c r="Y96" s="153">
        <f>_xll.qlCalendarAdvance(Calendar,X96,NDays&amp;"D")</f>
        <v>42031</v>
      </c>
      <c r="Z96" s="154">
        <v>6.8967947808073167E-3</v>
      </c>
      <c r="AA96" s="156">
        <v>6.1727049598825356E-3</v>
      </c>
    </row>
    <row r="97" spans="13:27" x14ac:dyDescent="0.2">
      <c r="M97" s="265" t="e">
        <v>#N/A</v>
      </c>
      <c r="N97" s="75" t="e">
        <f>_xll.qlRateHelperQuoteName(M97)</f>
        <v>#VALUE!</v>
      </c>
      <c r="O97" s="148" t="e">
        <f>_xll.qlRateHelperLatestDate(M97)</f>
        <v>#VALUE!</v>
      </c>
      <c r="P97" s="149" t="e">
        <f>_xll.qlRateHelperQuoteValue(M97)</f>
        <v>#VALUE!</v>
      </c>
      <c r="Q97" s="174" t="e">
        <f t="shared" si="11"/>
        <v>#VALUE!</v>
      </c>
      <c r="R97" s="76" t="e">
        <f>_xll.qlSwapIndex(,FamilyName,Q97,NDays,Currency,Calendar,"6M","mf","actual/365 (fixed)",IborIndex,Discounting,,_xll.ohTrigger(Trigger,RecalcTrigger))</f>
        <v>#VALUE!</v>
      </c>
      <c r="S97" s="149" t="e">
        <f>_xll.qlIndexFixing(R97,$X$19,TRUE,Trigger)</f>
        <v>#VALUE!</v>
      </c>
      <c r="T97" s="278" t="e">
        <f t="shared" si="10"/>
        <v>#VALUE!</v>
      </c>
      <c r="W97" s="75" t="str">
        <f t="shared" si="12"/>
        <v>1D</v>
      </c>
      <c r="X97" s="148">
        <f>_xll.qlCalendarAdvance(Calendar,X96,W97,"f",FALSE)</f>
        <v>42032</v>
      </c>
      <c r="Y97" s="153">
        <f>_xll.qlCalendarAdvance(Calendar,X97,NDays&amp;"D")</f>
        <v>42032</v>
      </c>
      <c r="Z97" s="154">
        <v>6.9131824568996469E-3</v>
      </c>
      <c r="AA97" s="156">
        <v>6.1883700363818406E-3</v>
      </c>
    </row>
    <row r="98" spans="13:27" x14ac:dyDescent="0.2">
      <c r="M98" s="265" t="e">
        <v>#N/A</v>
      </c>
      <c r="N98" s="75" t="e">
        <f>_xll.qlRateHelperQuoteName(M98)</f>
        <v>#VALUE!</v>
      </c>
      <c r="O98" s="148" t="e">
        <f>_xll.qlRateHelperLatestDate(M98)</f>
        <v>#VALUE!</v>
      </c>
      <c r="P98" s="149" t="e">
        <f>_xll.qlRateHelperQuoteValue(M98)</f>
        <v>#VALUE!</v>
      </c>
      <c r="Q98" s="174" t="e">
        <f t="shared" si="11"/>
        <v>#VALUE!</v>
      </c>
      <c r="R98" s="76" t="e">
        <f>_xll.qlSwapIndex(,FamilyName,Q98,NDays,Currency,Calendar,"6M","mf","actual/365 (fixed)",IborIndex,Discounting,,_xll.ohTrigger(Trigger,RecalcTrigger))</f>
        <v>#VALUE!</v>
      </c>
      <c r="S98" s="149" t="e">
        <f>_xll.qlIndexFixing(R98,$X$19,TRUE,Trigger)</f>
        <v>#VALUE!</v>
      </c>
      <c r="T98" s="150" t="e">
        <f t="shared" si="10"/>
        <v>#VALUE!</v>
      </c>
      <c r="W98" s="75" t="str">
        <f t="shared" si="12"/>
        <v>1D</v>
      </c>
      <c r="X98" s="148">
        <f>_xll.qlCalendarAdvance(Calendar,X97,W98,"f",FALSE)</f>
        <v>42033</v>
      </c>
      <c r="Y98" s="153">
        <f>_xll.qlCalendarAdvance(Calendar,X98,NDays&amp;"D")</f>
        <v>42033</v>
      </c>
      <c r="Z98" s="154">
        <v>6.929584504445376E-3</v>
      </c>
      <c r="AA98" s="156">
        <v>6.2040518746298012E-3</v>
      </c>
    </row>
    <row r="99" spans="13:27" x14ac:dyDescent="0.2">
      <c r="M99" s="265" t="e">
        <v>#N/A</v>
      </c>
      <c r="N99" s="75" t="e">
        <f>_xll.qlRateHelperQuoteName(M99)</f>
        <v>#VALUE!</v>
      </c>
      <c r="O99" s="148" t="e">
        <f>_xll.qlRateHelperLatestDate(M99)</f>
        <v>#VALUE!</v>
      </c>
      <c r="P99" s="149" t="e">
        <f>_xll.qlRateHelperQuoteValue(M99)</f>
        <v>#VALUE!</v>
      </c>
      <c r="Q99" s="174" t="e">
        <f t="shared" si="11"/>
        <v>#VALUE!</v>
      </c>
      <c r="R99" s="76" t="e">
        <f>_xll.qlSwapIndex(,FamilyName,Q99,NDays,Currency,Calendar,"6M","mf","actual/365 (fixed)",IborIndex,Discounting,,_xll.ohTrigger(Trigger,RecalcTrigger))</f>
        <v>#VALUE!</v>
      </c>
      <c r="S99" s="149" t="e">
        <f>_xll.qlIndexFixing(R99,$X$19,TRUE,Trigger)</f>
        <v>#VALUE!</v>
      </c>
      <c r="T99" s="150" t="e">
        <f t="shared" si="10"/>
        <v>#VALUE!</v>
      </c>
      <c r="W99" s="75" t="str">
        <f t="shared" si="12"/>
        <v>1D</v>
      </c>
      <c r="X99" s="148">
        <f>_xll.qlCalendarAdvance(Calendar,X98,W99,"f",FALSE)</f>
        <v>42034</v>
      </c>
      <c r="Y99" s="153">
        <f>_xll.qlCalendarAdvance(Calendar,X99,NDays&amp;"D")</f>
        <v>42034</v>
      </c>
      <c r="Z99" s="154">
        <v>6.9460008644734268E-3</v>
      </c>
      <c r="AA99" s="156">
        <v>6.2355779480971494E-3</v>
      </c>
    </row>
    <row r="100" spans="13:27" x14ac:dyDescent="0.2">
      <c r="M100" s="265" t="e">
        <v>#N/A</v>
      </c>
      <c r="N100" s="75" t="e">
        <f>_xll.qlRateHelperQuoteName(M100)</f>
        <v>#VALUE!</v>
      </c>
      <c r="O100" s="148" t="e">
        <f>_xll.qlRateHelperLatestDate(M100)</f>
        <v>#VALUE!</v>
      </c>
      <c r="P100" s="149" t="e">
        <f>_xll.qlRateHelperQuoteValue(M100)</f>
        <v>#VALUE!</v>
      </c>
      <c r="Q100" s="174" t="e">
        <f t="shared" si="11"/>
        <v>#VALUE!</v>
      </c>
      <c r="R100" s="76" t="e">
        <f>_xll.qlSwapIndex(,FamilyName,Q100,NDays,Currency,Calendar,"6M","mf","actual/365 (fixed)",IborIndex,Discounting,,_xll.ohTrigger(Trigger,RecalcTrigger))</f>
        <v>#VALUE!</v>
      </c>
      <c r="S100" s="149" t="e">
        <f>_xll.qlIndexFixing(R100,$X$19,TRUE,Trigger)</f>
        <v>#VALUE!</v>
      </c>
      <c r="T100" s="150" t="e">
        <f t="shared" si="10"/>
        <v>#VALUE!</v>
      </c>
      <c r="W100" s="75" t="str">
        <f t="shared" si="12"/>
        <v>1D</v>
      </c>
      <c r="X100" s="148">
        <f>_xll.qlCalendarAdvance(Calendar,X99,W100,"f",FALSE)</f>
        <v>42037</v>
      </c>
      <c r="Y100" s="153">
        <f>_xll.qlCalendarAdvance(Calendar,X100,NDays&amp;"D")</f>
        <v>42037</v>
      </c>
      <c r="Z100" s="154">
        <v>7.0121531728819346E-3</v>
      </c>
      <c r="AA100" s="156">
        <v>6.2669468464049416E-3</v>
      </c>
    </row>
    <row r="101" spans="13:27" x14ac:dyDescent="0.2">
      <c r="M101" s="265" t="e">
        <v>#N/A</v>
      </c>
      <c r="N101" s="75" t="e">
        <f>_xll.qlRateHelperQuoteName(M101)</f>
        <v>#VALUE!</v>
      </c>
      <c r="O101" s="148" t="e">
        <f>_xll.qlRateHelperLatestDate(M101)</f>
        <v>#VALUE!</v>
      </c>
      <c r="P101" s="149" t="e">
        <f>_xll.qlRateHelperQuoteValue(M101)</f>
        <v>#VALUE!</v>
      </c>
      <c r="Q101" s="174" t="e">
        <f t="shared" si="11"/>
        <v>#VALUE!</v>
      </c>
      <c r="R101" s="76" t="e">
        <f>_xll.qlSwapIndex(,FamilyName,Q101,NDays,Currency,Calendar,"6M","mf","actual/365 (fixed)",IborIndex,Discounting,,_xll.ohTrigger(Trigger,RecalcTrigger))</f>
        <v>#VALUE!</v>
      </c>
      <c r="S101" s="149" t="e">
        <f>_xll.qlIndexFixing(R101,$X$19,TRUE,Trigger)</f>
        <v>#VALUE!</v>
      </c>
      <c r="T101" s="150" t="e">
        <f t="shared" si="10"/>
        <v>#VALUE!</v>
      </c>
      <c r="W101" s="75" t="str">
        <f t="shared" si="12"/>
        <v>1D</v>
      </c>
      <c r="X101" s="148">
        <f>_xll.qlCalendarAdvance(Calendar,X100,W101,"f",FALSE)</f>
        <v>42038</v>
      </c>
      <c r="Y101" s="153">
        <f>_xll.qlCalendarAdvance(Calendar,X101,NDays&amp;"D")</f>
        <v>42038</v>
      </c>
      <c r="Z101" s="154">
        <v>7.0202217181692204E-3</v>
      </c>
      <c r="AA101" s="156">
        <v>6.2827124939635048E-3</v>
      </c>
    </row>
    <row r="102" spans="13:27" x14ac:dyDescent="0.2">
      <c r="M102" s="265" t="e">
        <v>#N/A</v>
      </c>
      <c r="N102" s="75" t="e">
        <f>_xll.qlRateHelperQuoteName(M102)</f>
        <v>#VALUE!</v>
      </c>
      <c r="O102" s="148" t="e">
        <f>_xll.qlRateHelperLatestDate(M102)</f>
        <v>#VALUE!</v>
      </c>
      <c r="P102" s="149" t="e">
        <f>_xll.qlRateHelperQuoteValue(M102)</f>
        <v>#VALUE!</v>
      </c>
      <c r="Q102" s="174" t="e">
        <f t="shared" si="11"/>
        <v>#VALUE!</v>
      </c>
      <c r="R102" s="76" t="e">
        <f>_xll.qlSwapIndex(,FamilyName,Q102,NDays,Currency,Calendar,"6M","mf","actual/365 (fixed)",IborIndex,Discounting,,_xll.ohTrigger(Trigger,RecalcTrigger))</f>
        <v>#VALUE!</v>
      </c>
      <c r="S102" s="149" t="e">
        <f>_xll.qlIndexFixing(R102,$X$19,TRUE,Trigger)</f>
        <v>#VALUE!</v>
      </c>
      <c r="T102" s="150" t="e">
        <f t="shared" si="10"/>
        <v>#VALUE!</v>
      </c>
      <c r="W102" s="75" t="str">
        <f t="shared" si="12"/>
        <v>1D</v>
      </c>
      <c r="X102" s="148">
        <f>_xll.qlCalendarAdvance(Calendar,X101,W102,"f",FALSE)</f>
        <v>42039</v>
      </c>
      <c r="Y102" s="153">
        <f>_xll.qlCalendarAdvance(Calendar,X102,NDays&amp;"D")</f>
        <v>42039</v>
      </c>
      <c r="Z102" s="154">
        <v>7.028295287684401E-3</v>
      </c>
      <c r="AA102" s="156">
        <v>6.2984949033517701E-3</v>
      </c>
    </row>
    <row r="103" spans="13:27" x14ac:dyDescent="0.2">
      <c r="M103" s="265" t="e">
        <v>#N/A</v>
      </c>
      <c r="N103" s="75" t="e">
        <f>_xll.qlRateHelperQuoteName(M103)</f>
        <v>#VALUE!</v>
      </c>
      <c r="O103" s="148" t="e">
        <f>_xll.qlRateHelperLatestDate(M103)</f>
        <v>#VALUE!</v>
      </c>
      <c r="P103" s="149" t="e">
        <f>_xll.qlRateHelperQuoteValue(M103)</f>
        <v>#VALUE!</v>
      </c>
      <c r="Q103" s="174" t="e">
        <f t="shared" si="11"/>
        <v>#VALUE!</v>
      </c>
      <c r="R103" s="76" t="e">
        <f>_xll.qlSwapIndex(,FamilyName,Q103,NDays,Currency,Calendar,"6M","mf","actual/365 (fixed)",IborIndex,Discounting,,_xll.ohTrigger(Trigger,RecalcTrigger))</f>
        <v>#VALUE!</v>
      </c>
      <c r="S103" s="149" t="e">
        <f>_xll.qlIndexFixing(R103,$X$19,TRUE,Trigger)</f>
        <v>#VALUE!</v>
      </c>
      <c r="T103" s="150" t="e">
        <f t="shared" si="10"/>
        <v>#VALUE!</v>
      </c>
      <c r="W103" s="75" t="str">
        <f t="shared" si="12"/>
        <v>1D</v>
      </c>
      <c r="X103" s="148">
        <f>_xll.qlCalendarAdvance(Calendar,X102,W103,"f",FALSE)</f>
        <v>42040</v>
      </c>
      <c r="Y103" s="153">
        <f>_xll.qlCalendarAdvance(Calendar,X103,NDays&amp;"D")</f>
        <v>42040</v>
      </c>
      <c r="Z103" s="154">
        <v>7.036373871276886E-3</v>
      </c>
      <c r="AA103" s="156">
        <v>6.3142940746507836E-3</v>
      </c>
    </row>
    <row r="104" spans="13:27" x14ac:dyDescent="0.2">
      <c r="M104" s="265" t="e">
        <v>#N/A</v>
      </c>
      <c r="N104" s="75" t="e">
        <f>_xll.qlRateHelperQuoteName(M104)</f>
        <v>#VALUE!</v>
      </c>
      <c r="O104" s="148" t="e">
        <f>_xll.qlRateHelperLatestDate(M104)</f>
        <v>#VALUE!</v>
      </c>
      <c r="P104" s="149" t="e">
        <f>_xll.qlRateHelperQuoteValue(M104)</f>
        <v>#VALUE!</v>
      </c>
      <c r="Q104" s="174" t="e">
        <f t="shared" si="11"/>
        <v>#VALUE!</v>
      </c>
      <c r="R104" s="76" t="e">
        <f>_xll.qlSwapIndex(,FamilyName,Q104,NDays,Currency,Calendar,"6M","mf","actual/365 (fixed)",IborIndex,Discounting,,_xll.ohTrigger(Trigger,RecalcTrigger))</f>
        <v>#VALUE!</v>
      </c>
      <c r="S104" s="149" t="e">
        <f>_xll.qlIndexFixing(R104,$X$19,TRUE,Trigger)</f>
        <v>#VALUE!</v>
      </c>
      <c r="T104" s="150" t="e">
        <f t="shared" si="10"/>
        <v>#VALUE!</v>
      </c>
      <c r="W104" s="75" t="str">
        <f t="shared" si="12"/>
        <v>1D</v>
      </c>
      <c r="X104" s="148">
        <f>_xll.qlCalendarAdvance(Calendar,X103,W104,"f",FALSE)</f>
        <v>42041</v>
      </c>
      <c r="Y104" s="153">
        <f>_xll.qlCalendarAdvance(Calendar,X104,NDays&amp;"D")</f>
        <v>42041</v>
      </c>
      <c r="Z104" s="154">
        <v>7.0528821632166085E-3</v>
      </c>
      <c r="AA104" s="156">
        <v>6.3460586219906325E-3</v>
      </c>
    </row>
    <row r="105" spans="13:27" x14ac:dyDescent="0.2">
      <c r="M105" s="265" t="e">
        <v>#N/A</v>
      </c>
      <c r="N105" s="75" t="e">
        <f>_xll.qlRateHelperQuoteName(M105)</f>
        <v>#VALUE!</v>
      </c>
      <c r="O105" s="148" t="e">
        <f>_xll.qlRateHelperLatestDate(M105)</f>
        <v>#VALUE!</v>
      </c>
      <c r="P105" s="149" t="e">
        <f>_xll.qlRateHelperQuoteValue(M105)</f>
        <v>#VALUE!</v>
      </c>
      <c r="Q105" s="174" t="e">
        <f t="shared" si="11"/>
        <v>#VALUE!</v>
      </c>
      <c r="R105" s="76" t="e">
        <f>_xll.qlSwapIndex(,FamilyName,Q105,NDays,Currency,Calendar,"6M","mf","actual/365 (fixed)",IborIndex,Discounting,,_xll.ohTrigger(Trigger,RecalcTrigger))</f>
        <v>#VALUE!</v>
      </c>
      <c r="S105" s="149" t="e">
        <f>_xll.qlIndexFixing(R105,$X$19,TRUE,Trigger)</f>
        <v>#VALUE!</v>
      </c>
      <c r="T105" s="150" t="e">
        <f t="shared" si="10"/>
        <v>#VALUE!</v>
      </c>
      <c r="W105" s="75" t="str">
        <f t="shared" si="12"/>
        <v>1D</v>
      </c>
      <c r="X105" s="148">
        <f>_xll.qlCalendarAdvance(Calendar,X104,W105,"f",FALSE)</f>
        <v>42044</v>
      </c>
      <c r="Y105" s="153">
        <f>_xll.qlCalendarAdvance(Calendar,X105,NDays&amp;"D")</f>
        <v>42044</v>
      </c>
      <c r="Z105" s="154">
        <v>7.1193916397678785E-3</v>
      </c>
      <c r="AA105" s="156">
        <v>6.3776583780628116E-3</v>
      </c>
    </row>
    <row r="106" spans="13:27" x14ac:dyDescent="0.2">
      <c r="M106" s="265" t="e">
        <v>#N/A</v>
      </c>
      <c r="N106" s="75" t="e">
        <f>_xll.qlRateHelperQuoteName(M106)</f>
        <v>#VALUE!</v>
      </c>
      <c r="O106" s="148" t="e">
        <f>_xll.qlRateHelperLatestDate(M106)</f>
        <v>#VALUE!</v>
      </c>
      <c r="P106" s="149" t="e">
        <f>_xll.qlRateHelperQuoteValue(M106)</f>
        <v>#VALUE!</v>
      </c>
      <c r="Q106" s="174" t="e">
        <f t="shared" si="11"/>
        <v>#VALUE!</v>
      </c>
      <c r="R106" s="76" t="e">
        <f>_xll.qlSwapIndex(,FamilyName,Q106,NDays,Currency,Calendar,"6M","mf","actual/365 (fixed)",IborIndex,Discounting,,_xll.ohTrigger(Trigger,RecalcTrigger))</f>
        <v>#VALUE!</v>
      </c>
      <c r="S106" s="149" t="e">
        <f>_xll.qlIndexFixing(R106,$X$19,TRUE,Trigger)</f>
        <v>#VALUE!</v>
      </c>
      <c r="T106" s="150" t="e">
        <f t="shared" si="10"/>
        <v>#VALUE!</v>
      </c>
      <c r="W106" s="75" t="str">
        <f t="shared" si="12"/>
        <v>1D</v>
      </c>
      <c r="X106" s="148">
        <f>_xll.qlCalendarAdvance(Calendar,X105,W106,"f",FALSE)</f>
        <v>42045</v>
      </c>
      <c r="Y106" s="153">
        <f>_xll.qlCalendarAdvance(Calendar,X106,NDays&amp;"D")</f>
        <v>42045</v>
      </c>
      <c r="Z106" s="154">
        <v>7.1275085812345165E-3</v>
      </c>
      <c r="AA106" s="156">
        <v>6.3935413585913814E-3</v>
      </c>
    </row>
    <row r="107" spans="13:27" x14ac:dyDescent="0.2">
      <c r="M107" s="265" t="e">
        <v>#N/A</v>
      </c>
      <c r="N107" s="75" t="e">
        <f>_xll.qlRateHelperQuoteName(M107)</f>
        <v>#VALUE!</v>
      </c>
      <c r="O107" s="148" t="e">
        <f>_xll.qlRateHelperLatestDate(M107)</f>
        <v>#VALUE!</v>
      </c>
      <c r="P107" s="149" t="e">
        <f>_xll.qlRateHelperQuoteValue(M107)</f>
        <v>#VALUE!</v>
      </c>
      <c r="Q107" s="174" t="e">
        <f t="shared" si="11"/>
        <v>#VALUE!</v>
      </c>
      <c r="R107" s="76" t="e">
        <f>_xll.qlSwapIndex(,FamilyName,Q107,NDays,Currency,Calendar,"6M","mf","actual/365 (fixed)",IborIndex,Discounting,,_xll.ohTrigger(Trigger,RecalcTrigger))</f>
        <v>#VALUE!</v>
      </c>
      <c r="S107" s="149" t="e">
        <f>_xll.qlIndexFixing(R107,$X$19,TRUE,Trigger)</f>
        <v>#VALUE!</v>
      </c>
      <c r="T107" s="150" t="e">
        <f t="shared" si="10"/>
        <v>#VALUE!</v>
      </c>
      <c r="W107" s="75" t="str">
        <f t="shared" si="12"/>
        <v>1D</v>
      </c>
      <c r="X107" s="148">
        <f>_xll.qlCalendarAdvance(Calendar,X106,W107,"f",FALSE)</f>
        <v>42046</v>
      </c>
      <c r="Y107" s="153">
        <f>_xll.qlCalendarAdvance(Calendar,X107,NDays&amp;"D")</f>
        <v>42046</v>
      </c>
      <c r="Z107" s="154">
        <v>7.1356304123221933E-3</v>
      </c>
      <c r="AA107" s="156">
        <v>6.4094411009496532E-3</v>
      </c>
    </row>
    <row r="108" spans="13:27" x14ac:dyDescent="0.2">
      <c r="M108" s="265" t="e">
        <v>#N/A</v>
      </c>
      <c r="N108" s="75" t="e">
        <f>_xll.qlRateHelperQuoteName(M108)</f>
        <v>#VALUE!</v>
      </c>
      <c r="O108" s="148" t="e">
        <f>_xll.qlRateHelperLatestDate(M108)</f>
        <v>#VALUE!</v>
      </c>
      <c r="P108" s="149" t="e">
        <f>_xll.qlRateHelperQuoteValue(M108)</f>
        <v>#VALUE!</v>
      </c>
      <c r="Q108" s="174" t="e">
        <f t="shared" si="11"/>
        <v>#VALUE!</v>
      </c>
      <c r="R108" s="76" t="e">
        <f>_xll.qlSwapIndex(,FamilyName,Q108,NDays,Currency,Calendar,"6M","mf","actual/365 (fixed)",IborIndex,Discounting,,_xll.ohTrigger(Trigger,RecalcTrigger))</f>
        <v>#VALUE!</v>
      </c>
      <c r="S108" s="149" t="e">
        <f>_xll.qlIndexFixing(R108,$X$19,TRUE,Trigger)</f>
        <v>#VALUE!</v>
      </c>
      <c r="T108" s="150" t="e">
        <f t="shared" si="10"/>
        <v>#VALUE!</v>
      </c>
      <c r="W108" s="75" t="str">
        <f t="shared" si="12"/>
        <v>1D</v>
      </c>
      <c r="X108" s="148">
        <f>_xll.qlCalendarAdvance(Calendar,X107,W108,"f",FALSE)</f>
        <v>42047</v>
      </c>
      <c r="Y108" s="153">
        <f>_xll.qlCalendarAdvance(Calendar,X108,NDays&amp;"D")</f>
        <v>42047</v>
      </c>
      <c r="Z108" s="154">
        <v>7.1522210024919323E-3</v>
      </c>
      <c r="AA108" s="156">
        <v>6.4253576052186734E-3</v>
      </c>
    </row>
    <row r="109" spans="13:27" x14ac:dyDescent="0.2">
      <c r="M109" s="265" t="e">
        <v>#N/A</v>
      </c>
      <c r="N109" s="75" t="e">
        <f>_xll.qlRateHelperQuoteName(M109)</f>
        <v>#VALUE!</v>
      </c>
      <c r="O109" s="148" t="e">
        <f>_xll.qlRateHelperLatestDate(M109)</f>
        <v>#VALUE!</v>
      </c>
      <c r="P109" s="149" t="e">
        <f>_xll.qlRateHelperQuoteValue(M109)</f>
        <v>#VALUE!</v>
      </c>
      <c r="Q109" s="174" t="e">
        <f t="shared" si="11"/>
        <v>#VALUE!</v>
      </c>
      <c r="R109" s="76" t="e">
        <f>_xll.qlSwapIndex(,FamilyName,Q109,NDays,Currency,Calendar,"6M","mf","actual/365 (fixed)",IborIndex,Discounting,,_xll.ohTrigger(Trigger,RecalcTrigger))</f>
        <v>#VALUE!</v>
      </c>
      <c r="S109" s="149" t="e">
        <f>_xll.qlIndexFixing(R109,$X$19,TRUE,Trigger)</f>
        <v>#VALUE!</v>
      </c>
      <c r="T109" s="150" t="e">
        <f t="shared" si="10"/>
        <v>#VALUE!</v>
      </c>
      <c r="W109" s="75" t="str">
        <f t="shared" si="12"/>
        <v>1D</v>
      </c>
      <c r="X109" s="148">
        <f>_xll.qlCalendarAdvance(Calendar,X108,W109,"f",FALSE)</f>
        <v>42048</v>
      </c>
      <c r="Y109" s="153">
        <f>_xll.qlCalendarAdvance(Calendar,X109,NDays&amp;"D")</f>
        <v>42048</v>
      </c>
      <c r="Z109" s="154">
        <v>7.1688251002637367E-3</v>
      </c>
      <c r="AA109" s="156">
        <v>6.4573607227680361E-3</v>
      </c>
    </row>
    <row r="110" spans="13:27" x14ac:dyDescent="0.2">
      <c r="M110" s="265" t="e">
        <v>#N/A</v>
      </c>
      <c r="N110" s="75" t="e">
        <f>_xll.qlRateHelperQuoteName(M110)</f>
        <v>#VALUE!</v>
      </c>
      <c r="O110" s="148" t="e">
        <f>_xll.qlRateHelperLatestDate(M110)</f>
        <v>#VALUE!</v>
      </c>
      <c r="P110" s="149" t="e">
        <f>_xll.qlRateHelperQuoteValue(M110)</f>
        <v>#VALUE!</v>
      </c>
      <c r="Q110" s="174" t="e">
        <f t="shared" si="11"/>
        <v>#VALUE!</v>
      </c>
      <c r="R110" s="76" t="e">
        <f>_xll.qlSwapIndex(,FamilyName,Q110,NDays,Currency,Calendar,"6M","mf","actual/365 (fixed)",IborIndex,Discounting,,_xll.ohTrigger(Trigger,RecalcTrigger))</f>
        <v>#VALUE!</v>
      </c>
      <c r="S110" s="149" t="e">
        <f>_xll.qlIndexFixing(R110,$X$19,TRUE,Trigger)</f>
        <v>#VALUE!</v>
      </c>
      <c r="T110" s="150" t="e">
        <f t="shared" si="10"/>
        <v>#VALUE!</v>
      </c>
      <c r="W110" s="75" t="str">
        <f t="shared" si="12"/>
        <v>1D</v>
      </c>
      <c r="X110" s="148">
        <f>_xll.qlCalendarAdvance(Calendar,X109,W110,"f",FALSE)</f>
        <v>42051</v>
      </c>
      <c r="Y110" s="153">
        <f>_xll.qlCalendarAdvance(Calendar,X110,NDays&amp;"D")</f>
        <v>42051</v>
      </c>
      <c r="Z110" s="154">
        <v>7.2357096810776672E-3</v>
      </c>
      <c r="AA110" s="156">
        <v>6.4891912409159591E-3</v>
      </c>
    </row>
    <row r="111" spans="13:27" ht="12" thickBot="1" x14ac:dyDescent="0.25">
      <c r="M111" s="266" t="e">
        <v>#N/A</v>
      </c>
      <c r="N111" s="78" t="e">
        <f>_xll.qlRateHelperQuoteName(M111)</f>
        <v>#VALUE!</v>
      </c>
      <c r="O111" s="171" t="e">
        <f>_xll.qlRateHelperLatestDate(M111)</f>
        <v>#VALUE!</v>
      </c>
      <c r="P111" s="173" t="e">
        <f>_xll.qlRateHelperQuoteValue(M111)</f>
        <v>#VALUE!</v>
      </c>
      <c r="Q111" s="271" t="e">
        <f t="shared" si="11"/>
        <v>#VALUE!</v>
      </c>
      <c r="R111" s="79" t="e">
        <f>_xll.qlSwapIndex(,FamilyName,Q111,NDays,Currency,Calendar,"6M","mf","actual/365 (fixed)",IborIndex,Discounting,,_xll.ohTrigger(Trigger,RecalcTrigger))</f>
        <v>#VALUE!</v>
      </c>
      <c r="S111" s="173" t="e">
        <f>_xll.qlIndexFixing(R111,$X$19,TRUE,Trigger)</f>
        <v>#VALUE!</v>
      </c>
      <c r="T111" s="272" t="e">
        <f t="shared" si="10"/>
        <v>#VALUE!</v>
      </c>
      <c r="W111" s="75" t="str">
        <f t="shared" si="12"/>
        <v>1D</v>
      </c>
      <c r="X111" s="148">
        <f>_xll.qlCalendarAdvance(Calendar,X110,W111,"f",FALSE)</f>
        <v>42052</v>
      </c>
      <c r="Y111" s="153">
        <f>_xll.qlCalendarAdvance(Calendar,X111,NDays&amp;"D")</f>
        <v>42052</v>
      </c>
      <c r="Z111" s="154">
        <v>7.2438755444020281E-3</v>
      </c>
      <c r="AA111" s="156">
        <v>6.5051915545766281E-3</v>
      </c>
    </row>
    <row r="112" spans="13:27" x14ac:dyDescent="0.2">
      <c r="S112" s="1"/>
      <c r="T112" s="117"/>
      <c r="W112" s="75" t="str">
        <f t="shared" si="12"/>
        <v>1D</v>
      </c>
      <c r="X112" s="148">
        <f>_xll.qlCalendarAdvance(Calendar,X111,W112,"f",FALSE)</f>
        <v>42053</v>
      </c>
      <c r="Y112" s="153">
        <f>_xll.qlCalendarAdvance(Calendar,X112,NDays&amp;"D")</f>
        <v>42053</v>
      </c>
      <c r="Z112" s="154">
        <v>7.2520461153378043E-3</v>
      </c>
      <c r="AA112" s="156">
        <v>6.5212086299859529E-3</v>
      </c>
    </row>
    <row r="113" spans="19:27" x14ac:dyDescent="0.2">
      <c r="S113" s="1"/>
      <c r="T113" s="117"/>
      <c r="W113" s="75" t="str">
        <f t="shared" si="12"/>
        <v>1D</v>
      </c>
      <c r="X113" s="148">
        <f>_xll.qlCalendarAdvance(Calendar,X112,W113,"f",FALSE)</f>
        <v>42054</v>
      </c>
      <c r="Y113" s="153">
        <f>_xll.qlCalendarAdvance(Calendar,X113,NDays&amp;"D")</f>
        <v>42054</v>
      </c>
      <c r="Z113" s="154">
        <v>7.268730006023333E-3</v>
      </c>
      <c r="AA113" s="156">
        <v>6.5372424673870722E-3</v>
      </c>
    </row>
    <row r="114" spans="19:27" x14ac:dyDescent="0.2">
      <c r="S114" s="1"/>
      <c r="T114" s="117"/>
      <c r="W114" s="75" t="str">
        <f t="shared" si="12"/>
        <v>1D</v>
      </c>
      <c r="X114" s="148">
        <f>_xll.qlCalendarAdvance(Calendar,X113,W114,"f",FALSE)</f>
        <v>42055</v>
      </c>
      <c r="Y114" s="153">
        <f>_xll.qlCalendarAdvance(Calendar,X114,NDays&amp;"D")</f>
        <v>42055</v>
      </c>
      <c r="Z114" s="154">
        <v>7.2854269867368131E-3</v>
      </c>
      <c r="AA114" s="156">
        <v>6.5694842527256698E-3</v>
      </c>
    </row>
    <row r="115" spans="19:27" x14ac:dyDescent="0.2">
      <c r="S115" s="1"/>
      <c r="T115" s="117"/>
      <c r="W115" s="75" t="str">
        <f t="shared" si="12"/>
        <v>1D</v>
      </c>
      <c r="X115" s="148">
        <f>_xll.qlCalendarAdvance(Calendar,X114,W115,"f",FALSE)</f>
        <v>42058</v>
      </c>
      <c r="Y115" s="153">
        <f>_xll.qlCalendarAdvance(Calendar,X115,NDays&amp;"D")</f>
        <v>42058</v>
      </c>
      <c r="Z115" s="154">
        <v>7.3612225884988561E-3</v>
      </c>
      <c r="AA115" s="156">
        <v>6.6015454356938008E-3</v>
      </c>
    </row>
    <row r="116" spans="19:27" x14ac:dyDescent="0.2">
      <c r="S116" s="1"/>
      <c r="T116" s="117"/>
      <c r="W116" s="75" t="str">
        <f t="shared" si="12"/>
        <v>1D</v>
      </c>
      <c r="X116" s="148">
        <f>_xll.qlCalendarAdvance(Calendar,X115,W116,"f",FALSE)</f>
        <v>42059</v>
      </c>
      <c r="Y116" s="153">
        <f>_xll.qlCalendarAdvance(Calendar,X116,NDays&amp;"D")</f>
        <v>42059</v>
      </c>
      <c r="Z116" s="154">
        <v>7.3694374022957023E-3</v>
      </c>
      <c r="AA116" s="156">
        <v>6.6176630825676153E-3</v>
      </c>
    </row>
    <row r="117" spans="19:27" x14ac:dyDescent="0.2">
      <c r="S117" s="1"/>
      <c r="T117" s="117"/>
      <c r="W117" s="75" t="str">
        <f t="shared" si="12"/>
        <v>1D</v>
      </c>
      <c r="X117" s="148">
        <f>_xll.qlCalendarAdvance(Calendar,X116,W117,"f",FALSE)</f>
        <v>42060</v>
      </c>
      <c r="Y117" s="153">
        <f>_xll.qlCalendarAdvance(Calendar,X117,NDays&amp;"D")</f>
        <v>42060</v>
      </c>
      <c r="Z117" s="154">
        <v>7.3776566890704593E-3</v>
      </c>
      <c r="AA117" s="156">
        <v>6.6337974911900854E-3</v>
      </c>
    </row>
    <row r="118" spans="19:27" x14ac:dyDescent="0.2">
      <c r="S118" s="1"/>
      <c r="T118" s="117"/>
      <c r="W118" s="75" t="str">
        <f t="shared" si="12"/>
        <v>1D</v>
      </c>
      <c r="X118" s="148">
        <f>_xll.qlCalendarAdvance(Calendar,X117,W118,"f",FALSE)</f>
        <v>42061</v>
      </c>
      <c r="Y118" s="153">
        <f>_xll.qlCalendarAdvance(Calendar,X118,NDays&amp;"D")</f>
        <v>42061</v>
      </c>
      <c r="Z118" s="154">
        <v>7.3858804207776957E-3</v>
      </c>
      <c r="AA118" s="156">
        <v>6.6499486618043502E-3</v>
      </c>
    </row>
    <row r="119" spans="19:27" x14ac:dyDescent="0.2">
      <c r="S119" s="1"/>
      <c r="T119" s="117"/>
      <c r="W119" s="75" t="str">
        <f t="shared" si="12"/>
        <v>1D</v>
      </c>
      <c r="X119" s="148">
        <f>_xll.qlCalendarAdvance(Calendar,X118,W119,"f",FALSE)</f>
        <v>42062</v>
      </c>
      <c r="Y119" s="153">
        <f>_xll.qlCalendarAdvance(Calendar,X119,NDays&amp;"D")</f>
        <v>42062</v>
      </c>
      <c r="Z119" s="154">
        <v>7.4197975466355455E-3</v>
      </c>
      <c r="AA119" s="156">
        <v>6.6824292141058157E-3</v>
      </c>
    </row>
    <row r="120" spans="19:27" x14ac:dyDescent="0.2">
      <c r="S120" s="1"/>
      <c r="T120" s="117"/>
      <c r="W120" s="75" t="str">
        <f t="shared" si="12"/>
        <v>1D</v>
      </c>
      <c r="X120" s="148">
        <f>_xll.qlCalendarAdvance(Calendar,X119,W120,"f",FALSE)</f>
        <v>42065</v>
      </c>
      <c r="Y120" s="153">
        <f>_xll.qlCalendarAdvance(Calendar,X120,NDays&amp;"D")</f>
        <v>42065</v>
      </c>
      <c r="Z120" s="154">
        <v>7.4788610049850148E-3</v>
      </c>
      <c r="AA120" s="156">
        <v>6.7147209631257532E-3</v>
      </c>
    </row>
    <row r="121" spans="19:27" x14ac:dyDescent="0.2">
      <c r="S121" s="1"/>
      <c r="T121" s="117"/>
      <c r="W121" s="75" t="str">
        <f t="shared" si="12"/>
        <v>1D</v>
      </c>
      <c r="X121" s="148">
        <f>_xll.qlCalendarAdvance(Calendar,X120,W121,"f",FALSE)</f>
        <v>42066</v>
      </c>
      <c r="Y121" s="153">
        <f>_xll.qlCalendarAdvance(Calendar,X121,NDays&amp;"D")</f>
        <v>42066</v>
      </c>
      <c r="Z121" s="154">
        <v>7.4957165859942214E-3</v>
      </c>
      <c r="AA121" s="156">
        <v>6.7309559432937593E-3</v>
      </c>
    </row>
    <row r="122" spans="19:27" x14ac:dyDescent="0.2">
      <c r="S122" s="1"/>
      <c r="T122" s="117"/>
      <c r="W122" s="75" t="str">
        <f t="shared" si="12"/>
        <v>1D</v>
      </c>
      <c r="X122" s="148">
        <f>_xll.qlCalendarAdvance(Calendar,X121,W122,"f",FALSE)</f>
        <v>42067</v>
      </c>
      <c r="Y122" s="153">
        <f>_xll.qlCalendarAdvance(Calendar,X122,NDays&amp;"D")</f>
        <v>42067</v>
      </c>
      <c r="Z122" s="154">
        <v>7.5125845170990954E-3</v>
      </c>
      <c r="AA122" s="156">
        <v>6.7472076852914675E-3</v>
      </c>
    </row>
    <row r="123" spans="19:27" x14ac:dyDescent="0.2">
      <c r="S123" s="1"/>
      <c r="T123" s="117"/>
      <c r="W123" s="75" t="str">
        <f t="shared" si="12"/>
        <v>1D</v>
      </c>
      <c r="X123" s="148">
        <f>_xll.qlCalendarAdvance(Calendar,X122,W123,"f",FALSE)</f>
        <v>42068</v>
      </c>
      <c r="Y123" s="153">
        <f>_xll.qlCalendarAdvance(Calendar,X123,NDays&amp;"D")</f>
        <v>42068</v>
      </c>
      <c r="Z123" s="154">
        <v>7.5294647405832341E-3</v>
      </c>
      <c r="AA123" s="156">
        <v>6.763476189199924E-3</v>
      </c>
    </row>
    <row r="124" spans="19:27" x14ac:dyDescent="0.2">
      <c r="S124" s="1"/>
      <c r="T124" s="117"/>
      <c r="W124" s="75" t="str">
        <f t="shared" si="12"/>
        <v>1D</v>
      </c>
      <c r="X124" s="148">
        <f>_xll.qlCalendarAdvance(Calendar,X123,W124,"f",FALSE)</f>
        <v>42069</v>
      </c>
      <c r="Y124" s="153">
        <f>_xll.qlCalendarAdvance(Calendar,X124,NDays&amp;"D")</f>
        <v>42069</v>
      </c>
      <c r="Z124" s="154">
        <v>7.5635991464986022E-3</v>
      </c>
      <c r="AA124" s="156">
        <v>6.7961956091507538E-3</v>
      </c>
    </row>
    <row r="125" spans="19:27" x14ac:dyDescent="0.2">
      <c r="S125" s="1"/>
      <c r="T125" s="117"/>
      <c r="W125" s="75" t="str">
        <f t="shared" si="12"/>
        <v>1D</v>
      </c>
      <c r="X125" s="148">
        <f>_xll.qlCalendarAdvance(Calendar,X124,W125,"f",FALSE)</f>
        <v>42072</v>
      </c>
      <c r="Y125" s="153">
        <f>_xll.qlCalendarAdvance(Calendar,X125,NDays&amp;"D")</f>
        <v>42072</v>
      </c>
      <c r="Z125" s="154">
        <v>7.5971074039808259E-3</v>
      </c>
      <c r="AA125" s="156">
        <v>6.8287178241033253E-3</v>
      </c>
    </row>
    <row r="126" spans="19:27" x14ac:dyDescent="0.2">
      <c r="S126" s="1"/>
      <c r="T126" s="117"/>
      <c r="W126" s="75" t="str">
        <f t="shared" si="12"/>
        <v>1D</v>
      </c>
      <c r="X126" s="148">
        <f>_xll.qlCalendarAdvance(Calendar,X125,W126,"f",FALSE)</f>
        <v>42073</v>
      </c>
      <c r="Y126" s="153">
        <f>_xll.qlCalendarAdvance(Calendar,X126,NDays&amp;"D")</f>
        <v>42073</v>
      </c>
      <c r="Z126" s="154">
        <v>7.6140482236020093E-3</v>
      </c>
      <c r="AA126" s="156">
        <v>6.8450701375655232E-3</v>
      </c>
    </row>
    <row r="127" spans="19:27" x14ac:dyDescent="0.2">
      <c r="S127" s="1"/>
      <c r="T127" s="117"/>
      <c r="W127" s="75" t="str">
        <f t="shared" si="12"/>
        <v>1D</v>
      </c>
      <c r="X127" s="148">
        <f>_xll.qlCalendarAdvance(Calendar,X126,W127,"f",FALSE)</f>
        <v>42074</v>
      </c>
      <c r="Y127" s="153">
        <f>_xll.qlCalendarAdvance(Calendar,X127,NDays&amp;"D")</f>
        <v>42074</v>
      </c>
      <c r="Z127" s="154">
        <v>7.6310009892943424E-3</v>
      </c>
      <c r="AA127" s="156">
        <v>6.8614392131005619E-3</v>
      </c>
    </row>
    <row r="128" spans="19:27" x14ac:dyDescent="0.2">
      <c r="S128" s="1"/>
      <c r="T128" s="117"/>
      <c r="W128" s="75" t="str">
        <f t="shared" si="12"/>
        <v>1D</v>
      </c>
      <c r="X128" s="148">
        <f>_xll.qlCalendarAdvance(Calendar,X127,W128,"f",FALSE)</f>
        <v>42075</v>
      </c>
      <c r="Y128" s="153">
        <f>_xll.qlCalendarAdvance(Calendar,X128,NDays&amp;"D")</f>
        <v>42075</v>
      </c>
      <c r="Z128" s="154">
        <v>7.6479656433334929E-3</v>
      </c>
      <c r="AA128" s="156">
        <v>6.8778250503842564E-3</v>
      </c>
    </row>
    <row r="129" spans="19:27" x14ac:dyDescent="0.2">
      <c r="S129" s="1"/>
      <c r="T129" s="117"/>
      <c r="W129" s="75" t="str">
        <f t="shared" si="12"/>
        <v>1D</v>
      </c>
      <c r="X129" s="148">
        <f>_xll.qlCalendarAdvance(Calendar,X128,W129,"f",FALSE)</f>
        <v>42076</v>
      </c>
      <c r="Y129" s="153">
        <f>_xll.qlCalendarAdvance(Calendar,X129,NDays&amp;"D")</f>
        <v>42076</v>
      </c>
      <c r="Z129" s="154">
        <v>7.6822700796824383E-3</v>
      </c>
      <c r="AA129" s="156">
        <v>6.9107834402648569E-3</v>
      </c>
    </row>
    <row r="130" spans="19:27" x14ac:dyDescent="0.2">
      <c r="S130" s="1"/>
      <c r="T130" s="117"/>
      <c r="W130" s="75" t="str">
        <f t="shared" si="12"/>
        <v>1D</v>
      </c>
      <c r="X130" s="148">
        <f>_xll.qlCalendarAdvance(Calendar,X129,W130,"f",FALSE)</f>
        <v>42079</v>
      </c>
      <c r="Y130" s="153">
        <f>_xll.qlCalendarAdvance(Calendar,X130,NDays&amp;"D")</f>
        <v>42079</v>
      </c>
      <c r="Z130" s="154">
        <v>7.7159419885068446E-3</v>
      </c>
      <c r="AA130" s="156">
        <v>6.9435360191938411E-3</v>
      </c>
    </row>
    <row r="131" spans="19:27" x14ac:dyDescent="0.2">
      <c r="S131" s="1"/>
      <c r="T131" s="117"/>
      <c r="W131" s="75" t="str">
        <f t="shared" si="12"/>
        <v>1D</v>
      </c>
      <c r="X131" s="148">
        <f>_xll.qlCalendarAdvance(Calendar,X130,W131,"f",FALSE)</f>
        <v>42080</v>
      </c>
      <c r="Y131" s="153">
        <f>_xll.qlCalendarAdvance(Calendar,X131,NDays&amp;"D")</f>
        <v>42080</v>
      </c>
      <c r="Z131" s="154">
        <v>7.7329652184318278E-3</v>
      </c>
      <c r="AA131" s="156">
        <v>6.9600047806006593E-3</v>
      </c>
    </row>
    <row r="132" spans="19:27" x14ac:dyDescent="0.2">
      <c r="S132" s="1"/>
      <c r="T132" s="117"/>
      <c r="W132" s="75" t="str">
        <f t="shared" si="12"/>
        <v>1D</v>
      </c>
      <c r="X132" s="148">
        <f>_xll.qlCalendarAdvance(Calendar,X131,W132,"f",FALSE)</f>
        <v>42081</v>
      </c>
      <c r="Y132" s="153">
        <f>_xll.qlCalendarAdvance(Calendar,X132,NDays&amp;"D")</f>
        <v>42081</v>
      </c>
      <c r="Z132" s="154">
        <v>7.7500000000021389E-3</v>
      </c>
      <c r="AA132" s="156">
        <v>6.9764858753063042E-3</v>
      </c>
    </row>
    <row r="133" spans="19:27" x14ac:dyDescent="0.2">
      <c r="S133" s="1"/>
      <c r="T133" s="117"/>
      <c r="W133" s="75" t="str">
        <f t="shared" si="12"/>
        <v>1D</v>
      </c>
      <c r="X133" s="148">
        <f>_xll.qlCalendarAdvance(Calendar,X132,W133,"f",FALSE)</f>
        <v>42082</v>
      </c>
      <c r="Y133" s="153">
        <f>_xll.qlCalendarAdvance(Calendar,X133,NDays&amp;"D")</f>
        <v>42082</v>
      </c>
      <c r="Z133" s="154">
        <v>7.7670463363239657E-3</v>
      </c>
      <c r="AA133" s="156">
        <v>6.9929784177991117E-3</v>
      </c>
    </row>
    <row r="134" spans="19:27" x14ac:dyDescent="0.2">
      <c r="S134" s="1"/>
      <c r="T134" s="117"/>
      <c r="W134" s="75" t="str">
        <f t="shared" si="12"/>
        <v>1D</v>
      </c>
      <c r="X134" s="148">
        <f>_xll.qlCalendarAdvance(Calendar,X133,W134,"f",FALSE)</f>
        <v>42083</v>
      </c>
      <c r="Y134" s="153">
        <f>_xll.qlCalendarAdvance(Calendar,X134,NDays&amp;"D")</f>
        <v>42083</v>
      </c>
      <c r="Z134" s="154">
        <v>7.8015187968355727E-3</v>
      </c>
      <c r="AA134" s="156">
        <v>7.0261369080023197E-3</v>
      </c>
    </row>
    <row r="135" spans="19:27" x14ac:dyDescent="0.2">
      <c r="S135" s="1"/>
      <c r="T135" s="117"/>
      <c r="W135" s="75" t="str">
        <f t="shared" si="12"/>
        <v>1D</v>
      </c>
      <c r="X135" s="148">
        <f>_xll.qlCalendarAdvance(Calendar,X134,W135,"f",FALSE)</f>
        <v>42086</v>
      </c>
      <c r="Y135" s="153">
        <f>_xll.qlCalendarAdvance(Calendar,X135,NDays&amp;"D")</f>
        <v>42086</v>
      </c>
      <c r="Z135" s="154">
        <v>7.8353486183636301E-3</v>
      </c>
      <c r="AA135" s="156">
        <v>7.0590630645883667E-3</v>
      </c>
    </row>
    <row r="136" spans="19:27" x14ac:dyDescent="0.2">
      <c r="S136" s="1"/>
      <c r="T136" s="117"/>
      <c r="W136" s="75" t="str">
        <f t="shared" si="12"/>
        <v>1D</v>
      </c>
      <c r="X136" s="148">
        <f>_xll.qlCalendarAdvance(Calendar,X135,W136,"f",FALSE)</f>
        <v>42087</v>
      </c>
      <c r="Y136" s="153">
        <f>_xll.qlCalendarAdvance(Calendar,X136,NDays&amp;"D")</f>
        <v>42087</v>
      </c>
      <c r="Z136" s="154">
        <v>7.8524538018922146E-3</v>
      </c>
      <c r="AA136" s="156">
        <v>7.0756128455307099E-3</v>
      </c>
    </row>
    <row r="137" spans="19:27" x14ac:dyDescent="0.2">
      <c r="S137" s="1"/>
      <c r="T137" s="117"/>
      <c r="W137" s="75" t="str">
        <f t="shared" si="12"/>
        <v>1D</v>
      </c>
      <c r="X137" s="148">
        <f>_xll.qlCalendarAdvance(Calendar,X136,W137,"f",FALSE)</f>
        <v>42088</v>
      </c>
      <c r="Y137" s="153">
        <f>_xll.qlCalendarAdvance(Calendar,X137,NDays&amp;"D")</f>
        <v>42088</v>
      </c>
      <c r="Z137" s="154">
        <v>7.8695709821670155E-3</v>
      </c>
      <c r="AA137" s="156">
        <v>7.0921740742602157E-3</v>
      </c>
    </row>
    <row r="138" spans="19:27" x14ac:dyDescent="0.2">
      <c r="S138" s="1"/>
      <c r="T138" s="117"/>
      <c r="W138" s="75" t="str">
        <f t="shared" si="12"/>
        <v>1D</v>
      </c>
      <c r="X138" s="148">
        <f>_xll.qlCalendarAdvance(Calendar,X137,W138,"f",FALSE)</f>
        <v>42089</v>
      </c>
      <c r="Y138" s="153">
        <f>_xll.qlCalendarAdvance(Calendar,X138,NDays&amp;"D")</f>
        <v>42089</v>
      </c>
      <c r="Z138" s="154">
        <v>7.8867002349574979E-3</v>
      </c>
      <c r="AA138" s="156">
        <v>7.1087467506147917E-3</v>
      </c>
    </row>
    <row r="139" spans="19:27" x14ac:dyDescent="0.2">
      <c r="S139" s="1"/>
      <c r="T139" s="117"/>
      <c r="W139" s="75" t="str">
        <f t="shared" si="12"/>
        <v>1D</v>
      </c>
      <c r="X139" s="148">
        <f>_xll.qlCalendarAdvance(Calendar,X138,W139,"f",FALSE)</f>
        <v>42090</v>
      </c>
      <c r="Y139" s="153">
        <f>_xll.qlCalendarAdvance(Calendar,X139,NDays&amp;"D")</f>
        <v>42090</v>
      </c>
      <c r="Z139" s="154">
        <v>7.9213486469351772E-3</v>
      </c>
      <c r="AA139" s="156">
        <v>7.1420700088253861E-3</v>
      </c>
    </row>
    <row r="140" spans="19:27" x14ac:dyDescent="0.2">
      <c r="S140" s="1"/>
      <c r="T140" s="117"/>
      <c r="W140" s="75" t="str">
        <f t="shared" si="12"/>
        <v>1D</v>
      </c>
      <c r="X140" s="148">
        <f>_xll.qlCalendarAdvance(Calendar,X139,W140,"f",FALSE)</f>
        <v>42093</v>
      </c>
      <c r="Y140" s="153">
        <f>_xll.qlCalendarAdvance(Calendar,X140,NDays&amp;"D")</f>
        <v>42093</v>
      </c>
      <c r="Z140" s="154">
        <v>7.9553394867482984E-3</v>
      </c>
      <c r="AA140" s="156">
        <v>7.1751519334184444E-3</v>
      </c>
    </row>
    <row r="141" spans="19:27" x14ac:dyDescent="0.2">
      <c r="S141" s="1"/>
      <c r="T141" s="117"/>
      <c r="W141" s="75" t="str">
        <f t="shared" si="12"/>
        <v>1D</v>
      </c>
      <c r="X141" s="148">
        <f>_xll.qlCalendarAdvance(Calendar,X140,W141,"f",FALSE)</f>
        <v>42094</v>
      </c>
      <c r="Y141" s="153">
        <f>_xll.qlCalendarAdvance(Calendar,X141,NDays&amp;"D")</f>
        <v>42094</v>
      </c>
      <c r="Z141" s="154">
        <v>7.9637564252163107E-3</v>
      </c>
      <c r="AA141" s="156">
        <v>7.1917818483846485E-3</v>
      </c>
    </row>
    <row r="142" spans="19:27" x14ac:dyDescent="0.2">
      <c r="S142" s="1"/>
      <c r="T142" s="117"/>
      <c r="W142" s="75" t="str">
        <f t="shared" si="12"/>
        <v>1D</v>
      </c>
      <c r="X142" s="148">
        <f>_xll.qlCalendarAdvance(Calendar,X141,W142,"f",FALSE)</f>
        <v>42095</v>
      </c>
      <c r="Y142" s="153">
        <f>_xll.qlCalendarAdvance(Calendar,X142,NDays&amp;"D")</f>
        <v>42095</v>
      </c>
      <c r="Z142" s="154">
        <v>7.980952638579555E-3</v>
      </c>
      <c r="AA142" s="156">
        <v>7.2084232111380153E-3</v>
      </c>
    </row>
    <row r="143" spans="19:27" x14ac:dyDescent="0.2">
      <c r="S143" s="1"/>
      <c r="T143" s="117"/>
      <c r="W143" s="75" t="str">
        <f t="shared" si="12"/>
        <v>1D</v>
      </c>
      <c r="X143" s="148">
        <f>_xll.qlCalendarAdvance(Calendar,X142,W143,"f",FALSE)</f>
        <v>42096</v>
      </c>
      <c r="Y143" s="153">
        <f>_xll.qlCalendarAdvance(Calendar,X143,NDays&amp;"D")</f>
        <v>42096</v>
      </c>
      <c r="Z143" s="154">
        <v>7.9981613889127112E-3</v>
      </c>
      <c r="AA143" s="156">
        <v>7.2587161219761498E-3</v>
      </c>
    </row>
    <row r="144" spans="19:27" x14ac:dyDescent="0.2">
      <c r="S144" s="1"/>
      <c r="T144" s="117"/>
      <c r="W144" s="75" t="str">
        <f t="shared" si="12"/>
        <v>1D</v>
      </c>
      <c r="X144" s="148">
        <f>_xll.qlCalendarAdvance(Calendar,X143,W144,"f",FALSE)</f>
        <v>42101</v>
      </c>
      <c r="Y144" s="153">
        <f>_xll.qlCalendarAdvance(Calendar,X144,NDays&amp;"D")</f>
        <v>42101</v>
      </c>
      <c r="Z144" s="154">
        <v>8.0843958764658785E-3</v>
      </c>
      <c r="AA144" s="156">
        <v>7.3085117896487528E-3</v>
      </c>
    </row>
    <row r="145" spans="19:27" x14ac:dyDescent="0.2">
      <c r="S145" s="1"/>
      <c r="T145" s="117"/>
      <c r="W145" s="75" t="str">
        <f t="shared" si="12"/>
        <v>1D</v>
      </c>
      <c r="X145" s="148">
        <f>_xll.qlCalendarAdvance(Calendar,X144,W145,"f",FALSE)</f>
        <v>42102</v>
      </c>
      <c r="Y145" s="153">
        <f>_xll.qlCalendarAdvance(Calendar,X145,NDays&amp;"D")</f>
        <v>42102</v>
      </c>
      <c r="Z145" s="154">
        <v>8.1016814574477406E-3</v>
      </c>
      <c r="AA145" s="156">
        <v>7.3252332864259806E-3</v>
      </c>
    </row>
    <row r="146" spans="19:27" x14ac:dyDescent="0.2">
      <c r="S146" s="1"/>
      <c r="T146" s="117"/>
      <c r="W146" s="75" t="str">
        <f t="shared" si="12"/>
        <v>1D</v>
      </c>
      <c r="X146" s="148">
        <f>_xll.qlCalendarAdvance(Calendar,X145,W146,"f",FALSE)</f>
        <v>42103</v>
      </c>
      <c r="Y146" s="153">
        <f>_xll.qlCalendarAdvance(Calendar,X146,NDays&amp;"D")</f>
        <v>42103</v>
      </c>
      <c r="Z146" s="154">
        <v>8.1189801116898774E-3</v>
      </c>
      <c r="AA146" s="156">
        <v>7.341966230990371E-3</v>
      </c>
    </row>
    <row r="147" spans="19:27" x14ac:dyDescent="0.2">
      <c r="S147" s="1"/>
      <c r="T147" s="117"/>
      <c r="W147" s="75" t="str">
        <f t="shared" si="12"/>
        <v>1D</v>
      </c>
      <c r="X147" s="148">
        <f>_xll.qlCalendarAdvance(Calendar,X146,W147,"f",FALSE)</f>
        <v>42104</v>
      </c>
      <c r="Y147" s="153">
        <f>_xll.qlCalendarAdvance(Calendar,X147,NDays&amp;"D")</f>
        <v>42104</v>
      </c>
      <c r="Z147" s="154">
        <v>8.136291915812199E-3</v>
      </c>
      <c r="AA147" s="156">
        <v>7.3756193143888673E-3</v>
      </c>
    </row>
    <row r="148" spans="19:27" x14ac:dyDescent="0.2">
      <c r="S148" s="1"/>
      <c r="T148" s="117"/>
      <c r="W148" s="75" t="str">
        <f t="shared" si="12"/>
        <v>1D</v>
      </c>
      <c r="X148" s="148">
        <f>_xll.qlCalendarAdvance(Calendar,X147,W148,"f",FALSE)</f>
        <v>42107</v>
      </c>
      <c r="Y148" s="153">
        <f>_xll.qlCalendarAdvance(Calendar,X148,NDays&amp;"D")</f>
        <v>42107</v>
      </c>
      <c r="Z148" s="154">
        <v>8.188306993669129E-3</v>
      </c>
      <c r="AA148" s="156">
        <v>7.4090124865522355E-3</v>
      </c>
    </row>
    <row r="149" spans="19:27" x14ac:dyDescent="0.2">
      <c r="S149" s="1"/>
      <c r="T149" s="117"/>
      <c r="W149" s="75" t="str">
        <f t="shared" ref="W149:W212" si="13">W148</f>
        <v>1D</v>
      </c>
      <c r="X149" s="148">
        <f>_xll.qlCalendarAdvance(Calendar,X148,W149,"f",FALSE)</f>
        <v>42108</v>
      </c>
      <c r="Y149" s="153">
        <f>_xll.qlCalendarAdvance(Calendar,X149,NDays&amp;"D")</f>
        <v>42108</v>
      </c>
      <c r="Z149" s="154">
        <v>8.2056721635299576E-3</v>
      </c>
      <c r="AA149" s="156">
        <v>7.4258026698093005E-3</v>
      </c>
    </row>
    <row r="150" spans="19:27" x14ac:dyDescent="0.2">
      <c r="S150" s="1"/>
      <c r="T150" s="117"/>
      <c r="W150" s="75" t="str">
        <f t="shared" si="13"/>
        <v>1D</v>
      </c>
      <c r="X150" s="148">
        <f>_xll.qlCalendarAdvance(Calendar,X149,W150,"f",FALSE)</f>
        <v>42109</v>
      </c>
      <c r="Y150" s="153">
        <f>_xll.qlCalendarAdvance(Calendar,X150,NDays&amp;"D")</f>
        <v>42109</v>
      </c>
      <c r="Z150" s="154">
        <v>8.2230508663865345E-3</v>
      </c>
      <c r="AA150" s="156">
        <v>7.4426043007724818E-3</v>
      </c>
    </row>
    <row r="151" spans="19:27" x14ac:dyDescent="0.2">
      <c r="S151" s="1"/>
      <c r="T151" s="117"/>
      <c r="W151" s="75" t="str">
        <f t="shared" si="13"/>
        <v>1D</v>
      </c>
      <c r="X151" s="148">
        <f>_xll.qlCalendarAdvance(Calendar,X150,W151,"f",FALSE)</f>
        <v>42110</v>
      </c>
      <c r="Y151" s="153">
        <f>_xll.qlCalendarAdvance(Calendar,X151,NDays&amp;"D")</f>
        <v>42110</v>
      </c>
      <c r="Z151" s="154">
        <v>8.240443178867676E-3</v>
      </c>
      <c r="AA151" s="156">
        <v>7.4594173796038721E-3</v>
      </c>
    </row>
    <row r="152" spans="19:27" x14ac:dyDescent="0.2">
      <c r="S152" s="1"/>
      <c r="T152" s="117"/>
      <c r="W152" s="75" t="str">
        <f t="shared" si="13"/>
        <v>1D</v>
      </c>
      <c r="X152" s="148">
        <f>_xll.qlCalendarAdvance(Calendar,X151,W152,"f",FALSE)</f>
        <v>42111</v>
      </c>
      <c r="Y152" s="153">
        <f>_xll.qlCalendarAdvance(Calendar,X152,NDays&amp;"D")</f>
        <v>42111</v>
      </c>
      <c r="Z152" s="154">
        <v>8.2578491776013011E-3</v>
      </c>
      <c r="AA152" s="156">
        <v>7.4932355223711342E-3</v>
      </c>
    </row>
    <row r="153" spans="19:27" x14ac:dyDescent="0.2">
      <c r="S153" s="1"/>
      <c r="T153" s="117"/>
      <c r="W153" s="75" t="str">
        <f t="shared" si="13"/>
        <v>1D</v>
      </c>
      <c r="X153" s="148">
        <f>_xll.qlCalendarAdvance(Calendar,X152,W153,"f",FALSE)</f>
        <v>42114</v>
      </c>
      <c r="Y153" s="153">
        <f>_xll.qlCalendarAdvance(Calendar,X153,NDays&amp;"D")</f>
        <v>42114</v>
      </c>
      <c r="Z153" s="154">
        <v>8.310150057633723E-3</v>
      </c>
      <c r="AA153" s="156">
        <v>7.526784171990597E-3</v>
      </c>
    </row>
    <row r="154" spans="19:27" x14ac:dyDescent="0.2">
      <c r="S154" s="1"/>
      <c r="T154" s="117"/>
      <c r="W154" s="75" t="str">
        <f t="shared" si="13"/>
        <v>1D</v>
      </c>
      <c r="X154" s="148">
        <f>_xll.qlCalendarAdvance(Calendar,X153,W154,"f",FALSE)</f>
        <v>42115</v>
      </c>
      <c r="Y154" s="153">
        <f>_xll.qlCalendarAdvance(Calendar,X154,NDays&amp;"D")</f>
        <v>42115</v>
      </c>
      <c r="Z154" s="154">
        <v>8.3276115677001564E-3</v>
      </c>
      <c r="AA154" s="156">
        <v>7.5436544895146618E-3</v>
      </c>
    </row>
    <row r="155" spans="19:27" x14ac:dyDescent="0.2">
      <c r="S155" s="1"/>
      <c r="T155" s="117"/>
      <c r="W155" s="75" t="str">
        <f t="shared" si="13"/>
        <v>1D</v>
      </c>
      <c r="X155" s="148">
        <f>_xll.qlCalendarAdvance(Calendar,X154,W155,"f",FALSE)</f>
        <v>42116</v>
      </c>
      <c r="Y155" s="153">
        <f>_xll.qlCalendarAdvance(Calendar,X155,NDays&amp;"D")</f>
        <v>42116</v>
      </c>
      <c r="Z155" s="154">
        <v>8.3450871471871888E-3</v>
      </c>
      <c r="AA155" s="156">
        <v>7.5605362547448429E-3</v>
      </c>
    </row>
    <row r="156" spans="19:27" x14ac:dyDescent="0.2">
      <c r="S156" s="1"/>
      <c r="T156" s="117"/>
      <c r="W156" s="75" t="str">
        <f t="shared" si="13"/>
        <v>1D</v>
      </c>
      <c r="X156" s="148">
        <f>_xll.qlCalendarAdvance(Calendar,X155,W156,"f",FALSE)</f>
        <v>42117</v>
      </c>
      <c r="Y156" s="153">
        <f>_xll.qlCalendarAdvance(Calendar,X156,NDays&amp;"D")</f>
        <v>42117</v>
      </c>
      <c r="Z156" s="154">
        <v>8.3625768727325373E-3</v>
      </c>
      <c r="AA156" s="156">
        <v>7.5774294676811405E-3</v>
      </c>
    </row>
    <row r="157" spans="19:27" x14ac:dyDescent="0.2">
      <c r="S157" s="1"/>
      <c r="T157" s="117"/>
      <c r="W157" s="75" t="str">
        <f t="shared" si="13"/>
        <v>1D</v>
      </c>
      <c r="X157" s="148">
        <f>_xll.qlCalendarAdvance(Calendar,X156,W157,"f",FALSE)</f>
        <v>42118</v>
      </c>
      <c r="Y157" s="153">
        <f>_xll.qlCalendarAdvance(Calendar,X157,NDays&amp;"D")</f>
        <v>42118</v>
      </c>
      <c r="Z157" s="154">
        <v>8.3800808209765956E-3</v>
      </c>
      <c r="AA157" s="156">
        <v>7.6114127693690161E-3</v>
      </c>
    </row>
    <row r="158" spans="19:27" x14ac:dyDescent="0.2">
      <c r="S158" s="1"/>
      <c r="T158" s="117"/>
      <c r="W158" s="75" t="str">
        <f t="shared" si="13"/>
        <v>1D</v>
      </c>
      <c r="X158" s="148">
        <f>_xll.qlCalendarAdvance(Calendar,X157,W158,"f",FALSE)</f>
        <v>42121</v>
      </c>
      <c r="Y158" s="153">
        <f>_xll.qlCalendarAdvance(Calendar,X158,NDays&amp;"D")</f>
        <v>42121</v>
      </c>
      <c r="Z158" s="154">
        <v>8.4326787683111672E-3</v>
      </c>
      <c r="AA158" s="156">
        <v>7.6451167972979572E-3</v>
      </c>
    </row>
    <row r="159" spans="19:27" x14ac:dyDescent="0.2">
      <c r="S159" s="1"/>
      <c r="T159" s="117"/>
      <c r="W159" s="75" t="str">
        <f t="shared" si="13"/>
        <v>1D</v>
      </c>
      <c r="X159" s="148">
        <f>_xll.qlCalendarAdvance(Calendar,X158,W159,"f",FALSE)</f>
        <v>42122</v>
      </c>
      <c r="Y159" s="153">
        <f>_xll.qlCalendarAdvance(Calendar,X159,NDays&amp;"D")</f>
        <v>42122</v>
      </c>
      <c r="Z159" s="154">
        <v>8.4502403737708922E-3</v>
      </c>
      <c r="AA159" s="156">
        <v>7.6620672491700681E-3</v>
      </c>
    </row>
    <row r="160" spans="19:27" x14ac:dyDescent="0.2">
      <c r="S160" s="1"/>
      <c r="T160" s="117"/>
      <c r="W160" s="75" t="str">
        <f t="shared" si="13"/>
        <v>1D</v>
      </c>
      <c r="X160" s="148">
        <f>_xll.qlCalendarAdvance(Calendar,X159,W160,"f",FALSE)</f>
        <v>42123</v>
      </c>
      <c r="Y160" s="153">
        <f>_xll.qlCalendarAdvance(Calendar,X160,NDays&amp;"D")</f>
        <v>42123</v>
      </c>
      <c r="Z160" s="154">
        <v>8.4678165851473156E-3</v>
      </c>
      <c r="AA160" s="156">
        <v>7.6790291487482953E-3</v>
      </c>
    </row>
    <row r="161" spans="19:27" x14ac:dyDescent="0.2">
      <c r="S161" s="1"/>
      <c r="T161" s="117"/>
      <c r="W161" s="75" t="str">
        <f t="shared" si="13"/>
        <v>1D</v>
      </c>
      <c r="X161" s="148">
        <f>_xll.qlCalendarAdvance(Calendar,X160,W161,"f",FALSE)</f>
        <v>42124</v>
      </c>
      <c r="Y161" s="153">
        <f>_xll.qlCalendarAdvance(Calendar,X161,NDays&amp;"D")</f>
        <v>42124</v>
      </c>
      <c r="Z161" s="154">
        <v>8.4944186142580889E-3</v>
      </c>
      <c r="AA161" s="156">
        <v>7.696002496032639E-3</v>
      </c>
    </row>
    <row r="162" spans="19:27" x14ac:dyDescent="0.2">
      <c r="S162" s="1"/>
      <c r="T162" s="117"/>
      <c r="W162" s="75" t="str">
        <f t="shared" si="13"/>
        <v>1D</v>
      </c>
      <c r="X162" s="148">
        <f>_xll.qlCalendarAdvance(Calendar,X161,W162,"f",FALSE)</f>
        <v>42125</v>
      </c>
      <c r="Y162" s="153">
        <f>_xll.qlCalendarAdvance(Calendar,X162,NDays&amp;"D")</f>
        <v>42125</v>
      </c>
      <c r="Z162" s="154">
        <v>8.5300913597173896E-3</v>
      </c>
      <c r="AA162" s="156">
        <v>7.7387392060462856E-3</v>
      </c>
    </row>
    <row r="163" spans="19:27" x14ac:dyDescent="0.2">
      <c r="S163" s="1"/>
      <c r="T163" s="117"/>
      <c r="W163" s="75" t="str">
        <f t="shared" si="13"/>
        <v>1D</v>
      </c>
      <c r="X163" s="148">
        <f>_xll.qlCalendarAdvance(Calendar,X162,W163,"f",FALSE)</f>
        <v>42129</v>
      </c>
      <c r="Y163" s="153">
        <f>_xll.qlCalendarAdvance(Calendar,X163,NDays&amp;"D")</f>
        <v>42129</v>
      </c>
      <c r="Z163" s="154">
        <v>8.5826398380356786E-3</v>
      </c>
      <c r="AA163" s="156">
        <v>7.7810409494238897E-3</v>
      </c>
    </row>
    <row r="164" spans="19:27" x14ac:dyDescent="0.2">
      <c r="S164" s="1"/>
      <c r="T164" s="117"/>
      <c r="W164" s="75" t="str">
        <f t="shared" si="13"/>
        <v>1D</v>
      </c>
      <c r="X164" s="148">
        <f>_xll.qlCalendarAdvance(Calendar,X163,W164,"f",FALSE)</f>
        <v>42130</v>
      </c>
      <c r="Y164" s="153">
        <f>_xll.qlCalendarAdvance(Calendar,X164,NDays&amp;"D")</f>
        <v>42130</v>
      </c>
      <c r="Z164" s="154">
        <v>8.6003293205923134E-3</v>
      </c>
      <c r="AA164" s="156">
        <v>7.798082983350163E-3</v>
      </c>
    </row>
    <row r="165" spans="19:27" x14ac:dyDescent="0.2">
      <c r="S165" s="1"/>
      <c r="T165" s="117"/>
      <c r="W165" s="75" t="str">
        <f t="shared" si="13"/>
        <v>1D</v>
      </c>
      <c r="X165" s="148">
        <f>_xll.qlCalendarAdvance(Calendar,X164,W165,"f",FALSE)</f>
        <v>42131</v>
      </c>
      <c r="Y165" s="153">
        <f>_xll.qlCalendarAdvance(Calendar,X165,NDays&amp;"D")</f>
        <v>42131</v>
      </c>
      <c r="Z165" s="154">
        <v>8.6180340593554634E-3</v>
      </c>
      <c r="AA165" s="156">
        <v>7.8151364651446453E-3</v>
      </c>
    </row>
    <row r="166" spans="19:27" x14ac:dyDescent="0.2">
      <c r="S166" s="1"/>
      <c r="T166" s="117"/>
      <c r="W166" s="75" t="str">
        <f t="shared" si="13"/>
        <v>1D</v>
      </c>
      <c r="X166" s="148">
        <f>_xll.qlCalendarAdvance(Calendar,X165,W166,"f",FALSE)</f>
        <v>42132</v>
      </c>
      <c r="Y166" s="153">
        <f>_xll.qlCalendarAdvance(Calendar,X166,NDays&amp;"D")</f>
        <v>42132</v>
      </c>
      <c r="Z166" s="154">
        <v>8.6539367488802053E-3</v>
      </c>
      <c r="AA166" s="156">
        <v>7.8494503867602532E-3</v>
      </c>
    </row>
    <row r="167" spans="19:27" x14ac:dyDescent="0.2">
      <c r="S167" s="1"/>
      <c r="T167" s="117"/>
      <c r="W167" s="75" t="str">
        <f t="shared" si="13"/>
        <v>1D</v>
      </c>
      <c r="X167" s="148">
        <f>_xll.qlCalendarAdvance(Calendar,X166,W167,"f",FALSE)</f>
        <v>42135</v>
      </c>
      <c r="Y167" s="153">
        <f>_xll.qlCalendarAdvance(Calendar,X167,NDays&amp;"D")</f>
        <v>42135</v>
      </c>
      <c r="Z167" s="154">
        <v>8.6890070931759586E-3</v>
      </c>
      <c r="AA167" s="156">
        <v>7.8834648700321086E-3</v>
      </c>
    </row>
    <row r="168" spans="19:27" x14ac:dyDescent="0.2">
      <c r="S168" s="1"/>
      <c r="T168" s="117"/>
      <c r="W168" s="75" t="str">
        <f t="shared" si="13"/>
        <v>1D</v>
      </c>
      <c r="X168" s="148">
        <f>_xll.qlCalendarAdvance(Calendar,X167,W168,"f",FALSE)</f>
        <v>42136</v>
      </c>
      <c r="Y168" s="153">
        <f>_xll.qlCalendarAdvance(Calendar,X168,NDays&amp;"D")</f>
        <v>42136</v>
      </c>
      <c r="Z168" s="154">
        <v>8.7067892505117359E-3</v>
      </c>
      <c r="AA168" s="156">
        <v>7.9005755907624042E-3</v>
      </c>
    </row>
    <row r="169" spans="19:27" x14ac:dyDescent="0.2">
      <c r="S169" s="1"/>
      <c r="T169" s="117"/>
      <c r="W169" s="75" t="str">
        <f t="shared" si="13"/>
        <v>1D</v>
      </c>
      <c r="X169" s="148">
        <f>_xll.qlCalendarAdvance(Calendar,X168,W169,"f",FALSE)</f>
        <v>42137</v>
      </c>
      <c r="Y169" s="153">
        <f>_xll.qlCalendarAdvance(Calendar,X169,NDays&amp;"D")</f>
        <v>42137</v>
      </c>
      <c r="Z169" s="154">
        <v>8.7245871190813253E-3</v>
      </c>
      <c r="AA169" s="156">
        <v>7.9176977591988162E-3</v>
      </c>
    </row>
    <row r="170" spans="19:27" x14ac:dyDescent="0.2">
      <c r="S170" s="1"/>
      <c r="T170" s="117"/>
      <c r="W170" s="75" t="str">
        <f t="shared" si="13"/>
        <v>1D</v>
      </c>
      <c r="X170" s="148">
        <f>_xll.qlCalendarAdvance(Calendar,X169,W170,"f",FALSE)</f>
        <v>42138</v>
      </c>
      <c r="Y170" s="153">
        <f>_xll.qlCalendarAdvance(Calendar,X170,NDays&amp;"D")</f>
        <v>42138</v>
      </c>
      <c r="Z170" s="154">
        <v>8.7424007747273057E-3</v>
      </c>
      <c r="AA170" s="156">
        <v>7.9348313754223909E-3</v>
      </c>
    </row>
    <row r="171" spans="19:27" x14ac:dyDescent="0.2">
      <c r="S171" s="1"/>
      <c r="T171" s="117"/>
      <c r="W171" s="75" t="str">
        <f t="shared" si="13"/>
        <v>1D</v>
      </c>
      <c r="X171" s="148">
        <f>_xll.qlCalendarAdvance(Calendar,X170,W171,"f",FALSE)</f>
        <v>42139</v>
      </c>
      <c r="Y171" s="153">
        <f>_xll.qlCalendarAdvance(Calendar,X171,NDays&amp;"D")</f>
        <v>42139</v>
      </c>
      <c r="Z171" s="154">
        <v>8.77854048825971E-3</v>
      </c>
      <c r="AA171" s="156">
        <v>7.969310760476505E-3</v>
      </c>
    </row>
    <row r="172" spans="19:27" x14ac:dyDescent="0.2">
      <c r="S172" s="1"/>
      <c r="T172" s="117"/>
      <c r="W172" s="75" t="str">
        <f t="shared" si="13"/>
        <v>1D</v>
      </c>
      <c r="X172" s="148">
        <f>_xll.qlCalendarAdvance(Calendar,X171,W172,"f",FALSE)</f>
        <v>42142</v>
      </c>
      <c r="Y172" s="153">
        <f>_xll.qlCalendarAdvance(Calendar,X172,NDays&amp;"D")</f>
        <v>42142</v>
      </c>
      <c r="Z172" s="154">
        <v>8.8138147850025383E-3</v>
      </c>
      <c r="AA172" s="156">
        <v>8.0034803185125014E-3</v>
      </c>
    </row>
    <row r="173" spans="19:27" x14ac:dyDescent="0.2">
      <c r="S173" s="1"/>
      <c r="T173" s="117"/>
      <c r="W173" s="75" t="str">
        <f t="shared" si="13"/>
        <v>1D</v>
      </c>
      <c r="X173" s="148">
        <f>_xll.qlCalendarAdvance(Calendar,X172,W173,"f",FALSE)</f>
        <v>42143</v>
      </c>
      <c r="Y173" s="153">
        <f>_xll.qlCalendarAdvance(Calendar,X173,NDays&amp;"D")</f>
        <v>42143</v>
      </c>
      <c r="Z173" s="154">
        <v>8.831708513736148E-3</v>
      </c>
      <c r="AA173" s="156">
        <v>8.0206711737529357E-3</v>
      </c>
    </row>
    <row r="174" spans="19:27" x14ac:dyDescent="0.2">
      <c r="S174" s="1"/>
      <c r="T174" s="117"/>
      <c r="W174" s="75" t="str">
        <f t="shared" si="13"/>
        <v>1D</v>
      </c>
      <c r="X174" s="148">
        <f>_xll.qlCalendarAdvance(Calendar,X173,W174,"f",FALSE)</f>
        <v>42144</v>
      </c>
      <c r="Y174" s="153">
        <f>_xll.qlCalendarAdvance(Calendar,X174,NDays&amp;"D")</f>
        <v>42144</v>
      </c>
      <c r="Z174" s="154">
        <v>8.8496184846386366E-3</v>
      </c>
      <c r="AA174" s="156">
        <v>8.0378734767805327E-3</v>
      </c>
    </row>
    <row r="175" spans="19:27" x14ac:dyDescent="0.2">
      <c r="S175" s="1"/>
      <c r="T175" s="117"/>
      <c r="W175" s="75" t="str">
        <f t="shared" si="13"/>
        <v>1D</v>
      </c>
      <c r="X175" s="148">
        <f>_xll.qlCalendarAdvance(Calendar,X174,W175,"f",FALSE)</f>
        <v>42145</v>
      </c>
      <c r="Y175" s="153">
        <f>_xll.qlCalendarAdvance(Calendar,X175,NDays&amp;"D")</f>
        <v>42145</v>
      </c>
      <c r="Z175" s="154">
        <v>8.8675447735649168E-3</v>
      </c>
      <c r="AA175" s="156">
        <v>8.0550872275952923E-3</v>
      </c>
    </row>
    <row r="176" spans="19:27" x14ac:dyDescent="0.2">
      <c r="S176" s="1"/>
      <c r="T176" s="117"/>
      <c r="W176" s="75" t="str">
        <f t="shared" si="13"/>
        <v>1D</v>
      </c>
      <c r="X176" s="148">
        <f>_xll.qlCalendarAdvance(Calendar,X175,W176,"f",FALSE)</f>
        <v>42146</v>
      </c>
      <c r="Y176" s="153">
        <f>_xll.qlCalendarAdvance(Calendar,X176,NDays&amp;"D")</f>
        <v>42146</v>
      </c>
      <c r="Z176" s="154">
        <v>8.9039280428671996E-3</v>
      </c>
      <c r="AA176" s="156">
        <v>8.0984483561669096E-3</v>
      </c>
    </row>
    <row r="177" spans="19:27" x14ac:dyDescent="0.2">
      <c r="S177" s="1"/>
      <c r="T177" s="117"/>
      <c r="W177" s="75" t="str">
        <f t="shared" si="13"/>
        <v>1D</v>
      </c>
      <c r="X177" s="148">
        <f>_xll.qlCalendarAdvance(Calendar,X176,W177,"f",FALSE)</f>
        <v>42150</v>
      </c>
      <c r="Y177" s="153">
        <f>_xll.qlCalendarAdvance(Calendar,X177,NDays&amp;"D")</f>
        <v>42150</v>
      </c>
      <c r="Z177" s="154">
        <v>8.9574236435439082E-3</v>
      </c>
      <c r="AA177" s="156">
        <v>8.1413276989628081E-3</v>
      </c>
    </row>
    <row r="178" spans="19:27" x14ac:dyDescent="0.2">
      <c r="S178" s="1"/>
      <c r="T178" s="117"/>
      <c r="W178" s="75" t="str">
        <f t="shared" si="13"/>
        <v>1D</v>
      </c>
      <c r="X178" s="148">
        <f>_xll.qlCalendarAdvance(Calendar,X177,W178,"f",FALSE)</f>
        <v>42151</v>
      </c>
      <c r="Y178" s="153">
        <f>_xll.qlCalendarAdvance(Calendar,X178,NDays&amp;"D")</f>
        <v>42151</v>
      </c>
      <c r="Z178" s="154">
        <v>8.9754494336322099E-3</v>
      </c>
      <c r="AA178" s="156">
        <v>8.1586101366626362E-3</v>
      </c>
    </row>
    <row r="179" spans="19:27" x14ac:dyDescent="0.2">
      <c r="S179" s="1"/>
      <c r="T179" s="117"/>
      <c r="W179" s="75" t="str">
        <f t="shared" si="13"/>
        <v>1D</v>
      </c>
      <c r="X179" s="148">
        <f>_xll.qlCalendarAdvance(Calendar,X178,W179,"f",FALSE)</f>
        <v>42152</v>
      </c>
      <c r="Y179" s="153">
        <f>_xll.qlCalendarAdvance(Calendar,X179,NDays&amp;"D")</f>
        <v>42152</v>
      </c>
      <c r="Z179" s="154">
        <v>8.9934920727665815E-3</v>
      </c>
      <c r="AA179" s="156">
        <v>8.1759040221496271E-3</v>
      </c>
    </row>
    <row r="180" spans="19:27" x14ac:dyDescent="0.2">
      <c r="S180" s="1"/>
      <c r="T180" s="117"/>
      <c r="W180" s="75" t="str">
        <f t="shared" si="13"/>
        <v>1D</v>
      </c>
      <c r="X180" s="148">
        <f>_xll.qlCalendarAdvance(Calendar,X179,W180,"f",FALSE)</f>
        <v>42153</v>
      </c>
      <c r="Y180" s="153">
        <f>_xll.qlCalendarAdvance(Calendar,X180,NDays&amp;"D")</f>
        <v>42153</v>
      </c>
      <c r="Z180" s="154">
        <v>9.0022749082483196E-3</v>
      </c>
      <c r="AA180" s="156">
        <v>8.2107146462710272E-3</v>
      </c>
    </row>
    <row r="181" spans="19:27" x14ac:dyDescent="0.2">
      <c r="S181" s="1"/>
      <c r="T181" s="117"/>
      <c r="W181" s="75" t="str">
        <f t="shared" si="13"/>
        <v>1D</v>
      </c>
      <c r="X181" s="148">
        <f>_xll.qlCalendarAdvance(Calendar,X180,W181,"f",FALSE)</f>
        <v>42156</v>
      </c>
      <c r="Y181" s="153">
        <f>_xll.qlCalendarAdvance(Calendar,X181,NDays&amp;"D")</f>
        <v>42156</v>
      </c>
      <c r="Z181" s="154">
        <v>9.0658326371220611E-3</v>
      </c>
      <c r="AA181" s="156">
        <v>8.2451940423744485E-3</v>
      </c>
    </row>
    <row r="182" spans="19:27" x14ac:dyDescent="0.2">
      <c r="S182" s="1"/>
      <c r="T182" s="117"/>
      <c r="W182" s="75" t="str">
        <f t="shared" si="13"/>
        <v>1D</v>
      </c>
      <c r="X182" s="148">
        <f>_xll.qlCalendarAdvance(Calendar,X181,W182,"f",FALSE)</f>
        <v>42157</v>
      </c>
      <c r="Y182" s="153">
        <f>_xll.qlCalendarAdvance(Calendar,X182,NDays&amp;"D")</f>
        <v>42157</v>
      </c>
      <c r="Z182" s="154">
        <v>9.083960659518402E-3</v>
      </c>
      <c r="AA182" s="156">
        <v>8.2625451669593453E-3</v>
      </c>
    </row>
    <row r="183" spans="19:27" x14ac:dyDescent="0.2">
      <c r="S183" s="1"/>
      <c r="T183" s="117"/>
      <c r="W183" s="75" t="str">
        <f t="shared" si="13"/>
        <v>1D</v>
      </c>
      <c r="X183" s="148">
        <f>_xll.qlCalendarAdvance(Calendar,X182,W183,"f",FALSE)</f>
        <v>42158</v>
      </c>
      <c r="Y183" s="153">
        <f>_xll.qlCalendarAdvance(Calendar,X183,NDays&amp;"D")</f>
        <v>42158</v>
      </c>
      <c r="Z183" s="154">
        <v>9.1021059861854416E-3</v>
      </c>
      <c r="AA183" s="156">
        <v>8.2799077393314047E-3</v>
      </c>
    </row>
    <row r="184" spans="19:27" x14ac:dyDescent="0.2">
      <c r="S184" s="1"/>
      <c r="T184" s="117"/>
      <c r="W184" s="75" t="str">
        <f t="shared" si="13"/>
        <v>1D</v>
      </c>
      <c r="X184" s="148">
        <f>_xll.qlCalendarAdvance(Calendar,X183,W184,"f",FALSE)</f>
        <v>42159</v>
      </c>
      <c r="Y184" s="153">
        <f>_xll.qlCalendarAdvance(Calendar,X184,NDays&amp;"D")</f>
        <v>42159</v>
      </c>
      <c r="Z184" s="154">
        <v>9.1202686929992352E-3</v>
      </c>
      <c r="AA184" s="156">
        <v>8.2972817596527193E-3</v>
      </c>
    </row>
    <row r="185" spans="19:27" x14ac:dyDescent="0.2">
      <c r="S185" s="1"/>
      <c r="T185" s="117"/>
      <c r="W185" s="75" t="str">
        <f t="shared" si="13"/>
        <v>1D</v>
      </c>
      <c r="X185" s="148">
        <f>_xll.qlCalendarAdvance(Calendar,X184,W185,"f",FALSE)</f>
        <v>42160</v>
      </c>
      <c r="Y185" s="153">
        <f>_xll.qlCalendarAdvance(Calendar,X185,NDays&amp;"D")</f>
        <v>42160</v>
      </c>
      <c r="Z185" s="154">
        <v>9.1571564765588528E-3</v>
      </c>
      <c r="AA185" s="156">
        <v>8.3322581616721951E-3</v>
      </c>
    </row>
    <row r="186" spans="19:27" x14ac:dyDescent="0.2">
      <c r="S186" s="1"/>
      <c r="T186" s="117"/>
      <c r="W186" s="75" t="str">
        <f t="shared" si="13"/>
        <v>1D</v>
      </c>
      <c r="X186" s="148">
        <f>_xll.qlCalendarAdvance(Calendar,X185,W186,"f",FALSE)</f>
        <v>42163</v>
      </c>
      <c r="Y186" s="153">
        <f>_xll.qlCalendarAdvance(Calendar,X186,NDays&amp;"D")</f>
        <v>42163</v>
      </c>
      <c r="Z186" s="154">
        <v>9.1930948392994656E-3</v>
      </c>
      <c r="AA186" s="156">
        <v>8.3668923188906508E-3</v>
      </c>
    </row>
    <row r="187" spans="19:27" x14ac:dyDescent="0.2">
      <c r="S187" s="1"/>
      <c r="T187" s="117"/>
      <c r="W187" s="75" t="str">
        <f t="shared" si="13"/>
        <v>1D</v>
      </c>
      <c r="X187" s="148">
        <f>_xll.qlCalendarAdvance(Calendar,X186,W187,"f",FALSE)</f>
        <v>42164</v>
      </c>
      <c r="Y187" s="153">
        <f>_xll.qlCalendarAdvance(Calendar,X187,NDays&amp;"D")</f>
        <v>42164</v>
      </c>
      <c r="Z187" s="154">
        <v>9.2113455850460213E-3</v>
      </c>
      <c r="AA187" s="156">
        <v>8.384323578228825E-3</v>
      </c>
    </row>
    <row r="188" spans="19:27" x14ac:dyDescent="0.2">
      <c r="S188" s="1"/>
      <c r="T188" s="117"/>
      <c r="W188" s="75" t="str">
        <f t="shared" si="13"/>
        <v>1D</v>
      </c>
      <c r="X188" s="148">
        <f>_xll.qlCalendarAdvance(Calendar,X187,W188,"f",FALSE)</f>
        <v>42165</v>
      </c>
      <c r="Y188" s="153">
        <f>_xll.qlCalendarAdvance(Calendar,X188,NDays&amp;"D")</f>
        <v>42165</v>
      </c>
      <c r="Z188" s="154">
        <v>9.2296141662317911E-3</v>
      </c>
      <c r="AA188" s="156">
        <v>8.4017662855162545E-3</v>
      </c>
    </row>
    <row r="189" spans="19:27" x14ac:dyDescent="0.2">
      <c r="S189" s="1"/>
      <c r="T189" s="117"/>
      <c r="W189" s="75" t="str">
        <f t="shared" si="13"/>
        <v>1D</v>
      </c>
      <c r="X189" s="148">
        <f>_xll.qlCalendarAdvance(Calendar,X188,W189,"f",FALSE)</f>
        <v>42166</v>
      </c>
      <c r="Y189" s="153">
        <f>_xll.qlCalendarAdvance(Calendar,X189,NDays&amp;"D")</f>
        <v>42166</v>
      </c>
      <c r="Z189" s="154">
        <v>9.2479006587425187E-3</v>
      </c>
      <c r="AA189" s="156">
        <v>8.4192204405908466E-3</v>
      </c>
    </row>
    <row r="190" spans="19:27" x14ac:dyDescent="0.2">
      <c r="S190" s="1"/>
      <c r="T190" s="117"/>
      <c r="W190" s="75" t="str">
        <f t="shared" si="13"/>
        <v>1D</v>
      </c>
      <c r="X190" s="148">
        <f>_xll.qlCalendarAdvance(Calendar,X189,W190,"f",FALSE)</f>
        <v>42167</v>
      </c>
      <c r="Y190" s="153">
        <f>_xll.qlCalendarAdvance(Calendar,X190,NDays&amp;"D")</f>
        <v>42167</v>
      </c>
      <c r="Z190" s="154">
        <v>9.2850483045597374E-3</v>
      </c>
      <c r="AA190" s="156">
        <v>8.4543627276785962E-3</v>
      </c>
    </row>
    <row r="191" spans="19:27" x14ac:dyDescent="0.2">
      <c r="S191" s="1"/>
      <c r="T191" s="117"/>
      <c r="W191" s="75" t="str">
        <f t="shared" si="13"/>
        <v>1D</v>
      </c>
      <c r="X191" s="148">
        <f>_xll.qlCalendarAdvance(Calendar,X190,W191,"f",FALSE)</f>
        <v>42170</v>
      </c>
      <c r="Y191" s="153">
        <f>_xll.qlCalendarAdvance(Calendar,X191,NDays&amp;"D")</f>
        <v>42170</v>
      </c>
      <c r="Z191" s="154">
        <v>9.3212272598556765E-3</v>
      </c>
      <c r="AA191" s="156">
        <v>8.4891515392471195E-3</v>
      </c>
    </row>
    <row r="192" spans="19:27" x14ac:dyDescent="0.2">
      <c r="S192" s="1"/>
      <c r="T192" s="117"/>
      <c r="W192" s="75" t="str">
        <f t="shared" si="13"/>
        <v>1D</v>
      </c>
      <c r="X192" s="148">
        <f>_xll.qlCalendarAdvance(Calendar,X191,W192,"f",FALSE)</f>
        <v>42171</v>
      </c>
      <c r="Y192" s="153">
        <f>_xll.qlCalendarAdvance(Calendar,X192,NDays&amp;"D")</f>
        <v>42171</v>
      </c>
      <c r="Z192" s="154">
        <v>9.3396044473681439E-3</v>
      </c>
      <c r="AA192" s="156">
        <v>8.5066629335006638E-3</v>
      </c>
    </row>
    <row r="193" spans="19:27" x14ac:dyDescent="0.2">
      <c r="S193" s="1"/>
      <c r="T193" s="117"/>
      <c r="W193" s="75" t="str">
        <f t="shared" si="13"/>
        <v>1D</v>
      </c>
      <c r="X193" s="148">
        <f>_xll.qlCalendarAdvance(Calendar,X192,W193,"f",FALSE)</f>
        <v>42172</v>
      </c>
      <c r="Y193" s="153">
        <f>_xll.qlCalendarAdvance(Calendar,X193,NDays&amp;"D")</f>
        <v>42172</v>
      </c>
      <c r="Z193" s="154">
        <v>9.3580000015667398E-3</v>
      </c>
      <c r="AA193" s="156">
        <v>8.5241857756224171E-3</v>
      </c>
    </row>
    <row r="194" spans="19:27" x14ac:dyDescent="0.2">
      <c r="S194" s="1"/>
      <c r="T194" s="117"/>
      <c r="W194" s="75" t="str">
        <f t="shared" si="13"/>
        <v>1D</v>
      </c>
      <c r="X194" s="148">
        <f>_xll.qlCalendarAdvance(Calendar,X193,W194,"f",FALSE)</f>
        <v>42173</v>
      </c>
      <c r="Y194" s="153">
        <f>_xll.qlCalendarAdvance(Calendar,X194,NDays&amp;"D")</f>
        <v>42173</v>
      </c>
      <c r="Z194" s="154">
        <v>9.3764139763992203E-3</v>
      </c>
      <c r="AA194" s="156">
        <v>8.5417212227911765E-3</v>
      </c>
    </row>
    <row r="195" spans="19:27" x14ac:dyDescent="0.2">
      <c r="S195" s="1"/>
      <c r="T195" s="117"/>
      <c r="W195" s="75" t="str">
        <f t="shared" si="13"/>
        <v>1D</v>
      </c>
      <c r="X195" s="148">
        <f>_xll.qlCalendarAdvance(Calendar,X194,W195,"f",FALSE)</f>
        <v>42174</v>
      </c>
      <c r="Y195" s="153">
        <f>_xll.qlCalendarAdvance(Calendar,X195,NDays&amp;"D")</f>
        <v>42174</v>
      </c>
      <c r="Z195" s="154">
        <v>9.4138244582812856E-3</v>
      </c>
      <c r="AA195" s="156">
        <v>8.5770526479086086E-3</v>
      </c>
    </row>
    <row r="196" spans="19:27" x14ac:dyDescent="0.2">
      <c r="S196" s="1"/>
      <c r="T196" s="117"/>
      <c r="W196" s="75" t="str">
        <f t="shared" si="13"/>
        <v>1D</v>
      </c>
      <c r="X196" s="148">
        <f>_xll.qlCalendarAdvance(Calendar,X195,W196,"f",FALSE)</f>
        <v>42177</v>
      </c>
      <c r="Y196" s="153">
        <f>_xll.qlCalendarAdvance(Calendar,X196,NDays&amp;"D")</f>
        <v>42177</v>
      </c>
      <c r="Z196" s="154">
        <v>9.4502523784496008E-3</v>
      </c>
      <c r="AA196" s="156">
        <v>8.6120422920799022E-3</v>
      </c>
    </row>
    <row r="197" spans="19:27" x14ac:dyDescent="0.2">
      <c r="S197" s="1"/>
      <c r="T197" s="117"/>
      <c r="W197" s="75" t="str">
        <f t="shared" si="13"/>
        <v>1D</v>
      </c>
      <c r="X197" s="148">
        <f>_xll.qlCalendarAdvance(Calendar,X196,W197,"f",FALSE)</f>
        <v>42178</v>
      </c>
      <c r="Y197" s="153">
        <f>_xll.qlCalendarAdvance(Calendar,X197,NDays&amp;"D")</f>
        <v>42178</v>
      </c>
      <c r="Z197" s="154">
        <v>9.4687569599451356E-3</v>
      </c>
      <c r="AA197" s="156">
        <v>8.6296685368558723E-3</v>
      </c>
    </row>
    <row r="198" spans="19:27" x14ac:dyDescent="0.2">
      <c r="S198" s="1"/>
      <c r="T198" s="117"/>
      <c r="W198" s="75" t="str">
        <f t="shared" si="13"/>
        <v>1D</v>
      </c>
      <c r="X198" s="148">
        <f>_xll.qlCalendarAdvance(Calendar,X197,W198,"f",FALSE)</f>
        <v>42179</v>
      </c>
      <c r="Y198" s="153">
        <f>_xll.qlCalendarAdvance(Calendar,X198,NDays&amp;"D")</f>
        <v>42179</v>
      </c>
      <c r="Z198" s="154">
        <v>9.4872792709039411E-3</v>
      </c>
      <c r="AA198" s="156">
        <v>8.6473131725728347E-3</v>
      </c>
    </row>
    <row r="199" spans="19:27" x14ac:dyDescent="0.2">
      <c r="S199" s="1"/>
      <c r="T199" s="117"/>
      <c r="W199" s="75" t="str">
        <f t="shared" si="13"/>
        <v>1D</v>
      </c>
      <c r="X199" s="148">
        <f>_xll.qlCalendarAdvance(Calendar,X198,W199,"f",FALSE)</f>
        <v>42180</v>
      </c>
      <c r="Y199" s="153">
        <f>_xll.qlCalendarAdvance(Calendar,X199,NDays&amp;"D")</f>
        <v>42180</v>
      </c>
      <c r="Z199" s="154">
        <v>9.5058191798583803E-3</v>
      </c>
      <c r="AA199" s="156">
        <v>8.6649761992307894E-3</v>
      </c>
    </row>
    <row r="200" spans="19:27" x14ac:dyDescent="0.2">
      <c r="S200" s="1"/>
      <c r="T200" s="117"/>
      <c r="W200" s="75" t="str">
        <f t="shared" si="13"/>
        <v>1D</v>
      </c>
      <c r="X200" s="148">
        <f>_xll.qlCalendarAdvance(Calendar,X199,W200,"f",FALSE)</f>
        <v>42181</v>
      </c>
      <c r="Y200" s="153">
        <f>_xll.qlCalendarAdvance(Calendar,X200,NDays&amp;"D")</f>
        <v>42181</v>
      </c>
      <c r="Z200" s="154">
        <v>9.54347966702003E-3</v>
      </c>
      <c r="AA200" s="156">
        <v>8.7005709443088719E-3</v>
      </c>
    </row>
    <row r="201" spans="19:27" x14ac:dyDescent="0.2">
      <c r="S201" s="1"/>
      <c r="T201" s="117"/>
      <c r="W201" s="75" t="str">
        <f t="shared" si="13"/>
        <v>1D</v>
      </c>
      <c r="X201" s="148">
        <f>_xll.qlCalendarAdvance(Calendar,X200,W201,"f",FALSE)</f>
        <v>42184</v>
      </c>
      <c r="Y201" s="153">
        <f>_xll.qlCalendarAdvance(Calendar,X201,NDays&amp;"D")</f>
        <v>42184</v>
      </c>
      <c r="Z201" s="154">
        <v>9.5801521661748636E-3</v>
      </c>
      <c r="AA201" s="156">
        <v>8.7358122155156703E-3</v>
      </c>
    </row>
    <row r="202" spans="19:27" x14ac:dyDescent="0.2">
      <c r="S202" s="1"/>
      <c r="T202" s="117"/>
      <c r="W202" s="75" t="str">
        <f t="shared" si="13"/>
        <v>1D</v>
      </c>
      <c r="X202" s="148">
        <f>_xll.qlCalendarAdvance(Calendar,X201,W202,"f",FALSE)</f>
        <v>42185</v>
      </c>
      <c r="Y202" s="153">
        <f>_xll.qlCalendarAdvance(Calendar,X202,NDays&amp;"D")</f>
        <v>42185</v>
      </c>
      <c r="Z202" s="154">
        <v>9.5987780929959864E-3</v>
      </c>
      <c r="AA202" s="156">
        <v>8.7535671970406792E-3</v>
      </c>
    </row>
    <row r="203" spans="19:27" x14ac:dyDescent="0.2">
      <c r="S203" s="1"/>
      <c r="T203" s="117"/>
      <c r="W203" s="75" t="str">
        <f t="shared" si="13"/>
        <v>1D</v>
      </c>
      <c r="X203" s="148">
        <f>_xll.qlCalendarAdvance(Calendar,X202,W203,"f",FALSE)</f>
        <v>42186</v>
      </c>
      <c r="Y203" s="153">
        <f>_xll.qlCalendarAdvance(Calendar,X203,NDays&amp;"D")</f>
        <v>42186</v>
      </c>
      <c r="Z203" s="154">
        <v>9.6174208289531715E-3</v>
      </c>
      <c r="AA203" s="156">
        <v>8.7713405695877267E-3</v>
      </c>
    </row>
    <row r="204" spans="19:27" x14ac:dyDescent="0.2">
      <c r="S204" s="1"/>
      <c r="T204" s="117"/>
      <c r="W204" s="75" t="str">
        <f t="shared" si="13"/>
        <v>1D</v>
      </c>
      <c r="X204" s="148">
        <f>_xll.qlCalendarAdvance(Calendar,X203,W204,"f",FALSE)</f>
        <v>42187</v>
      </c>
      <c r="Y204" s="153">
        <f>_xll.qlCalendarAdvance(Calendar,X204,NDays&amp;"D")</f>
        <v>42187</v>
      </c>
      <c r="Z204" s="154">
        <v>9.6360802425620434E-3</v>
      </c>
      <c r="AA204" s="156">
        <v>8.7891323330757665E-3</v>
      </c>
    </row>
    <row r="205" spans="19:27" x14ac:dyDescent="0.2">
      <c r="S205" s="1"/>
      <c r="T205" s="117"/>
      <c r="W205" s="75" t="str">
        <f t="shared" si="13"/>
        <v>1D</v>
      </c>
      <c r="X205" s="148">
        <f>_xll.qlCalendarAdvance(Calendar,X204,W205,"f",FALSE)</f>
        <v>42188</v>
      </c>
      <c r="Y205" s="153">
        <f>_xll.qlCalendarAdvance(Calendar,X205,NDays&amp;"D")</f>
        <v>42188</v>
      </c>
      <c r="Z205" s="154">
        <v>9.673973042706582E-3</v>
      </c>
      <c r="AA205" s="156">
        <v>8.8249905255462693E-3</v>
      </c>
    </row>
    <row r="206" spans="19:27" x14ac:dyDescent="0.2">
      <c r="S206" s="1"/>
      <c r="T206" s="117"/>
      <c r="W206" s="75" t="str">
        <f t="shared" si="13"/>
        <v>1D</v>
      </c>
      <c r="X206" s="148">
        <f>_xll.qlCalendarAdvance(Calendar,X205,W206,"f",FALSE)</f>
        <v>42191</v>
      </c>
      <c r="Y206" s="153">
        <f>_xll.qlCalendarAdvance(Calendar,X206,NDays&amp;"D")</f>
        <v>42191</v>
      </c>
      <c r="Z206" s="154">
        <v>9.7108820437493519E-3</v>
      </c>
      <c r="AA206" s="156">
        <v>8.8604832968430802E-3</v>
      </c>
    </row>
    <row r="207" spans="19:27" x14ac:dyDescent="0.2">
      <c r="S207" s="1"/>
      <c r="T207" s="117"/>
      <c r="W207" s="75" t="str">
        <f t="shared" si="13"/>
        <v>1D</v>
      </c>
      <c r="X207" s="148">
        <f>_xll.qlCalendarAdvance(Calendar,X206,W207,"f",FALSE)</f>
        <v>42192</v>
      </c>
      <c r="Y207" s="153">
        <f>_xll.qlCalendarAdvance(Calendar,X207,NDays&amp;"D")</f>
        <v>42192</v>
      </c>
      <c r="Z207" s="154">
        <v>9.7296228732734902E-3</v>
      </c>
      <c r="AA207" s="156">
        <v>8.8783670153602667E-3</v>
      </c>
    </row>
    <row r="208" spans="19:27" x14ac:dyDescent="0.2">
      <c r="S208" s="1"/>
      <c r="T208" s="117"/>
      <c r="W208" s="75" t="str">
        <f t="shared" si="13"/>
        <v>1D</v>
      </c>
      <c r="X208" s="148">
        <f>_xll.qlCalendarAdvance(Calendar,X207,W208,"f",FALSE)</f>
        <v>42193</v>
      </c>
      <c r="Y208" s="153">
        <f>_xll.qlCalendarAdvance(Calendar,X208,NDays&amp;"D")</f>
        <v>42193</v>
      </c>
      <c r="Z208" s="154">
        <v>9.7483795914946048E-3</v>
      </c>
      <c r="AA208" s="156">
        <v>8.8962691247373993E-3</v>
      </c>
    </row>
    <row r="209" spans="19:27" x14ac:dyDescent="0.2">
      <c r="S209" s="1"/>
      <c r="T209" s="117"/>
      <c r="W209" s="75" t="str">
        <f t="shared" si="13"/>
        <v>1D</v>
      </c>
      <c r="X209" s="148">
        <f>_xll.qlCalendarAdvance(Calendar,X208,W209,"f",FALSE)</f>
        <v>42194</v>
      </c>
      <c r="Y209" s="153">
        <f>_xll.qlCalendarAdvance(Calendar,X209,NDays&amp;"D")</f>
        <v>42194</v>
      </c>
      <c r="Z209" s="154">
        <v>9.7671520669133424E-3</v>
      </c>
      <c r="AA209" s="156">
        <v>8.9141896251365704E-3</v>
      </c>
    </row>
    <row r="210" spans="19:27" x14ac:dyDescent="0.2">
      <c r="S210" s="1"/>
      <c r="T210" s="117"/>
      <c r="W210" s="75" t="str">
        <f t="shared" si="13"/>
        <v>1D</v>
      </c>
      <c r="X210" s="148">
        <f>_xll.qlCalendarAdvance(Calendar,X209,W210,"f",FALSE)</f>
        <v>42195</v>
      </c>
      <c r="Y210" s="153">
        <f>_xll.qlCalendarAdvance(Calendar,X210,NDays&amp;"D")</f>
        <v>42195</v>
      </c>
      <c r="Z210" s="154">
        <v>9.8052604464405734E-3</v>
      </c>
      <c r="AA210" s="156">
        <v>8.9503113943223429E-3</v>
      </c>
    </row>
    <row r="211" spans="19:27" x14ac:dyDescent="0.2">
      <c r="S211" s="1"/>
      <c r="T211" s="117"/>
      <c r="W211" s="75" t="str">
        <f t="shared" si="13"/>
        <v>1D</v>
      </c>
      <c r="X211" s="148">
        <f>_xll.qlCalendarAdvance(Calendar,X210,W211,"f",FALSE)</f>
        <v>42198</v>
      </c>
      <c r="Y211" s="153">
        <f>_xll.qlCalendarAdvance(Calendar,X211,NDays&amp;"D")</f>
        <v>42198</v>
      </c>
      <c r="Z211" s="154">
        <v>9.8423969104805831E-3</v>
      </c>
      <c r="AA211" s="156">
        <v>8.9860555370346873E-3</v>
      </c>
    </row>
    <row r="212" spans="19:27" x14ac:dyDescent="0.2">
      <c r="S212" s="1"/>
      <c r="T212" s="117"/>
      <c r="W212" s="75" t="str">
        <f t="shared" si="13"/>
        <v>1D</v>
      </c>
      <c r="X212" s="148">
        <f>_xll.qlCalendarAdvance(Calendar,X211,W212,"f",FALSE)</f>
        <v>42199</v>
      </c>
      <c r="Y212" s="153">
        <f>_xll.qlCalendarAdvance(Calendar,X212,NDays&amp;"D")</f>
        <v>42199</v>
      </c>
      <c r="Z212" s="154">
        <v>9.8612461993037755E-3</v>
      </c>
      <c r="AA212" s="156">
        <v>9.0040679924630052E-3</v>
      </c>
    </row>
    <row r="213" spans="19:27" x14ac:dyDescent="0.2">
      <c r="S213" s="1"/>
      <c r="T213" s="117"/>
      <c r="W213" s="75" t="str">
        <f t="shared" ref="W213:W276" si="14">W212</f>
        <v>1D</v>
      </c>
      <c r="X213" s="148">
        <f>_xll.qlCalendarAdvance(Calendar,X212,W213,"f",FALSE)</f>
        <v>42200</v>
      </c>
      <c r="Y213" s="153">
        <f>_xll.qlCalendarAdvance(Calendar,X213,NDays&amp;"D")</f>
        <v>42200</v>
      </c>
      <c r="Z213" s="154">
        <v>9.8801104562738582E-3</v>
      </c>
      <c r="AA213" s="156">
        <v>9.0220988389944079E-3</v>
      </c>
    </row>
    <row r="214" spans="19:27" x14ac:dyDescent="0.2">
      <c r="S214" s="1"/>
      <c r="T214" s="117"/>
      <c r="W214" s="75" t="str">
        <f t="shared" si="14"/>
        <v>1D</v>
      </c>
      <c r="X214" s="148">
        <f>_xll.qlCalendarAdvance(Calendar,X213,W214,"f",FALSE)</f>
        <v>42201</v>
      </c>
      <c r="Y214" s="153">
        <f>_xll.qlCalendarAdvance(Calendar,X214,NDays&amp;"D")</f>
        <v>42201</v>
      </c>
      <c r="Z214" s="154">
        <v>9.8989895498756229E-3</v>
      </c>
      <c r="AA214" s="156">
        <v>9.0401480765478492E-3</v>
      </c>
    </row>
    <row r="215" spans="19:27" x14ac:dyDescent="0.2">
      <c r="S215" s="1"/>
      <c r="T215" s="117"/>
      <c r="W215" s="75" t="str">
        <f t="shared" si="14"/>
        <v>1D</v>
      </c>
      <c r="X215" s="148">
        <f>_xll.qlCalendarAdvance(Calendar,X214,W215,"f",FALSE)</f>
        <v>42202</v>
      </c>
      <c r="Y215" s="153">
        <f>_xll.qlCalendarAdvance(Calendar,X215,NDays&amp;"D")</f>
        <v>42202</v>
      </c>
      <c r="Z215" s="154">
        <v>9.9372977338613513E-3</v>
      </c>
      <c r="AA215" s="156">
        <v>9.0765335534737108E-3</v>
      </c>
    </row>
    <row r="216" spans="19:27" x14ac:dyDescent="0.2">
      <c r="S216" s="1"/>
      <c r="T216" s="117"/>
      <c r="W216" s="75" t="str">
        <f t="shared" si="14"/>
        <v>1D</v>
      </c>
      <c r="X216" s="148">
        <f>_xll.qlCalendarAdvance(Calendar,X215,W216,"f",FALSE)</f>
        <v>42205</v>
      </c>
      <c r="Y216" s="153">
        <f>_xll.qlCalendarAdvance(Calendar,X216,NDays&amp;"D")</f>
        <v>42205</v>
      </c>
      <c r="Z216" s="154">
        <v>9.9746516601816708E-3</v>
      </c>
      <c r="AA216" s="156">
        <v>9.1125289369009543E-3</v>
      </c>
    </row>
    <row r="217" spans="19:27" x14ac:dyDescent="0.2">
      <c r="S217" s="1"/>
      <c r="T217" s="117"/>
      <c r="W217" s="75" t="str">
        <f t="shared" si="14"/>
        <v>1D</v>
      </c>
      <c r="X217" s="148">
        <f>_xll.qlCalendarAdvance(Calendar,X216,W217,"f",FALSE)</f>
        <v>42206</v>
      </c>
      <c r="Y217" s="153">
        <f>_xll.qlCalendarAdvance(Calendar,X217,NDays&amp;"D")</f>
        <v>42206</v>
      </c>
      <c r="Z217" s="154">
        <v>9.9936029641088716E-3</v>
      </c>
      <c r="AA217" s="156">
        <v>9.1306701295645887E-3</v>
      </c>
    </row>
    <row r="218" spans="19:27" x14ac:dyDescent="0.2">
      <c r="S218" s="1"/>
      <c r="T218" s="117"/>
      <c r="W218" s="75" t="str">
        <f t="shared" si="14"/>
        <v>1D</v>
      </c>
      <c r="X218" s="148">
        <f>_xll.qlCalendarAdvance(Calendar,X217,W218,"f",FALSE)</f>
        <v>42207</v>
      </c>
      <c r="Y218" s="153">
        <f>_xll.qlCalendarAdvance(Calendar,X218,NDays&amp;"D")</f>
        <v>42207</v>
      </c>
      <c r="Z218" s="154">
        <v>1.0012568315520118E-2</v>
      </c>
      <c r="AA218" s="156">
        <v>9.1488297133313079E-3</v>
      </c>
    </row>
    <row r="219" spans="19:27" x14ac:dyDescent="0.2">
      <c r="S219" s="1"/>
      <c r="T219" s="117"/>
      <c r="W219" s="75" t="str">
        <f t="shared" si="14"/>
        <v>1D</v>
      </c>
      <c r="X219" s="148">
        <f>_xll.qlCalendarAdvance(Calendar,X218,W219,"f",FALSE)</f>
        <v>42208</v>
      </c>
      <c r="Y219" s="153">
        <f>_xll.qlCalendarAdvance(Calendar,X219,NDays&amp;"D")</f>
        <v>42208</v>
      </c>
      <c r="Z219" s="154">
        <v>1.003154758288082E-2</v>
      </c>
      <c r="AA219" s="156">
        <v>9.1670076880390194E-3</v>
      </c>
    </row>
    <row r="220" spans="19:27" x14ac:dyDescent="0.2">
      <c r="S220" s="1"/>
      <c r="T220" s="117"/>
      <c r="W220" s="75" t="str">
        <f t="shared" si="14"/>
        <v>1D</v>
      </c>
      <c r="X220" s="148">
        <f>_xll.qlCalendarAdvance(Calendar,X219,W220,"f",FALSE)</f>
        <v>42209</v>
      </c>
      <c r="Y220" s="153">
        <f>_xll.qlCalendarAdvance(Calendar,X220,NDays&amp;"D")</f>
        <v>42209</v>
      </c>
      <c r="Z220" s="154">
        <v>1.0070040755058325E-2</v>
      </c>
      <c r="AA220" s="156">
        <v>9.2036570057559466E-3</v>
      </c>
    </row>
    <row r="221" spans="19:27" x14ac:dyDescent="0.2">
      <c r="S221" s="1"/>
      <c r="T221" s="117"/>
      <c r="W221" s="75" t="str">
        <f t="shared" si="14"/>
        <v>1D</v>
      </c>
      <c r="X221" s="148">
        <f>_xll.qlCalendarAdvance(Calendar,X220,W221,"f",FALSE)</f>
        <v>42212</v>
      </c>
      <c r="Y221" s="153">
        <f>_xll.qlCalendarAdvance(Calendar,X221,NDays&amp;"D")</f>
        <v>42212</v>
      </c>
      <c r="Z221" s="154">
        <v>1.0107601181084102E-2</v>
      </c>
      <c r="AA221" s="156">
        <v>9.239903497495483E-3</v>
      </c>
    </row>
    <row r="222" spans="19:27" x14ac:dyDescent="0.2">
      <c r="S222" s="1"/>
      <c r="T222" s="117"/>
      <c r="W222" s="75" t="str">
        <f t="shared" si="14"/>
        <v>1D</v>
      </c>
      <c r="X222" s="148">
        <f>_xll.qlCalendarAdvance(Calendar,X221,W222,"f",FALSE)</f>
        <v>42213</v>
      </c>
      <c r="Y222" s="153">
        <f>_xll.qlCalendarAdvance(Calendar,X222,NDays&amp;"D")</f>
        <v>42213</v>
      </c>
      <c r="Z222" s="154">
        <v>1.0126648055118613E-2</v>
      </c>
      <c r="AA222" s="156">
        <v>9.2581734274754801E-3</v>
      </c>
    </row>
    <row r="223" spans="19:27" x14ac:dyDescent="0.2">
      <c r="S223" s="1"/>
      <c r="T223" s="117"/>
      <c r="W223" s="75" t="str">
        <f t="shared" si="14"/>
        <v>1D</v>
      </c>
      <c r="X223" s="148">
        <f>_xll.qlCalendarAdvance(Calendar,X222,W223,"f",FALSE)</f>
        <v>42214</v>
      </c>
      <c r="Y223" s="153">
        <f>_xll.qlCalendarAdvance(Calendar,X223,NDays&amp;"D")</f>
        <v>42214</v>
      </c>
      <c r="Z223" s="154">
        <v>1.0145708055856279E-2</v>
      </c>
      <c r="AA223" s="156">
        <v>9.2764617484775158E-3</v>
      </c>
    </row>
    <row r="224" spans="19:27" x14ac:dyDescent="0.2">
      <c r="S224" s="1"/>
      <c r="T224" s="117"/>
      <c r="W224" s="75" t="str">
        <f t="shared" si="14"/>
        <v>1D</v>
      </c>
      <c r="X224" s="148">
        <f>_xll.qlCalendarAdvance(Calendar,X223,W224,"f",FALSE)</f>
        <v>42215</v>
      </c>
      <c r="Y224" s="153">
        <f>_xll.qlCalendarAdvance(Calendar,X224,NDays&amp;"D")</f>
        <v>42215</v>
      </c>
      <c r="Z224" s="154">
        <v>1.0164781051746653E-2</v>
      </c>
      <c r="AA224" s="156">
        <v>9.2947684606636827E-3</v>
      </c>
    </row>
    <row r="225" spans="19:27" x14ac:dyDescent="0.2">
      <c r="S225" s="1"/>
      <c r="T225" s="117"/>
      <c r="W225" s="75" t="str">
        <f t="shared" si="14"/>
        <v>1D</v>
      </c>
      <c r="X225" s="148">
        <f>_xll.qlCalendarAdvance(Calendar,X224,W225,"f",FALSE)</f>
        <v>42216</v>
      </c>
      <c r="Y225" s="153">
        <f>_xll.qlCalendarAdvance(Calendar,X225,NDays&amp;"D")</f>
        <v>42216</v>
      </c>
      <c r="Z225" s="154">
        <v>1.0174082545447204E-2</v>
      </c>
      <c r="AA225" s="156">
        <v>9.3316817540597032E-3</v>
      </c>
    </row>
    <row r="226" spans="19:27" x14ac:dyDescent="0.2">
      <c r="S226" s="1"/>
      <c r="T226" s="117"/>
      <c r="W226" s="75" t="str">
        <f t="shared" si="14"/>
        <v>1D</v>
      </c>
      <c r="X226" s="148">
        <f>_xll.qlCalendarAdvance(Calendar,X225,W226,"f",FALSE)</f>
        <v>42219</v>
      </c>
      <c r="Y226" s="153">
        <f>_xll.qlCalendarAdvance(Calendar,X226,NDays&amp;"D")</f>
        <v>42219</v>
      </c>
      <c r="Z226" s="154">
        <v>1.0241200355762861E-2</v>
      </c>
      <c r="AA226" s="156">
        <v>9.3681792197908287E-3</v>
      </c>
    </row>
    <row r="227" spans="19:27" x14ac:dyDescent="0.2">
      <c r="S227" s="1"/>
      <c r="T227" s="117"/>
      <c r="W227" s="75" t="str">
        <f t="shared" si="14"/>
        <v>1D</v>
      </c>
      <c r="X227" s="148">
        <f>_xll.qlCalendarAdvance(Calendar,X226,W227,"f",FALSE)</f>
        <v>42220</v>
      </c>
      <c r="Y227" s="153">
        <f>_xll.qlCalendarAdvance(Calendar,X227,NDays&amp;"D")</f>
        <v>42220</v>
      </c>
      <c r="Z227" s="154">
        <v>1.0260336354090476E-2</v>
      </c>
      <c r="AA227" s="156">
        <v>9.3865778871682348E-3</v>
      </c>
    </row>
    <row r="228" spans="19:27" x14ac:dyDescent="0.2">
      <c r="S228" s="1"/>
      <c r="T228" s="117"/>
      <c r="W228" s="75" t="str">
        <f t="shared" si="14"/>
        <v>1D</v>
      </c>
      <c r="X228" s="148">
        <f>_xll.qlCalendarAdvance(Calendar,X227,W228,"f",FALSE)</f>
        <v>42221</v>
      </c>
      <c r="Y228" s="153">
        <f>_xll.qlCalendarAdvance(Calendar,X228,NDays&amp;"D")</f>
        <v>42221</v>
      </c>
      <c r="Z228" s="154">
        <v>1.027948455822319E-2</v>
      </c>
      <c r="AA228" s="156">
        <v>9.4049949457297721E-3</v>
      </c>
    </row>
    <row r="229" spans="19:27" x14ac:dyDescent="0.2">
      <c r="S229" s="1"/>
      <c r="T229" s="117"/>
      <c r="W229" s="75" t="str">
        <f t="shared" si="14"/>
        <v>1D</v>
      </c>
      <c r="X229" s="148">
        <f>_xll.qlCalendarAdvance(Calendar,X228,W229,"f",FALSE)</f>
        <v>42222</v>
      </c>
      <c r="Y229" s="153">
        <f>_xll.qlCalendarAdvance(Calendar,X229,NDays&amp;"D")</f>
        <v>42222</v>
      </c>
      <c r="Z229" s="154">
        <v>1.0298644836594697E-2</v>
      </c>
      <c r="AA229" s="156">
        <v>9.423430395313348E-3</v>
      </c>
    </row>
    <row r="230" spans="19:27" x14ac:dyDescent="0.2">
      <c r="S230" s="1"/>
      <c r="T230" s="117"/>
      <c r="W230" s="75" t="str">
        <f t="shared" si="14"/>
        <v>1D</v>
      </c>
      <c r="X230" s="148">
        <f>_xll.qlCalendarAdvance(Calendar,X229,W230,"f",FALSE)</f>
        <v>42223</v>
      </c>
      <c r="Y230" s="153">
        <f>_xll.qlCalendarAdvance(Calendar,X230,NDays&amp;"D")</f>
        <v>42223</v>
      </c>
      <c r="Z230" s="154">
        <v>1.0337467370906779E-2</v>
      </c>
      <c r="AA230" s="156">
        <v>9.4606078011675691E-3</v>
      </c>
    </row>
    <row r="231" spans="19:27" x14ac:dyDescent="0.2">
      <c r="S231" s="1"/>
      <c r="T231" s="117"/>
      <c r="W231" s="75" t="str">
        <f t="shared" si="14"/>
        <v>1D</v>
      </c>
      <c r="X231" s="148">
        <f>_xll.qlCalendarAdvance(Calendar,X230,W231,"f",FALSE)</f>
        <v>42226</v>
      </c>
      <c r="Y231" s="153">
        <f>_xll.qlCalendarAdvance(Calendar,X231,NDays&amp;"D")</f>
        <v>42226</v>
      </c>
      <c r="Z231" s="154">
        <v>1.0375404061051866E-2</v>
      </c>
      <c r="AA231" s="156">
        <v>9.4973561045974542E-3</v>
      </c>
    </row>
    <row r="232" spans="19:27" x14ac:dyDescent="0.2">
      <c r="S232" s="1"/>
      <c r="T232" s="117"/>
      <c r="W232" s="75" t="str">
        <f t="shared" si="14"/>
        <v>1D</v>
      </c>
      <c r="X232" s="148">
        <f>_xll.qlCalendarAdvance(Calendar,X231,W232,"f",FALSE)</f>
        <v>42227</v>
      </c>
      <c r="Y232" s="153">
        <f>_xll.qlCalendarAdvance(Calendar,X232,NDays&amp;"D")</f>
        <v>42227</v>
      </c>
      <c r="Z232" s="154">
        <v>1.0394622737033819E-2</v>
      </c>
      <c r="AA232" s="156">
        <v>9.5158835095343619E-3</v>
      </c>
    </row>
    <row r="233" spans="19:27" x14ac:dyDescent="0.2">
      <c r="S233" s="1"/>
      <c r="T233" s="117"/>
      <c r="W233" s="75" t="str">
        <f t="shared" si="14"/>
        <v>1D</v>
      </c>
      <c r="X233" s="148">
        <f>_xll.qlCalendarAdvance(Calendar,X232,W233,"f",FALSE)</f>
        <v>42228</v>
      </c>
      <c r="Y233" s="153">
        <f>_xll.qlCalendarAdvance(Calendar,X233,NDays&amp;"D")</f>
        <v>42228</v>
      </c>
      <c r="Z233" s="154">
        <v>1.0413852697804767E-2</v>
      </c>
      <c r="AA233" s="156">
        <v>9.5344293057364471E-3</v>
      </c>
    </row>
    <row r="234" spans="19:27" x14ac:dyDescent="0.2">
      <c r="S234" s="1"/>
      <c r="T234" s="117"/>
      <c r="W234" s="75" t="str">
        <f t="shared" si="14"/>
        <v>1D</v>
      </c>
      <c r="X234" s="148">
        <f>_xll.qlCalendarAdvance(Calendar,X233,W234,"f",FALSE)</f>
        <v>42229</v>
      </c>
      <c r="Y234" s="153">
        <f>_xll.qlCalendarAdvance(Calendar,X234,NDays&amp;"D")</f>
        <v>42229</v>
      </c>
      <c r="Z234" s="154">
        <v>1.0433093811779908E-2</v>
      </c>
      <c r="AA234" s="156">
        <v>9.5529934928795246E-3</v>
      </c>
    </row>
    <row r="235" spans="19:27" x14ac:dyDescent="0.2">
      <c r="S235" s="1"/>
      <c r="T235" s="117"/>
      <c r="W235" s="75" t="str">
        <f t="shared" si="14"/>
        <v>1D</v>
      </c>
      <c r="X235" s="148">
        <f>_xll.qlCalendarAdvance(Calendar,X234,W235,"f",FALSE)</f>
        <v>42230</v>
      </c>
      <c r="Y235" s="153">
        <f>_xll.qlCalendarAdvance(Calendar,X235,NDays&amp;"D")</f>
        <v>42230</v>
      </c>
      <c r="Z235" s="154">
        <v>1.0472062637274304E-2</v>
      </c>
      <c r="AA235" s="156">
        <v>9.5904351499972087E-3</v>
      </c>
    </row>
    <row r="236" spans="19:27" x14ac:dyDescent="0.2">
      <c r="S236" s="1"/>
      <c r="T236" s="117"/>
      <c r="W236" s="75" t="str">
        <f t="shared" si="14"/>
        <v>1D</v>
      </c>
      <c r="X236" s="148">
        <f>_xll.qlCalendarAdvance(Calendar,X235,W236,"f",FALSE)</f>
        <v>42233</v>
      </c>
      <c r="Y236" s="153">
        <f>_xll.qlCalendarAdvance(Calendar,X236,NDays&amp;"D")</f>
        <v>42233</v>
      </c>
      <c r="Z236" s="154">
        <v>1.0510167167977889E-2</v>
      </c>
      <c r="AA236" s="156">
        <v>9.6274341528879148E-3</v>
      </c>
    </row>
    <row r="237" spans="19:27" x14ac:dyDescent="0.2">
      <c r="S237" s="1"/>
      <c r="T237" s="117"/>
      <c r="W237" s="75" t="str">
        <f t="shared" si="14"/>
        <v>1D</v>
      </c>
      <c r="X237" s="148">
        <f>_xll.qlCalendarAdvance(Calendar,X236,W237,"f",FALSE)</f>
        <v>42234</v>
      </c>
      <c r="Y237" s="153">
        <f>_xll.qlCalendarAdvance(Calendar,X237,NDays&amp;"D")</f>
        <v>42234</v>
      </c>
      <c r="Z237" s="154">
        <v>1.0529462074140282E-2</v>
      </c>
      <c r="AA237" s="156">
        <v>9.646090295627463E-3</v>
      </c>
    </row>
    <row r="238" spans="19:27" x14ac:dyDescent="0.2">
      <c r="S238" s="1"/>
      <c r="T238" s="117"/>
      <c r="W238" s="75" t="str">
        <f t="shared" si="14"/>
        <v>1D</v>
      </c>
      <c r="X238" s="148">
        <f>_xll.qlCalendarAdvance(Calendar,X237,W238,"f",FALSE)</f>
        <v>42235</v>
      </c>
      <c r="Y238" s="153">
        <f>_xll.qlCalendarAdvance(Calendar,X238,NDays&amp;"D")</f>
        <v>42235</v>
      </c>
      <c r="Z238" s="154">
        <v>1.0548767343954881E-2</v>
      </c>
      <c r="AA238" s="156">
        <v>9.6647648295511424E-3</v>
      </c>
    </row>
    <row r="239" spans="19:27" x14ac:dyDescent="0.2">
      <c r="S239" s="1"/>
      <c r="T239" s="117"/>
      <c r="W239" s="75" t="str">
        <f t="shared" si="14"/>
        <v>1D</v>
      </c>
      <c r="X239" s="148">
        <f>_xll.qlCalendarAdvance(Calendar,X238,W239,"f",FALSE)</f>
        <v>42236</v>
      </c>
      <c r="Y239" s="153">
        <f>_xll.qlCalendarAdvance(Calendar,X239,NDays&amp;"D")</f>
        <v>42236</v>
      </c>
      <c r="Z239" s="154">
        <v>1.0568082845820146E-2</v>
      </c>
      <c r="AA239" s="156">
        <v>9.6834577545779066E-3</v>
      </c>
    </row>
    <row r="240" spans="19:27" x14ac:dyDescent="0.2">
      <c r="S240" s="1"/>
      <c r="T240" s="117"/>
      <c r="W240" s="75" t="str">
        <f t="shared" si="14"/>
        <v>1D</v>
      </c>
      <c r="X240" s="148">
        <f>_xll.qlCalendarAdvance(Calendar,X239,W240,"f",FALSE)</f>
        <v>42237</v>
      </c>
      <c r="Y240" s="153">
        <f>_xll.qlCalendarAdvance(Calendar,X240,NDays&amp;"D")</f>
        <v>42237</v>
      </c>
      <c r="Z240" s="154">
        <v>1.06071869807113E-2</v>
      </c>
      <c r="AA240" s="156">
        <v>9.7211638033852434E-3</v>
      </c>
    </row>
    <row r="241" spans="19:27" x14ac:dyDescent="0.2">
      <c r="S241" s="1"/>
      <c r="T241" s="117"/>
      <c r="W241" s="75" t="str">
        <f t="shared" si="14"/>
        <v>1D</v>
      </c>
      <c r="X241" s="148">
        <f>_xll.qlCalendarAdvance(Calendar,X240,W241,"f",FALSE)</f>
        <v>42240</v>
      </c>
      <c r="Y241" s="153">
        <f>_xll.qlCalendarAdvance(Calendar,X241,NDays&amp;"D")</f>
        <v>42240</v>
      </c>
      <c r="Z241" s="154">
        <v>1.064544454169449E-2</v>
      </c>
      <c r="AA241" s="156">
        <v>9.7584133657158123E-3</v>
      </c>
    </row>
    <row r="242" spans="19:27" x14ac:dyDescent="0.2">
      <c r="S242" s="1"/>
      <c r="T242" s="117"/>
      <c r="W242" s="75" t="str">
        <f t="shared" si="14"/>
        <v>1D</v>
      </c>
      <c r="X242" s="148">
        <f>_xll.qlCalendarAdvance(Calendar,X241,W242,"f",FALSE)</f>
        <v>42241</v>
      </c>
      <c r="Y242" s="153">
        <f>_xll.qlCalendarAdvance(Calendar,X242,NDays&amp;"D")</f>
        <v>42241</v>
      </c>
      <c r="Z242" s="154">
        <v>1.0664809229717727E-2</v>
      </c>
      <c r="AA242" s="156">
        <v>9.7771982464200935E-3</v>
      </c>
    </row>
    <row r="243" spans="19:27" x14ac:dyDescent="0.2">
      <c r="S243" s="1"/>
      <c r="T243" s="117"/>
      <c r="W243" s="75" t="str">
        <f t="shared" si="14"/>
        <v>1D</v>
      </c>
      <c r="X243" s="148">
        <f>_xll.qlCalendarAdvance(Calendar,X242,W243,"f",FALSE)</f>
        <v>42242</v>
      </c>
      <c r="Y243" s="153">
        <f>_xll.qlCalendarAdvance(Calendar,X243,NDays&amp;"D")</f>
        <v>42242</v>
      </c>
      <c r="Z243" s="154">
        <v>1.0684183360135692E-2</v>
      </c>
      <c r="AA243" s="156">
        <v>9.7960015181464133E-3</v>
      </c>
    </row>
    <row r="244" spans="19:27" x14ac:dyDescent="0.2">
      <c r="S244" s="1"/>
      <c r="T244" s="117"/>
      <c r="W244" s="75" t="str">
        <f t="shared" si="14"/>
        <v>1D</v>
      </c>
      <c r="X244" s="148">
        <f>_xll.qlCalendarAdvance(Calendar,X243,W244,"f",FALSE)</f>
        <v>42243</v>
      </c>
      <c r="Y244" s="153">
        <f>_xll.qlCalendarAdvance(Calendar,X244,NDays&amp;"D")</f>
        <v>42243</v>
      </c>
      <c r="Z244" s="154">
        <v>1.0703566801330989E-2</v>
      </c>
      <c r="AA244" s="156">
        <v>9.8148231810568642E-3</v>
      </c>
    </row>
    <row r="245" spans="19:27" x14ac:dyDescent="0.2">
      <c r="S245" s="1"/>
      <c r="T245" s="117"/>
      <c r="W245" s="75" t="str">
        <f t="shared" si="14"/>
        <v>1D</v>
      </c>
      <c r="X245" s="148">
        <f>_xll.qlCalendarAdvance(Calendar,X244,W245,"f",FALSE)</f>
        <v>42244</v>
      </c>
      <c r="Y245" s="153">
        <f>_xll.qlCalendarAdvance(Calendar,X245,NDays&amp;"D")</f>
        <v>42244</v>
      </c>
      <c r="Z245" s="154">
        <v>1.0742796222422796E-2</v>
      </c>
      <c r="AA245" s="156">
        <v>9.8623689928306613E-3</v>
      </c>
    </row>
    <row r="246" spans="19:27" x14ac:dyDescent="0.2">
      <c r="S246" s="1"/>
      <c r="T246" s="117"/>
      <c r="W246" s="75" t="str">
        <f t="shared" si="14"/>
        <v>1D</v>
      </c>
      <c r="X246" s="148">
        <f>_xll.qlCalendarAdvance(Calendar,X245,W246,"f",FALSE)</f>
        <v>42248</v>
      </c>
      <c r="Y246" s="153">
        <f>_xll.qlCalendarAdvance(Calendar,X246,NDays&amp;"D")</f>
        <v>42248</v>
      </c>
      <c r="Z246" s="154">
        <v>1.0790688729603577E-2</v>
      </c>
      <c r="AA246" s="156">
        <v>9.9092073627227162E-3</v>
      </c>
    </row>
    <row r="247" spans="19:27" x14ac:dyDescent="0.2">
      <c r="S247" s="1"/>
      <c r="T247" s="117"/>
      <c r="W247" s="75" t="str">
        <f t="shared" si="14"/>
        <v>1D</v>
      </c>
      <c r="X247" s="148">
        <f>_xll.qlCalendarAdvance(Calendar,X246,W247,"f",FALSE)</f>
        <v>42249</v>
      </c>
      <c r="Y247" s="153">
        <f>_xll.qlCalendarAdvance(Calendar,X247,NDays&amp;"D")</f>
        <v>42249</v>
      </c>
      <c r="Z247" s="154">
        <v>1.081012131636928E-2</v>
      </c>
      <c r="AA247" s="156">
        <v>9.9281393724948153E-3</v>
      </c>
    </row>
    <row r="248" spans="19:27" x14ac:dyDescent="0.2">
      <c r="S248" s="1"/>
      <c r="T248" s="117"/>
      <c r="W248" s="75" t="str">
        <f t="shared" si="14"/>
        <v>1D</v>
      </c>
      <c r="X248" s="148">
        <f>_xll.qlCalendarAdvance(Calendar,X247,W248,"f",FALSE)</f>
        <v>42250</v>
      </c>
      <c r="Y248" s="153">
        <f>_xll.qlCalendarAdvance(Calendar,X248,NDays&amp;"D")</f>
        <v>42250</v>
      </c>
      <c r="Z248" s="154">
        <v>1.0829562312896968E-2</v>
      </c>
      <c r="AA248" s="156">
        <v>9.9470897734510455E-3</v>
      </c>
    </row>
    <row r="249" spans="19:27" x14ac:dyDescent="0.2">
      <c r="S249" s="1"/>
      <c r="T249" s="117"/>
      <c r="W249" s="75" t="str">
        <f t="shared" si="14"/>
        <v>1D</v>
      </c>
      <c r="X249" s="148">
        <f>_xll.qlCalendarAdvance(Calendar,X248,W249,"f",FALSE)</f>
        <v>42251</v>
      </c>
      <c r="Y249" s="153">
        <f>_xll.qlCalendarAdvance(Calendar,X249,NDays&amp;"D")</f>
        <v>42251</v>
      </c>
      <c r="Z249" s="154">
        <v>1.0849011586105083E-2</v>
      </c>
      <c r="AA249" s="156">
        <v>9.9853250355341778E-3</v>
      </c>
    </row>
    <row r="250" spans="19:27" x14ac:dyDescent="0.2">
      <c r="S250" s="1"/>
      <c r="T250" s="117"/>
      <c r="W250" s="75" t="str">
        <f t="shared" si="14"/>
        <v>1D</v>
      </c>
      <c r="X250" s="148">
        <f>_xll.qlCalendarAdvance(Calendar,X249,W250,"f",FALSE)</f>
        <v>42254</v>
      </c>
      <c r="Y250" s="153">
        <f>_xll.qlCalendarAdvance(Calendar,X250,NDays&amp;"D")</f>
        <v>42254</v>
      </c>
      <c r="Z250" s="154">
        <v>1.0907407734937657E-2</v>
      </c>
      <c r="AA250" s="156">
        <v>1.0023075288874139E-2</v>
      </c>
    </row>
    <row r="251" spans="19:27" x14ac:dyDescent="0.2">
      <c r="S251" s="1"/>
      <c r="T251" s="117"/>
      <c r="W251" s="75" t="str">
        <f t="shared" si="14"/>
        <v>1D</v>
      </c>
      <c r="X251" s="148">
        <f>_xll.qlCalendarAdvance(Calendar,X250,W251,"f",FALSE)</f>
        <v>42255</v>
      </c>
      <c r="Y251" s="153">
        <f>_xll.qlCalendarAdvance(Calendar,X251,NDays&amp;"D")</f>
        <v>42255</v>
      </c>
      <c r="Z251" s="154">
        <v>1.092688878398335E-2</v>
      </c>
      <c r="AA251" s="156">
        <v>1.0042117645669979E-2</v>
      </c>
    </row>
    <row r="252" spans="19:27" x14ac:dyDescent="0.2">
      <c r="S252" s="1"/>
      <c r="T252" s="117"/>
      <c r="W252" s="75" t="str">
        <f t="shared" si="14"/>
        <v>1D</v>
      </c>
      <c r="X252" s="148">
        <f>_xll.qlCalendarAdvance(Calendar,X251,W252,"f",FALSE)</f>
        <v>42256</v>
      </c>
      <c r="Y252" s="153">
        <f>_xll.qlCalendarAdvance(Calendar,X252,NDays&amp;"D")</f>
        <v>42256</v>
      </c>
      <c r="Z252" s="154">
        <v>1.0946377444257161E-2</v>
      </c>
      <c r="AA252" s="156">
        <v>1.006117839364995E-2</v>
      </c>
    </row>
    <row r="253" spans="19:27" x14ac:dyDescent="0.2">
      <c r="S253" s="1"/>
      <c r="T253" s="117"/>
      <c r="W253" s="75" t="str">
        <f t="shared" si="14"/>
        <v>1D</v>
      </c>
      <c r="X253" s="148">
        <f>_xll.qlCalendarAdvance(Calendar,X252,W253,"f",FALSE)</f>
        <v>42257</v>
      </c>
      <c r="Y253" s="153">
        <f>_xll.qlCalendarAdvance(Calendar,X253,NDays&amp;"D")</f>
        <v>42257</v>
      </c>
      <c r="Z253" s="154">
        <v>1.0965873582657942E-2</v>
      </c>
      <c r="AA253" s="156">
        <v>1.0080257532733006E-2</v>
      </c>
    </row>
    <row r="254" spans="19:27" x14ac:dyDescent="0.2">
      <c r="S254" s="1"/>
      <c r="T254" s="117"/>
      <c r="W254" s="75" t="str">
        <f t="shared" si="14"/>
        <v>1D</v>
      </c>
      <c r="X254" s="148">
        <f>_xll.qlCalendarAdvance(Calendar,X253,W254,"f",FALSE)</f>
        <v>42258</v>
      </c>
      <c r="Y254" s="153">
        <f>_xll.qlCalendarAdvance(Calendar,X254,NDays&amp;"D")</f>
        <v>42258</v>
      </c>
      <c r="Z254" s="154">
        <v>1.0985377066088107E-2</v>
      </c>
      <c r="AA254" s="156">
        <v>1.0118757620184439E-2</v>
      </c>
    </row>
    <row r="255" spans="19:27" x14ac:dyDescent="0.2">
      <c r="S255" s="1"/>
      <c r="T255" s="117"/>
      <c r="W255" s="75" t="str">
        <f t="shared" si="14"/>
        <v>1D</v>
      </c>
      <c r="X255" s="148">
        <f>_xll.qlCalendarAdvance(Calendar,X254,W255,"f",FALSE)</f>
        <v>42261</v>
      </c>
      <c r="Y255" s="153">
        <f>_xll.qlCalendarAdvance(Calendar,X255,NDays&amp;"D")</f>
        <v>42261</v>
      </c>
      <c r="Z255" s="154">
        <v>1.1043930255497988E-2</v>
      </c>
      <c r="AA255" s="156">
        <v>1.0156758001149679E-2</v>
      </c>
    </row>
    <row r="256" spans="19:27" x14ac:dyDescent="0.2">
      <c r="S256" s="1"/>
      <c r="T256" s="117"/>
      <c r="W256" s="75" t="str">
        <f t="shared" si="14"/>
        <v>1D</v>
      </c>
      <c r="X256" s="148">
        <f>_xll.qlCalendarAdvance(Calendar,X255,W256,"f",FALSE)</f>
        <v>42262</v>
      </c>
      <c r="Y256" s="153">
        <f>_xll.qlCalendarAdvance(Calendar,X256,NDays&amp;"D")</f>
        <v>42262</v>
      </c>
      <c r="Z256" s="154">
        <v>1.1063461787980757E-2</v>
      </c>
      <c r="AA256" s="156">
        <v>1.0175929096153391E-2</v>
      </c>
    </row>
    <row r="257" spans="19:27" x14ac:dyDescent="0.2">
      <c r="S257" s="1"/>
      <c r="T257" s="117"/>
      <c r="W257" s="75" t="str">
        <f t="shared" si="14"/>
        <v>1D</v>
      </c>
      <c r="X257" s="148">
        <f>_xll.qlCalendarAdvance(Calendar,X256,W257,"f",FALSE)</f>
        <v>42263</v>
      </c>
      <c r="Y257" s="153">
        <f>_xll.qlCalendarAdvance(Calendar,X257,NDays&amp;"D")</f>
        <v>42263</v>
      </c>
      <c r="Z257" s="154">
        <v>1.1082999999949756E-2</v>
      </c>
      <c r="AA257" s="156">
        <v>1.019511858242228E-2</v>
      </c>
    </row>
    <row r="258" spans="19:27" x14ac:dyDescent="0.2">
      <c r="S258" s="1"/>
      <c r="T258" s="117"/>
      <c r="W258" s="75" t="str">
        <f t="shared" si="14"/>
        <v>1D</v>
      </c>
      <c r="X258" s="148">
        <f>_xll.qlCalendarAdvance(Calendar,X257,W258,"f",FALSE)</f>
        <v>42264</v>
      </c>
      <c r="Y258" s="153">
        <f>_xll.qlCalendarAdvance(Calendar,X258,NDays&amp;"D")</f>
        <v>42264</v>
      </c>
      <c r="Z258" s="154">
        <v>1.1102544710737688E-2</v>
      </c>
      <c r="AA258" s="156">
        <v>1.021432444506476E-2</v>
      </c>
    </row>
    <row r="259" spans="19:27" x14ac:dyDescent="0.2">
      <c r="S259" s="1"/>
      <c r="T259" s="117"/>
      <c r="W259" s="75" t="str">
        <f t="shared" si="14"/>
        <v>1D</v>
      </c>
      <c r="X259" s="148">
        <f>_xll.qlCalendarAdvance(Calendar,X258,W259,"f",FALSE)</f>
        <v>42265</v>
      </c>
      <c r="Y259" s="153">
        <f>_xll.qlCalendarAdvance(Calendar,X259,NDays&amp;"D")</f>
        <v>42265</v>
      </c>
      <c r="Z259" s="154">
        <v>1.1122095571673655E-2</v>
      </c>
      <c r="AA259" s="156">
        <v>1.0253049206530401E-2</v>
      </c>
    </row>
    <row r="260" spans="19:27" x14ac:dyDescent="0.2">
      <c r="S260" s="1"/>
      <c r="T260" s="117"/>
      <c r="W260" s="75" t="str">
        <f t="shared" si="14"/>
        <v>1D</v>
      </c>
      <c r="X260" s="148">
        <f>_xll.qlCalendarAdvance(Calendar,X259,W260,"f",FALSE)</f>
        <v>42268</v>
      </c>
      <c r="Y260" s="153">
        <f>_xll.qlCalendarAdvance(Calendar,X260,NDays&amp;"D")</f>
        <v>42268</v>
      </c>
      <c r="Z260" s="154">
        <v>1.1180782069937381E-2</v>
      </c>
      <c r="AA260" s="156">
        <v>1.0291218974762817E-2</v>
      </c>
    </row>
    <row r="261" spans="19:27" x14ac:dyDescent="0.2">
      <c r="S261" s="1"/>
      <c r="T261" s="117"/>
      <c r="W261" s="75" t="str">
        <f t="shared" si="14"/>
        <v>1D</v>
      </c>
      <c r="X261" s="148">
        <f>_xll.qlCalendarAdvance(Calendar,X260,W261,"f",FALSE)</f>
        <v>42269</v>
      </c>
      <c r="Y261" s="153">
        <f>_xll.qlCalendarAdvance(Calendar,X261,NDays&amp;"D")</f>
        <v>42269</v>
      </c>
      <c r="Z261" s="154">
        <v>1.1200354590410844E-2</v>
      </c>
      <c r="AA261" s="156">
        <v>1.0310458362199348E-2</v>
      </c>
    </row>
    <row r="262" spans="19:27" x14ac:dyDescent="0.2">
      <c r="S262" s="1"/>
      <c r="T262" s="117"/>
      <c r="W262" s="75" t="str">
        <f t="shared" si="14"/>
        <v>1D</v>
      </c>
      <c r="X262" s="148">
        <f>_xll.qlCalendarAdvance(Calendar,X261,W262,"f",FALSE)</f>
        <v>42270</v>
      </c>
      <c r="Y262" s="153">
        <f>_xll.qlCalendarAdvance(Calendar,X262,NDays&amp;"D")</f>
        <v>42270</v>
      </c>
      <c r="Z262" s="154">
        <v>1.1219931812681867E-2</v>
      </c>
      <c r="AA262" s="156">
        <v>1.0329704051632582E-2</v>
      </c>
    </row>
    <row r="263" spans="19:27" x14ac:dyDescent="0.2">
      <c r="S263" s="1"/>
      <c r="T263" s="117"/>
      <c r="W263" s="75" t="str">
        <f t="shared" si="14"/>
        <v>1D</v>
      </c>
      <c r="X263" s="148">
        <f>_xll.qlCalendarAdvance(Calendar,X262,W263,"f",FALSE)</f>
        <v>42271</v>
      </c>
      <c r="Y263" s="153">
        <f>_xll.qlCalendarAdvance(Calendar,X263,NDays&amp;"D")</f>
        <v>42271</v>
      </c>
      <c r="Z263" s="154">
        <v>1.1239513451501383E-2</v>
      </c>
      <c r="AA263" s="156">
        <v>1.0348956043062518E-2</v>
      </c>
    </row>
    <row r="264" spans="19:27" x14ac:dyDescent="0.2">
      <c r="S264" s="1"/>
      <c r="T264" s="117"/>
      <c r="W264" s="75" t="str">
        <f t="shared" si="14"/>
        <v>1D</v>
      </c>
      <c r="X264" s="148">
        <f>_xll.qlCalendarAdvance(Calendar,X263,W264,"f",FALSE)</f>
        <v>42272</v>
      </c>
      <c r="Y264" s="153">
        <f>_xll.qlCalendarAdvance(Calendar,X264,NDays&amp;"D")</f>
        <v>42272</v>
      </c>
      <c r="Z264" s="154">
        <v>1.1299139958973598E-2</v>
      </c>
      <c r="AA264" s="156">
        <v>1.0387776650859401E-2</v>
      </c>
    </row>
    <row r="265" spans="19:27" x14ac:dyDescent="0.2">
      <c r="S265" s="1"/>
      <c r="T265" s="117"/>
      <c r="W265" s="75" t="str">
        <f t="shared" si="14"/>
        <v>1D</v>
      </c>
      <c r="X265" s="148">
        <f>_xll.qlCalendarAdvance(Calendar,X264,W265,"f",FALSE)</f>
        <v>42275</v>
      </c>
      <c r="Y265" s="153">
        <f>_xll.qlCalendarAdvance(Calendar,X265,NDays&amp;"D")</f>
        <v>42275</v>
      </c>
      <c r="Z265" s="154">
        <v>1.1327891163852926E-2</v>
      </c>
      <c r="AA265" s="156">
        <v>1.0426027028749285E-2</v>
      </c>
    </row>
    <row r="266" spans="19:27" x14ac:dyDescent="0.2">
      <c r="S266" s="1"/>
      <c r="T266" s="117"/>
      <c r="W266" s="75" t="str">
        <f t="shared" si="14"/>
        <v>1D</v>
      </c>
      <c r="X266" s="148">
        <f>_xll.qlCalendarAdvance(Calendar,X265,W266,"f",FALSE)</f>
        <v>42276</v>
      </c>
      <c r="Y266" s="153">
        <f>_xll.qlCalendarAdvance(Calendar,X266,NDays&amp;"D")</f>
        <v>42276</v>
      </c>
      <c r="Z266" s="154">
        <v>1.1337477909836583E-2</v>
      </c>
      <c r="AA266" s="156">
        <v>1.0445310530162732E-2</v>
      </c>
    </row>
    <row r="267" spans="19:27" x14ac:dyDescent="0.2">
      <c r="S267" s="1"/>
      <c r="T267" s="117"/>
      <c r="W267" s="75" t="str">
        <f t="shared" si="14"/>
        <v>1D</v>
      </c>
      <c r="X267" s="148">
        <f>_xll.qlCalendarAdvance(Calendar,X266,W267,"f",FALSE)</f>
        <v>42277</v>
      </c>
      <c r="Y267" s="153">
        <f>_xll.qlCalendarAdvance(Calendar,X267,NDays&amp;"D")</f>
        <v>42277</v>
      </c>
      <c r="Z267" s="154">
        <v>1.1367093290866543E-2</v>
      </c>
      <c r="AA267" s="156">
        <v>1.0464600333653928E-2</v>
      </c>
    </row>
    <row r="268" spans="19:27" x14ac:dyDescent="0.2">
      <c r="S268" s="1"/>
      <c r="T268" s="117"/>
      <c r="W268" s="75" t="str">
        <f t="shared" si="14"/>
        <v>1D</v>
      </c>
      <c r="X268" s="148">
        <f>_xll.qlCalendarAdvance(Calendar,X267,W268,"f",FALSE)</f>
        <v>42278</v>
      </c>
      <c r="Y268" s="153">
        <f>_xll.qlCalendarAdvance(Calendar,X268,NDays&amp;"D")</f>
        <v>42278</v>
      </c>
      <c r="Z268" s="154">
        <v>1.141673041606334E-2</v>
      </c>
      <c r="AA268" s="156">
        <v>1.048389643906078E-2</v>
      </c>
    </row>
    <row r="269" spans="19:27" x14ac:dyDescent="0.2">
      <c r="S269" s="1"/>
      <c r="T269" s="117"/>
      <c r="W269" s="75" t="str">
        <f t="shared" si="14"/>
        <v>1D</v>
      </c>
      <c r="X269" s="148">
        <f>_xll.qlCalendarAdvance(Calendar,X268,W269,"f",FALSE)</f>
        <v>42279</v>
      </c>
      <c r="Y269" s="153">
        <f>_xll.qlCalendarAdvance(Calendar,X269,NDays&amp;"D")</f>
        <v>42279</v>
      </c>
      <c r="Z269" s="154">
        <v>1.1426325983369585E-2</v>
      </c>
      <c r="AA269" s="156">
        <v>1.0522813010462874E-2</v>
      </c>
    </row>
    <row r="270" spans="19:27" x14ac:dyDescent="0.2">
      <c r="S270" s="1"/>
      <c r="T270" s="117"/>
      <c r="W270" s="75" t="str">
        <f t="shared" si="14"/>
        <v>1D</v>
      </c>
      <c r="X270" s="148">
        <f>_xll.qlCalendarAdvance(Calendar,X269,W270,"f",FALSE)</f>
        <v>42282</v>
      </c>
      <c r="Y270" s="153">
        <f>_xll.qlCalendarAdvance(Calendar,X270,NDays&amp;"D")</f>
        <v>42282</v>
      </c>
      <c r="Z270" s="154">
        <v>1.1465131854483522E-2</v>
      </c>
      <c r="AA270" s="156">
        <v>1.0561143880898349E-2</v>
      </c>
    </row>
    <row r="271" spans="19:27" x14ac:dyDescent="0.2">
      <c r="S271" s="1"/>
      <c r="T271" s="117"/>
      <c r="W271" s="75" t="str">
        <f t="shared" si="14"/>
        <v>1D</v>
      </c>
      <c r="X271" s="148">
        <f>_xll.qlCalendarAdvance(Calendar,X270,W271,"f",FALSE)</f>
        <v>42283</v>
      </c>
      <c r="Y271" s="153">
        <f>_xll.qlCalendarAdvance(Calendar,X271,NDays&amp;"D")</f>
        <v>42283</v>
      </c>
      <c r="Z271" s="154">
        <v>1.1484743008840757E-2</v>
      </c>
      <c r="AA271" s="156">
        <v>1.0580471496369759E-2</v>
      </c>
    </row>
    <row r="272" spans="19:27" x14ac:dyDescent="0.2">
      <c r="S272" s="1"/>
      <c r="T272" s="117"/>
      <c r="W272" s="75" t="str">
        <f t="shared" si="14"/>
        <v>1D</v>
      </c>
      <c r="X272" s="148">
        <f>_xll.qlCalendarAdvance(Calendar,X271,W272,"f",FALSE)</f>
        <v>42284</v>
      </c>
      <c r="Y272" s="153">
        <f>_xll.qlCalendarAdvance(Calendar,X272,NDays&amp;"D")</f>
        <v>42284</v>
      </c>
      <c r="Z272" s="154">
        <v>1.1504354651886801E-2</v>
      </c>
      <c r="AA272" s="156">
        <v>1.0599805413837871E-2</v>
      </c>
    </row>
    <row r="273" spans="19:27" x14ac:dyDescent="0.2">
      <c r="S273" s="1"/>
      <c r="T273" s="117"/>
      <c r="W273" s="75" t="str">
        <f t="shared" si="14"/>
        <v>1D</v>
      </c>
      <c r="X273" s="148">
        <f>_xll.qlCalendarAdvance(Calendar,X272,W273,"f",FALSE)</f>
        <v>42285</v>
      </c>
      <c r="Y273" s="153">
        <f>_xll.qlCalendarAdvance(Calendar,X273,NDays&amp;"D")</f>
        <v>42285</v>
      </c>
      <c r="Z273" s="154">
        <v>1.1523966501383272E-2</v>
      </c>
      <c r="AA273" s="156">
        <v>1.0619145633302685E-2</v>
      </c>
    </row>
    <row r="274" spans="19:27" x14ac:dyDescent="0.2">
      <c r="S274" s="1"/>
      <c r="T274" s="117"/>
      <c r="W274" s="75" t="str">
        <f t="shared" si="14"/>
        <v>1D</v>
      </c>
      <c r="X274" s="148">
        <f>_xll.qlCalendarAdvance(Calendar,X273,W274,"f",FALSE)</f>
        <v>42286</v>
      </c>
      <c r="Y274" s="153">
        <f>_xll.qlCalendarAdvance(Calendar,X274,NDays&amp;"D")</f>
        <v>42286</v>
      </c>
      <c r="Z274" s="154">
        <v>1.1563579427981236E-2</v>
      </c>
      <c r="AA274" s="156">
        <v>1.0658158286448451E-2</v>
      </c>
    </row>
    <row r="275" spans="19:27" x14ac:dyDescent="0.2">
      <c r="S275" s="1"/>
      <c r="T275" s="117"/>
      <c r="W275" s="75" t="str">
        <f t="shared" si="14"/>
        <v>1D</v>
      </c>
      <c r="X275" s="148">
        <f>_xll.qlCalendarAdvance(Calendar,X274,W275,"f",FALSE)</f>
        <v>42289</v>
      </c>
      <c r="Y275" s="153">
        <f>_xll.qlCalendarAdvance(Calendar,X275,NDays&amp;"D")</f>
        <v>42289</v>
      </c>
      <c r="Z275" s="154">
        <v>1.1602410318992009E-2</v>
      </c>
      <c r="AA275" s="156">
        <v>1.0696569531453148E-2</v>
      </c>
    </row>
    <row r="276" spans="19:27" x14ac:dyDescent="0.2">
      <c r="S276" s="1"/>
      <c r="T276" s="117"/>
      <c r="W276" s="75" t="str">
        <f t="shared" si="14"/>
        <v>1D</v>
      </c>
      <c r="X276" s="148">
        <f>_xll.qlCalendarAdvance(Calendar,X275,W276,"f",FALSE)</f>
        <v>42290</v>
      </c>
      <c r="Y276" s="153">
        <f>_xll.qlCalendarAdvance(Calendar,X276,NDays&amp;"D")</f>
        <v>42290</v>
      </c>
      <c r="Z276" s="154">
        <v>1.1622018967024722E-2</v>
      </c>
      <c r="AA276" s="156">
        <v>1.0715941261144613E-2</v>
      </c>
    </row>
    <row r="277" spans="19:27" x14ac:dyDescent="0.2">
      <c r="S277" s="1"/>
      <c r="T277" s="117"/>
      <c r="W277" s="75" t="str">
        <f t="shared" ref="W277:W340" si="15">W276</f>
        <v>1D</v>
      </c>
      <c r="X277" s="148">
        <f>_xll.qlCalendarAdvance(Calendar,X276,W277,"f",FALSE)</f>
        <v>42291</v>
      </c>
      <c r="Y277" s="153">
        <f>_xll.qlCalendarAdvance(Calendar,X277,NDays&amp;"D")</f>
        <v>42291</v>
      </c>
      <c r="Z277" s="154">
        <v>1.1641626127979752E-2</v>
      </c>
      <c r="AA277" s="156">
        <v>1.0735319292670686E-2</v>
      </c>
    </row>
    <row r="278" spans="19:27" x14ac:dyDescent="0.2">
      <c r="S278" s="1"/>
      <c r="T278" s="117"/>
      <c r="W278" s="75" t="str">
        <f t="shared" si="15"/>
        <v>1D</v>
      </c>
      <c r="X278" s="148">
        <f>_xll.qlCalendarAdvance(Calendar,X277,W278,"f",FALSE)</f>
        <v>42292</v>
      </c>
      <c r="Y278" s="153">
        <f>_xll.qlCalendarAdvance(Calendar,X278,NDays&amp;"D")</f>
        <v>42292</v>
      </c>
      <c r="Z278" s="154">
        <v>1.1661231519582595E-2</v>
      </c>
      <c r="AA278" s="156">
        <v>1.0754703626274509E-2</v>
      </c>
    </row>
    <row r="279" spans="19:27" x14ac:dyDescent="0.2">
      <c r="S279" s="1"/>
      <c r="T279" s="117"/>
      <c r="W279" s="75" t="str">
        <f t="shared" si="15"/>
        <v>1D</v>
      </c>
      <c r="X279" s="148">
        <f>_xll.qlCalendarAdvance(Calendar,X278,W279,"f",FALSE)</f>
        <v>42293</v>
      </c>
      <c r="Y279" s="153">
        <f>_xll.qlCalendarAdvance(Calendar,X279,NDays&amp;"D")</f>
        <v>42293</v>
      </c>
      <c r="Z279" s="154">
        <v>1.1700795416102354E-2</v>
      </c>
      <c r="AA279" s="156">
        <v>1.0793812479734656E-2</v>
      </c>
    </row>
    <row r="280" spans="19:27" x14ac:dyDescent="0.2">
      <c r="S280" s="1"/>
      <c r="T280" s="117"/>
      <c r="W280" s="75" t="str">
        <f t="shared" si="15"/>
        <v>1D</v>
      </c>
      <c r="X280" s="148">
        <f>_xll.qlCalendarAdvance(Calendar,X279,W280,"f",FALSE)</f>
        <v>42296</v>
      </c>
      <c r="Y280" s="153">
        <f>_xll.qlCalendarAdvance(Calendar,X280,NDays&amp;"D")</f>
        <v>42296</v>
      </c>
      <c r="Z280" s="154">
        <v>1.1739629746792556E-2</v>
      </c>
      <c r="AA280" s="156">
        <v>1.0832303980981006E-2</v>
      </c>
    </row>
    <row r="281" spans="19:27" x14ac:dyDescent="0.2">
      <c r="S281" s="1"/>
      <c r="T281" s="117"/>
      <c r="W281" s="75" t="str">
        <f t="shared" si="15"/>
        <v>1D</v>
      </c>
      <c r="X281" s="148">
        <f>_xll.qlCalendarAdvance(Calendar,X280,W281,"f",FALSE)</f>
        <v>42297</v>
      </c>
      <c r="Y281" s="153">
        <f>_xll.qlCalendarAdvance(Calendar,X281,NDays&amp;"D")</f>
        <v>42297</v>
      </c>
      <c r="Z281" s="154">
        <v>1.1759222057324823E-2</v>
      </c>
      <c r="AA281" s="156">
        <v>1.0851719824649386E-2</v>
      </c>
    </row>
    <row r="282" spans="19:27" x14ac:dyDescent="0.2">
      <c r="S282" s="1"/>
      <c r="T282" s="117"/>
      <c r="W282" s="75" t="str">
        <f t="shared" si="15"/>
        <v>1D</v>
      </c>
      <c r="X282" s="148">
        <f>_xll.qlCalendarAdvance(Calendar,X281,W282,"f",FALSE)</f>
        <v>42298</v>
      </c>
      <c r="Y282" s="153">
        <f>_xll.qlCalendarAdvance(Calendar,X282,NDays&amp;"D")</f>
        <v>42298</v>
      </c>
      <c r="Z282" s="154">
        <v>1.1778810904742466E-2</v>
      </c>
      <c r="AA282" s="156">
        <v>1.0871141970395515E-2</v>
      </c>
    </row>
    <row r="283" spans="19:27" x14ac:dyDescent="0.2">
      <c r="S283" s="1"/>
      <c r="T283" s="117"/>
      <c r="W283" s="75" t="str">
        <f t="shared" si="15"/>
        <v>1D</v>
      </c>
      <c r="X283" s="148">
        <f>_xll.qlCalendarAdvance(Calendar,X282,W283,"f",FALSE)</f>
        <v>42299</v>
      </c>
      <c r="Y283" s="153">
        <f>_xll.qlCalendarAdvance(Calendar,X283,NDays&amp;"D")</f>
        <v>42299</v>
      </c>
      <c r="Z283" s="154">
        <v>1.1798396006732213E-2</v>
      </c>
      <c r="AA283" s="156">
        <v>1.0890570418219392E-2</v>
      </c>
    </row>
    <row r="284" spans="19:27" x14ac:dyDescent="0.2">
      <c r="S284" s="1"/>
      <c r="T284" s="117"/>
      <c r="W284" s="75" t="str">
        <f t="shared" si="15"/>
        <v>1D</v>
      </c>
      <c r="X284" s="148">
        <f>_xll.qlCalendarAdvance(Calendar,X283,W284,"f",FALSE)</f>
        <v>42300</v>
      </c>
      <c r="Y284" s="153">
        <f>_xll.qlCalendarAdvance(Calendar,X284,NDays&amp;"D")</f>
        <v>42300</v>
      </c>
      <c r="Z284" s="154">
        <v>1.1837879180671165E-2</v>
      </c>
      <c r="AA284" s="156">
        <v>1.0929775591483153E-2</v>
      </c>
    </row>
    <row r="285" spans="19:27" x14ac:dyDescent="0.2">
      <c r="S285" s="1"/>
      <c r="T285" s="117"/>
      <c r="W285" s="75" t="str">
        <f t="shared" si="15"/>
        <v>1D</v>
      </c>
      <c r="X285" s="148">
        <f>_xll.qlCalendarAdvance(Calendar,X284,W285,"f",FALSE)</f>
        <v>42303</v>
      </c>
      <c r="Y285" s="153">
        <f>_xll.qlCalendarAdvance(Calendar,X285,NDays&amp;"D")</f>
        <v>42303</v>
      </c>
      <c r="Z285" s="154">
        <v>1.187669331394256E-2</v>
      </c>
      <c r="AA285" s="156">
        <v>1.0968347229562969E-2</v>
      </c>
    </row>
    <row r="286" spans="19:27" x14ac:dyDescent="0.2">
      <c r="S286" s="1"/>
      <c r="T286" s="117"/>
      <c r="W286" s="75" t="str">
        <f t="shared" si="15"/>
        <v>1D</v>
      </c>
      <c r="X286" s="148">
        <f>_xll.qlCalendarAdvance(Calendar,X285,W286,"f",FALSE)</f>
        <v>42304</v>
      </c>
      <c r="Y286" s="153">
        <f>_xll.qlCalendarAdvance(Calendar,X286,NDays&amp;"D")</f>
        <v>42304</v>
      </c>
      <c r="Z286" s="154">
        <v>1.1896255453895629E-2</v>
      </c>
      <c r="AA286" s="156">
        <v>1.0987807187451404E-2</v>
      </c>
    </row>
    <row r="287" spans="19:27" x14ac:dyDescent="0.2">
      <c r="S287" s="1"/>
      <c r="T287" s="117"/>
      <c r="W287" s="75" t="str">
        <f t="shared" si="15"/>
        <v>1D</v>
      </c>
      <c r="X287" s="148">
        <f>_xll.qlCalendarAdvance(Calendar,X286,W287,"f",FALSE)</f>
        <v>42305</v>
      </c>
      <c r="Y287" s="153">
        <f>_xll.qlCalendarAdvance(Calendar,X287,NDays&amp;"D")</f>
        <v>42305</v>
      </c>
      <c r="Z287" s="154">
        <v>1.1915812154424037E-2</v>
      </c>
      <c r="AA287" s="156">
        <v>1.1007273447417587E-2</v>
      </c>
    </row>
    <row r="288" spans="19:27" x14ac:dyDescent="0.2">
      <c r="S288" s="1"/>
      <c r="T288" s="117"/>
      <c r="W288" s="75" t="str">
        <f t="shared" si="15"/>
        <v>1D</v>
      </c>
      <c r="X288" s="148">
        <f>_xll.qlCalendarAdvance(Calendar,X287,W288,"f",FALSE)</f>
        <v>42306</v>
      </c>
      <c r="Y288" s="153">
        <f>_xll.qlCalendarAdvance(Calendar,X288,NDays&amp;"D")</f>
        <v>42306</v>
      </c>
      <c r="Z288" s="154">
        <v>1.1935363133174877E-2</v>
      </c>
      <c r="AA288" s="156">
        <v>1.1026746009461519E-2</v>
      </c>
    </row>
    <row r="289" spans="19:27" x14ac:dyDescent="0.2">
      <c r="S289" s="1"/>
      <c r="T289" s="117"/>
      <c r="W289" s="75" t="str">
        <f t="shared" si="15"/>
        <v>1D</v>
      </c>
      <c r="X289" s="148">
        <f>_xll.qlCalendarAdvance(Calendar,X288,W289,"f",FALSE)</f>
        <v>42307</v>
      </c>
      <c r="Y289" s="153">
        <f>_xll.qlCalendarAdvance(Calendar,X289,NDays&amp;"D")</f>
        <v>42307</v>
      </c>
      <c r="Z289" s="154">
        <v>1.1944987075531576E-2</v>
      </c>
      <c r="AA289" s="156">
        <v>1.1066047622612468E-2</v>
      </c>
    </row>
    <row r="290" spans="19:27" x14ac:dyDescent="0.2">
      <c r="S290" s="1"/>
      <c r="T290" s="117"/>
      <c r="W290" s="75" t="str">
        <f t="shared" si="15"/>
        <v>1D</v>
      </c>
      <c r="X290" s="148">
        <f>_xll.qlCalendarAdvance(Calendar,X289,W290,"f",FALSE)</f>
        <v>42310</v>
      </c>
      <c r="Y290" s="153">
        <f>_xll.qlCalendarAdvance(Calendar,X290,NDays&amp;"D")</f>
        <v>42310</v>
      </c>
      <c r="Z290" s="154">
        <v>1.2013504183177868E-2</v>
      </c>
      <c r="AA290" s="156">
        <v>1.1104699277766361E-2</v>
      </c>
    </row>
    <row r="291" spans="19:27" x14ac:dyDescent="0.2">
      <c r="S291" s="1"/>
      <c r="T291" s="117"/>
      <c r="W291" s="75" t="str">
        <f t="shared" si="15"/>
        <v>1D</v>
      </c>
      <c r="X291" s="148">
        <f>_xll.qlCalendarAdvance(Calendar,X290,W291,"f",FALSE)</f>
        <v>42311</v>
      </c>
      <c r="Y291" s="153">
        <f>_xll.qlCalendarAdvance(Calendar,X291,NDays&amp;"D")</f>
        <v>42311</v>
      </c>
      <c r="Z291" s="154">
        <v>1.203302231757016E-2</v>
      </c>
      <c r="AA291" s="156">
        <v>1.112420334987485E-2</v>
      </c>
    </row>
    <row r="292" spans="19:27" x14ac:dyDescent="0.2">
      <c r="S292" s="1"/>
      <c r="T292" s="117"/>
      <c r="W292" s="75" t="str">
        <f t="shared" si="15"/>
        <v>1D</v>
      </c>
      <c r="X292" s="148">
        <f>_xll.qlCalendarAdvance(Calendar,X291,W292,"f",FALSE)</f>
        <v>42312</v>
      </c>
      <c r="Y292" s="153">
        <f>_xll.qlCalendarAdvance(Calendar,X292,NDays&amp;"D")</f>
        <v>42312</v>
      </c>
      <c r="Z292" s="154">
        <v>1.205253303595819E-2</v>
      </c>
      <c r="AA292" s="156">
        <v>1.1143713724142135E-2</v>
      </c>
    </row>
    <row r="293" spans="19:27" x14ac:dyDescent="0.2">
      <c r="S293" s="1"/>
      <c r="T293" s="117"/>
      <c r="W293" s="75" t="str">
        <f t="shared" si="15"/>
        <v>1D</v>
      </c>
      <c r="X293" s="148">
        <f>_xll.qlCalendarAdvance(Calendar,X292,W293,"f",FALSE)</f>
        <v>42313</v>
      </c>
      <c r="Y293" s="153">
        <f>_xll.qlCalendarAdvance(Calendar,X293,NDays&amp;"D")</f>
        <v>42313</v>
      </c>
      <c r="Z293" s="154">
        <v>1.207203605594941E-2</v>
      </c>
      <c r="AA293" s="156">
        <v>1.1163230400325075E-2</v>
      </c>
    </row>
    <row r="294" spans="19:27" x14ac:dyDescent="0.2">
      <c r="S294" s="1"/>
      <c r="T294" s="117"/>
      <c r="W294" s="75" t="str">
        <f t="shared" si="15"/>
        <v>1D</v>
      </c>
      <c r="X294" s="148">
        <f>_xll.qlCalendarAdvance(Calendar,X293,W294,"f",FALSE)</f>
        <v>42314</v>
      </c>
      <c r="Y294" s="153">
        <f>_xll.qlCalendarAdvance(Calendar,X294,NDays&amp;"D")</f>
        <v>42314</v>
      </c>
      <c r="Z294" s="154">
        <v>1.2111270904284719E-2</v>
      </c>
      <c r="AA294" s="156">
        <v>1.1202628574257247E-2</v>
      </c>
    </row>
    <row r="295" spans="19:27" x14ac:dyDescent="0.2">
      <c r="S295" s="1"/>
      <c r="T295" s="117"/>
      <c r="W295" s="75" t="str">
        <f t="shared" si="15"/>
        <v>1D</v>
      </c>
      <c r="X295" s="148">
        <f>_xll.qlCalendarAdvance(Calendar,X294,W295,"f",FALSE)</f>
        <v>42317</v>
      </c>
      <c r="Y295" s="153">
        <f>_xll.qlCalendarAdvance(Calendar,X295,NDays&amp;"D")</f>
        <v>42317</v>
      </c>
      <c r="Z295" s="154">
        <v>1.2149965503953315E-2</v>
      </c>
      <c r="AA295" s="156">
        <v>1.1241360125753275E-2</v>
      </c>
    </row>
    <row r="296" spans="19:27" x14ac:dyDescent="0.2">
      <c r="S296" s="1"/>
      <c r="T296" s="117"/>
      <c r="W296" s="75" t="str">
        <f t="shared" si="15"/>
        <v>1D</v>
      </c>
      <c r="X296" s="148">
        <f>_xll.qlCalendarAdvance(Calendar,X295,W296,"f",FALSE)</f>
        <v>42318</v>
      </c>
      <c r="Y296" s="153">
        <f>_xll.qlCalendarAdvance(Calendar,X296,NDays&amp;"D")</f>
        <v>42318</v>
      </c>
      <c r="Z296" s="154">
        <v>1.2169425795913638E-2</v>
      </c>
      <c r="AA296" s="156">
        <v>1.1260908312162865E-2</v>
      </c>
    </row>
    <row r="297" spans="19:27" x14ac:dyDescent="0.2">
      <c r="S297" s="1"/>
      <c r="T297" s="117"/>
      <c r="W297" s="75" t="str">
        <f t="shared" si="15"/>
        <v>1D</v>
      </c>
      <c r="X297" s="148">
        <f>_xll.qlCalendarAdvance(Calendar,X296,W297,"f",FALSE)</f>
        <v>42319</v>
      </c>
      <c r="Y297" s="153">
        <f>_xll.qlCalendarAdvance(Calendar,X297,NDays&amp;"D")</f>
        <v>42319</v>
      </c>
      <c r="Z297" s="154">
        <v>1.2188876695020534E-2</v>
      </c>
      <c r="AA297" s="156">
        <v>1.1280462800650204E-2</v>
      </c>
    </row>
    <row r="298" spans="19:27" x14ac:dyDescent="0.2">
      <c r="S298" s="1"/>
      <c r="T298" s="117"/>
      <c r="W298" s="75" t="str">
        <f t="shared" si="15"/>
        <v>1D</v>
      </c>
      <c r="X298" s="148">
        <f>_xll.qlCalendarAdvance(Calendar,X297,W298,"f",FALSE)</f>
        <v>42320</v>
      </c>
      <c r="Y298" s="153">
        <f>_xll.qlCalendarAdvance(Calendar,X298,NDays&amp;"D")</f>
        <v>42320</v>
      </c>
      <c r="Z298" s="154">
        <v>1.2208317918842689E-2</v>
      </c>
      <c r="AA298" s="156">
        <v>1.1300023591215291E-2</v>
      </c>
    </row>
    <row r="299" spans="19:27" x14ac:dyDescent="0.2">
      <c r="S299" s="1"/>
      <c r="T299" s="117"/>
      <c r="W299" s="75" t="str">
        <f t="shared" si="15"/>
        <v>1D</v>
      </c>
      <c r="X299" s="148">
        <f>_xll.qlCalendarAdvance(Calendar,X298,W299,"f",FALSE)</f>
        <v>42321</v>
      </c>
      <c r="Y299" s="153">
        <f>_xll.qlCalendarAdvance(Calendar,X299,NDays&amp;"D")</f>
        <v>42321</v>
      </c>
      <c r="Z299" s="154">
        <v>1.224738926274279E-2</v>
      </c>
      <c r="AA299" s="156">
        <v>1.133951844736303E-2</v>
      </c>
    </row>
    <row r="300" spans="19:27" x14ac:dyDescent="0.2">
      <c r="S300" s="1"/>
      <c r="T300" s="117"/>
      <c r="W300" s="75" t="str">
        <f t="shared" si="15"/>
        <v>1D</v>
      </c>
      <c r="X300" s="148">
        <f>_xll.qlCalendarAdvance(Calendar,X299,W300,"f",FALSE)</f>
        <v>42324</v>
      </c>
      <c r="Y300" s="153">
        <f>_xll.qlCalendarAdvance(Calendar,X300,NDays&amp;"D")</f>
        <v>42324</v>
      </c>
      <c r="Z300" s="154">
        <v>1.2285980412524638E-2</v>
      </c>
      <c r="AA300" s="156">
        <v>1.1378329773928941E-2</v>
      </c>
    </row>
    <row r="301" spans="19:27" x14ac:dyDescent="0.2">
      <c r="S301" s="1"/>
      <c r="T301" s="117"/>
      <c r="W301" s="75" t="str">
        <f t="shared" si="15"/>
        <v>1D</v>
      </c>
      <c r="X301" s="148">
        <f>_xll.qlCalendarAdvance(Calendar,X300,W301,"f",FALSE)</f>
        <v>42325</v>
      </c>
      <c r="Y301" s="153">
        <f>_xll.qlCalendarAdvance(Calendar,X301,NDays&amp;"D")</f>
        <v>42325</v>
      </c>
      <c r="Z301" s="154">
        <v>1.2305369023302763E-2</v>
      </c>
      <c r="AA301" s="156">
        <v>1.1397922074801725E-2</v>
      </c>
    </row>
    <row r="302" spans="19:27" x14ac:dyDescent="0.2">
      <c r="S302" s="1"/>
      <c r="T302" s="117"/>
      <c r="W302" s="75" t="str">
        <f t="shared" si="15"/>
        <v>1D</v>
      </c>
      <c r="X302" s="148">
        <f>_xll.qlCalendarAdvance(Calendar,X301,W302,"f",FALSE)</f>
        <v>42326</v>
      </c>
      <c r="Y302" s="153">
        <f>_xll.qlCalendarAdvance(Calendar,X302,NDays&amp;"D")</f>
        <v>42326</v>
      </c>
      <c r="Z302" s="154">
        <v>1.2324746264109607E-2</v>
      </c>
      <c r="AA302" s="156">
        <v>1.1417520677590165E-2</v>
      </c>
    </row>
    <row r="303" spans="19:27" x14ac:dyDescent="0.2">
      <c r="S303" s="1"/>
      <c r="T303" s="117"/>
      <c r="W303" s="75" t="str">
        <f t="shared" si="15"/>
        <v>1D</v>
      </c>
      <c r="X303" s="148">
        <f>_xll.qlCalendarAdvance(Calendar,X302,W303,"f",FALSE)</f>
        <v>42327</v>
      </c>
      <c r="Y303" s="153">
        <f>_xll.qlCalendarAdvance(Calendar,X303,NDays&amp;"D")</f>
        <v>42327</v>
      </c>
      <c r="Z303" s="154">
        <v>1.2344111852477741E-2</v>
      </c>
      <c r="AA303" s="156">
        <v>1.14371255825374E-2</v>
      </c>
    </row>
    <row r="304" spans="19:27" x14ac:dyDescent="0.2">
      <c r="S304" s="1"/>
      <c r="T304" s="117"/>
      <c r="W304" s="75" t="str">
        <f t="shared" si="15"/>
        <v>1D</v>
      </c>
      <c r="X304" s="148">
        <f>_xll.qlCalendarAdvance(Calendar,X303,W304,"f",FALSE)</f>
        <v>42328</v>
      </c>
      <c r="Y304" s="153">
        <f>_xll.qlCalendarAdvance(Calendar,X304,NDays&amp;"D")</f>
        <v>42328</v>
      </c>
      <c r="Z304" s="154">
        <v>1.2382996196629539E-2</v>
      </c>
      <c r="AA304" s="156">
        <v>1.1476717243064465E-2</v>
      </c>
    </row>
    <row r="305" spans="19:27" x14ac:dyDescent="0.2">
      <c r="S305" s="1"/>
      <c r="T305" s="117"/>
      <c r="W305" s="75" t="str">
        <f t="shared" si="15"/>
        <v>1D</v>
      </c>
      <c r="X305" s="148">
        <f>_xll.qlCalendarAdvance(Calendar,X304,W305,"f",FALSE)</f>
        <v>42331</v>
      </c>
      <c r="Y305" s="153">
        <f>_xll.qlCalendarAdvance(Calendar,X305,NDays&amp;"D")</f>
        <v>42331</v>
      </c>
      <c r="Z305" s="154">
        <v>1.2421452032037461E-2</v>
      </c>
      <c r="AA305" s="156">
        <v>1.1515608222698592E-2</v>
      </c>
    </row>
    <row r="306" spans="19:27" x14ac:dyDescent="0.2">
      <c r="S306" s="1"/>
      <c r="T306" s="117"/>
      <c r="W306" s="75" t="str">
        <f t="shared" si="15"/>
        <v>1D</v>
      </c>
      <c r="X306" s="148">
        <f>_xll.qlCalendarAdvance(Calendar,X305,W306,"f",FALSE)</f>
        <v>42332</v>
      </c>
      <c r="Y306" s="153">
        <f>_xll.qlCalendarAdvance(Calendar,X306,NDays&amp;"D")</f>
        <v>42332</v>
      </c>
      <c r="Z306" s="154">
        <v>1.2440755121020856E-2</v>
      </c>
      <c r="AA306" s="156">
        <v>1.1535244637953523E-2</v>
      </c>
    </row>
    <row r="307" spans="19:27" x14ac:dyDescent="0.2">
      <c r="S307" s="1"/>
      <c r="T307" s="117"/>
      <c r="W307" s="75" t="str">
        <f t="shared" si="15"/>
        <v>1D</v>
      </c>
      <c r="X307" s="148">
        <f>_xll.qlCalendarAdvance(Calendar,X306,W307,"f",FALSE)</f>
        <v>42333</v>
      </c>
      <c r="Y307" s="153">
        <f>_xll.qlCalendarAdvance(Calendar,X307,NDays&amp;"D")</f>
        <v>42333</v>
      </c>
      <c r="Z307" s="154">
        <v>1.2460044862649953E-2</v>
      </c>
      <c r="AA307" s="156">
        <v>1.1554887355205157E-2</v>
      </c>
    </row>
    <row r="308" spans="19:27" x14ac:dyDescent="0.2">
      <c r="S308" s="1"/>
      <c r="T308" s="117"/>
      <c r="W308" s="75" t="str">
        <f t="shared" si="15"/>
        <v>1D</v>
      </c>
      <c r="X308" s="148">
        <f>_xll.qlCalendarAdvance(Calendar,X307,W308,"f",FALSE)</f>
        <v>42334</v>
      </c>
      <c r="Y308" s="153">
        <f>_xll.qlCalendarAdvance(Calendar,X308,NDays&amp;"D")</f>
        <v>42334</v>
      </c>
      <c r="Z308" s="154">
        <v>1.2479320974421206E-2</v>
      </c>
      <c r="AA308" s="156">
        <v>1.1574536374534539E-2</v>
      </c>
    </row>
    <row r="309" spans="19:27" x14ac:dyDescent="0.2">
      <c r="S309" s="1"/>
      <c r="T309" s="117"/>
      <c r="W309" s="75" t="str">
        <f t="shared" si="15"/>
        <v>1D</v>
      </c>
      <c r="X309" s="148">
        <f>_xll.qlCalendarAdvance(Calendar,X308,W309,"f",FALSE)</f>
        <v>42335</v>
      </c>
      <c r="Y309" s="153">
        <f>_xll.qlCalendarAdvance(Calendar,X309,NDays&amp;"D")</f>
        <v>42335</v>
      </c>
      <c r="Z309" s="154">
        <v>1.2517996872893416E-2</v>
      </c>
      <c r="AA309" s="156">
        <v>1.1614224962334109E-2</v>
      </c>
    </row>
    <row r="310" spans="19:27" x14ac:dyDescent="0.2">
      <c r="S310" s="1"/>
      <c r="T310" s="117"/>
      <c r="W310" s="75" t="str">
        <f t="shared" si="15"/>
        <v>1D</v>
      </c>
      <c r="X310" s="148">
        <f>_xll.qlCalendarAdvance(Calendar,X309,W310,"f",FALSE)</f>
        <v>42338</v>
      </c>
      <c r="Y310" s="153">
        <f>_xll.qlCalendarAdvance(Calendar,X310,NDays&amp;"D")</f>
        <v>42338</v>
      </c>
      <c r="Z310" s="154">
        <v>1.2546593861151506E-2</v>
      </c>
      <c r="AA310" s="156">
        <v>1.1653195472467459E-2</v>
      </c>
    </row>
    <row r="311" spans="19:27" x14ac:dyDescent="0.2">
      <c r="S311" s="1"/>
      <c r="T311" s="117"/>
      <c r="W311" s="75" t="str">
        <f t="shared" si="15"/>
        <v>1D</v>
      </c>
      <c r="X311" s="148">
        <f>_xll.qlCalendarAdvance(Calendar,X310,W311,"f",FALSE)</f>
        <v>42339</v>
      </c>
      <c r="Y311" s="153">
        <f>_xll.qlCalendarAdvance(Calendar,X311,NDays&amp;"D")</f>
        <v>42339</v>
      </c>
      <c r="Z311" s="154">
        <v>1.2565806333607136E-2</v>
      </c>
      <c r="AA311" s="156">
        <v>1.1672876002104537E-2</v>
      </c>
    </row>
    <row r="312" spans="19:27" x14ac:dyDescent="0.2">
      <c r="S312" s="1"/>
      <c r="T312" s="117"/>
      <c r="W312" s="75" t="str">
        <f t="shared" si="15"/>
        <v>1D</v>
      </c>
      <c r="X312" s="148">
        <f>_xll.qlCalendarAdvance(Calendar,X311,W312,"f",FALSE)</f>
        <v>42340</v>
      </c>
      <c r="Y312" s="153">
        <f>_xll.qlCalendarAdvance(Calendar,X312,NDays&amp;"D")</f>
        <v>42340</v>
      </c>
      <c r="Z312" s="154">
        <v>1.2585003527247297E-2</v>
      </c>
      <c r="AA312" s="156">
        <v>1.1692562833819364E-2</v>
      </c>
    </row>
    <row r="313" spans="19:27" x14ac:dyDescent="0.2">
      <c r="S313" s="1"/>
      <c r="T313" s="117"/>
      <c r="W313" s="75" t="str">
        <f t="shared" si="15"/>
        <v>1D</v>
      </c>
      <c r="X313" s="148">
        <f>_xll.qlCalendarAdvance(Calendar,X312,W313,"f",FALSE)</f>
        <v>42341</v>
      </c>
      <c r="Y313" s="153">
        <f>_xll.qlCalendarAdvance(Calendar,X313,NDays&amp;"D")</f>
        <v>42341</v>
      </c>
      <c r="Z313" s="154">
        <v>1.2604185156441745E-2</v>
      </c>
      <c r="AA313" s="156">
        <v>1.171225596761194E-2</v>
      </c>
    </row>
    <row r="314" spans="19:27" x14ac:dyDescent="0.2">
      <c r="S314" s="1"/>
      <c r="T314" s="117"/>
      <c r="W314" s="75" t="str">
        <f t="shared" si="15"/>
        <v>1D</v>
      </c>
      <c r="X314" s="148">
        <f>_xll.qlCalendarAdvance(Calendar,X313,W314,"f",FALSE)</f>
        <v>42342</v>
      </c>
      <c r="Y314" s="153">
        <f>_xll.qlCalendarAdvance(Calendar,X314,NDays&amp;"D")</f>
        <v>42342</v>
      </c>
      <c r="Z314" s="154">
        <v>1.2623350935554884E-2</v>
      </c>
      <c r="AA314" s="156">
        <v>1.1752041606252577E-2</v>
      </c>
    </row>
    <row r="315" spans="19:27" x14ac:dyDescent="0.2">
      <c r="S315" s="1"/>
      <c r="T315" s="117"/>
      <c r="W315" s="75" t="str">
        <f t="shared" si="15"/>
        <v>1D</v>
      </c>
      <c r="X315" s="148">
        <f>_xll.qlCalendarAdvance(Calendar,X314,W315,"f",FALSE)</f>
        <v>42345</v>
      </c>
      <c r="Y315" s="153">
        <f>_xll.qlCalendarAdvance(Calendar,X315,NDays&amp;"D")</f>
        <v>42345</v>
      </c>
      <c r="Z315" s="154">
        <v>1.268075031597036E-2</v>
      </c>
      <c r="AA315" s="156">
        <v>1.1791091523397634E-2</v>
      </c>
    </row>
    <row r="316" spans="19:27" x14ac:dyDescent="0.2">
      <c r="S316" s="1"/>
      <c r="T316" s="117"/>
      <c r="W316" s="75" t="str">
        <f t="shared" si="15"/>
        <v>1D</v>
      </c>
      <c r="X316" s="148">
        <f>_xll.qlCalendarAdvance(Calendar,X315,W316,"f",FALSE)</f>
        <v>42346</v>
      </c>
      <c r="Y316" s="153">
        <f>_xll.qlCalendarAdvance(Calendar,X316,NDays&amp;"D")</f>
        <v>42346</v>
      </c>
      <c r="Z316" s="154">
        <v>1.2699849838294568E-2</v>
      </c>
      <c r="AA316" s="156">
        <v>1.1810816167578952E-2</v>
      </c>
    </row>
    <row r="317" spans="19:27" x14ac:dyDescent="0.2">
      <c r="S317" s="1"/>
      <c r="T317" s="117"/>
      <c r="W317" s="75" t="str">
        <f t="shared" si="15"/>
        <v>1D</v>
      </c>
      <c r="X317" s="148">
        <f>_xll.qlCalendarAdvance(Calendar,X316,W317,"f",FALSE)</f>
        <v>42347</v>
      </c>
      <c r="Y317" s="153">
        <f>_xll.qlCalendarAdvance(Calendar,X317,NDays&amp;"D")</f>
        <v>42347</v>
      </c>
      <c r="Z317" s="154">
        <v>1.2718932082280235E-2</v>
      </c>
      <c r="AA317" s="156">
        <v>1.1830547113756973E-2</v>
      </c>
    </row>
    <row r="318" spans="19:27" x14ac:dyDescent="0.2">
      <c r="S318" s="1"/>
      <c r="T318" s="117"/>
      <c r="W318" s="75" t="str">
        <f t="shared" si="15"/>
        <v>1D</v>
      </c>
      <c r="X318" s="148">
        <f>_xll.qlCalendarAdvance(Calendar,X317,W318,"f",FALSE)</f>
        <v>42348</v>
      </c>
      <c r="Y318" s="153">
        <f>_xll.qlCalendarAdvance(Calendar,X318,NDays&amp;"D")</f>
        <v>42348</v>
      </c>
      <c r="Z318" s="154">
        <v>1.2737996762260596E-2</v>
      </c>
      <c r="AA318" s="156">
        <v>1.1850284362093788E-2</v>
      </c>
    </row>
    <row r="319" spans="19:27" x14ac:dyDescent="0.2">
      <c r="S319" s="1"/>
      <c r="T319" s="117"/>
      <c r="W319" s="75" t="str">
        <f t="shared" si="15"/>
        <v>1D</v>
      </c>
      <c r="X319" s="148">
        <f>_xll.qlCalendarAdvance(Calendar,X318,W319,"f",FALSE)</f>
        <v>42349</v>
      </c>
      <c r="Y319" s="153">
        <f>_xll.qlCalendarAdvance(Calendar,X319,NDays&amp;"D")</f>
        <v>42349</v>
      </c>
      <c r="Z319" s="154">
        <v>1.2757043592561763E-2</v>
      </c>
      <c r="AA319" s="156">
        <v>1.1890167175873472E-2</v>
      </c>
    </row>
    <row r="320" spans="19:27" x14ac:dyDescent="0.2">
      <c r="S320" s="1"/>
      <c r="T320" s="117"/>
      <c r="W320" s="75" t="str">
        <f t="shared" si="15"/>
        <v>1D</v>
      </c>
      <c r="X320" s="148">
        <f>_xll.qlCalendarAdvance(Calendar,X319,W320,"f",FALSE)</f>
        <v>42352</v>
      </c>
      <c r="Y320" s="153">
        <f>_xll.qlCalendarAdvance(Calendar,X320,NDays&amp;"D")</f>
        <v>42352</v>
      </c>
      <c r="Z320" s="154">
        <v>1.2814074128595084E-2</v>
      </c>
      <c r="AA320" s="156">
        <v>1.1929296375975396E-2</v>
      </c>
    </row>
    <row r="321" spans="19:27" x14ac:dyDescent="0.2">
      <c r="S321" s="1"/>
      <c r="T321" s="117"/>
      <c r="W321" s="75" t="str">
        <f t="shared" si="15"/>
        <v>1D</v>
      </c>
      <c r="X321" s="148">
        <f>_xll.qlCalendarAdvance(Calendar,X320,W321,"f",FALSE)</f>
        <v>42353</v>
      </c>
      <c r="Y321" s="153">
        <f>_xll.qlCalendarAdvance(Calendar,X321,NDays&amp;"D")</f>
        <v>42353</v>
      </c>
      <c r="Z321" s="154">
        <v>1.2833046703355963E-2</v>
      </c>
      <c r="AA321" s="156">
        <v>1.1949065134700954E-2</v>
      </c>
    </row>
    <row r="322" spans="19:27" x14ac:dyDescent="0.2">
      <c r="S322" s="1"/>
      <c r="T322" s="117"/>
      <c r="W322" s="75" t="str">
        <f t="shared" si="15"/>
        <v>1D</v>
      </c>
      <c r="X322" s="148">
        <f>_xll.qlCalendarAdvance(Calendar,X321,W322,"f",FALSE)</f>
        <v>42354</v>
      </c>
      <c r="Y322" s="153">
        <f>_xll.qlCalendarAdvance(Calendar,X322,NDays&amp;"D")</f>
        <v>42354</v>
      </c>
      <c r="Z322" s="154">
        <v>1.2852000000000511E-2</v>
      </c>
      <c r="AA322" s="156">
        <v>1.1968835880113993E-2</v>
      </c>
    </row>
    <row r="323" spans="19:27" x14ac:dyDescent="0.2">
      <c r="S323" s="1"/>
      <c r="T323" s="117"/>
      <c r="W323" s="75" t="str">
        <f t="shared" si="15"/>
        <v>1D</v>
      </c>
      <c r="X323" s="148">
        <f>_xll.qlCalendarAdvance(Calendar,X322,W323,"f",FALSE)</f>
        <v>42355</v>
      </c>
      <c r="Y323" s="153">
        <f>_xll.qlCalendarAdvance(Calendar,X323,NDays&amp;"D")</f>
        <v>42355</v>
      </c>
      <c r="Z323" s="154">
        <v>1.2870933796562557E-2</v>
      </c>
      <c r="AA323" s="156">
        <v>1.1988591351058675E-2</v>
      </c>
    </row>
    <row r="324" spans="19:27" x14ac:dyDescent="0.2">
      <c r="S324" s="1"/>
      <c r="T324" s="117"/>
      <c r="W324" s="75" t="str">
        <f t="shared" si="15"/>
        <v>1D</v>
      </c>
      <c r="X324" s="148">
        <f>_xll.qlCalendarAdvance(Calendar,X323,W324,"f",FALSE)</f>
        <v>42356</v>
      </c>
      <c r="Y324" s="153">
        <f>_xll.qlCalendarAdvance(Calendar,X324,NDays&amp;"D")</f>
        <v>42356</v>
      </c>
      <c r="Z324" s="154">
        <v>1.2889848126025266E-2</v>
      </c>
      <c r="AA324" s="156">
        <v>1.202843336387131E-2</v>
      </c>
    </row>
    <row r="325" spans="19:27" x14ac:dyDescent="0.2">
      <c r="S325" s="1"/>
      <c r="T325" s="117"/>
      <c r="W325" s="75" t="str">
        <f t="shared" si="15"/>
        <v>1D</v>
      </c>
      <c r="X325" s="148">
        <f>_xll.qlCalendarAdvance(Calendar,X324,W325,"f",FALSE)</f>
        <v>42359</v>
      </c>
      <c r="Y325" s="153">
        <f>_xll.qlCalendarAdvance(Calendar,X325,NDays&amp;"D")</f>
        <v>42359</v>
      </c>
      <c r="Z325" s="154">
        <v>1.2946475279078907E-2</v>
      </c>
      <c r="AA325" s="156">
        <v>1.2067417336818487E-2</v>
      </c>
    </row>
    <row r="326" spans="19:27" x14ac:dyDescent="0.2">
      <c r="S326" s="1"/>
      <c r="T326" s="117"/>
      <c r="W326" s="75" t="str">
        <f t="shared" si="15"/>
        <v>1D</v>
      </c>
      <c r="X326" s="148">
        <f>_xll.qlCalendarAdvance(Calendar,X325,W326,"f",FALSE)</f>
        <v>42360</v>
      </c>
      <c r="Y326" s="153">
        <f>_xll.qlCalendarAdvance(Calendar,X326,NDays&amp;"D")</f>
        <v>42360</v>
      </c>
      <c r="Z326" s="154">
        <v>1.2965312707411145E-2</v>
      </c>
      <c r="AA326" s="156">
        <v>1.2087074858713187E-2</v>
      </c>
    </row>
    <row r="327" spans="19:27" x14ac:dyDescent="0.2">
      <c r="S327" s="1"/>
      <c r="T327" s="117"/>
      <c r="W327" s="75" t="str">
        <f t="shared" si="15"/>
        <v>1D</v>
      </c>
      <c r="X327" s="148">
        <f>_xll.qlCalendarAdvance(Calendar,X326,W327,"f",FALSE)</f>
        <v>42361</v>
      </c>
      <c r="Y327" s="153">
        <f>_xll.qlCalendarAdvance(Calendar,X327,NDays&amp;"D")</f>
        <v>42361</v>
      </c>
      <c r="Z327" s="154">
        <v>1.2984131152284611E-2</v>
      </c>
      <c r="AA327" s="156">
        <v>1.2106712790749263E-2</v>
      </c>
    </row>
    <row r="328" spans="19:27" x14ac:dyDescent="0.2">
      <c r="S328" s="1"/>
      <c r="T328" s="117"/>
      <c r="W328" s="75" t="str">
        <f t="shared" si="15"/>
        <v>1D</v>
      </c>
      <c r="X328" s="148">
        <f>_xll.qlCalendarAdvance(Calendar,X327,W328,"f",FALSE)</f>
        <v>42362</v>
      </c>
      <c r="Y328" s="153">
        <f>_xll.qlCalendarAdvance(Calendar,X328,NDays&amp;"D")</f>
        <v>42362</v>
      </c>
      <c r="Z328" s="154">
        <v>1.3002930710436502E-2</v>
      </c>
      <c r="AA328" s="156">
        <v>1.2166300438313904E-2</v>
      </c>
    </row>
    <row r="329" spans="19:27" x14ac:dyDescent="0.2">
      <c r="S329" s="1"/>
      <c r="T329" s="117"/>
      <c r="W329" s="75" t="str">
        <f t="shared" si="15"/>
        <v>1D</v>
      </c>
      <c r="X329" s="148">
        <f>_xll.qlCalendarAdvance(Calendar,X328,W329,"f",FALSE)</f>
        <v>42367</v>
      </c>
      <c r="Y329" s="153">
        <f>_xll.qlCalendarAdvance(Calendar,X329,NDays&amp;"D")</f>
        <v>42367</v>
      </c>
      <c r="Z329" s="154">
        <v>1.3096648586195581E-2</v>
      </c>
      <c r="AA329" s="156">
        <v>1.2224128996745076E-2</v>
      </c>
    </row>
    <row r="330" spans="19:27" x14ac:dyDescent="0.2">
      <c r="S330" s="1"/>
      <c r="T330" s="117"/>
      <c r="W330" s="75" t="str">
        <f t="shared" si="15"/>
        <v>1D</v>
      </c>
      <c r="X330" s="148">
        <f>_xll.qlCalendarAdvance(Calendar,X329,W330,"f",FALSE)</f>
        <v>42368</v>
      </c>
      <c r="Y330" s="153">
        <f>_xll.qlCalendarAdvance(Calendar,X330,NDays&amp;"D")</f>
        <v>42368</v>
      </c>
      <c r="Z330" s="154">
        <v>1.3115336855545463E-2</v>
      </c>
      <c r="AA330" s="156">
        <v>1.2243629799932876E-2</v>
      </c>
    </row>
    <row r="331" spans="19:27" x14ac:dyDescent="0.2">
      <c r="S331" s="1"/>
      <c r="T331" s="117"/>
      <c r="W331" s="75" t="str">
        <f t="shared" si="15"/>
        <v>1D</v>
      </c>
      <c r="X331" s="148">
        <f>_xll.qlCalendarAdvance(Calendar,X330,W331,"f",FALSE)</f>
        <v>42369</v>
      </c>
      <c r="Y331" s="153">
        <f>_xll.qlCalendarAdvance(Calendar,X331,NDays&amp;"D")</f>
        <v>42369</v>
      </c>
      <c r="Z331" s="154">
        <v>1.3134006915372445E-2</v>
      </c>
      <c r="AA331" s="156">
        <v>1.2292904831930351E-2</v>
      </c>
    </row>
    <row r="332" spans="19:27" x14ac:dyDescent="0.2">
      <c r="S332" s="1"/>
      <c r="T332" s="117"/>
      <c r="W332" s="75" t="str">
        <f t="shared" si="15"/>
        <v>1D</v>
      </c>
      <c r="X332" s="148">
        <f>_xll.qlCalendarAdvance(Calendar,X331,W332,"f",FALSE)</f>
        <v>42373</v>
      </c>
      <c r="Y332" s="153">
        <f>_xll.qlCalendarAdvance(Calendar,X332,NDays&amp;"D")</f>
        <v>42373</v>
      </c>
      <c r="Z332" s="154">
        <v>1.3208506994481195E-2</v>
      </c>
      <c r="AA332" s="156">
        <v>1.2340839968235651E-2</v>
      </c>
    </row>
    <row r="333" spans="19:27" x14ac:dyDescent="0.2">
      <c r="S333" s="1"/>
      <c r="T333" s="117"/>
      <c r="W333" s="75" t="str">
        <f t="shared" si="15"/>
        <v>1D</v>
      </c>
      <c r="X333" s="148">
        <f>_xll.qlCalendarAdvance(Calendar,X332,W333,"f",FALSE)</f>
        <v>42374</v>
      </c>
      <c r="Y333" s="153">
        <f>_xll.qlCalendarAdvance(Calendar,X333,NDays&amp;"D")</f>
        <v>42374</v>
      </c>
      <c r="Z333" s="154">
        <v>1.3227087457988533E-2</v>
      </c>
      <c r="AA333" s="156">
        <v>1.2360223232271705E-2</v>
      </c>
    </row>
    <row r="334" spans="19:27" x14ac:dyDescent="0.2">
      <c r="S334" s="1"/>
      <c r="T334" s="117"/>
      <c r="W334" s="75" t="str">
        <f t="shared" si="15"/>
        <v>1D</v>
      </c>
      <c r="X334" s="148">
        <f>_xll.qlCalendarAdvance(Calendar,X333,W334,"f",FALSE)</f>
        <v>42375</v>
      </c>
      <c r="Y334" s="153">
        <f>_xll.qlCalendarAdvance(Calendar,X334,NDays&amp;"D")</f>
        <v>42375</v>
      </c>
      <c r="Z334" s="154">
        <v>1.3245650292508371E-2</v>
      </c>
      <c r="AA334" s="156">
        <v>1.2379586906530182E-2</v>
      </c>
    </row>
    <row r="335" spans="19:27" x14ac:dyDescent="0.2">
      <c r="S335" s="1"/>
      <c r="T335" s="117"/>
      <c r="W335" s="75" t="str">
        <f t="shared" si="15"/>
        <v>1D</v>
      </c>
      <c r="X335" s="148">
        <f>_xll.qlCalendarAdvance(Calendar,X334,W335,"f",FALSE)</f>
        <v>42376</v>
      </c>
      <c r="Y335" s="153">
        <f>_xll.qlCalendarAdvance(Calendar,X335,NDays&amp;"D")</f>
        <v>42376</v>
      </c>
      <c r="Z335" s="154">
        <v>1.3264195594801954E-2</v>
      </c>
      <c r="AA335" s="156">
        <v>1.2398930990848989E-2</v>
      </c>
    </row>
    <row r="336" spans="19:27" x14ac:dyDescent="0.2">
      <c r="S336" s="1"/>
      <c r="T336" s="117"/>
      <c r="W336" s="75" t="str">
        <f t="shared" si="15"/>
        <v>1D</v>
      </c>
      <c r="X336" s="148">
        <f>_xll.qlCalendarAdvance(Calendar,X335,W336,"f",FALSE)</f>
        <v>42377</v>
      </c>
      <c r="Y336" s="153">
        <f>_xll.qlCalendarAdvance(Calendar,X336,NDays&amp;"D")</f>
        <v>42377</v>
      </c>
      <c r="Z336" s="154">
        <v>1.3282723461635865E-2</v>
      </c>
      <c r="AA336" s="156">
        <v>1.2437977680190839E-2</v>
      </c>
    </row>
    <row r="337" spans="19:27" x14ac:dyDescent="0.2">
      <c r="S337" s="1"/>
      <c r="T337" s="117"/>
      <c r="W337" s="75" t="str">
        <f t="shared" si="15"/>
        <v>1D</v>
      </c>
      <c r="X337" s="148">
        <f>_xll.qlCalendarAdvance(Calendar,X336,W337,"f",FALSE)</f>
        <v>42380</v>
      </c>
      <c r="Y337" s="153">
        <f>_xll.qlCalendarAdvance(Calendar,X337,NDays&amp;"D")</f>
        <v>42380</v>
      </c>
      <c r="Z337" s="154">
        <v>1.3338203417055255E-2</v>
      </c>
      <c r="AA337" s="156">
        <v>1.2476111429456926E-2</v>
      </c>
    </row>
    <row r="338" spans="19:27" x14ac:dyDescent="0.2">
      <c r="S338" s="1"/>
      <c r="T338" s="117"/>
      <c r="W338" s="75" t="str">
        <f t="shared" si="15"/>
        <v>1D</v>
      </c>
      <c r="X338" s="148">
        <f>_xll.qlCalendarAdvance(Calendar,X337,W338,"f",FALSE)</f>
        <v>42381</v>
      </c>
      <c r="Y338" s="153">
        <f>_xll.qlCalendarAdvance(Calendar,X338,NDays&amp;"D")</f>
        <v>42381</v>
      </c>
      <c r="Z338" s="154">
        <v>1.3356662509737738E-2</v>
      </c>
      <c r="AA338" s="156">
        <v>1.2495357564401566E-2</v>
      </c>
    </row>
    <row r="339" spans="19:27" x14ac:dyDescent="0.2">
      <c r="S339" s="1"/>
      <c r="T339" s="117"/>
      <c r="W339" s="75" t="str">
        <f t="shared" si="15"/>
        <v>1D</v>
      </c>
      <c r="X339" s="148">
        <f>_xll.qlCalendarAdvance(Calendar,X338,W339,"f",FALSE)</f>
        <v>42382</v>
      </c>
      <c r="Y339" s="153">
        <f>_xll.qlCalendarAdvance(Calendar,X339,NDays&amp;"D")</f>
        <v>42382</v>
      </c>
      <c r="Z339" s="154">
        <v>1.3375104650815754E-2</v>
      </c>
      <c r="AA339" s="156">
        <v>1.2514584109487581E-2</v>
      </c>
    </row>
    <row r="340" spans="19:27" x14ac:dyDescent="0.2">
      <c r="S340" s="1"/>
      <c r="T340" s="117"/>
      <c r="W340" s="75" t="str">
        <f t="shared" si="15"/>
        <v>1D</v>
      </c>
      <c r="X340" s="148">
        <f>_xll.qlCalendarAdvance(Calendar,X339,W340,"f",FALSE)</f>
        <v>42383</v>
      </c>
      <c r="Y340" s="153">
        <f>_xll.qlCalendarAdvance(Calendar,X340,NDays&amp;"D")</f>
        <v>42383</v>
      </c>
      <c r="Z340" s="154">
        <v>1.3393529937066578E-2</v>
      </c>
      <c r="AA340" s="156">
        <v>1.2533791064633926E-2</v>
      </c>
    </row>
    <row r="341" spans="19:27" x14ac:dyDescent="0.2">
      <c r="S341" s="1"/>
      <c r="T341" s="117"/>
      <c r="W341" s="75" t="str">
        <f t="shared" ref="W341:W404" si="16">W340</f>
        <v>1D</v>
      </c>
      <c r="X341" s="148">
        <f>_xll.qlCalendarAdvance(Calendar,X340,W341,"f",FALSE)</f>
        <v>42384</v>
      </c>
      <c r="Y341" s="153">
        <f>_xll.qlCalendarAdvance(Calendar,X341,NDays&amp;"D")</f>
        <v>42384</v>
      </c>
      <c r="Z341" s="154">
        <v>1.3411938465269268E-2</v>
      </c>
      <c r="AA341" s="156">
        <v>1.2572572717481913E-2</v>
      </c>
    </row>
    <row r="342" spans="19:27" x14ac:dyDescent="0.2">
      <c r="S342" s="1"/>
      <c r="T342" s="117"/>
      <c r="W342" s="75" t="str">
        <f t="shared" si="16"/>
        <v>1D</v>
      </c>
      <c r="X342" s="148">
        <f>_xll.qlCalendarAdvance(Calendar,X341,W342,"f",FALSE)</f>
        <v>42387</v>
      </c>
      <c r="Y342" s="153">
        <f>_xll.qlCalendarAdvance(Calendar,X342,NDays&amp;"D")</f>
        <v>42387</v>
      </c>
      <c r="Z342" s="154">
        <v>1.3467064469405795E-2</v>
      </c>
      <c r="AA342" s="156">
        <v>1.2610422986308878E-2</v>
      </c>
    </row>
    <row r="343" spans="19:27" x14ac:dyDescent="0.2">
      <c r="S343" s="1"/>
      <c r="T343" s="117"/>
      <c r="W343" s="75" t="str">
        <f t="shared" si="16"/>
        <v>1D</v>
      </c>
      <c r="X343" s="148">
        <f>_xll.qlCalendarAdvance(Calendar,X342,W343,"f",FALSE)</f>
        <v>42388</v>
      </c>
      <c r="Y343" s="153">
        <f>_xll.qlCalendarAdvance(Calendar,X343,NDays&amp;"D")</f>
        <v>42388</v>
      </c>
      <c r="Z343" s="154">
        <v>1.3485406933244796E-2</v>
      </c>
      <c r="AA343" s="156">
        <v>1.2629531992000009E-2</v>
      </c>
    </row>
    <row r="344" spans="19:27" x14ac:dyDescent="0.2">
      <c r="S344" s="1"/>
      <c r="T344" s="117"/>
      <c r="W344" s="75" t="str">
        <f t="shared" si="16"/>
        <v>1D</v>
      </c>
      <c r="X344" s="148">
        <f>_xll.qlCalendarAdvance(Calendar,X343,W344,"f",FALSE)</f>
        <v>42389</v>
      </c>
      <c r="Y344" s="153">
        <f>_xll.qlCalendarAdvance(Calendar,X344,NDays&amp;"D")</f>
        <v>42389</v>
      </c>
      <c r="Z344" s="154">
        <v>1.3503733122960333E-2</v>
      </c>
      <c r="AA344" s="156">
        <v>1.2648621407670424E-2</v>
      </c>
    </row>
    <row r="345" spans="19:27" x14ac:dyDescent="0.2">
      <c r="S345" s="1"/>
      <c r="T345" s="117"/>
      <c r="W345" s="75" t="str">
        <f t="shared" si="16"/>
        <v>1D</v>
      </c>
      <c r="X345" s="148">
        <f>_xll.qlCalendarAdvance(Calendar,X344,W345,"f",FALSE)</f>
        <v>42390</v>
      </c>
      <c r="Y345" s="153">
        <f>_xll.qlCalendarAdvance(Calendar,X345,NDays&amp;"D")</f>
        <v>42390</v>
      </c>
      <c r="Z345" s="154">
        <v>1.352204313534393E-2</v>
      </c>
      <c r="AA345" s="156">
        <v>1.2667691233563261E-2</v>
      </c>
    </row>
    <row r="346" spans="19:27" x14ac:dyDescent="0.2">
      <c r="S346" s="1"/>
      <c r="T346" s="117"/>
      <c r="W346" s="75" t="str">
        <f t="shared" si="16"/>
        <v>1D</v>
      </c>
      <c r="X346" s="148">
        <f>_xll.qlCalendarAdvance(Calendar,X345,W346,"f",FALSE)</f>
        <v>42391</v>
      </c>
      <c r="Y346" s="153">
        <f>_xll.qlCalendarAdvance(Calendar,X346,NDays&amp;"D")</f>
        <v>42391</v>
      </c>
      <c r="Z346" s="154">
        <v>1.3540337067187999E-2</v>
      </c>
      <c r="AA346" s="156">
        <v>1.2706207882011713E-2</v>
      </c>
    </row>
    <row r="347" spans="19:27" x14ac:dyDescent="0.2">
      <c r="S347" s="1"/>
      <c r="T347" s="117"/>
      <c r="W347" s="75" t="str">
        <f t="shared" si="16"/>
        <v>1D</v>
      </c>
      <c r="X347" s="148">
        <f>_xll.qlCalendarAdvance(Calendar,X346,W347,"f",FALSE)</f>
        <v>42394</v>
      </c>
      <c r="Y347" s="153">
        <f>_xll.qlCalendarAdvance(Calendar,X347,NDays&amp;"D")</f>
        <v>42394</v>
      </c>
      <c r="Z347" s="154">
        <v>1.3595123347441949E-2</v>
      </c>
      <c r="AA347" s="156">
        <v>1.2743774637656857E-2</v>
      </c>
    </row>
    <row r="348" spans="19:27" x14ac:dyDescent="0.2">
      <c r="S348" s="1"/>
      <c r="T348" s="117"/>
      <c r="W348" s="75" t="str">
        <f t="shared" si="16"/>
        <v>1D</v>
      </c>
      <c r="X348" s="148">
        <f>_xll.qlCalendarAdvance(Calendar,X347,W348,"f",FALSE)</f>
        <v>42395</v>
      </c>
      <c r="Y348" s="153">
        <f>_xll.qlCalendarAdvance(Calendar,X348,NDays&amp;"D")</f>
        <v>42395</v>
      </c>
      <c r="Z348" s="154">
        <v>1.3613353925097495E-2</v>
      </c>
      <c r="AA348" s="156">
        <v>1.2762746513932388E-2</v>
      </c>
    </row>
    <row r="349" spans="19:27" x14ac:dyDescent="0.2">
      <c r="S349" s="1"/>
      <c r="T349" s="117"/>
      <c r="W349" s="75" t="str">
        <f t="shared" si="16"/>
        <v>1D</v>
      </c>
      <c r="X349" s="148">
        <f>_xll.qlCalendarAdvance(Calendar,X348,W349,"f",FALSE)</f>
        <v>42396</v>
      </c>
      <c r="Y349" s="153">
        <f>_xll.qlCalendarAdvance(Calendar,X349,NDays&amp;"D")</f>
        <v>42396</v>
      </c>
      <c r="Z349" s="154">
        <v>1.3631568906206764E-2</v>
      </c>
      <c r="AA349" s="156">
        <v>1.2781698800187202E-2</v>
      </c>
    </row>
    <row r="350" spans="19:27" x14ac:dyDescent="0.2">
      <c r="S350" s="1"/>
      <c r="T350" s="117"/>
      <c r="W350" s="75" t="str">
        <f t="shared" si="16"/>
        <v>1D</v>
      </c>
      <c r="X350" s="148">
        <f>_xll.qlCalendarAdvance(Calendar,X349,W350,"f",FALSE)</f>
        <v>42397</v>
      </c>
      <c r="Y350" s="153">
        <f>_xll.qlCalendarAdvance(Calendar,X350,NDays&amp;"D")</f>
        <v>42397</v>
      </c>
      <c r="Z350" s="154">
        <v>1.364976838757553E-2</v>
      </c>
      <c r="AA350" s="156">
        <v>1.2800631496502346E-2</v>
      </c>
    </row>
    <row r="351" spans="19:27" x14ac:dyDescent="0.2">
      <c r="S351" s="1"/>
      <c r="T351" s="117"/>
      <c r="W351" s="75" t="str">
        <f t="shared" si="16"/>
        <v>1D</v>
      </c>
      <c r="X351" s="148">
        <f>_xll.qlCalendarAdvance(Calendar,X350,W351,"f",FALSE)</f>
        <v>42398</v>
      </c>
      <c r="Y351" s="153">
        <f>_xll.qlCalendarAdvance(Calendar,X351,NDays&amp;"D")</f>
        <v>42398</v>
      </c>
      <c r="Z351" s="154">
        <v>1.366795246600957E-2</v>
      </c>
      <c r="AA351" s="156">
        <v>1.2838883170646447E-2</v>
      </c>
    </row>
    <row r="352" spans="19:27" x14ac:dyDescent="0.2">
      <c r="S352" s="1"/>
      <c r="T352" s="117"/>
      <c r="W352" s="75" t="str">
        <f t="shared" si="16"/>
        <v>1D</v>
      </c>
      <c r="X352" s="148">
        <f>_xll.qlCalendarAdvance(Calendar,X351,W352,"f",FALSE)</f>
        <v>42401</v>
      </c>
      <c r="Y352" s="153">
        <f>_xll.qlCalendarAdvance(Calendar,X352,NDays&amp;"D")</f>
        <v>42401</v>
      </c>
      <c r="Z352" s="154">
        <v>1.3731620815660728E-2</v>
      </c>
      <c r="AA352" s="156">
        <v>1.2876166382528309E-2</v>
      </c>
    </row>
    <row r="353" spans="19:27" x14ac:dyDescent="0.2">
      <c r="S353" s="1"/>
      <c r="T353" s="117"/>
      <c r="W353" s="75" t="str">
        <f t="shared" si="16"/>
        <v>1D</v>
      </c>
      <c r="X353" s="148">
        <f>_xll.qlCalendarAdvance(Calendar,X352,W353,"f",FALSE)</f>
        <v>42402</v>
      </c>
      <c r="Y353" s="153">
        <f>_xll.qlCalendarAdvance(Calendar,X353,NDays&amp;"D")</f>
        <v>42402</v>
      </c>
      <c r="Z353" s="154">
        <v>1.3740536686603006E-2</v>
      </c>
      <c r="AA353" s="156">
        <v>1.2895001129145101E-2</v>
      </c>
    </row>
    <row r="354" spans="19:27" x14ac:dyDescent="0.2">
      <c r="S354" s="1"/>
      <c r="T354" s="117"/>
      <c r="W354" s="75" t="str">
        <f t="shared" si="16"/>
        <v>1D</v>
      </c>
      <c r="X354" s="148">
        <f>_xll.qlCalendarAdvance(Calendar,X353,W354,"f",FALSE)</f>
        <v>42403</v>
      </c>
      <c r="Y354" s="153">
        <f>_xll.qlCalendarAdvance(Calendar,X354,NDays&amp;"D")</f>
        <v>42403</v>
      </c>
      <c r="Z354" s="154">
        <v>1.3749445775120286E-2</v>
      </c>
      <c r="AA354" s="156">
        <v>1.2913816285822222E-2</v>
      </c>
    </row>
    <row r="355" spans="19:27" x14ac:dyDescent="0.2">
      <c r="S355" s="1"/>
      <c r="T355" s="117"/>
      <c r="W355" s="75" t="str">
        <f t="shared" si="16"/>
        <v>1D</v>
      </c>
      <c r="X355" s="148">
        <f>_xll.qlCalendarAdvance(Calendar,X354,W355,"f",FALSE)</f>
        <v>42404</v>
      </c>
      <c r="Y355" s="153">
        <f>_xll.qlCalendarAdvance(Calendar,X355,NDays&amp;"D")</f>
        <v>42404</v>
      </c>
      <c r="Z355" s="154">
        <v>1.3767545090364671E-2</v>
      </c>
      <c r="AA355" s="156">
        <v>1.2932611852559672E-2</v>
      </c>
    </row>
    <row r="356" spans="19:27" x14ac:dyDescent="0.2">
      <c r="S356" s="1"/>
      <c r="T356" s="117"/>
      <c r="W356" s="75" t="str">
        <f t="shared" si="16"/>
        <v>1D</v>
      </c>
      <c r="X356" s="148">
        <f>_xll.qlCalendarAdvance(Calendar,X355,W356,"f",FALSE)</f>
        <v>42405</v>
      </c>
      <c r="Y356" s="153">
        <f>_xll.qlCalendarAdvance(Calendar,X356,NDays&amp;"D")</f>
        <v>42405</v>
      </c>
      <c r="Z356" s="154">
        <v>1.3785629635927554E-2</v>
      </c>
      <c r="AA356" s="156">
        <v>1.2970598580225314E-2</v>
      </c>
    </row>
    <row r="357" spans="19:27" x14ac:dyDescent="0.2">
      <c r="S357" s="1"/>
      <c r="T357" s="117"/>
      <c r="W357" s="75" t="str">
        <f t="shared" si="16"/>
        <v>1D</v>
      </c>
      <c r="X357" s="148">
        <f>_xll.qlCalendarAdvance(Calendar,X356,W357,"f",FALSE)</f>
        <v>42408</v>
      </c>
      <c r="Y357" s="153">
        <f>_xll.qlCalendarAdvance(Calendar,X357,NDays&amp;"D")</f>
        <v>42408</v>
      </c>
      <c r="Z357" s="154">
        <v>1.3848967387786766E-2</v>
      </c>
      <c r="AA357" s="156">
        <v>1.3007598219788585E-2</v>
      </c>
    </row>
    <row r="358" spans="19:27" x14ac:dyDescent="0.2">
      <c r="S358" s="1"/>
      <c r="T358" s="117"/>
      <c r="W358" s="75" t="str">
        <f t="shared" si="16"/>
        <v>1D</v>
      </c>
      <c r="X358" s="148">
        <f>_xll.qlCalendarAdvance(Calendar,X357,W358,"f",FALSE)</f>
        <v>42409</v>
      </c>
      <c r="Y358" s="153">
        <f>_xll.qlCalendarAdvance(Calendar,X358,NDays&amp;"D")</f>
        <v>42409</v>
      </c>
      <c r="Z358" s="154">
        <v>1.3857822079352156E-2</v>
      </c>
      <c r="AA358" s="156">
        <v>1.3026295836665591E-2</v>
      </c>
    </row>
    <row r="359" spans="19:27" x14ac:dyDescent="0.2">
      <c r="S359" s="1"/>
      <c r="T359" s="117"/>
      <c r="W359" s="75" t="str">
        <f t="shared" si="16"/>
        <v>1D</v>
      </c>
      <c r="X359" s="148">
        <f>_xll.qlCalendarAdvance(Calendar,X358,W359,"f",FALSE)</f>
        <v>42410</v>
      </c>
      <c r="Y359" s="153">
        <f>_xll.qlCalendarAdvance(Calendar,X359,NDays&amp;"D")</f>
        <v>42410</v>
      </c>
      <c r="Z359" s="154">
        <v>1.3875834245013905E-2</v>
      </c>
      <c r="AA359" s="156">
        <v>1.3044973863602927E-2</v>
      </c>
    </row>
    <row r="360" spans="19:27" x14ac:dyDescent="0.2">
      <c r="S360" s="1"/>
      <c r="T360" s="117"/>
      <c r="W360" s="75" t="str">
        <f t="shared" si="16"/>
        <v>1D</v>
      </c>
      <c r="X360" s="148">
        <f>_xll.qlCalendarAdvance(Calendar,X359,W360,"f",FALSE)</f>
        <v>42411</v>
      </c>
      <c r="Y360" s="153">
        <f>_xll.qlCalendarAdvance(Calendar,X360,NDays&amp;"D")</f>
        <v>42411</v>
      </c>
      <c r="Z360" s="154">
        <v>1.3893832228406788E-2</v>
      </c>
      <c r="AA360" s="156">
        <v>1.3063632300600592E-2</v>
      </c>
    </row>
    <row r="361" spans="19:27" x14ac:dyDescent="0.2">
      <c r="S361" s="1"/>
      <c r="T361" s="117"/>
      <c r="W361" s="75" t="str">
        <f t="shared" si="16"/>
        <v>1D</v>
      </c>
      <c r="X361" s="148">
        <f>_xll.qlCalendarAdvance(Calendar,X360,W361,"f",FALSE)</f>
        <v>42412</v>
      </c>
      <c r="Y361" s="153">
        <f>_xll.qlCalendarAdvance(Calendar,X361,NDays&amp;"D")</f>
        <v>42412</v>
      </c>
      <c r="Z361" s="154">
        <v>1.3911816127442819E-2</v>
      </c>
      <c r="AA361" s="156">
        <v>1.3101354107641535E-2</v>
      </c>
    </row>
    <row r="362" spans="19:27" x14ac:dyDescent="0.2">
      <c r="S362" s="1"/>
      <c r="T362" s="117"/>
      <c r="W362" s="75" t="str">
        <f t="shared" si="16"/>
        <v>1D</v>
      </c>
      <c r="X362" s="148">
        <f>_xll.qlCalendarAdvance(Calendar,X361,W362,"f",FALSE)</f>
        <v>42415</v>
      </c>
      <c r="Y362" s="153">
        <f>_xll.qlCalendarAdvance(Calendar,X362,NDays&amp;"D")</f>
        <v>42415</v>
      </c>
      <c r="Z362" s="154">
        <v>1.3974818965297779E-2</v>
      </c>
      <c r="AA362" s="156">
        <v>1.3138070148465131E-2</v>
      </c>
    </row>
    <row r="363" spans="19:27" x14ac:dyDescent="0.2">
      <c r="S363" s="1"/>
      <c r="T363" s="117"/>
      <c r="W363" s="75" t="str">
        <f t="shared" si="16"/>
        <v>1D</v>
      </c>
      <c r="X363" s="148">
        <f>_xll.qlCalendarAdvance(Calendar,X362,W363,"f",FALSE)</f>
        <v>42416</v>
      </c>
      <c r="Y363" s="153">
        <f>_xll.qlCalendarAdvance(Calendar,X363,NDays&amp;"D")</f>
        <v>42416</v>
      </c>
      <c r="Z363" s="154">
        <v>1.3983612838246933E-2</v>
      </c>
      <c r="AA363" s="156">
        <v>1.3156630635521305E-2</v>
      </c>
    </row>
    <row r="364" spans="19:27" x14ac:dyDescent="0.2">
      <c r="S364" s="1"/>
      <c r="T364" s="117"/>
      <c r="W364" s="75" t="str">
        <f t="shared" si="16"/>
        <v>1D</v>
      </c>
      <c r="X364" s="148">
        <f>_xll.qlCalendarAdvance(Calendar,X363,W364,"f",FALSE)</f>
        <v>42417</v>
      </c>
      <c r="Y364" s="153">
        <f>_xll.qlCalendarAdvance(Calendar,X364,NDays&amp;"D")</f>
        <v>42417</v>
      </c>
      <c r="Z364" s="154">
        <v>1.4001527784189678E-2</v>
      </c>
      <c r="AA364" s="156">
        <v>1.3175171532475716E-2</v>
      </c>
    </row>
    <row r="365" spans="19:27" x14ac:dyDescent="0.2">
      <c r="S365" s="1"/>
      <c r="T365" s="117"/>
      <c r="W365" s="75" t="str">
        <f t="shared" si="16"/>
        <v>1D</v>
      </c>
      <c r="X365" s="148">
        <f>_xll.qlCalendarAdvance(Calendar,X364,W365,"f",FALSE)</f>
        <v>42418</v>
      </c>
      <c r="Y365" s="153">
        <f>_xll.qlCalendarAdvance(Calendar,X365,NDays&amp;"D")</f>
        <v>42418</v>
      </c>
      <c r="Z365" s="154">
        <v>1.4019429233267452E-2</v>
      </c>
      <c r="AA365" s="156">
        <v>1.3193692839571503E-2</v>
      </c>
    </row>
    <row r="366" spans="19:27" x14ac:dyDescent="0.2">
      <c r="S366" s="1"/>
      <c r="T366" s="117"/>
      <c r="W366" s="75" t="str">
        <f t="shared" si="16"/>
        <v>1D</v>
      </c>
      <c r="X366" s="148">
        <f>_xll.qlCalendarAdvance(Calendar,X365,W366,"f",FALSE)</f>
        <v>42419</v>
      </c>
      <c r="Y366" s="153">
        <f>_xll.qlCalendarAdvance(Calendar,X366,NDays&amp;"D")</f>
        <v>42419</v>
      </c>
      <c r="Z366" s="154">
        <v>1.4037317283402172E-2</v>
      </c>
      <c r="AA366" s="156">
        <v>1.3231149749788342E-2</v>
      </c>
    </row>
    <row r="367" spans="19:27" x14ac:dyDescent="0.2">
      <c r="S367" s="1"/>
      <c r="T367" s="117"/>
      <c r="W367" s="75" t="str">
        <f t="shared" si="16"/>
        <v>1D</v>
      </c>
      <c r="X367" s="148">
        <f>_xll.qlCalendarAdvance(Calendar,X366,W367,"f",FALSE)</f>
        <v>42422</v>
      </c>
      <c r="Y367" s="153">
        <f>_xll.qlCalendarAdvance(Calendar,X367,NDays&amp;"D")</f>
        <v>42422</v>
      </c>
      <c r="Z367" s="154">
        <v>1.4100001198780651E-2</v>
      </c>
      <c r="AA367" s="156">
        <v>1.326758216758539E-2</v>
      </c>
    </row>
    <row r="368" spans="19:27" x14ac:dyDescent="0.2">
      <c r="S368" s="1"/>
      <c r="T368" s="117"/>
      <c r="W368" s="75" t="str">
        <f t="shared" si="16"/>
        <v>1D</v>
      </c>
      <c r="X368" s="148">
        <f>_xll.qlCalendarAdvance(Calendar,X367,W368,"f",FALSE)</f>
        <v>42423</v>
      </c>
      <c r="Y368" s="153">
        <f>_xll.qlCalendarAdvance(Calendar,X368,NDays&amp;"D")</f>
        <v>42423</v>
      </c>
      <c r="Z368" s="154">
        <v>1.4108737453008299E-2</v>
      </c>
      <c r="AA368" s="156">
        <v>1.3286005524496547E-2</v>
      </c>
    </row>
    <row r="369" spans="19:27" x14ac:dyDescent="0.2">
      <c r="S369" s="1"/>
      <c r="T369" s="117"/>
      <c r="W369" s="75" t="str">
        <f t="shared" si="16"/>
        <v>1D</v>
      </c>
      <c r="X369" s="148">
        <f>_xll.qlCalendarAdvance(Calendar,X368,W369,"f",FALSE)</f>
        <v>42424</v>
      </c>
      <c r="Y369" s="153">
        <f>_xll.qlCalendarAdvance(Calendar,X369,NDays&amp;"D")</f>
        <v>42424</v>
      </c>
      <c r="Z369" s="154">
        <v>1.4126559977319549E-2</v>
      </c>
      <c r="AA369" s="156">
        <v>1.3304409291468033E-2</v>
      </c>
    </row>
    <row r="370" spans="19:27" x14ac:dyDescent="0.2">
      <c r="S370" s="1"/>
      <c r="T370" s="117"/>
      <c r="W370" s="75" t="str">
        <f t="shared" si="16"/>
        <v>1D</v>
      </c>
      <c r="X370" s="148">
        <f>_xll.qlCalendarAdvance(Calendar,X369,W370,"f",FALSE)</f>
        <v>42425</v>
      </c>
      <c r="Y370" s="153">
        <f>_xll.qlCalendarAdvance(Calendar,X370,NDays&amp;"D")</f>
        <v>42425</v>
      </c>
      <c r="Z370" s="154">
        <v>1.4144369690257971E-2</v>
      </c>
      <c r="AA370" s="156">
        <v>1.3322793468418803E-2</v>
      </c>
    </row>
    <row r="371" spans="19:27" x14ac:dyDescent="0.2">
      <c r="S371" s="1"/>
      <c r="T371" s="117"/>
      <c r="W371" s="75" t="str">
        <f t="shared" si="16"/>
        <v>1D</v>
      </c>
      <c r="X371" s="148">
        <f>_xll.qlCalendarAdvance(Calendar,X370,W371,"f",FALSE)</f>
        <v>42426</v>
      </c>
      <c r="Y371" s="153">
        <f>_xll.qlCalendarAdvance(Calendar,X371,NDays&amp;"D")</f>
        <v>42426</v>
      </c>
      <c r="Z371" s="154">
        <v>1.4162166689758992E-2</v>
      </c>
      <c r="AA371" s="156">
        <v>1.3359985503640001E-2</v>
      </c>
    </row>
    <row r="372" spans="19:27" x14ac:dyDescent="0.2">
      <c r="S372" s="1"/>
      <c r="T372" s="117"/>
      <c r="W372" s="75" t="str">
        <f t="shared" si="16"/>
        <v>1D</v>
      </c>
      <c r="X372" s="148">
        <f>_xll.qlCalendarAdvance(Calendar,X371,W372,"f",FALSE)</f>
        <v>42429</v>
      </c>
      <c r="Y372" s="153">
        <f>_xll.qlCalendarAdvance(Calendar,X372,NDays&amp;"D")</f>
        <v>42429</v>
      </c>
      <c r="Z372" s="154">
        <v>1.4233609311362106E-2</v>
      </c>
      <c r="AA372" s="156">
        <v>1.3396134275933669E-2</v>
      </c>
    </row>
    <row r="373" spans="19:27" x14ac:dyDescent="0.2">
      <c r="S373" s="1"/>
      <c r="T373" s="117"/>
      <c r="W373" s="75" t="str">
        <f t="shared" si="16"/>
        <v>1D</v>
      </c>
      <c r="X373" s="148">
        <f>_xll.qlCalendarAdvance(Calendar,X372,W373,"f",FALSE)</f>
        <v>42430</v>
      </c>
      <c r="Y373" s="153">
        <f>_xll.qlCalendarAdvance(Calendar,X373,NDays&amp;"D")</f>
        <v>42430</v>
      </c>
      <c r="Z373" s="154">
        <v>1.4251346809024026E-2</v>
      </c>
      <c r="AA373" s="156">
        <v>1.3414420502699809E-2</v>
      </c>
    </row>
    <row r="374" spans="19:27" x14ac:dyDescent="0.2">
      <c r="S374" s="1"/>
      <c r="T374" s="117"/>
      <c r="W374" s="75" t="str">
        <f t="shared" si="16"/>
        <v>1D</v>
      </c>
      <c r="X374" s="148">
        <f>_xll.qlCalendarAdvance(Calendar,X373,W374,"f",FALSE)</f>
        <v>42431</v>
      </c>
      <c r="Y374" s="153">
        <f>_xll.qlCalendarAdvance(Calendar,X374,NDays&amp;"D")</f>
        <v>42431</v>
      </c>
      <c r="Z374" s="154">
        <v>1.4269072115558152E-2</v>
      </c>
      <c r="AA374" s="156">
        <v>1.3432687139526278E-2</v>
      </c>
    </row>
    <row r="375" spans="19:27" x14ac:dyDescent="0.2">
      <c r="S375" s="1"/>
      <c r="T375" s="117"/>
      <c r="W375" s="75" t="str">
        <f t="shared" si="16"/>
        <v>1D</v>
      </c>
      <c r="X375" s="148">
        <f>_xll.qlCalendarAdvance(Calendar,X374,W375,"f",FALSE)</f>
        <v>42432</v>
      </c>
      <c r="Y375" s="153">
        <f>_xll.qlCalendarAdvance(Calendar,X375,NDays&amp;"D")</f>
        <v>42432</v>
      </c>
      <c r="Z375" s="154">
        <v>1.4286785326782332E-2</v>
      </c>
      <c r="AA375" s="156">
        <v>1.3450934186250985E-2</v>
      </c>
    </row>
    <row r="376" spans="19:27" x14ac:dyDescent="0.2">
      <c r="S376" s="1"/>
      <c r="T376" s="117"/>
      <c r="W376" s="75" t="str">
        <f t="shared" si="16"/>
        <v>1D</v>
      </c>
      <c r="X376" s="148">
        <f>_xll.qlCalendarAdvance(Calendar,X375,W376,"f",FALSE)</f>
        <v>42433</v>
      </c>
      <c r="Y376" s="153">
        <f>_xll.qlCalendarAdvance(Calendar,X376,NDays&amp;"D")</f>
        <v>42433</v>
      </c>
      <c r="Z376" s="154">
        <v>1.4322563521575366E-2</v>
      </c>
      <c r="AA376" s="156">
        <v>1.3487861366089742E-2</v>
      </c>
    </row>
    <row r="377" spans="19:27" x14ac:dyDescent="0.2">
      <c r="S377" s="1"/>
      <c r="T377" s="117"/>
      <c r="W377" s="75" t="str">
        <f t="shared" si="16"/>
        <v>1D</v>
      </c>
      <c r="X377" s="148">
        <f>_xll.qlCalendarAdvance(Calendar,X376,W377,"f",FALSE)</f>
        <v>42436</v>
      </c>
      <c r="Y377" s="153">
        <f>_xll.qlCalendarAdvance(Calendar,X377,NDays&amp;"D")</f>
        <v>42436</v>
      </c>
      <c r="Z377" s="154">
        <v>1.4357519135006104E-2</v>
      </c>
      <c r="AA377" s="156">
        <v>1.3523726472618458E-2</v>
      </c>
    </row>
    <row r="378" spans="19:27" x14ac:dyDescent="0.2">
      <c r="S378" s="1"/>
      <c r="T378" s="117"/>
      <c r="W378" s="75" t="str">
        <f t="shared" si="16"/>
        <v>1D</v>
      </c>
      <c r="X378" s="148">
        <f>_xll.qlCalendarAdvance(Calendar,X377,W378,"f",FALSE)</f>
        <v>42437</v>
      </c>
      <c r="Y378" s="153">
        <f>_xll.qlCalendarAdvance(Calendar,X378,NDays&amp;"D")</f>
        <v>42437</v>
      </c>
      <c r="Z378" s="154">
        <v>1.4375173307016077E-2</v>
      </c>
      <c r="AA378" s="156">
        <v>1.3541875569158535E-2</v>
      </c>
    </row>
    <row r="379" spans="19:27" x14ac:dyDescent="0.2">
      <c r="S379" s="1"/>
      <c r="T379" s="117"/>
      <c r="W379" s="75" t="str">
        <f t="shared" si="16"/>
        <v>1D</v>
      </c>
      <c r="X379" s="148">
        <f>_xll.qlCalendarAdvance(Calendar,X378,W379,"f",FALSE)</f>
        <v>42438</v>
      </c>
      <c r="Y379" s="153">
        <f>_xll.qlCalendarAdvance(Calendar,X379,NDays&amp;"D")</f>
        <v>42438</v>
      </c>
      <c r="Z379" s="154">
        <v>1.4392815958661064E-2</v>
      </c>
      <c r="AA379" s="156">
        <v>1.3560005075596848E-2</v>
      </c>
    </row>
    <row r="380" spans="19:27" x14ac:dyDescent="0.2">
      <c r="S380" s="1"/>
      <c r="T380" s="117"/>
      <c r="W380" s="75" t="str">
        <f t="shared" si="16"/>
        <v>1D</v>
      </c>
      <c r="X380" s="148">
        <f>_xll.qlCalendarAdvance(Calendar,X379,W380,"f",FALSE)</f>
        <v>42439</v>
      </c>
      <c r="Y380" s="153">
        <f>_xll.qlCalendarAdvance(Calendar,X380,NDays&amp;"D")</f>
        <v>42439</v>
      </c>
      <c r="Z380" s="154">
        <v>1.4410447185773884E-2</v>
      </c>
      <c r="AA380" s="156">
        <v>1.3578114991933399E-2</v>
      </c>
    </row>
    <row r="381" spans="19:27" x14ac:dyDescent="0.2">
      <c r="S381" s="1"/>
      <c r="T381" s="117"/>
      <c r="W381" s="75" t="str">
        <f t="shared" si="16"/>
        <v>1D</v>
      </c>
      <c r="X381" s="148">
        <f>_xll.qlCalendarAdvance(Calendar,X380,W381,"f",FALSE)</f>
        <v>42440</v>
      </c>
      <c r="Y381" s="153">
        <f>_xll.qlCalendarAdvance(Calendar,X381,NDays&amp;"D")</f>
        <v>42440</v>
      </c>
      <c r="Z381" s="154">
        <v>1.4446077965714562E-2</v>
      </c>
      <c r="AA381" s="156">
        <v>1.3614777334138852E-2</v>
      </c>
    </row>
    <row r="382" spans="19:27" x14ac:dyDescent="0.2">
      <c r="S382" s="1"/>
      <c r="T382" s="117"/>
      <c r="W382" s="75" t="str">
        <f t="shared" si="16"/>
        <v>1D</v>
      </c>
      <c r="X382" s="148">
        <f>_xll.qlCalendarAdvance(Calendar,X381,W382,"f",FALSE)</f>
        <v>42443</v>
      </c>
      <c r="Y382" s="153">
        <f>_xll.qlCalendarAdvance(Calendar,X382,NDays&amp;"D")</f>
        <v>42443</v>
      </c>
      <c r="Z382" s="154">
        <v>1.4480859765569643E-2</v>
      </c>
      <c r="AA382" s="156">
        <v>1.3650358756748249E-2</v>
      </c>
    </row>
    <row r="383" spans="19:27" x14ac:dyDescent="0.2">
      <c r="S383" s="1"/>
      <c r="T383" s="117"/>
      <c r="W383" s="75" t="str">
        <f t="shared" si="16"/>
        <v>1D</v>
      </c>
      <c r="X383" s="148">
        <f>_xll.qlCalendarAdvance(Calendar,X382,W383,"f",FALSE)</f>
        <v>42444</v>
      </c>
      <c r="Y383" s="153">
        <f>_xll.qlCalendarAdvance(Calendar,X383,NDays&amp;"D")</f>
        <v>42444</v>
      </c>
      <c r="Z383" s="154">
        <v>1.4498435307540398E-2</v>
      </c>
      <c r="AA383" s="156">
        <v>1.3668370722738077E-2</v>
      </c>
    </row>
    <row r="384" spans="19:27" x14ac:dyDescent="0.2">
      <c r="S384" s="1"/>
      <c r="T384" s="117"/>
      <c r="W384" s="75" t="str">
        <f t="shared" si="16"/>
        <v>1D</v>
      </c>
      <c r="X384" s="148">
        <f>_xll.qlCalendarAdvance(Calendar,X383,W384,"f",FALSE)</f>
        <v>42445</v>
      </c>
      <c r="Y384" s="153">
        <f>_xll.qlCalendarAdvance(Calendar,X384,NDays&amp;"D")</f>
        <v>42445</v>
      </c>
      <c r="Z384" s="154">
        <v>1.4515999999999706E-2</v>
      </c>
      <c r="AA384" s="156">
        <v>1.3686364565158593E-2</v>
      </c>
    </row>
    <row r="385" spans="19:27" x14ac:dyDescent="0.2">
      <c r="S385" s="1"/>
      <c r="T385" s="117"/>
      <c r="W385" s="75" t="str">
        <f t="shared" si="16"/>
        <v>1D</v>
      </c>
      <c r="X385" s="148">
        <f>_xll.qlCalendarAdvance(Calendar,X384,W385,"f",FALSE)</f>
        <v>42446</v>
      </c>
      <c r="Y385" s="153">
        <f>_xll.qlCalendarAdvance(Calendar,X385,NDays&amp;"D")</f>
        <v>42446</v>
      </c>
      <c r="Z385" s="154">
        <v>1.4533553928957934E-2</v>
      </c>
      <c r="AA385" s="156">
        <v>1.3704346149977509E-2</v>
      </c>
    </row>
    <row r="386" spans="19:27" x14ac:dyDescent="0.2">
      <c r="S386" s="1"/>
      <c r="T386" s="117"/>
      <c r="W386" s="75" t="str">
        <f t="shared" si="16"/>
        <v>1D</v>
      </c>
      <c r="X386" s="148">
        <f>_xll.qlCalendarAdvance(Calendar,X385,W386,"f",FALSE)</f>
        <v>42447</v>
      </c>
      <c r="Y386" s="153">
        <f>_xll.qlCalendarAdvance(Calendar,X386,NDays&amp;"D")</f>
        <v>42447</v>
      </c>
      <c r="Z386" s="154">
        <v>1.456904279332967E-2</v>
      </c>
      <c r="AA386" s="156">
        <v>1.3740790602228733E-2</v>
      </c>
    </row>
    <row r="387" spans="19:27" x14ac:dyDescent="0.2">
      <c r="S387" s="1"/>
      <c r="T387" s="117"/>
      <c r="W387" s="75" t="str">
        <f t="shared" si="16"/>
        <v>1D</v>
      </c>
      <c r="X387" s="148">
        <f>_xll.qlCalendarAdvance(Calendar,X386,W387,"f",FALSE)</f>
        <v>42450</v>
      </c>
      <c r="Y387" s="153">
        <f>_xll.qlCalendarAdvance(Calendar,X387,NDays&amp;"D")</f>
        <v>42450</v>
      </c>
      <c r="Z387" s="154">
        <v>1.4603662844973414E-2</v>
      </c>
      <c r="AA387" s="156">
        <v>1.3776164577832262E-2</v>
      </c>
    </row>
    <row r="388" spans="19:27" x14ac:dyDescent="0.2">
      <c r="S388" s="1"/>
      <c r="T388" s="117"/>
      <c r="W388" s="75" t="str">
        <f t="shared" si="16"/>
        <v>1D</v>
      </c>
      <c r="X388" s="148">
        <f>_xll.qlCalendarAdvance(Calendar,X387,W388,"f",FALSE)</f>
        <v>42451</v>
      </c>
      <c r="Y388" s="153">
        <f>_xll.qlCalendarAdvance(Calendar,X388,NDays&amp;"D")</f>
        <v>42451</v>
      </c>
      <c r="Z388" s="154">
        <v>1.4621163558247729E-2</v>
      </c>
      <c r="AA388" s="156">
        <v>1.3794092206900199E-2</v>
      </c>
    </row>
    <row r="389" spans="19:27" x14ac:dyDescent="0.2">
      <c r="S389" s="1"/>
      <c r="T389" s="117"/>
      <c r="W389" s="75" t="str">
        <f t="shared" si="16"/>
        <v>1D</v>
      </c>
      <c r="X389" s="148">
        <f>_xll.qlCalendarAdvance(Calendar,X388,W389,"f",FALSE)</f>
        <v>42452</v>
      </c>
      <c r="Y389" s="153">
        <f>_xll.qlCalendarAdvance(Calendar,X389,NDays&amp;"D")</f>
        <v>42452</v>
      </c>
      <c r="Z389" s="154">
        <v>1.4638653738920936E-2</v>
      </c>
      <c r="AA389" s="156">
        <v>1.3812009044898987E-2</v>
      </c>
    </row>
    <row r="390" spans="19:27" x14ac:dyDescent="0.2">
      <c r="S390" s="1"/>
      <c r="T390" s="117"/>
      <c r="W390" s="75" t="str">
        <f t="shared" si="16"/>
        <v>1D</v>
      </c>
      <c r="X390" s="148">
        <f>_xll.qlCalendarAdvance(Calendar,X389,W390,"f",FALSE)</f>
        <v>42453</v>
      </c>
      <c r="Y390" s="153">
        <f>_xll.qlCalendarAdvance(Calendar,X390,NDays&amp;"D")</f>
        <v>42453</v>
      </c>
      <c r="Z390" s="154">
        <v>1.4656133423841785E-2</v>
      </c>
      <c r="AA390" s="156">
        <v>1.3866737524006911E-2</v>
      </c>
    </row>
    <row r="391" spans="19:27" x14ac:dyDescent="0.2">
      <c r="S391" s="1"/>
      <c r="T391" s="117"/>
      <c r="W391" s="75" t="str">
        <f t="shared" si="16"/>
        <v>1D</v>
      </c>
      <c r="X391" s="148">
        <f>_xll.qlCalendarAdvance(Calendar,X390,W391,"f",FALSE)</f>
        <v>42458</v>
      </c>
      <c r="Y391" s="153">
        <f>_xll.qlCalendarAdvance(Calendar,X391,NDays&amp;"D")</f>
        <v>42458</v>
      </c>
      <c r="Z391" s="154">
        <v>1.474337570185099E-2</v>
      </c>
      <c r="AA391" s="156">
        <v>1.3919283458575515E-2</v>
      </c>
    </row>
    <row r="392" spans="19:27" x14ac:dyDescent="0.2">
      <c r="S392" s="1"/>
      <c r="T392" s="117"/>
      <c r="W392" s="75" t="str">
        <f t="shared" si="16"/>
        <v>1D</v>
      </c>
      <c r="X392" s="148">
        <f>_xll.qlCalendarAdvance(Calendar,X391,W392,"f",FALSE)</f>
        <v>42459</v>
      </c>
      <c r="Y392" s="153">
        <f>_xll.qlCalendarAdvance(Calendar,X392,NDays&amp;"D")</f>
        <v>42459</v>
      </c>
      <c r="Z392" s="154">
        <v>1.4760793186085811E-2</v>
      </c>
      <c r="AA392" s="156">
        <v>1.3937124758522934E-2</v>
      </c>
    </row>
    <row r="393" spans="19:27" x14ac:dyDescent="0.2">
      <c r="S393" s="1"/>
      <c r="T393" s="117"/>
      <c r="W393" s="75" t="str">
        <f t="shared" si="16"/>
        <v>1D</v>
      </c>
      <c r="X393" s="148">
        <f>_xll.qlCalendarAdvance(Calendar,X392,W393,"f",FALSE)</f>
        <v>42460</v>
      </c>
      <c r="Y393" s="153">
        <f>_xll.qlCalendarAdvance(Calendar,X393,NDays&amp;"D")</f>
        <v>42460</v>
      </c>
      <c r="Z393" s="154">
        <v>1.4769280538705069E-2</v>
      </c>
      <c r="AA393" s="156">
        <v>1.3954955267320157E-2</v>
      </c>
    </row>
    <row r="394" spans="19:27" x14ac:dyDescent="0.2">
      <c r="S394" s="1"/>
      <c r="T394" s="117"/>
      <c r="W394" s="75" t="str">
        <f t="shared" si="16"/>
        <v>1D</v>
      </c>
      <c r="X394" s="148">
        <f>_xll.qlCalendarAdvance(Calendar,X393,W394,"f",FALSE)</f>
        <v>42461</v>
      </c>
      <c r="Y394" s="153">
        <f>_xll.qlCalendarAdvance(Calendar,X394,NDays&amp;"D")</f>
        <v>42461</v>
      </c>
      <c r="Z394" s="154">
        <v>1.4786681747117223E-2</v>
      </c>
      <c r="AA394" s="156">
        <v>1.3991116584767632E-2</v>
      </c>
    </row>
    <row r="395" spans="19:27" x14ac:dyDescent="0.2">
      <c r="S395" s="1"/>
      <c r="T395" s="117"/>
      <c r="W395" s="75" t="str">
        <f t="shared" si="16"/>
        <v>1D</v>
      </c>
      <c r="X395" s="148">
        <f>_xll.qlCalendarAdvance(Calendar,X394,W395,"f",FALSE)</f>
        <v>42464</v>
      </c>
      <c r="Y395" s="153">
        <f>_xll.qlCalendarAdvance(Calendar,X395,NDays&amp;"D")</f>
        <v>42464</v>
      </c>
      <c r="Z395" s="154">
        <v>1.4838824349383051E-2</v>
      </c>
      <c r="AA395" s="156">
        <v>1.4026169390682908E-2</v>
      </c>
    </row>
    <row r="396" spans="19:27" x14ac:dyDescent="0.2">
      <c r="S396" s="1"/>
      <c r="T396" s="117"/>
      <c r="W396" s="75" t="str">
        <f t="shared" si="16"/>
        <v>1D</v>
      </c>
      <c r="X396" s="148">
        <f>_xll.qlCalendarAdvance(Calendar,X395,W396,"f",FALSE)</f>
        <v>42465</v>
      </c>
      <c r="Y396" s="153">
        <f>_xll.qlCalendarAdvance(Calendar,X396,NDays&amp;"D")</f>
        <v>42465</v>
      </c>
      <c r="Z396" s="154">
        <v>1.4856185000019543E-2</v>
      </c>
      <c r="AA396" s="156">
        <v>1.4043945943648106E-2</v>
      </c>
    </row>
    <row r="397" spans="19:27" x14ac:dyDescent="0.2">
      <c r="S397" s="1"/>
      <c r="T397" s="117"/>
      <c r="W397" s="75" t="str">
        <f t="shared" si="16"/>
        <v>1D</v>
      </c>
      <c r="X397" s="148">
        <f>_xll.qlCalendarAdvance(Calendar,X396,W397,"f",FALSE)</f>
        <v>42466</v>
      </c>
      <c r="Y397" s="153">
        <f>_xll.qlCalendarAdvance(Calendar,X397,NDays&amp;"D")</f>
        <v>42466</v>
      </c>
      <c r="Z397" s="154">
        <v>1.4873535604365691E-2</v>
      </c>
      <c r="AA397" s="156">
        <v>1.4061711705463109E-2</v>
      </c>
    </row>
    <row r="398" spans="19:27" x14ac:dyDescent="0.2">
      <c r="S398" s="1"/>
      <c r="T398" s="117"/>
      <c r="W398" s="75" t="str">
        <f t="shared" si="16"/>
        <v>1D</v>
      </c>
      <c r="X398" s="148">
        <f>_xll.qlCalendarAdvance(Calendar,X397,W398,"f",FALSE)</f>
        <v>42467</v>
      </c>
      <c r="Y398" s="153">
        <f>_xll.qlCalendarAdvance(Calendar,X398,NDays&amp;"D")</f>
        <v>42467</v>
      </c>
      <c r="Z398" s="154">
        <v>1.4890876199685862E-2</v>
      </c>
      <c r="AA398" s="156">
        <v>1.407946667604687E-2</v>
      </c>
    </row>
    <row r="399" spans="19:27" x14ac:dyDescent="0.2">
      <c r="S399" s="1"/>
      <c r="T399" s="117"/>
      <c r="W399" s="75" t="str">
        <f t="shared" si="16"/>
        <v>1D</v>
      </c>
      <c r="X399" s="148">
        <f>_xll.qlCalendarAdvance(Calendar,X398,W399,"f",FALSE)</f>
        <v>42468</v>
      </c>
      <c r="Y399" s="153">
        <f>_xll.qlCalendarAdvance(Calendar,X399,NDays&amp;"D")</f>
        <v>42468</v>
      </c>
      <c r="Z399" s="154">
        <v>1.4908206823243534E-2</v>
      </c>
      <c r="AA399" s="156">
        <v>1.4115486493360882E-2</v>
      </c>
    </row>
    <row r="400" spans="19:27" x14ac:dyDescent="0.2">
      <c r="S400" s="1"/>
      <c r="T400" s="117"/>
      <c r="W400" s="75" t="str">
        <f t="shared" si="16"/>
        <v>1D</v>
      </c>
      <c r="X400" s="148">
        <f>_xll.qlCalendarAdvance(Calendar,X399,W400,"f",FALSE)</f>
        <v>42471</v>
      </c>
      <c r="Y400" s="153">
        <f>_xll.qlCalendarAdvance(Calendar,X400,NDays&amp;"D")</f>
        <v>42471</v>
      </c>
      <c r="Z400" s="154">
        <v>1.496013923599413E-2</v>
      </c>
      <c r="AA400" s="156">
        <v>1.4150378646798911E-2</v>
      </c>
    </row>
    <row r="401" spans="19:27" x14ac:dyDescent="0.2">
      <c r="S401" s="1"/>
      <c r="T401" s="117"/>
      <c r="W401" s="75" t="str">
        <f t="shared" si="16"/>
        <v>1D</v>
      </c>
      <c r="X401" s="148">
        <f>_xll.qlCalendarAdvance(Calendar,X400,W401,"f",FALSE)</f>
        <v>42472</v>
      </c>
      <c r="Y401" s="153">
        <f>_xll.qlCalendarAdvance(Calendar,X401,NDays&amp;"D")</f>
        <v>42472</v>
      </c>
      <c r="Z401" s="154">
        <v>1.4977430345157054E-2</v>
      </c>
      <c r="AA401" s="156">
        <v>1.4168079661550648E-2</v>
      </c>
    </row>
    <row r="402" spans="19:27" x14ac:dyDescent="0.2">
      <c r="S402" s="1"/>
      <c r="T402" s="117"/>
      <c r="W402" s="75" t="str">
        <f t="shared" si="16"/>
        <v>1D</v>
      </c>
      <c r="X402" s="148">
        <f>_xll.qlCalendarAdvance(Calendar,X401,W402,"f",FALSE)</f>
        <v>42473</v>
      </c>
      <c r="Y402" s="153">
        <f>_xll.qlCalendarAdvance(Calendar,X402,NDays&amp;"D")</f>
        <v>42473</v>
      </c>
      <c r="Z402" s="154">
        <v>1.4994711668888222E-2</v>
      </c>
      <c r="AA402" s="156">
        <v>1.4185769885152189E-2</v>
      </c>
    </row>
    <row r="403" spans="19:27" x14ac:dyDescent="0.2">
      <c r="S403" s="1"/>
      <c r="T403" s="117"/>
      <c r="W403" s="75" t="str">
        <f t="shared" si="16"/>
        <v>1D</v>
      </c>
      <c r="X403" s="148">
        <f>_xll.qlCalendarAdvance(Calendar,X402,W403,"f",FALSE)</f>
        <v>42474</v>
      </c>
      <c r="Y403" s="153">
        <f>_xll.qlCalendarAdvance(Calendar,X403,NDays&amp;"D")</f>
        <v>42474</v>
      </c>
      <c r="Z403" s="154">
        <v>1.5011983244456453E-2</v>
      </c>
      <c r="AA403" s="156">
        <v>1.4203449317603534E-2</v>
      </c>
    </row>
    <row r="404" spans="19:27" x14ac:dyDescent="0.2">
      <c r="S404" s="1"/>
      <c r="T404" s="117"/>
      <c r="W404" s="75" t="str">
        <f t="shared" si="16"/>
        <v>1D</v>
      </c>
      <c r="X404" s="148">
        <f>_xll.qlCalendarAdvance(Calendar,X403,W404,"f",FALSE)</f>
        <v>42475</v>
      </c>
      <c r="Y404" s="153">
        <f>_xll.qlCalendarAdvance(Calendar,X404,NDays&amp;"D")</f>
        <v>42475</v>
      </c>
      <c r="Z404" s="154">
        <v>1.5029245109130568E-2</v>
      </c>
      <c r="AA404" s="156">
        <v>1.4239327678008767E-2</v>
      </c>
    </row>
    <row r="405" spans="19:27" x14ac:dyDescent="0.2">
      <c r="S405" s="1"/>
      <c r="T405" s="117"/>
      <c r="W405" s="75" t="str">
        <f t="shared" ref="W405:W468" si="17">W404</f>
        <v>1D</v>
      </c>
      <c r="X405" s="148">
        <f>_xll.qlCalendarAdvance(Calendar,X404,W405,"f",FALSE)</f>
        <v>42478</v>
      </c>
      <c r="Y405" s="153">
        <f>_xll.qlCalendarAdvance(Calendar,X405,NDays&amp;"D")</f>
        <v>42478</v>
      </c>
      <c r="Z405" s="154">
        <v>1.5080972810487113E-2</v>
      </c>
      <c r="AA405" s="156">
        <v>1.427405913542068E-2</v>
      </c>
    </row>
    <row r="406" spans="19:27" x14ac:dyDescent="0.2">
      <c r="S406" s="1"/>
      <c r="T406" s="117"/>
      <c r="W406" s="75" t="str">
        <f t="shared" si="17"/>
        <v>1D</v>
      </c>
      <c r="X406" s="148">
        <f>_xll.qlCalendarAdvance(Calendar,X405,W406,"f",FALSE)</f>
        <v>42479</v>
      </c>
      <c r="Y406" s="153">
        <f>_xll.qlCalendarAdvance(Calendar,X406,NDays&amp;"D")</f>
        <v>42479</v>
      </c>
      <c r="Z406" s="154">
        <v>1.509819620428811E-2</v>
      </c>
      <c r="AA406" s="156">
        <v>1.4291684611877908E-2</v>
      </c>
    </row>
    <row r="407" spans="19:27" x14ac:dyDescent="0.2">
      <c r="S407" s="1"/>
      <c r="T407" s="117"/>
      <c r="W407" s="75" t="str">
        <f t="shared" si="17"/>
        <v>1D</v>
      </c>
      <c r="X407" s="148">
        <f>_xll.qlCalendarAdvance(Calendar,X406,W407,"f",FALSE)</f>
        <v>42480</v>
      </c>
      <c r="Y407" s="153">
        <f>_xll.qlCalendarAdvance(Calendar,X407,NDays&amp;"D")</f>
        <v>42480</v>
      </c>
      <c r="Z407" s="154">
        <v>1.5115410073549784E-2</v>
      </c>
      <c r="AA407" s="156">
        <v>1.4309299297184941E-2</v>
      </c>
    </row>
    <row r="408" spans="19:27" x14ac:dyDescent="0.2">
      <c r="S408" s="1"/>
      <c r="T408" s="117"/>
      <c r="W408" s="75" t="str">
        <f t="shared" si="17"/>
        <v>1D</v>
      </c>
      <c r="X408" s="148">
        <f>_xll.qlCalendarAdvance(Calendar,X407,W408,"f",FALSE)</f>
        <v>42481</v>
      </c>
      <c r="Y408" s="153">
        <f>_xll.qlCalendarAdvance(Calendar,X408,NDays&amp;"D")</f>
        <v>42481</v>
      </c>
      <c r="Z408" s="154">
        <v>1.5132614455547184E-2</v>
      </c>
      <c r="AA408" s="156">
        <v>1.4326903191260731E-2</v>
      </c>
    </row>
    <row r="409" spans="19:27" x14ac:dyDescent="0.2">
      <c r="S409" s="1"/>
      <c r="T409" s="117"/>
      <c r="W409" s="75" t="str">
        <f t="shared" si="17"/>
        <v>1D</v>
      </c>
      <c r="X409" s="148">
        <f>_xll.qlCalendarAdvance(Calendar,X408,W409,"f",FALSE)</f>
        <v>42482</v>
      </c>
      <c r="Y409" s="153">
        <f>_xll.qlCalendarAdvance(Calendar,X409,NDays&amp;"D")</f>
        <v>42482</v>
      </c>
      <c r="Z409" s="154">
        <v>1.5149809387552698E-2</v>
      </c>
      <c r="AA409" s="156">
        <v>1.4362640137063344E-2</v>
      </c>
    </row>
    <row r="410" spans="19:27" x14ac:dyDescent="0.2">
      <c r="S410" s="1"/>
      <c r="T410" s="117"/>
      <c r="W410" s="75" t="str">
        <f t="shared" si="17"/>
        <v>1D</v>
      </c>
      <c r="X410" s="148">
        <f>_xll.qlCalendarAdvance(Calendar,X409,W410,"f",FALSE)</f>
        <v>42485</v>
      </c>
      <c r="Y410" s="153">
        <f>_xll.qlCalendarAdvance(Calendar,X410,NDays&amp;"D")</f>
        <v>42485</v>
      </c>
      <c r="Z410" s="154">
        <v>1.5201337856371133E-2</v>
      </c>
      <c r="AA410" s="156">
        <v>1.4397210855737752E-2</v>
      </c>
    </row>
    <row r="411" spans="19:27" x14ac:dyDescent="0.2">
      <c r="S411" s="1"/>
      <c r="T411" s="117"/>
      <c r="W411" s="75" t="str">
        <f t="shared" si="17"/>
        <v>1D</v>
      </c>
      <c r="X411" s="148">
        <f>_xll.qlCalendarAdvance(Calendar,X410,W411,"f",FALSE)</f>
        <v>42486</v>
      </c>
      <c r="Y411" s="153">
        <f>_xll.qlCalendarAdvance(Calendar,X411,NDays&amp;"D")</f>
        <v>42486</v>
      </c>
      <c r="Z411" s="154">
        <v>1.5218495361164985E-2</v>
      </c>
      <c r="AA411" s="156">
        <v>1.4414760793900472E-2</v>
      </c>
    </row>
    <row r="412" spans="19:27" x14ac:dyDescent="0.2">
      <c r="S412" s="1"/>
      <c r="T412" s="117"/>
      <c r="W412" s="75" t="str">
        <f t="shared" si="17"/>
        <v>1D</v>
      </c>
      <c r="X412" s="148">
        <f>_xll.qlCalendarAdvance(Calendar,X411,W412,"f",FALSE)</f>
        <v>42487</v>
      </c>
      <c r="Y412" s="153">
        <f>_xll.qlCalendarAdvance(Calendar,X412,NDays&amp;"D")</f>
        <v>42487</v>
      </c>
      <c r="Z412" s="154">
        <v>1.5235643602347569E-2</v>
      </c>
      <c r="AA412" s="156">
        <v>1.443229994083195E-2</v>
      </c>
    </row>
    <row r="413" spans="19:27" x14ac:dyDescent="0.2">
      <c r="S413" s="1"/>
      <c r="T413" s="117"/>
      <c r="W413" s="75" t="str">
        <f t="shared" si="17"/>
        <v>1D</v>
      </c>
      <c r="X413" s="148">
        <f>_xll.qlCalendarAdvance(Calendar,X412,W413,"f",FALSE)</f>
        <v>42488</v>
      </c>
      <c r="Y413" s="153">
        <f>_xll.qlCalendarAdvance(Calendar,X413,NDays&amp;"D")</f>
        <v>42488</v>
      </c>
      <c r="Z413" s="154">
        <v>1.5252782617197501E-2</v>
      </c>
      <c r="AA413" s="156">
        <v>1.4449828296532186E-2</v>
      </c>
    </row>
    <row r="414" spans="19:27" x14ac:dyDescent="0.2">
      <c r="S414" s="1"/>
      <c r="T414" s="117"/>
      <c r="W414" s="75" t="str">
        <f t="shared" si="17"/>
        <v>1D</v>
      </c>
      <c r="X414" s="148">
        <f>_xll.qlCalendarAdvance(Calendar,X413,W414,"f",FALSE)</f>
        <v>42489</v>
      </c>
      <c r="Y414" s="153">
        <f>_xll.qlCalendarAdvance(Calendar,X414,NDays&amp;"D")</f>
        <v>42489</v>
      </c>
      <c r="Z414" s="154">
        <v>1.5269912442993397E-2</v>
      </c>
      <c r="AA414" s="156">
        <v>1.44944585301926E-2</v>
      </c>
    </row>
    <row r="415" spans="19:27" x14ac:dyDescent="0.2">
      <c r="S415" s="1"/>
      <c r="T415" s="117"/>
      <c r="W415" s="75" t="str">
        <f t="shared" si="17"/>
        <v>1D</v>
      </c>
      <c r="X415" s="148">
        <f>_xll.qlCalendarAdvance(Calendar,X414,W415,"f",FALSE)</f>
        <v>42493</v>
      </c>
      <c r="Y415" s="153">
        <f>_xll.qlCalendarAdvance(Calendar,X415,NDays&amp;"D")</f>
        <v>42493</v>
      </c>
      <c r="Z415" s="154">
        <v>1.5347137398667068E-2</v>
      </c>
      <c r="AA415" s="156">
        <v>1.4537308207213107E-2</v>
      </c>
    </row>
    <row r="416" spans="19:27" x14ac:dyDescent="0.2">
      <c r="S416" s="1"/>
      <c r="T416" s="117"/>
      <c r="W416" s="75" t="str">
        <f t="shared" si="17"/>
        <v>1D</v>
      </c>
      <c r="X416" s="148">
        <f>_xll.qlCalendarAdvance(Calendar,X415,W416,"f",FALSE)</f>
        <v>42494</v>
      </c>
      <c r="Y416" s="153">
        <f>_xll.qlCalendarAdvance(Calendar,X416,NDays&amp;"D")</f>
        <v>42494</v>
      </c>
      <c r="Z416" s="154">
        <v>1.5364218492089004E-2</v>
      </c>
      <c r="AA416" s="156">
        <v>1.4554771815687984E-2</v>
      </c>
    </row>
    <row r="417" spans="19:27" x14ac:dyDescent="0.2">
      <c r="S417" s="1"/>
      <c r="T417" s="117"/>
      <c r="W417" s="75" t="str">
        <f t="shared" si="17"/>
        <v>1D</v>
      </c>
      <c r="X417" s="148">
        <f>_xll.qlCalendarAdvance(Calendar,X416,W417,"f",FALSE)</f>
        <v>42495</v>
      </c>
      <c r="Y417" s="153">
        <f>_xll.qlCalendarAdvance(Calendar,X417,NDays&amp;"D")</f>
        <v>42495</v>
      </c>
      <c r="Z417" s="154">
        <v>1.5381290637989205E-2</v>
      </c>
      <c r="AA417" s="156">
        <v>1.4572224633012665E-2</v>
      </c>
    </row>
    <row r="418" spans="19:27" x14ac:dyDescent="0.2">
      <c r="S418" s="1"/>
      <c r="T418" s="117"/>
      <c r="W418" s="75" t="str">
        <f t="shared" si="17"/>
        <v>1D</v>
      </c>
      <c r="X418" s="148">
        <f>_xll.qlCalendarAdvance(Calendar,X417,W418,"f",FALSE)</f>
        <v>42496</v>
      </c>
      <c r="Y418" s="153">
        <f>_xll.qlCalendarAdvance(Calendar,X418,NDays&amp;"D")</f>
        <v>42496</v>
      </c>
      <c r="Z418" s="154">
        <v>1.5415921987547793E-2</v>
      </c>
      <c r="AA418" s="156">
        <v>1.4607678872043952E-2</v>
      </c>
    </row>
    <row r="419" spans="19:27" x14ac:dyDescent="0.2">
      <c r="S419" s="1"/>
      <c r="T419" s="117"/>
      <c r="W419" s="75" t="str">
        <f t="shared" si="17"/>
        <v>1D</v>
      </c>
      <c r="X419" s="148">
        <f>_xll.qlCalendarAdvance(Calendar,X418,W419,"f",FALSE)</f>
        <v>42499</v>
      </c>
      <c r="Y419" s="153">
        <f>_xll.qlCalendarAdvance(Calendar,X419,NDays&amp;"D")</f>
        <v>42499</v>
      </c>
      <c r="Z419" s="154">
        <v>1.5449490483961669E-2</v>
      </c>
      <c r="AA419" s="156">
        <v>1.4641927989998971E-2</v>
      </c>
    </row>
    <row r="420" spans="19:27" x14ac:dyDescent="0.2">
      <c r="S420" s="1"/>
      <c r="T420" s="117"/>
      <c r="W420" s="75" t="str">
        <f t="shared" si="17"/>
        <v>1D</v>
      </c>
      <c r="X420" s="148">
        <f>_xll.qlCalendarAdvance(Calendar,X419,W420,"f",FALSE)</f>
        <v>42500</v>
      </c>
      <c r="Y420" s="153">
        <f>_xll.qlCalendarAdvance(Calendar,X420,NDays&amp;"D")</f>
        <v>42500</v>
      </c>
      <c r="Z420" s="154">
        <v>1.5466518445444286E-2</v>
      </c>
      <c r="AA420" s="156">
        <v>1.4659326851167442E-2</v>
      </c>
    </row>
    <row r="421" spans="19:27" x14ac:dyDescent="0.2">
      <c r="S421" s="1"/>
      <c r="T421" s="117"/>
      <c r="W421" s="75" t="str">
        <f t="shared" si="17"/>
        <v>1D</v>
      </c>
      <c r="X421" s="148">
        <f>_xll.qlCalendarAdvance(Calendar,X420,W421,"f",FALSE)</f>
        <v>42501</v>
      </c>
      <c r="Y421" s="153">
        <f>_xll.qlCalendarAdvance(Calendar,X421,NDays&amp;"D")</f>
        <v>42501</v>
      </c>
      <c r="Z421" s="154">
        <v>1.5483537680684419E-2</v>
      </c>
      <c r="AA421" s="156">
        <v>1.4676714921185718E-2</v>
      </c>
    </row>
    <row r="422" spans="19:27" x14ac:dyDescent="0.2">
      <c r="S422" s="1"/>
      <c r="T422" s="117"/>
      <c r="W422" s="75" t="str">
        <f t="shared" si="17"/>
        <v>1D</v>
      </c>
      <c r="X422" s="148">
        <f>_xll.qlCalendarAdvance(Calendar,X421,W422,"f",FALSE)</f>
        <v>42502</v>
      </c>
      <c r="Y422" s="153">
        <f>_xll.qlCalendarAdvance(Calendar,X422,NDays&amp;"D")</f>
        <v>42502</v>
      </c>
      <c r="Z422" s="154">
        <v>1.5500548226564296E-2</v>
      </c>
      <c r="AA422" s="156">
        <v>1.4694092199972753E-2</v>
      </c>
    </row>
    <row r="423" spans="19:27" x14ac:dyDescent="0.2">
      <c r="S423" s="1"/>
      <c r="T423" s="117"/>
      <c r="W423" s="75" t="str">
        <f t="shared" si="17"/>
        <v>1D</v>
      </c>
      <c r="X423" s="148">
        <f>_xll.qlCalendarAdvance(Calendar,X422,W423,"f",FALSE)</f>
        <v>42503</v>
      </c>
      <c r="Y423" s="153">
        <f>_xll.qlCalendarAdvance(Calendar,X423,NDays&amp;"D")</f>
        <v>42503</v>
      </c>
      <c r="Z423" s="154">
        <v>1.5535072925947286E-2</v>
      </c>
      <c r="AA423" s="156">
        <v>1.4729405144782161E-2</v>
      </c>
    </row>
    <row r="424" spans="19:27" x14ac:dyDescent="0.2">
      <c r="S424" s="1"/>
      <c r="T424" s="117"/>
      <c r="W424" s="75" t="str">
        <f t="shared" si="17"/>
        <v>1D</v>
      </c>
      <c r="X424" s="148">
        <f>_xll.qlCalendarAdvance(Calendar,X423,W424,"f",FALSE)</f>
        <v>42506</v>
      </c>
      <c r="Y424" s="153">
        <f>_xll.qlCalendarAdvance(Calendar,X424,NDays&amp;"D")</f>
        <v>42506</v>
      </c>
      <c r="Z424" s="154">
        <v>1.5568504254145969E-2</v>
      </c>
      <c r="AA424" s="156">
        <v>1.476349340280847E-2</v>
      </c>
    </row>
    <row r="425" spans="19:27" x14ac:dyDescent="0.2">
      <c r="S425" s="1"/>
      <c r="T425" s="117"/>
      <c r="W425" s="75" t="str">
        <f t="shared" si="17"/>
        <v>1D</v>
      </c>
      <c r="X425" s="148">
        <f>_xll.qlCalendarAdvance(Calendar,X424,W425,"f",FALSE)</f>
        <v>42507</v>
      </c>
      <c r="Y425" s="153">
        <f>_xll.qlCalendarAdvance(Calendar,X425,NDays&amp;"D")</f>
        <v>42507</v>
      </c>
      <c r="Z425" s="154">
        <v>1.5585471906479062E-2</v>
      </c>
      <c r="AA425" s="156">
        <v>1.4780816725439294E-2</v>
      </c>
    </row>
    <row r="426" spans="19:27" x14ac:dyDescent="0.2">
      <c r="S426" s="1"/>
      <c r="T426" s="117"/>
      <c r="W426" s="75" t="str">
        <f t="shared" si="17"/>
        <v>1D</v>
      </c>
      <c r="X426" s="148">
        <f>_xll.qlCalendarAdvance(Calendar,X425,W426,"f",FALSE)</f>
        <v>42508</v>
      </c>
      <c r="Y426" s="153">
        <f>_xll.qlCalendarAdvance(Calendar,X426,NDays&amp;"D")</f>
        <v>42508</v>
      </c>
      <c r="Z426" s="154">
        <v>1.5602431090757578E-2</v>
      </c>
      <c r="AA426" s="156">
        <v>1.4798129256838877E-2</v>
      </c>
    </row>
    <row r="427" spans="19:27" x14ac:dyDescent="0.2">
      <c r="S427" s="1"/>
      <c r="T427" s="117"/>
      <c r="W427" s="75" t="str">
        <f t="shared" si="17"/>
        <v>1D</v>
      </c>
      <c r="X427" s="148">
        <f>_xll.qlCalendarAdvance(Calendar,X426,W427,"f",FALSE)</f>
        <v>42509</v>
      </c>
      <c r="Y427" s="153">
        <f>_xll.qlCalendarAdvance(Calendar,X427,NDays&amp;"D")</f>
        <v>42509</v>
      </c>
      <c r="Z427" s="154">
        <v>1.5619381843869904E-2</v>
      </c>
      <c r="AA427" s="156">
        <v>1.4815430997007217E-2</v>
      </c>
    </row>
    <row r="428" spans="19:27" x14ac:dyDescent="0.2">
      <c r="S428" s="1"/>
      <c r="T428" s="117"/>
      <c r="W428" s="75" t="str">
        <f t="shared" si="17"/>
        <v>1D</v>
      </c>
      <c r="X428" s="148">
        <f>_xll.qlCalendarAdvance(Calendar,X427,W428,"f",FALSE)</f>
        <v>42510</v>
      </c>
      <c r="Y428" s="153">
        <f>_xll.qlCalendarAdvance(Calendar,X428,NDays&amp;"D")</f>
        <v>42510</v>
      </c>
      <c r="Z428" s="154">
        <v>1.5653803048079253E-2</v>
      </c>
      <c r="AA428" s="156">
        <v>1.4850602685551422E-2</v>
      </c>
    </row>
    <row r="429" spans="19:27" x14ac:dyDescent="0.2">
      <c r="S429" s="1"/>
      <c r="T429" s="117"/>
      <c r="W429" s="75" t="str">
        <f t="shared" si="17"/>
        <v>1D</v>
      </c>
      <c r="X429" s="148">
        <f>_xll.qlCalendarAdvance(Calendar,X428,W429,"f",FALSE)</f>
        <v>42513</v>
      </c>
      <c r="Y429" s="153">
        <f>_xll.qlCalendarAdvance(Calendar,X429,NDays&amp;"D")</f>
        <v>42513</v>
      </c>
      <c r="Z429" s="154">
        <v>1.5687101282411058E-2</v>
      </c>
      <c r="AA429" s="156">
        <v>1.4884530045368161E-2</v>
      </c>
    </row>
    <row r="430" spans="19:27" x14ac:dyDescent="0.2">
      <c r="S430" s="1"/>
      <c r="T430" s="117"/>
      <c r="W430" s="75" t="str">
        <f t="shared" si="17"/>
        <v>1D</v>
      </c>
      <c r="X430" s="148">
        <f>_xll.qlCalendarAdvance(Calendar,X429,W430,"f",FALSE)</f>
        <v>42514</v>
      </c>
      <c r="Y430" s="153">
        <f>_xll.qlCalendarAdvance(Calendar,X430,NDays&amp;"D")</f>
        <v>42514</v>
      </c>
      <c r="Z430" s="154">
        <v>1.5704010433015666E-2</v>
      </c>
      <c r="AA430" s="156">
        <v>1.4901777829299245E-2</v>
      </c>
    </row>
    <row r="431" spans="19:27" x14ac:dyDescent="0.2">
      <c r="S431" s="1"/>
      <c r="T431" s="117"/>
      <c r="W431" s="75" t="str">
        <f t="shared" si="17"/>
        <v>1D</v>
      </c>
      <c r="X431" s="148">
        <f>_xll.qlCalendarAdvance(Calendar,X430,W431,"f",FALSE)</f>
        <v>42515</v>
      </c>
      <c r="Y431" s="153">
        <f>_xll.qlCalendarAdvance(Calendar,X431,NDays&amp;"D")</f>
        <v>42515</v>
      </c>
      <c r="Z431" s="154">
        <v>1.5720911373787956E-2</v>
      </c>
      <c r="AA431" s="156">
        <v>1.4919014821999088E-2</v>
      </c>
    </row>
    <row r="432" spans="19:27" x14ac:dyDescent="0.2">
      <c r="S432" s="1"/>
      <c r="T432" s="117"/>
      <c r="W432" s="75" t="str">
        <f t="shared" si="17"/>
        <v>1D</v>
      </c>
      <c r="X432" s="148">
        <f>_xll.qlCalendarAdvance(Calendar,X431,W432,"f",FALSE)</f>
        <v>42516</v>
      </c>
      <c r="Y432" s="153">
        <f>_xll.qlCalendarAdvance(Calendar,X432,NDays&amp;"D")</f>
        <v>42516</v>
      </c>
      <c r="Z432" s="154">
        <v>1.5737804141621601E-2</v>
      </c>
      <c r="AA432" s="156">
        <v>1.4936241023548735E-2</v>
      </c>
    </row>
    <row r="433" spans="19:27" x14ac:dyDescent="0.2">
      <c r="S433" s="1"/>
      <c r="T433" s="117"/>
      <c r="W433" s="75" t="str">
        <f t="shared" si="17"/>
        <v>1D</v>
      </c>
      <c r="X433" s="148">
        <f>_xll.qlCalendarAdvance(Calendar,X432,W433,"f",FALSE)</f>
        <v>42517</v>
      </c>
      <c r="Y433" s="153">
        <f>_xll.qlCalendarAdvance(Calendar,X433,NDays&amp;"D")</f>
        <v>42517</v>
      </c>
      <c r="Z433" s="154">
        <v>1.5780840110638995E-2</v>
      </c>
      <c r="AA433" s="156">
        <v>1.498017469714813E-2</v>
      </c>
    </row>
    <row r="434" spans="19:27" x14ac:dyDescent="0.2">
      <c r="S434" s="1"/>
      <c r="T434" s="117"/>
      <c r="W434" s="75" t="str">
        <f t="shared" si="17"/>
        <v>1D</v>
      </c>
      <c r="X434" s="148">
        <f>_xll.qlCalendarAdvance(Calendar,X433,W434,"f",FALSE)</f>
        <v>42521</v>
      </c>
      <c r="Y434" s="153">
        <f>_xll.qlCalendarAdvance(Calendar,X434,NDays&amp;"D")</f>
        <v>42521</v>
      </c>
      <c r="Z434" s="154">
        <v>1.5822146677941313E-2</v>
      </c>
      <c r="AA434" s="156">
        <v>1.5022210162342065E-2</v>
      </c>
    </row>
    <row r="435" spans="19:27" x14ac:dyDescent="0.2">
      <c r="S435" s="1"/>
      <c r="T435" s="117"/>
      <c r="W435" s="75" t="str">
        <f t="shared" si="17"/>
        <v>1D</v>
      </c>
      <c r="X435" s="148">
        <f>_xll.qlCalendarAdvance(Calendar,X434,W435,"f",FALSE)</f>
        <v>42522</v>
      </c>
      <c r="Y435" s="153">
        <f>_xll.qlCalendarAdvance(Calendar,X435,NDays&amp;"D")</f>
        <v>42522</v>
      </c>
      <c r="Z435" s="154">
        <v>1.5838991182896216E-2</v>
      </c>
      <c r="AA435" s="156">
        <v>1.5039371616261121E-2</v>
      </c>
    </row>
    <row r="436" spans="19:27" x14ac:dyDescent="0.2">
      <c r="S436" s="1"/>
      <c r="T436" s="117"/>
      <c r="W436" s="75" t="str">
        <f t="shared" si="17"/>
        <v>1D</v>
      </c>
      <c r="X436" s="148">
        <f>_xll.qlCalendarAdvance(Calendar,X435,W436,"f",FALSE)</f>
        <v>42523</v>
      </c>
      <c r="Y436" s="153">
        <f>_xll.qlCalendarAdvance(Calendar,X436,NDays&amp;"D")</f>
        <v>42523</v>
      </c>
      <c r="Z436" s="154">
        <v>1.5855827773171738E-2</v>
      </c>
      <c r="AA436" s="156">
        <v>1.5056522279029982E-2</v>
      </c>
    </row>
    <row r="437" spans="19:27" x14ac:dyDescent="0.2">
      <c r="S437" s="1"/>
      <c r="T437" s="117"/>
      <c r="W437" s="75" t="str">
        <f t="shared" si="17"/>
        <v>1D</v>
      </c>
      <c r="X437" s="148">
        <f>_xll.qlCalendarAdvance(Calendar,X436,W437,"f",FALSE)</f>
        <v>42524</v>
      </c>
      <c r="Y437" s="153">
        <f>_xll.qlCalendarAdvance(Calendar,X437,NDays&amp;"D")</f>
        <v>42524</v>
      </c>
      <c r="Z437" s="154">
        <v>1.5890050374722478E-2</v>
      </c>
      <c r="AA437" s="156">
        <v>1.5091411564942538E-2</v>
      </c>
    </row>
    <row r="438" spans="19:27" x14ac:dyDescent="0.2">
      <c r="S438" s="1"/>
      <c r="T438" s="117"/>
      <c r="W438" s="75" t="str">
        <f t="shared" si="17"/>
        <v>1D</v>
      </c>
      <c r="X438" s="148">
        <f>_xll.qlCalendarAdvance(Calendar,X437,W438,"f",FALSE)</f>
        <v>42527</v>
      </c>
      <c r="Y438" s="153">
        <f>_xll.qlCalendarAdvance(Calendar,X438,NDays&amp;"D")</f>
        <v>42527</v>
      </c>
      <c r="Z438" s="154">
        <v>1.5923095725426648E-2</v>
      </c>
      <c r="AA438" s="156">
        <v>1.5125017017468823E-2</v>
      </c>
    </row>
    <row r="439" spans="19:27" x14ac:dyDescent="0.2">
      <c r="S439" s="1"/>
      <c r="T439" s="117"/>
      <c r="W439" s="75" t="str">
        <f t="shared" si="17"/>
        <v>1D</v>
      </c>
      <c r="X439" s="148">
        <f>_xll.qlCalendarAdvance(Calendar,X438,W439,"f",FALSE)</f>
        <v>42528</v>
      </c>
      <c r="Y439" s="153">
        <f>_xll.qlCalendarAdvance(Calendar,X439,NDays&amp;"D")</f>
        <v>42528</v>
      </c>
      <c r="Z439" s="154">
        <v>1.593989329577207E-2</v>
      </c>
      <c r="AA439" s="156">
        <v>1.5142113723919381E-2</v>
      </c>
    </row>
    <row r="440" spans="19:27" x14ac:dyDescent="0.2">
      <c r="S440" s="1"/>
      <c r="T440" s="117"/>
      <c r="W440" s="75" t="str">
        <f t="shared" si="17"/>
        <v>1D</v>
      </c>
      <c r="X440" s="148">
        <f>_xll.qlCalendarAdvance(Calendar,X439,W440,"f",FALSE)</f>
        <v>42529</v>
      </c>
      <c r="Y440" s="153">
        <f>_xll.qlCalendarAdvance(Calendar,X440,NDays&amp;"D")</f>
        <v>42529</v>
      </c>
      <c r="Z440" s="154">
        <v>1.5956683172830118E-2</v>
      </c>
      <c r="AA440" s="156">
        <v>1.5159199639057652E-2</v>
      </c>
    </row>
    <row r="441" spans="19:27" x14ac:dyDescent="0.2">
      <c r="S441" s="1"/>
      <c r="T441" s="117"/>
      <c r="W441" s="75" t="str">
        <f t="shared" si="17"/>
        <v>1D</v>
      </c>
      <c r="X441" s="148">
        <f>_xll.qlCalendarAdvance(Calendar,X440,W441,"f",FALSE)</f>
        <v>42530</v>
      </c>
      <c r="Y441" s="153">
        <f>_xll.qlCalendarAdvance(Calendar,X441,NDays&amp;"D")</f>
        <v>42530</v>
      </c>
      <c r="Z441" s="154">
        <v>1.5973465393501522E-2</v>
      </c>
      <c r="AA441" s="156">
        <v>1.5176274763045727E-2</v>
      </c>
    </row>
    <row r="442" spans="19:27" x14ac:dyDescent="0.2">
      <c r="S442" s="1"/>
      <c r="T442" s="117"/>
      <c r="W442" s="75" t="str">
        <f t="shared" si="17"/>
        <v>1D</v>
      </c>
      <c r="X442" s="148">
        <f>_xll.qlCalendarAdvance(Calendar,X441,W442,"f",FALSE)</f>
        <v>42531</v>
      </c>
      <c r="Y442" s="153">
        <f>_xll.qlCalendarAdvance(Calendar,X442,NDays&amp;"D")</f>
        <v>42531</v>
      </c>
      <c r="Z442" s="154">
        <v>1.6007592348907605E-2</v>
      </c>
      <c r="AA442" s="156">
        <v>1.5211022900403586E-2</v>
      </c>
    </row>
    <row r="443" spans="19:27" x14ac:dyDescent="0.2">
      <c r="S443" s="1"/>
      <c r="T443" s="117"/>
      <c r="W443" s="75" t="str">
        <f t="shared" si="17"/>
        <v>1D</v>
      </c>
      <c r="X443" s="148">
        <f>_xll.qlCalendarAdvance(Calendar,X442,W443,"f",FALSE)</f>
        <v>42534</v>
      </c>
      <c r="Y443" s="153">
        <f>_xll.qlCalendarAdvance(Calendar,X443,NDays&amp;"D")</f>
        <v>42534</v>
      </c>
      <c r="Z443" s="154">
        <v>1.6040518450365963E-2</v>
      </c>
      <c r="AA443" s="156">
        <v>1.5244467346037238E-2</v>
      </c>
    </row>
    <row r="444" spans="19:27" x14ac:dyDescent="0.2">
      <c r="S444" s="1"/>
      <c r="T444" s="117"/>
      <c r="W444" s="75" t="str">
        <f t="shared" si="17"/>
        <v>1D</v>
      </c>
      <c r="X444" s="148">
        <f>_xll.qlCalendarAdvance(Calendar,X443,W444,"f",FALSE)</f>
        <v>42535</v>
      </c>
      <c r="Y444" s="153">
        <f>_xll.qlCalendarAdvance(Calendar,X444,NDays&amp;"D")</f>
        <v>42535</v>
      </c>
      <c r="Z444" s="154">
        <v>1.6057262942643175E-2</v>
      </c>
      <c r="AA444" s="156">
        <v>1.5261488513625965E-2</v>
      </c>
    </row>
    <row r="445" spans="19:27" x14ac:dyDescent="0.2">
      <c r="S445" s="1"/>
      <c r="T445" s="117"/>
      <c r="W445" s="75" t="str">
        <f t="shared" si="17"/>
        <v>1D</v>
      </c>
      <c r="X445" s="148">
        <f>_xll.qlCalendarAdvance(Calendar,X444,W445,"f",FALSE)</f>
        <v>42536</v>
      </c>
      <c r="Y445" s="153">
        <f>_xll.qlCalendarAdvance(Calendar,X445,NDays&amp;"D")</f>
        <v>42536</v>
      </c>
      <c r="Z445" s="154">
        <v>1.6073999999954822E-2</v>
      </c>
      <c r="AA445" s="156">
        <v>1.5278498889902403E-2</v>
      </c>
    </row>
    <row r="446" spans="19:27" x14ac:dyDescent="0.2">
      <c r="S446" s="1"/>
      <c r="T446" s="117"/>
      <c r="W446" s="75" t="str">
        <f t="shared" si="17"/>
        <v>1D</v>
      </c>
      <c r="X446" s="148">
        <f>_xll.qlCalendarAdvance(Calendar,X445,W446,"f",FALSE)</f>
        <v>42537</v>
      </c>
      <c r="Y446" s="153">
        <f>_xll.qlCalendarAdvance(Calendar,X446,NDays&amp;"D")</f>
        <v>42537</v>
      </c>
      <c r="Z446" s="154">
        <v>1.6090729610302529E-2</v>
      </c>
      <c r="AA446" s="156">
        <v>1.5295499040002269E-2</v>
      </c>
    </row>
    <row r="447" spans="19:27" x14ac:dyDescent="0.2">
      <c r="S447" s="1"/>
      <c r="T447" s="117"/>
      <c r="W447" s="75" t="str">
        <f t="shared" si="17"/>
        <v>1D</v>
      </c>
      <c r="X447" s="148">
        <f>_xll.qlCalendarAdvance(Calendar,X446,W447,"f",FALSE)</f>
        <v>42538</v>
      </c>
      <c r="Y447" s="153">
        <f>_xll.qlCalendarAdvance(Calendar,X447,NDays&amp;"D")</f>
        <v>42538</v>
      </c>
      <c r="Z447" s="154">
        <v>1.6124759976642478E-2</v>
      </c>
      <c r="AA447" s="156">
        <v>1.5330117364991867E-2</v>
      </c>
    </row>
    <row r="448" spans="19:27" x14ac:dyDescent="0.2">
      <c r="S448" s="1"/>
      <c r="T448" s="117"/>
      <c r="W448" s="75" t="str">
        <f t="shared" si="17"/>
        <v>1D</v>
      </c>
      <c r="X448" s="148">
        <f>_xll.qlCalendarAdvance(Calendar,X447,W448,"f",FALSE)</f>
        <v>42541</v>
      </c>
      <c r="Y448" s="153">
        <f>_xll.qlCalendarAdvance(Calendar,X448,NDays&amp;"D")</f>
        <v>42541</v>
      </c>
      <c r="Z448" s="154">
        <v>1.6157568546138479E-2</v>
      </c>
      <c r="AA448" s="156">
        <v>1.5363423371231866E-2</v>
      </c>
    </row>
    <row r="449" spans="19:27" x14ac:dyDescent="0.2">
      <c r="S449" s="1"/>
      <c r="T449" s="117"/>
      <c r="W449" s="75" t="str">
        <f t="shared" si="17"/>
        <v>1D</v>
      </c>
      <c r="X449" s="148">
        <f>_xll.qlCalendarAdvance(Calendar,X448,W449,"f",FALSE)</f>
        <v>42542</v>
      </c>
      <c r="Y449" s="153">
        <f>_xll.qlCalendarAdvance(Calendar,X449,NDays&amp;"D")</f>
        <v>42542</v>
      </c>
      <c r="Z449" s="154">
        <v>1.6174256942263269E-2</v>
      </c>
      <c r="AA449" s="156">
        <v>1.5380385951841991E-2</v>
      </c>
    </row>
    <row r="450" spans="19:27" x14ac:dyDescent="0.2">
      <c r="S450" s="1"/>
      <c r="T450" s="117"/>
      <c r="W450" s="75" t="str">
        <f t="shared" si="17"/>
        <v>1D</v>
      </c>
      <c r="X450" s="148">
        <f>_xll.qlCalendarAdvance(Calendar,X449,W450,"f",FALSE)</f>
        <v>42543</v>
      </c>
      <c r="Y450" s="153">
        <f>_xll.qlCalendarAdvance(Calendar,X450,NDays&amp;"D")</f>
        <v>42543</v>
      </c>
      <c r="Z450" s="154">
        <v>1.6190936216193091E-2</v>
      </c>
      <c r="AA450" s="156">
        <v>1.5397341131548892E-2</v>
      </c>
    </row>
    <row r="451" spans="19:27" x14ac:dyDescent="0.2">
      <c r="S451" s="1"/>
      <c r="T451" s="117"/>
      <c r="W451" s="75" t="str">
        <f t="shared" si="17"/>
        <v>1D</v>
      </c>
      <c r="X451" s="148">
        <f>_xll.qlCalendarAdvance(Calendar,X450,W451,"f",FALSE)</f>
        <v>42544</v>
      </c>
      <c r="Y451" s="153">
        <f>_xll.qlCalendarAdvance(Calendar,X451,NDays&amp;"D")</f>
        <v>42544</v>
      </c>
      <c r="Z451" s="154">
        <v>1.620760607438889E-2</v>
      </c>
      <c r="AA451" s="156">
        <v>1.5414288910352569E-2</v>
      </c>
    </row>
    <row r="452" spans="19:27" x14ac:dyDescent="0.2">
      <c r="S452" s="1"/>
      <c r="T452" s="117"/>
      <c r="W452" s="75" t="str">
        <f t="shared" si="17"/>
        <v>1D</v>
      </c>
      <c r="X452" s="148">
        <f>_xll.qlCalendarAdvance(Calendar,X451,W452,"f",FALSE)</f>
        <v>42545</v>
      </c>
      <c r="Y452" s="153">
        <f>_xll.qlCalendarAdvance(Calendar,X452,NDays&amp;"D")</f>
        <v>42545</v>
      </c>
      <c r="Z452" s="154">
        <v>1.6241508052241255E-2</v>
      </c>
      <c r="AA452" s="156">
        <v>1.544881363099419E-2</v>
      </c>
    </row>
    <row r="453" spans="19:27" x14ac:dyDescent="0.2">
      <c r="S453" s="1"/>
      <c r="T453" s="117"/>
      <c r="W453" s="75" t="str">
        <f t="shared" si="17"/>
        <v>1D</v>
      </c>
      <c r="X453" s="148">
        <f>_xll.qlCalendarAdvance(Calendar,X452,W453,"f",FALSE)</f>
        <v>42548</v>
      </c>
      <c r="Y453" s="153">
        <f>_xll.qlCalendarAdvance(Calendar,X453,NDays&amp;"D")</f>
        <v>42548</v>
      </c>
      <c r="Z453" s="154">
        <v>1.6274185478870957E-2</v>
      </c>
      <c r="AA453" s="156">
        <v>1.5482006016697136E-2</v>
      </c>
    </row>
    <row r="454" spans="19:27" x14ac:dyDescent="0.2">
      <c r="S454" s="1"/>
      <c r="T454" s="117"/>
      <c r="W454" s="75" t="str">
        <f t="shared" si="17"/>
        <v>1D</v>
      </c>
      <c r="X454" s="148">
        <f>_xll.qlCalendarAdvance(Calendar,X453,W454,"f",FALSE)</f>
        <v>42549</v>
      </c>
      <c r="Y454" s="153">
        <f>_xll.qlCalendarAdvance(Calendar,X454,NDays&amp;"D")</f>
        <v>42549</v>
      </c>
      <c r="Z454" s="154">
        <v>1.629080385513457E-2</v>
      </c>
      <c r="AA454" s="156">
        <v>1.5498916791065742E-2</v>
      </c>
    </row>
    <row r="455" spans="19:27" x14ac:dyDescent="0.2">
      <c r="S455" s="1"/>
      <c r="T455" s="117"/>
      <c r="W455" s="75" t="str">
        <f t="shared" si="17"/>
        <v>1D</v>
      </c>
      <c r="X455" s="148">
        <f>_xll.qlCalendarAdvance(Calendar,X454,W455,"f",FALSE)</f>
        <v>42550</v>
      </c>
      <c r="Y455" s="153">
        <f>_xll.qlCalendarAdvance(Calendar,X455,NDays&amp;"D")</f>
        <v>42550</v>
      </c>
      <c r="Z455" s="154">
        <v>1.6307411054326742E-2</v>
      </c>
      <c r="AA455" s="156">
        <v>1.5515820164531124E-2</v>
      </c>
    </row>
    <row r="456" spans="19:27" x14ac:dyDescent="0.2">
      <c r="S456" s="1"/>
      <c r="T456" s="117"/>
      <c r="W456" s="75" t="str">
        <f t="shared" si="17"/>
        <v>1D</v>
      </c>
      <c r="X456" s="148">
        <f>_xll.qlCalendarAdvance(Calendar,X455,W456,"f",FALSE)</f>
        <v>42551</v>
      </c>
      <c r="Y456" s="153">
        <f>_xll.qlCalendarAdvance(Calendar,X456,NDays&amp;"D")</f>
        <v>42551</v>
      </c>
      <c r="Z456" s="154">
        <v>1.6324006782874937E-2</v>
      </c>
      <c r="AA456" s="156">
        <v>1.5532716137093283E-2</v>
      </c>
    </row>
    <row r="457" spans="19:27" x14ac:dyDescent="0.2">
      <c r="S457" s="1"/>
      <c r="T457" s="117"/>
      <c r="W457" s="75" t="str">
        <f t="shared" si="17"/>
        <v>1D</v>
      </c>
      <c r="X457" s="148">
        <f>_xll.qlCalendarAdvance(Calendar,X456,W457,"f",FALSE)</f>
        <v>42552</v>
      </c>
      <c r="Y457" s="153">
        <f>_xll.qlCalendarAdvance(Calendar,X457,NDays&amp;"D")</f>
        <v>42552</v>
      </c>
      <c r="Z457" s="154">
        <v>1.6357740618533571E-2</v>
      </c>
      <c r="AA457" s="156">
        <v>1.5567147299475247E-2</v>
      </c>
    </row>
    <row r="458" spans="19:27" x14ac:dyDescent="0.2">
      <c r="S458" s="1"/>
      <c r="T458" s="117"/>
      <c r="W458" s="75" t="str">
        <f t="shared" si="17"/>
        <v>1D</v>
      </c>
      <c r="X458" s="148">
        <f>_xll.qlCalendarAdvance(Calendar,X457,W458,"f",FALSE)</f>
        <v>42555</v>
      </c>
      <c r="Y458" s="153">
        <f>_xll.qlCalendarAdvance(Calendar,X458,NDays&amp;"D")</f>
        <v>42555</v>
      </c>
      <c r="Z458" s="154">
        <v>1.6390269118986132E-2</v>
      </c>
      <c r="AA458" s="156">
        <v>1.5600226018228636E-2</v>
      </c>
    </row>
    <row r="459" spans="19:27" x14ac:dyDescent="0.2">
      <c r="S459" s="1"/>
      <c r="T459" s="117"/>
      <c r="W459" s="75" t="str">
        <f t="shared" si="17"/>
        <v>1D</v>
      </c>
      <c r="X459" s="148">
        <f>_xll.qlCalendarAdvance(Calendar,X458,W459,"f",FALSE)</f>
        <v>42556</v>
      </c>
      <c r="Y459" s="153">
        <f>_xll.qlCalendarAdvance(Calendar,X459,NDays&amp;"D")</f>
        <v>42556</v>
      </c>
      <c r="Z459" s="154">
        <v>1.6406803090544975E-2</v>
      </c>
      <c r="AA459" s="156">
        <v>1.5617084986274676E-2</v>
      </c>
    </row>
    <row r="460" spans="19:27" x14ac:dyDescent="0.2">
      <c r="S460" s="1"/>
      <c r="T460" s="117"/>
      <c r="W460" s="75" t="str">
        <f t="shared" si="17"/>
        <v>1D</v>
      </c>
      <c r="X460" s="148">
        <f>_xll.qlCalendarAdvance(Calendar,X459,W460,"f",FALSE)</f>
        <v>42557</v>
      </c>
      <c r="Y460" s="153">
        <f>_xll.qlCalendarAdvance(Calendar,X460,NDays&amp;"D")</f>
        <v>42557</v>
      </c>
      <c r="Z460" s="154">
        <v>1.6423323829920691E-2</v>
      </c>
      <c r="AA460" s="156">
        <v>1.5633936553417493E-2</v>
      </c>
    </row>
    <row r="461" spans="19:27" x14ac:dyDescent="0.2">
      <c r="S461" s="1"/>
      <c r="T461" s="117"/>
      <c r="W461" s="75" t="str">
        <f t="shared" si="17"/>
        <v>1D</v>
      </c>
      <c r="X461" s="148">
        <f>_xll.qlCalendarAdvance(Calendar,X460,W461,"f",FALSE)</f>
        <v>42558</v>
      </c>
      <c r="Y461" s="153">
        <f>_xll.qlCalendarAdvance(Calendar,X461,NDays&amp;"D")</f>
        <v>42558</v>
      </c>
      <c r="Z461" s="154">
        <v>1.643983104350551E-2</v>
      </c>
      <c r="AA461" s="156">
        <v>1.5650780719657087E-2</v>
      </c>
    </row>
    <row r="462" spans="19:27" x14ac:dyDescent="0.2">
      <c r="S462" s="1"/>
      <c r="T462" s="117"/>
      <c r="W462" s="75" t="str">
        <f t="shared" si="17"/>
        <v>1D</v>
      </c>
      <c r="X462" s="148">
        <f>_xll.qlCalendarAdvance(Calendar,X461,W462,"f",FALSE)</f>
        <v>42559</v>
      </c>
      <c r="Y462" s="153">
        <f>_xll.qlCalendarAdvance(Calendar,X462,NDays&amp;"D")</f>
        <v>42559</v>
      </c>
      <c r="Z462" s="154">
        <v>1.6473359110676353E-2</v>
      </c>
      <c r="AA462" s="156">
        <v>1.5685118369354416E-2</v>
      </c>
    </row>
    <row r="463" spans="19:27" x14ac:dyDescent="0.2">
      <c r="S463" s="1"/>
      <c r="T463" s="117"/>
      <c r="W463" s="75" t="str">
        <f t="shared" si="17"/>
        <v>1D</v>
      </c>
      <c r="X463" s="148">
        <f>_xll.qlCalendarAdvance(Calendar,X462,W463,"f",FALSE)</f>
        <v>42562</v>
      </c>
      <c r="Y463" s="153">
        <f>_xll.qlCalendarAdvance(Calendar,X463,NDays&amp;"D")</f>
        <v>42562</v>
      </c>
      <c r="Z463" s="154">
        <v>1.6505718767651764E-2</v>
      </c>
      <c r="AA463" s="156">
        <v>1.5718083375502179E-2</v>
      </c>
    </row>
    <row r="464" spans="19:27" x14ac:dyDescent="0.2">
      <c r="S464" s="1"/>
      <c r="T464" s="117"/>
      <c r="W464" s="75" t="str">
        <f t="shared" si="17"/>
        <v>1D</v>
      </c>
      <c r="X464" s="148">
        <f>_xll.qlCalendarAdvance(Calendar,X463,W464,"f",FALSE)</f>
        <v>42563</v>
      </c>
      <c r="Y464" s="153">
        <f>_xll.qlCalendarAdvance(Calendar,X464,NDays&amp;"D")</f>
        <v>42563</v>
      </c>
      <c r="Z464" s="154">
        <v>1.652215394802458E-2</v>
      </c>
      <c r="AA464" s="156">
        <v>1.5734890537225654E-2</v>
      </c>
    </row>
    <row r="465" spans="19:27" x14ac:dyDescent="0.2">
      <c r="S465" s="1"/>
      <c r="T465" s="117"/>
      <c r="W465" s="75" t="str">
        <f t="shared" si="17"/>
        <v>1D</v>
      </c>
      <c r="X465" s="148">
        <f>_xll.qlCalendarAdvance(Calendar,X464,W465,"f",FALSE)</f>
        <v>42564</v>
      </c>
      <c r="Y465" s="153">
        <f>_xll.qlCalendarAdvance(Calendar,X465,NDays&amp;"D")</f>
        <v>42564</v>
      </c>
      <c r="Z465" s="154">
        <v>1.6538573840870013E-2</v>
      </c>
      <c r="AA465" s="156">
        <v>1.5751690298045906E-2</v>
      </c>
    </row>
    <row r="466" spans="19:27" x14ac:dyDescent="0.2">
      <c r="S466" s="1"/>
      <c r="T466" s="117"/>
      <c r="W466" s="75" t="str">
        <f t="shared" si="17"/>
        <v>1D</v>
      </c>
      <c r="X466" s="148">
        <f>_xll.qlCalendarAdvance(Calendar,X465,W466,"f",FALSE)</f>
        <v>42565</v>
      </c>
      <c r="Y466" s="153">
        <f>_xll.qlCalendarAdvance(Calendar,X466,NDays&amp;"D")</f>
        <v>42565</v>
      </c>
      <c r="Z466" s="154">
        <v>1.6554978152547702E-2</v>
      </c>
      <c r="AA466" s="156">
        <v>1.5768482657800842E-2</v>
      </c>
    </row>
    <row r="467" spans="19:27" x14ac:dyDescent="0.2">
      <c r="S467" s="1"/>
      <c r="T467" s="117"/>
      <c r="W467" s="75" t="str">
        <f t="shared" si="17"/>
        <v>1D</v>
      </c>
      <c r="X467" s="148">
        <f>_xll.qlCalendarAdvance(Calendar,X466,W467,"f",FALSE)</f>
        <v>42566</v>
      </c>
      <c r="Y467" s="153">
        <f>_xll.qlCalendarAdvance(Calendar,X467,NDays&amp;"D")</f>
        <v>42566</v>
      </c>
      <c r="Z467" s="154">
        <v>1.6588264952399873E-2</v>
      </c>
      <c r="AA467" s="156">
        <v>1.5802726839578101E-2</v>
      </c>
    </row>
    <row r="468" spans="19:27" x14ac:dyDescent="0.2">
      <c r="S468" s="1"/>
      <c r="T468" s="117"/>
      <c r="W468" s="75" t="str">
        <f t="shared" si="17"/>
        <v>1D</v>
      </c>
      <c r="X468" s="148">
        <f>_xll.qlCalendarAdvance(Calendar,X467,W468,"f",FALSE)</f>
        <v>42569</v>
      </c>
      <c r="Y468" s="153">
        <f>_xll.qlCalendarAdvance(Calendar,X468,NDays&amp;"D")</f>
        <v>42569</v>
      </c>
      <c r="Z468" s="154">
        <v>1.6620433714641558E-2</v>
      </c>
      <c r="AA468" s="156">
        <v>1.583557808819358E-2</v>
      </c>
    </row>
    <row r="469" spans="19:27" x14ac:dyDescent="0.2">
      <c r="S469" s="1"/>
      <c r="T469" s="117"/>
      <c r="W469" s="75" t="str">
        <f t="shared" ref="W469:W532" si="18">W468</f>
        <v>1D</v>
      </c>
      <c r="X469" s="148">
        <f>_xll.qlCalendarAdvance(Calendar,X468,W469,"f",FALSE)</f>
        <v>42570</v>
      </c>
      <c r="Y469" s="153">
        <f>_xll.qlCalendarAdvance(Calendar,X469,NDays&amp;"D")</f>
        <v>42570</v>
      </c>
      <c r="Z469" s="154">
        <v>1.6636755715733208E-2</v>
      </c>
      <c r="AA469" s="156">
        <v>1.5852333443513444E-2</v>
      </c>
    </row>
    <row r="470" spans="19:27" x14ac:dyDescent="0.2">
      <c r="S470" s="1"/>
      <c r="T470" s="117"/>
      <c r="W470" s="75" t="str">
        <f t="shared" si="18"/>
        <v>1D</v>
      </c>
      <c r="X470" s="148">
        <f>_xll.qlCalendarAdvance(Calendar,X469,W470,"f",FALSE)</f>
        <v>42571</v>
      </c>
      <c r="Y470" s="153">
        <f>_xll.qlCalendarAdvance(Calendar,X470,NDays&amp;"D")</f>
        <v>42571</v>
      </c>
      <c r="Z470" s="154">
        <v>1.6653060373724184E-2</v>
      </c>
      <c r="AA470" s="156">
        <v>1.5869081397849039E-2</v>
      </c>
    </row>
    <row r="471" spans="19:27" x14ac:dyDescent="0.2">
      <c r="S471" s="1"/>
      <c r="T471" s="117"/>
      <c r="W471" s="75" t="str">
        <f t="shared" si="18"/>
        <v>1D</v>
      </c>
      <c r="X471" s="148">
        <f>_xll.qlCalendarAdvance(Calendar,X470,W471,"f",FALSE)</f>
        <v>42572</v>
      </c>
      <c r="Y471" s="153">
        <f>_xll.qlCalendarAdvance(Calendar,X471,NDays&amp;"D")</f>
        <v>42572</v>
      </c>
      <c r="Z471" s="154">
        <v>1.6669347394943284E-2</v>
      </c>
      <c r="AA471" s="156">
        <v>1.5885821951281409E-2</v>
      </c>
    </row>
    <row r="472" spans="19:27" x14ac:dyDescent="0.2">
      <c r="S472" s="1"/>
      <c r="T472" s="117"/>
      <c r="W472" s="75" t="str">
        <f t="shared" si="18"/>
        <v>1D</v>
      </c>
      <c r="X472" s="148">
        <f>_xll.qlCalendarAdvance(Calendar,X471,W472,"f",FALSE)</f>
        <v>42573</v>
      </c>
      <c r="Y472" s="153">
        <f>_xll.qlCalendarAdvance(Calendar,X472,NDays&amp;"D")</f>
        <v>42573</v>
      </c>
      <c r="Z472" s="154">
        <v>1.6702359556181021E-2</v>
      </c>
      <c r="AA472" s="156">
        <v>1.5919972709065682E-2</v>
      </c>
    </row>
    <row r="473" spans="19:27" x14ac:dyDescent="0.2">
      <c r="S473" s="1"/>
      <c r="T473" s="117"/>
      <c r="W473" s="75" t="str">
        <f t="shared" si="18"/>
        <v>1D</v>
      </c>
      <c r="X473" s="148">
        <f>_xll.qlCalendarAdvance(Calendar,X472,W473,"f",FALSE)</f>
        <v>42576</v>
      </c>
      <c r="Y473" s="153">
        <f>_xll.qlCalendarAdvance(Calendar,X473,NDays&amp;"D")</f>
        <v>42576</v>
      </c>
      <c r="Z473" s="154">
        <v>1.6734313238509598E-2</v>
      </c>
      <c r="AA473" s="156">
        <v>1.5952710155897609E-2</v>
      </c>
    </row>
    <row r="474" spans="19:27" x14ac:dyDescent="0.2">
      <c r="S474" s="1"/>
      <c r="T474" s="117"/>
      <c r="W474" s="75" t="str">
        <f t="shared" si="18"/>
        <v>1D</v>
      </c>
      <c r="X474" s="148">
        <f>_xll.qlCalendarAdvance(Calendar,X473,W474,"f",FALSE)</f>
        <v>42577</v>
      </c>
      <c r="Y474" s="153">
        <f>_xll.qlCalendarAdvance(Calendar,X474,NDays&amp;"D")</f>
        <v>42577</v>
      </c>
      <c r="Z474" s="154">
        <v>1.6750507670636617E-2</v>
      </c>
      <c r="AA474" s="156">
        <v>1.5969413704732816E-2</v>
      </c>
    </row>
    <row r="475" spans="19:27" x14ac:dyDescent="0.2">
      <c r="S475" s="1"/>
      <c r="T475" s="117"/>
      <c r="W475" s="75" t="str">
        <f t="shared" si="18"/>
        <v>1D</v>
      </c>
      <c r="X475" s="148">
        <f>_xll.qlCalendarAdvance(Calendar,X474,W475,"f",FALSE)</f>
        <v>42578</v>
      </c>
      <c r="Y475" s="153">
        <f>_xll.qlCalendarAdvance(Calendar,X475,NDays&amp;"D")</f>
        <v>42578</v>
      </c>
      <c r="Z475" s="154">
        <v>1.6766682703865023E-2</v>
      </c>
      <c r="AA475" s="156">
        <v>1.5986109852664798E-2</v>
      </c>
    </row>
    <row r="476" spans="19:27" x14ac:dyDescent="0.2">
      <c r="S476" s="1"/>
      <c r="T476" s="117"/>
      <c r="W476" s="75" t="str">
        <f t="shared" si="18"/>
        <v>1D</v>
      </c>
      <c r="X476" s="148">
        <f>_xll.qlCalendarAdvance(Calendar,X475,W476,"f",FALSE)</f>
        <v>42579</v>
      </c>
      <c r="Y476" s="153">
        <f>_xll.qlCalendarAdvance(Calendar,X476,NDays&amp;"D")</f>
        <v>42579</v>
      </c>
      <c r="Z476" s="154">
        <v>1.6782838044494552E-2</v>
      </c>
      <c r="AA476" s="156">
        <v>1.6002798599693557E-2</v>
      </c>
    </row>
    <row r="477" spans="19:27" x14ac:dyDescent="0.2">
      <c r="S477" s="1"/>
      <c r="T477" s="117"/>
      <c r="W477" s="75" t="str">
        <f t="shared" si="18"/>
        <v>1D</v>
      </c>
      <c r="X477" s="148">
        <f>_xll.qlCalendarAdvance(Calendar,X476,W477,"f",FALSE)</f>
        <v>42580</v>
      </c>
      <c r="Y477" s="153">
        <f>_xll.qlCalendarAdvance(Calendar,X477,NDays&amp;"D")</f>
        <v>42580</v>
      </c>
      <c r="Z477" s="154">
        <v>1.6815544323436481E-2</v>
      </c>
      <c r="AA477" s="156">
        <v>1.6036855976817588E-2</v>
      </c>
    </row>
    <row r="478" spans="19:27" x14ac:dyDescent="0.2">
      <c r="S478" s="1"/>
      <c r="T478" s="117"/>
      <c r="W478" s="75" t="str">
        <f t="shared" si="18"/>
        <v>1D</v>
      </c>
      <c r="X478" s="148">
        <f>_xll.qlCalendarAdvance(Calendar,X477,W478,"f",FALSE)</f>
        <v>42583</v>
      </c>
      <c r="Y478" s="153">
        <f>_xll.qlCalendarAdvance(Calendar,X478,NDays&amp;"D")</f>
        <v>42583</v>
      </c>
      <c r="Z478" s="154">
        <v>1.6847256606785026E-2</v>
      </c>
      <c r="AA478" s="156">
        <v>1.6069479578371126E-2</v>
      </c>
    </row>
    <row r="479" spans="19:27" x14ac:dyDescent="0.2">
      <c r="S479" s="1"/>
      <c r="T479" s="117"/>
      <c r="W479" s="75" t="str">
        <f t="shared" si="18"/>
        <v>1D</v>
      </c>
      <c r="X479" s="148">
        <f>_xll.qlCalendarAdvance(Calendar,X478,W479,"f",FALSE)</f>
        <v>42584</v>
      </c>
      <c r="Y479" s="153">
        <f>_xll.qlCalendarAdvance(Calendar,X479,NDays&amp;"D")</f>
        <v>42584</v>
      </c>
      <c r="Z479" s="154">
        <v>1.6863309078706448E-2</v>
      </c>
      <c r="AA479" s="156">
        <v>1.6086131320640629E-2</v>
      </c>
    </row>
    <row r="480" spans="19:27" x14ac:dyDescent="0.2">
      <c r="S480" s="1"/>
      <c r="T480" s="117"/>
      <c r="W480" s="75" t="str">
        <f t="shared" si="18"/>
        <v>1D</v>
      </c>
      <c r="X480" s="148">
        <f>_xll.qlCalendarAdvance(Calendar,X479,W480,"f",FALSE)</f>
        <v>42585</v>
      </c>
      <c r="Y480" s="153">
        <f>_xll.qlCalendarAdvance(Calendar,X480,NDays&amp;"D")</f>
        <v>42585</v>
      </c>
      <c r="Z480" s="154">
        <v>1.6879340095714616E-2</v>
      </c>
      <c r="AA480" s="156">
        <v>1.6102775662087954E-2</v>
      </c>
    </row>
    <row r="481" spans="19:27" x14ac:dyDescent="0.2">
      <c r="S481" s="1"/>
      <c r="T481" s="117"/>
      <c r="W481" s="75" t="str">
        <f t="shared" si="18"/>
        <v>1D</v>
      </c>
      <c r="X481" s="148">
        <f>_xll.qlCalendarAdvance(Calendar,X480,W481,"f",FALSE)</f>
        <v>42586</v>
      </c>
      <c r="Y481" s="153">
        <f>_xll.qlCalendarAdvance(Calendar,X481,NDays&amp;"D")</f>
        <v>42586</v>
      </c>
      <c r="Z481" s="154">
        <v>1.6895349364074899E-2</v>
      </c>
      <c r="AA481" s="156">
        <v>1.6119412602551009E-2</v>
      </c>
    </row>
    <row r="482" spans="19:27" x14ac:dyDescent="0.2">
      <c r="S482" s="1"/>
      <c r="T482" s="117"/>
      <c r="W482" s="75" t="str">
        <f t="shared" si="18"/>
        <v>1D</v>
      </c>
      <c r="X482" s="148">
        <f>_xll.qlCalendarAdvance(Calendar,X481,W482,"f",FALSE)</f>
        <v>42587</v>
      </c>
      <c r="Y482" s="153">
        <f>_xll.qlCalendarAdvance(Calendar,X482,NDays&amp;"D")</f>
        <v>42587</v>
      </c>
      <c r="Z482" s="154">
        <v>1.6927720644735644E-2</v>
      </c>
      <c r="AA482" s="156">
        <v>1.6153376641753203E-2</v>
      </c>
    </row>
    <row r="483" spans="19:27" x14ac:dyDescent="0.2">
      <c r="S483" s="1"/>
      <c r="T483" s="117"/>
      <c r="W483" s="75" t="str">
        <f t="shared" si="18"/>
        <v>1D</v>
      </c>
      <c r="X483" s="148">
        <f>_xll.qlCalendarAdvance(Calendar,X482,W483,"f",FALSE)</f>
        <v>42590</v>
      </c>
      <c r="Y483" s="153">
        <f>_xll.qlCalendarAdvance(Calendar,X483,NDays&amp;"D")</f>
        <v>42590</v>
      </c>
      <c r="Z483" s="154">
        <v>1.695916307619845E-2</v>
      </c>
      <c r="AA483" s="156">
        <v>1.6185886355046808E-2</v>
      </c>
    </row>
    <row r="484" spans="19:27" x14ac:dyDescent="0.2">
      <c r="S484" s="1"/>
      <c r="T484" s="117"/>
      <c r="W484" s="75" t="str">
        <f t="shared" si="18"/>
        <v>1D</v>
      </c>
      <c r="X484" s="148">
        <f>_xll.qlCalendarAdvance(Calendar,X483,W484,"f",FALSE)</f>
        <v>42591</v>
      </c>
      <c r="Y484" s="153">
        <f>_xll.qlCalendarAdvance(Calendar,X484,NDays&amp;"D")</f>
        <v>42591</v>
      </c>
      <c r="Z484" s="154">
        <v>1.6975059195152815E-2</v>
      </c>
      <c r="AA484" s="156">
        <v>1.6202486290831652E-2</v>
      </c>
    </row>
    <row r="485" spans="19:27" x14ac:dyDescent="0.2">
      <c r="S485" s="1"/>
      <c r="T485" s="117"/>
      <c r="W485" s="75" t="str">
        <f t="shared" si="18"/>
        <v>1D</v>
      </c>
      <c r="X485" s="148">
        <f>_xll.qlCalendarAdvance(Calendar,X484,W485,"f",FALSE)</f>
        <v>42592</v>
      </c>
      <c r="Y485" s="153">
        <f>_xll.qlCalendarAdvance(Calendar,X485,NDays&amp;"D")</f>
        <v>42592</v>
      </c>
      <c r="Z485" s="154">
        <v>1.6990931802961684E-2</v>
      </c>
      <c r="AA485" s="156">
        <v>1.6219078825713273E-2</v>
      </c>
    </row>
    <row r="486" spans="19:27" x14ac:dyDescent="0.2">
      <c r="S486" s="1"/>
      <c r="T486" s="117"/>
      <c r="W486" s="75" t="str">
        <f t="shared" si="18"/>
        <v>1D</v>
      </c>
      <c r="X486" s="148">
        <f>_xll.qlCalendarAdvance(Calendar,X485,W486,"f",FALSE)</f>
        <v>42593</v>
      </c>
      <c r="Y486" s="153">
        <f>_xll.qlCalendarAdvance(Calendar,X486,NDays&amp;"D")</f>
        <v>42593</v>
      </c>
      <c r="Z486" s="154">
        <v>1.7006780605862245E-2</v>
      </c>
      <c r="AA486" s="156">
        <v>1.6235663959610624E-2</v>
      </c>
    </row>
    <row r="487" spans="19:27" x14ac:dyDescent="0.2">
      <c r="S487" s="1"/>
      <c r="T487" s="117"/>
      <c r="W487" s="75" t="str">
        <f t="shared" si="18"/>
        <v>1D</v>
      </c>
      <c r="X487" s="148">
        <f>_xll.qlCalendarAdvance(Calendar,X486,W487,"f",FALSE)</f>
        <v>42594</v>
      </c>
      <c r="Y487" s="153">
        <f>_xll.qlCalendarAdvance(Calendar,X487,NDays&amp;"D")</f>
        <v>42594</v>
      </c>
      <c r="Z487" s="154">
        <v>1.7038789900045516E-2</v>
      </c>
      <c r="AA487" s="156">
        <v>1.6269534702845943E-2</v>
      </c>
    </row>
    <row r="488" spans="19:27" x14ac:dyDescent="0.2">
      <c r="S488" s="1"/>
      <c r="T488" s="117"/>
      <c r="W488" s="75" t="str">
        <f t="shared" si="18"/>
        <v>1D</v>
      </c>
      <c r="X488" s="148">
        <f>_xll.qlCalendarAdvance(Calendar,X487,W488,"f",FALSE)</f>
        <v>42597</v>
      </c>
      <c r="Y488" s="153">
        <f>_xll.qlCalendarAdvance(Calendar,X488,NDays&amp;"D")</f>
        <v>42597</v>
      </c>
      <c r="Z488" s="154">
        <v>1.7069931892933016E-2</v>
      </c>
      <c r="AA488" s="156">
        <v>1.6301930485843608E-2</v>
      </c>
    </row>
    <row r="489" spans="19:27" x14ac:dyDescent="0.2">
      <c r="S489" s="1"/>
      <c r="T489" s="117"/>
      <c r="W489" s="75" t="str">
        <f t="shared" si="18"/>
        <v>1D</v>
      </c>
      <c r="X489" s="148">
        <f>_xll.qlCalendarAdvance(Calendar,X488,W489,"f",FALSE)</f>
        <v>42598</v>
      </c>
      <c r="Y489" s="153">
        <f>_xll.qlCalendarAdvance(Calendar,X489,NDays&amp;"D")</f>
        <v>42598</v>
      </c>
      <c r="Z489" s="154">
        <v>1.7085657264670952E-2</v>
      </c>
      <c r="AA489" s="156">
        <v>1.6318478614981702E-2</v>
      </c>
    </row>
    <row r="490" spans="19:27" x14ac:dyDescent="0.2">
      <c r="S490" s="1"/>
      <c r="T490" s="117"/>
      <c r="W490" s="75" t="str">
        <f t="shared" si="18"/>
        <v>1D</v>
      </c>
      <c r="X490" s="148">
        <f>_xll.qlCalendarAdvance(Calendar,X489,W490,"f",FALSE)</f>
        <v>42599</v>
      </c>
      <c r="Y490" s="153">
        <f>_xll.qlCalendarAdvance(Calendar,X490,NDays&amp;"D")</f>
        <v>42599</v>
      </c>
      <c r="Z490" s="154">
        <v>1.710135706882502E-2</v>
      </c>
      <c r="AA490" s="156">
        <v>1.6335019343297619E-2</v>
      </c>
    </row>
    <row r="491" spans="19:27" x14ac:dyDescent="0.2">
      <c r="S491" s="1"/>
      <c r="T491" s="117"/>
      <c r="W491" s="75" t="str">
        <f t="shared" si="18"/>
        <v>1D</v>
      </c>
      <c r="X491" s="148">
        <f>_xll.qlCalendarAdvance(Calendar,X490,W491,"f",FALSE)</f>
        <v>42600</v>
      </c>
      <c r="Y491" s="153">
        <f>_xll.qlCalendarAdvance(Calendar,X491,NDays&amp;"D")</f>
        <v>42600</v>
      </c>
      <c r="Z491" s="154">
        <v>1.7117031011600684E-2</v>
      </c>
      <c r="AA491" s="156">
        <v>1.6351552670548219E-2</v>
      </c>
    </row>
    <row r="492" spans="19:27" x14ac:dyDescent="0.2">
      <c r="S492" s="1"/>
      <c r="T492" s="117"/>
      <c r="W492" s="75" t="str">
        <f t="shared" si="18"/>
        <v>1D</v>
      </c>
      <c r="X492" s="148">
        <f>_xll.qlCalendarAdvance(Calendar,X491,W492,"f",FALSE)</f>
        <v>42601</v>
      </c>
      <c r="Y492" s="153">
        <f>_xll.qlCalendarAdvance(Calendar,X492,NDays&amp;"D")</f>
        <v>42601</v>
      </c>
      <c r="Z492" s="154">
        <v>1.7148653458997961E-2</v>
      </c>
      <c r="AA492" s="156">
        <v>1.6385330159069216E-2</v>
      </c>
    </row>
    <row r="493" spans="19:27" x14ac:dyDescent="0.2">
      <c r="S493" s="1"/>
      <c r="T493" s="117"/>
      <c r="W493" s="75" t="str">
        <f t="shared" si="18"/>
        <v>1D</v>
      </c>
      <c r="X493" s="148">
        <f>_xll.qlCalendarAdvance(Calendar,X492,W493,"f",FALSE)</f>
        <v>42604</v>
      </c>
      <c r="Y493" s="153">
        <f>_xll.qlCalendarAdvance(Calendar,X493,NDays&amp;"D")</f>
        <v>42604</v>
      </c>
      <c r="Z493" s="154">
        <v>1.7179462292894836E-2</v>
      </c>
      <c r="AA493" s="156">
        <v>1.6417611970275248E-2</v>
      </c>
    </row>
    <row r="494" spans="19:27" x14ac:dyDescent="0.2">
      <c r="S494" s="1"/>
      <c r="T494" s="117"/>
      <c r="W494" s="75" t="str">
        <f t="shared" si="18"/>
        <v>1D</v>
      </c>
      <c r="X494" s="148">
        <f>_xll.qlCalendarAdvance(Calendar,X493,W494,"f",FALSE)</f>
        <v>42605</v>
      </c>
      <c r="Y494" s="153">
        <f>_xll.qlCalendarAdvance(Calendar,X494,NDays&amp;"D")</f>
        <v>42605</v>
      </c>
      <c r="Z494" s="154">
        <v>1.7195002521725768E-2</v>
      </c>
      <c r="AA494" s="156">
        <v>1.6434108292766592E-2</v>
      </c>
    </row>
    <row r="495" spans="19:27" x14ac:dyDescent="0.2">
      <c r="S495" s="1"/>
      <c r="T495" s="117"/>
      <c r="W495" s="75" t="str">
        <f t="shared" si="18"/>
        <v>1D</v>
      </c>
      <c r="X495" s="148">
        <f>_xll.qlCalendarAdvance(Calendar,X494,W495,"f",FALSE)</f>
        <v>42606</v>
      </c>
      <c r="Y495" s="153">
        <f>_xll.qlCalendarAdvance(Calendar,X495,NDays&amp;"D")</f>
        <v>42606</v>
      </c>
      <c r="Z495" s="154">
        <v>1.7210515126329189E-2</v>
      </c>
      <c r="AA495" s="156">
        <v>1.6450597214354712E-2</v>
      </c>
    </row>
    <row r="496" spans="19:27" x14ac:dyDescent="0.2">
      <c r="S496" s="1"/>
      <c r="T496" s="117"/>
      <c r="W496" s="75" t="str">
        <f t="shared" si="18"/>
        <v>1D</v>
      </c>
      <c r="X496" s="148">
        <f>_xll.qlCalendarAdvance(Calendar,X495,W496,"f",FALSE)</f>
        <v>42607</v>
      </c>
      <c r="Y496" s="153">
        <f>_xll.qlCalendarAdvance(Calendar,X496,NDays&amp;"D")</f>
        <v>42607</v>
      </c>
      <c r="Z496" s="154">
        <v>1.7225999812883266E-2</v>
      </c>
      <c r="AA496" s="156">
        <v>1.6467078735039609E-2</v>
      </c>
    </row>
    <row r="497" spans="19:27" x14ac:dyDescent="0.2">
      <c r="S497" s="1"/>
      <c r="T497" s="117"/>
      <c r="W497" s="75" t="str">
        <f t="shared" si="18"/>
        <v>1D</v>
      </c>
      <c r="X497" s="148">
        <f>_xll.qlCalendarAdvance(Calendar,X496,W497,"f",FALSE)</f>
        <v>42608</v>
      </c>
      <c r="Y497" s="153">
        <f>_xll.qlCalendarAdvance(Calendar,X497,NDays&amp;"D")</f>
        <v>42608</v>
      </c>
      <c r="Z497" s="154">
        <v>1.7257212681182882E-2</v>
      </c>
      <c r="AA497" s="156">
        <v>1.6509365519218888E-2</v>
      </c>
    </row>
    <row r="498" spans="19:27" x14ac:dyDescent="0.2">
      <c r="S498" s="1"/>
      <c r="T498" s="117"/>
      <c r="W498" s="75" t="str">
        <f t="shared" si="18"/>
        <v>1D</v>
      </c>
      <c r="X498" s="148">
        <f>_xll.qlCalendarAdvance(Calendar,X497,W498,"f",FALSE)</f>
        <v>42612</v>
      </c>
      <c r="Y498" s="153">
        <f>_xll.qlCalendarAdvance(Calendar,X498,NDays&amp;"D")</f>
        <v>42612</v>
      </c>
      <c r="Z498" s="154">
        <v>1.7302994190850469E-2</v>
      </c>
      <c r="AA498" s="156">
        <v>1.654937532378109E-2</v>
      </c>
    </row>
    <row r="499" spans="19:27" x14ac:dyDescent="0.2">
      <c r="S499" s="1"/>
      <c r="T499" s="117"/>
      <c r="W499" s="75" t="str">
        <f t="shared" si="18"/>
        <v>1D</v>
      </c>
      <c r="X499" s="148">
        <f>_xll.qlCalendarAdvance(Calendar,X498,W499,"f",FALSE)</f>
        <v>42613</v>
      </c>
      <c r="Y499" s="153">
        <f>_xll.qlCalendarAdvance(Calendar,X499,NDays&amp;"D")</f>
        <v>42613</v>
      </c>
      <c r="Z499" s="154">
        <v>1.7310490846149662E-2</v>
      </c>
      <c r="AA499" s="156">
        <v>1.6565812438641414E-2</v>
      </c>
    </row>
    <row r="500" spans="19:27" x14ac:dyDescent="0.2">
      <c r="S500" s="1"/>
      <c r="T500" s="117"/>
      <c r="W500" s="75" t="str">
        <f t="shared" si="18"/>
        <v>1D</v>
      </c>
      <c r="X500" s="148">
        <f>_xll.qlCalendarAdvance(Calendar,X499,W500,"f",FALSE)</f>
        <v>42614</v>
      </c>
      <c r="Y500" s="153">
        <f>_xll.qlCalendarAdvance(Calendar,X500,NDays&amp;"D")</f>
        <v>42614</v>
      </c>
      <c r="Z500" s="154">
        <v>1.7325788005291984E-2</v>
      </c>
      <c r="AA500" s="156">
        <v>1.6582242152598514E-2</v>
      </c>
    </row>
    <row r="501" spans="19:27" x14ac:dyDescent="0.2">
      <c r="S501" s="1"/>
      <c r="T501" s="117"/>
      <c r="W501" s="75" t="str">
        <f t="shared" si="18"/>
        <v>1D</v>
      </c>
      <c r="X501" s="148">
        <f>_xll.qlCalendarAdvance(Calendar,X500,W501,"f",FALSE)</f>
        <v>42615</v>
      </c>
      <c r="Y501" s="153">
        <f>_xll.qlCalendarAdvance(Calendar,X501,NDays&amp;"D")</f>
        <v>42615</v>
      </c>
      <c r="Z501" s="154">
        <v>1.7341054941800604E-2</v>
      </c>
      <c r="AA501" s="156">
        <v>1.6615833252692967E-2</v>
      </c>
    </row>
    <row r="502" spans="19:27" x14ac:dyDescent="0.2">
      <c r="S502" s="1"/>
      <c r="T502" s="117"/>
      <c r="W502" s="75" t="str">
        <f t="shared" si="18"/>
        <v>1D</v>
      </c>
      <c r="X502" s="148">
        <f>_xll.qlCalendarAdvance(Calendar,X501,W502,"f",FALSE)</f>
        <v>42618</v>
      </c>
      <c r="Y502" s="153">
        <f>_xll.qlCalendarAdvance(Calendar,X502,NDays&amp;"D")</f>
        <v>42618</v>
      </c>
      <c r="Z502" s="154">
        <v>1.7386671444860131E-2</v>
      </c>
      <c r="AA502" s="156">
        <v>1.6647886998665262E-2</v>
      </c>
    </row>
    <row r="503" spans="19:27" x14ac:dyDescent="0.2">
      <c r="S503" s="1"/>
      <c r="T503" s="117"/>
      <c r="W503" s="75" t="str">
        <f t="shared" si="18"/>
        <v>1D</v>
      </c>
      <c r="X503" s="148">
        <f>_xll.qlCalendarAdvance(Calendar,X502,W503,"f",FALSE)</f>
        <v>42619</v>
      </c>
      <c r="Y503" s="153">
        <f>_xll.qlCalendarAdvance(Calendar,X503,NDays&amp;"D")</f>
        <v>42619</v>
      </c>
      <c r="Z503" s="154">
        <v>1.7401814520151108E-2</v>
      </c>
      <c r="AA503" s="156">
        <v>1.6664279707701013E-2</v>
      </c>
    </row>
    <row r="504" spans="19:27" x14ac:dyDescent="0.2">
      <c r="S504" s="1"/>
      <c r="T504" s="117"/>
      <c r="W504" s="75" t="str">
        <f t="shared" si="18"/>
        <v>1D</v>
      </c>
      <c r="X504" s="148">
        <f>_xll.qlCalendarAdvance(Calendar,X503,W504,"f",FALSE)</f>
        <v>42620</v>
      </c>
      <c r="Y504" s="153">
        <f>_xll.qlCalendarAdvance(Calendar,X504,NDays&amp;"D")</f>
        <v>42620</v>
      </c>
      <c r="Z504" s="154">
        <v>1.7416925887450935E-2</v>
      </c>
      <c r="AA504" s="156">
        <v>1.668066501583354E-2</v>
      </c>
    </row>
    <row r="505" spans="19:27" x14ac:dyDescent="0.2">
      <c r="S505" s="1"/>
      <c r="T505" s="117"/>
      <c r="W505" s="75" t="str">
        <f t="shared" si="18"/>
        <v>1D</v>
      </c>
      <c r="X505" s="148">
        <f>_xll.qlCalendarAdvance(Calendar,X504,W505,"f",FALSE)</f>
        <v>42621</v>
      </c>
      <c r="Y505" s="153">
        <f>_xll.qlCalendarAdvance(Calendar,X505,NDays&amp;"D")</f>
        <v>42621</v>
      </c>
      <c r="Z505" s="154">
        <v>1.7432005249673331E-2</v>
      </c>
      <c r="AA505" s="156">
        <v>1.6697042922981797E-2</v>
      </c>
    </row>
    <row r="506" spans="19:27" x14ac:dyDescent="0.2">
      <c r="S506" s="1"/>
      <c r="T506" s="117"/>
      <c r="W506" s="75" t="str">
        <f t="shared" si="18"/>
        <v>1D</v>
      </c>
      <c r="X506" s="148">
        <f>_xll.qlCalendarAdvance(Calendar,X505,W506,"f",FALSE)</f>
        <v>42622</v>
      </c>
      <c r="Y506" s="153">
        <f>_xll.qlCalendarAdvance(Calendar,X506,NDays&amp;"D")</f>
        <v>42622</v>
      </c>
      <c r="Z506" s="154">
        <v>1.7447052309735585E-2</v>
      </c>
      <c r="AA506" s="156">
        <v>1.6730540888040268E-2</v>
      </c>
    </row>
    <row r="507" spans="19:27" x14ac:dyDescent="0.2">
      <c r="S507" s="1"/>
      <c r="T507" s="117"/>
      <c r="W507" s="75" t="str">
        <f t="shared" si="18"/>
        <v>1D</v>
      </c>
      <c r="X507" s="148">
        <f>_xll.qlCalendarAdvance(Calendar,X506,W507,"f",FALSE)</f>
        <v>42625</v>
      </c>
      <c r="Y507" s="153">
        <f>_xll.qlCalendarAdvance(Calendar,X507,NDays&amp;"D")</f>
        <v>42625</v>
      </c>
      <c r="Z507" s="154">
        <v>1.7491996706023947E-2</v>
      </c>
      <c r="AA507" s="156">
        <v>1.6762480541975266E-2</v>
      </c>
    </row>
    <row r="508" spans="19:27" x14ac:dyDescent="0.2">
      <c r="S508" s="1"/>
      <c r="T508" s="117"/>
      <c r="W508" s="75" t="str">
        <f t="shared" si="18"/>
        <v>1D</v>
      </c>
      <c r="X508" s="148">
        <f>_xll.qlCalendarAdvance(Calendar,X507,W508,"f",FALSE)</f>
        <v>42626</v>
      </c>
      <c r="Y508" s="153">
        <f>_xll.qlCalendarAdvance(Calendar,X508,NDays&amp;"D")</f>
        <v>42626</v>
      </c>
      <c r="Z508" s="154">
        <v>1.7506911586497389E-2</v>
      </c>
      <c r="AA508" s="156">
        <v>1.6778821444202174E-2</v>
      </c>
    </row>
    <row r="509" spans="19:27" x14ac:dyDescent="0.2">
      <c r="S509" s="1"/>
      <c r="T509" s="117"/>
      <c r="W509" s="75" t="str">
        <f t="shared" si="18"/>
        <v>1D</v>
      </c>
      <c r="X509" s="148">
        <f>_xll.qlCalendarAdvance(Calendar,X508,W509,"f",FALSE)</f>
        <v>42627</v>
      </c>
      <c r="Y509" s="153">
        <f>_xll.qlCalendarAdvance(Calendar,X509,NDays&amp;"D")</f>
        <v>42627</v>
      </c>
      <c r="Z509" s="154">
        <v>1.7521792679320535E-2</v>
      </c>
      <c r="AA509" s="156">
        <v>1.6795154945606905E-2</v>
      </c>
    </row>
    <row r="510" spans="19:27" x14ac:dyDescent="0.2">
      <c r="S510" s="1"/>
      <c r="T510" s="117"/>
      <c r="W510" s="75" t="str">
        <f t="shared" si="18"/>
        <v>1D</v>
      </c>
      <c r="X510" s="148">
        <f>_xll.qlCalendarAdvance(Calendar,X509,W510,"f",FALSE)</f>
        <v>42628</v>
      </c>
      <c r="Y510" s="153">
        <f>_xll.qlCalendarAdvance(Calendar,X510,NDays&amp;"D")</f>
        <v>42628</v>
      </c>
      <c r="Z510" s="154">
        <v>1.7536639687385735E-2</v>
      </c>
      <c r="AA510" s="156">
        <v>1.6811476564816408E-2</v>
      </c>
    </row>
    <row r="511" spans="19:27" x14ac:dyDescent="0.2">
      <c r="S511" s="1"/>
      <c r="T511" s="117"/>
      <c r="W511" s="75" t="str">
        <f t="shared" si="18"/>
        <v>1D</v>
      </c>
      <c r="X511" s="148">
        <f>_xll.qlCalendarAdvance(Calendar,X510,W511,"f",FALSE)</f>
        <v>42629</v>
      </c>
      <c r="Y511" s="153">
        <f>_xll.qlCalendarAdvance(Calendar,X511,NDays&amp;"D")</f>
        <v>42629</v>
      </c>
      <c r="Z511" s="154">
        <v>1.7551452363037817E-2</v>
      </c>
      <c r="AA511" s="156">
        <v>1.6844791803200348E-2</v>
      </c>
    </row>
    <row r="512" spans="19:27" x14ac:dyDescent="0.2">
      <c r="S512" s="1"/>
      <c r="T512" s="117"/>
      <c r="W512" s="75" t="str">
        <f t="shared" si="18"/>
        <v>1D</v>
      </c>
      <c r="X512" s="148">
        <f>_xll.qlCalendarAdvance(Calendar,X511,W512,"f",FALSE)</f>
        <v>42632</v>
      </c>
      <c r="Y512" s="153">
        <f>_xll.qlCalendarAdvance(Calendar,X512,NDays&amp;"D")</f>
        <v>42632</v>
      </c>
      <c r="Z512" s="154">
        <v>1.7595684094985086E-2</v>
      </c>
      <c r="AA512" s="156">
        <v>1.6876438092102708E-2</v>
      </c>
    </row>
    <row r="513" spans="19:27" x14ac:dyDescent="0.2">
      <c r="S513" s="1"/>
      <c r="T513" s="117"/>
      <c r="W513" s="75" t="str">
        <f t="shared" si="18"/>
        <v>1D</v>
      </c>
      <c r="X513" s="148">
        <f>_xll.qlCalendarAdvance(Calendar,X512,W513,"f",FALSE)</f>
        <v>42633</v>
      </c>
      <c r="Y513" s="153">
        <f>_xll.qlCalendarAdvance(Calendar,X513,NDays&amp;"D")</f>
        <v>42633</v>
      </c>
      <c r="Z513" s="154">
        <v>1.7610359239371844E-2</v>
      </c>
      <c r="AA513" s="156">
        <v>1.6892592755325397E-2</v>
      </c>
    </row>
    <row r="514" spans="19:27" x14ac:dyDescent="0.2">
      <c r="S514" s="1"/>
      <c r="T514" s="117"/>
      <c r="W514" s="75" t="str">
        <f t="shared" si="18"/>
        <v>1D</v>
      </c>
      <c r="X514" s="148">
        <f>_xll.qlCalendarAdvance(Calendar,X513,W514,"f",FALSE)</f>
        <v>42634</v>
      </c>
      <c r="Y514" s="153">
        <f>_xll.qlCalendarAdvance(Calendar,X514,NDays&amp;"D")</f>
        <v>42634</v>
      </c>
      <c r="Z514" s="154">
        <v>1.7625000000000442E-2</v>
      </c>
      <c r="AA514" s="156">
        <v>1.6908713131270625E-2</v>
      </c>
    </row>
    <row r="515" spans="19:27" x14ac:dyDescent="0.2">
      <c r="S515" s="1"/>
      <c r="T515" s="117"/>
      <c r="W515" s="75" t="str">
        <f t="shared" si="18"/>
        <v>1D</v>
      </c>
      <c r="X515" s="148">
        <f>_xll.qlCalendarAdvance(Calendar,X514,W515,"f",FALSE)</f>
        <v>42635</v>
      </c>
      <c r="Y515" s="153">
        <f>_xll.qlCalendarAdvance(Calendar,X515,NDays&amp;"D")</f>
        <v>42635</v>
      </c>
      <c r="Z515" s="154">
        <v>1.7639606401896366E-2</v>
      </c>
      <c r="AA515" s="156">
        <v>1.6924799219695252E-2</v>
      </c>
    </row>
    <row r="516" spans="19:27" x14ac:dyDescent="0.2">
      <c r="S516" s="1"/>
      <c r="T516" s="117"/>
      <c r="W516" s="75" t="str">
        <f t="shared" si="18"/>
        <v>1D</v>
      </c>
      <c r="X516" s="148">
        <f>_xll.qlCalendarAdvance(Calendar,X515,W516,"f",FALSE)</f>
        <v>42636</v>
      </c>
      <c r="Y516" s="153">
        <f>_xll.qlCalendarAdvance(Calendar,X516,NDays&amp;"D")</f>
        <v>42636</v>
      </c>
      <c r="Z516" s="154">
        <v>1.7654178571700221E-2</v>
      </c>
      <c r="AA516" s="156">
        <v>1.6957644884086909E-2</v>
      </c>
    </row>
    <row r="517" spans="19:27" x14ac:dyDescent="0.2">
      <c r="S517" s="1"/>
      <c r="T517" s="117"/>
      <c r="W517" s="75" t="str">
        <f t="shared" si="18"/>
        <v>1D</v>
      </c>
      <c r="X517" s="148">
        <f>_xll.qlCalendarAdvance(Calendar,X516,W517,"f",FALSE)</f>
        <v>42639</v>
      </c>
      <c r="Y517" s="153">
        <f>_xll.qlCalendarAdvance(Calendar,X517,NDays&amp;"D")</f>
        <v>42639</v>
      </c>
      <c r="Z517" s="154">
        <v>1.7712461180905952E-2</v>
      </c>
      <c r="AA517" s="156">
        <v>1.6988800698917172E-2</v>
      </c>
    </row>
    <row r="518" spans="19:27" x14ac:dyDescent="0.2">
      <c r="S518" s="1"/>
      <c r="T518" s="117"/>
      <c r="W518" s="75" t="str">
        <f t="shared" si="18"/>
        <v>1D</v>
      </c>
      <c r="X518" s="148">
        <f>_xll.qlCalendarAdvance(Calendar,X517,W518,"f",FALSE)</f>
        <v>42640</v>
      </c>
      <c r="Y518" s="153">
        <f>_xll.qlCalendarAdvance(Calendar,X518,NDays&amp;"D")</f>
        <v>42640</v>
      </c>
      <c r="Z518" s="154">
        <v>1.7719502307510321E-2</v>
      </c>
      <c r="AA518" s="156">
        <v>1.7004715349981936E-2</v>
      </c>
    </row>
    <row r="519" spans="19:27" x14ac:dyDescent="0.2">
      <c r="S519" s="1"/>
      <c r="T519" s="117"/>
      <c r="W519" s="75" t="str">
        <f t="shared" si="18"/>
        <v>1D</v>
      </c>
      <c r="X519" s="148">
        <f>_xll.qlCalendarAdvance(Calendar,X518,W519,"f",FALSE)</f>
        <v>42641</v>
      </c>
      <c r="Y519" s="153">
        <f>_xll.qlCalendarAdvance(Calendar,X519,NDays&amp;"D")</f>
        <v>42641</v>
      </c>
      <c r="Z519" s="154">
        <v>1.7726531260971744E-2</v>
      </c>
      <c r="AA519" s="156">
        <v>1.7020595713769238E-2</v>
      </c>
    </row>
    <row r="520" spans="19:27" x14ac:dyDescent="0.2">
      <c r="S520" s="1"/>
      <c r="T520" s="117"/>
      <c r="W520" s="75" t="str">
        <f t="shared" si="18"/>
        <v>1D</v>
      </c>
      <c r="X520" s="148">
        <f>_xll.qlCalendarAdvance(Calendar,X519,W520,"f",FALSE)</f>
        <v>42642</v>
      </c>
      <c r="Y520" s="153">
        <f>_xll.qlCalendarAdvance(Calendar,X520,NDays&amp;"D")</f>
        <v>42642</v>
      </c>
      <c r="Z520" s="154">
        <v>1.774090123124893E-2</v>
      </c>
      <c r="AA520" s="156">
        <v>1.7036441790035939E-2</v>
      </c>
    </row>
    <row r="521" spans="19:27" x14ac:dyDescent="0.2">
      <c r="S521" s="1"/>
      <c r="T521" s="117"/>
      <c r="W521" s="75" t="str">
        <f t="shared" si="18"/>
        <v>1D</v>
      </c>
      <c r="X521" s="148">
        <f>_xll.qlCalendarAdvance(Calendar,X520,W521,"f",FALSE)</f>
        <v>42643</v>
      </c>
      <c r="Y521" s="153">
        <f>_xll.qlCalendarAdvance(Calendar,X521,NDays&amp;"D")</f>
        <v>42643</v>
      </c>
      <c r="Z521" s="154">
        <v>1.7755238033805056E-2</v>
      </c>
      <c r="AA521" s="156">
        <v>1.7068817792716223E-2</v>
      </c>
    </row>
    <row r="522" spans="19:27" x14ac:dyDescent="0.2">
      <c r="S522" s="1"/>
      <c r="T522" s="117"/>
      <c r="W522" s="75" t="str">
        <f t="shared" si="18"/>
        <v>1D</v>
      </c>
      <c r="X522" s="148">
        <f>_xll.qlCalendarAdvance(Calendar,X521,W522,"f",FALSE)</f>
        <v>42646</v>
      </c>
      <c r="Y522" s="153">
        <f>_xll.qlCalendarAdvance(Calendar,X522,NDays&amp;"D")</f>
        <v>42646</v>
      </c>
      <c r="Z522" s="154">
        <v>1.7805334467855247E-2</v>
      </c>
      <c r="AA522" s="156">
        <v>1.709948322030197E-2</v>
      </c>
    </row>
    <row r="523" spans="19:27" x14ac:dyDescent="0.2">
      <c r="S523" s="1"/>
      <c r="T523" s="117"/>
      <c r="W523" s="75" t="str">
        <f t="shared" si="18"/>
        <v>1D</v>
      </c>
      <c r="X523" s="148">
        <f>_xll.qlCalendarAdvance(Calendar,X522,W523,"f",FALSE)</f>
        <v>42647</v>
      </c>
      <c r="Y523" s="153">
        <f>_xll.qlCalendarAdvance(Calendar,X523,NDays&amp;"D")</f>
        <v>42647</v>
      </c>
      <c r="Z523" s="154">
        <v>1.7819525446332751E-2</v>
      </c>
      <c r="AA523" s="156">
        <v>1.7115157859127761E-2</v>
      </c>
    </row>
    <row r="524" spans="19:27" x14ac:dyDescent="0.2">
      <c r="S524" s="1"/>
      <c r="T524" s="117"/>
      <c r="W524" s="75" t="str">
        <f t="shared" si="18"/>
        <v>1D</v>
      </c>
      <c r="X524" s="148">
        <f>_xll.qlCalendarAdvance(Calendar,X523,W524,"f",FALSE)</f>
        <v>42648</v>
      </c>
      <c r="Y524" s="153">
        <f>_xll.qlCalendarAdvance(Calendar,X524,NDays&amp;"D")</f>
        <v>42648</v>
      </c>
      <c r="Z524" s="154">
        <v>1.7833684145485234E-2</v>
      </c>
      <c r="AA524" s="156">
        <v>1.7130798210513998E-2</v>
      </c>
    </row>
    <row r="525" spans="19:27" x14ac:dyDescent="0.2">
      <c r="S525" s="1"/>
      <c r="T525" s="117"/>
      <c r="W525" s="75" t="str">
        <f t="shared" si="18"/>
        <v>1D</v>
      </c>
      <c r="X525" s="148">
        <f>_xll.qlCalendarAdvance(Calendar,X524,W525,"f",FALSE)</f>
        <v>42649</v>
      </c>
      <c r="Y525" s="153">
        <f>_xll.qlCalendarAdvance(Calendar,X525,NDays&amp;"D")</f>
        <v>42649</v>
      </c>
      <c r="Z525" s="154">
        <v>1.784781071574076E-2</v>
      </c>
      <c r="AA525" s="156">
        <v>1.7146404274379634E-2</v>
      </c>
    </row>
    <row r="526" spans="19:27" x14ac:dyDescent="0.2">
      <c r="S526" s="1"/>
      <c r="T526" s="117"/>
      <c r="W526" s="75" t="str">
        <f t="shared" si="18"/>
        <v>1D</v>
      </c>
      <c r="X526" s="148">
        <f>_xll.qlCalendarAdvance(Calendar,X525,W526,"f",FALSE)</f>
        <v>42650</v>
      </c>
      <c r="Y526" s="153">
        <f>_xll.qlCalendarAdvance(Calendar,X526,NDays&amp;"D")</f>
        <v>42650</v>
      </c>
      <c r="Z526" s="154">
        <v>1.787633052211611E-2</v>
      </c>
      <c r="AA526" s="156">
        <v>1.7178310524495664E-2</v>
      </c>
    </row>
    <row r="527" spans="19:27" x14ac:dyDescent="0.2">
      <c r="S527" s="1"/>
      <c r="T527" s="117"/>
      <c r="W527" s="75" t="str">
        <f t="shared" si="18"/>
        <v>1D</v>
      </c>
      <c r="X527" s="148">
        <f>_xll.qlCalendarAdvance(Calendar,X526,W527,"f",FALSE)</f>
        <v>42653</v>
      </c>
      <c r="Y527" s="153">
        <f>_xll.qlCalendarAdvance(Calendar,X527,NDays&amp;"D")</f>
        <v>42653</v>
      </c>
      <c r="Z527" s="154">
        <v>1.7903998716471716E-2</v>
      </c>
      <c r="AA527" s="156">
        <v>1.7208485654798267E-2</v>
      </c>
    </row>
    <row r="528" spans="19:27" x14ac:dyDescent="0.2">
      <c r="S528" s="1"/>
      <c r="T528" s="117"/>
      <c r="W528" s="75" t="str">
        <f t="shared" si="18"/>
        <v>1D</v>
      </c>
      <c r="X528" s="148">
        <f>_xll.qlCalendarAdvance(Calendar,X527,W528,"f",FALSE)</f>
        <v>42654</v>
      </c>
      <c r="Y528" s="153">
        <f>_xll.qlCalendarAdvance(Calendar,X528,NDays&amp;"D")</f>
        <v>42654</v>
      </c>
      <c r="Z528" s="154">
        <v>1.7917966898777043E-2</v>
      </c>
      <c r="AA528" s="156">
        <v>1.7223920281141947E-2</v>
      </c>
    </row>
    <row r="529" spans="19:27" x14ac:dyDescent="0.2">
      <c r="S529" s="1"/>
      <c r="T529" s="117"/>
      <c r="W529" s="75" t="str">
        <f t="shared" si="18"/>
        <v>1D</v>
      </c>
      <c r="X529" s="148">
        <f>_xll.qlCalendarAdvance(Calendar,X528,W529,"f",FALSE)</f>
        <v>42655</v>
      </c>
      <c r="Y529" s="153">
        <f>_xll.qlCalendarAdvance(Calendar,X529,NDays&amp;"D")</f>
        <v>42655</v>
      </c>
      <c r="Z529" s="154">
        <v>1.7931903854818989E-2</v>
      </c>
      <c r="AA529" s="156">
        <v>1.7239320619965026E-2</v>
      </c>
    </row>
    <row r="530" spans="19:27" x14ac:dyDescent="0.2">
      <c r="S530" s="1"/>
      <c r="T530" s="117"/>
      <c r="W530" s="75" t="str">
        <f t="shared" si="18"/>
        <v>1D</v>
      </c>
      <c r="X530" s="148">
        <f>_xll.qlCalendarAdvance(Calendar,X529,W530,"f",FALSE)</f>
        <v>42656</v>
      </c>
      <c r="Y530" s="153">
        <f>_xll.qlCalendarAdvance(Calendar,X530,NDays&amp;"D")</f>
        <v>42656</v>
      </c>
      <c r="Z530" s="154">
        <v>1.7945809735046749E-2</v>
      </c>
      <c r="AA530" s="156">
        <v>1.7254686671267505E-2</v>
      </c>
    </row>
    <row r="531" spans="19:27" x14ac:dyDescent="0.2">
      <c r="S531" s="1"/>
      <c r="T531" s="117"/>
      <c r="W531" s="75" t="str">
        <f t="shared" si="18"/>
        <v>1D</v>
      </c>
      <c r="X531" s="148">
        <f>_xll.qlCalendarAdvance(Calendar,X530,W531,"f",FALSE)</f>
        <v>42657</v>
      </c>
      <c r="Y531" s="153">
        <f>_xll.qlCalendarAdvance(Calendar,X531,NDays&amp;"D")</f>
        <v>42657</v>
      </c>
      <c r="Z531" s="154">
        <v>1.7973918360412438E-2</v>
      </c>
      <c r="AA531" s="156">
        <v>1.7286123074886639E-2</v>
      </c>
    </row>
    <row r="532" spans="19:27" x14ac:dyDescent="0.2">
      <c r="S532" s="1"/>
      <c r="T532" s="117"/>
      <c r="W532" s="75" t="str">
        <f t="shared" si="18"/>
        <v>1D</v>
      </c>
      <c r="X532" s="148">
        <f>_xll.qlCalendarAdvance(Calendar,X531,W532,"f",FALSE)</f>
        <v>42660</v>
      </c>
      <c r="Y532" s="153">
        <f>_xll.qlCalendarAdvance(Calendar,X532,NDays&amp;"D")</f>
        <v>42660</v>
      </c>
      <c r="Z532" s="154">
        <v>1.8001125506893503E-2</v>
      </c>
      <c r="AA532" s="156">
        <v>1.731580800094723E-2</v>
      </c>
    </row>
    <row r="533" spans="19:27" x14ac:dyDescent="0.2">
      <c r="S533" s="1"/>
      <c r="T533" s="117"/>
      <c r="W533" s="75" t="str">
        <f t="shared" ref="W533:W596" si="19">W532</f>
        <v>1D</v>
      </c>
      <c r="X533" s="148">
        <f>_xll.qlCalendarAdvance(Calendar,X532,W533,"f",FALSE)</f>
        <v>42661</v>
      </c>
      <c r="Y533" s="153">
        <f>_xll.qlCalendarAdvance(Calendar,X533,NDays&amp;"D")</f>
        <v>42661</v>
      </c>
      <c r="Z533" s="154">
        <v>1.8014878264883596E-2</v>
      </c>
      <c r="AA533" s="156">
        <v>1.7331002614646707E-2</v>
      </c>
    </row>
    <row r="534" spans="19:27" x14ac:dyDescent="0.2">
      <c r="S534" s="1"/>
      <c r="T534" s="117"/>
      <c r="W534" s="75" t="str">
        <f t="shared" si="19"/>
        <v>1D</v>
      </c>
      <c r="X534" s="148">
        <f>_xll.qlCalendarAdvance(Calendar,X533,W534,"f",FALSE)</f>
        <v>42662</v>
      </c>
      <c r="Y534" s="153">
        <f>_xll.qlCalendarAdvance(Calendar,X534,NDays&amp;"D")</f>
        <v>42662</v>
      </c>
      <c r="Z534" s="154">
        <v>1.802860084981113E-2</v>
      </c>
      <c r="AA534" s="156">
        <v>1.734616294066349E-2</v>
      </c>
    </row>
    <row r="535" spans="19:27" x14ac:dyDescent="0.2">
      <c r="S535" s="1"/>
      <c r="T535" s="117"/>
      <c r="W535" s="75" t="str">
        <f t="shared" si="19"/>
        <v>1D</v>
      </c>
      <c r="X535" s="148">
        <f>_xll.qlCalendarAdvance(Calendar,X534,W535,"f",FALSE)</f>
        <v>42663</v>
      </c>
      <c r="Y535" s="153">
        <f>_xll.qlCalendarAdvance(Calendar,X535,NDays&amp;"D")</f>
        <v>42663</v>
      </c>
      <c r="Z535" s="154">
        <v>1.8042293412147328E-2</v>
      </c>
      <c r="AA535" s="156">
        <v>1.7361288979078626E-2</v>
      </c>
    </row>
    <row r="536" spans="19:27" x14ac:dyDescent="0.2">
      <c r="S536" s="1"/>
      <c r="T536" s="117"/>
      <c r="W536" s="75" t="str">
        <f t="shared" si="19"/>
        <v>1D</v>
      </c>
      <c r="X536" s="148">
        <f>_xll.qlCalendarAdvance(Calendar,X535,W536,"f",FALSE)</f>
        <v>42664</v>
      </c>
      <c r="Y536" s="153">
        <f>_xll.qlCalendarAdvance(Calendar,X536,NDays&amp;"D")</f>
        <v>42664</v>
      </c>
      <c r="Z536" s="154">
        <v>1.8070008807398317E-2</v>
      </c>
      <c r="AA536" s="156">
        <v>1.7392255439404591E-2</v>
      </c>
    </row>
    <row r="537" spans="19:27" x14ac:dyDescent="0.2">
      <c r="S537" s="1"/>
      <c r="T537" s="117"/>
      <c r="W537" s="75" t="s">
        <v>153</v>
      </c>
      <c r="X537" s="148">
        <f>_xll.qlCalendarAdvance(Calendar,X536,W537,"f",FALSE)</f>
        <v>42671</v>
      </c>
      <c r="Y537" s="153">
        <f>_xll.qlCalendarAdvance(Calendar,X537,NDays&amp;"D")</f>
        <v>42671</v>
      </c>
      <c r="Z537" s="154">
        <v>1.8164652376220992E-2</v>
      </c>
      <c r="AA537" s="156">
        <v>1.7496707613646006E-2</v>
      </c>
    </row>
    <row r="538" spans="19:27" x14ac:dyDescent="0.2">
      <c r="S538" s="1"/>
      <c r="T538" s="117"/>
      <c r="W538" s="75" t="str">
        <f t="shared" si="19"/>
        <v>1w</v>
      </c>
      <c r="X538" s="148">
        <f>_xll.qlCalendarAdvance(Calendar,X537,W538,"f",FALSE)</f>
        <v>42678</v>
      </c>
      <c r="Y538" s="153">
        <f>_xll.qlCalendarAdvance(Calendar,X538,NDays&amp;"D")</f>
        <v>42678</v>
      </c>
      <c r="Z538" s="154">
        <v>1.8257899586589015E-2</v>
      </c>
      <c r="AA538" s="156">
        <v>1.7599479593315426E-2</v>
      </c>
    </row>
    <row r="539" spans="19:27" x14ac:dyDescent="0.2">
      <c r="S539" s="1"/>
      <c r="T539" s="117"/>
      <c r="W539" s="75" t="str">
        <f t="shared" si="19"/>
        <v>1w</v>
      </c>
      <c r="X539" s="148">
        <f>_xll.qlCalendarAdvance(Calendar,X538,W539,"f",FALSE)</f>
        <v>42685</v>
      </c>
      <c r="Y539" s="153">
        <f>_xll.qlCalendarAdvance(Calendar,X539,NDays&amp;"D")</f>
        <v>42685</v>
      </c>
      <c r="Z539" s="154">
        <v>1.8349800964587715E-2</v>
      </c>
      <c r="AA539" s="156">
        <v>1.7700571374144419E-2</v>
      </c>
    </row>
    <row r="540" spans="19:27" x14ac:dyDescent="0.2">
      <c r="S540" s="1"/>
      <c r="T540" s="117"/>
      <c r="W540" s="75" t="str">
        <f t="shared" si="19"/>
        <v>1w</v>
      </c>
      <c r="X540" s="148">
        <f>_xll.qlCalendarAdvance(Calendar,X539,W540,"f",FALSE)</f>
        <v>42692</v>
      </c>
      <c r="Y540" s="153">
        <f>_xll.qlCalendarAdvance(Calendar,X540,NDays&amp;"D")</f>
        <v>42692</v>
      </c>
      <c r="Z540" s="154">
        <v>1.8440407042501612E-2</v>
      </c>
      <c r="AA540" s="156">
        <v>1.7799982951972607E-2</v>
      </c>
    </row>
    <row r="541" spans="19:27" x14ac:dyDescent="0.2">
      <c r="S541" s="1"/>
      <c r="T541" s="117"/>
      <c r="W541" s="75" t="str">
        <f t="shared" si="19"/>
        <v>1w</v>
      </c>
      <c r="X541" s="148">
        <f>_xll.qlCalendarAdvance(Calendar,X540,W541,"f",FALSE)</f>
        <v>42699</v>
      </c>
      <c r="Y541" s="153">
        <f>_xll.qlCalendarAdvance(Calendar,X541,NDays&amp;"D")</f>
        <v>42699</v>
      </c>
      <c r="Z541" s="154">
        <v>1.8529768358641098E-2</v>
      </c>
      <c r="AA541" s="156">
        <v>1.7897714322612595E-2</v>
      </c>
    </row>
    <row r="542" spans="19:27" x14ac:dyDescent="0.2">
      <c r="S542" s="1"/>
      <c r="T542" s="117"/>
      <c r="W542" s="75" t="str">
        <f t="shared" si="19"/>
        <v>1w</v>
      </c>
      <c r="X542" s="148">
        <f>_xll.qlCalendarAdvance(Calendar,X541,W542,"f",FALSE)</f>
        <v>42706</v>
      </c>
      <c r="Y542" s="153">
        <f>_xll.qlCalendarAdvance(Calendar,X542,NDays&amp;"D")</f>
        <v>42706</v>
      </c>
      <c r="Z542" s="154">
        <v>1.8591655135574012E-2</v>
      </c>
      <c r="AA542" s="156">
        <v>1.7993765482066108E-2</v>
      </c>
    </row>
    <row r="543" spans="19:27" x14ac:dyDescent="0.2">
      <c r="S543" s="1"/>
      <c r="T543" s="117"/>
      <c r="W543" s="75" t="str">
        <f t="shared" si="19"/>
        <v>1w</v>
      </c>
      <c r="X543" s="148">
        <f>_xll.qlCalendarAdvance(Calendar,X542,W543,"f",FALSE)</f>
        <v>42713</v>
      </c>
      <c r="Y543" s="153">
        <f>_xll.qlCalendarAdvance(Calendar,X543,NDays&amp;"D")</f>
        <v>42713</v>
      </c>
      <c r="Z543" s="154">
        <v>1.8678953908194667E-2</v>
      </c>
      <c r="AA543" s="156">
        <v>1.8088136426361871E-2</v>
      </c>
    </row>
    <row r="544" spans="19:27" x14ac:dyDescent="0.2">
      <c r="S544" s="1"/>
      <c r="T544" s="117"/>
      <c r="W544" s="75" t="str">
        <f t="shared" si="19"/>
        <v>1w</v>
      </c>
      <c r="X544" s="148">
        <f>_xll.qlCalendarAdvance(Calendar,X543,W544,"f",FALSE)</f>
        <v>42720</v>
      </c>
      <c r="Y544" s="153">
        <f>_xll.qlCalendarAdvance(Calendar,X544,NDays&amp;"D")</f>
        <v>42720</v>
      </c>
      <c r="Z544" s="154">
        <v>1.8765155872572291E-2</v>
      </c>
      <c r="AA544" s="156">
        <v>1.8180827151555633E-2</v>
      </c>
    </row>
    <row r="545" spans="19:27" x14ac:dyDescent="0.2">
      <c r="S545" s="1"/>
      <c r="T545" s="117"/>
      <c r="W545" s="75" t="str">
        <f t="shared" si="19"/>
        <v>1w</v>
      </c>
      <c r="X545" s="148">
        <f>_xll.qlCalendarAdvance(Calendar,X544,W545,"f",FALSE)</f>
        <v>42727</v>
      </c>
      <c r="Y545" s="153">
        <f>_xll.qlCalendarAdvance(Calendar,X545,NDays&amp;"D")</f>
        <v>42727</v>
      </c>
      <c r="Z545" s="154">
        <v>1.8850313625774596E-2</v>
      </c>
      <c r="AA545" s="156">
        <v>1.828574932689242E-2</v>
      </c>
    </row>
    <row r="546" spans="19:27" x14ac:dyDescent="0.2">
      <c r="S546" s="1"/>
      <c r="T546" s="117"/>
      <c r="W546" s="75" t="str">
        <f t="shared" si="19"/>
        <v>1w</v>
      </c>
      <c r="X546" s="148">
        <f>_xll.qlCalendarAdvance(Calendar,X545,W546,"f",FALSE)</f>
        <v>42734</v>
      </c>
      <c r="Y546" s="153">
        <f>_xll.qlCalendarAdvance(Calendar,X546,NDays&amp;"D")</f>
        <v>42734</v>
      </c>
      <c r="Z546" s="154">
        <v>1.8940769449058242E-2</v>
      </c>
      <c r="AA546" s="156">
        <v>1.836878131550812E-2</v>
      </c>
    </row>
    <row r="547" spans="19:27" x14ac:dyDescent="0.2">
      <c r="S547" s="1"/>
      <c r="T547" s="117"/>
      <c r="W547" s="75" t="str">
        <f t="shared" si="19"/>
        <v>1w</v>
      </c>
      <c r="X547" s="148">
        <f>_xll.qlCalendarAdvance(Calendar,X546,W547,"f",FALSE)</f>
        <v>42741</v>
      </c>
      <c r="Y547" s="153">
        <f>_xll.qlCalendarAdvance(Calendar,X547,NDays&amp;"D")</f>
        <v>42741</v>
      </c>
      <c r="Z547" s="154">
        <v>1.901760373325127E-2</v>
      </c>
      <c r="AA547" s="156">
        <v>1.8450937979372178E-2</v>
      </c>
    </row>
    <row r="548" spans="19:27" x14ac:dyDescent="0.2">
      <c r="S548" s="1"/>
      <c r="T548" s="117"/>
      <c r="W548" s="75" t="str">
        <f t="shared" si="19"/>
        <v>1w</v>
      </c>
      <c r="X548" s="148">
        <f>_xll.qlCalendarAdvance(Calendar,X547,W548,"f",FALSE)</f>
        <v>42748</v>
      </c>
      <c r="Y548" s="153">
        <f>_xll.qlCalendarAdvance(Calendar,X548,NDays&amp;"D")</f>
        <v>42748</v>
      </c>
      <c r="Z548" s="154">
        <v>1.9099739174746871E-2</v>
      </c>
      <c r="AA548" s="156">
        <v>1.8538938026145445E-2</v>
      </c>
    </row>
    <row r="549" spans="19:27" x14ac:dyDescent="0.2">
      <c r="S549" s="1"/>
      <c r="T549" s="117"/>
      <c r="W549" s="75" t="str">
        <f t="shared" si="19"/>
        <v>1w</v>
      </c>
      <c r="X549" s="148">
        <f>_xll.qlCalendarAdvance(Calendar,X548,W549,"f",FALSE)</f>
        <v>42755</v>
      </c>
      <c r="Y549" s="153">
        <f>_xll.qlCalendarAdvance(Calendar,X549,NDays&amp;"D")</f>
        <v>42755</v>
      </c>
      <c r="Z549" s="154">
        <v>1.9180868126589812E-2</v>
      </c>
      <c r="AA549" s="156">
        <v>1.8625934583291391E-2</v>
      </c>
    </row>
    <row r="550" spans="19:27" x14ac:dyDescent="0.2">
      <c r="S550" s="1"/>
      <c r="T550" s="117"/>
      <c r="W550" s="75" t="str">
        <f t="shared" si="19"/>
        <v>1w</v>
      </c>
      <c r="X550" s="148">
        <f>_xll.qlCalendarAdvance(Calendar,X549,W550,"f",FALSE)</f>
        <v>42762</v>
      </c>
      <c r="Y550" s="153">
        <f>_xll.qlCalendarAdvance(Calendar,X550,NDays&amp;"D")</f>
        <v>42762</v>
      </c>
      <c r="Z550" s="154">
        <v>1.9260990528597831E-2</v>
      </c>
      <c r="AA550" s="156">
        <v>1.871192764872983E-2</v>
      </c>
    </row>
    <row r="551" spans="19:27" x14ac:dyDescent="0.2">
      <c r="S551" s="1"/>
      <c r="T551" s="117"/>
      <c r="W551" s="75" t="str">
        <f t="shared" si="19"/>
        <v>1w</v>
      </c>
      <c r="X551" s="148">
        <f>_xll.qlCalendarAdvance(Calendar,X550,W551,"f",FALSE)</f>
        <v>42769</v>
      </c>
      <c r="Y551" s="153">
        <f>_xll.qlCalendarAdvance(Calendar,X551,NDays&amp;"D")</f>
        <v>42769</v>
      </c>
      <c r="Z551" s="154">
        <v>1.9334130760639511E-2</v>
      </c>
      <c r="AA551" s="156">
        <v>1.8796917220299528E-2</v>
      </c>
    </row>
    <row r="552" spans="19:27" x14ac:dyDescent="0.2">
      <c r="S552" s="1"/>
      <c r="T552" s="117"/>
      <c r="W552" s="75" t="str">
        <f t="shared" si="19"/>
        <v>1w</v>
      </c>
      <c r="X552" s="148">
        <f>_xll.qlCalendarAdvance(Calendar,X551,W552,"f",FALSE)</f>
        <v>42776</v>
      </c>
      <c r="Y552" s="153">
        <f>_xll.qlCalendarAdvance(Calendar,X552,NDays&amp;"D")</f>
        <v>42776</v>
      </c>
      <c r="Z552" s="154">
        <v>1.9412307655371941E-2</v>
      </c>
      <c r="AA552" s="156">
        <v>1.888090329589328E-2</v>
      </c>
    </row>
    <row r="553" spans="19:27" x14ac:dyDescent="0.2">
      <c r="S553" s="1"/>
      <c r="T553" s="117"/>
      <c r="W553" s="75" t="str">
        <f t="shared" si="19"/>
        <v>1w</v>
      </c>
      <c r="X553" s="148">
        <f>_xll.qlCalendarAdvance(Calendar,X552,W553,"f",FALSE)</f>
        <v>42783</v>
      </c>
      <c r="Y553" s="153">
        <f>_xll.qlCalendarAdvance(Calendar,X553,NDays&amp;"D")</f>
        <v>42783</v>
      </c>
      <c r="Z553" s="154">
        <v>1.9489477865227128E-2</v>
      </c>
      <c r="AA553" s="156">
        <v>1.8963885873457913E-2</v>
      </c>
    </row>
    <row r="554" spans="19:27" x14ac:dyDescent="0.2">
      <c r="S554" s="1"/>
      <c r="T554" s="117"/>
      <c r="W554" s="75" t="str">
        <f t="shared" si="19"/>
        <v>1w</v>
      </c>
      <c r="X554" s="148">
        <f>_xll.qlCalendarAdvance(Calendar,X553,W554,"f",FALSE)</f>
        <v>42790</v>
      </c>
      <c r="Y554" s="153">
        <f>_xll.qlCalendarAdvance(Calendar,X554,NDays&amp;"D")</f>
        <v>42790</v>
      </c>
      <c r="Z554" s="154">
        <v>1.9565641333590143E-2</v>
      </c>
      <c r="AA554" s="156">
        <v>1.904586495088623E-2</v>
      </c>
    </row>
    <row r="555" spans="19:27" x14ac:dyDescent="0.2">
      <c r="S555" s="1"/>
      <c r="T555" s="117"/>
      <c r="W555" s="75" t="str">
        <f t="shared" si="19"/>
        <v>1w</v>
      </c>
      <c r="X555" s="148">
        <f>_xll.qlCalendarAdvance(Calendar,X554,W555,"f",FALSE)</f>
        <v>42797</v>
      </c>
      <c r="Y555" s="153">
        <f>_xll.qlCalendarAdvance(Calendar,X555,NDays&amp;"D")</f>
        <v>42797</v>
      </c>
      <c r="Z555" s="154">
        <v>1.9669256378309123E-2</v>
      </c>
      <c r="AA555" s="156">
        <v>1.9126840526233112E-2</v>
      </c>
    </row>
    <row r="556" spans="19:27" x14ac:dyDescent="0.2">
      <c r="S556" s="1"/>
      <c r="T556" s="117"/>
      <c r="W556" s="75" t="str">
        <f t="shared" si="19"/>
        <v>1w</v>
      </c>
      <c r="X556" s="148">
        <f>_xll.qlCalendarAdvance(Calendar,X555,W556,"f",FALSE)</f>
        <v>42804</v>
      </c>
      <c r="Y556" s="153">
        <f>_xll.qlCalendarAdvance(Calendar,X556,NDays&amp;"D")</f>
        <v>42804</v>
      </c>
      <c r="Z556" s="154">
        <v>1.9743066451113286E-2</v>
      </c>
      <c r="AA556" s="156">
        <v>1.9206812597418375E-2</v>
      </c>
    </row>
    <row r="557" spans="19:27" x14ac:dyDescent="0.2">
      <c r="S557" s="1"/>
      <c r="T557" s="117"/>
      <c r="W557" s="75" t="str">
        <f t="shared" si="19"/>
        <v>1w</v>
      </c>
      <c r="X557" s="148">
        <f>_xll.qlCalendarAdvance(Calendar,X556,W557,"f",FALSE)</f>
        <v>42811</v>
      </c>
      <c r="Y557" s="153">
        <f>_xll.qlCalendarAdvance(Calendar,X557,NDays&amp;"D")</f>
        <v>42811</v>
      </c>
      <c r="Z557" s="154">
        <v>1.9815869399521645E-2</v>
      </c>
      <c r="AA557" s="156">
        <v>1.9285781162523923E-2</v>
      </c>
    </row>
    <row r="558" spans="19:27" x14ac:dyDescent="0.2">
      <c r="S558" s="1"/>
      <c r="T558" s="117"/>
      <c r="W558" s="75" t="str">
        <f t="shared" si="19"/>
        <v>1w</v>
      </c>
      <c r="X558" s="148">
        <f>_xll.qlCalendarAdvance(Calendar,X557,W558,"f",FALSE)</f>
        <v>42818</v>
      </c>
      <c r="Y558" s="153">
        <f>_xll.qlCalendarAdvance(Calendar,X558,NDays&amp;"D")</f>
        <v>42818</v>
      </c>
      <c r="Z558" s="154">
        <v>1.988766516711736E-2</v>
      </c>
      <c r="AA558" s="156">
        <v>1.9363746219550618E-2</v>
      </c>
    </row>
    <row r="559" spans="19:27" x14ac:dyDescent="0.2">
      <c r="S559" s="1"/>
      <c r="T559" s="117"/>
      <c r="W559" s="75" t="str">
        <f t="shared" si="19"/>
        <v>1w</v>
      </c>
      <c r="X559" s="148">
        <f>_xll.qlCalendarAdvance(Calendar,X558,W559,"f",FALSE)</f>
        <v>42825</v>
      </c>
      <c r="Y559" s="153">
        <f>_xll.qlCalendarAdvance(Calendar,X559,NDays&amp;"D")</f>
        <v>42825</v>
      </c>
      <c r="Z559" s="154">
        <v>1.994221376100451E-2</v>
      </c>
      <c r="AA559" s="156">
        <v>1.944070776658036E-2</v>
      </c>
    </row>
    <row r="560" spans="19:27" x14ac:dyDescent="0.2">
      <c r="S560" s="1"/>
      <c r="T560" s="117"/>
      <c r="W560" s="75" t="str">
        <f t="shared" si="19"/>
        <v>1w</v>
      </c>
      <c r="X560" s="148">
        <f>_xll.qlCalendarAdvance(Calendar,X559,W560,"f",FALSE)</f>
        <v>42832</v>
      </c>
      <c r="Y560" s="153">
        <f>_xll.qlCalendarAdvance(Calendar,X560,NDays&amp;"D")</f>
        <v>42832</v>
      </c>
      <c r="Z560" s="154">
        <v>2.0012199398314424E-2</v>
      </c>
      <c r="AA560" s="156">
        <v>1.951666580172207E-2</v>
      </c>
    </row>
    <row r="561" spans="19:27" x14ac:dyDescent="0.2">
      <c r="S561" s="1"/>
      <c r="T561" s="117"/>
      <c r="W561" s="75" t="str">
        <f t="shared" si="19"/>
        <v>1w</v>
      </c>
      <c r="X561" s="148">
        <f>_xll.qlCalendarAdvance(Calendar,X560,W561,"f",FALSE)</f>
        <v>42843</v>
      </c>
      <c r="Y561" s="153">
        <f>_xll.qlCalendarAdvance(Calendar,X561,NDays&amp;"D")</f>
        <v>42843</v>
      </c>
      <c r="Z561" s="154">
        <v>2.0120141836768218E-2</v>
      </c>
      <c r="AA561" s="156">
        <v>1.9622388399891388E-2</v>
      </c>
    </row>
    <row r="562" spans="19:27" x14ac:dyDescent="0.2">
      <c r="S562" s="1"/>
      <c r="T562" s="117"/>
      <c r="W562" s="75" t="str">
        <f t="shared" si="19"/>
        <v>1w</v>
      </c>
      <c r="X562" s="148">
        <f>_xll.qlCalendarAdvance(Calendar,X561,W562,"f",FALSE)</f>
        <v>42850</v>
      </c>
      <c r="Y562" s="153">
        <f>_xll.qlCalendarAdvance(Calendar,X562,NDays&amp;"D")</f>
        <v>42850</v>
      </c>
      <c r="Z562" s="154">
        <v>2.0187537405889151E-2</v>
      </c>
      <c r="AA562" s="156">
        <v>1.9695901407816852E-2</v>
      </c>
    </row>
    <row r="563" spans="19:27" x14ac:dyDescent="0.2">
      <c r="S563" s="1"/>
      <c r="T563" s="117"/>
      <c r="W563" s="75" t="str">
        <f t="shared" si="19"/>
        <v>1w</v>
      </c>
      <c r="X563" s="148">
        <f>_xll.qlCalendarAdvance(Calendar,X562,W563,"f",FALSE)</f>
        <v>42857</v>
      </c>
      <c r="Y563" s="153">
        <f>_xll.qlCalendarAdvance(Calendar,X563,NDays&amp;"D")</f>
        <v>42857</v>
      </c>
      <c r="Z563" s="154">
        <v>2.0259033440097364E-2</v>
      </c>
      <c r="AA563" s="156">
        <v>1.9768410976633843E-2</v>
      </c>
    </row>
    <row r="564" spans="19:27" x14ac:dyDescent="0.2">
      <c r="S564" s="1"/>
      <c r="T564" s="117"/>
      <c r="W564" s="75" t="str">
        <f t="shared" si="19"/>
        <v>1w</v>
      </c>
      <c r="X564" s="148">
        <f>_xll.qlCalendarAdvance(Calendar,X563,W564,"f",FALSE)</f>
        <v>42864</v>
      </c>
      <c r="Y564" s="153">
        <f>_xll.qlCalendarAdvance(Calendar,X564,NDays&amp;"D")</f>
        <v>42864</v>
      </c>
      <c r="Z564" s="154">
        <v>2.0324345940727882E-2</v>
      </c>
      <c r="AA564" s="156">
        <v>1.9839917105693994E-2</v>
      </c>
    </row>
    <row r="565" spans="19:27" x14ac:dyDescent="0.2">
      <c r="S565" s="1"/>
      <c r="T565" s="117"/>
      <c r="W565" s="75" t="str">
        <f t="shared" si="19"/>
        <v>1w</v>
      </c>
      <c r="X565" s="148">
        <f>_xll.qlCalendarAdvance(Calendar,X564,W565,"f",FALSE)</f>
        <v>42871</v>
      </c>
      <c r="Y565" s="153">
        <f>_xll.qlCalendarAdvance(Calendar,X565,NDays&amp;"D")</f>
        <v>42871</v>
      </c>
      <c r="Z565" s="154">
        <v>2.0388650954827732E-2</v>
      </c>
      <c r="AA565" s="156">
        <v>1.9910419794348932E-2</v>
      </c>
    </row>
    <row r="566" spans="19:27" x14ac:dyDescent="0.2">
      <c r="S566" s="1"/>
      <c r="T566" s="117"/>
      <c r="W566" s="75" t="str">
        <f t="shared" si="19"/>
        <v>1w</v>
      </c>
      <c r="X566" s="148">
        <f>_xll.qlCalendarAdvance(Calendar,X565,W566,"f",FALSE)</f>
        <v>42878</v>
      </c>
      <c r="Y566" s="153">
        <f>_xll.qlCalendarAdvance(Calendar,X566,NDays&amp;"D")</f>
        <v>42878</v>
      </c>
      <c r="Z566" s="154">
        <v>2.0451948433622039E-2</v>
      </c>
      <c r="AA566" s="156">
        <v>1.9979919042112382E-2</v>
      </c>
    </row>
    <row r="567" spans="19:27" x14ac:dyDescent="0.2">
      <c r="S567" s="1"/>
      <c r="T567" s="117"/>
      <c r="W567" s="75" t="str">
        <f t="shared" si="19"/>
        <v>1w</v>
      </c>
      <c r="X567" s="148">
        <f>_xll.qlCalendarAdvance(Calendar,X566,W567,"f",FALSE)</f>
        <v>42885</v>
      </c>
      <c r="Y567" s="153">
        <f>_xll.qlCalendarAdvance(Calendar,X567,NDays&amp;"D")</f>
        <v>42885</v>
      </c>
      <c r="Z567" s="154">
        <v>2.0514238329100563E-2</v>
      </c>
      <c r="AA567" s="156">
        <v>2.0048414848417018E-2</v>
      </c>
    </row>
    <row r="568" spans="19:27" x14ac:dyDescent="0.2">
      <c r="S568" s="1"/>
      <c r="T568" s="117"/>
      <c r="W568" s="75" t="str">
        <f t="shared" si="19"/>
        <v>1w</v>
      </c>
      <c r="X568" s="148">
        <f>_xll.qlCalendarAdvance(Calendar,X567,W568,"f",FALSE)</f>
        <v>42892</v>
      </c>
      <c r="Y568" s="153">
        <f>_xll.qlCalendarAdvance(Calendar,X568,NDays&amp;"D")</f>
        <v>42892</v>
      </c>
      <c r="Z568" s="154">
        <v>2.0575520594017731E-2</v>
      </c>
      <c r="AA568" s="156">
        <v>2.011590721261447E-2</v>
      </c>
    </row>
    <row r="569" spans="19:27" x14ac:dyDescent="0.2">
      <c r="S569" s="1"/>
      <c r="T569" s="117"/>
      <c r="W569" s="75" t="str">
        <f t="shared" si="19"/>
        <v>1w</v>
      </c>
      <c r="X569" s="148">
        <f>_xll.qlCalendarAdvance(Calendar,X568,W569,"f",FALSE)</f>
        <v>42899</v>
      </c>
      <c r="Y569" s="153">
        <f>_xll.qlCalendarAdvance(Calendar,X569,NDays&amp;"D")</f>
        <v>42899</v>
      </c>
      <c r="Z569" s="154">
        <v>2.0635795181889977E-2</v>
      </c>
      <c r="AA569" s="156">
        <v>2.0182396134218461E-2</v>
      </c>
    </row>
    <row r="570" spans="19:27" x14ac:dyDescent="0.2">
      <c r="S570" s="1"/>
      <c r="T570" s="117"/>
      <c r="W570" s="75" t="str">
        <f t="shared" si="19"/>
        <v>1w</v>
      </c>
      <c r="X570" s="148">
        <f>_xll.qlCalendarAdvance(Calendar,X569,W570,"f",FALSE)</f>
        <v>42906</v>
      </c>
      <c r="Y570" s="153">
        <f>_xll.qlCalendarAdvance(Calendar,X570,NDays&amp;"D")</f>
        <v>42906</v>
      </c>
      <c r="Z570" s="154">
        <v>2.069506204700015E-2</v>
      </c>
      <c r="AA570" s="156">
        <v>2.0247881612661667E-2</v>
      </c>
    </row>
    <row r="571" spans="19:27" x14ac:dyDescent="0.2">
      <c r="S571" s="1"/>
      <c r="T571" s="117"/>
      <c r="W571" s="75" t="str">
        <f t="shared" si="19"/>
        <v>1w</v>
      </c>
      <c r="X571" s="148">
        <f>_xll.qlCalendarAdvance(Calendar,X570,W571,"f",FALSE)</f>
        <v>42913</v>
      </c>
      <c r="Y571" s="153">
        <f>_xll.qlCalendarAdvance(Calendar,X571,NDays&amp;"D")</f>
        <v>42913</v>
      </c>
      <c r="Z571" s="154">
        <v>2.0753321144393114E-2</v>
      </c>
      <c r="AA571" s="156">
        <v>2.0312363647376763E-2</v>
      </c>
    </row>
    <row r="572" spans="19:27" x14ac:dyDescent="0.2">
      <c r="S572" s="1"/>
      <c r="T572" s="117"/>
      <c r="W572" s="75" t="str">
        <f t="shared" si="19"/>
        <v>1w</v>
      </c>
      <c r="X572" s="148">
        <f>_xll.qlCalendarAdvance(Calendar,X571,W572,"f",FALSE)</f>
        <v>42920</v>
      </c>
      <c r="Y572" s="153">
        <f>_xll.qlCalendarAdvance(Calendar,X572,NDays&amp;"D")</f>
        <v>42920</v>
      </c>
      <c r="Z572" s="154">
        <v>2.081057242987662E-2</v>
      </c>
      <c r="AA572" s="156">
        <v>2.0375842237958519E-2</v>
      </c>
    </row>
    <row r="573" spans="19:27" x14ac:dyDescent="0.2">
      <c r="S573" s="1"/>
      <c r="T573" s="117"/>
      <c r="W573" s="75" t="str">
        <f t="shared" si="19"/>
        <v>1w</v>
      </c>
      <c r="X573" s="148">
        <f>_xll.qlCalendarAdvance(Calendar,X572,W573,"f",FALSE)</f>
        <v>42927</v>
      </c>
      <c r="Y573" s="153">
        <f>_xll.qlCalendarAdvance(Calendar,X573,NDays&amp;"D")</f>
        <v>42927</v>
      </c>
      <c r="Z573" s="154">
        <v>2.0866816050641286E-2</v>
      </c>
      <c r="AA573" s="156">
        <v>2.0438317383677518E-2</v>
      </c>
    </row>
    <row r="574" spans="19:27" x14ac:dyDescent="0.2">
      <c r="S574" s="1"/>
      <c r="T574" s="117"/>
      <c r="W574" s="75" t="str">
        <f t="shared" si="19"/>
        <v>1w</v>
      </c>
      <c r="X574" s="148">
        <f>_xll.qlCalendarAdvance(Calendar,X573,W574,"f",FALSE)</f>
        <v>42934</v>
      </c>
      <c r="Y574" s="153">
        <f>_xll.qlCalendarAdvance(Calendar,X574,NDays&amp;"D")</f>
        <v>42934</v>
      </c>
      <c r="Z574" s="154">
        <v>2.0922068762212823E-2</v>
      </c>
      <c r="AA574" s="156">
        <v>2.0499789084128528E-2</v>
      </c>
    </row>
    <row r="575" spans="19:27" x14ac:dyDescent="0.2">
      <c r="S575" s="1"/>
      <c r="T575" s="117"/>
      <c r="W575" s="75" t="str">
        <f t="shared" si="19"/>
        <v>1w</v>
      </c>
      <c r="X575" s="148">
        <f>_xll.qlCalendarAdvance(Calendar,X574,W575,"f",FALSE)</f>
        <v>42941</v>
      </c>
      <c r="Y575" s="153">
        <f>_xll.qlCalendarAdvance(Calendar,X575,NDays&amp;"D")</f>
        <v>42941</v>
      </c>
      <c r="Z575" s="154">
        <v>2.0976376582009647E-2</v>
      </c>
      <c r="AA575" s="156">
        <v>2.0560257338825272E-2</v>
      </c>
    </row>
    <row r="576" spans="19:27" x14ac:dyDescent="0.2">
      <c r="S576" s="1"/>
      <c r="T576" s="117"/>
      <c r="W576" s="75" t="str">
        <f t="shared" si="19"/>
        <v>1w</v>
      </c>
      <c r="X576" s="148">
        <f>_xll.qlCalendarAdvance(Calendar,X575,W576,"f",FALSE)</f>
        <v>42948</v>
      </c>
      <c r="Y576" s="153">
        <f>_xll.qlCalendarAdvance(Calendar,X576,NDays&amp;"D")</f>
        <v>42948</v>
      </c>
      <c r="Z576" s="154">
        <v>2.1029788509134908E-2</v>
      </c>
      <c r="AA576" s="156">
        <v>2.0619722147281472E-2</v>
      </c>
    </row>
    <row r="577" spans="19:27" x14ac:dyDescent="0.2">
      <c r="S577" s="1"/>
      <c r="T577" s="117"/>
      <c r="W577" s="75" t="str">
        <f t="shared" si="19"/>
        <v>1w</v>
      </c>
      <c r="X577" s="148">
        <f>_xll.qlCalendarAdvance(Calendar,X576,W577,"f",FALSE)</f>
        <v>42955</v>
      </c>
      <c r="Y577" s="153">
        <f>_xll.qlCalendarAdvance(Calendar,X577,NDays&amp;"D")</f>
        <v>42955</v>
      </c>
      <c r="Z577" s="154">
        <v>2.1082353545943313E-2</v>
      </c>
      <c r="AA577" s="156">
        <v>2.0678183508929804E-2</v>
      </c>
    </row>
    <row r="578" spans="19:27" x14ac:dyDescent="0.2">
      <c r="S578" s="1"/>
      <c r="T578" s="117"/>
      <c r="W578" s="75" t="str">
        <f t="shared" si="19"/>
        <v>1w</v>
      </c>
      <c r="X578" s="148">
        <f>_xll.qlCalendarAdvance(Calendar,X577,W578,"f",FALSE)</f>
        <v>42962</v>
      </c>
      <c r="Y578" s="153">
        <f>_xll.qlCalendarAdvance(Calendar,X578,NDays&amp;"D")</f>
        <v>42962</v>
      </c>
      <c r="Z578" s="154">
        <v>2.1134120697935386E-2</v>
      </c>
      <c r="AA578" s="156">
        <v>2.0735641423365037E-2</v>
      </c>
    </row>
    <row r="579" spans="19:27" x14ac:dyDescent="0.2">
      <c r="S579" s="1"/>
      <c r="T579" s="117"/>
      <c r="W579" s="75" t="str">
        <f t="shared" si="19"/>
        <v>1w</v>
      </c>
      <c r="X579" s="148">
        <f>_xll.qlCalendarAdvance(Calendar,X578,W579,"f",FALSE)</f>
        <v>42969</v>
      </c>
      <c r="Y579" s="153">
        <f>_xll.qlCalendarAdvance(Calendar,X579,NDays&amp;"D")</f>
        <v>42969</v>
      </c>
      <c r="Z579" s="154">
        <v>2.1185138973657931E-2</v>
      </c>
      <c r="AA579" s="156">
        <v>2.0792095890019846E-2</v>
      </c>
    </row>
    <row r="580" spans="19:27" x14ac:dyDescent="0.2">
      <c r="S580" s="1"/>
      <c r="T580" s="117"/>
      <c r="W580" s="75" t="str">
        <f t="shared" si="19"/>
        <v>1w</v>
      </c>
      <c r="X580" s="148">
        <f>_xll.qlCalendarAdvance(Calendar,X579,W580,"f",FALSE)</f>
        <v>42976</v>
      </c>
      <c r="Y580" s="153">
        <f>_xll.qlCalendarAdvance(Calendar,X580,NDays&amp;"D")</f>
        <v>42976</v>
      </c>
      <c r="Z580" s="154">
        <v>2.1235457384607147E-2</v>
      </c>
      <c r="AA580" s="156">
        <v>2.0847546908489001E-2</v>
      </c>
    </row>
    <row r="581" spans="19:27" x14ac:dyDescent="0.2">
      <c r="S581" s="1"/>
      <c r="T581" s="117"/>
      <c r="W581" s="75" t="str">
        <f t="shared" si="19"/>
        <v>1w</v>
      </c>
      <c r="X581" s="148">
        <f>_xll.qlCalendarAdvance(Calendar,X580,W581,"f",FALSE)</f>
        <v>42983</v>
      </c>
      <c r="Y581" s="153">
        <f>_xll.qlCalendarAdvance(Calendar,X581,NDays&amp;"D")</f>
        <v>42983</v>
      </c>
      <c r="Z581" s="154">
        <v>2.1281066814697245E-2</v>
      </c>
      <c r="AA581" s="156">
        <v>2.090199447836727E-2</v>
      </c>
    </row>
    <row r="582" spans="19:27" x14ac:dyDescent="0.2">
      <c r="S582" s="1"/>
      <c r="T582" s="117"/>
      <c r="W582" s="75" t="str">
        <f t="shared" si="19"/>
        <v>1w</v>
      </c>
      <c r="X582" s="148">
        <f>_xll.qlCalendarAdvance(Calendar,X581,W582,"f",FALSE)</f>
        <v>42990</v>
      </c>
      <c r="Y582" s="153">
        <f>_xll.qlCalendarAdvance(Calendar,X582,NDays&amp;"D")</f>
        <v>42990</v>
      </c>
      <c r="Z582" s="154">
        <v>2.1330160797352383E-2</v>
      </c>
      <c r="AA582" s="156">
        <v>2.0955438599087328E-2</v>
      </c>
    </row>
    <row r="583" spans="19:27" x14ac:dyDescent="0.2">
      <c r="S583" s="1"/>
      <c r="T583" s="117"/>
      <c r="W583" s="75" t="str">
        <f t="shared" si="19"/>
        <v>1w</v>
      </c>
      <c r="X583" s="148">
        <f>_xll.qlCalendarAdvance(Calendar,X582,W583,"f",FALSE)</f>
        <v>42997</v>
      </c>
      <c r="Y583" s="153">
        <f>_xll.qlCalendarAdvance(Calendar,X583,NDays&amp;"D")</f>
        <v>42997</v>
      </c>
      <c r="Z583" s="154">
        <v>2.1378699914936673E-2</v>
      </c>
      <c r="AA583" s="156">
        <v>2.1007879270324992E-2</v>
      </c>
    </row>
    <row r="584" spans="19:27" x14ac:dyDescent="0.2">
      <c r="S584" s="1"/>
      <c r="T584" s="117"/>
      <c r="W584" s="75" t="str">
        <f t="shared" si="19"/>
        <v>1w</v>
      </c>
      <c r="X584" s="148">
        <f>_xll.qlCalendarAdvance(Calendar,X583,W584,"f",FALSE)</f>
        <v>43004</v>
      </c>
      <c r="Y584" s="153">
        <f>_xll.qlCalendarAdvance(Calendar,X584,NDays&amp;"D")</f>
        <v>43004</v>
      </c>
      <c r="Z584" s="154">
        <v>2.1430712709019022E-2</v>
      </c>
      <c r="AA584" s="156">
        <v>2.1059316491512936E-2</v>
      </c>
    </row>
    <row r="585" spans="19:27" x14ac:dyDescent="0.2">
      <c r="S585" s="1"/>
      <c r="T585" s="117"/>
      <c r="W585" s="75" t="str">
        <f t="shared" si="19"/>
        <v>1w</v>
      </c>
      <c r="X585" s="148">
        <f>_xll.qlCalendarAdvance(Calendar,X584,W585,"f",FALSE)</f>
        <v>43011</v>
      </c>
      <c r="Y585" s="153">
        <f>_xll.qlCalendarAdvance(Calendar,X585,NDays&amp;"D")</f>
        <v>43011</v>
      </c>
      <c r="Z585" s="154">
        <v>2.1478267065894219E-2</v>
      </c>
      <c r="AA585" s="156">
        <v>2.1109750262408022E-2</v>
      </c>
    </row>
    <row r="586" spans="19:27" x14ac:dyDescent="0.2">
      <c r="S586" s="1"/>
      <c r="T586" s="117"/>
      <c r="W586" s="75" t="str">
        <f t="shared" si="19"/>
        <v>1w</v>
      </c>
      <c r="X586" s="148">
        <f>_xll.qlCalendarAdvance(Calendar,X585,W586,"f",FALSE)</f>
        <v>43018</v>
      </c>
      <c r="Y586" s="153">
        <f>_xll.qlCalendarAdvance(Calendar,X586,NDays&amp;"D")</f>
        <v>43018</v>
      </c>
      <c r="Z586" s="154">
        <v>2.1525415660525505E-2</v>
      </c>
      <c r="AA586" s="156">
        <v>2.1159195847509915E-2</v>
      </c>
    </row>
    <row r="587" spans="19:27" x14ac:dyDescent="0.2">
      <c r="S587" s="1"/>
      <c r="T587" s="117"/>
      <c r="W587" s="75" t="str">
        <f t="shared" si="19"/>
        <v>1w</v>
      </c>
      <c r="X587" s="148">
        <f>_xll.qlCalendarAdvance(Calendar,X586,W587,"f",FALSE)</f>
        <v>43025</v>
      </c>
      <c r="Y587" s="153">
        <f>_xll.qlCalendarAdvance(Calendar,X587,NDays&amp;"D")</f>
        <v>43025</v>
      </c>
      <c r="Z587" s="154">
        <v>2.1572195392874891E-2</v>
      </c>
      <c r="AA587" s="156">
        <v>2.1208080669747886E-2</v>
      </c>
    </row>
    <row r="588" spans="19:27" x14ac:dyDescent="0.2">
      <c r="S588" s="1"/>
      <c r="T588" s="117"/>
      <c r="W588" s="75" t="str">
        <f t="shared" si="19"/>
        <v>1w</v>
      </c>
      <c r="X588" s="148">
        <f>_xll.qlCalendarAdvance(Calendar,X587,W588,"f",FALSE)</f>
        <v>43032</v>
      </c>
      <c r="Y588" s="153">
        <f>_xll.qlCalendarAdvance(Calendar,X588,NDays&amp;"D")</f>
        <v>43032</v>
      </c>
      <c r="Z588" s="154">
        <v>2.1618611397529065E-2</v>
      </c>
      <c r="AA588" s="156">
        <v>2.1256603175398014E-2</v>
      </c>
    </row>
    <row r="589" spans="19:27" x14ac:dyDescent="0.2">
      <c r="S589" s="1"/>
      <c r="T589" s="117"/>
      <c r="W589" s="75" t="str">
        <f t="shared" si="19"/>
        <v>1w</v>
      </c>
      <c r="X589" s="148">
        <f>_xll.qlCalendarAdvance(Calendar,X588,W589,"f",FALSE)</f>
        <v>43039</v>
      </c>
      <c r="Y589" s="153">
        <f>_xll.qlCalendarAdvance(Calendar,X589,NDays&amp;"D")</f>
        <v>43039</v>
      </c>
      <c r="Z589" s="154">
        <v>2.1664663661777859E-2</v>
      </c>
      <c r="AA589" s="156">
        <v>2.1304763364217161E-2</v>
      </c>
    </row>
    <row r="590" spans="19:27" x14ac:dyDescent="0.2">
      <c r="S590" s="1"/>
      <c r="T590" s="117"/>
      <c r="W590" s="75" t="str">
        <f t="shared" si="19"/>
        <v>1w</v>
      </c>
      <c r="X590" s="148">
        <f>_xll.qlCalendarAdvance(Calendar,X589,W590,"f",FALSE)</f>
        <v>43046</v>
      </c>
      <c r="Y590" s="153">
        <f>_xll.qlCalendarAdvance(Calendar,X590,NDays&amp;"D")</f>
        <v>43046</v>
      </c>
      <c r="Z590" s="154">
        <v>2.1710352173010646E-2</v>
      </c>
      <c r="AA590" s="156">
        <v>2.1352561236124279E-2</v>
      </c>
    </row>
    <row r="591" spans="19:27" x14ac:dyDescent="0.2">
      <c r="S591" s="1"/>
      <c r="T591" s="117"/>
      <c r="W591" s="75" t="str">
        <f t="shared" si="19"/>
        <v>1w</v>
      </c>
      <c r="X591" s="148">
        <f>_xll.qlCalendarAdvance(Calendar,X590,W591,"f",FALSE)</f>
        <v>43053</v>
      </c>
      <c r="Y591" s="153">
        <f>_xll.qlCalendarAdvance(Calendar,X591,NDays&amp;"D")</f>
        <v>43053</v>
      </c>
      <c r="Z591" s="154">
        <v>2.1755676918716348E-2</v>
      </c>
      <c r="AA591" s="156">
        <v>2.1399996790957276E-2</v>
      </c>
    </row>
    <row r="592" spans="19:27" x14ac:dyDescent="0.2">
      <c r="S592" s="1"/>
      <c r="T592" s="117"/>
      <c r="W592" s="75" t="str">
        <f t="shared" si="19"/>
        <v>1w</v>
      </c>
      <c r="X592" s="148">
        <f>_xll.qlCalendarAdvance(Calendar,X591,W592,"f",FALSE)</f>
        <v>43060</v>
      </c>
      <c r="Y592" s="153">
        <f>_xll.qlCalendarAdvance(Calendar,X592,NDays&amp;"D")</f>
        <v>43060</v>
      </c>
      <c r="Z592" s="154">
        <v>2.1800637886484318E-2</v>
      </c>
      <c r="AA592" s="156">
        <v>2.1447070028716153E-2</v>
      </c>
    </row>
    <row r="593" spans="19:27" x14ac:dyDescent="0.2">
      <c r="S593" s="1"/>
      <c r="T593" s="117"/>
      <c r="W593" s="75" t="str">
        <f t="shared" si="19"/>
        <v>1w</v>
      </c>
      <c r="X593" s="148">
        <f>_xll.qlCalendarAdvance(Calendar,X592,W593,"f",FALSE)</f>
        <v>43067</v>
      </c>
      <c r="Y593" s="153">
        <f>_xll.qlCalendarAdvance(Calendar,X593,NDays&amp;"D")</f>
        <v>43067</v>
      </c>
      <c r="Z593" s="154">
        <v>2.1845235064002558E-2</v>
      </c>
      <c r="AA593" s="156">
        <v>2.1493780948995678E-2</v>
      </c>
    </row>
    <row r="594" spans="19:27" x14ac:dyDescent="0.2">
      <c r="S594" s="1"/>
      <c r="T594" s="117"/>
      <c r="W594" s="75" t="str">
        <f t="shared" si="19"/>
        <v>1w</v>
      </c>
      <c r="X594" s="148">
        <f>_xll.qlCalendarAdvance(Calendar,X593,W594,"f",FALSE)</f>
        <v>43074</v>
      </c>
      <c r="Y594" s="153">
        <f>_xll.qlCalendarAdvance(Calendar,X594,NDays&amp;"D")</f>
        <v>43074</v>
      </c>
      <c r="Z594" s="154">
        <v>2.1881974882146001E-2</v>
      </c>
      <c r="AA594" s="156">
        <v>2.1540129551876896E-2</v>
      </c>
    </row>
    <row r="595" spans="19:27" x14ac:dyDescent="0.2">
      <c r="S595" s="1"/>
      <c r="T595" s="117"/>
      <c r="W595" s="75" t="str">
        <f t="shared" si="19"/>
        <v>1w</v>
      </c>
      <c r="X595" s="148">
        <f>_xll.qlCalendarAdvance(Calendar,X594,W595,"f",FALSE)</f>
        <v>43081</v>
      </c>
      <c r="Y595" s="153">
        <f>_xll.qlCalendarAdvance(Calendar,X595,NDays&amp;"D")</f>
        <v>43081</v>
      </c>
      <c r="Z595" s="154">
        <v>2.1925891161086071E-2</v>
      </c>
      <c r="AA595" s="156">
        <v>2.1586115837035624E-2</v>
      </c>
    </row>
    <row r="596" spans="19:27" x14ac:dyDescent="0.2">
      <c r="S596" s="1"/>
      <c r="T596" s="117"/>
      <c r="W596" s="75" t="str">
        <f t="shared" si="19"/>
        <v>1w</v>
      </c>
      <c r="X596" s="148">
        <f>_xll.qlCalendarAdvance(Calendar,X595,W596,"f",FALSE)</f>
        <v>43088</v>
      </c>
      <c r="Y596" s="153">
        <f>_xll.qlCalendarAdvance(Calendar,X596,NDays&amp;"D")</f>
        <v>43088</v>
      </c>
      <c r="Z596" s="154">
        <v>2.1969443648303236E-2</v>
      </c>
      <c r="AA596" s="156">
        <v>2.1631739804552907E-2</v>
      </c>
    </row>
    <row r="597" spans="19:27" x14ac:dyDescent="0.2">
      <c r="S597" s="1"/>
      <c r="T597" s="117"/>
      <c r="W597" s="75" t="str">
        <f t="shared" ref="W597:W660" si="20">W596</f>
        <v>1w</v>
      </c>
      <c r="X597" s="148">
        <f>_xll.qlCalendarAdvance(Calendar,X596,W597,"f",FALSE)</f>
        <v>43096</v>
      </c>
      <c r="Y597" s="153">
        <f>_xll.qlCalendarAdvance(Calendar,X597,NDays&amp;"D")</f>
        <v>43096</v>
      </c>
      <c r="Z597" s="154">
        <v>2.2018772445194901E-2</v>
      </c>
      <c r="AA597" s="156">
        <v>2.1683437827161312E-2</v>
      </c>
    </row>
    <row r="598" spans="19:27" x14ac:dyDescent="0.2">
      <c r="S598" s="1"/>
      <c r="T598" s="117"/>
      <c r="W598" s="75" t="str">
        <f t="shared" si="20"/>
        <v>1w</v>
      </c>
      <c r="X598" s="148">
        <f>_xll.qlCalendarAdvance(Calendar,X597,W598,"f",FALSE)</f>
        <v>43103</v>
      </c>
      <c r="Y598" s="153">
        <f>_xll.qlCalendarAdvance(Calendar,X598,NDays&amp;"D")</f>
        <v>43103</v>
      </c>
      <c r="Z598" s="154">
        <v>2.2061545339558817E-2</v>
      </c>
      <c r="AA598" s="156">
        <v>2.1728285398945335E-2</v>
      </c>
    </row>
    <row r="599" spans="19:27" x14ac:dyDescent="0.2">
      <c r="S599" s="1"/>
      <c r="T599" s="117"/>
      <c r="W599" s="75" t="str">
        <f t="shared" si="20"/>
        <v>1w</v>
      </c>
      <c r="X599" s="148">
        <f>_xll.qlCalendarAdvance(Calendar,X598,W599,"f",FALSE)</f>
        <v>43110</v>
      </c>
      <c r="Y599" s="153">
        <f>_xll.qlCalendarAdvance(Calendar,X599,NDays&amp;"D")</f>
        <v>43110</v>
      </c>
      <c r="Z599" s="154">
        <v>2.2103954405860476E-2</v>
      </c>
      <c r="AA599" s="156">
        <v>2.1772770652601636E-2</v>
      </c>
    </row>
    <row r="600" spans="19:27" x14ac:dyDescent="0.2">
      <c r="S600" s="1"/>
      <c r="T600" s="117"/>
      <c r="W600" s="75" t="str">
        <f t="shared" si="20"/>
        <v>1w</v>
      </c>
      <c r="X600" s="148">
        <f>_xll.qlCalendarAdvance(Calendar,X599,W600,"f",FALSE)</f>
        <v>43117</v>
      </c>
      <c r="Y600" s="153">
        <f>_xll.qlCalendarAdvance(Calendar,X600,NDays&amp;"D")</f>
        <v>43117</v>
      </c>
      <c r="Z600" s="154">
        <v>2.2145999632736287E-2</v>
      </c>
      <c r="AA600" s="156">
        <v>2.1816893587968123E-2</v>
      </c>
    </row>
    <row r="601" spans="19:27" x14ac:dyDescent="0.2">
      <c r="S601" s="1"/>
      <c r="T601" s="117"/>
      <c r="W601" s="75" t="str">
        <f t="shared" si="20"/>
        <v>1w</v>
      </c>
      <c r="X601" s="148">
        <f>_xll.qlCalendarAdvance(Calendar,X600,W601,"f",FALSE)</f>
        <v>43124</v>
      </c>
      <c r="Y601" s="153">
        <f>_xll.qlCalendarAdvance(Calendar,X601,NDays&amp;"D")</f>
        <v>43124</v>
      </c>
      <c r="Z601" s="154">
        <v>2.218768100892532E-2</v>
      </c>
      <c r="AA601" s="156">
        <v>2.1860654204882701E-2</v>
      </c>
    </row>
    <row r="602" spans="19:27" x14ac:dyDescent="0.2">
      <c r="S602" s="1"/>
      <c r="T602" s="117"/>
      <c r="W602" s="75" t="str">
        <f t="shared" si="20"/>
        <v>1w</v>
      </c>
      <c r="X602" s="148">
        <f>_xll.qlCalendarAdvance(Calendar,X601,W602,"f",FALSE)</f>
        <v>43131</v>
      </c>
      <c r="Y602" s="153">
        <f>_xll.qlCalendarAdvance(Calendar,X602,NDays&amp;"D")</f>
        <v>43131</v>
      </c>
      <c r="Z602" s="154">
        <v>2.2225439321812597E-2</v>
      </c>
      <c r="AA602" s="156">
        <v>2.1904052503264326E-2</v>
      </c>
    </row>
    <row r="603" spans="19:27" x14ac:dyDescent="0.2">
      <c r="S603" s="1"/>
      <c r="T603" s="117"/>
      <c r="W603" s="75" t="str">
        <f t="shared" si="20"/>
        <v>1w</v>
      </c>
      <c r="X603" s="148">
        <f>_xll.qlCalendarAdvance(Calendar,X602,W603,"f",FALSE)</f>
        <v>43138</v>
      </c>
      <c r="Y603" s="153">
        <f>_xll.qlCalendarAdvance(Calendar,X603,NDays&amp;"D")</f>
        <v>43138</v>
      </c>
      <c r="Z603" s="154">
        <v>2.2269952164670304E-2</v>
      </c>
      <c r="AA603" s="156">
        <v>2.1947088482950905E-2</v>
      </c>
    </row>
    <row r="604" spans="19:27" x14ac:dyDescent="0.2">
      <c r="S604" s="1"/>
      <c r="T604" s="117"/>
      <c r="W604" s="75" t="str">
        <f t="shared" si="20"/>
        <v>1w</v>
      </c>
      <c r="X604" s="148">
        <f>_xll.qlCalendarAdvance(Calendar,X603,W604,"f",FALSE)</f>
        <v>43145</v>
      </c>
      <c r="Y604" s="153">
        <f>_xll.qlCalendarAdvance(Calendar,X604,NDays&amp;"D")</f>
        <v>43145</v>
      </c>
      <c r="Z604" s="154">
        <v>2.2307029741225524E-2</v>
      </c>
      <c r="AA604" s="156">
        <v>2.1989762143699298E-2</v>
      </c>
    </row>
    <row r="605" spans="19:27" x14ac:dyDescent="0.2">
      <c r="S605" s="1"/>
      <c r="T605" s="117"/>
      <c r="W605" s="75" t="str">
        <f t="shared" si="20"/>
        <v>1w</v>
      </c>
      <c r="X605" s="148">
        <f>_xll.qlCalendarAdvance(Calendar,X604,W605,"f",FALSE)</f>
        <v>43152</v>
      </c>
      <c r="Y605" s="153">
        <f>_xll.qlCalendarAdvance(Calendar,X605,NDays&amp;"D")</f>
        <v>43152</v>
      </c>
      <c r="Z605" s="154">
        <v>2.2347279141897301E-2</v>
      </c>
      <c r="AA605" s="156">
        <v>2.2032073485590553E-2</v>
      </c>
    </row>
    <row r="606" spans="19:27" x14ac:dyDescent="0.2">
      <c r="S606" s="1"/>
      <c r="T606" s="117"/>
      <c r="W606" s="75" t="str">
        <f t="shared" si="20"/>
        <v>1w</v>
      </c>
      <c r="X606" s="148">
        <f>_xll.qlCalendarAdvance(Calendar,X605,W606,"f",FALSE)</f>
        <v>43159</v>
      </c>
      <c r="Y606" s="153">
        <f>_xll.qlCalendarAdvance(Calendar,X606,NDays&amp;"D")</f>
        <v>43159</v>
      </c>
      <c r="Z606" s="154">
        <v>2.2397553589489371E-2</v>
      </c>
      <c r="AA606" s="156">
        <v>2.207402250838153E-2</v>
      </c>
    </row>
    <row r="607" spans="19:27" x14ac:dyDescent="0.2">
      <c r="S607" s="1"/>
      <c r="T607" s="117"/>
      <c r="W607" s="75" t="str">
        <f t="shared" si="20"/>
        <v>1w</v>
      </c>
      <c r="X607" s="148">
        <f>_xll.qlCalendarAdvance(Calendar,X606,W607,"f",FALSE)</f>
        <v>43166</v>
      </c>
      <c r="Y607" s="153">
        <f>_xll.qlCalendarAdvance(Calendar,X607,NDays&amp;"D")</f>
        <v>43166</v>
      </c>
      <c r="Z607" s="154">
        <v>2.2437004472465771E-2</v>
      </c>
      <c r="AA607" s="156">
        <v>2.2115609211991183E-2</v>
      </c>
    </row>
    <row r="608" spans="19:27" x14ac:dyDescent="0.2">
      <c r="S608" s="1"/>
      <c r="T608" s="117"/>
      <c r="W608" s="75" t="str">
        <f t="shared" si="20"/>
        <v>1w</v>
      </c>
      <c r="X608" s="148">
        <f>_xll.qlCalendarAdvance(Calendar,X607,W608,"f",FALSE)</f>
        <v>43173</v>
      </c>
      <c r="Y608" s="153">
        <f>_xll.qlCalendarAdvance(Calendar,X608,NDays&amp;"D")</f>
        <v>43173</v>
      </c>
      <c r="Z608" s="154">
        <v>2.2476091390923564E-2</v>
      </c>
      <c r="AA608" s="156">
        <v>2.2156833596257419E-2</v>
      </c>
    </row>
    <row r="609" spans="19:27" x14ac:dyDescent="0.2">
      <c r="S609" s="1"/>
      <c r="T609" s="117"/>
      <c r="W609" s="75" t="str">
        <f t="shared" si="20"/>
        <v>1w</v>
      </c>
      <c r="X609" s="148">
        <f>_xll.qlCalendarAdvance(Calendar,X608,W609,"f",FALSE)</f>
        <v>43180</v>
      </c>
      <c r="Y609" s="153">
        <f>_xll.qlCalendarAdvance(Calendar,X609,NDays&amp;"D")</f>
        <v>43180</v>
      </c>
      <c r="Z609" s="154">
        <v>2.2514814334159354E-2</v>
      </c>
      <c r="AA609" s="156">
        <v>2.2197695661018146E-2</v>
      </c>
    </row>
    <row r="610" spans="19:27" x14ac:dyDescent="0.2">
      <c r="S610" s="1"/>
      <c r="T610" s="117"/>
      <c r="W610" s="75" t="str">
        <f t="shared" si="20"/>
        <v>1w</v>
      </c>
      <c r="X610" s="148">
        <f>_xll.qlCalendarAdvance(Calendar,X609,W610,"f",FALSE)</f>
        <v>43187</v>
      </c>
      <c r="Y610" s="153">
        <f>_xll.qlCalendarAdvance(Calendar,X610,NDays&amp;"D")</f>
        <v>43187</v>
      </c>
      <c r="Z610" s="154">
        <v>2.2553173291568411E-2</v>
      </c>
      <c r="AA610" s="156">
        <v>2.2238195406273364E-2</v>
      </c>
    </row>
    <row r="611" spans="19:27" x14ac:dyDescent="0.2">
      <c r="S611" s="1"/>
      <c r="T611" s="117"/>
      <c r="W611" s="75" t="str">
        <f t="shared" si="20"/>
        <v>1w</v>
      </c>
      <c r="X611" s="148">
        <f>_xll.qlCalendarAdvance(Calendar,X610,W611,"f",FALSE)</f>
        <v>43194</v>
      </c>
      <c r="Y611" s="153">
        <f>_xll.qlCalendarAdvance(Calendar,X611,NDays&amp;"D")</f>
        <v>43194</v>
      </c>
      <c r="Z611" s="154">
        <v>2.258782547434162E-2</v>
      </c>
      <c r="AA611" s="156">
        <v>2.2278332831779935E-2</v>
      </c>
    </row>
    <row r="612" spans="19:27" x14ac:dyDescent="0.2">
      <c r="S612" s="1"/>
      <c r="T612" s="117"/>
      <c r="W612" s="75" t="str">
        <f t="shared" si="20"/>
        <v>1w</v>
      </c>
      <c r="X612" s="148">
        <f>_xll.qlCalendarAdvance(Calendar,X611,W612,"f",FALSE)</f>
        <v>43201</v>
      </c>
      <c r="Y612" s="153">
        <f>_xll.qlCalendarAdvance(Calendar,X612,NDays&amp;"D")</f>
        <v>43201</v>
      </c>
      <c r="Z612" s="154">
        <v>2.2625480104337459E-2</v>
      </c>
      <c r="AA612" s="156">
        <v>2.2318107937537857E-2</v>
      </c>
    </row>
    <row r="613" spans="19:27" x14ac:dyDescent="0.2">
      <c r="S613" s="1"/>
      <c r="T613" s="117"/>
      <c r="W613" s="75" t="str">
        <f t="shared" si="20"/>
        <v>1w</v>
      </c>
      <c r="X613" s="148">
        <f>_xll.qlCalendarAdvance(Calendar,X612,W613,"f",FALSE)</f>
        <v>43208</v>
      </c>
      <c r="Y613" s="153">
        <f>_xll.qlCalendarAdvance(Calendar,X613,NDays&amp;"D")</f>
        <v>43208</v>
      </c>
      <c r="Z613" s="154">
        <v>2.266277073669062E-2</v>
      </c>
      <c r="AA613" s="156">
        <v>2.2357520723303992E-2</v>
      </c>
    </row>
    <row r="614" spans="19:27" x14ac:dyDescent="0.2">
      <c r="S614" s="1"/>
      <c r="T614" s="117"/>
      <c r="W614" s="75" t="str">
        <f t="shared" si="20"/>
        <v>1w</v>
      </c>
      <c r="X614" s="148">
        <f>_xll.qlCalendarAdvance(Calendar,X613,W614,"f",FALSE)</f>
        <v>43215</v>
      </c>
      <c r="Y614" s="153">
        <f>_xll.qlCalendarAdvance(Calendar,X614,NDays&amp;"D")</f>
        <v>43215</v>
      </c>
      <c r="Z614" s="154">
        <v>2.2699697361299714E-2</v>
      </c>
      <c r="AA614" s="156">
        <v>2.239657118907834E-2</v>
      </c>
    </row>
    <row r="615" spans="19:27" x14ac:dyDescent="0.2">
      <c r="S615" s="1"/>
      <c r="T615" s="117"/>
      <c r="W615" s="75" t="str">
        <f t="shared" si="20"/>
        <v>1w</v>
      </c>
      <c r="X615" s="148">
        <f>_xll.qlCalendarAdvance(Calendar,X614,W615,"f",FALSE)</f>
        <v>43222</v>
      </c>
      <c r="Y615" s="153">
        <f>_xll.qlCalendarAdvance(Calendar,X615,NDays&amp;"D")</f>
        <v>43222</v>
      </c>
      <c r="Z615" s="154">
        <v>2.2739507927005697E-2</v>
      </c>
      <c r="AA615" s="156">
        <v>2.2435259334617763E-2</v>
      </c>
    </row>
    <row r="616" spans="19:27" x14ac:dyDescent="0.2">
      <c r="S616" s="1"/>
      <c r="T616" s="117"/>
      <c r="W616" s="75" t="str">
        <f t="shared" si="20"/>
        <v>1w</v>
      </c>
      <c r="X616" s="148">
        <f>_xll.qlCalendarAdvance(Calendar,X615,W616,"f",FALSE)</f>
        <v>43229</v>
      </c>
      <c r="Y616" s="153">
        <f>_xll.qlCalendarAdvance(Calendar,X616,NDays&amp;"D")</f>
        <v>43229</v>
      </c>
      <c r="Z616" s="154">
        <v>2.2775682752327848E-2</v>
      </c>
      <c r="AA616" s="156">
        <v>2.247358515992226E-2</v>
      </c>
    </row>
    <row r="617" spans="19:27" x14ac:dyDescent="0.2">
      <c r="S617" s="1"/>
      <c r="T617" s="117"/>
      <c r="W617" s="75" t="str">
        <f t="shared" si="20"/>
        <v>1w</v>
      </c>
      <c r="X617" s="148">
        <f>_xll.qlCalendarAdvance(Calendar,X616,W617,"f",FALSE)</f>
        <v>43236</v>
      </c>
      <c r="Y617" s="153">
        <f>_xll.qlCalendarAdvance(Calendar,X617,NDays&amp;"D")</f>
        <v>43236</v>
      </c>
      <c r="Z617" s="154">
        <v>2.2811493520376567E-2</v>
      </c>
      <c r="AA617" s="156">
        <v>2.2511548664829739E-2</v>
      </c>
    </row>
    <row r="618" spans="19:27" x14ac:dyDescent="0.2">
      <c r="S618" s="1"/>
      <c r="T618" s="117"/>
      <c r="W618" s="75" t="str">
        <f t="shared" si="20"/>
        <v>1w</v>
      </c>
      <c r="X618" s="148">
        <f>_xll.qlCalendarAdvance(Calendar,X617,W618,"f",FALSE)</f>
        <v>43243</v>
      </c>
      <c r="Y618" s="153">
        <f>_xll.qlCalendarAdvance(Calendar,X618,NDays&amp;"D")</f>
        <v>43243</v>
      </c>
      <c r="Z618" s="154">
        <v>2.284694022134701E-2</v>
      </c>
      <c r="AA618" s="156">
        <v>2.2549149849178107E-2</v>
      </c>
    </row>
    <row r="619" spans="19:27" x14ac:dyDescent="0.2">
      <c r="S619" s="1"/>
      <c r="T619" s="117"/>
      <c r="W619" s="75" t="str">
        <f t="shared" si="20"/>
        <v>1w</v>
      </c>
      <c r="X619" s="148">
        <f>_xll.qlCalendarAdvance(Calendar,X618,W619,"f",FALSE)</f>
        <v>43250</v>
      </c>
      <c r="Y619" s="153">
        <f>_xll.qlCalendarAdvance(Calendar,X619,NDays&amp;"D")</f>
        <v>43250</v>
      </c>
      <c r="Z619" s="154">
        <v>2.2882022845529489E-2</v>
      </c>
      <c r="AA619" s="156">
        <v>2.2586388712967365E-2</v>
      </c>
    </row>
    <row r="620" spans="19:27" x14ac:dyDescent="0.2">
      <c r="S620" s="1"/>
      <c r="T620" s="117"/>
      <c r="W620" s="75" t="str">
        <f t="shared" si="20"/>
        <v>1w</v>
      </c>
      <c r="X620" s="148">
        <f>_xll.qlCalendarAdvance(Calendar,X619,W620,"f",FALSE)</f>
        <v>43257</v>
      </c>
      <c r="Y620" s="153">
        <f>_xll.qlCalendarAdvance(Calendar,X620,NDays&amp;"D")</f>
        <v>43257</v>
      </c>
      <c r="Z620" s="154">
        <v>2.2916741383314725E-2</v>
      </c>
      <c r="AA620" s="156">
        <v>2.2623265256035419E-2</v>
      </c>
    </row>
    <row r="621" spans="19:27" x14ac:dyDescent="0.2">
      <c r="S621" s="1"/>
      <c r="T621" s="117"/>
      <c r="W621" s="75" t="str">
        <f t="shared" si="20"/>
        <v>1w</v>
      </c>
      <c r="X621" s="148">
        <f>_xll.qlCalendarAdvance(Calendar,X620,W621,"f",FALSE)</f>
        <v>43264</v>
      </c>
      <c r="Y621" s="153">
        <f>_xll.qlCalendarAdvance(Calendar,X621,NDays&amp;"D")</f>
        <v>43264</v>
      </c>
      <c r="Z621" s="154">
        <v>2.2951095825194761E-2</v>
      </c>
      <c r="AA621" s="156">
        <v>2.2659779478220177E-2</v>
      </c>
    </row>
    <row r="622" spans="19:27" x14ac:dyDescent="0.2">
      <c r="S622" s="1"/>
      <c r="T622" s="117"/>
      <c r="W622" s="75" t="str">
        <f t="shared" si="20"/>
        <v>1w</v>
      </c>
      <c r="X622" s="148">
        <f>_xll.qlCalendarAdvance(Calendar,X621,W622,"f",FALSE)</f>
        <v>43271</v>
      </c>
      <c r="Y622" s="153">
        <f>_xll.qlCalendarAdvance(Calendar,X622,NDays&amp;"D")</f>
        <v>43271</v>
      </c>
      <c r="Z622" s="154">
        <v>2.2985086161760301E-2</v>
      </c>
      <c r="AA622" s="156">
        <v>2.2695931379440593E-2</v>
      </c>
    </row>
    <row r="623" spans="19:27" x14ac:dyDescent="0.2">
      <c r="S623" s="1"/>
      <c r="T623" s="117"/>
      <c r="W623" s="75" t="str">
        <f t="shared" si="20"/>
        <v>1w</v>
      </c>
      <c r="X623" s="148">
        <f>_xll.qlCalendarAdvance(Calendar,X622,W623,"f",FALSE)</f>
        <v>43278</v>
      </c>
      <c r="Y623" s="153">
        <f>_xll.qlCalendarAdvance(Calendar,X623,NDays&amp;"D")</f>
        <v>43278</v>
      </c>
      <c r="Z623" s="154">
        <v>2.3018712383702473E-2</v>
      </c>
      <c r="AA623" s="156">
        <v>2.273172095961562E-2</v>
      </c>
    </row>
    <row r="624" spans="19:27" x14ac:dyDescent="0.2">
      <c r="S624" s="1"/>
      <c r="T624" s="117"/>
      <c r="W624" s="75" t="str">
        <f t="shared" si="20"/>
        <v>1w</v>
      </c>
      <c r="X624" s="148">
        <f>_xll.qlCalendarAdvance(Calendar,X623,W624,"f",FALSE)</f>
        <v>43285</v>
      </c>
      <c r="Y624" s="153">
        <f>_xll.qlCalendarAdvance(Calendar,X624,NDays&amp;"D")</f>
        <v>43285</v>
      </c>
      <c r="Z624" s="154">
        <v>2.3051974481810192E-2</v>
      </c>
      <c r="AA624" s="156">
        <v>2.2767148218664213E-2</v>
      </c>
    </row>
    <row r="625" spans="19:27" x14ac:dyDescent="0.2">
      <c r="S625" s="1"/>
      <c r="T625" s="117"/>
      <c r="W625" s="75" t="str">
        <f t="shared" si="20"/>
        <v>1w</v>
      </c>
      <c r="X625" s="148">
        <f>_xll.qlCalendarAdvance(Calendar,X624,W625,"f",FALSE)</f>
        <v>43292</v>
      </c>
      <c r="Y625" s="153">
        <f>_xll.qlCalendarAdvance(Calendar,X625,NDays&amp;"D")</f>
        <v>43292</v>
      </c>
      <c r="Z625" s="154">
        <v>2.3084872613395167E-2</v>
      </c>
      <c r="AA625" s="156">
        <v>2.2802213156343232E-2</v>
      </c>
    </row>
    <row r="626" spans="19:27" x14ac:dyDescent="0.2">
      <c r="S626" s="1"/>
      <c r="T626" s="117"/>
      <c r="W626" s="75" t="str">
        <f t="shared" si="20"/>
        <v>1w</v>
      </c>
      <c r="X626" s="148">
        <f>_xll.qlCalendarAdvance(Calendar,X625,W626,"f",FALSE)</f>
        <v>43299</v>
      </c>
      <c r="Y626" s="153">
        <f>_xll.qlCalendarAdvance(Calendar,X626,NDays&amp;"D")</f>
        <v>43299</v>
      </c>
      <c r="Z626" s="154">
        <v>2.3117412433995493E-2</v>
      </c>
      <c r="AA626" s="156">
        <v>2.2836915772733724E-2</v>
      </c>
    </row>
    <row r="627" spans="19:27" x14ac:dyDescent="0.2">
      <c r="S627" s="1"/>
      <c r="T627" s="117"/>
      <c r="W627" s="75" t="str">
        <f t="shared" si="20"/>
        <v>1w</v>
      </c>
      <c r="X627" s="148">
        <f>_xll.qlCalendarAdvance(Calendar,X626,W627,"f",FALSE)</f>
        <v>43306</v>
      </c>
      <c r="Y627" s="153">
        <f>_xll.qlCalendarAdvance(Calendar,X627,NDays&amp;"D")</f>
        <v>43306</v>
      </c>
      <c r="Z627" s="154">
        <v>2.3149606225580387E-2</v>
      </c>
      <c r="AA627" s="156">
        <v>2.2871256067673595E-2</v>
      </c>
    </row>
    <row r="628" spans="19:27" x14ac:dyDescent="0.2">
      <c r="S628" s="1"/>
      <c r="T628" s="117"/>
      <c r="W628" s="75" t="str">
        <f t="shared" si="20"/>
        <v>1w</v>
      </c>
      <c r="X628" s="148">
        <f>_xll.qlCalendarAdvance(Calendar,X627,W628,"f",FALSE)</f>
        <v>43313</v>
      </c>
      <c r="Y628" s="153">
        <f>_xll.qlCalendarAdvance(Calendar,X628,NDays&amp;"D")</f>
        <v>43313</v>
      </c>
      <c r="Z628" s="154">
        <v>2.3181466665099886E-2</v>
      </c>
      <c r="AA628" s="156">
        <v>2.2905234041000755E-2</v>
      </c>
    </row>
    <row r="629" spans="19:27" x14ac:dyDescent="0.2">
      <c r="S629" s="1"/>
      <c r="T629" s="117"/>
      <c r="W629" s="75" t="str">
        <f t="shared" si="20"/>
        <v>1w</v>
      </c>
      <c r="X629" s="148">
        <f>_xll.qlCalendarAdvance(Calendar,X628,W629,"f",FALSE)</f>
        <v>43320</v>
      </c>
      <c r="Y629" s="153">
        <f>_xll.qlCalendarAdvance(Calendar,X629,NDays&amp;"D")</f>
        <v>43320</v>
      </c>
      <c r="Z629" s="154">
        <v>2.3213006429994708E-2</v>
      </c>
      <c r="AA629" s="156">
        <v>2.2938849692634156E-2</v>
      </c>
    </row>
    <row r="630" spans="19:27" x14ac:dyDescent="0.2">
      <c r="S630" s="1"/>
      <c r="T630" s="117"/>
      <c r="W630" s="75" t="str">
        <f t="shared" si="20"/>
        <v>1w</v>
      </c>
      <c r="X630" s="148">
        <f>_xll.qlCalendarAdvance(Calendar,X629,W630,"f",FALSE)</f>
        <v>43327</v>
      </c>
      <c r="Y630" s="153">
        <f>_xll.qlCalendarAdvance(Calendar,X630,NDays&amp;"D")</f>
        <v>43327</v>
      </c>
      <c r="Z630" s="154">
        <v>2.3244238198186554E-2</v>
      </c>
      <c r="AA630" s="156">
        <v>2.2972103022492751E-2</v>
      </c>
    </row>
    <row r="631" spans="19:27" x14ac:dyDescent="0.2">
      <c r="S631" s="1"/>
      <c r="T631" s="117"/>
      <c r="W631" s="75" t="str">
        <f t="shared" si="20"/>
        <v>1w</v>
      </c>
      <c r="X631" s="148">
        <f>_xll.qlCalendarAdvance(Calendar,X630,W631,"f",FALSE)</f>
        <v>43334</v>
      </c>
      <c r="Y631" s="153">
        <f>_xll.qlCalendarAdvance(Calendar,X631,NDays&amp;"D")</f>
        <v>43334</v>
      </c>
      <c r="Z631" s="154">
        <v>2.3275174648064913E-2</v>
      </c>
      <c r="AA631" s="156">
        <v>2.3004994030495496E-2</v>
      </c>
    </row>
    <row r="632" spans="19:27" x14ac:dyDescent="0.2">
      <c r="S632" s="1"/>
      <c r="T632" s="117"/>
      <c r="W632" s="75" t="str">
        <f t="shared" si="20"/>
        <v>1w</v>
      </c>
      <c r="X632" s="148">
        <f>_xll.qlCalendarAdvance(Calendar,X631,W632,"f",FALSE)</f>
        <v>43341</v>
      </c>
      <c r="Y632" s="153">
        <f>_xll.qlCalendarAdvance(Calendar,X632,NDays&amp;"D")</f>
        <v>43341</v>
      </c>
      <c r="Z632" s="154">
        <v>2.3305828458484407E-2</v>
      </c>
      <c r="AA632" s="156">
        <v>2.3037522716480296E-2</v>
      </c>
    </row>
    <row r="633" spans="19:27" x14ac:dyDescent="0.2">
      <c r="S633" s="1"/>
      <c r="T633" s="117"/>
      <c r="W633" s="75" t="str">
        <f t="shared" si="20"/>
        <v>1w</v>
      </c>
      <c r="X633" s="148">
        <f>_xll.qlCalendarAdvance(Calendar,X632,W633,"f",FALSE)</f>
        <v>43348</v>
      </c>
      <c r="Y633" s="153">
        <f>_xll.qlCalendarAdvance(Calendar,X633,NDays&amp;"D")</f>
        <v>43348</v>
      </c>
      <c r="Z633" s="154">
        <v>2.333334488083556E-2</v>
      </c>
      <c r="AA633" s="156">
        <v>2.3069689080447153E-2</v>
      </c>
    </row>
    <row r="634" spans="19:27" x14ac:dyDescent="0.2">
      <c r="S634" s="1"/>
      <c r="T634" s="117"/>
      <c r="W634" s="75" t="str">
        <f t="shared" si="20"/>
        <v>1w</v>
      </c>
      <c r="X634" s="148">
        <f>_xll.qlCalendarAdvance(Calendar,X633,W634,"f",FALSE)</f>
        <v>43355</v>
      </c>
      <c r="Y634" s="153">
        <f>_xll.qlCalendarAdvance(Calendar,X634,NDays&amp;"D")</f>
        <v>43355</v>
      </c>
      <c r="Z634" s="154">
        <v>2.3363484877831641E-2</v>
      </c>
      <c r="AA634" s="156">
        <v>2.3101493122233974E-2</v>
      </c>
    </row>
    <row r="635" spans="19:27" x14ac:dyDescent="0.2">
      <c r="S635" s="1"/>
      <c r="T635" s="117"/>
      <c r="W635" s="75" t="str">
        <f t="shared" si="20"/>
        <v>1w</v>
      </c>
      <c r="X635" s="148">
        <f>_xll.qlCalendarAdvance(Calendar,X634,W635,"f",FALSE)</f>
        <v>43362</v>
      </c>
      <c r="Y635" s="153">
        <f>_xll.qlCalendarAdvance(Calendar,X635,NDays&amp;"D")</f>
        <v>43362</v>
      </c>
      <c r="Z635" s="154">
        <v>2.3393379770352957E-2</v>
      </c>
      <c r="AA635" s="156">
        <v>2.3132934841678665E-2</v>
      </c>
    </row>
    <row r="636" spans="19:27" x14ac:dyDescent="0.2">
      <c r="S636" s="1"/>
      <c r="T636" s="117"/>
      <c r="W636" s="75" t="str">
        <f t="shared" si="20"/>
        <v>1w</v>
      </c>
      <c r="X636" s="148">
        <f>_xll.qlCalendarAdvance(Calendar,X635,W636,"f",FALSE)</f>
        <v>43369</v>
      </c>
      <c r="Y636" s="153">
        <f>_xll.qlCalendarAdvance(Calendar,X636,NDays&amp;"D")</f>
        <v>43369</v>
      </c>
      <c r="Z636" s="154">
        <v>2.3425870898230543E-2</v>
      </c>
      <c r="AA636" s="156">
        <v>2.3164014238781228E-2</v>
      </c>
    </row>
    <row r="637" spans="19:27" x14ac:dyDescent="0.2">
      <c r="S637" s="1"/>
      <c r="T637" s="117"/>
      <c r="W637" s="75" t="str">
        <f t="shared" si="20"/>
        <v>1w</v>
      </c>
      <c r="X637" s="148">
        <f>_xll.qlCalendarAdvance(Calendar,X636,W637,"f",FALSE)</f>
        <v>43376</v>
      </c>
      <c r="Y637" s="153">
        <f>_xll.qlCalendarAdvance(Calendar,X637,NDays&amp;"D")</f>
        <v>43376</v>
      </c>
      <c r="Z637" s="154">
        <v>2.3455301709642527E-2</v>
      </c>
      <c r="AA637" s="156">
        <v>2.3194731313541661E-2</v>
      </c>
    </row>
    <row r="638" spans="19:27" x14ac:dyDescent="0.2">
      <c r="S638" s="1"/>
      <c r="T638" s="117"/>
      <c r="W638" s="75" t="str">
        <f t="shared" si="20"/>
        <v>1w</v>
      </c>
      <c r="X638" s="148">
        <f>_xll.qlCalendarAdvance(Calendar,X637,W638,"f",FALSE)</f>
        <v>43383</v>
      </c>
      <c r="Y638" s="153">
        <f>_xll.qlCalendarAdvance(Calendar,X638,NDays&amp;"D")</f>
        <v>43383</v>
      </c>
      <c r="Z638" s="154">
        <v>2.3484525914585195E-2</v>
      </c>
      <c r="AA638" s="156">
        <v>2.322509677825213E-2</v>
      </c>
    </row>
    <row r="639" spans="19:27" x14ac:dyDescent="0.2">
      <c r="S639" s="1"/>
      <c r="T639" s="117"/>
      <c r="W639" s="75" t="str">
        <f t="shared" si="20"/>
        <v>1w</v>
      </c>
      <c r="X639" s="148">
        <f>_xll.qlCalendarAdvance(Calendar,X638,W639,"f",FALSE)</f>
        <v>43390</v>
      </c>
      <c r="Y639" s="153">
        <f>_xll.qlCalendarAdvance(Calendar,X639,NDays&amp;"D")</f>
        <v>43390</v>
      </c>
      <c r="Z639" s="154">
        <v>2.3513551848981261E-2</v>
      </c>
      <c r="AA639" s="156">
        <v>2.3255231290806311E-2</v>
      </c>
    </row>
    <row r="640" spans="19:27" x14ac:dyDescent="0.2">
      <c r="S640" s="1"/>
      <c r="T640" s="117"/>
      <c r="W640" s="75" t="str">
        <f t="shared" si="20"/>
        <v>1w</v>
      </c>
      <c r="X640" s="148">
        <f>_xll.qlCalendarAdvance(Calendar,X639,W640,"f",FALSE)</f>
        <v>43397</v>
      </c>
      <c r="Y640" s="153">
        <f>_xll.qlCalendarAdvance(Calendar,X640,NDays&amp;"D")</f>
        <v>43397</v>
      </c>
      <c r="Z640" s="154">
        <v>2.3542380279059891E-2</v>
      </c>
      <c r="AA640" s="156">
        <v>2.3285169244166015E-2</v>
      </c>
    </row>
    <row r="641" spans="19:27" x14ac:dyDescent="0.2">
      <c r="S641" s="1"/>
      <c r="T641" s="117"/>
      <c r="W641" s="75" t="str">
        <f t="shared" si="20"/>
        <v>1w</v>
      </c>
      <c r="X641" s="148">
        <f>_xll.qlCalendarAdvance(Calendar,X640,W641,"f",FALSE)</f>
        <v>43404</v>
      </c>
      <c r="Y641" s="153">
        <f>_xll.qlCalendarAdvance(Calendar,X641,NDays&amp;"D")</f>
        <v>43404</v>
      </c>
      <c r="Z641" s="154">
        <v>2.3571011200539716E-2</v>
      </c>
      <c r="AA641" s="156">
        <v>2.331491063841229E-2</v>
      </c>
    </row>
    <row r="642" spans="19:27" x14ac:dyDescent="0.2">
      <c r="S642" s="1"/>
      <c r="T642" s="117"/>
      <c r="W642" s="75" t="str">
        <f t="shared" si="20"/>
        <v>1w</v>
      </c>
      <c r="X642" s="148">
        <f>_xll.qlCalendarAdvance(Calendar,X641,W642,"f",FALSE)</f>
        <v>43411</v>
      </c>
      <c r="Y642" s="153">
        <f>_xll.qlCalendarAdvance(Calendar,X642,NDays&amp;"D")</f>
        <v>43411</v>
      </c>
      <c r="Z642" s="154">
        <v>2.3599444609164934E-2</v>
      </c>
      <c r="AA642" s="156">
        <v>2.3344455473220949E-2</v>
      </c>
    </row>
    <row r="643" spans="19:27" x14ac:dyDescent="0.2">
      <c r="S643" s="1"/>
      <c r="T643" s="117"/>
      <c r="W643" s="75" t="str">
        <f t="shared" si="20"/>
        <v>1w</v>
      </c>
      <c r="X643" s="148">
        <f>_xll.qlCalendarAdvance(Calendar,X642,W643,"f",FALSE)</f>
        <v>43418</v>
      </c>
      <c r="Y643" s="153">
        <f>_xll.qlCalendarAdvance(Calendar,X643,NDays&amp;"D")</f>
        <v>43418</v>
      </c>
      <c r="Z643" s="154">
        <v>2.3627680500712327E-2</v>
      </c>
      <c r="AA643" s="156">
        <v>2.3373803748916178E-2</v>
      </c>
    </row>
    <row r="644" spans="19:27" x14ac:dyDescent="0.2">
      <c r="S644" s="1"/>
      <c r="T644" s="117"/>
      <c r="W644" s="75" t="str">
        <f t="shared" si="20"/>
        <v>1w</v>
      </c>
      <c r="X644" s="148">
        <f>_xll.qlCalendarAdvance(Calendar,X643,W644,"f",FALSE)</f>
        <v>43425</v>
      </c>
      <c r="Y644" s="153">
        <f>_xll.qlCalendarAdvance(Calendar,X644,NDays&amp;"D")</f>
        <v>43425</v>
      </c>
      <c r="Z644" s="154">
        <v>2.3655718870985984E-2</v>
      </c>
      <c r="AA644" s="156">
        <v>2.3402955465254838E-2</v>
      </c>
    </row>
    <row r="645" spans="19:27" x14ac:dyDescent="0.2">
      <c r="S645" s="1"/>
      <c r="T645" s="117"/>
      <c r="W645" s="75" t="str">
        <f t="shared" si="20"/>
        <v>1w</v>
      </c>
      <c r="X645" s="148">
        <f>_xll.qlCalendarAdvance(Calendar,X644,W645,"f",FALSE)</f>
        <v>43432</v>
      </c>
      <c r="Y645" s="153">
        <f>_xll.qlCalendarAdvance(Calendar,X645,NDays&amp;"D")</f>
        <v>43432</v>
      </c>
      <c r="Z645" s="154">
        <v>2.3683559715821714E-2</v>
      </c>
      <c r="AA645" s="156">
        <v>2.3431910622074836E-2</v>
      </c>
    </row>
    <row r="646" spans="19:27" x14ac:dyDescent="0.2">
      <c r="S646" s="1"/>
      <c r="T646" s="117"/>
      <c r="W646" s="75" t="str">
        <f t="shared" si="20"/>
        <v>1w</v>
      </c>
      <c r="X646" s="148">
        <f>_xll.qlCalendarAdvance(Calendar,X645,W646,"f",FALSE)</f>
        <v>43439</v>
      </c>
      <c r="Y646" s="153">
        <f>_xll.qlCalendarAdvance(Calendar,X646,NDays&amp;"D")</f>
        <v>43439</v>
      </c>
      <c r="Z646" s="154">
        <v>2.3705790575954851E-2</v>
      </c>
      <c r="AA646" s="156">
        <v>2.3460669219538266E-2</v>
      </c>
    </row>
    <row r="647" spans="19:27" x14ac:dyDescent="0.2">
      <c r="S647" s="1"/>
      <c r="T647" s="117"/>
      <c r="W647" s="75" t="str">
        <f t="shared" si="20"/>
        <v>1w</v>
      </c>
      <c r="X647" s="148">
        <f>_xll.qlCalendarAdvance(Calendar,X646,W647,"f",FALSE)</f>
        <v>43446</v>
      </c>
      <c r="Y647" s="153">
        <f>_xll.qlCalendarAdvance(Calendar,X647,NDays&amp;"D")</f>
        <v>43446</v>
      </c>
      <c r="Z647" s="154">
        <v>2.373326101713686E-2</v>
      </c>
      <c r="AA647" s="156">
        <v>2.3489231257483034E-2</v>
      </c>
    </row>
    <row r="648" spans="19:27" x14ac:dyDescent="0.2">
      <c r="S648" s="1"/>
      <c r="T648" s="117"/>
      <c r="W648" s="75" t="str">
        <f t="shared" si="20"/>
        <v>1w</v>
      </c>
      <c r="X648" s="148">
        <f>_xll.qlCalendarAdvance(Calendar,X647,W648,"f",FALSE)</f>
        <v>43453</v>
      </c>
      <c r="Y648" s="153">
        <f>_xll.qlCalendarAdvance(Calendar,X648,NDays&amp;"D")</f>
        <v>43453</v>
      </c>
      <c r="Z648" s="154">
        <v>2.3760533942667517E-2</v>
      </c>
      <c r="AA648" s="156">
        <v>2.3517596735909141E-2</v>
      </c>
    </row>
    <row r="649" spans="19:27" x14ac:dyDescent="0.2">
      <c r="S649" s="1"/>
      <c r="T649" s="117"/>
      <c r="W649" s="75" t="str">
        <f t="shared" si="20"/>
        <v>1w</v>
      </c>
      <c r="X649" s="148">
        <f>_xll.qlCalendarAdvance(Calendar,X648,W649,"f",FALSE)</f>
        <v>43461</v>
      </c>
      <c r="Y649" s="153">
        <f>_xll.qlCalendarAdvance(Calendar,X649,NDays&amp;"D")</f>
        <v>43461</v>
      </c>
      <c r="Z649" s="154">
        <v>2.3791461139433857E-2</v>
      </c>
      <c r="AA649" s="156">
        <v>2.3549773740361157E-2</v>
      </c>
    </row>
    <row r="650" spans="19:27" x14ac:dyDescent="0.2">
      <c r="S650" s="1"/>
      <c r="T650" s="117"/>
      <c r="W650" s="75" t="str">
        <f t="shared" si="20"/>
        <v>1w</v>
      </c>
      <c r="X650" s="148">
        <f>_xll.qlCalendarAdvance(Calendar,X649,W650,"f",FALSE)</f>
        <v>43468</v>
      </c>
      <c r="Y650" s="153">
        <f>_xll.qlCalendarAdvance(Calendar,X650,NDays&amp;"D")</f>
        <v>43468</v>
      </c>
      <c r="Z650" s="154">
        <v>2.3818310803827496E-2</v>
      </c>
      <c r="AA650" s="156">
        <v>2.3577718019726079E-2</v>
      </c>
    </row>
    <row r="651" spans="19:27" x14ac:dyDescent="0.2">
      <c r="S651" s="1"/>
      <c r="T651" s="117"/>
      <c r="W651" s="75" t="str">
        <f t="shared" si="20"/>
        <v>1w</v>
      </c>
      <c r="X651" s="148">
        <f>_xll.qlCalendarAdvance(Calendar,X650,W651,"f",FALSE)</f>
        <v>43475</v>
      </c>
      <c r="Y651" s="153">
        <f>_xll.qlCalendarAdvance(Calendar,X651,NDays&amp;"D")</f>
        <v>43475</v>
      </c>
      <c r="Z651" s="154">
        <v>2.3844962940207524E-2</v>
      </c>
      <c r="AA651" s="156">
        <v>2.3605465739248155E-2</v>
      </c>
    </row>
    <row r="652" spans="19:27" x14ac:dyDescent="0.2">
      <c r="S652" s="1"/>
      <c r="T652" s="117"/>
      <c r="W652" s="75" t="str">
        <f t="shared" si="20"/>
        <v>1w</v>
      </c>
      <c r="X652" s="148">
        <f>_xll.qlCalendarAdvance(Calendar,X651,W652,"f",FALSE)</f>
        <v>43482</v>
      </c>
      <c r="Y652" s="153">
        <f>_xll.qlCalendarAdvance(Calendar,X652,NDays&amp;"D")</f>
        <v>43482</v>
      </c>
      <c r="Z652" s="154">
        <v>2.3871417544700829E-2</v>
      </c>
      <c r="AA652" s="156">
        <v>2.3633016899170523E-2</v>
      </c>
    </row>
    <row r="653" spans="19:27" x14ac:dyDescent="0.2">
      <c r="S653" s="1"/>
      <c r="T653" s="117"/>
      <c r="W653" s="75" t="str">
        <f t="shared" si="20"/>
        <v>1w</v>
      </c>
      <c r="X653" s="148">
        <f>_xll.qlCalendarAdvance(Calendar,X652,W653,"f",FALSE)</f>
        <v>43489</v>
      </c>
      <c r="Y653" s="153">
        <f>_xll.qlCalendarAdvance(Calendar,X653,NDays&amp;"D")</f>
        <v>43489</v>
      </c>
      <c r="Z653" s="154">
        <v>2.3897674613460412E-2</v>
      </c>
      <c r="AA653" s="156">
        <v>2.3660371499250044E-2</v>
      </c>
    </row>
    <row r="654" spans="19:27" x14ac:dyDescent="0.2">
      <c r="S654" s="1"/>
      <c r="T654" s="117"/>
      <c r="W654" s="75" t="str">
        <f t="shared" si="20"/>
        <v>1w</v>
      </c>
      <c r="X654" s="148">
        <f>_xll.qlCalendarAdvance(Calendar,X653,W654,"f",FALSE)</f>
        <v>43496</v>
      </c>
      <c r="Y654" s="153">
        <f>_xll.qlCalendarAdvance(Calendar,X654,NDays&amp;"D")</f>
        <v>43496</v>
      </c>
      <c r="Z654" s="154">
        <v>2.3921127031361105E-2</v>
      </c>
      <c r="AA654" s="156">
        <v>2.3687529539567764E-2</v>
      </c>
    </row>
    <row r="655" spans="19:27" x14ac:dyDescent="0.2">
      <c r="S655" s="1"/>
      <c r="T655" s="117"/>
      <c r="W655" s="75" t="str">
        <f t="shared" si="20"/>
        <v>1w</v>
      </c>
      <c r="X655" s="148">
        <f>_xll.qlCalendarAdvance(Calendar,X654,W655,"f",FALSE)</f>
        <v>43503</v>
      </c>
      <c r="Y655" s="153">
        <f>_xll.qlCalendarAdvance(Calendar,X655,NDays&amp;"D")</f>
        <v>43503</v>
      </c>
      <c r="Z655" s="154">
        <v>2.3947001436008149E-2</v>
      </c>
      <c r="AA655" s="156">
        <v>2.3714491020042638E-2</v>
      </c>
    </row>
    <row r="656" spans="19:27" x14ac:dyDescent="0.2">
      <c r="S656" s="1"/>
      <c r="T656" s="117"/>
      <c r="W656" s="75" t="str">
        <f t="shared" si="20"/>
        <v>1w</v>
      </c>
      <c r="X656" s="148">
        <f>_xll.qlCalendarAdvance(Calendar,X655,W656,"f",FALSE)</f>
        <v>43510</v>
      </c>
      <c r="Y656" s="153">
        <f>_xll.qlCalendarAdvance(Calendar,X656,NDays&amp;"D")</f>
        <v>43510</v>
      </c>
      <c r="Z656" s="154">
        <v>2.397267830493954E-2</v>
      </c>
      <c r="AA656" s="156">
        <v>2.3741255940674666E-2</v>
      </c>
    </row>
    <row r="657" spans="19:27" x14ac:dyDescent="0.2">
      <c r="S657" s="1"/>
      <c r="T657" s="117"/>
      <c r="W657" s="75" t="str">
        <f t="shared" si="20"/>
        <v>1w</v>
      </c>
      <c r="X657" s="148">
        <f>_xll.qlCalendarAdvance(Calendar,X656,W657,"f",FALSE)</f>
        <v>43517</v>
      </c>
      <c r="Y657" s="153">
        <f>_xll.qlCalendarAdvance(Calendar,X657,NDays&amp;"D")</f>
        <v>43517</v>
      </c>
      <c r="Z657" s="154">
        <v>2.3998157634461757E-2</v>
      </c>
      <c r="AA657" s="156">
        <v>2.3767824301301754E-2</v>
      </c>
    </row>
    <row r="658" spans="19:27" x14ac:dyDescent="0.2">
      <c r="S658" s="1"/>
      <c r="T658" s="117"/>
      <c r="W658" s="75" t="str">
        <f t="shared" si="20"/>
        <v>1w</v>
      </c>
      <c r="X658" s="148">
        <f>_xll.qlCalendarAdvance(Calendar,X657,W658,"f",FALSE)</f>
        <v>43524</v>
      </c>
      <c r="Y658" s="153">
        <f>_xll.qlCalendarAdvance(Calendar,X658,NDays&amp;"D")</f>
        <v>43524</v>
      </c>
      <c r="Z658" s="154">
        <v>2.4031108291078202E-2</v>
      </c>
      <c r="AA658" s="156">
        <v>2.3794196101923903E-2</v>
      </c>
    </row>
    <row r="659" spans="19:27" x14ac:dyDescent="0.2">
      <c r="S659" s="1"/>
      <c r="T659" s="117"/>
      <c r="W659" s="75" t="str">
        <f t="shared" si="20"/>
        <v>1w</v>
      </c>
      <c r="X659" s="148">
        <f>_xll.qlCalendarAdvance(Calendar,X658,W659,"f",FALSE)</f>
        <v>43531</v>
      </c>
      <c r="Y659" s="153">
        <f>_xll.qlCalendarAdvance(Calendar,X659,NDays&amp;"D")</f>
        <v>43531</v>
      </c>
      <c r="Z659" s="154">
        <v>2.405615513267035E-2</v>
      </c>
      <c r="AA659" s="156">
        <v>2.3820371342460067E-2</v>
      </c>
    </row>
    <row r="660" spans="19:27" x14ac:dyDescent="0.2">
      <c r="S660" s="1"/>
      <c r="T660" s="117"/>
      <c r="W660" s="75" t="str">
        <f t="shared" si="20"/>
        <v>1w</v>
      </c>
      <c r="X660" s="148">
        <f>_xll.qlCalendarAdvance(Calendar,X659,W660,"f",FALSE)</f>
        <v>43538</v>
      </c>
      <c r="Y660" s="153">
        <f>_xll.qlCalendarAdvance(Calendar,X660,NDays&amp;"D")</f>
        <v>43538</v>
      </c>
      <c r="Z660" s="154">
        <v>2.4081004389327788E-2</v>
      </c>
      <c r="AA660" s="156">
        <v>2.3846350023072338E-2</v>
      </c>
    </row>
    <row r="661" spans="19:27" x14ac:dyDescent="0.2">
      <c r="S661" s="1"/>
      <c r="T661" s="117"/>
      <c r="W661" s="75" t="str">
        <f t="shared" ref="W661:W724" si="21">W660</f>
        <v>1w</v>
      </c>
      <c r="X661" s="148">
        <f>_xll.qlCalendarAdvance(Calendar,X660,W661,"f",FALSE)</f>
        <v>43545</v>
      </c>
      <c r="Y661" s="153">
        <f>_xll.qlCalendarAdvance(Calendar,X661,NDays&amp;"D")</f>
        <v>43545</v>
      </c>
      <c r="Z661" s="154">
        <v>2.4105656057356751E-2</v>
      </c>
      <c r="AA661" s="156">
        <v>2.3872132143517577E-2</v>
      </c>
    </row>
    <row r="662" spans="19:27" x14ac:dyDescent="0.2">
      <c r="S662" s="1"/>
      <c r="T662" s="117"/>
      <c r="W662" s="75" t="str">
        <f t="shared" si="21"/>
        <v>1w</v>
      </c>
      <c r="X662" s="148">
        <f>_xll.qlCalendarAdvance(Calendar,X661,W662,"f",FALSE)</f>
        <v>43552</v>
      </c>
      <c r="Y662" s="153">
        <f>_xll.qlCalendarAdvance(Calendar,X662,NDays&amp;"D")</f>
        <v>43552</v>
      </c>
      <c r="Z662" s="154">
        <v>2.4130110133094292E-2</v>
      </c>
      <c r="AA662" s="156">
        <v>2.3897717703795784E-2</v>
      </c>
    </row>
    <row r="663" spans="19:27" x14ac:dyDescent="0.2">
      <c r="S663" s="1"/>
      <c r="T663" s="117"/>
      <c r="W663" s="75" t="str">
        <f t="shared" si="21"/>
        <v>1w</v>
      </c>
      <c r="X663" s="148">
        <f>_xll.qlCalendarAdvance(Calendar,X662,W663,"f",FALSE)</f>
        <v>43559</v>
      </c>
      <c r="Y663" s="153">
        <f>_xll.qlCalendarAdvance(Calendar,X663,NDays&amp;"D")</f>
        <v>43559</v>
      </c>
      <c r="Z663" s="154">
        <v>2.4151873854404635E-2</v>
      </c>
      <c r="AA663" s="156">
        <v>2.392310670390696E-2</v>
      </c>
    </row>
    <row r="664" spans="19:27" x14ac:dyDescent="0.2">
      <c r="S664" s="1"/>
      <c r="T664" s="117"/>
      <c r="W664" s="75" t="str">
        <f t="shared" si="21"/>
        <v>1w</v>
      </c>
      <c r="X664" s="148">
        <f>_xll.qlCalendarAdvance(Calendar,X663,W664,"f",FALSE)</f>
        <v>43566</v>
      </c>
      <c r="Y664" s="153">
        <f>_xll.qlCalendarAdvance(Calendar,X664,NDays&amp;"D")</f>
        <v>43566</v>
      </c>
      <c r="Z664" s="154">
        <v>2.4175945260388392E-2</v>
      </c>
      <c r="AA664" s="156">
        <v>2.3948299143770058E-2</v>
      </c>
    </row>
    <row r="665" spans="19:27" x14ac:dyDescent="0.2">
      <c r="S665" s="1"/>
      <c r="T665" s="117"/>
      <c r="W665" s="75" t="str">
        <f t="shared" si="21"/>
        <v>1w</v>
      </c>
      <c r="X665" s="148">
        <f>_xll.qlCalendarAdvance(Calendar,X664,W665,"f",FALSE)</f>
        <v>43573</v>
      </c>
      <c r="Y665" s="153">
        <f>_xll.qlCalendarAdvance(Calendar,X665,NDays&amp;"D")</f>
        <v>43573</v>
      </c>
      <c r="Z665" s="154">
        <v>2.4199819075005194E-2</v>
      </c>
      <c r="AA665" s="156">
        <v>2.3983547806381456E-2</v>
      </c>
    </row>
    <row r="666" spans="19:27" x14ac:dyDescent="0.2">
      <c r="S666" s="1"/>
      <c r="T666" s="117"/>
      <c r="W666" s="75" t="str">
        <f t="shared" si="21"/>
        <v>1w</v>
      </c>
      <c r="X666" s="148">
        <f>_xll.qlCalendarAdvance(Calendar,X665,W666,"f",FALSE)</f>
        <v>43580</v>
      </c>
      <c r="Y666" s="153">
        <f>_xll.qlCalendarAdvance(Calendar,X666,NDays&amp;"D")</f>
        <v>43580</v>
      </c>
      <c r="Z666" s="154">
        <v>2.4223495294746895E-2</v>
      </c>
      <c r="AA666" s="156">
        <v>2.3998094342589926E-2</v>
      </c>
    </row>
    <row r="667" spans="19:27" x14ac:dyDescent="0.2">
      <c r="S667" s="1"/>
      <c r="T667" s="117"/>
      <c r="W667" s="75" t="str">
        <f t="shared" si="21"/>
        <v>1w</v>
      </c>
      <c r="X667" s="148">
        <f>_xll.qlCalendarAdvance(Calendar,X666,W667,"f",FALSE)</f>
        <v>43587</v>
      </c>
      <c r="Y667" s="153">
        <f>_xll.qlCalendarAdvance(Calendar,X667,NDays&amp;"D")</f>
        <v>43587</v>
      </c>
      <c r="Z667" s="154">
        <v>2.4249416501278952E-2</v>
      </c>
      <c r="AA667" s="156">
        <v>2.4022697101546697E-2</v>
      </c>
    </row>
    <row r="668" spans="19:27" x14ac:dyDescent="0.2">
      <c r="S668" s="1"/>
      <c r="T668" s="117"/>
      <c r="W668" s="75" t="str">
        <f t="shared" si="21"/>
        <v>1w</v>
      </c>
      <c r="X668" s="148">
        <f>_xll.qlCalendarAdvance(Calendar,X667,W668,"f",FALSE)</f>
        <v>43594</v>
      </c>
      <c r="Y668" s="153">
        <f>_xll.qlCalendarAdvance(Calendar,X668,NDays&amp;"D")</f>
        <v>43594</v>
      </c>
      <c r="Z668" s="154">
        <v>2.4272684947997135E-2</v>
      </c>
      <c r="AA668" s="156">
        <v>2.4047103300093298E-2</v>
      </c>
    </row>
    <row r="669" spans="19:27" x14ac:dyDescent="0.2">
      <c r="S669" s="1"/>
      <c r="T669" s="117"/>
      <c r="W669" s="75" t="str">
        <f t="shared" si="21"/>
        <v>1w</v>
      </c>
      <c r="X669" s="148">
        <f>_xll.qlCalendarAdvance(Calendar,X668,W669,"f",FALSE)</f>
        <v>43601</v>
      </c>
      <c r="Y669" s="153">
        <f>_xll.qlCalendarAdvance(Calendar,X669,NDays&amp;"D")</f>
        <v>43601</v>
      </c>
      <c r="Z669" s="154">
        <v>2.4295755777605243E-2</v>
      </c>
      <c r="AA669" s="156">
        <v>2.4071312938148681E-2</v>
      </c>
    </row>
    <row r="670" spans="19:27" x14ac:dyDescent="0.2">
      <c r="S670" s="1"/>
      <c r="T670" s="117"/>
      <c r="W670" s="75" t="str">
        <f t="shared" si="21"/>
        <v>1w</v>
      </c>
      <c r="X670" s="148">
        <f>_xll.qlCalendarAdvance(Calendar,X669,W670,"f",FALSE)</f>
        <v>43608</v>
      </c>
      <c r="Y670" s="153">
        <f>_xll.qlCalendarAdvance(Calendar,X670,NDays&amp;"D")</f>
        <v>43608</v>
      </c>
      <c r="Z670" s="154">
        <v>2.4318628986675542E-2</v>
      </c>
      <c r="AA670" s="156">
        <v>2.4095326015793894E-2</v>
      </c>
    </row>
    <row r="671" spans="19:27" x14ac:dyDescent="0.2">
      <c r="S671" s="1"/>
      <c r="T671" s="117"/>
      <c r="W671" s="75" t="str">
        <f t="shared" si="21"/>
        <v>1w</v>
      </c>
      <c r="X671" s="148">
        <f>_xll.qlCalendarAdvance(Calendar,X670,W671,"f",FALSE)</f>
        <v>43615</v>
      </c>
      <c r="Y671" s="153">
        <f>_xll.qlCalendarAdvance(Calendar,X671,NDays&amp;"D")</f>
        <v>43615</v>
      </c>
      <c r="Z671" s="154">
        <v>2.4341304571811134E-2</v>
      </c>
      <c r="AA671" s="156">
        <v>2.4119142532866844E-2</v>
      </c>
    </row>
    <row r="672" spans="19:27" x14ac:dyDescent="0.2">
      <c r="S672" s="1"/>
      <c r="T672" s="117"/>
      <c r="W672" s="75" t="str">
        <f t="shared" si="21"/>
        <v>1w</v>
      </c>
      <c r="X672" s="148">
        <f>_xll.qlCalendarAdvance(Calendar,X671,W672,"f",FALSE)</f>
        <v>43622</v>
      </c>
      <c r="Y672" s="153">
        <f>_xll.qlCalendarAdvance(Calendar,X672,NDays&amp;"D")</f>
        <v>43622</v>
      </c>
      <c r="Z672" s="154">
        <v>2.4363782529641553E-2</v>
      </c>
      <c r="AA672" s="156">
        <v>2.4142762489448577E-2</v>
      </c>
    </row>
    <row r="673" spans="19:27" x14ac:dyDescent="0.2">
      <c r="S673" s="1"/>
      <c r="T673" s="117"/>
      <c r="W673" s="75" t="str">
        <f t="shared" si="21"/>
        <v>1w</v>
      </c>
      <c r="X673" s="148">
        <f>_xll.qlCalendarAdvance(Calendar,X672,W673,"f",FALSE)</f>
        <v>43629</v>
      </c>
      <c r="Y673" s="153">
        <f>_xll.qlCalendarAdvance(Calendar,X673,NDays&amp;"D")</f>
        <v>43629</v>
      </c>
      <c r="Z673" s="154">
        <v>2.4386062856825406E-2</v>
      </c>
      <c r="AA673" s="156">
        <v>2.4166185885458047E-2</v>
      </c>
    </row>
    <row r="674" spans="19:27" x14ac:dyDescent="0.2">
      <c r="S674" s="1"/>
      <c r="T674" s="117"/>
      <c r="W674" s="75" t="str">
        <f t="shared" si="21"/>
        <v>1w</v>
      </c>
      <c r="X674" s="148">
        <f>_xll.qlCalendarAdvance(Calendar,X673,W674,"f",FALSE)</f>
        <v>43636</v>
      </c>
      <c r="Y674" s="153">
        <f>_xll.qlCalendarAdvance(Calendar,X674,NDays&amp;"D")</f>
        <v>43636</v>
      </c>
      <c r="Z674" s="154">
        <v>2.440814555005388E-2</v>
      </c>
      <c r="AA674" s="156">
        <v>2.4189412720733161E-2</v>
      </c>
    </row>
    <row r="675" spans="19:27" x14ac:dyDescent="0.2">
      <c r="S675" s="1"/>
      <c r="T675" s="117"/>
      <c r="W675" s="75" t="str">
        <f t="shared" si="21"/>
        <v>1w</v>
      </c>
      <c r="X675" s="148">
        <f>_xll.qlCalendarAdvance(Calendar,X674,W675,"f",FALSE)</f>
        <v>43643</v>
      </c>
      <c r="Y675" s="153">
        <f>_xll.qlCalendarAdvance(Calendar,X675,NDays&amp;"D")</f>
        <v>43643</v>
      </c>
      <c r="Z675" s="154">
        <v>2.4430030606044612E-2</v>
      </c>
      <c r="AA675" s="156">
        <v>2.4212442995354966E-2</v>
      </c>
    </row>
    <row r="676" spans="19:27" x14ac:dyDescent="0.2">
      <c r="S676" s="1"/>
      <c r="T676" s="117"/>
      <c r="W676" s="75" t="str">
        <f t="shared" si="21"/>
        <v>1w</v>
      </c>
      <c r="X676" s="148">
        <f>_xll.qlCalendarAdvance(Calendar,X675,W676,"f",FALSE)</f>
        <v>43650</v>
      </c>
      <c r="Y676" s="153">
        <f>_xll.qlCalendarAdvance(Calendar,X676,NDays&amp;"D")</f>
        <v>43650</v>
      </c>
      <c r="Z676" s="154">
        <v>2.4451718021546935E-2</v>
      </c>
      <c r="AA676" s="156">
        <v>2.4235276709404507E-2</v>
      </c>
    </row>
    <row r="677" spans="19:27" x14ac:dyDescent="0.2">
      <c r="S677" s="1"/>
      <c r="T677" s="117"/>
      <c r="W677" s="75" t="str">
        <f t="shared" si="21"/>
        <v>1w</v>
      </c>
      <c r="X677" s="148">
        <f>_xll.qlCalendarAdvance(Calendar,X676,W677,"f",FALSE)</f>
        <v>43657</v>
      </c>
      <c r="Y677" s="153">
        <f>_xll.qlCalendarAdvance(Calendar,X677,NDays&amp;"D")</f>
        <v>43657</v>
      </c>
      <c r="Z677" s="154">
        <v>2.4473208770139872E-2</v>
      </c>
      <c r="AA677" s="156">
        <v>2.4257913862638647E-2</v>
      </c>
    </row>
    <row r="678" spans="19:27" x14ac:dyDescent="0.2">
      <c r="S678" s="1"/>
      <c r="T678" s="117"/>
      <c r="W678" s="75" t="str">
        <f t="shared" si="21"/>
        <v>1w</v>
      </c>
      <c r="X678" s="148">
        <f>_xll.qlCalendarAdvance(Calendar,X677,W678,"f",FALSE)</f>
        <v>43664</v>
      </c>
      <c r="Y678" s="153">
        <f>_xll.qlCalendarAdvance(Calendar,X678,NDays&amp;"D")</f>
        <v>43664</v>
      </c>
      <c r="Z678" s="154">
        <v>2.4494520232785918E-2</v>
      </c>
      <c r="AA678" s="156">
        <v>2.4280354455057385E-2</v>
      </c>
    </row>
    <row r="679" spans="19:27" x14ac:dyDescent="0.2">
      <c r="S679" s="1"/>
      <c r="T679" s="117"/>
      <c r="W679" s="75" t="str">
        <f t="shared" si="21"/>
        <v>1w</v>
      </c>
      <c r="X679" s="148">
        <f>_xll.qlCalendarAdvance(Calendar,X678,W679,"f",FALSE)</f>
        <v>43671</v>
      </c>
      <c r="Y679" s="153">
        <f>_xll.qlCalendarAdvance(Calendar,X679,NDays&amp;"D")</f>
        <v>43671</v>
      </c>
      <c r="Z679" s="154">
        <v>2.4515683405185014E-2</v>
      </c>
      <c r="AA679" s="156">
        <v>2.4302598486741767E-2</v>
      </c>
    </row>
    <row r="680" spans="19:27" x14ac:dyDescent="0.2">
      <c r="S680" s="1"/>
      <c r="T680" s="117"/>
      <c r="W680" s="75" t="str">
        <f t="shared" si="21"/>
        <v>1w</v>
      </c>
      <c r="X680" s="148">
        <f>_xll.qlCalendarAdvance(Calendar,X679,W680,"f",FALSE)</f>
        <v>43678</v>
      </c>
      <c r="Y680" s="153">
        <f>_xll.qlCalendarAdvance(Calendar,X680,NDays&amp;"D")</f>
        <v>43678</v>
      </c>
      <c r="Z680" s="154">
        <v>2.4536729695808439E-2</v>
      </c>
      <c r="AA680" s="156">
        <v>2.4324645957610747E-2</v>
      </c>
    </row>
    <row r="681" spans="19:27" x14ac:dyDescent="0.2">
      <c r="S681" s="1"/>
      <c r="T681" s="117"/>
      <c r="W681" s="75" t="str">
        <f t="shared" si="21"/>
        <v>1w</v>
      </c>
      <c r="X681" s="148">
        <f>_xll.qlCalendarAdvance(Calendar,X680,W681,"f",FALSE)</f>
        <v>43685</v>
      </c>
      <c r="Y681" s="153">
        <f>_xll.qlCalendarAdvance(Calendar,X681,NDays&amp;"D")</f>
        <v>43685</v>
      </c>
      <c r="Z681" s="154">
        <v>2.4557690513803153E-2</v>
      </c>
      <c r="AA681" s="156">
        <v>2.4346496867502232E-2</v>
      </c>
    </row>
    <row r="682" spans="19:27" x14ac:dyDescent="0.2">
      <c r="S682" s="1"/>
      <c r="T682" s="117"/>
      <c r="W682" s="75" t="str">
        <f t="shared" si="21"/>
        <v>1w</v>
      </c>
      <c r="X682" s="148">
        <f>_xll.qlCalendarAdvance(Calendar,X681,W682,"f",FALSE)</f>
        <v>43692</v>
      </c>
      <c r="Y682" s="153">
        <f>_xll.qlCalendarAdvance(Calendar,X682,NDays&amp;"D")</f>
        <v>43692</v>
      </c>
      <c r="Z682" s="154">
        <v>2.4578597268982112E-2</v>
      </c>
      <c r="AA682" s="156">
        <v>2.4368151216578315E-2</v>
      </c>
    </row>
    <row r="683" spans="19:27" x14ac:dyDescent="0.2">
      <c r="S683" s="1"/>
      <c r="T683" s="117"/>
      <c r="W683" s="75" t="str">
        <f t="shared" si="21"/>
        <v>1w</v>
      </c>
      <c r="X683" s="148">
        <f>_xll.qlCalendarAdvance(Calendar,X682,W683,"f",FALSE)</f>
        <v>43699</v>
      </c>
      <c r="Y683" s="153">
        <f>_xll.qlCalendarAdvance(Calendar,X683,NDays&amp;"D")</f>
        <v>43699</v>
      </c>
      <c r="Z683" s="154">
        <v>2.4599481371818964E-2</v>
      </c>
      <c r="AA683" s="156">
        <v>2.4389609004514812E-2</v>
      </c>
    </row>
    <row r="684" spans="19:27" x14ac:dyDescent="0.2">
      <c r="S684" s="1"/>
      <c r="T684" s="117"/>
      <c r="W684" s="75" t="str">
        <f t="shared" si="21"/>
        <v>1w</v>
      </c>
      <c r="X684" s="148">
        <f>_xll.qlCalendarAdvance(Calendar,X683,W684,"f",FALSE)</f>
        <v>43706</v>
      </c>
      <c r="Y684" s="153">
        <f>_xll.qlCalendarAdvance(Calendar,X684,NDays&amp;"D")</f>
        <v>43706</v>
      </c>
      <c r="Z684" s="154">
        <v>2.4620374233448074E-2</v>
      </c>
      <c r="AA684" s="156">
        <v>2.4410870231635906E-2</v>
      </c>
    </row>
    <row r="685" spans="19:27" x14ac:dyDescent="0.2">
      <c r="S685" s="1"/>
      <c r="T685" s="117"/>
      <c r="W685" s="75" t="str">
        <f t="shared" si="21"/>
        <v>1w</v>
      </c>
      <c r="X685" s="148">
        <f>_xll.qlCalendarAdvance(Calendar,X684,W685,"f",FALSE)</f>
        <v>43713</v>
      </c>
      <c r="Y685" s="153">
        <f>_xll.qlCalendarAdvance(Calendar,X685,NDays&amp;"D")</f>
        <v>43713</v>
      </c>
      <c r="Z685" s="154">
        <v>2.4638964960712252E-2</v>
      </c>
      <c r="AA685" s="156">
        <v>2.443193489769846E-2</v>
      </c>
    </row>
    <row r="686" spans="19:27" x14ac:dyDescent="0.2">
      <c r="S686" s="1"/>
      <c r="T686" s="117"/>
      <c r="W686" s="75" t="str">
        <f t="shared" si="21"/>
        <v>1w</v>
      </c>
      <c r="X686" s="148">
        <f>_xll.qlCalendarAdvance(Calendar,X685,W686,"f",FALSE)</f>
        <v>43720</v>
      </c>
      <c r="Y686" s="153">
        <f>_xll.qlCalendarAdvance(Calendar,X686,NDays&amp;"D")</f>
        <v>43720</v>
      </c>
      <c r="Z686" s="154">
        <v>2.4659955667946733E-2</v>
      </c>
      <c r="AA686" s="156">
        <v>2.4452803002702472E-2</v>
      </c>
    </row>
    <row r="687" spans="19:27" x14ac:dyDescent="0.2">
      <c r="S687" s="1"/>
      <c r="T687" s="117"/>
      <c r="W687" s="75" t="str">
        <f t="shared" si="21"/>
        <v>1w</v>
      </c>
      <c r="X687" s="148">
        <f>_xll.qlCalendarAdvance(Calendar,X686,W687,"f",FALSE)</f>
        <v>43727</v>
      </c>
      <c r="Y687" s="153">
        <f>_xll.qlCalendarAdvance(Calendar,X687,NDays&amp;"D")</f>
        <v>43727</v>
      </c>
      <c r="Z687" s="154">
        <v>2.4681048130287448E-2</v>
      </c>
      <c r="AA687" s="156">
        <v>2.4473474546647944E-2</v>
      </c>
    </row>
    <row r="688" spans="19:27" x14ac:dyDescent="0.2">
      <c r="S688" s="1"/>
      <c r="T688" s="117"/>
      <c r="W688" s="75" t="str">
        <f t="shared" si="21"/>
        <v>1w</v>
      </c>
      <c r="X688" s="148">
        <f>_xll.qlCalendarAdvance(Calendar,X687,W688,"f",FALSE)</f>
        <v>43734</v>
      </c>
      <c r="Y688" s="153">
        <f>_xll.qlCalendarAdvance(Calendar,X688,NDays&amp;"D")</f>
        <v>43734</v>
      </c>
      <c r="Z688" s="154">
        <v>2.4704661513619539E-2</v>
      </c>
      <c r="AA688" s="156">
        <v>2.4493949529372783E-2</v>
      </c>
    </row>
    <row r="689" spans="19:27" x14ac:dyDescent="0.2">
      <c r="S689" s="1"/>
      <c r="T689" s="117"/>
      <c r="W689" s="75" t="str">
        <f t="shared" si="21"/>
        <v>1w</v>
      </c>
      <c r="X689" s="148">
        <f>_xll.qlCalendarAdvance(Calendar,X688,W689,"f",FALSE)</f>
        <v>43741</v>
      </c>
      <c r="Y689" s="153">
        <f>_xll.qlCalendarAdvance(Calendar,X689,NDays&amp;"D")</f>
        <v>43741</v>
      </c>
      <c r="Z689" s="154">
        <v>2.4726069359341095E-2</v>
      </c>
      <c r="AA689" s="156">
        <v>2.451422795103908E-2</v>
      </c>
    </row>
    <row r="690" spans="19:27" x14ac:dyDescent="0.2">
      <c r="S690" s="1"/>
      <c r="T690" s="117"/>
      <c r="W690" s="75" t="str">
        <f t="shared" si="21"/>
        <v>1w</v>
      </c>
      <c r="X690" s="148">
        <f>_xll.qlCalendarAdvance(Calendar,X689,W690,"f",FALSE)</f>
        <v>43748</v>
      </c>
      <c r="Y690" s="153">
        <f>_xll.qlCalendarAdvance(Calendar,X690,NDays&amp;"D")</f>
        <v>43748</v>
      </c>
      <c r="Z690" s="154">
        <v>2.4747674032500933E-2</v>
      </c>
      <c r="AA690" s="156">
        <v>2.4534361450122555E-2</v>
      </c>
    </row>
    <row r="691" spans="19:27" x14ac:dyDescent="0.2">
      <c r="S691" s="1"/>
      <c r="T691" s="117"/>
      <c r="W691" s="75" t="str">
        <f t="shared" si="21"/>
        <v>1w</v>
      </c>
      <c r="X691" s="148">
        <f>_xll.qlCalendarAdvance(Calendar,X690,W691,"f",FALSE)</f>
        <v>43755</v>
      </c>
      <c r="Y691" s="153">
        <f>_xll.qlCalendarAdvance(Calendar,X691,NDays&amp;"D")</f>
        <v>43755</v>
      </c>
      <c r="Z691" s="154">
        <v>2.4769492921631463E-2</v>
      </c>
      <c r="AA691" s="156">
        <v>2.4554657067540342E-2</v>
      </c>
    </row>
    <row r="692" spans="19:27" x14ac:dyDescent="0.2">
      <c r="S692" s="1"/>
      <c r="T692" s="117"/>
      <c r="W692" s="75" t="str">
        <f t="shared" si="21"/>
        <v>1w</v>
      </c>
      <c r="X692" s="148">
        <f>_xll.qlCalendarAdvance(Calendar,X691,W692,"f",FALSE)</f>
        <v>43762</v>
      </c>
      <c r="Y692" s="153">
        <f>_xll.qlCalendarAdvance(Calendar,X692,NDays&amp;"D")</f>
        <v>43762</v>
      </c>
      <c r="Z692" s="154">
        <v>2.4791527007123105E-2</v>
      </c>
      <c r="AA692" s="156">
        <v>2.4575166441930252E-2</v>
      </c>
    </row>
    <row r="693" spans="19:27" x14ac:dyDescent="0.2">
      <c r="S693" s="1"/>
      <c r="T693" s="117"/>
      <c r="W693" s="75" t="str">
        <f t="shared" si="21"/>
        <v>1w</v>
      </c>
      <c r="X693" s="148">
        <f>_xll.qlCalendarAdvance(Calendar,X692,W693,"f",FALSE)</f>
        <v>43769</v>
      </c>
      <c r="Y693" s="153">
        <f>_xll.qlCalendarAdvance(Calendar,X693,NDays&amp;"D")</f>
        <v>43769</v>
      </c>
      <c r="Z693" s="154">
        <v>2.4813776292539263E-2</v>
      </c>
      <c r="AA693" s="156">
        <v>2.4595889573373331E-2</v>
      </c>
    </row>
    <row r="694" spans="19:27" x14ac:dyDescent="0.2">
      <c r="S694" s="1"/>
      <c r="T694" s="117"/>
      <c r="W694" s="75" t="str">
        <f t="shared" si="21"/>
        <v>1w</v>
      </c>
      <c r="X694" s="148">
        <f>_xll.qlCalendarAdvance(Calendar,X693,W694,"f",FALSE)</f>
        <v>43776</v>
      </c>
      <c r="Y694" s="153">
        <f>_xll.qlCalendarAdvance(Calendar,X694,NDays&amp;"D")</f>
        <v>43776</v>
      </c>
      <c r="Z694" s="154">
        <v>2.4836240781475914E-2</v>
      </c>
      <c r="AA694" s="156">
        <v>2.4616826461950625E-2</v>
      </c>
    </row>
    <row r="695" spans="19:27" x14ac:dyDescent="0.2">
      <c r="S695" s="1"/>
      <c r="T695" s="117"/>
      <c r="W695" s="75" t="str">
        <f t="shared" si="21"/>
        <v>1w</v>
      </c>
      <c r="X695" s="148">
        <f>_xll.qlCalendarAdvance(Calendar,X694,W695,"f",FALSE)</f>
        <v>43783</v>
      </c>
      <c r="Y695" s="153">
        <f>_xll.qlCalendarAdvance(Calendar,X695,NDays&amp;"D")</f>
        <v>43783</v>
      </c>
      <c r="Z695" s="154">
        <v>2.4858920477564293E-2</v>
      </c>
      <c r="AA695" s="156">
        <v>2.4637977107662135E-2</v>
      </c>
    </row>
    <row r="696" spans="19:27" x14ac:dyDescent="0.2">
      <c r="S696" s="1"/>
      <c r="T696" s="117"/>
      <c r="W696" s="75" t="str">
        <f t="shared" si="21"/>
        <v>1w</v>
      </c>
      <c r="X696" s="148">
        <f>_xll.qlCalendarAdvance(Calendar,X695,W696,"f",FALSE)</f>
        <v>43790</v>
      </c>
      <c r="Y696" s="153">
        <f>_xll.qlCalendarAdvance(Calendar,X696,NDays&amp;"D")</f>
        <v>43790</v>
      </c>
      <c r="Z696" s="154">
        <v>2.4881815384470863E-2</v>
      </c>
      <c r="AA696" s="156">
        <v>2.4659341510345767E-2</v>
      </c>
    </row>
    <row r="697" spans="19:27" x14ac:dyDescent="0.2">
      <c r="S697" s="1"/>
      <c r="T697" s="117"/>
      <c r="W697" s="75" t="str">
        <f t="shared" si="21"/>
        <v>1w</v>
      </c>
      <c r="X697" s="148">
        <f>_xll.qlCalendarAdvance(Calendar,X696,W697,"f",FALSE)</f>
        <v>43797</v>
      </c>
      <c r="Y697" s="153">
        <f>_xll.qlCalendarAdvance(Calendar,X697,NDays&amp;"D")</f>
        <v>43797</v>
      </c>
      <c r="Z697" s="154">
        <v>2.4904925505897318E-2</v>
      </c>
      <c r="AA697" s="156">
        <v>2.4680919670325707E-2</v>
      </c>
    </row>
    <row r="698" spans="19:27" x14ac:dyDescent="0.2">
      <c r="S698" s="1"/>
      <c r="T698" s="117"/>
      <c r="W698" s="75" t="str">
        <f t="shared" si="21"/>
        <v>1w</v>
      </c>
      <c r="X698" s="148">
        <f>_xll.qlCalendarAdvance(Calendar,X697,W698,"f",FALSE)</f>
        <v>43804</v>
      </c>
      <c r="Y698" s="153">
        <f>_xll.qlCalendarAdvance(Calendar,X698,NDays&amp;"D")</f>
        <v>43804</v>
      </c>
      <c r="Z698" s="154">
        <v>2.4925694798386907E-2</v>
      </c>
      <c r="AA698" s="156">
        <v>2.4702711587601955E-2</v>
      </c>
    </row>
    <row r="699" spans="19:27" x14ac:dyDescent="0.2">
      <c r="S699" s="1"/>
      <c r="T699" s="117"/>
      <c r="W699" s="75" t="str">
        <f t="shared" si="21"/>
        <v>1w</v>
      </c>
      <c r="X699" s="148">
        <f>_xll.qlCalendarAdvance(Calendar,X698,W699,"f",FALSE)</f>
        <v>43811</v>
      </c>
      <c r="Y699" s="153">
        <f>_xll.qlCalendarAdvance(Calendar,X699,NDays&amp;"D")</f>
        <v>43811</v>
      </c>
      <c r="Z699" s="154">
        <v>2.494921838451674E-2</v>
      </c>
      <c r="AA699" s="156">
        <v>2.4724717262012419E-2</v>
      </c>
    </row>
    <row r="700" spans="19:27" x14ac:dyDescent="0.2">
      <c r="S700" s="1"/>
      <c r="T700" s="117"/>
      <c r="W700" s="75" t="str">
        <f t="shared" si="21"/>
        <v>1w</v>
      </c>
      <c r="X700" s="148">
        <f>_xll.qlCalendarAdvance(Calendar,X699,W700,"f",FALSE)</f>
        <v>43818</v>
      </c>
      <c r="Y700" s="153">
        <f>_xll.qlCalendarAdvance(Calendar,X700,NDays&amp;"D")</f>
        <v>43818</v>
      </c>
      <c r="Z700" s="154">
        <v>2.4972957180018816E-2</v>
      </c>
      <c r="AA700" s="156">
        <v>2.4746936693800237E-2</v>
      </c>
    </row>
    <row r="701" spans="19:27" x14ac:dyDescent="0.2">
      <c r="S701" s="1"/>
      <c r="T701" s="117"/>
      <c r="W701" s="75" t="str">
        <f t="shared" si="21"/>
        <v>1w</v>
      </c>
      <c r="X701" s="148">
        <f>_xll.qlCalendarAdvance(Calendar,X700,W701,"f",FALSE)</f>
        <v>43826</v>
      </c>
      <c r="Y701" s="153">
        <f>_xll.qlCalendarAdvance(Calendar,X701,NDays&amp;"D")</f>
        <v>43826</v>
      </c>
      <c r="Z701" s="154">
        <v>2.5000350758569653E-2</v>
      </c>
      <c r="AA701" s="156">
        <v>2.4777501876159794E-2</v>
      </c>
    </row>
    <row r="702" spans="19:27" x14ac:dyDescent="0.2">
      <c r="S702" s="1"/>
      <c r="T702" s="117"/>
      <c r="W702" s="75" t="str">
        <f t="shared" si="21"/>
        <v>1w</v>
      </c>
      <c r="X702" s="148">
        <f>_xll.qlCalendarAdvance(Calendar,X701,W702,"f",FALSE)</f>
        <v>43833</v>
      </c>
      <c r="Y702" s="153">
        <f>_xll.qlCalendarAdvance(Calendar,X702,NDays&amp;"D")</f>
        <v>43833</v>
      </c>
      <c r="Z702" s="154">
        <v>2.5024550729834349E-2</v>
      </c>
      <c r="AA702" s="156">
        <v>2.4800212980532109E-2</v>
      </c>
    </row>
    <row r="703" spans="19:27" x14ac:dyDescent="0.2">
      <c r="S703" s="1"/>
      <c r="T703" s="117"/>
      <c r="W703" s="75" t="str">
        <f t="shared" si="21"/>
        <v>1w</v>
      </c>
      <c r="X703" s="148">
        <f>_xll.qlCalendarAdvance(Calendar,X702,W703,"f",FALSE)</f>
        <v>43840</v>
      </c>
      <c r="Y703" s="153">
        <f>_xll.qlCalendarAdvance(Calendar,X703,NDays&amp;"D")</f>
        <v>43840</v>
      </c>
      <c r="Z703" s="154">
        <v>2.5059550513715351E-2</v>
      </c>
      <c r="AA703" s="156">
        <v>2.4823137874214012E-2</v>
      </c>
    </row>
    <row r="704" spans="19:27" x14ac:dyDescent="0.2">
      <c r="S704" s="1"/>
      <c r="T704" s="117"/>
      <c r="W704" s="75" t="str">
        <f t="shared" si="21"/>
        <v>1w</v>
      </c>
      <c r="X704" s="148">
        <f>_xll.qlCalendarAdvance(Calendar,X703,W704,"f",FALSE)</f>
        <v>43847</v>
      </c>
      <c r="Y704" s="153">
        <f>_xll.qlCalendarAdvance(Calendar,X704,NDays&amp;"D")</f>
        <v>43847</v>
      </c>
      <c r="Z704" s="154">
        <v>2.5073596340519099E-2</v>
      </c>
      <c r="AA704" s="156">
        <v>2.48462765573676E-2</v>
      </c>
    </row>
    <row r="705" spans="19:27" x14ac:dyDescent="0.2">
      <c r="S705" s="1"/>
      <c r="T705" s="117"/>
      <c r="W705" s="75" t="str">
        <f t="shared" si="21"/>
        <v>1w</v>
      </c>
      <c r="X705" s="148">
        <f>_xll.qlCalendarAdvance(Calendar,X704,W705,"f",FALSE)</f>
        <v>43854</v>
      </c>
      <c r="Y705" s="153">
        <f>_xll.qlCalendarAdvance(Calendar,X705,NDays&amp;"D")</f>
        <v>43854</v>
      </c>
      <c r="Z705" s="154">
        <v>2.5098441987781054E-2</v>
      </c>
      <c r="AA705" s="156">
        <v>2.4869629030073913E-2</v>
      </c>
    </row>
    <row r="706" spans="19:27" x14ac:dyDescent="0.2">
      <c r="S706" s="1"/>
      <c r="T706" s="117"/>
      <c r="W706" s="75" t="str">
        <f t="shared" si="21"/>
        <v>1w</v>
      </c>
      <c r="X706" s="148">
        <f>_xll.qlCalendarAdvance(Calendar,X705,W706,"f",FALSE)</f>
        <v>43861</v>
      </c>
      <c r="Y706" s="153">
        <f>_xll.qlCalendarAdvance(Calendar,X706,NDays&amp;"D")</f>
        <v>43861</v>
      </c>
      <c r="Z706" s="154">
        <v>2.5120809864728127E-2</v>
      </c>
      <c r="AA706" s="156">
        <v>2.4893195292495045E-2</v>
      </c>
    </row>
    <row r="707" spans="19:27" x14ac:dyDescent="0.2">
      <c r="S707" s="1"/>
      <c r="T707" s="117"/>
      <c r="W707" s="75" t="str">
        <f t="shared" si="21"/>
        <v>1w</v>
      </c>
      <c r="X707" s="148">
        <f>_xll.qlCalendarAdvance(Calendar,X706,W707,"f",FALSE)</f>
        <v>43868</v>
      </c>
      <c r="Y707" s="153">
        <f>_xll.qlCalendarAdvance(Calendar,X707,NDays&amp;"D")</f>
        <v>43868</v>
      </c>
      <c r="Z707" s="154">
        <v>2.5146068874036847E-2</v>
      </c>
      <c r="AA707" s="156">
        <v>2.4916975344739061E-2</v>
      </c>
    </row>
    <row r="708" spans="19:27" x14ac:dyDescent="0.2">
      <c r="S708" s="1"/>
      <c r="T708" s="117"/>
      <c r="W708" s="75" t="str">
        <f t="shared" si="21"/>
        <v>1w</v>
      </c>
      <c r="X708" s="148">
        <f>_xll.qlCalendarAdvance(Calendar,X707,W708,"f",FALSE)</f>
        <v>43875</v>
      </c>
      <c r="Y708" s="153">
        <f>_xll.qlCalendarAdvance(Calendar,X708,NDays&amp;"D")</f>
        <v>43875</v>
      </c>
      <c r="Z708" s="154">
        <v>2.5171543107801085E-2</v>
      </c>
      <c r="AA708" s="156">
        <v>2.4940969186914023E-2</v>
      </c>
    </row>
    <row r="709" spans="19:27" x14ac:dyDescent="0.2">
      <c r="S709" s="1"/>
      <c r="T709" s="117"/>
      <c r="W709" s="75" t="str">
        <f t="shared" si="21"/>
        <v>1w</v>
      </c>
      <c r="X709" s="148">
        <f>_xll.qlCalendarAdvance(Calendar,X708,W709,"f",FALSE)</f>
        <v>43882</v>
      </c>
      <c r="Y709" s="153">
        <f>_xll.qlCalendarAdvance(Calendar,X709,NDays&amp;"D")</f>
        <v>43882</v>
      </c>
      <c r="Z709" s="154">
        <v>2.5197232570048838E-2</v>
      </c>
      <c r="AA709" s="156">
        <v>2.4965176819155003E-2</v>
      </c>
    </row>
    <row r="710" spans="19:27" x14ac:dyDescent="0.2">
      <c r="S710" s="1"/>
      <c r="T710" s="117"/>
      <c r="W710" s="75" t="str">
        <f t="shared" si="21"/>
        <v>1w</v>
      </c>
      <c r="X710" s="148">
        <f>_xll.qlCalendarAdvance(Calendar,X709,W710,"f",FALSE)</f>
        <v>43889</v>
      </c>
      <c r="Y710" s="153">
        <f>_xll.qlCalendarAdvance(Calendar,X710,NDays&amp;"D")</f>
        <v>43889</v>
      </c>
      <c r="Z710" s="154">
        <v>2.5225898803238115E-2</v>
      </c>
      <c r="AA710" s="156">
        <v>2.4989598241624094E-2</v>
      </c>
    </row>
    <row r="711" spans="19:27" x14ac:dyDescent="0.2">
      <c r="S711" s="1"/>
      <c r="T711" s="117"/>
      <c r="W711" s="75" t="str">
        <f t="shared" si="21"/>
        <v>1w</v>
      </c>
      <c r="X711" s="148">
        <f>_xll.qlCalendarAdvance(Calendar,X710,W711,"f",FALSE)</f>
        <v>43896</v>
      </c>
      <c r="Y711" s="153">
        <f>_xll.qlCalendarAdvance(Calendar,X711,NDays&amp;"D")</f>
        <v>43896</v>
      </c>
      <c r="Z711" s="154">
        <v>2.5260382659444507E-2</v>
      </c>
      <c r="AA711" s="156">
        <v>2.5014233454402349E-2</v>
      </c>
    </row>
    <row r="712" spans="19:27" x14ac:dyDescent="0.2">
      <c r="S712" s="1"/>
      <c r="T712" s="117"/>
      <c r="W712" s="75" t="str">
        <f t="shared" si="21"/>
        <v>1w</v>
      </c>
      <c r="X712" s="148">
        <f>_xll.qlCalendarAdvance(Calendar,X711,W712,"f",FALSE)</f>
        <v>43903</v>
      </c>
      <c r="Y712" s="153">
        <f>_xll.qlCalendarAdvance(Calendar,X712,NDays&amp;"D")</f>
        <v>43903</v>
      </c>
      <c r="Z712" s="154">
        <v>2.528678661907827E-2</v>
      </c>
      <c r="AA712" s="156">
        <v>2.5039082457678868E-2</v>
      </c>
    </row>
    <row r="713" spans="19:27" x14ac:dyDescent="0.2">
      <c r="S713" s="1"/>
      <c r="T713" s="117"/>
      <c r="W713" s="75" t="str">
        <f t="shared" si="21"/>
        <v>1w</v>
      </c>
      <c r="X713" s="148">
        <f>_xll.qlCalendarAdvance(Calendar,X712,W713,"f",FALSE)</f>
        <v>43910</v>
      </c>
      <c r="Y713" s="153">
        <f>_xll.qlCalendarAdvance(Calendar,X713,NDays&amp;"D")</f>
        <v>43910</v>
      </c>
      <c r="Z713" s="154">
        <v>2.5313405891970186E-2</v>
      </c>
      <c r="AA713" s="156">
        <v>2.5064145251507689E-2</v>
      </c>
    </row>
    <row r="714" spans="19:27" x14ac:dyDescent="0.2">
      <c r="S714" s="1"/>
      <c r="T714" s="117"/>
      <c r="W714" s="75" t="str">
        <f t="shared" si="21"/>
        <v>1w</v>
      </c>
      <c r="X714" s="148">
        <f>_xll.qlCalendarAdvance(Calendar,X713,W714,"f",FALSE)</f>
        <v>43917</v>
      </c>
      <c r="Y714" s="153">
        <f>_xll.qlCalendarAdvance(Calendar,X714,NDays&amp;"D")</f>
        <v>43917</v>
      </c>
      <c r="Z714" s="154">
        <v>2.5340240482518317E-2</v>
      </c>
      <c r="AA714" s="156">
        <v>2.5089421836050899E-2</v>
      </c>
    </row>
    <row r="715" spans="19:27" x14ac:dyDescent="0.2">
      <c r="S715" s="1"/>
      <c r="T715" s="117"/>
      <c r="W715" s="75" t="str">
        <f t="shared" si="21"/>
        <v>1w</v>
      </c>
      <c r="X715" s="148">
        <f>_xll.qlCalendarAdvance(Calendar,X714,W715,"f",FALSE)</f>
        <v>43924</v>
      </c>
      <c r="Y715" s="153">
        <f>_xll.qlCalendarAdvance(Calendar,X715,NDays&amp;"D")</f>
        <v>43924</v>
      </c>
      <c r="Z715" s="154">
        <v>2.5358736960754205E-2</v>
      </c>
      <c r="AA715" s="156">
        <v>2.5114912211470591E-2</v>
      </c>
    </row>
    <row r="716" spans="19:27" x14ac:dyDescent="0.2">
      <c r="S716" s="1"/>
      <c r="T716" s="117"/>
      <c r="W716" s="75" t="str">
        <f t="shared" si="21"/>
        <v>1w</v>
      </c>
      <c r="X716" s="148">
        <f>_xll.qlCalendarAdvance(Calendar,X715,W716,"f",FALSE)</f>
        <v>43935</v>
      </c>
      <c r="Y716" s="153">
        <f>_xll.qlCalendarAdvance(Calendar,X716,NDays&amp;"D")</f>
        <v>43935</v>
      </c>
      <c r="Z716" s="154">
        <v>2.5401597591864004E-2</v>
      </c>
      <c r="AA716" s="156">
        <v>2.5149963468024117E-2</v>
      </c>
    </row>
    <row r="717" spans="19:27" x14ac:dyDescent="0.2">
      <c r="S717" s="1"/>
      <c r="T717" s="117"/>
      <c r="W717" s="75" t="str">
        <f t="shared" si="21"/>
        <v>1w</v>
      </c>
      <c r="X717" s="148">
        <f>_xll.qlCalendarAdvance(Calendar,X716,W717,"f",FALSE)</f>
        <v>43942</v>
      </c>
      <c r="Y717" s="153">
        <f>_xll.qlCalendarAdvance(Calendar,X717,NDays&amp;"D")</f>
        <v>43942</v>
      </c>
      <c r="Z717" s="154">
        <v>2.5429149328632827E-2</v>
      </c>
      <c r="AA717" s="156">
        <v>2.5175969464555914E-2</v>
      </c>
    </row>
    <row r="718" spans="19:27" x14ac:dyDescent="0.2">
      <c r="S718" s="1"/>
      <c r="T718" s="117"/>
      <c r="W718" s="75" t="str">
        <f t="shared" si="21"/>
        <v>1w</v>
      </c>
      <c r="X718" s="148">
        <f>_xll.qlCalendarAdvance(Calendar,X717,W718,"f",FALSE)</f>
        <v>43949</v>
      </c>
      <c r="Y718" s="153">
        <f>_xll.qlCalendarAdvance(Calendar,X718,NDays&amp;"D")</f>
        <v>43949</v>
      </c>
      <c r="Z718" s="154">
        <v>2.5456916351516708E-2</v>
      </c>
      <c r="AA718" s="156">
        <v>2.5202189219194482E-2</v>
      </c>
    </row>
    <row r="719" spans="19:27" x14ac:dyDescent="0.2">
      <c r="S719" s="1"/>
      <c r="T719" s="117"/>
      <c r="W719" s="75" t="str">
        <f t="shared" si="21"/>
        <v>1w</v>
      </c>
      <c r="X719" s="148">
        <f>_xll.qlCalendarAdvance(Calendar,X718,W719,"f",FALSE)</f>
        <v>43956</v>
      </c>
      <c r="Y719" s="153">
        <f>_xll.qlCalendarAdvance(Calendar,X719,NDays&amp;"D")</f>
        <v>43956</v>
      </c>
      <c r="Z719" s="154">
        <v>2.5487827095047162E-2</v>
      </c>
      <c r="AA719" s="156">
        <v>2.522862273193982E-2</v>
      </c>
    </row>
    <row r="720" spans="19:27" x14ac:dyDescent="0.2">
      <c r="S720" s="1"/>
      <c r="T720" s="117"/>
      <c r="W720" s="75" t="str">
        <f t="shared" si="21"/>
        <v>1w</v>
      </c>
      <c r="X720" s="148">
        <f>_xll.qlCalendarAdvance(Calendar,X719,W720,"f",FALSE)</f>
        <v>43963</v>
      </c>
      <c r="Y720" s="153">
        <f>_xll.qlCalendarAdvance(Calendar,X720,NDays&amp;"D")</f>
        <v>43963</v>
      </c>
      <c r="Z720" s="154">
        <v>2.551604204709336E-2</v>
      </c>
      <c r="AA720" s="156">
        <v>2.5255270002872976E-2</v>
      </c>
    </row>
    <row r="721" spans="19:27" x14ac:dyDescent="0.2">
      <c r="S721" s="1"/>
      <c r="T721" s="117"/>
      <c r="W721" s="75" t="str">
        <f t="shared" si="21"/>
        <v>1w</v>
      </c>
      <c r="X721" s="148">
        <f>_xll.qlCalendarAdvance(Calendar,X720,W721,"f",FALSE)</f>
        <v>43970</v>
      </c>
      <c r="Y721" s="153">
        <f>_xll.qlCalendarAdvance(Calendar,X721,NDays&amp;"D")</f>
        <v>43970</v>
      </c>
      <c r="Z721" s="154">
        <v>2.5544472316191797E-2</v>
      </c>
      <c r="AA721" s="156">
        <v>2.5282131032074995E-2</v>
      </c>
    </row>
    <row r="722" spans="19:27" x14ac:dyDescent="0.2">
      <c r="S722" s="1"/>
      <c r="T722" s="117"/>
      <c r="W722" s="75" t="str">
        <f t="shared" si="21"/>
        <v>1w</v>
      </c>
      <c r="X722" s="148">
        <f>_xll.qlCalendarAdvance(Calendar,X721,W722,"f",FALSE)</f>
        <v>43977</v>
      </c>
      <c r="Y722" s="153">
        <f>_xll.qlCalendarAdvance(Calendar,X722,NDays&amp;"D")</f>
        <v>43977</v>
      </c>
      <c r="Z722" s="154">
        <v>2.5573117906940095E-2</v>
      </c>
      <c r="AA722" s="156">
        <v>2.5309205819545877E-2</v>
      </c>
    </row>
    <row r="723" spans="19:27" x14ac:dyDescent="0.2">
      <c r="S723" s="1"/>
      <c r="T723" s="117"/>
      <c r="W723" s="75" t="str">
        <f t="shared" si="21"/>
        <v>1w</v>
      </c>
      <c r="X723" s="148">
        <f>_xll.qlCalendarAdvance(Calendar,X722,W723,"f",FALSE)</f>
        <v>43984</v>
      </c>
      <c r="Y723" s="153">
        <f>_xll.qlCalendarAdvance(Calendar,X723,NDays&amp;"D")</f>
        <v>43984</v>
      </c>
      <c r="Z723" s="154">
        <v>2.5601978823966694E-2</v>
      </c>
      <c r="AA723" s="156">
        <v>2.5336494365366669E-2</v>
      </c>
    </row>
    <row r="724" spans="19:27" x14ac:dyDescent="0.2">
      <c r="S724" s="1"/>
      <c r="T724" s="117"/>
      <c r="W724" s="75" t="str">
        <f t="shared" si="21"/>
        <v>1w</v>
      </c>
      <c r="X724" s="148">
        <f>_xll.qlCalendarAdvance(Calendar,X723,W724,"f",FALSE)</f>
        <v>43991</v>
      </c>
      <c r="Y724" s="153">
        <f>_xll.qlCalendarAdvance(Calendar,X724,NDays&amp;"D")</f>
        <v>43991</v>
      </c>
      <c r="Z724" s="154">
        <v>2.5631055071940575E-2</v>
      </c>
      <c r="AA724" s="156">
        <v>2.536399666953737E-2</v>
      </c>
    </row>
    <row r="725" spans="19:27" x14ac:dyDescent="0.2">
      <c r="S725" s="1"/>
      <c r="T725" s="117"/>
      <c r="W725" s="75" t="str">
        <f t="shared" ref="W725:W788" si="22">W724</f>
        <v>1w</v>
      </c>
      <c r="X725" s="148">
        <f>_xll.qlCalendarAdvance(Calendar,X724,W725,"f",FALSE)</f>
        <v>43998</v>
      </c>
      <c r="Y725" s="153">
        <f>_xll.qlCalendarAdvance(Calendar,X725,NDays&amp;"D")</f>
        <v>43998</v>
      </c>
      <c r="Z725" s="154">
        <v>2.5660346655560651E-2</v>
      </c>
      <c r="AA725" s="156">
        <v>2.5391712732139027E-2</v>
      </c>
    </row>
    <row r="726" spans="19:27" x14ac:dyDescent="0.2">
      <c r="S726" s="1"/>
      <c r="T726" s="117"/>
      <c r="W726" s="75" t="str">
        <f t="shared" si="22"/>
        <v>1w</v>
      </c>
      <c r="X726" s="148">
        <f>_xll.qlCalendarAdvance(Calendar,X725,W726,"f",FALSE)</f>
        <v>44005</v>
      </c>
      <c r="Y726" s="153">
        <f>_xll.qlCalendarAdvance(Calendar,X726,NDays&amp;"D")</f>
        <v>44005</v>
      </c>
      <c r="Z726" s="154">
        <v>2.5689853579562848E-2</v>
      </c>
      <c r="AA726" s="156">
        <v>2.541964255317164E-2</v>
      </c>
    </row>
    <row r="727" spans="19:27" x14ac:dyDescent="0.2">
      <c r="S727" s="1"/>
      <c r="T727" s="117"/>
      <c r="W727" s="75" t="str">
        <f t="shared" si="22"/>
        <v>1w</v>
      </c>
      <c r="X727" s="148">
        <f>_xll.qlCalendarAdvance(Calendar,X726,W727,"f",FALSE)</f>
        <v>44012</v>
      </c>
      <c r="Y727" s="153">
        <f>_xll.qlCalendarAdvance(Calendar,X727,NDays&amp;"D")</f>
        <v>44012</v>
      </c>
      <c r="Z727" s="154">
        <v>2.5719575848719204E-2</v>
      </c>
      <c r="AA727" s="156">
        <v>2.5447786132797301E-2</v>
      </c>
    </row>
    <row r="728" spans="19:27" x14ac:dyDescent="0.2">
      <c r="S728" s="1"/>
      <c r="T728" s="117"/>
      <c r="W728" s="75" t="str">
        <f t="shared" si="22"/>
        <v>1w</v>
      </c>
      <c r="X728" s="148">
        <f>_xll.qlCalendarAdvance(Calendar,X727,W728,"f",FALSE)</f>
        <v>44019</v>
      </c>
      <c r="Y728" s="153">
        <f>_xll.qlCalendarAdvance(Calendar,X728,NDays&amp;"D")</f>
        <v>44019</v>
      </c>
      <c r="Z728" s="154">
        <v>2.5749513467833475E-2</v>
      </c>
      <c r="AA728" s="156">
        <v>2.5476143471016011E-2</v>
      </c>
    </row>
    <row r="729" spans="19:27" x14ac:dyDescent="0.2">
      <c r="S729" s="1"/>
      <c r="T729" s="117"/>
      <c r="W729" s="75" t="str">
        <f t="shared" si="22"/>
        <v>1w</v>
      </c>
      <c r="X729" s="148">
        <f>_xll.qlCalendarAdvance(Calendar,X728,W729,"f",FALSE)</f>
        <v>44026</v>
      </c>
      <c r="Y729" s="153">
        <f>_xll.qlCalendarAdvance(Calendar,X729,NDays&amp;"D")</f>
        <v>44026</v>
      </c>
      <c r="Z729" s="154">
        <v>2.5779659289228016E-2</v>
      </c>
      <c r="AA729" s="156">
        <v>2.5504714567827769E-2</v>
      </c>
    </row>
    <row r="730" spans="19:27" x14ac:dyDescent="0.2">
      <c r="S730" s="1"/>
      <c r="T730" s="117"/>
      <c r="W730" s="75" t="str">
        <f t="shared" si="22"/>
        <v>1w</v>
      </c>
      <c r="X730" s="148">
        <f>_xll.qlCalendarAdvance(Calendar,X729,W730,"f",FALSE)</f>
        <v>44033</v>
      </c>
      <c r="Y730" s="153">
        <f>_xll.qlCalendarAdvance(Calendar,X730,NDays&amp;"D")</f>
        <v>44033</v>
      </c>
      <c r="Z730" s="154">
        <v>2.580997755474549E-2</v>
      </c>
      <c r="AA730" s="156">
        <v>2.5533499423232575E-2</v>
      </c>
    </row>
    <row r="731" spans="19:27" x14ac:dyDescent="0.2">
      <c r="S731" s="1"/>
      <c r="T731" s="117"/>
      <c r="W731" s="75" t="str">
        <f t="shared" si="22"/>
        <v>1w</v>
      </c>
      <c r="X731" s="148">
        <f>_xll.qlCalendarAdvance(Calendar,X730,W731,"f",FALSE)</f>
        <v>44040</v>
      </c>
      <c r="Y731" s="153">
        <f>_xll.qlCalendarAdvance(Calendar,X731,NDays&amp;"D")</f>
        <v>44040</v>
      </c>
      <c r="Z731" s="154">
        <v>2.5840425352540271E-2</v>
      </c>
      <c r="AA731" s="156">
        <v>2.5562498037473569E-2</v>
      </c>
    </row>
    <row r="732" spans="19:27" x14ac:dyDescent="0.2">
      <c r="S732" s="1"/>
      <c r="T732" s="117"/>
      <c r="W732" s="75" t="str">
        <f t="shared" si="22"/>
        <v>1w</v>
      </c>
      <c r="X732" s="148">
        <f>_xll.qlCalendarAdvance(Calendar,X731,W732,"f",FALSE)</f>
        <v>44047</v>
      </c>
      <c r="Y732" s="153">
        <f>_xll.qlCalendarAdvance(Calendar,X732,NDays&amp;"D")</f>
        <v>44047</v>
      </c>
      <c r="Z732" s="154">
        <v>2.5870959769476162E-2</v>
      </c>
      <c r="AA732" s="156">
        <v>2.5591710410469704E-2</v>
      </c>
    </row>
    <row r="733" spans="19:27" x14ac:dyDescent="0.2">
      <c r="S733" s="1"/>
      <c r="T733" s="117"/>
      <c r="W733" s="75" t="str">
        <f t="shared" si="22"/>
        <v>1w</v>
      </c>
      <c r="X733" s="148">
        <f>_xll.qlCalendarAdvance(Calendar,X732,W733,"f",FALSE)</f>
        <v>44054</v>
      </c>
      <c r="Y733" s="153">
        <f>_xll.qlCalendarAdvance(Calendar,X733,NDays&amp;"D")</f>
        <v>44054</v>
      </c>
      <c r="Z733" s="154">
        <v>2.5901537891107895E-2</v>
      </c>
      <c r="AA733" s="156">
        <v>2.5621136542302025E-2</v>
      </c>
    </row>
    <row r="734" spans="19:27" x14ac:dyDescent="0.2">
      <c r="S734" s="1"/>
      <c r="T734" s="117"/>
      <c r="W734" s="75" t="str">
        <f t="shared" si="22"/>
        <v>1w</v>
      </c>
      <c r="X734" s="148">
        <f>_xll.qlCalendarAdvance(Calendar,X733,W734,"f",FALSE)</f>
        <v>44061</v>
      </c>
      <c r="Y734" s="153">
        <f>_xll.qlCalendarAdvance(Calendar,X734,NDays&amp;"D")</f>
        <v>44061</v>
      </c>
      <c r="Z734" s="154">
        <v>2.5932116801682004E-2</v>
      </c>
      <c r="AA734" s="156">
        <v>2.5650776432889488E-2</v>
      </c>
    </row>
    <row r="735" spans="19:27" x14ac:dyDescent="0.2">
      <c r="S735" s="1"/>
      <c r="T735" s="117"/>
      <c r="W735" s="75" t="str">
        <f t="shared" si="22"/>
        <v>1w</v>
      </c>
      <c r="X735" s="148">
        <f>_xll.qlCalendarAdvance(Calendar,X734,W735,"f",FALSE)</f>
        <v>44068</v>
      </c>
      <c r="Y735" s="153">
        <f>_xll.qlCalendarAdvance(Calendar,X735,NDays&amp;"D")</f>
        <v>44068</v>
      </c>
      <c r="Z735" s="154">
        <v>2.5962653584129788E-2</v>
      </c>
      <c r="AA735" s="156">
        <v>2.5680630082475231E-2</v>
      </c>
    </row>
    <row r="736" spans="19:27" x14ac:dyDescent="0.2">
      <c r="S736" s="1"/>
      <c r="T736" s="117"/>
      <c r="W736" s="75" t="str">
        <f t="shared" si="22"/>
        <v>1w</v>
      </c>
      <c r="X736" s="148">
        <f>_xll.qlCalendarAdvance(Calendar,X735,W736,"f",FALSE)</f>
        <v>44075</v>
      </c>
      <c r="Y736" s="153">
        <f>_xll.qlCalendarAdvance(Calendar,X736,NDays&amp;"D")</f>
        <v>44075</v>
      </c>
      <c r="Z736" s="154">
        <v>2.599003446580991E-2</v>
      </c>
      <c r="AA736" s="156">
        <v>2.57106974911403E-2</v>
      </c>
    </row>
    <row r="737" spans="19:27" x14ac:dyDescent="0.2">
      <c r="S737" s="1"/>
      <c r="T737" s="117"/>
      <c r="W737" s="75" t="str">
        <f t="shared" si="22"/>
        <v>1w</v>
      </c>
      <c r="X737" s="148">
        <f>_xll.qlCalendarAdvance(Calendar,X736,W737,"f",FALSE)</f>
        <v>44082</v>
      </c>
      <c r="Y737" s="153">
        <f>_xll.qlCalendarAdvance(Calendar,X737,NDays&amp;"D")</f>
        <v>44082</v>
      </c>
      <c r="Z737" s="154">
        <v>2.602037588429371E-2</v>
      </c>
      <c r="AA737" s="156">
        <v>2.5740978658722602E-2</v>
      </c>
    </row>
    <row r="738" spans="19:27" x14ac:dyDescent="0.2">
      <c r="S738" s="1"/>
      <c r="T738" s="117"/>
      <c r="W738" s="75" t="str">
        <f t="shared" si="22"/>
        <v>1w</v>
      </c>
      <c r="X738" s="148">
        <f>_xll.qlCalendarAdvance(Calendar,X737,W738,"f",FALSE)</f>
        <v>44089</v>
      </c>
      <c r="Y738" s="153">
        <f>_xll.qlCalendarAdvance(Calendar,X738,NDays&amp;"D")</f>
        <v>44089</v>
      </c>
      <c r="Z738" s="154">
        <v>2.6050548379391338E-2</v>
      </c>
      <c r="AA738" s="156">
        <v>2.5771473585465277E-2</v>
      </c>
    </row>
    <row r="739" spans="19:27" x14ac:dyDescent="0.2">
      <c r="S739" s="1"/>
      <c r="T739" s="117"/>
      <c r="W739" s="75" t="str">
        <f t="shared" si="22"/>
        <v>1w</v>
      </c>
      <c r="X739" s="148">
        <f>_xll.qlCalendarAdvance(Calendar,X738,W739,"f",FALSE)</f>
        <v>44096</v>
      </c>
      <c r="Y739" s="153">
        <f>_xll.qlCalendarAdvance(Calendar,X739,NDays&amp;"D")</f>
        <v>44096</v>
      </c>
      <c r="Z739" s="154">
        <v>2.6080508560411386E-2</v>
      </c>
      <c r="AA739" s="156">
        <v>2.5802182271287277E-2</v>
      </c>
    </row>
    <row r="740" spans="19:27" x14ac:dyDescent="0.2">
      <c r="S740" s="1"/>
      <c r="T740" s="117"/>
      <c r="W740" s="75" t="str">
        <f t="shared" si="22"/>
        <v>1w</v>
      </c>
      <c r="X740" s="148">
        <f>_xll.qlCalendarAdvance(Calendar,X739,W740,"f",FALSE)</f>
        <v>44103</v>
      </c>
      <c r="Y740" s="153">
        <f>_xll.qlCalendarAdvance(Calendar,X740,NDays&amp;"D")</f>
        <v>44103</v>
      </c>
      <c r="Z740" s="154">
        <v>2.6110213035405793E-2</v>
      </c>
      <c r="AA740" s="156">
        <v>2.583310471626965E-2</v>
      </c>
    </row>
    <row r="741" spans="19:27" x14ac:dyDescent="0.2">
      <c r="S741" s="1"/>
      <c r="T741" s="117"/>
      <c r="W741" s="75" t="str">
        <f t="shared" si="22"/>
        <v>1w</v>
      </c>
      <c r="X741" s="148">
        <f>_xll.qlCalendarAdvance(Calendar,X740,W741,"f",FALSE)</f>
        <v>44110</v>
      </c>
      <c r="Y741" s="153">
        <f>_xll.qlCalendarAdvance(Calendar,X741,NDays&amp;"D")</f>
        <v>44110</v>
      </c>
      <c r="Z741" s="154">
        <v>2.6142586068280366E-2</v>
      </c>
      <c r="AA741" s="156">
        <v>2.5864240920655535E-2</v>
      </c>
    </row>
    <row r="742" spans="19:27" x14ac:dyDescent="0.2">
      <c r="S742" s="1"/>
      <c r="T742" s="117"/>
      <c r="W742" s="75" t="str">
        <f t="shared" si="22"/>
        <v>1w</v>
      </c>
      <c r="X742" s="148">
        <f>_xll.qlCalendarAdvance(Calendar,X741,W742,"f",FALSE)</f>
        <v>44117</v>
      </c>
      <c r="Y742" s="153">
        <f>_xll.qlCalendarAdvance(Calendar,X742,NDays&amp;"D")</f>
        <v>44117</v>
      </c>
      <c r="Z742" s="154">
        <v>2.6171630671822883E-2</v>
      </c>
      <c r="AA742" s="156">
        <v>2.5895348795638151E-2</v>
      </c>
    </row>
    <row r="743" spans="19:27" x14ac:dyDescent="0.2">
      <c r="S743" s="1"/>
      <c r="T743" s="117"/>
      <c r="W743" s="75" t="str">
        <f t="shared" si="22"/>
        <v>1w</v>
      </c>
      <c r="X743" s="148">
        <f>_xll.qlCalendarAdvance(Calendar,X742,W743,"f",FALSE)</f>
        <v>44124</v>
      </c>
      <c r="Y743" s="153">
        <f>_xll.qlCalendarAdvance(Calendar,X743,NDays&amp;"D")</f>
        <v>44124</v>
      </c>
      <c r="Z743" s="154">
        <v>2.6200326573800406E-2</v>
      </c>
      <c r="AA743" s="156">
        <v>2.5926111910359317E-2</v>
      </c>
    </row>
    <row r="744" spans="19:27" x14ac:dyDescent="0.2">
      <c r="S744" s="1"/>
      <c r="T744" s="117"/>
      <c r="W744" s="75" t="str">
        <f t="shared" si="22"/>
        <v>1w</v>
      </c>
      <c r="X744" s="148">
        <f>_xll.qlCalendarAdvance(Calendar,X743,W744,"f",FALSE)</f>
        <v>44131</v>
      </c>
      <c r="Y744" s="153">
        <f>_xll.qlCalendarAdvance(Calendar,X744,NDays&amp;"D")</f>
        <v>44131</v>
      </c>
      <c r="Z744" s="154">
        <v>2.622867374583529E-2</v>
      </c>
      <c r="AA744" s="156">
        <v>2.5956528358610509E-2</v>
      </c>
    </row>
    <row r="745" spans="19:27" x14ac:dyDescent="0.2">
      <c r="S745" s="1"/>
      <c r="T745" s="117"/>
      <c r="W745" s="75" t="str">
        <f t="shared" si="22"/>
        <v>1w</v>
      </c>
      <c r="X745" s="148">
        <f>_xll.qlCalendarAdvance(Calendar,X744,W745,"f",FALSE)</f>
        <v>44138</v>
      </c>
      <c r="Y745" s="153">
        <f>_xll.qlCalendarAdvance(Calendar,X745,NDays&amp;"D")</f>
        <v>44138</v>
      </c>
      <c r="Z745" s="154">
        <v>2.6256672180500349E-2</v>
      </c>
      <c r="AA745" s="156">
        <v>2.5986598140310679E-2</v>
      </c>
    </row>
    <row r="746" spans="19:27" x14ac:dyDescent="0.2">
      <c r="S746" s="1"/>
      <c r="T746" s="117"/>
      <c r="W746" s="75" t="str">
        <f t="shared" si="22"/>
        <v>1w</v>
      </c>
      <c r="X746" s="148">
        <f>_xll.qlCalendarAdvance(Calendar,X745,W746,"f",FALSE)</f>
        <v>44145</v>
      </c>
      <c r="Y746" s="153">
        <f>_xll.qlCalendarAdvance(Calendar,X746,NDays&amp;"D")</f>
        <v>44145</v>
      </c>
      <c r="Z746" s="154">
        <v>2.628432187045825E-2</v>
      </c>
      <c r="AA746" s="156">
        <v>2.6016321255378783E-2</v>
      </c>
    </row>
    <row r="747" spans="19:27" x14ac:dyDescent="0.2">
      <c r="S747" s="1"/>
      <c r="T747" s="117"/>
      <c r="W747" s="75" t="str">
        <f t="shared" si="22"/>
        <v>1w</v>
      </c>
      <c r="X747" s="148">
        <f>_xll.qlCalendarAdvance(Calendar,X746,W747,"f",FALSE)</f>
        <v>44152</v>
      </c>
      <c r="Y747" s="153">
        <f>_xll.qlCalendarAdvance(Calendar,X747,NDays&amp;"D")</f>
        <v>44152</v>
      </c>
      <c r="Z747" s="154">
        <v>2.6311622808462394E-2</v>
      </c>
      <c r="AA747" s="156">
        <v>2.6045697703652726E-2</v>
      </c>
    </row>
    <row r="748" spans="19:27" x14ac:dyDescent="0.2">
      <c r="S748" s="1"/>
      <c r="T748" s="117"/>
      <c r="W748" s="75" t="str">
        <f t="shared" si="22"/>
        <v>1w</v>
      </c>
      <c r="X748" s="148">
        <f>_xll.qlCalendarAdvance(Calendar,X747,W748,"f",FALSE)</f>
        <v>44159</v>
      </c>
      <c r="Y748" s="153">
        <f>_xll.qlCalendarAdvance(Calendar,X748,NDays&amp;"D")</f>
        <v>44159</v>
      </c>
      <c r="Z748" s="154">
        <v>2.633857498735781E-2</v>
      </c>
      <c r="AA748" s="156">
        <v>2.6074727485132509E-2</v>
      </c>
    </row>
    <row r="749" spans="19:27" x14ac:dyDescent="0.2">
      <c r="S749" s="1"/>
      <c r="T749" s="117"/>
      <c r="W749" s="75" t="str">
        <f t="shared" si="22"/>
        <v>1w</v>
      </c>
      <c r="X749" s="148">
        <f>_xll.qlCalendarAdvance(Calendar,X748,W749,"f",FALSE)</f>
        <v>44166</v>
      </c>
      <c r="Y749" s="153">
        <f>_xll.qlCalendarAdvance(Calendar,X749,NDays&amp;"D")</f>
        <v>44166</v>
      </c>
      <c r="Z749" s="154">
        <v>2.6359607652366029E-2</v>
      </c>
      <c r="AA749" s="156">
        <v>2.6103410599656041E-2</v>
      </c>
    </row>
    <row r="750" spans="19:27" x14ac:dyDescent="0.2">
      <c r="S750" s="1"/>
      <c r="T750" s="117"/>
      <c r="W750" s="75" t="str">
        <f t="shared" si="22"/>
        <v>1w</v>
      </c>
      <c r="X750" s="148">
        <f>_xll.qlCalendarAdvance(Calendar,X749,W750,"f",FALSE)</f>
        <v>44173</v>
      </c>
      <c r="Y750" s="153">
        <f>_xll.qlCalendarAdvance(Calendar,X750,NDays&amp;"D")</f>
        <v>44173</v>
      </c>
      <c r="Z750" s="154">
        <v>2.6385908329181026E-2</v>
      </c>
      <c r="AA750" s="156">
        <v>2.6131747047223319E-2</v>
      </c>
    </row>
    <row r="751" spans="19:27" x14ac:dyDescent="0.2">
      <c r="S751" s="1"/>
      <c r="T751" s="117"/>
      <c r="W751" s="75" t="str">
        <f t="shared" si="22"/>
        <v>1w</v>
      </c>
      <c r="X751" s="148">
        <f>_xll.qlCalendarAdvance(Calendar,X750,W751,"f",FALSE)</f>
        <v>44180</v>
      </c>
      <c r="Y751" s="153">
        <f>_xll.qlCalendarAdvance(Calendar,X751,NDays&amp;"D")</f>
        <v>44180</v>
      </c>
      <c r="Z751" s="154">
        <v>2.6411860273481649E-2</v>
      </c>
      <c r="AA751" s="156">
        <v>2.6159736827672253E-2</v>
      </c>
    </row>
    <row r="752" spans="19:27" x14ac:dyDescent="0.2">
      <c r="S752" s="1"/>
      <c r="T752" s="117"/>
      <c r="W752" s="75" t="str">
        <f t="shared" si="22"/>
        <v>1w</v>
      </c>
      <c r="X752" s="148">
        <f>_xll.qlCalendarAdvance(Calendar,X751,W752,"f",FALSE)</f>
        <v>44187</v>
      </c>
      <c r="Y752" s="153">
        <f>_xll.qlCalendarAdvance(Calendar,X752,NDays&amp;"D")</f>
        <v>44187</v>
      </c>
      <c r="Z752" s="154">
        <v>2.6437463478614004E-2</v>
      </c>
      <c r="AA752" s="156">
        <v>2.6187379940921796E-2</v>
      </c>
    </row>
    <row r="753" spans="19:27" x14ac:dyDescent="0.2">
      <c r="S753" s="1"/>
      <c r="T753" s="117"/>
      <c r="W753" s="75" t="str">
        <f t="shared" si="22"/>
        <v>1w</v>
      </c>
      <c r="X753" s="148">
        <f>_xll.qlCalendarAdvance(Calendar,X752,W753,"f",FALSE)</f>
        <v>44194</v>
      </c>
      <c r="Y753" s="153">
        <f>_xll.qlCalendarAdvance(Calendar,X753,NDays&amp;"D")</f>
        <v>44194</v>
      </c>
      <c r="Z753" s="154">
        <v>2.6462717938016037E-2</v>
      </c>
      <c r="AA753" s="156">
        <v>2.6214676387052993E-2</v>
      </c>
    </row>
    <row r="754" spans="19:27" x14ac:dyDescent="0.2">
      <c r="S754" s="1"/>
      <c r="T754" s="117"/>
      <c r="W754" s="75" t="str">
        <f t="shared" si="22"/>
        <v>1w</v>
      </c>
      <c r="X754" s="148">
        <f>_xll.qlCalendarAdvance(Calendar,X753,W754,"f",FALSE)</f>
        <v>44201</v>
      </c>
      <c r="Y754" s="153">
        <f>_xll.qlCalendarAdvance(Calendar,X754,NDays&amp;"D")</f>
        <v>44201</v>
      </c>
      <c r="Z754" s="154">
        <v>2.6490294727333177E-2</v>
      </c>
      <c r="AA754" s="156">
        <v>2.6241626165741661E-2</v>
      </c>
    </row>
    <row r="755" spans="19:27" x14ac:dyDescent="0.2">
      <c r="S755" s="1"/>
      <c r="T755" s="117"/>
      <c r="W755" s="75" t="str">
        <f t="shared" si="22"/>
        <v>1w</v>
      </c>
      <c r="X755" s="148">
        <f>_xll.qlCalendarAdvance(Calendar,X754,W755,"f",FALSE)</f>
        <v>44208</v>
      </c>
      <c r="Y755" s="153">
        <f>_xll.qlCalendarAdvance(Calendar,X755,NDays&amp;"D")</f>
        <v>44208</v>
      </c>
      <c r="Z755" s="154">
        <v>2.6512180593815007E-2</v>
      </c>
      <c r="AA755" s="156">
        <v>2.626822927714989E-2</v>
      </c>
    </row>
    <row r="756" spans="19:27" x14ac:dyDescent="0.2">
      <c r="S756" s="1"/>
      <c r="T756" s="117"/>
      <c r="W756" s="75" t="str">
        <f t="shared" si="22"/>
        <v>1w</v>
      </c>
      <c r="X756" s="148">
        <f>_xll.qlCalendarAdvance(Calendar,X755,W756,"f",FALSE)</f>
        <v>44215</v>
      </c>
      <c r="Y756" s="153">
        <f>_xll.qlCalendarAdvance(Calendar,X756,NDays&amp;"D")</f>
        <v>44215</v>
      </c>
      <c r="Z756" s="154">
        <v>2.6536388777530003E-2</v>
      </c>
      <c r="AA756" s="156">
        <v>2.6294485721034544E-2</v>
      </c>
    </row>
    <row r="757" spans="19:27" x14ac:dyDescent="0.2">
      <c r="S757" s="1"/>
      <c r="T757" s="117"/>
      <c r="W757" s="75" t="str">
        <f t="shared" si="22"/>
        <v>1w</v>
      </c>
      <c r="X757" s="148">
        <f>_xll.qlCalendarAdvance(Calendar,X756,W757,"f",FALSE)</f>
        <v>44222</v>
      </c>
      <c r="Y757" s="153">
        <f>_xll.qlCalendarAdvance(Calendar,X757,NDays&amp;"D")</f>
        <v>44222</v>
      </c>
      <c r="Z757" s="154">
        <v>2.6560248190149894E-2</v>
      </c>
      <c r="AA757" s="156">
        <v>2.6320395497314575E-2</v>
      </c>
    </row>
    <row r="758" spans="19:27" x14ac:dyDescent="0.2">
      <c r="S758" s="1"/>
      <c r="T758" s="117"/>
      <c r="W758" s="75" t="str">
        <f t="shared" si="22"/>
        <v>1w</v>
      </c>
      <c r="X758" s="148">
        <f>_xll.qlCalendarAdvance(Calendar,X757,W758,"f",FALSE)</f>
        <v>44229</v>
      </c>
      <c r="Y758" s="153">
        <f>_xll.qlCalendarAdvance(Calendar,X758,NDays&amp;"D")</f>
        <v>44229</v>
      </c>
      <c r="Z758" s="154">
        <v>2.6586337217263653E-2</v>
      </c>
      <c r="AA758" s="156">
        <v>2.6345958606071029E-2</v>
      </c>
    </row>
    <row r="759" spans="19:27" x14ac:dyDescent="0.2">
      <c r="S759" s="1"/>
      <c r="T759" s="117"/>
      <c r="W759" s="75" t="str">
        <f t="shared" si="22"/>
        <v>1w</v>
      </c>
      <c r="X759" s="148">
        <f>_xll.qlCalendarAdvance(Calendar,X758,W759,"f",FALSE)</f>
        <v>44236</v>
      </c>
      <c r="Y759" s="153">
        <f>_xll.qlCalendarAdvance(Calendar,X759,NDays&amp;"D")</f>
        <v>44236</v>
      </c>
      <c r="Z759" s="154">
        <v>2.6606920677729247E-2</v>
      </c>
      <c r="AA759" s="156">
        <v>2.6371175047141815E-2</v>
      </c>
    </row>
    <row r="760" spans="19:27" x14ac:dyDescent="0.2">
      <c r="S760" s="1"/>
      <c r="T760" s="117"/>
      <c r="W760" s="75" t="str">
        <f t="shared" si="22"/>
        <v>1w</v>
      </c>
      <c r="X760" s="148">
        <f>_xll.qlCalendarAdvance(Calendar,X759,W760,"f",FALSE)</f>
        <v>44243</v>
      </c>
      <c r="Y760" s="153">
        <f>_xll.qlCalendarAdvance(Calendar,X760,NDays&amp;"D")</f>
        <v>44243</v>
      </c>
      <c r="Z760" s="154">
        <v>2.6629733740719974E-2</v>
      </c>
      <c r="AA760" s="156">
        <v>2.6396044820445885E-2</v>
      </c>
    </row>
    <row r="761" spans="19:27" x14ac:dyDescent="0.2">
      <c r="S761" s="1"/>
      <c r="T761" s="117"/>
      <c r="W761" s="75" t="str">
        <f t="shared" si="22"/>
        <v>1w</v>
      </c>
      <c r="X761" s="148">
        <f>_xll.qlCalendarAdvance(Calendar,X760,W761,"f",FALSE)</f>
        <v>44250</v>
      </c>
      <c r="Y761" s="153">
        <f>_xll.qlCalendarAdvance(Calendar,X761,NDays&amp;"D")</f>
        <v>44250</v>
      </c>
      <c r="Z761" s="154">
        <v>2.6652198008684434E-2</v>
      </c>
      <c r="AA761" s="156">
        <v>2.6420567925902194E-2</v>
      </c>
    </row>
    <row r="762" spans="19:27" x14ac:dyDescent="0.2">
      <c r="S762" s="1"/>
      <c r="T762" s="117"/>
      <c r="W762" s="75" t="str">
        <f t="shared" si="22"/>
        <v>1w</v>
      </c>
      <c r="X762" s="148">
        <f>_xll.qlCalendarAdvance(Calendar,X761,W762,"f",FALSE)</f>
        <v>44257</v>
      </c>
      <c r="Y762" s="153">
        <f>_xll.qlCalendarAdvance(Calendar,X762,NDays&amp;"D")</f>
        <v>44257</v>
      </c>
      <c r="Z762" s="154">
        <v>2.6679281996218881E-2</v>
      </c>
      <c r="AA762" s="156">
        <v>2.6444744363429695E-2</v>
      </c>
    </row>
    <row r="763" spans="19:27" x14ac:dyDescent="0.2">
      <c r="S763" s="1"/>
      <c r="T763" s="117"/>
      <c r="W763" s="75" t="str">
        <f t="shared" si="22"/>
        <v>1w</v>
      </c>
      <c r="X763" s="148">
        <f>_xll.qlCalendarAdvance(Calendar,X762,W763,"f",FALSE)</f>
        <v>44264</v>
      </c>
      <c r="Y763" s="153">
        <f>_xll.qlCalendarAdvance(Calendar,X763,NDays&amp;"D")</f>
        <v>44264</v>
      </c>
      <c r="Z763" s="154">
        <v>2.6701001992037138E-2</v>
      </c>
      <c r="AA763" s="156">
        <v>2.6468574133028389E-2</v>
      </c>
    </row>
    <row r="764" spans="19:27" x14ac:dyDescent="0.2">
      <c r="S764" s="1"/>
      <c r="T764" s="117"/>
      <c r="W764" s="75" t="str">
        <f t="shared" si="22"/>
        <v>1w</v>
      </c>
      <c r="X764" s="148">
        <f>_xll.qlCalendarAdvance(Calendar,X763,W764,"f",FALSE)</f>
        <v>44271</v>
      </c>
      <c r="Y764" s="153">
        <f>_xll.qlCalendarAdvance(Calendar,X764,NDays&amp;"D")</f>
        <v>44271</v>
      </c>
      <c r="Z764" s="154">
        <v>2.6722373126697063E-2</v>
      </c>
      <c r="AA764" s="156">
        <v>2.6492057234536182E-2</v>
      </c>
    </row>
    <row r="765" spans="19:27" x14ac:dyDescent="0.2">
      <c r="S765" s="1"/>
      <c r="T765" s="117"/>
      <c r="W765" s="75" t="str">
        <f t="shared" si="22"/>
        <v>1w</v>
      </c>
      <c r="X765" s="148">
        <f>_xll.qlCalendarAdvance(Calendar,X764,W765,"f",FALSE)</f>
        <v>44278</v>
      </c>
      <c r="Y765" s="153">
        <f>_xll.qlCalendarAdvance(Calendar,X765,NDays&amp;"D")</f>
        <v>44278</v>
      </c>
      <c r="Z765" s="154">
        <v>2.6743395394597656E-2</v>
      </c>
      <c r="AA765" s="156">
        <v>2.651519366803412E-2</v>
      </c>
    </row>
    <row r="766" spans="19:27" x14ac:dyDescent="0.2">
      <c r="S766" s="1"/>
      <c r="T766" s="117"/>
      <c r="W766" s="75" t="str">
        <f t="shared" si="22"/>
        <v>1w</v>
      </c>
      <c r="X766" s="148">
        <f>_xll.qlCalendarAdvance(Calendar,X765,W766,"f",FALSE)</f>
        <v>44285</v>
      </c>
      <c r="Y766" s="153">
        <f>_xll.qlCalendarAdvance(Calendar,X766,NDays&amp;"D")</f>
        <v>44285</v>
      </c>
      <c r="Z766" s="154">
        <v>2.6764068790228648E-2</v>
      </c>
      <c r="AA766" s="156">
        <v>2.6537983433279067E-2</v>
      </c>
    </row>
    <row r="767" spans="19:27" x14ac:dyDescent="0.2">
      <c r="S767" s="1"/>
      <c r="T767" s="117"/>
      <c r="W767" s="75" t="str">
        <f t="shared" si="22"/>
        <v>1w</v>
      </c>
      <c r="X767" s="148">
        <f>_xll.qlCalendarAdvance(Calendar,X766,W767,"f",FALSE)</f>
        <v>44292</v>
      </c>
      <c r="Y767" s="153">
        <f>_xll.qlCalendarAdvance(Calendar,X767,NDays&amp;"D")</f>
        <v>44292</v>
      </c>
      <c r="Z767" s="154">
        <v>2.6782027017748997E-2</v>
      </c>
      <c r="AA767" s="156">
        <v>2.6560426530352066E-2</v>
      </c>
    </row>
    <row r="768" spans="19:27" x14ac:dyDescent="0.2">
      <c r="S768" s="1"/>
      <c r="T768" s="117"/>
      <c r="W768" s="75" t="str">
        <f t="shared" si="22"/>
        <v>1w</v>
      </c>
      <c r="X768" s="148">
        <f>_xll.qlCalendarAdvance(Calendar,X767,W768,"f",FALSE)</f>
        <v>44299</v>
      </c>
      <c r="Y768" s="153">
        <f>_xll.qlCalendarAdvance(Calendar,X768,NDays&amp;"D")</f>
        <v>44299</v>
      </c>
      <c r="Z768" s="154">
        <v>2.680202611017736E-2</v>
      </c>
      <c r="AA768" s="156">
        <v>2.6582522959091026E-2</v>
      </c>
    </row>
    <row r="769" spans="19:27" x14ac:dyDescent="0.2">
      <c r="S769" s="1"/>
      <c r="T769" s="117"/>
      <c r="W769" s="75" t="str">
        <f t="shared" si="22"/>
        <v>1w</v>
      </c>
      <c r="X769" s="148">
        <f>_xll.qlCalendarAdvance(Calendar,X768,W769,"f",FALSE)</f>
        <v>44306</v>
      </c>
      <c r="Y769" s="153">
        <f>_xll.qlCalendarAdvance(Calendar,X769,NDays&amp;"D")</f>
        <v>44306</v>
      </c>
      <c r="Z769" s="154">
        <v>2.6821676339184825E-2</v>
      </c>
      <c r="AA769" s="156">
        <v>2.6604272719414901E-2</v>
      </c>
    </row>
    <row r="770" spans="19:27" x14ac:dyDescent="0.2">
      <c r="S770" s="1"/>
      <c r="T770" s="117"/>
      <c r="W770" s="75" t="str">
        <f t="shared" si="22"/>
        <v>1w</v>
      </c>
      <c r="X770" s="148">
        <f>_xll.qlCalendarAdvance(Calendar,X769,W770,"f",FALSE)</f>
        <v>44313</v>
      </c>
      <c r="Y770" s="153">
        <f>_xll.qlCalendarAdvance(Calendar,X770,NDays&amp;"D")</f>
        <v>44313</v>
      </c>
      <c r="Z770" s="154">
        <v>2.6840977699677946E-2</v>
      </c>
      <c r="AA770" s="156">
        <v>2.6625675811404736E-2</v>
      </c>
    </row>
    <row r="771" spans="19:27" x14ac:dyDescent="0.2">
      <c r="S771" s="1"/>
      <c r="T771" s="117"/>
      <c r="W771" s="75" t="str">
        <f t="shared" si="22"/>
        <v>1w</v>
      </c>
      <c r="X771" s="148">
        <f>_xll.qlCalendarAdvance(Calendar,X770,W771,"f",FALSE)</f>
        <v>44320</v>
      </c>
      <c r="Y771" s="153">
        <f>_xll.qlCalendarAdvance(Calendar,X771,NDays&amp;"D")</f>
        <v>44320</v>
      </c>
      <c r="Z771" s="154">
        <v>2.6862202497902329E-2</v>
      </c>
      <c r="AA771" s="156">
        <v>2.6646732234817394E-2</v>
      </c>
    </row>
    <row r="772" spans="19:27" x14ac:dyDescent="0.2">
      <c r="S772" s="1"/>
      <c r="T772" s="117"/>
      <c r="W772" s="75" t="str">
        <f t="shared" si="22"/>
        <v>1w</v>
      </c>
      <c r="X772" s="148">
        <f>_xll.qlCalendarAdvance(Calendar,X771,W772,"f",FALSE)</f>
        <v>44327</v>
      </c>
      <c r="Y772" s="153">
        <f>_xll.qlCalendarAdvance(Calendar,X772,NDays&amp;"D")</f>
        <v>44327</v>
      </c>
      <c r="Z772" s="154">
        <v>2.6880782549331596E-2</v>
      </c>
      <c r="AA772" s="156">
        <v>2.666744198973392E-2</v>
      </c>
    </row>
    <row r="773" spans="19:27" x14ac:dyDescent="0.2">
      <c r="S773" s="1"/>
      <c r="T773" s="117"/>
      <c r="W773" s="75" t="str">
        <f t="shared" si="22"/>
        <v>1w</v>
      </c>
      <c r="X773" s="148">
        <f>_xll.qlCalendarAdvance(Calendar,X772,W773,"f",FALSE)</f>
        <v>44334</v>
      </c>
      <c r="Y773" s="153">
        <f>_xll.qlCalendarAdvance(Calendar,X773,NDays&amp;"D")</f>
        <v>44334</v>
      </c>
      <c r="Z773" s="154">
        <v>2.6899013692482928E-2</v>
      </c>
      <c r="AA773" s="156">
        <v>2.6687805076073268E-2</v>
      </c>
    </row>
    <row r="774" spans="19:27" x14ac:dyDescent="0.2">
      <c r="S774" s="1"/>
      <c r="T774" s="117"/>
      <c r="W774" s="75" t="str">
        <f t="shared" si="22"/>
        <v>1w</v>
      </c>
      <c r="X774" s="148">
        <f>_xll.qlCalendarAdvance(Calendar,X773,W774,"f",FALSE)</f>
        <v>44341</v>
      </c>
      <c r="Y774" s="153">
        <f>_xll.qlCalendarAdvance(Calendar,X774,NDays&amp;"D")</f>
        <v>44341</v>
      </c>
      <c r="Z774" s="154">
        <v>2.6916895922579002E-2</v>
      </c>
      <c r="AA774" s="156">
        <v>2.6707821493754391E-2</v>
      </c>
    </row>
    <row r="775" spans="19:27" x14ac:dyDescent="0.2">
      <c r="S775" s="1"/>
      <c r="T775" s="117"/>
      <c r="W775" s="75" t="str">
        <f t="shared" si="22"/>
        <v>1w</v>
      </c>
      <c r="X775" s="148">
        <f>_xll.qlCalendarAdvance(Calendar,X774,W775,"f",FALSE)</f>
        <v>44348</v>
      </c>
      <c r="Y775" s="153">
        <f>_xll.qlCalendarAdvance(Calendar,X775,NDays&amp;"D")</f>
        <v>44348</v>
      </c>
      <c r="Z775" s="154">
        <v>2.6934429234931466E-2</v>
      </c>
      <c r="AA775" s="156">
        <v>2.6727491242696244E-2</v>
      </c>
    </row>
    <row r="776" spans="19:27" x14ac:dyDescent="0.2">
      <c r="S776" s="1"/>
      <c r="T776" s="117"/>
      <c r="W776" s="75" t="str">
        <f t="shared" si="22"/>
        <v>1w</v>
      </c>
      <c r="X776" s="148">
        <f>_xll.qlCalendarAdvance(Calendar,X775,W776,"f",FALSE)</f>
        <v>44355</v>
      </c>
      <c r="Y776" s="153">
        <f>_xll.qlCalendarAdvance(Calendar,X776,NDays&amp;"D")</f>
        <v>44355</v>
      </c>
      <c r="Z776" s="154">
        <v>2.6951613624944463E-2</v>
      </c>
      <c r="AA776" s="156">
        <v>2.674681432281778E-2</v>
      </c>
    </row>
    <row r="777" spans="19:27" x14ac:dyDescent="0.2">
      <c r="S777" s="1"/>
      <c r="T777" s="117"/>
      <c r="W777" s="75" t="str">
        <f t="shared" si="22"/>
        <v>1w</v>
      </c>
      <c r="X777" s="148">
        <f>_xll.qlCalendarAdvance(Calendar,X776,W777,"f",FALSE)</f>
        <v>44362</v>
      </c>
      <c r="Y777" s="153">
        <f>_xll.qlCalendarAdvance(Calendar,X777,NDays&amp;"D")</f>
        <v>44362</v>
      </c>
      <c r="Z777" s="154">
        <v>2.6968449088115524E-2</v>
      </c>
      <c r="AA777" s="156">
        <v>2.6765790734200046E-2</v>
      </c>
    </row>
    <row r="778" spans="19:27" x14ac:dyDescent="0.2">
      <c r="S778" s="1"/>
      <c r="T778" s="117"/>
      <c r="W778" s="75" t="str">
        <f t="shared" si="22"/>
        <v>1w</v>
      </c>
      <c r="X778" s="148">
        <f>_xll.qlCalendarAdvance(Calendar,X777,W778,"f",FALSE)</f>
        <v>44369</v>
      </c>
      <c r="Y778" s="153">
        <f>_xll.qlCalendarAdvance(Calendar,X778,NDays&amp;"D")</f>
        <v>44369</v>
      </c>
      <c r="Z778" s="154">
        <v>2.6984935620031153E-2</v>
      </c>
      <c r="AA778" s="156">
        <v>2.6784420476599902E-2</v>
      </c>
    </row>
    <row r="779" spans="19:27" x14ac:dyDescent="0.2">
      <c r="S779" s="1"/>
      <c r="T779" s="117"/>
      <c r="W779" s="75" t="str">
        <f t="shared" si="22"/>
        <v>1w</v>
      </c>
      <c r="X779" s="148">
        <f>_xll.qlCalendarAdvance(Calendar,X778,W779,"f",FALSE)</f>
        <v>44376</v>
      </c>
      <c r="Y779" s="153">
        <f>_xll.qlCalendarAdvance(Calendar,X779,NDays&amp;"D")</f>
        <v>44376</v>
      </c>
      <c r="Z779" s="154">
        <v>2.7001073216370342E-2</v>
      </c>
      <c r="AA779" s="156">
        <v>2.6802703550098395E-2</v>
      </c>
    </row>
    <row r="780" spans="19:27" x14ac:dyDescent="0.2">
      <c r="S780" s="1"/>
      <c r="T780" s="117"/>
      <c r="W780" s="75" t="str">
        <f t="shared" si="22"/>
        <v>1w</v>
      </c>
      <c r="X780" s="148">
        <f>_xll.qlCalendarAdvance(Calendar,X779,W780,"f",FALSE)</f>
        <v>44383</v>
      </c>
      <c r="Y780" s="153">
        <f>_xll.qlCalendarAdvance(Calendar,X780,NDays&amp;"D")</f>
        <v>44383</v>
      </c>
      <c r="Z780" s="154">
        <v>2.7016861872902836E-2</v>
      </c>
      <c r="AA780" s="156">
        <v>2.6820639954614478E-2</v>
      </c>
    </row>
    <row r="781" spans="19:27" x14ac:dyDescent="0.2">
      <c r="S781" s="1"/>
      <c r="T781" s="117"/>
      <c r="W781" s="75" t="str">
        <f t="shared" si="22"/>
        <v>1w</v>
      </c>
      <c r="X781" s="148">
        <f>_xll.qlCalendarAdvance(Calendar,X780,W781,"f",FALSE)</f>
        <v>44390</v>
      </c>
      <c r="Y781" s="153">
        <f>_xll.qlCalendarAdvance(Calendar,X781,NDays&amp;"D")</f>
        <v>44390</v>
      </c>
      <c r="Z781" s="154">
        <v>2.7032304303232536E-2</v>
      </c>
      <c r="AA781" s="156">
        <v>2.6838229690067106E-2</v>
      </c>
    </row>
    <row r="782" spans="19:27" x14ac:dyDescent="0.2">
      <c r="S782" s="1"/>
      <c r="T782" s="117"/>
      <c r="W782" s="75" t="str">
        <f t="shared" si="22"/>
        <v>1w</v>
      </c>
      <c r="X782" s="148">
        <f>_xll.qlCalendarAdvance(Calendar,X781,W782,"f",FALSE)</f>
        <v>44397</v>
      </c>
      <c r="Y782" s="153">
        <f>_xll.qlCalendarAdvance(Calendar,X782,NDays&amp;"D")</f>
        <v>44397</v>
      </c>
      <c r="Z782" s="154">
        <v>2.7047419993147595E-2</v>
      </c>
      <c r="AA782" s="156">
        <v>2.6855472756537324E-2</v>
      </c>
    </row>
    <row r="783" spans="19:27" x14ac:dyDescent="0.2">
      <c r="S783" s="1"/>
      <c r="T783" s="117"/>
      <c r="W783" s="75" t="str">
        <f t="shared" si="22"/>
        <v>1w</v>
      </c>
      <c r="X783" s="148">
        <f>_xll.qlCalendarAdvance(Calendar,X782,W783,"f",FALSE)</f>
        <v>44404</v>
      </c>
      <c r="Y783" s="153">
        <f>_xll.qlCalendarAdvance(Calendar,X783,NDays&amp;"D")</f>
        <v>44404</v>
      </c>
      <c r="Z783" s="154">
        <v>2.7062234820586287E-2</v>
      </c>
      <c r="AA783" s="156">
        <v>2.6872369153781994E-2</v>
      </c>
    </row>
    <row r="784" spans="19:27" x14ac:dyDescent="0.2">
      <c r="S784" s="1"/>
      <c r="T784" s="117"/>
      <c r="W784" s="75" t="str">
        <f t="shared" si="22"/>
        <v>1w</v>
      </c>
      <c r="X784" s="148">
        <f>_xll.qlCalendarAdvance(Calendar,X783,W784,"f",FALSE)</f>
        <v>44411</v>
      </c>
      <c r="Y784" s="153">
        <f>_xll.qlCalendarAdvance(Calendar,X784,NDays&amp;"D")</f>
        <v>44411</v>
      </c>
      <c r="Z784" s="154">
        <v>2.7076774676528283E-2</v>
      </c>
      <c r="AA784" s="156">
        <v>2.6888918881801116E-2</v>
      </c>
    </row>
    <row r="785" spans="19:27" x14ac:dyDescent="0.2">
      <c r="S785" s="1"/>
      <c r="T785" s="117"/>
      <c r="W785" s="75" t="str">
        <f t="shared" si="22"/>
        <v>1w</v>
      </c>
      <c r="X785" s="148">
        <f>_xll.qlCalendarAdvance(Calendar,X784,W785,"f",FALSE)</f>
        <v>44418</v>
      </c>
      <c r="Y785" s="153">
        <f>_xll.qlCalendarAdvance(Calendar,X785,NDays&amp;"D")</f>
        <v>44418</v>
      </c>
      <c r="Z785" s="154">
        <v>2.7091065452387559E-2</v>
      </c>
      <c r="AA785" s="156">
        <v>2.6905121940675736E-2</v>
      </c>
    </row>
    <row r="786" spans="19:27" x14ac:dyDescent="0.2">
      <c r="S786" s="1"/>
      <c r="T786" s="117"/>
      <c r="W786" s="75" t="str">
        <f t="shared" si="22"/>
        <v>1w</v>
      </c>
      <c r="X786" s="148">
        <f>_xll.qlCalendarAdvance(Calendar,X785,W786,"f",FALSE)</f>
        <v>44425</v>
      </c>
      <c r="Y786" s="153">
        <f>_xll.qlCalendarAdvance(Calendar,X786,NDays&amp;"D")</f>
        <v>44425</v>
      </c>
      <c r="Z786" s="154">
        <v>2.7105133040000062E-2</v>
      </c>
      <c r="AA786" s="156">
        <v>2.6920978330162715E-2</v>
      </c>
    </row>
    <row r="787" spans="19:27" x14ac:dyDescent="0.2">
      <c r="S787" s="1"/>
      <c r="T787" s="117"/>
      <c r="W787" s="75" t="str">
        <f t="shared" si="22"/>
        <v>1w</v>
      </c>
      <c r="X787" s="148">
        <f>_xll.qlCalendarAdvance(Calendar,X786,W787,"f",FALSE)</f>
        <v>44432</v>
      </c>
      <c r="Y787" s="153">
        <f>_xll.qlCalendarAdvance(Calendar,X787,NDays&amp;"D")</f>
        <v>44432</v>
      </c>
      <c r="Z787" s="154">
        <v>2.7119003331608733E-2</v>
      </c>
      <c r="AA787" s="156">
        <v>2.6936488050424146E-2</v>
      </c>
    </row>
    <row r="788" spans="19:27" x14ac:dyDescent="0.2">
      <c r="S788" s="1"/>
      <c r="T788" s="117"/>
      <c r="W788" s="75" t="str">
        <f t="shared" si="22"/>
        <v>1w</v>
      </c>
      <c r="X788" s="148">
        <f>_xll.qlCalendarAdvance(Calendar,X787,W788,"f",FALSE)</f>
        <v>44439</v>
      </c>
      <c r="Y788" s="153">
        <f>_xll.qlCalendarAdvance(Calendar,X788,NDays&amp;"D")</f>
        <v>44439</v>
      </c>
      <c r="Z788" s="154">
        <v>2.7130743312639163E-2</v>
      </c>
      <c r="AA788" s="156">
        <v>2.6951651101297935E-2</v>
      </c>
    </row>
    <row r="789" spans="19:27" x14ac:dyDescent="0.2">
      <c r="S789" s="1"/>
      <c r="T789" s="117"/>
      <c r="W789" s="75" t="str">
        <f t="shared" ref="W789:W852" si="23">W788</f>
        <v>1w</v>
      </c>
      <c r="X789" s="148">
        <f>_xll.qlCalendarAdvance(Calendar,X788,W789,"f",FALSE)</f>
        <v>44446</v>
      </c>
      <c r="Y789" s="153">
        <f>_xll.qlCalendarAdvance(Calendar,X789,NDays&amp;"D")</f>
        <v>44446</v>
      </c>
      <c r="Z789" s="154">
        <v>2.7144299573574272E-2</v>
      </c>
      <c r="AA789" s="156">
        <v>2.6966467482621992E-2</v>
      </c>
    </row>
    <row r="790" spans="19:27" x14ac:dyDescent="0.2">
      <c r="S790" s="1"/>
      <c r="T790" s="117"/>
      <c r="W790" s="75" t="str">
        <f t="shared" si="23"/>
        <v>1w</v>
      </c>
      <c r="X790" s="148">
        <f>_xll.qlCalendarAdvance(Calendar,X789,W790,"f",FALSE)</f>
        <v>44453</v>
      </c>
      <c r="Y790" s="153">
        <f>_xll.qlCalendarAdvance(Calendar,X790,NDays&amp;"D")</f>
        <v>44453</v>
      </c>
      <c r="Z790" s="154">
        <v>2.7157735006509354E-2</v>
      </c>
      <c r="AA790" s="156">
        <v>2.6980937194639454E-2</v>
      </c>
    </row>
    <row r="791" spans="19:27" x14ac:dyDescent="0.2">
      <c r="S791" s="1"/>
      <c r="T791" s="117"/>
      <c r="W791" s="75" t="str">
        <f t="shared" si="23"/>
        <v>1w</v>
      </c>
      <c r="X791" s="148">
        <f>_xll.qlCalendarAdvance(Calendar,X790,W791,"f",FALSE)</f>
        <v>44460</v>
      </c>
      <c r="Y791" s="153">
        <f>_xll.qlCalendarAdvance(Calendar,X791,NDays&amp;"D")</f>
        <v>44460</v>
      </c>
      <c r="Z791" s="154">
        <v>2.7171075787798902E-2</v>
      </c>
      <c r="AA791" s="156">
        <v>2.6995060237188229E-2</v>
      </c>
    </row>
    <row r="792" spans="19:27" x14ac:dyDescent="0.2">
      <c r="S792" s="1"/>
      <c r="T792" s="117"/>
      <c r="W792" s="75" t="str">
        <f t="shared" si="23"/>
        <v>1w</v>
      </c>
      <c r="X792" s="148">
        <f>_xll.qlCalendarAdvance(Calendar,X791,W792,"f",FALSE)</f>
        <v>44467</v>
      </c>
      <c r="Y792" s="153">
        <f>_xll.qlCalendarAdvance(Calendar,X792,NDays&amp;"D")</f>
        <v>44467</v>
      </c>
      <c r="Z792" s="154">
        <v>2.7186301604816287E-2</v>
      </c>
      <c r="AA792" s="156">
        <v>2.7008836610025178E-2</v>
      </c>
    </row>
    <row r="793" spans="19:27" x14ac:dyDescent="0.2">
      <c r="S793" s="1"/>
      <c r="T793" s="117"/>
      <c r="W793" s="75" t="str">
        <f t="shared" si="23"/>
        <v>1w</v>
      </c>
      <c r="X793" s="148">
        <f>_xll.qlCalendarAdvance(Calendar,X792,W793,"f",FALSE)</f>
        <v>44474</v>
      </c>
      <c r="Y793" s="153">
        <f>_xll.qlCalendarAdvance(Calendar,X793,NDays&amp;"D")</f>
        <v>44474</v>
      </c>
      <c r="Z793" s="154">
        <v>2.7199531878651467E-2</v>
      </c>
      <c r="AA793" s="156">
        <v>2.7022266313474486E-2</v>
      </c>
    </row>
    <row r="794" spans="19:27" x14ac:dyDescent="0.2">
      <c r="S794" s="1"/>
      <c r="T794" s="117"/>
      <c r="W794" s="75" t="str">
        <f t="shared" si="23"/>
        <v>1w</v>
      </c>
      <c r="X794" s="148">
        <f>_xll.qlCalendarAdvance(Calendar,X793,W794,"f",FALSE)</f>
        <v>44481</v>
      </c>
      <c r="Y794" s="153">
        <f>_xll.qlCalendarAdvance(Calendar,X794,NDays&amp;"D")</f>
        <v>44481</v>
      </c>
      <c r="Z794" s="154">
        <v>2.7212744539746758E-2</v>
      </c>
      <c r="AA794" s="156">
        <v>2.7035453979743496E-2</v>
      </c>
    </row>
    <row r="795" spans="19:27" x14ac:dyDescent="0.2">
      <c r="S795" s="1"/>
      <c r="T795" s="117"/>
      <c r="W795" s="75" t="str">
        <f t="shared" si="23"/>
        <v>1w</v>
      </c>
      <c r="X795" s="148">
        <f>_xll.qlCalendarAdvance(Calendar,X794,W795,"f",FALSE)</f>
        <v>44488</v>
      </c>
      <c r="Y795" s="153">
        <f>_xll.qlCalendarAdvance(Calendar,X795,NDays&amp;"D")</f>
        <v>44488</v>
      </c>
      <c r="Z795" s="154">
        <v>2.7225948458762948E-2</v>
      </c>
      <c r="AA795" s="156">
        <v>2.7048624971226509E-2</v>
      </c>
    </row>
    <row r="796" spans="19:27" x14ac:dyDescent="0.2">
      <c r="S796" s="1"/>
      <c r="T796" s="117"/>
      <c r="W796" s="75" t="str">
        <f t="shared" si="23"/>
        <v>1w</v>
      </c>
      <c r="X796" s="148">
        <f>_xll.qlCalendarAdvance(Calendar,X795,W796,"f",FALSE)</f>
        <v>44495</v>
      </c>
      <c r="Y796" s="153">
        <f>_xll.qlCalendarAdvance(Calendar,X796,NDays&amp;"D")</f>
        <v>44495</v>
      </c>
      <c r="Z796" s="154">
        <v>2.7239143736275829E-2</v>
      </c>
      <c r="AA796" s="156">
        <v>2.7061787336629672E-2</v>
      </c>
    </row>
    <row r="797" spans="19:27" x14ac:dyDescent="0.2">
      <c r="S797" s="1"/>
      <c r="T797" s="117"/>
      <c r="W797" s="75" t="str">
        <f t="shared" si="23"/>
        <v>1w</v>
      </c>
      <c r="X797" s="148">
        <f>_xll.qlCalendarAdvance(Calendar,X796,W797,"f",FALSE)</f>
        <v>44502</v>
      </c>
      <c r="Y797" s="153">
        <f>_xll.qlCalendarAdvance(Calendar,X797,NDays&amp;"D")</f>
        <v>44502</v>
      </c>
      <c r="Z797" s="154">
        <v>2.7252330372200827E-2</v>
      </c>
      <c r="AA797" s="156">
        <v>2.7074941076034031E-2</v>
      </c>
    </row>
    <row r="798" spans="19:27" x14ac:dyDescent="0.2">
      <c r="S798" s="1"/>
      <c r="T798" s="117"/>
      <c r="W798" s="75" t="str">
        <f t="shared" si="23"/>
        <v>1w</v>
      </c>
      <c r="X798" s="148">
        <f>_xll.qlCalendarAdvance(Calendar,X797,W798,"f",FALSE)</f>
        <v>44509</v>
      </c>
      <c r="Y798" s="153">
        <f>_xll.qlCalendarAdvance(Calendar,X798,NDays&amp;"D")</f>
        <v>44509</v>
      </c>
      <c r="Z798" s="154">
        <v>2.7265508366448973E-2</v>
      </c>
      <c r="AA798" s="156">
        <v>2.7088086189277494E-2</v>
      </c>
    </row>
    <row r="799" spans="19:27" x14ac:dyDescent="0.2">
      <c r="S799" s="1"/>
      <c r="T799" s="117"/>
      <c r="W799" s="75" t="str">
        <f t="shared" si="23"/>
        <v>1w</v>
      </c>
      <c r="X799" s="148">
        <f>_xll.qlCalendarAdvance(Calendar,X798,W799,"f",FALSE)</f>
        <v>44516</v>
      </c>
      <c r="Y799" s="153">
        <f>_xll.qlCalendarAdvance(Calendar,X799,NDays&amp;"D")</f>
        <v>44516</v>
      </c>
      <c r="Z799" s="154">
        <v>2.7278677718936571E-2</v>
      </c>
      <c r="AA799" s="156">
        <v>2.7101222676441106E-2</v>
      </c>
    </row>
    <row r="800" spans="19:27" x14ac:dyDescent="0.2">
      <c r="S800" s="1"/>
      <c r="T800" s="117"/>
      <c r="W800" s="75" t="str">
        <f t="shared" si="23"/>
        <v>1w</v>
      </c>
      <c r="X800" s="148">
        <f>_xll.qlCalendarAdvance(Calendar,X799,W800,"f",FALSE)</f>
        <v>44523</v>
      </c>
      <c r="Y800" s="153">
        <f>_xll.qlCalendarAdvance(Calendar,X800,NDays&amp;"D")</f>
        <v>44523</v>
      </c>
      <c r="Z800" s="154">
        <v>2.7291838429576415E-2</v>
      </c>
      <c r="AA800" s="156">
        <v>2.7114350537524867E-2</v>
      </c>
    </row>
    <row r="801" spans="19:27" x14ac:dyDescent="0.2">
      <c r="S801" s="1"/>
      <c r="T801" s="117"/>
      <c r="W801" s="75" t="str">
        <f t="shared" si="23"/>
        <v>1w</v>
      </c>
      <c r="X801" s="148">
        <f>_xll.qlCalendarAdvance(Calendar,X800,W801,"f",FALSE)</f>
        <v>44530</v>
      </c>
      <c r="Y801" s="153">
        <f>_xll.qlCalendarAdvance(Calendar,X801,NDays&amp;"D")</f>
        <v>44530</v>
      </c>
      <c r="Z801" s="154">
        <v>2.7301077262699359E-2</v>
      </c>
      <c r="AA801" s="156">
        <v>2.7127469772447732E-2</v>
      </c>
    </row>
    <row r="802" spans="19:27" x14ac:dyDescent="0.2">
      <c r="S802" s="1"/>
      <c r="T802" s="117"/>
      <c r="W802" s="75" t="str">
        <f t="shared" si="23"/>
        <v>1w</v>
      </c>
      <c r="X802" s="148">
        <f>_xll.qlCalendarAdvance(Calendar,X801,W802,"f",FALSE)</f>
        <v>44537</v>
      </c>
      <c r="Y802" s="153">
        <f>_xll.qlCalendarAdvance(Calendar,X802,NDays&amp;"D")</f>
        <v>44537</v>
      </c>
      <c r="Z802" s="154">
        <v>2.7314219963867726E-2</v>
      </c>
      <c r="AA802" s="156">
        <v>2.7140580381371793E-2</v>
      </c>
    </row>
    <row r="803" spans="19:27" x14ac:dyDescent="0.2">
      <c r="S803" s="1"/>
      <c r="T803" s="117"/>
      <c r="W803" s="75" t="str">
        <f t="shared" si="23"/>
        <v>1w</v>
      </c>
      <c r="X803" s="148">
        <f>_xll.qlCalendarAdvance(Calendar,X802,W803,"f",FALSE)</f>
        <v>44544</v>
      </c>
      <c r="Y803" s="153">
        <f>_xll.qlCalendarAdvance(Calendar,X803,NDays&amp;"D")</f>
        <v>44544</v>
      </c>
      <c r="Z803" s="154">
        <v>2.73273540232945E-2</v>
      </c>
      <c r="AA803" s="156">
        <v>2.7153682364216003E-2</v>
      </c>
    </row>
    <row r="804" spans="19:27" x14ac:dyDescent="0.2">
      <c r="S804" s="1"/>
      <c r="T804" s="117"/>
      <c r="W804" s="75" t="str">
        <f t="shared" si="23"/>
        <v>1w</v>
      </c>
      <c r="X804" s="148">
        <f>_xll.qlCalendarAdvance(Calendar,X803,W804,"f",FALSE)</f>
        <v>44551</v>
      </c>
      <c r="Y804" s="153">
        <f>_xll.qlCalendarAdvance(Calendar,X804,NDays&amp;"D")</f>
        <v>44551</v>
      </c>
      <c r="Z804" s="154">
        <v>2.7340479440895932E-2</v>
      </c>
      <c r="AA804" s="156">
        <v>2.7166775720899317E-2</v>
      </c>
    </row>
    <row r="805" spans="19:27" x14ac:dyDescent="0.2">
      <c r="S805" s="1"/>
      <c r="T805" s="117"/>
      <c r="W805" s="75" t="str">
        <f t="shared" si="23"/>
        <v>1w</v>
      </c>
      <c r="X805" s="148">
        <f>_xll.qlCalendarAdvance(Calendar,X804,W805,"f",FALSE)</f>
        <v>44559</v>
      </c>
      <c r="Y805" s="153">
        <f>_xll.qlCalendarAdvance(Calendar,X805,NDays&amp;"D")</f>
        <v>44559</v>
      </c>
      <c r="Z805" s="154">
        <v>2.7355469336218796E-2</v>
      </c>
      <c r="AA805" s="156">
        <v>2.7181728994578602E-2</v>
      </c>
    </row>
    <row r="806" spans="19:27" x14ac:dyDescent="0.2">
      <c r="S806" s="1"/>
      <c r="T806" s="117"/>
      <c r="W806" s="75" t="str">
        <f t="shared" si="23"/>
        <v>1w</v>
      </c>
      <c r="X806" s="148">
        <f>_xll.qlCalendarAdvance(Calendar,X805,W806,"f",FALSE)</f>
        <v>44566</v>
      </c>
      <c r="Y806" s="153">
        <f>_xll.qlCalendarAdvance(Calendar,X806,NDays&amp;"D")</f>
        <v>44566</v>
      </c>
      <c r="Z806" s="154">
        <v>2.7368576235341207E-2</v>
      </c>
      <c r="AA806" s="156">
        <v>2.7194803866793515E-2</v>
      </c>
    </row>
    <row r="807" spans="19:27" x14ac:dyDescent="0.2">
      <c r="S807" s="1"/>
      <c r="T807" s="117"/>
      <c r="W807" s="75" t="str">
        <f t="shared" si="23"/>
        <v>1w</v>
      </c>
      <c r="X807" s="148">
        <f>_xll.qlCalendarAdvance(Calendar,X806,W807,"f",FALSE)</f>
        <v>44573</v>
      </c>
      <c r="Y807" s="153">
        <f>_xll.qlCalendarAdvance(Calendar,X807,NDays&amp;"D")</f>
        <v>44573</v>
      </c>
      <c r="Z807" s="154">
        <v>2.7381674492373526E-2</v>
      </c>
      <c r="AA807" s="156">
        <v>2.7207870112847532E-2</v>
      </c>
    </row>
    <row r="808" spans="19:27" x14ac:dyDescent="0.2">
      <c r="S808" s="1"/>
      <c r="T808" s="117"/>
      <c r="W808" s="75" t="str">
        <f t="shared" si="23"/>
        <v>1w</v>
      </c>
      <c r="X808" s="148">
        <f>_xll.qlCalendarAdvance(Calendar,X807,W808,"f",FALSE)</f>
        <v>44580</v>
      </c>
      <c r="Y808" s="153">
        <f>_xll.qlCalendarAdvance(Calendar,X808,NDays&amp;"D")</f>
        <v>44580</v>
      </c>
      <c r="Z808" s="154">
        <v>2.7394764107235601E-2</v>
      </c>
      <c r="AA808" s="156">
        <v>2.7220927732821698E-2</v>
      </c>
    </row>
    <row r="809" spans="19:27" x14ac:dyDescent="0.2">
      <c r="S809" s="1"/>
      <c r="T809" s="117"/>
      <c r="W809" s="75" t="str">
        <f t="shared" si="23"/>
        <v>1w</v>
      </c>
      <c r="X809" s="148">
        <f>_xll.qlCalendarAdvance(Calendar,X808,W809,"f",FALSE)</f>
        <v>44587</v>
      </c>
      <c r="Y809" s="153">
        <f>_xll.qlCalendarAdvance(Calendar,X809,NDays&amp;"D")</f>
        <v>44587</v>
      </c>
      <c r="Z809" s="154">
        <v>2.7407845079842792E-2</v>
      </c>
      <c r="AA809" s="156">
        <v>2.7233976726716014E-2</v>
      </c>
    </row>
    <row r="810" spans="19:27" x14ac:dyDescent="0.2">
      <c r="S810" s="1"/>
      <c r="T810" s="117"/>
      <c r="W810" s="75" t="str">
        <f t="shared" si="23"/>
        <v>1w</v>
      </c>
      <c r="X810" s="148">
        <f>_xll.qlCalendarAdvance(Calendar,X809,W810,"f",FALSE)</f>
        <v>44594</v>
      </c>
      <c r="Y810" s="153">
        <f>_xll.qlCalendarAdvance(Calendar,X810,NDays&amp;"D")</f>
        <v>44594</v>
      </c>
      <c r="Z810" s="154">
        <v>2.7420917410109547E-2</v>
      </c>
      <c r="AA810" s="156">
        <v>2.7247017094530479E-2</v>
      </c>
    </row>
    <row r="811" spans="19:27" x14ac:dyDescent="0.2">
      <c r="S811" s="1"/>
      <c r="T811" s="117"/>
      <c r="W811" s="75" t="str">
        <f t="shared" si="23"/>
        <v>1w</v>
      </c>
      <c r="X811" s="148">
        <f>_xll.qlCalendarAdvance(Calendar,X810,W811,"f",FALSE)</f>
        <v>44601</v>
      </c>
      <c r="Y811" s="153">
        <f>_xll.qlCalendarAdvance(Calendar,X811,NDays&amp;"D")</f>
        <v>44601</v>
      </c>
      <c r="Z811" s="154">
        <v>2.743202100737269E-2</v>
      </c>
      <c r="AA811" s="156">
        <v>2.7260048836265094E-2</v>
      </c>
    </row>
    <row r="812" spans="19:27" x14ac:dyDescent="0.2">
      <c r="S812" s="1"/>
      <c r="T812" s="117"/>
      <c r="W812" s="75" t="str">
        <f t="shared" si="23"/>
        <v>1w</v>
      </c>
      <c r="X812" s="148">
        <f>_xll.qlCalendarAdvance(Calendar,X811,W812,"f",FALSE)</f>
        <v>44608</v>
      </c>
      <c r="Y812" s="153">
        <f>_xll.qlCalendarAdvance(Calendar,X812,NDays&amp;"D")</f>
        <v>44608</v>
      </c>
      <c r="Z812" s="154">
        <v>2.7445075691899738E-2</v>
      </c>
      <c r="AA812" s="156">
        <v>2.7273071951838812E-2</v>
      </c>
    </row>
    <row r="813" spans="19:27" x14ac:dyDescent="0.2">
      <c r="S813" s="1"/>
      <c r="T813" s="117"/>
      <c r="W813" s="75" t="str">
        <f t="shared" si="23"/>
        <v>1w</v>
      </c>
      <c r="X813" s="148">
        <f>_xll.qlCalendarAdvance(Calendar,X812,W813,"f",FALSE)</f>
        <v>44615</v>
      </c>
      <c r="Y813" s="153">
        <f>_xll.qlCalendarAdvance(Calendar,X813,NDays&amp;"D")</f>
        <v>44615</v>
      </c>
      <c r="Z813" s="154">
        <v>2.7458121734030227E-2</v>
      </c>
      <c r="AA813" s="156">
        <v>2.728608644133268E-2</v>
      </c>
    </row>
    <row r="814" spans="19:27" x14ac:dyDescent="0.2">
      <c r="S814" s="1"/>
      <c r="T814" s="117"/>
      <c r="W814" s="75" t="str">
        <f t="shared" si="23"/>
        <v>1w</v>
      </c>
      <c r="X814" s="148">
        <f>_xll.qlCalendarAdvance(Calendar,X813,W814,"f",FALSE)</f>
        <v>44622</v>
      </c>
      <c r="Y814" s="153">
        <f>_xll.qlCalendarAdvance(Calendar,X814,NDays&amp;"D")</f>
        <v>44622</v>
      </c>
      <c r="Z814" s="154">
        <v>2.7477043047734906E-2</v>
      </c>
      <c r="AA814" s="156">
        <v>2.7299092304665651E-2</v>
      </c>
    </row>
    <row r="815" spans="19:27" x14ac:dyDescent="0.2">
      <c r="S815" s="1"/>
      <c r="T815" s="117"/>
      <c r="W815" s="75" t="str">
        <f t="shared" si="23"/>
        <v>1w</v>
      </c>
      <c r="X815" s="148">
        <f>_xll.qlCalendarAdvance(Calendar,X814,W815,"f",FALSE)</f>
        <v>44629</v>
      </c>
      <c r="Y815" s="153">
        <f>_xll.qlCalendarAdvance(Calendar,X815,NDays&amp;"D")</f>
        <v>44629</v>
      </c>
      <c r="Z815" s="154">
        <v>2.7490072885682695E-2</v>
      </c>
      <c r="AA815" s="156">
        <v>2.7312089541999818E-2</v>
      </c>
    </row>
    <row r="816" spans="19:27" x14ac:dyDescent="0.2">
      <c r="S816" s="1"/>
      <c r="T816" s="117"/>
      <c r="W816" s="75" t="str">
        <f t="shared" si="23"/>
        <v>1w</v>
      </c>
      <c r="X816" s="148">
        <f>_xll.qlCalendarAdvance(Calendar,X815,W816,"f",FALSE)</f>
        <v>44636</v>
      </c>
      <c r="Y816" s="153">
        <f>_xll.qlCalendarAdvance(Calendar,X816,NDays&amp;"D")</f>
        <v>44636</v>
      </c>
      <c r="Z816" s="154">
        <v>2.7503094080406701E-2</v>
      </c>
      <c r="AA816" s="156">
        <v>2.7325078153173088E-2</v>
      </c>
    </row>
    <row r="817" spans="19:27" x14ac:dyDescent="0.2">
      <c r="S817" s="1"/>
      <c r="T817" s="117"/>
      <c r="W817" s="75" t="str">
        <f t="shared" si="23"/>
        <v>1w</v>
      </c>
      <c r="X817" s="148">
        <f>_xll.qlCalendarAdvance(Calendar,X816,W817,"f",FALSE)</f>
        <v>44643</v>
      </c>
      <c r="Y817" s="153">
        <f>_xll.qlCalendarAdvance(Calendar,X817,NDays&amp;"D")</f>
        <v>44643</v>
      </c>
      <c r="Z817" s="154">
        <v>2.7516106631824119E-2</v>
      </c>
      <c r="AA817" s="156">
        <v>2.7338058138185461E-2</v>
      </c>
    </row>
    <row r="818" spans="19:27" x14ac:dyDescent="0.2">
      <c r="S818" s="1"/>
      <c r="T818" s="117"/>
      <c r="W818" s="75" t="str">
        <f t="shared" si="23"/>
        <v>1w</v>
      </c>
      <c r="X818" s="148">
        <f>_xll.qlCalendarAdvance(Calendar,X817,W818,"f",FALSE)</f>
        <v>44650</v>
      </c>
      <c r="Y818" s="153">
        <f>_xll.qlCalendarAdvance(Calendar,X818,NDays&amp;"D")</f>
        <v>44650</v>
      </c>
      <c r="Z818" s="154">
        <v>2.7529110539847735E-2</v>
      </c>
      <c r="AA818" s="156">
        <v>2.7351029497199031E-2</v>
      </c>
    </row>
    <row r="819" spans="19:27" x14ac:dyDescent="0.2">
      <c r="S819" s="1"/>
      <c r="T819" s="117"/>
      <c r="W819" s="75" t="str">
        <f t="shared" si="23"/>
        <v>1w</v>
      </c>
      <c r="X819" s="148">
        <f>_xll.qlCalendarAdvance(Calendar,X818,W819,"f",FALSE)</f>
        <v>44657</v>
      </c>
      <c r="Y819" s="153">
        <f>_xll.qlCalendarAdvance(Calendar,X819,NDays&amp;"D")</f>
        <v>44657</v>
      </c>
      <c r="Z819" s="154">
        <v>2.7540142567747838E-2</v>
      </c>
      <c r="AA819" s="156">
        <v>2.7363992229970657E-2</v>
      </c>
    </row>
    <row r="820" spans="19:27" x14ac:dyDescent="0.2">
      <c r="S820" s="1"/>
      <c r="T820" s="117"/>
      <c r="W820" s="75" t="str">
        <f t="shared" si="23"/>
        <v>1w</v>
      </c>
      <c r="X820" s="148">
        <f>_xll.qlCalendarAdvance(Calendar,X819,W820,"f",FALSE)</f>
        <v>44664</v>
      </c>
      <c r="Y820" s="153">
        <f>_xll.qlCalendarAdvance(Calendar,X820,NDays&amp;"D")</f>
        <v>44664</v>
      </c>
      <c r="Z820" s="154">
        <v>2.7553128829373399E-2</v>
      </c>
      <c r="AA820" s="156">
        <v>2.737694633674348E-2</v>
      </c>
    </row>
    <row r="821" spans="19:27" x14ac:dyDescent="0.2">
      <c r="S821" s="1"/>
      <c r="T821" s="117"/>
      <c r="W821" s="75" t="str">
        <f t="shared" si="23"/>
        <v>1w</v>
      </c>
      <c r="X821" s="148">
        <f>_xll.qlCalendarAdvance(Calendar,X820,W821,"f",FALSE)</f>
        <v>44671</v>
      </c>
      <c r="Y821" s="153">
        <f>_xll.qlCalendarAdvance(Calendar,X821,NDays&amp;"D")</f>
        <v>44671</v>
      </c>
      <c r="Z821" s="154">
        <v>2.7566106447549376E-2</v>
      </c>
      <c r="AA821" s="156">
        <v>2.7389891817355405E-2</v>
      </c>
    </row>
    <row r="822" spans="19:27" x14ac:dyDescent="0.2">
      <c r="S822" s="1"/>
      <c r="T822" s="117"/>
      <c r="W822" s="75" t="str">
        <f t="shared" si="23"/>
        <v>1w</v>
      </c>
      <c r="X822" s="148">
        <f>_xll.qlCalendarAdvance(Calendar,X821,W822,"f",FALSE)</f>
        <v>44678</v>
      </c>
      <c r="Y822" s="153">
        <f>_xll.qlCalendarAdvance(Calendar,X822,NDays&amp;"D")</f>
        <v>44678</v>
      </c>
      <c r="Z822" s="154">
        <v>2.757907542219383E-2</v>
      </c>
      <c r="AA822" s="156">
        <v>2.7402828671806434E-2</v>
      </c>
    </row>
    <row r="823" spans="19:27" x14ac:dyDescent="0.2">
      <c r="S823" s="1"/>
      <c r="T823" s="117"/>
      <c r="W823" s="75" t="str">
        <f t="shared" si="23"/>
        <v>1w</v>
      </c>
      <c r="X823" s="148">
        <f>_xll.qlCalendarAdvance(Calendar,X822,W823,"f",FALSE)</f>
        <v>44685</v>
      </c>
      <c r="Y823" s="153">
        <f>_xll.qlCalendarAdvance(Calendar,X823,NDays&amp;"D")</f>
        <v>44685</v>
      </c>
      <c r="Z823" s="154">
        <v>2.7594000426109388E-2</v>
      </c>
      <c r="AA823" s="156">
        <v>2.7415756900177612E-2</v>
      </c>
    </row>
    <row r="824" spans="19:27" x14ac:dyDescent="0.2">
      <c r="S824" s="1"/>
      <c r="T824" s="117"/>
      <c r="W824" s="75" t="str">
        <f t="shared" si="23"/>
        <v>1w</v>
      </c>
      <c r="X824" s="148">
        <f>_xll.qlCalendarAdvance(Calendar,X823,W824,"f",FALSE)</f>
        <v>44692</v>
      </c>
      <c r="Y824" s="153">
        <f>_xll.qlCalendarAdvance(Calendar,X824,NDays&amp;"D")</f>
        <v>44692</v>
      </c>
      <c r="Z824" s="154">
        <v>2.7606952471999503E-2</v>
      </c>
      <c r="AA824" s="156">
        <v>2.7428676502468941E-2</v>
      </c>
    </row>
    <row r="825" spans="19:27" x14ac:dyDescent="0.2">
      <c r="S825" s="1"/>
      <c r="T825" s="117"/>
      <c r="W825" s="75" t="str">
        <f t="shared" si="23"/>
        <v>1w</v>
      </c>
      <c r="X825" s="148">
        <f>_xll.qlCalendarAdvance(Calendar,X824,W825,"f",FALSE)</f>
        <v>44699</v>
      </c>
      <c r="Y825" s="153">
        <f>_xll.qlCalendarAdvance(Calendar,X825,NDays&amp;"D")</f>
        <v>44699</v>
      </c>
      <c r="Z825" s="154">
        <v>2.7619895873904704E-2</v>
      </c>
      <c r="AA825" s="156">
        <v>2.7441587478680418E-2</v>
      </c>
    </row>
    <row r="826" spans="19:27" x14ac:dyDescent="0.2">
      <c r="S826" s="1"/>
      <c r="T826" s="117"/>
      <c r="W826" s="75" t="str">
        <f t="shared" si="23"/>
        <v>1w</v>
      </c>
      <c r="X826" s="148">
        <f>_xll.qlCalendarAdvance(Calendar,X825,W826,"f",FALSE)</f>
        <v>44706</v>
      </c>
      <c r="Y826" s="153">
        <f>_xll.qlCalendarAdvance(Calendar,X826,NDays&amp;"D")</f>
        <v>44706</v>
      </c>
      <c r="Z826" s="154">
        <v>2.7632830631742183E-2</v>
      </c>
      <c r="AA826" s="156">
        <v>2.7454489828649953E-2</v>
      </c>
    </row>
    <row r="827" spans="19:27" x14ac:dyDescent="0.2">
      <c r="S827" s="1"/>
      <c r="T827" s="117"/>
      <c r="W827" s="75" t="str">
        <f t="shared" si="23"/>
        <v>1w</v>
      </c>
      <c r="X827" s="148">
        <f>_xll.qlCalendarAdvance(Calendar,X826,W827,"f",FALSE)</f>
        <v>44713</v>
      </c>
      <c r="Y827" s="153">
        <f>_xll.qlCalendarAdvance(Calendar,X827,NDays&amp;"D")</f>
        <v>44713</v>
      </c>
      <c r="Z827" s="154">
        <v>2.7645756745425614E-2</v>
      </c>
      <c r="AA827" s="156">
        <v>2.7467383552620683E-2</v>
      </c>
    </row>
    <row r="828" spans="19:27" x14ac:dyDescent="0.2">
      <c r="S828" s="1"/>
      <c r="T828" s="117"/>
      <c r="W828" s="75" t="str">
        <f t="shared" si="23"/>
        <v>1w</v>
      </c>
      <c r="X828" s="148">
        <f>_xll.qlCalendarAdvance(Calendar,X827,W828,"f",FALSE)</f>
        <v>44720</v>
      </c>
      <c r="Y828" s="153">
        <f>_xll.qlCalendarAdvance(Calendar,X828,NDays&amp;"D")</f>
        <v>44720</v>
      </c>
      <c r="Z828" s="154">
        <v>2.7658674214872184E-2</v>
      </c>
      <c r="AA828" s="156">
        <v>2.7480268650430517E-2</v>
      </c>
    </row>
    <row r="829" spans="19:27" x14ac:dyDescent="0.2">
      <c r="S829" s="1"/>
      <c r="T829" s="117"/>
      <c r="W829" s="75" t="str">
        <f t="shared" si="23"/>
        <v>1w</v>
      </c>
      <c r="X829" s="148">
        <f>_xll.qlCalendarAdvance(Calendar,X828,W829,"f",FALSE)</f>
        <v>44727</v>
      </c>
      <c r="Y829" s="153">
        <f>_xll.qlCalendarAdvance(Calendar,X829,NDays&amp;"D")</f>
        <v>44727</v>
      </c>
      <c r="Z829" s="154">
        <v>2.7671583039996443E-2</v>
      </c>
      <c r="AA829" s="156">
        <v>2.7493145121998408E-2</v>
      </c>
    </row>
    <row r="830" spans="19:27" x14ac:dyDescent="0.2">
      <c r="S830" s="1"/>
      <c r="T830" s="117"/>
      <c r="W830" s="75" t="str">
        <f t="shared" si="23"/>
        <v>1w</v>
      </c>
      <c r="X830" s="148">
        <f>_xll.qlCalendarAdvance(Calendar,X829,W830,"f",FALSE)</f>
        <v>44734</v>
      </c>
      <c r="Y830" s="153">
        <f>_xll.qlCalendarAdvance(Calendar,X830,NDays&amp;"D")</f>
        <v>44734</v>
      </c>
      <c r="Z830" s="154">
        <v>2.7684483220716465E-2</v>
      </c>
      <c r="AA830" s="156">
        <v>2.7506012967648541E-2</v>
      </c>
    </row>
    <row r="831" spans="19:27" x14ac:dyDescent="0.2">
      <c r="S831" s="1"/>
      <c r="T831" s="117"/>
      <c r="W831" s="75" t="str">
        <f t="shared" si="23"/>
        <v>1w</v>
      </c>
      <c r="X831" s="148">
        <f>_xll.qlCalendarAdvance(Calendar,X830,W831,"f",FALSE)</f>
        <v>44741</v>
      </c>
      <c r="Y831" s="153">
        <f>_xll.qlCalendarAdvance(Calendar,X831,NDays&amp;"D")</f>
        <v>44741</v>
      </c>
      <c r="Z831" s="154">
        <v>2.7697374756947675E-2</v>
      </c>
      <c r="AA831" s="156">
        <v>2.7518872187056731E-2</v>
      </c>
    </row>
    <row r="832" spans="19:27" x14ac:dyDescent="0.2">
      <c r="S832" s="1"/>
      <c r="T832" s="117"/>
      <c r="W832" s="75" t="str">
        <f t="shared" si="23"/>
        <v>1w</v>
      </c>
      <c r="X832" s="148">
        <f>_xll.qlCalendarAdvance(Calendar,X831,W832,"f",FALSE)</f>
        <v>44748</v>
      </c>
      <c r="Y832" s="153">
        <f>_xll.qlCalendarAdvance(Calendar,X832,NDays&amp;"D")</f>
        <v>44748</v>
      </c>
      <c r="Z832" s="154">
        <v>2.7710257648604627E-2</v>
      </c>
      <c r="AA832" s="156">
        <v>2.7531722780466117E-2</v>
      </c>
    </row>
    <row r="833" spans="19:27" x14ac:dyDescent="0.2">
      <c r="S833" s="1"/>
      <c r="T833" s="117"/>
      <c r="W833" s="75" t="str">
        <f t="shared" si="23"/>
        <v>1w</v>
      </c>
      <c r="X833" s="148">
        <f>_xll.qlCalendarAdvance(Calendar,X832,W833,"f",FALSE)</f>
        <v>44755</v>
      </c>
      <c r="Y833" s="153">
        <f>_xll.qlCalendarAdvance(Calendar,X833,NDays&amp;"D")</f>
        <v>44755</v>
      </c>
      <c r="Z833" s="154">
        <v>2.772313269531107E-2</v>
      </c>
      <c r="AA833" s="156">
        <v>2.7544564747552513E-2</v>
      </c>
    </row>
    <row r="834" spans="19:27" x14ac:dyDescent="0.2">
      <c r="S834" s="1"/>
      <c r="T834" s="117"/>
      <c r="W834" s="75" t="str">
        <f t="shared" si="23"/>
        <v>1w</v>
      </c>
      <c r="X834" s="148">
        <f>_xll.qlCalendarAdvance(Calendar,X833,W834,"f",FALSE)</f>
        <v>44762</v>
      </c>
      <c r="Y834" s="153">
        <f>_xll.qlCalendarAdvance(Calendar,X834,NDays&amp;"D")</f>
        <v>44762</v>
      </c>
      <c r="Z834" s="154">
        <v>2.773600563193707E-2</v>
      </c>
      <c r="AA834" s="156">
        <v>2.7557398088640106E-2</v>
      </c>
    </row>
    <row r="835" spans="19:27" x14ac:dyDescent="0.2">
      <c r="S835" s="1"/>
      <c r="T835" s="117"/>
      <c r="W835" s="75" t="str">
        <f t="shared" si="23"/>
        <v>1w</v>
      </c>
      <c r="X835" s="148">
        <f>_xll.qlCalendarAdvance(Calendar,X834,W835,"f",FALSE)</f>
        <v>44769</v>
      </c>
      <c r="Y835" s="153">
        <f>_xll.qlCalendarAdvance(Calendar,X835,NDays&amp;"D")</f>
        <v>44769</v>
      </c>
      <c r="Z835" s="154">
        <v>2.7748884074230727E-2</v>
      </c>
      <c r="AA835" s="156">
        <v>2.7570222803647848E-2</v>
      </c>
    </row>
    <row r="836" spans="19:27" x14ac:dyDescent="0.2">
      <c r="S836" s="1"/>
      <c r="T836" s="117"/>
      <c r="W836" s="75" t="str">
        <f t="shared" si="23"/>
        <v>1w</v>
      </c>
      <c r="X836" s="148">
        <f>_xll.qlCalendarAdvance(Calendar,X835,W836,"f",FALSE)</f>
        <v>44776</v>
      </c>
      <c r="Y836" s="153">
        <f>_xll.qlCalendarAdvance(Calendar,X836,NDays&amp;"D")</f>
        <v>44776</v>
      </c>
      <c r="Z836" s="154">
        <v>2.7761775641740521E-2</v>
      </c>
      <c r="AA836" s="156">
        <v>2.7583038892413647E-2</v>
      </c>
    </row>
    <row r="837" spans="19:27" x14ac:dyDescent="0.2">
      <c r="S837" s="1"/>
      <c r="T837" s="117"/>
      <c r="W837" s="75" t="str">
        <f t="shared" si="23"/>
        <v>1w</v>
      </c>
      <c r="X837" s="148">
        <f>_xll.qlCalendarAdvance(Calendar,X836,W837,"f",FALSE)</f>
        <v>44783</v>
      </c>
      <c r="Y837" s="153">
        <f>_xll.qlCalendarAdvance(Calendar,X837,NDays&amp;"D")</f>
        <v>44783</v>
      </c>
      <c r="Z837" s="154">
        <v>2.7774687954111813E-2</v>
      </c>
      <c r="AA837" s="156">
        <v>2.7595846355099596E-2</v>
      </c>
    </row>
    <row r="838" spans="19:27" x14ac:dyDescent="0.2">
      <c r="S838" s="1"/>
      <c r="T838" s="117"/>
      <c r="W838" s="75" t="str">
        <f t="shared" si="23"/>
        <v>1w</v>
      </c>
      <c r="X838" s="148">
        <f>_xll.qlCalendarAdvance(Calendar,X837,W838,"f",FALSE)</f>
        <v>44790</v>
      </c>
      <c r="Y838" s="153">
        <f>_xll.qlCalendarAdvance(Calendar,X838,NDays&amp;"D")</f>
        <v>44790</v>
      </c>
      <c r="Z838" s="154">
        <v>2.7787628631089537E-2</v>
      </c>
      <c r="AA838" s="156">
        <v>2.7608645191705694E-2</v>
      </c>
    </row>
    <row r="839" spans="19:27" x14ac:dyDescent="0.2">
      <c r="S839" s="1"/>
      <c r="T839" s="117"/>
      <c r="W839" s="75" t="str">
        <f t="shared" si="23"/>
        <v>1w</v>
      </c>
      <c r="X839" s="148">
        <f>_xll.qlCalendarAdvance(Calendar,X838,W839,"f",FALSE)</f>
        <v>44797</v>
      </c>
      <c r="Y839" s="153">
        <f>_xll.qlCalendarAdvance(Calendar,X839,NDays&amp;"D")</f>
        <v>44797</v>
      </c>
      <c r="Z839" s="154">
        <v>2.7800605292519025E-2</v>
      </c>
      <c r="AA839" s="156">
        <v>2.7621435402150896E-2</v>
      </c>
    </row>
    <row r="840" spans="19:27" x14ac:dyDescent="0.2">
      <c r="S840" s="1"/>
      <c r="T840" s="117"/>
      <c r="W840" s="75" t="str">
        <f t="shared" si="23"/>
        <v>1w</v>
      </c>
      <c r="X840" s="148">
        <f>_xll.qlCalendarAdvance(Calendar,X839,W840,"f",FALSE)</f>
        <v>44804</v>
      </c>
      <c r="Y840" s="153">
        <f>_xll.qlCalendarAdvance(Calendar,X840,NDays&amp;"D")</f>
        <v>44804</v>
      </c>
      <c r="Z840" s="154">
        <v>2.7811628187280949E-2</v>
      </c>
      <c r="AA840" s="156">
        <v>2.7634216986435201E-2</v>
      </c>
    </row>
    <row r="841" spans="19:27" x14ac:dyDescent="0.2">
      <c r="S841" s="1"/>
      <c r="T841" s="117"/>
      <c r="W841" s="75" t="str">
        <f t="shared" si="23"/>
        <v>1w</v>
      </c>
      <c r="X841" s="148">
        <f>_xll.qlCalendarAdvance(Calendar,X840,W841,"f",FALSE)</f>
        <v>44811</v>
      </c>
      <c r="Y841" s="153">
        <f>_xll.qlCalendarAdvance(Calendar,X841,NDays&amp;"D")</f>
        <v>44811</v>
      </c>
      <c r="Z841" s="154">
        <v>2.7824693111837061E-2</v>
      </c>
      <c r="AA841" s="156">
        <v>2.7646989944639655E-2</v>
      </c>
    </row>
    <row r="842" spans="19:27" x14ac:dyDescent="0.2">
      <c r="S842" s="1"/>
      <c r="T842" s="117"/>
      <c r="W842" s="75" t="str">
        <f t="shared" si="23"/>
        <v>1w</v>
      </c>
      <c r="X842" s="148">
        <f>_xll.qlCalendarAdvance(Calendar,X841,W842,"f",FALSE)</f>
        <v>44818</v>
      </c>
      <c r="Y842" s="153">
        <f>_xll.qlCalendarAdvance(Calendar,X842,NDays&amp;"D")</f>
        <v>44818</v>
      </c>
      <c r="Z842" s="154">
        <v>2.7837816517166415E-2</v>
      </c>
      <c r="AA842" s="156">
        <v>2.7659754276683213E-2</v>
      </c>
    </row>
    <row r="843" spans="19:27" x14ac:dyDescent="0.2">
      <c r="S843" s="1"/>
      <c r="T843" s="117"/>
      <c r="W843" s="75" t="str">
        <f t="shared" si="23"/>
        <v>1w</v>
      </c>
      <c r="X843" s="148">
        <f>_xll.qlCalendarAdvance(Calendar,X842,W843,"f",FALSE)</f>
        <v>44825</v>
      </c>
      <c r="Y843" s="153">
        <f>_xll.qlCalendarAdvance(Calendar,X843,NDays&amp;"D")</f>
        <v>44825</v>
      </c>
      <c r="Z843" s="154">
        <v>2.7851006106654762E-2</v>
      </c>
      <c r="AA843" s="156">
        <v>2.7672509982565874E-2</v>
      </c>
    </row>
    <row r="844" spans="19:27" x14ac:dyDescent="0.2">
      <c r="S844" s="1"/>
      <c r="T844" s="117"/>
      <c r="W844" s="75" t="str">
        <f t="shared" si="23"/>
        <v>1w</v>
      </c>
      <c r="X844" s="148">
        <f>_xll.qlCalendarAdvance(Calendar,X843,W844,"f",FALSE)</f>
        <v>44832</v>
      </c>
      <c r="Y844" s="153">
        <f>_xll.qlCalendarAdvance(Calendar,X844,NDays&amp;"D")</f>
        <v>44832</v>
      </c>
      <c r="Z844" s="154">
        <v>2.7864269583789389E-2</v>
      </c>
      <c r="AA844" s="156">
        <v>2.7685257062368684E-2</v>
      </c>
    </row>
    <row r="845" spans="19:27" x14ac:dyDescent="0.2">
      <c r="S845" s="1"/>
      <c r="T845" s="117"/>
      <c r="W845" s="75" t="str">
        <f t="shared" si="23"/>
        <v>1w</v>
      </c>
      <c r="X845" s="148">
        <f>_xll.qlCalendarAdvance(Calendar,X844,W845,"f",FALSE)</f>
        <v>44839</v>
      </c>
      <c r="Y845" s="153">
        <f>_xll.qlCalendarAdvance(Calendar,X845,NDays&amp;"D")</f>
        <v>44839</v>
      </c>
      <c r="Z845" s="154">
        <v>2.7879647658558739E-2</v>
      </c>
      <c r="AA845" s="156">
        <v>2.7697995516010598E-2</v>
      </c>
    </row>
    <row r="846" spans="19:27" x14ac:dyDescent="0.2">
      <c r="S846" s="1"/>
      <c r="T846" s="117"/>
      <c r="W846" s="75" t="str">
        <f t="shared" si="23"/>
        <v>1w</v>
      </c>
      <c r="X846" s="148">
        <f>_xll.qlCalendarAdvance(Calendar,X845,W846,"f",FALSE)</f>
        <v>44846</v>
      </c>
      <c r="Y846" s="153">
        <f>_xll.qlCalendarAdvance(Calendar,X846,NDays&amp;"D")</f>
        <v>44846</v>
      </c>
      <c r="Z846" s="154">
        <v>2.7893089112481926E-2</v>
      </c>
      <c r="AA846" s="156">
        <v>2.7710756126814173E-2</v>
      </c>
    </row>
    <row r="847" spans="19:27" x14ac:dyDescent="0.2">
      <c r="S847" s="1"/>
      <c r="T847" s="117"/>
      <c r="W847" s="75" t="str">
        <f t="shared" si="23"/>
        <v>1w</v>
      </c>
      <c r="X847" s="148">
        <f>_xll.qlCalendarAdvance(Calendar,X846,W847,"f",FALSE)</f>
        <v>44853</v>
      </c>
      <c r="Y847" s="153">
        <f>_xll.qlCalendarAdvance(Calendar,X847,NDays&amp;"D")</f>
        <v>44853</v>
      </c>
      <c r="Z847" s="154">
        <v>2.7906622040972526E-2</v>
      </c>
      <c r="AA847" s="156">
        <v>2.7723605197039758E-2</v>
      </c>
    </row>
    <row r="848" spans="19:27" x14ac:dyDescent="0.2">
      <c r="S848" s="1"/>
      <c r="T848" s="117"/>
      <c r="W848" s="75" t="str">
        <f t="shared" si="23"/>
        <v>1w</v>
      </c>
      <c r="X848" s="148">
        <f>_xll.qlCalendarAdvance(Calendar,X847,W848,"f",FALSE)</f>
        <v>44860</v>
      </c>
      <c r="Y848" s="153">
        <f>_xll.qlCalendarAdvance(Calendar,X848,NDays&amp;"D")</f>
        <v>44860</v>
      </c>
      <c r="Z848" s="154">
        <v>2.7920246474578823E-2</v>
      </c>
      <c r="AA848" s="156">
        <v>2.7736545094940723E-2</v>
      </c>
    </row>
    <row r="849" spans="19:27" x14ac:dyDescent="0.2">
      <c r="S849" s="1"/>
      <c r="T849" s="117"/>
      <c r="W849" s="75" t="str">
        <f t="shared" si="23"/>
        <v>1w</v>
      </c>
      <c r="X849" s="148">
        <f>_xll.qlCalendarAdvance(Calendar,X848,W849,"f",FALSE)</f>
        <v>44867</v>
      </c>
      <c r="Y849" s="153">
        <f>_xll.qlCalendarAdvance(Calendar,X849,NDays&amp;"D")</f>
        <v>44867</v>
      </c>
      <c r="Z849" s="154">
        <v>2.7933962414236367E-2</v>
      </c>
      <c r="AA849" s="156">
        <v>2.7749575820273931E-2</v>
      </c>
    </row>
    <row r="850" spans="19:27" x14ac:dyDescent="0.2">
      <c r="S850" s="1"/>
      <c r="T850" s="117"/>
      <c r="W850" s="75" t="str">
        <f t="shared" si="23"/>
        <v>1w</v>
      </c>
      <c r="X850" s="148">
        <f>_xll.qlCalendarAdvance(Calendar,X849,W850,"f",FALSE)</f>
        <v>44874</v>
      </c>
      <c r="Y850" s="153">
        <f>_xll.qlCalendarAdvance(Calendar,X850,NDays&amp;"D")</f>
        <v>44874</v>
      </c>
      <c r="Z850" s="154">
        <v>2.7947769860888649E-2</v>
      </c>
      <c r="AA850" s="156">
        <v>2.776269737303938E-2</v>
      </c>
    </row>
    <row r="851" spans="19:27" x14ac:dyDescent="0.2">
      <c r="S851" s="1"/>
      <c r="T851" s="117"/>
      <c r="W851" s="75" t="str">
        <f t="shared" si="23"/>
        <v>1w</v>
      </c>
      <c r="X851" s="148">
        <f>_xll.qlCalendarAdvance(Calendar,X850,W851,"f",FALSE)</f>
        <v>44881</v>
      </c>
      <c r="Y851" s="153">
        <f>_xll.qlCalendarAdvance(Calendar,X851,NDays&amp;"D")</f>
        <v>44881</v>
      </c>
      <c r="Z851" s="154">
        <v>2.7961668815482673E-2</v>
      </c>
      <c r="AA851" s="156">
        <v>2.7775909753399164E-2</v>
      </c>
    </row>
    <row r="852" spans="19:27" x14ac:dyDescent="0.2">
      <c r="S852" s="1"/>
      <c r="T852" s="117"/>
      <c r="W852" s="75" t="str">
        <f t="shared" si="23"/>
        <v>1w</v>
      </c>
      <c r="X852" s="148">
        <f>_xll.qlCalendarAdvance(Calendar,X851,W852,"f",FALSE)</f>
        <v>44888</v>
      </c>
      <c r="Y852" s="153">
        <f>_xll.qlCalendarAdvance(Calendar,X852,NDays&amp;"D")</f>
        <v>44888</v>
      </c>
      <c r="Z852" s="154">
        <v>2.7975659278973379E-2</v>
      </c>
      <c r="AA852" s="156">
        <v>2.778921296119119E-2</v>
      </c>
    </row>
    <row r="853" spans="19:27" x14ac:dyDescent="0.2">
      <c r="S853" s="1"/>
      <c r="T853" s="117"/>
      <c r="W853" s="75" t="str">
        <f t="shared" ref="W853:W916" si="24">W852</f>
        <v>1w</v>
      </c>
      <c r="X853" s="148">
        <f>_xll.qlCalendarAdvance(Calendar,X852,W853,"f",FALSE)</f>
        <v>44895</v>
      </c>
      <c r="Y853" s="153">
        <f>_xll.qlCalendarAdvance(Calendar,X853,NDays&amp;"D")</f>
        <v>44895</v>
      </c>
      <c r="Z853" s="154">
        <v>2.7985554709839742E-2</v>
      </c>
      <c r="AA853" s="156">
        <v>2.7802606996658596E-2</v>
      </c>
    </row>
    <row r="854" spans="19:27" x14ac:dyDescent="0.2">
      <c r="S854" s="1"/>
      <c r="T854" s="117"/>
      <c r="W854" s="75" t="str">
        <f t="shared" si="24"/>
        <v>1w</v>
      </c>
      <c r="X854" s="148">
        <f>_xll.qlCalendarAdvance(Calendar,X853,W854,"f",FALSE)</f>
        <v>44902</v>
      </c>
      <c r="Y854" s="153">
        <f>_xll.qlCalendarAdvance(Calendar,X854,NDays&amp;"D")</f>
        <v>44902</v>
      </c>
      <c r="Z854" s="154">
        <v>2.7999712956520942E-2</v>
      </c>
      <c r="AA854" s="156">
        <v>2.7816091859558245E-2</v>
      </c>
    </row>
    <row r="855" spans="19:27" x14ac:dyDescent="0.2">
      <c r="S855" s="1"/>
      <c r="T855" s="117"/>
      <c r="W855" s="75" t="str">
        <f t="shared" si="24"/>
        <v>1w</v>
      </c>
      <c r="X855" s="148">
        <f>_xll.qlCalendarAdvance(Calendar,X854,W855,"f",FALSE)</f>
        <v>44909</v>
      </c>
      <c r="Y855" s="153">
        <f>_xll.qlCalendarAdvance(Calendar,X855,NDays&amp;"D")</f>
        <v>44909</v>
      </c>
      <c r="Z855" s="154">
        <v>2.8013962699773187E-2</v>
      </c>
      <c r="AA855" s="156">
        <v>2.7829667550133275E-2</v>
      </c>
    </row>
    <row r="856" spans="19:27" x14ac:dyDescent="0.2">
      <c r="S856" s="1"/>
      <c r="T856" s="117"/>
      <c r="W856" s="75" t="str">
        <f t="shared" si="24"/>
        <v>1w</v>
      </c>
      <c r="X856" s="148">
        <f>_xll.qlCalendarAdvance(Calendar,X855,W856,"f",FALSE)</f>
        <v>44916</v>
      </c>
      <c r="Y856" s="153">
        <f>_xll.qlCalendarAdvance(Calendar,X856,NDays&amp;"D")</f>
        <v>44916</v>
      </c>
      <c r="Z856" s="154">
        <v>2.8028303940551929E-2</v>
      </c>
      <c r="AA856" s="156">
        <v>2.7843334068221592E-2</v>
      </c>
    </row>
    <row r="857" spans="19:27" x14ac:dyDescent="0.2">
      <c r="S857" s="1"/>
      <c r="T857" s="117"/>
      <c r="W857" s="75" t="str">
        <f t="shared" si="24"/>
        <v>1w</v>
      </c>
      <c r="X857" s="148">
        <f>_xll.qlCalendarAdvance(Calendar,X856,W857,"f",FALSE)</f>
        <v>44923</v>
      </c>
      <c r="Y857" s="153">
        <f>_xll.qlCalendarAdvance(Calendar,X857,NDays&amp;"D")</f>
        <v>44923</v>
      </c>
      <c r="Z857" s="154">
        <v>2.8042736679822516E-2</v>
      </c>
      <c r="AA857" s="156">
        <v>2.7857091413823198E-2</v>
      </c>
    </row>
    <row r="858" spans="19:27" x14ac:dyDescent="0.2">
      <c r="S858" s="1"/>
      <c r="T858" s="117"/>
      <c r="W858" s="75" t="str">
        <f t="shared" si="24"/>
        <v>1w</v>
      </c>
      <c r="X858" s="148">
        <f>_xll.qlCalendarAdvance(Calendar,X857,W858,"f",FALSE)</f>
        <v>44930</v>
      </c>
      <c r="Y858" s="153">
        <f>_xll.qlCalendarAdvance(Calendar,X858,NDays&amp;"D")</f>
        <v>44930</v>
      </c>
      <c r="Z858" s="154">
        <v>2.80572609185539E-2</v>
      </c>
      <c r="AA858" s="156">
        <v>2.7870939587100185E-2</v>
      </c>
    </row>
    <row r="859" spans="19:27" x14ac:dyDescent="0.2">
      <c r="S859" s="1"/>
      <c r="T859" s="117"/>
      <c r="W859" s="75" t="str">
        <f t="shared" si="24"/>
        <v>1w</v>
      </c>
      <c r="X859" s="148">
        <f>_xll.qlCalendarAdvance(Calendar,X858,W859,"f",FALSE)</f>
        <v>44937</v>
      </c>
      <c r="Y859" s="153">
        <f>_xll.qlCalendarAdvance(Calendar,X859,NDays&amp;"D")</f>
        <v>44937</v>
      </c>
      <c r="Z859" s="154">
        <v>2.8071876657722237E-2</v>
      </c>
      <c r="AA859" s="156">
        <v>2.7884878587971507E-2</v>
      </c>
    </row>
    <row r="860" spans="19:27" x14ac:dyDescent="0.2">
      <c r="S860" s="1"/>
      <c r="T860" s="117"/>
      <c r="W860" s="75" t="str">
        <f t="shared" si="24"/>
        <v>1w</v>
      </c>
      <c r="X860" s="148">
        <f>_xll.qlCalendarAdvance(Calendar,X859,W860,"f",FALSE)</f>
        <v>44944</v>
      </c>
      <c r="Y860" s="153">
        <f>_xll.qlCalendarAdvance(Calendar,X860,NDays&amp;"D")</f>
        <v>44944</v>
      </c>
      <c r="Z860" s="154">
        <v>2.8086583898309994E-2</v>
      </c>
      <c r="AA860" s="156">
        <v>2.7898908416437163E-2</v>
      </c>
    </row>
    <row r="861" spans="19:27" x14ac:dyDescent="0.2">
      <c r="S861" s="1"/>
      <c r="T861" s="117"/>
      <c r="W861" s="75" t="str">
        <f t="shared" si="24"/>
        <v>1w</v>
      </c>
      <c r="X861" s="148">
        <f>_xll.qlCalendarAdvance(Calendar,X860,W861,"f",FALSE)</f>
        <v>44951</v>
      </c>
      <c r="Y861" s="153">
        <f>_xll.qlCalendarAdvance(Calendar,X861,NDays&amp;"D")</f>
        <v>44951</v>
      </c>
      <c r="Z861" s="154">
        <v>2.8101382641304129E-2</v>
      </c>
      <c r="AA861" s="156">
        <v>2.7913029072497153E-2</v>
      </c>
    </row>
    <row r="862" spans="19:27" x14ac:dyDescent="0.2">
      <c r="S862" s="1"/>
      <c r="T862" s="117"/>
      <c r="W862" s="75" t="str">
        <f t="shared" si="24"/>
        <v>1w</v>
      </c>
      <c r="X862" s="148">
        <f>_xll.qlCalendarAdvance(Calendar,X861,W862,"f",FALSE)</f>
        <v>44958</v>
      </c>
      <c r="Y862" s="153">
        <f>_xll.qlCalendarAdvance(Calendar,X862,NDays&amp;"D")</f>
        <v>44958</v>
      </c>
      <c r="Z862" s="154">
        <v>2.8116272887700616E-2</v>
      </c>
      <c r="AA862" s="156">
        <v>2.7927240556232524E-2</v>
      </c>
    </row>
    <row r="863" spans="19:27" x14ac:dyDescent="0.2">
      <c r="S863" s="1"/>
      <c r="T863" s="117"/>
      <c r="W863" s="75" t="str">
        <f t="shared" si="24"/>
        <v>1w</v>
      </c>
      <c r="X863" s="148">
        <f>_xll.qlCalendarAdvance(Calendar,X862,W863,"f",FALSE)</f>
        <v>44965</v>
      </c>
      <c r="Y863" s="153">
        <f>_xll.qlCalendarAdvance(Calendar,X863,NDays&amp;"D")</f>
        <v>44965</v>
      </c>
      <c r="Z863" s="154">
        <v>2.8129086103153504E-2</v>
      </c>
      <c r="AA863" s="156">
        <v>2.7941542867643276E-2</v>
      </c>
    </row>
    <row r="864" spans="19:27" x14ac:dyDescent="0.2">
      <c r="S864" s="1"/>
      <c r="T864" s="117"/>
      <c r="W864" s="75" t="str">
        <f t="shared" si="24"/>
        <v>1w</v>
      </c>
      <c r="X864" s="148">
        <f>_xll.qlCalendarAdvance(Calendar,X863,W864,"f",FALSE)</f>
        <v>44972</v>
      </c>
      <c r="Y864" s="153">
        <f>_xll.qlCalendarAdvance(Calendar,X864,NDays&amp;"D")</f>
        <v>44972</v>
      </c>
      <c r="Z864" s="154">
        <v>2.8144151665742721E-2</v>
      </c>
      <c r="AA864" s="156">
        <v>2.7955936006648363E-2</v>
      </c>
    </row>
    <row r="865" spans="19:27" x14ac:dyDescent="0.2">
      <c r="S865" s="1"/>
      <c r="T865" s="117"/>
      <c r="W865" s="75" t="str">
        <f t="shared" si="24"/>
        <v>1w</v>
      </c>
      <c r="X865" s="148">
        <f>_xll.qlCalendarAdvance(Calendar,X864,W865,"f",FALSE)</f>
        <v>44979</v>
      </c>
      <c r="Y865" s="153">
        <f>_xll.qlCalendarAdvance(Calendar,X865,NDays&amp;"D")</f>
        <v>44979</v>
      </c>
      <c r="Z865" s="154">
        <v>2.8159308727028633E-2</v>
      </c>
      <c r="AA865" s="156">
        <v>2.7970419973328831E-2</v>
      </c>
    </row>
    <row r="866" spans="19:27" x14ac:dyDescent="0.2">
      <c r="S866" s="1"/>
      <c r="T866" s="117"/>
      <c r="W866" s="75" t="str">
        <f t="shared" si="24"/>
        <v>1w</v>
      </c>
      <c r="X866" s="148">
        <f>_xll.qlCalendarAdvance(Calendar,X865,W866,"f",FALSE)</f>
        <v>44986</v>
      </c>
      <c r="Y866" s="153">
        <f>_xll.qlCalendarAdvance(Calendar,X866,NDays&amp;"D")</f>
        <v>44986</v>
      </c>
      <c r="Z866" s="154">
        <v>2.8181134751617046E-2</v>
      </c>
      <c r="AA866" s="156">
        <v>2.7984994767684679E-2</v>
      </c>
    </row>
    <row r="867" spans="19:27" x14ac:dyDescent="0.2">
      <c r="S867" s="1"/>
      <c r="T867" s="117"/>
      <c r="W867" s="75" t="str">
        <f t="shared" si="24"/>
        <v>1w</v>
      </c>
      <c r="X867" s="148">
        <f>_xll.qlCalendarAdvance(Calendar,X866,W867,"f",FALSE)</f>
        <v>44993</v>
      </c>
      <c r="Y867" s="153">
        <f>_xll.qlCalendarAdvance(Calendar,X867,NDays&amp;"D")</f>
        <v>44993</v>
      </c>
      <c r="Z867" s="154">
        <v>2.8196497967399987E-2</v>
      </c>
      <c r="AA867" s="156">
        <v>2.7999660389715908E-2</v>
      </c>
    </row>
    <row r="868" spans="19:27" x14ac:dyDescent="0.2">
      <c r="S868" s="1"/>
      <c r="T868" s="117"/>
      <c r="W868" s="75" t="str">
        <f t="shared" si="24"/>
        <v>1w</v>
      </c>
      <c r="X868" s="148">
        <f>_xll.qlCalendarAdvance(Calendar,X867,W868,"f",FALSE)</f>
        <v>45000</v>
      </c>
      <c r="Y868" s="153">
        <f>_xll.qlCalendarAdvance(Calendar,X868,NDays&amp;"D")</f>
        <v>45000</v>
      </c>
      <c r="Z868" s="154">
        <v>2.8211952708209583E-2</v>
      </c>
      <c r="AA868" s="156">
        <v>2.8014416839422518E-2</v>
      </c>
    </row>
    <row r="869" spans="19:27" x14ac:dyDescent="0.2">
      <c r="S869" s="1"/>
      <c r="T869" s="117"/>
      <c r="W869" s="75" t="str">
        <f t="shared" si="24"/>
        <v>1w</v>
      </c>
      <c r="X869" s="148">
        <f>_xll.qlCalendarAdvance(Calendar,X868,W869,"f",FALSE)</f>
        <v>45007</v>
      </c>
      <c r="Y869" s="153">
        <f>_xll.qlCalendarAdvance(Calendar,X869,NDays&amp;"D")</f>
        <v>45007</v>
      </c>
      <c r="Z869" s="154">
        <v>2.8227498975108237E-2</v>
      </c>
      <c r="AA869" s="156">
        <v>2.8029264116966601E-2</v>
      </c>
    </row>
    <row r="870" spans="19:27" x14ac:dyDescent="0.2">
      <c r="S870" s="1"/>
      <c r="T870" s="117"/>
      <c r="W870" s="75" t="str">
        <f t="shared" si="24"/>
        <v>1w</v>
      </c>
      <c r="X870" s="148">
        <f>_xll.qlCalendarAdvance(Calendar,X869,W870,"f",FALSE)</f>
        <v>45014</v>
      </c>
      <c r="Y870" s="153">
        <f>_xll.qlCalendarAdvance(Calendar,X870,NDays&amp;"D")</f>
        <v>45014</v>
      </c>
      <c r="Z870" s="154">
        <v>2.8243136769163655E-2</v>
      </c>
      <c r="AA870" s="156">
        <v>2.8044202222105019E-2</v>
      </c>
    </row>
    <row r="871" spans="19:27" x14ac:dyDescent="0.2">
      <c r="S871" s="1"/>
      <c r="T871" s="117"/>
      <c r="W871" s="75" t="str">
        <f t="shared" si="24"/>
        <v>1w</v>
      </c>
      <c r="X871" s="148">
        <f>_xll.qlCalendarAdvance(Calendar,X870,W871,"f",FALSE)</f>
        <v>45021</v>
      </c>
      <c r="Y871" s="153">
        <f>_xll.qlCalendarAdvance(Calendar,X871,NDays&amp;"D")</f>
        <v>45021</v>
      </c>
      <c r="Z871" s="154">
        <v>2.8256634081155477E-2</v>
      </c>
      <c r="AA871" s="156">
        <v>2.8059231154999864E-2</v>
      </c>
    </row>
    <row r="872" spans="19:27" x14ac:dyDescent="0.2">
      <c r="S872" s="1"/>
      <c r="T872" s="117"/>
      <c r="W872" s="75" t="str">
        <f t="shared" si="24"/>
        <v>1w</v>
      </c>
      <c r="X872" s="148">
        <f>_xll.qlCalendarAdvance(Calendar,X871,W872,"f",FALSE)</f>
        <v>45028</v>
      </c>
      <c r="Y872" s="153">
        <f>_xll.qlCalendarAdvance(Calendar,X872,NDays&amp;"D")</f>
        <v>45028</v>
      </c>
      <c r="Z872" s="154">
        <v>2.8272447174580152E-2</v>
      </c>
      <c r="AA872" s="156">
        <v>2.8074350915651136E-2</v>
      </c>
    </row>
    <row r="873" spans="19:27" x14ac:dyDescent="0.2">
      <c r="S873" s="1"/>
      <c r="T873" s="117"/>
      <c r="W873" s="75" t="str">
        <f t="shared" si="24"/>
        <v>1w</v>
      </c>
      <c r="X873" s="148">
        <f>_xll.qlCalendarAdvance(Calendar,X872,W873,"f",FALSE)</f>
        <v>45035</v>
      </c>
      <c r="Y873" s="153">
        <f>_xll.qlCalendarAdvance(Calendar,X873,NDays&amp;"D")</f>
        <v>45035</v>
      </c>
      <c r="Z873" s="154">
        <v>2.8288351790574585E-2</v>
      </c>
      <c r="AA873" s="156">
        <v>2.8089561503977789E-2</v>
      </c>
    </row>
    <row r="874" spans="19:27" x14ac:dyDescent="0.2">
      <c r="S874" s="1"/>
      <c r="T874" s="117"/>
      <c r="W874" s="75" t="str">
        <f t="shared" si="24"/>
        <v>1w</v>
      </c>
      <c r="X874" s="148">
        <f>_xll.qlCalendarAdvance(Calendar,X873,W874,"f",FALSE)</f>
        <v>45042</v>
      </c>
      <c r="Y874" s="153">
        <f>_xll.qlCalendarAdvance(Calendar,X874,NDays&amp;"D")</f>
        <v>45042</v>
      </c>
      <c r="Z874" s="154">
        <v>2.830434793022087E-2</v>
      </c>
      <c r="AA874" s="156">
        <v>2.8104862920222962E-2</v>
      </c>
    </row>
    <row r="875" spans="19:27" x14ac:dyDescent="0.2">
      <c r="S875" s="1"/>
      <c r="T875" s="117"/>
      <c r="W875" s="75" t="str">
        <f t="shared" si="24"/>
        <v>1w</v>
      </c>
      <c r="X875" s="148">
        <f>_xll.qlCalendarAdvance(Calendar,X874,W875,"f",FALSE)</f>
        <v>45049</v>
      </c>
      <c r="Y875" s="153">
        <f>_xll.qlCalendarAdvance(Calendar,X875,NDays&amp;"D")</f>
        <v>45049</v>
      </c>
      <c r="Z875" s="154">
        <v>2.8322698684602861E-2</v>
      </c>
      <c r="AA875" s="156">
        <v>2.8120255164143515E-2</v>
      </c>
    </row>
    <row r="876" spans="19:27" x14ac:dyDescent="0.2">
      <c r="S876" s="1"/>
      <c r="T876" s="117"/>
      <c r="W876" s="75" t="str">
        <f t="shared" si="24"/>
        <v>1w</v>
      </c>
      <c r="X876" s="148">
        <f>_xll.qlCalendarAdvance(Calendar,X875,W876,"f",FALSE)</f>
        <v>45056</v>
      </c>
      <c r="Y876" s="153">
        <f>_xll.qlCalendarAdvance(Calendar,X876,NDays&amp;"D")</f>
        <v>45056</v>
      </c>
      <c r="Z876" s="154">
        <v>2.8338885664374602E-2</v>
      </c>
      <c r="AA876" s="156">
        <v>2.8135738235901542E-2</v>
      </c>
    </row>
    <row r="877" spans="19:27" x14ac:dyDescent="0.2">
      <c r="S877" s="1"/>
      <c r="T877" s="117"/>
      <c r="W877" s="75" t="str">
        <f t="shared" si="24"/>
        <v>1w</v>
      </c>
      <c r="X877" s="148">
        <f>_xll.qlCalendarAdvance(Calendar,X876,W877,"f",FALSE)</f>
        <v>45063</v>
      </c>
      <c r="Y877" s="153">
        <f>_xll.qlCalendarAdvance(Calendar,X877,NDays&amp;"D")</f>
        <v>45063</v>
      </c>
      <c r="Z877" s="154">
        <v>2.8355164178953163E-2</v>
      </c>
      <c r="AA877" s="156">
        <v>2.8151312135415996E-2</v>
      </c>
    </row>
    <row r="878" spans="19:27" x14ac:dyDescent="0.2">
      <c r="S878" s="1"/>
      <c r="T878" s="117"/>
      <c r="W878" s="75" t="str">
        <f t="shared" si="24"/>
        <v>1w</v>
      </c>
      <c r="X878" s="148">
        <f>_xll.qlCalendarAdvance(Calendar,X877,W878,"f",FALSE)</f>
        <v>45070</v>
      </c>
      <c r="Y878" s="153">
        <f>_xll.qlCalendarAdvance(Calendar,X878,NDays&amp;"D")</f>
        <v>45070</v>
      </c>
      <c r="Z878" s="154">
        <v>2.8371534229458224E-2</v>
      </c>
      <c r="AA878" s="156">
        <v>2.8166976862686877E-2</v>
      </c>
    </row>
    <row r="879" spans="19:27" x14ac:dyDescent="0.2">
      <c r="S879" s="1"/>
      <c r="T879" s="117"/>
      <c r="W879" s="75" t="str">
        <f t="shared" si="24"/>
        <v>1w</v>
      </c>
      <c r="X879" s="148">
        <f>_xll.qlCalendarAdvance(Calendar,X878,W879,"f",FALSE)</f>
        <v>45077</v>
      </c>
      <c r="Y879" s="153">
        <f>_xll.qlCalendarAdvance(Calendar,X879,NDays&amp;"D")</f>
        <v>45077</v>
      </c>
      <c r="Z879" s="154">
        <v>2.8387995817013855E-2</v>
      </c>
      <c r="AA879" s="156">
        <v>2.8182732417876277E-2</v>
      </c>
    </row>
    <row r="880" spans="19:27" x14ac:dyDescent="0.2">
      <c r="S880" s="1"/>
      <c r="T880" s="117"/>
      <c r="W880" s="75" t="str">
        <f t="shared" si="24"/>
        <v>1w</v>
      </c>
      <c r="X880" s="148">
        <f>_xll.qlCalendarAdvance(Calendar,X879,W880,"f",FALSE)</f>
        <v>45084</v>
      </c>
      <c r="Y880" s="153">
        <f>_xll.qlCalendarAdvance(Calendar,X880,NDays&amp;"D")</f>
        <v>45084</v>
      </c>
      <c r="Z880" s="154">
        <v>2.8404548942751181E-2</v>
      </c>
      <c r="AA880" s="156">
        <v>2.8198578800903151E-2</v>
      </c>
    </row>
    <row r="881" spans="19:27" x14ac:dyDescent="0.2">
      <c r="S881" s="1"/>
      <c r="T881" s="117"/>
      <c r="W881" s="75" t="str">
        <f t="shared" si="24"/>
        <v>1w</v>
      </c>
      <c r="X881" s="148">
        <f>_xll.qlCalendarAdvance(Calendar,X880,W881,"f",FALSE)</f>
        <v>45091</v>
      </c>
      <c r="Y881" s="153">
        <f>_xll.qlCalendarAdvance(Calendar,X881,NDays&amp;"D")</f>
        <v>45091</v>
      </c>
      <c r="Z881" s="154">
        <v>2.8421193607806615E-2</v>
      </c>
      <c r="AA881" s="156">
        <v>2.8214516011686452E-2</v>
      </c>
    </row>
    <row r="882" spans="19:27" x14ac:dyDescent="0.2">
      <c r="S882" s="1"/>
      <c r="T882" s="117"/>
      <c r="W882" s="75" t="str">
        <f t="shared" si="24"/>
        <v>1w</v>
      </c>
      <c r="X882" s="148">
        <f>_xll.qlCalendarAdvance(Calendar,X881,W882,"f",FALSE)</f>
        <v>45098</v>
      </c>
      <c r="Y882" s="153">
        <f>_xll.qlCalendarAdvance(Calendar,X882,NDays&amp;"D")</f>
        <v>45098</v>
      </c>
      <c r="Z882" s="154">
        <v>2.8437929813324495E-2</v>
      </c>
      <c r="AA882" s="156">
        <v>2.8230544050388273E-2</v>
      </c>
    </row>
    <row r="883" spans="19:27" x14ac:dyDescent="0.2">
      <c r="S883" s="1"/>
      <c r="T883" s="117"/>
      <c r="W883" s="75" t="str">
        <f t="shared" si="24"/>
        <v>1w</v>
      </c>
      <c r="X883" s="148">
        <f>_xll.qlCalendarAdvance(Calendar,X882,W883,"f",FALSE)</f>
        <v>45105</v>
      </c>
      <c r="Y883" s="153">
        <f>_xll.qlCalendarAdvance(Calendar,X883,NDays&amp;"D")</f>
        <v>45105</v>
      </c>
      <c r="Z883" s="154">
        <v>2.8454757560451797E-2</v>
      </c>
      <c r="AA883" s="156">
        <v>2.8246662916927567E-2</v>
      </c>
    </row>
    <row r="884" spans="19:27" x14ac:dyDescent="0.2">
      <c r="S884" s="1"/>
      <c r="T884" s="117"/>
      <c r="W884" s="75" t="str">
        <f t="shared" si="24"/>
        <v>1w</v>
      </c>
      <c r="X884" s="148">
        <f>_xll.qlCalendarAdvance(Calendar,X883,W884,"f",FALSE)</f>
        <v>45112</v>
      </c>
      <c r="Y884" s="153">
        <f>_xll.qlCalendarAdvance(Calendar,X884,NDays&amp;"D")</f>
        <v>45112</v>
      </c>
      <c r="Z884" s="154">
        <v>2.8471676850347842E-2</v>
      </c>
      <c r="AA884" s="156">
        <v>2.8262872611385381E-2</v>
      </c>
    </row>
    <row r="885" spans="19:27" x14ac:dyDescent="0.2">
      <c r="S885" s="1"/>
      <c r="T885" s="117"/>
      <c r="W885" s="75" t="str">
        <f t="shared" si="24"/>
        <v>1w</v>
      </c>
      <c r="X885" s="148">
        <f>_xll.qlCalendarAdvance(Calendar,X884,W885,"f",FALSE)</f>
        <v>45119</v>
      </c>
      <c r="Y885" s="153">
        <f>_xll.qlCalendarAdvance(Calendar,X885,NDays&amp;"D")</f>
        <v>45119</v>
      </c>
      <c r="Z885" s="154">
        <v>2.848868759225048E-2</v>
      </c>
      <c r="AA885" s="156">
        <v>2.8279173133761715E-2</v>
      </c>
    </row>
    <row r="886" spans="19:27" x14ac:dyDescent="0.2">
      <c r="S886" s="1"/>
      <c r="T886" s="117"/>
      <c r="W886" s="75" t="str">
        <f t="shared" si="24"/>
        <v>1w</v>
      </c>
      <c r="X886" s="148">
        <f>_xll.qlCalendarAdvance(Calendar,X885,W886,"f",FALSE)</f>
        <v>45126</v>
      </c>
      <c r="Y886" s="153">
        <f>_xll.qlCalendarAdvance(Calendar,X886,NDays&amp;"D")</f>
        <v>45126</v>
      </c>
      <c r="Z886" s="154">
        <v>2.8505786658589025E-2</v>
      </c>
      <c r="AA886" s="156">
        <v>2.8295564483975522E-2</v>
      </c>
    </row>
    <row r="887" spans="19:27" x14ac:dyDescent="0.2">
      <c r="S887" s="1"/>
      <c r="T887" s="117"/>
      <c r="W887" s="75" t="str">
        <f t="shared" si="24"/>
        <v>1w</v>
      </c>
      <c r="X887" s="148">
        <f>_xll.qlCalendarAdvance(Calendar,X886,W887,"f",FALSE)</f>
        <v>45133</v>
      </c>
      <c r="Y887" s="153">
        <f>_xll.qlCalendarAdvance(Calendar,X887,NDays&amp;"D")</f>
        <v>45133</v>
      </c>
      <c r="Z887" s="154">
        <v>2.8522967261877526E-2</v>
      </c>
      <c r="AA887" s="156">
        <v>2.8312046662188894E-2</v>
      </c>
    </row>
    <row r="888" spans="19:27" x14ac:dyDescent="0.2">
      <c r="S888" s="1"/>
      <c r="T888" s="117"/>
      <c r="W888" s="75" t="str">
        <f t="shared" si="24"/>
        <v>1w</v>
      </c>
      <c r="X888" s="148">
        <f>_xll.qlCalendarAdvance(Calendar,X887,W888,"f",FALSE)</f>
        <v>45140</v>
      </c>
      <c r="Y888" s="153">
        <f>_xll.qlCalendarAdvance(Calendar,X888,NDays&amp;"D")</f>
        <v>45140</v>
      </c>
      <c r="Z888" s="154">
        <v>2.8540222396634923E-2</v>
      </c>
      <c r="AA888" s="156">
        <v>2.8328619668239741E-2</v>
      </c>
    </row>
    <row r="889" spans="19:27" x14ac:dyDescent="0.2">
      <c r="S889" s="1"/>
      <c r="T889" s="117"/>
      <c r="W889" s="75" t="str">
        <f t="shared" si="24"/>
        <v>1w</v>
      </c>
      <c r="X889" s="148">
        <f>_xll.qlCalendarAdvance(Calendar,X888,W889,"f",FALSE)</f>
        <v>45147</v>
      </c>
      <c r="Y889" s="153">
        <f>_xll.qlCalendarAdvance(Calendar,X889,NDays&amp;"D")</f>
        <v>45147</v>
      </c>
      <c r="Z889" s="154">
        <v>2.8557545057260346E-2</v>
      </c>
      <c r="AA889" s="156">
        <v>2.8345283502290153E-2</v>
      </c>
    </row>
    <row r="890" spans="19:27" x14ac:dyDescent="0.2">
      <c r="S890" s="1"/>
      <c r="T890" s="117"/>
      <c r="W890" s="75" t="str">
        <f t="shared" si="24"/>
        <v>1w</v>
      </c>
      <c r="X890" s="148">
        <f>_xll.qlCalendarAdvance(Calendar,X889,W890,"f",FALSE)</f>
        <v>45154</v>
      </c>
      <c r="Y890" s="153">
        <f>_xll.qlCalendarAdvance(Calendar,X890,NDays&amp;"D")</f>
        <v>45154</v>
      </c>
      <c r="Z890" s="154">
        <v>2.8574928238033998E-2</v>
      </c>
      <c r="AA890" s="156">
        <v>2.8362038164259085E-2</v>
      </c>
    </row>
    <row r="891" spans="19:27" x14ac:dyDescent="0.2">
      <c r="S891" s="1"/>
      <c r="T891" s="117"/>
      <c r="W891" s="75" t="str">
        <f t="shared" si="24"/>
        <v>1w</v>
      </c>
      <c r="X891" s="148">
        <f>_xll.qlCalendarAdvance(Calendar,X890,W891,"f",FALSE)</f>
        <v>45161</v>
      </c>
      <c r="Y891" s="153">
        <f>_xll.qlCalendarAdvance(Calendar,X891,NDays&amp;"D")</f>
        <v>45161</v>
      </c>
      <c r="Z891" s="154">
        <v>2.8592364933120677E-2</v>
      </c>
      <c r="AA891" s="156">
        <v>2.8378883654227582E-2</v>
      </c>
    </row>
    <row r="892" spans="19:27" x14ac:dyDescent="0.2">
      <c r="S892" s="1"/>
      <c r="T892" s="117"/>
      <c r="W892" s="75" t="str">
        <f t="shared" si="24"/>
        <v>1w</v>
      </c>
      <c r="X892" s="148">
        <f>_xll.qlCalendarAdvance(Calendar,X891,W892,"f",FALSE)</f>
        <v>45168</v>
      </c>
      <c r="Y892" s="153">
        <f>_xll.qlCalendarAdvance(Calendar,X892,NDays&amp;"D")</f>
        <v>45168</v>
      </c>
      <c r="Z892" s="154">
        <v>2.8609848136561856E-2</v>
      </c>
      <c r="AA892" s="156">
        <v>2.8395819972195646E-2</v>
      </c>
    </row>
    <row r="893" spans="19:27" x14ac:dyDescent="0.2">
      <c r="S893" s="1"/>
      <c r="T893" s="117"/>
      <c r="W893" s="75" t="str">
        <f t="shared" si="24"/>
        <v>1w</v>
      </c>
      <c r="X893" s="148">
        <f>_xll.qlCalendarAdvance(Calendar,X892,W893,"f",FALSE)</f>
        <v>45175</v>
      </c>
      <c r="Y893" s="153">
        <f>_xll.qlCalendarAdvance(Calendar,X893,NDays&amp;"D")</f>
        <v>45175</v>
      </c>
      <c r="Z893" s="154">
        <v>2.8624994032551532E-2</v>
      </c>
      <c r="AA893" s="156">
        <v>2.841284711808223E-2</v>
      </c>
    </row>
    <row r="894" spans="19:27" x14ac:dyDescent="0.2">
      <c r="S894" s="1"/>
      <c r="T894" s="117"/>
      <c r="W894" s="75" t="str">
        <f t="shared" si="24"/>
        <v>1w</v>
      </c>
      <c r="X894" s="148">
        <f>_xll.qlCalendarAdvance(Calendar,X893,W894,"f",FALSE)</f>
        <v>45182</v>
      </c>
      <c r="Y894" s="153">
        <f>_xll.qlCalendarAdvance(Calendar,X894,NDays&amp;"D")</f>
        <v>45182</v>
      </c>
      <c r="Z894" s="154">
        <v>2.8642547213435621E-2</v>
      </c>
      <c r="AA894" s="156">
        <v>2.8429965092049425E-2</v>
      </c>
    </row>
    <row r="895" spans="19:27" x14ac:dyDescent="0.2">
      <c r="S895" s="1"/>
      <c r="T895" s="117"/>
      <c r="W895" s="75" t="str">
        <f t="shared" si="24"/>
        <v>1w</v>
      </c>
      <c r="X895" s="148">
        <f>_xll.qlCalendarAdvance(Calendar,X894,W895,"f",FALSE)</f>
        <v>45189</v>
      </c>
      <c r="Y895" s="153">
        <f>_xll.qlCalendarAdvance(Calendar,X895,NDays&amp;"D")</f>
        <v>45189</v>
      </c>
      <c r="Z895" s="154">
        <v>2.8660126167196421E-2</v>
      </c>
      <c r="AA895" s="156">
        <v>2.8447173894016187E-2</v>
      </c>
    </row>
    <row r="896" spans="19:27" x14ac:dyDescent="0.2">
      <c r="S896" s="1"/>
      <c r="T896" s="117"/>
      <c r="W896" s="75" t="str">
        <f t="shared" si="24"/>
        <v>1w</v>
      </c>
      <c r="X896" s="148">
        <f>_xll.qlCalendarAdvance(Calendar,X895,W896,"f",FALSE)</f>
        <v>45196</v>
      </c>
      <c r="Y896" s="153">
        <f>_xll.qlCalendarAdvance(Calendar,X896,NDays&amp;"D")</f>
        <v>45196</v>
      </c>
      <c r="Z896" s="154">
        <v>2.86777238109483E-2</v>
      </c>
      <c r="AA896" s="156">
        <v>2.8464473523982514E-2</v>
      </c>
    </row>
    <row r="897" spans="19:27" x14ac:dyDescent="0.2">
      <c r="S897" s="1"/>
      <c r="T897" s="117"/>
      <c r="W897" s="75" t="str">
        <f t="shared" si="24"/>
        <v>1w</v>
      </c>
      <c r="X897" s="148">
        <f>_xll.qlCalendarAdvance(Calendar,X896,W897,"f",FALSE)</f>
        <v>45203</v>
      </c>
      <c r="Y897" s="153">
        <f>_xll.qlCalendarAdvance(Calendar,X897,NDays&amp;"D")</f>
        <v>45203</v>
      </c>
      <c r="Z897" s="154">
        <v>2.8697716562091982E-2</v>
      </c>
      <c r="AA897" s="156">
        <v>2.8481863982029454E-2</v>
      </c>
    </row>
    <row r="898" spans="19:27" x14ac:dyDescent="0.2">
      <c r="S898" s="1"/>
      <c r="T898" s="117"/>
      <c r="W898" s="75" t="str">
        <f t="shared" si="24"/>
        <v>1w</v>
      </c>
      <c r="X898" s="148">
        <f>_xll.qlCalendarAdvance(Calendar,X897,W898,"f",FALSE)</f>
        <v>45210</v>
      </c>
      <c r="Y898" s="153">
        <f>_xll.qlCalendarAdvance(Calendar,X898,NDays&amp;"D")</f>
        <v>45210</v>
      </c>
      <c r="Z898" s="154">
        <v>2.8715331710987266E-2</v>
      </c>
      <c r="AA898" s="156">
        <v>2.8499339358991627E-2</v>
      </c>
    </row>
    <row r="899" spans="19:27" x14ac:dyDescent="0.2">
      <c r="S899" s="1"/>
      <c r="T899" s="117"/>
      <c r="W899" s="75" t="str">
        <f t="shared" si="24"/>
        <v>1w</v>
      </c>
      <c r="X899" s="148">
        <f>_xll.qlCalendarAdvance(Calendar,X898,W899,"f",FALSE)</f>
        <v>45217</v>
      </c>
      <c r="Y899" s="153">
        <f>_xll.qlCalendarAdvance(Calendar,X899,NDays&amp;"D")</f>
        <v>45217</v>
      </c>
      <c r="Z899" s="154">
        <v>2.8732946750671805E-2</v>
      </c>
      <c r="AA899" s="156">
        <v>2.8516833100068473E-2</v>
      </c>
    </row>
    <row r="900" spans="19:27" x14ac:dyDescent="0.2">
      <c r="S900" s="1"/>
      <c r="T900" s="117"/>
      <c r="W900" s="75" t="str">
        <f t="shared" si="24"/>
        <v>1w</v>
      </c>
      <c r="X900" s="148">
        <f>_xll.qlCalendarAdvance(Calendar,X899,W900,"f",FALSE)</f>
        <v>45224</v>
      </c>
      <c r="Y900" s="153">
        <f>_xll.qlCalendarAdvance(Calendar,X900,NDays&amp;"D")</f>
        <v>45224</v>
      </c>
      <c r="Z900" s="154">
        <v>2.8750561255554839E-2</v>
      </c>
      <c r="AA900" s="156">
        <v>2.8534326233784491E-2</v>
      </c>
    </row>
    <row r="901" spans="19:27" x14ac:dyDescent="0.2">
      <c r="S901" s="1"/>
      <c r="T901" s="117"/>
      <c r="W901" s="75" t="str">
        <f t="shared" si="24"/>
        <v>1w</v>
      </c>
      <c r="X901" s="148">
        <f>_xll.qlCalendarAdvance(Calendar,X900,W901,"f",FALSE)</f>
        <v>45231</v>
      </c>
      <c r="Y901" s="153">
        <f>_xll.qlCalendarAdvance(Calendar,X901,NDays&amp;"D")</f>
        <v>45231</v>
      </c>
      <c r="Z901" s="154">
        <v>2.8768175225627562E-2</v>
      </c>
      <c r="AA901" s="156">
        <v>2.8551818760301773E-2</v>
      </c>
    </row>
    <row r="902" spans="19:27" x14ac:dyDescent="0.2">
      <c r="S902" s="1"/>
      <c r="T902" s="117"/>
      <c r="W902" s="75" t="str">
        <f t="shared" si="24"/>
        <v>1w</v>
      </c>
      <c r="X902" s="148">
        <f>_xll.qlCalendarAdvance(Calendar,X901,W902,"f",FALSE)</f>
        <v>45238</v>
      </c>
      <c r="Y902" s="153">
        <f>_xll.qlCalendarAdvance(Calendar,X902,NDays&amp;"D")</f>
        <v>45238</v>
      </c>
      <c r="Z902" s="154">
        <v>2.8785788660882928E-2</v>
      </c>
      <c r="AA902" s="156">
        <v>2.8569310679620319E-2</v>
      </c>
    </row>
    <row r="903" spans="19:27" x14ac:dyDescent="0.2">
      <c r="S903" s="1"/>
      <c r="T903" s="117"/>
      <c r="W903" s="75" t="str">
        <f t="shared" si="24"/>
        <v>1w</v>
      </c>
      <c r="X903" s="148">
        <f>_xll.qlCalendarAdvance(Calendar,X902,W903,"f",FALSE)</f>
        <v>45245</v>
      </c>
      <c r="Y903" s="153">
        <f>_xll.qlCalendarAdvance(Calendar,X903,NDays&amp;"D")</f>
        <v>45245</v>
      </c>
      <c r="Z903" s="154">
        <v>2.8803401561313002E-2</v>
      </c>
      <c r="AA903" s="156">
        <v>2.8586801991578037E-2</v>
      </c>
    </row>
    <row r="904" spans="19:27" x14ac:dyDescent="0.2">
      <c r="S904" s="1"/>
      <c r="T904" s="117"/>
      <c r="W904" s="75" t="str">
        <f t="shared" si="24"/>
        <v>1w</v>
      </c>
      <c r="X904" s="148">
        <f>_xll.qlCalendarAdvance(Calendar,X903,W904,"f",FALSE)</f>
        <v>45252</v>
      </c>
      <c r="Y904" s="153">
        <f>_xll.qlCalendarAdvance(Calendar,X904,NDays&amp;"D")</f>
        <v>45252</v>
      </c>
      <c r="Z904" s="154">
        <v>2.8821013926910742E-2</v>
      </c>
      <c r="AA904" s="156">
        <v>2.8604292696418065E-2</v>
      </c>
    </row>
    <row r="905" spans="19:27" x14ac:dyDescent="0.2">
      <c r="S905" s="1"/>
      <c r="T905" s="117"/>
      <c r="W905" s="75" t="str">
        <f t="shared" si="24"/>
        <v>1w</v>
      </c>
      <c r="X905" s="148">
        <f>_xll.qlCalendarAdvance(Calendar,X904,W905,"f",FALSE)</f>
        <v>45259</v>
      </c>
      <c r="Y905" s="153">
        <f>_xll.qlCalendarAdvance(Calendar,X905,NDays&amp;"D")</f>
        <v>45259</v>
      </c>
      <c r="Z905" s="154">
        <v>2.8838625757666457E-2</v>
      </c>
      <c r="AA905" s="156">
        <v>2.8621782793897266E-2</v>
      </c>
    </row>
    <row r="906" spans="19:27" x14ac:dyDescent="0.2">
      <c r="S906" s="1"/>
      <c r="T906" s="117"/>
      <c r="W906" s="75" t="str">
        <f t="shared" si="24"/>
        <v>1w</v>
      </c>
      <c r="X906" s="148">
        <f>_xll.qlCalendarAdvance(Calendar,X905,W906,"f",FALSE)</f>
        <v>45266</v>
      </c>
      <c r="Y906" s="153">
        <f>_xll.qlCalendarAdvance(Calendar,X906,NDays&amp;"D")</f>
        <v>45266</v>
      </c>
      <c r="Z906" s="154">
        <v>2.885384144050121E-2</v>
      </c>
      <c r="AA906" s="156">
        <v>2.8639272284096684E-2</v>
      </c>
    </row>
    <row r="907" spans="19:27" x14ac:dyDescent="0.2">
      <c r="S907" s="1"/>
      <c r="T907" s="117"/>
      <c r="W907" s="75" t="str">
        <f t="shared" si="24"/>
        <v>1w</v>
      </c>
      <c r="X907" s="148">
        <f>_xll.qlCalendarAdvance(Calendar,X906,W907,"f",FALSE)</f>
        <v>45273</v>
      </c>
      <c r="Y907" s="153">
        <f>_xll.qlCalendarAdvance(Calendar,X907,NDays&amp;"D")</f>
        <v>45273</v>
      </c>
      <c r="Z907" s="154">
        <v>2.887145085221136E-2</v>
      </c>
      <c r="AA907" s="156">
        <v>2.8656761167097367E-2</v>
      </c>
    </row>
    <row r="908" spans="19:27" x14ac:dyDescent="0.2">
      <c r="S908" s="1"/>
      <c r="T908" s="117"/>
      <c r="W908" s="75" t="str">
        <f t="shared" si="24"/>
        <v>1w</v>
      </c>
      <c r="X908" s="148">
        <f>_xll.qlCalendarAdvance(Calendar,X907,W908,"f",FALSE)</f>
        <v>45280</v>
      </c>
      <c r="Y908" s="153">
        <f>_xll.qlCalendarAdvance(Calendar,X908,NDays&amp;"D")</f>
        <v>45280</v>
      </c>
      <c r="Z908" s="154">
        <v>2.888905972825636E-2</v>
      </c>
      <c r="AA908" s="156">
        <v>2.8674249442818267E-2</v>
      </c>
    </row>
    <row r="909" spans="19:27" x14ac:dyDescent="0.2">
      <c r="S909" s="1"/>
      <c r="T909" s="117"/>
      <c r="W909" s="75" t="str">
        <f t="shared" si="24"/>
        <v>1w</v>
      </c>
      <c r="X909" s="148">
        <f>_xll.qlCalendarAdvance(Calendar,X908,W909,"f",FALSE)</f>
        <v>45287</v>
      </c>
      <c r="Y909" s="153">
        <f>_xll.qlCalendarAdvance(Calendar,X909,NDays&amp;"D")</f>
        <v>45287</v>
      </c>
      <c r="Z909" s="154">
        <v>2.8906668068629973E-2</v>
      </c>
      <c r="AA909" s="156">
        <v>2.8691737111421478E-2</v>
      </c>
    </row>
    <row r="910" spans="19:27" x14ac:dyDescent="0.2">
      <c r="S910" s="1"/>
      <c r="T910" s="117"/>
      <c r="W910" s="75" t="str">
        <f t="shared" si="24"/>
        <v>1w</v>
      </c>
      <c r="X910" s="148">
        <f>_xll.qlCalendarAdvance(Calendar,X909,W910,"f",FALSE)</f>
        <v>45294</v>
      </c>
      <c r="Y910" s="153">
        <f>_xll.qlCalendarAdvance(Calendar,X910,NDays&amp;"D")</f>
        <v>45294</v>
      </c>
      <c r="Z910" s="154">
        <v>2.8924275873322403E-2</v>
      </c>
      <c r="AA910" s="156">
        <v>2.8709224172582815E-2</v>
      </c>
    </row>
    <row r="911" spans="19:27" x14ac:dyDescent="0.2">
      <c r="S911" s="1"/>
      <c r="T911" s="117"/>
      <c r="W911" s="75" t="str">
        <f t="shared" si="24"/>
        <v>1w</v>
      </c>
      <c r="X911" s="148">
        <f>_xll.qlCalendarAdvance(Calendar,X910,W911,"f",FALSE)</f>
        <v>45301</v>
      </c>
      <c r="Y911" s="153">
        <f>_xll.qlCalendarAdvance(Calendar,X911,NDays&amp;"D")</f>
        <v>45301</v>
      </c>
      <c r="Z911" s="154">
        <v>2.8941883142327419E-2</v>
      </c>
      <c r="AA911" s="156">
        <v>2.8726710626545415E-2</v>
      </c>
    </row>
    <row r="912" spans="19:27" x14ac:dyDescent="0.2">
      <c r="S912" s="1"/>
      <c r="T912" s="117"/>
      <c r="W912" s="75" t="str">
        <f t="shared" si="24"/>
        <v>1w</v>
      </c>
      <c r="X912" s="148">
        <f>_xll.qlCalendarAdvance(Calendar,X911,W912,"f",FALSE)</f>
        <v>45308</v>
      </c>
      <c r="Y912" s="153">
        <f>_xll.qlCalendarAdvance(Calendar,X912,NDays&amp;"D")</f>
        <v>45308</v>
      </c>
      <c r="Z912" s="154">
        <v>2.8959489875637002E-2</v>
      </c>
      <c r="AA912" s="156">
        <v>2.874419647330928E-2</v>
      </c>
    </row>
    <row r="913" spans="19:27" x14ac:dyDescent="0.2">
      <c r="S913" s="1"/>
      <c r="T913" s="117"/>
      <c r="W913" s="75" t="str">
        <f t="shared" si="24"/>
        <v>1w</v>
      </c>
      <c r="X913" s="148">
        <f>_xll.qlCalendarAdvance(Calendar,X912,W913,"f",FALSE)</f>
        <v>45315</v>
      </c>
      <c r="Y913" s="153">
        <f>_xll.qlCalendarAdvance(Calendar,X913,NDays&amp;"D")</f>
        <v>45315</v>
      </c>
      <c r="Z913" s="154">
        <v>2.8977096073243138E-2</v>
      </c>
      <c r="AA913" s="156">
        <v>2.8761681712793363E-2</v>
      </c>
    </row>
    <row r="914" spans="19:27" x14ac:dyDescent="0.2">
      <c r="S914" s="1"/>
      <c r="T914" s="117"/>
      <c r="W914" s="75" t="str">
        <f t="shared" si="24"/>
        <v>1w</v>
      </c>
      <c r="X914" s="148">
        <f>_xll.qlCalendarAdvance(Calendar,X913,W914,"f",FALSE)</f>
        <v>45322</v>
      </c>
      <c r="Y914" s="153">
        <f>_xll.qlCalendarAdvance(Calendar,X914,NDays&amp;"D")</f>
        <v>45322</v>
      </c>
      <c r="Z914" s="154">
        <v>2.899229556085961E-2</v>
      </c>
      <c r="AA914" s="156">
        <v>2.8779166344997664E-2</v>
      </c>
    </row>
    <row r="915" spans="19:27" x14ac:dyDescent="0.2">
      <c r="S915" s="1"/>
      <c r="T915" s="117"/>
      <c r="W915" s="75" t="str">
        <f t="shared" si="24"/>
        <v>1w</v>
      </c>
      <c r="X915" s="148">
        <f>_xll.qlCalendarAdvance(Calendar,X914,W915,"f",FALSE)</f>
        <v>45329</v>
      </c>
      <c r="Y915" s="153">
        <f>_xll.qlCalendarAdvance(Calendar,X915,NDays&amp;"D")</f>
        <v>45329</v>
      </c>
      <c r="Z915" s="154">
        <v>2.9009899331517222E-2</v>
      </c>
      <c r="AA915" s="156">
        <v>2.8796650370003229E-2</v>
      </c>
    </row>
    <row r="916" spans="19:27" x14ac:dyDescent="0.2">
      <c r="S916" s="1"/>
      <c r="T916" s="117"/>
      <c r="W916" s="75" t="str">
        <f t="shared" si="24"/>
        <v>1w</v>
      </c>
      <c r="X916" s="148">
        <f>_xll.qlCalendarAdvance(Calendar,X915,W916,"f",FALSE)</f>
        <v>45336</v>
      </c>
      <c r="Y916" s="153">
        <f>_xll.qlCalendarAdvance(Calendar,X916,NDays&amp;"D")</f>
        <v>45336</v>
      </c>
      <c r="Z916" s="154">
        <v>2.9027502565647557E-2</v>
      </c>
      <c r="AA916" s="156">
        <v>2.8814133787647966E-2</v>
      </c>
    </row>
    <row r="917" spans="19:27" x14ac:dyDescent="0.2">
      <c r="S917" s="1"/>
      <c r="T917" s="117"/>
      <c r="W917" s="75" t="str">
        <f t="shared" ref="W917:W980" si="25">W916</f>
        <v>1w</v>
      </c>
      <c r="X917" s="148">
        <f>_xll.qlCalendarAdvance(Calendar,X916,W917,"f",FALSE)</f>
        <v>45343</v>
      </c>
      <c r="Y917" s="153">
        <f>_xll.qlCalendarAdvance(Calendar,X917,NDays&amp;"D")</f>
        <v>45343</v>
      </c>
      <c r="Z917" s="154">
        <v>2.9045105263243408E-2</v>
      </c>
      <c r="AA917" s="156">
        <v>2.8831616598093968E-2</v>
      </c>
    </row>
    <row r="918" spans="19:27" x14ac:dyDescent="0.2">
      <c r="S918" s="1"/>
      <c r="T918" s="117"/>
      <c r="W918" s="75" t="str">
        <f t="shared" si="25"/>
        <v>1w</v>
      </c>
      <c r="X918" s="148">
        <f>_xll.qlCalendarAdvance(Calendar,X917,W918,"f",FALSE)</f>
        <v>45350</v>
      </c>
      <c r="Y918" s="153">
        <f>_xll.qlCalendarAdvance(Calendar,X918,NDays&amp;"D")</f>
        <v>45350</v>
      </c>
      <c r="Z918" s="154">
        <v>2.9062707424298471E-2</v>
      </c>
      <c r="AA918" s="156">
        <v>2.8849098801260187E-2</v>
      </c>
    </row>
    <row r="919" spans="19:27" x14ac:dyDescent="0.2">
      <c r="S919" s="1"/>
      <c r="T919" s="117"/>
      <c r="W919" s="75" t="str">
        <f t="shared" si="25"/>
        <v>1w</v>
      </c>
      <c r="X919" s="148">
        <f>_xll.qlCalendarAdvance(Calendar,X918,W919,"f",FALSE)</f>
        <v>45357</v>
      </c>
      <c r="Y919" s="153">
        <f>_xll.qlCalendarAdvance(Calendar,X919,NDays&amp;"D")</f>
        <v>45357</v>
      </c>
      <c r="Z919" s="154">
        <v>2.9085135225625523E-2</v>
      </c>
      <c r="AA919" s="156">
        <v>2.886658039722767E-2</v>
      </c>
    </row>
    <row r="920" spans="19:27" x14ac:dyDescent="0.2">
      <c r="S920" s="1"/>
      <c r="T920" s="117"/>
      <c r="W920" s="75" t="str">
        <f t="shared" si="25"/>
        <v>1w</v>
      </c>
      <c r="X920" s="148">
        <f>_xll.qlCalendarAdvance(Calendar,X919,W920,"f",FALSE)</f>
        <v>45364</v>
      </c>
      <c r="Y920" s="153">
        <f>_xll.qlCalendarAdvance(Calendar,X920,NDays&amp;"D")</f>
        <v>45364</v>
      </c>
      <c r="Z920" s="154">
        <v>2.9102739032839962E-2</v>
      </c>
      <c r="AA920" s="156">
        <v>2.8884061385996418E-2</v>
      </c>
    </row>
    <row r="921" spans="19:27" x14ac:dyDescent="0.2">
      <c r="S921" s="1"/>
      <c r="T921" s="117"/>
      <c r="W921" s="75" t="str">
        <f t="shared" si="25"/>
        <v>1w</v>
      </c>
      <c r="X921" s="148">
        <f>_xll.qlCalendarAdvance(Calendar,X920,W921,"f",FALSE)</f>
        <v>45371</v>
      </c>
      <c r="Y921" s="153">
        <f>_xll.qlCalendarAdvance(Calendar,X921,NDays&amp;"D")</f>
        <v>45371</v>
      </c>
      <c r="Z921" s="154">
        <v>2.9120342305089045E-2</v>
      </c>
      <c r="AA921" s="156">
        <v>2.8901541767404337E-2</v>
      </c>
    </row>
    <row r="922" spans="19:27" x14ac:dyDescent="0.2">
      <c r="S922" s="1"/>
      <c r="T922" s="117"/>
      <c r="W922" s="75" t="str">
        <f t="shared" si="25"/>
        <v>1w</v>
      </c>
      <c r="X922" s="148">
        <f>_xll.qlCalendarAdvance(Calendar,X921,W922,"f",FALSE)</f>
        <v>45378</v>
      </c>
      <c r="Y922" s="153">
        <f>_xll.qlCalendarAdvance(Calendar,X922,NDays&amp;"D")</f>
        <v>45378</v>
      </c>
      <c r="Z922" s="154">
        <v>2.9137945042363961E-2</v>
      </c>
      <c r="AA922" s="156">
        <v>2.8919021541613521E-2</v>
      </c>
    </row>
    <row r="923" spans="19:27" x14ac:dyDescent="0.2">
      <c r="S923" s="1"/>
      <c r="T923" s="117"/>
      <c r="W923" s="75" t="str">
        <f t="shared" si="25"/>
        <v>1w</v>
      </c>
      <c r="X923" s="148">
        <f>_xll.qlCalendarAdvance(Calendar,X922,W923,"f",FALSE)</f>
        <v>45385</v>
      </c>
      <c r="Y923" s="153">
        <f>_xll.qlCalendarAdvance(Calendar,X923,NDays&amp;"D")</f>
        <v>45385</v>
      </c>
      <c r="Z923" s="154">
        <v>2.9153128583940532E-2</v>
      </c>
      <c r="AA923" s="156">
        <v>2.8936500708542923E-2</v>
      </c>
    </row>
    <row r="924" spans="19:27" x14ac:dyDescent="0.2">
      <c r="S924" s="1"/>
      <c r="T924" s="117"/>
      <c r="W924" s="75" t="str">
        <f t="shared" si="25"/>
        <v>1w</v>
      </c>
      <c r="X924" s="148">
        <f>_xll.qlCalendarAdvance(Calendar,X923,W924,"f",FALSE)</f>
        <v>45392</v>
      </c>
      <c r="Y924" s="153">
        <f>_xll.qlCalendarAdvance(Calendar,X924,NDays&amp;"D")</f>
        <v>45392</v>
      </c>
      <c r="Z924" s="154">
        <v>2.9170728888304655E-2</v>
      </c>
      <c r="AA924" s="156">
        <v>2.8953979268273589E-2</v>
      </c>
    </row>
    <row r="925" spans="19:27" x14ac:dyDescent="0.2">
      <c r="S925" s="1"/>
      <c r="T925" s="117"/>
      <c r="W925" s="75" t="str">
        <f t="shared" si="25"/>
        <v>1w</v>
      </c>
      <c r="X925" s="148">
        <f>_xll.qlCalendarAdvance(Calendar,X924,W925,"f",FALSE)</f>
        <v>45399</v>
      </c>
      <c r="Y925" s="153">
        <f>_xll.qlCalendarAdvance(Calendar,X925,NDays&amp;"D")</f>
        <v>45399</v>
      </c>
      <c r="Z925" s="154">
        <v>2.9188328656874492E-2</v>
      </c>
      <c r="AA925" s="156">
        <v>2.8971457220643426E-2</v>
      </c>
    </row>
    <row r="926" spans="19:27" x14ac:dyDescent="0.2">
      <c r="S926" s="1"/>
      <c r="T926" s="117"/>
      <c r="W926" s="75" t="str">
        <f t="shared" si="25"/>
        <v>1w</v>
      </c>
      <c r="X926" s="148">
        <f>_xll.qlCalendarAdvance(Calendar,X925,W926,"f",FALSE)</f>
        <v>45406</v>
      </c>
      <c r="Y926" s="153">
        <f>_xll.qlCalendarAdvance(Calendar,X926,NDays&amp;"D")</f>
        <v>45406</v>
      </c>
      <c r="Z926" s="154">
        <v>2.9205927889640236E-2</v>
      </c>
      <c r="AA926" s="156">
        <v>2.8988934565814528E-2</v>
      </c>
    </row>
    <row r="927" spans="19:27" x14ac:dyDescent="0.2">
      <c r="S927" s="1"/>
      <c r="T927" s="117"/>
      <c r="W927" s="75" t="str">
        <f t="shared" si="25"/>
        <v>1w</v>
      </c>
      <c r="X927" s="148">
        <f>_xll.qlCalendarAdvance(Calendar,X926,W927,"f",FALSE)</f>
        <v>45413</v>
      </c>
      <c r="Y927" s="153">
        <f>_xll.qlCalendarAdvance(Calendar,X927,NDays&amp;"D")</f>
        <v>45413</v>
      </c>
      <c r="Z927" s="154">
        <v>2.9225950703884666E-2</v>
      </c>
      <c r="AA927" s="156">
        <v>2.9006411303705848E-2</v>
      </c>
    </row>
    <row r="928" spans="19:27" x14ac:dyDescent="0.2">
      <c r="S928" s="1"/>
      <c r="T928" s="117"/>
      <c r="W928" s="75" t="str">
        <f t="shared" si="25"/>
        <v>1w</v>
      </c>
      <c r="X928" s="148">
        <f>_xll.qlCalendarAdvance(Calendar,X927,W928,"f",FALSE)</f>
        <v>45420</v>
      </c>
      <c r="Y928" s="153">
        <f>_xll.qlCalendarAdvance(Calendar,X928,NDays&amp;"D")</f>
        <v>45420</v>
      </c>
      <c r="Z928" s="154">
        <v>2.924355023116218E-2</v>
      </c>
      <c r="AA928" s="156">
        <v>2.9023887434398432E-2</v>
      </c>
    </row>
    <row r="929" spans="19:27" x14ac:dyDescent="0.2">
      <c r="S929" s="1"/>
      <c r="T929" s="117"/>
      <c r="W929" s="75" t="str">
        <f t="shared" si="25"/>
        <v>1w</v>
      </c>
      <c r="X929" s="148">
        <f>_xll.qlCalendarAdvance(Calendar,X928,W929,"f",FALSE)</f>
        <v>45427</v>
      </c>
      <c r="Y929" s="153">
        <f>_xll.qlCalendarAdvance(Calendar,X929,NDays&amp;"D")</f>
        <v>45427</v>
      </c>
      <c r="Z929" s="154">
        <v>2.9261149223412674E-2</v>
      </c>
      <c r="AA929" s="156">
        <v>2.9041362957811234E-2</v>
      </c>
    </row>
    <row r="930" spans="19:27" x14ac:dyDescent="0.2">
      <c r="S930" s="1"/>
      <c r="T930" s="117"/>
      <c r="W930" s="75" t="str">
        <f t="shared" si="25"/>
        <v>1w</v>
      </c>
      <c r="X930" s="148">
        <f>_xll.qlCalendarAdvance(Calendar,X929,W930,"f",FALSE)</f>
        <v>45434</v>
      </c>
      <c r="Y930" s="153">
        <f>_xll.qlCalendarAdvance(Calendar,X930,NDays&amp;"D")</f>
        <v>45434</v>
      </c>
      <c r="Z930" s="154">
        <v>2.9278747680629096E-2</v>
      </c>
      <c r="AA930" s="156">
        <v>2.9058837873944254E-2</v>
      </c>
    </row>
    <row r="931" spans="19:27" x14ac:dyDescent="0.2">
      <c r="S931" s="1"/>
      <c r="T931" s="117"/>
      <c r="W931" s="75" t="str">
        <f t="shared" si="25"/>
        <v>1w</v>
      </c>
      <c r="X931" s="148">
        <f>_xll.qlCalendarAdvance(Calendar,X930,W931,"f",FALSE)</f>
        <v>45441</v>
      </c>
      <c r="Y931" s="153">
        <f>_xll.qlCalendarAdvance(Calendar,X931,NDays&amp;"D")</f>
        <v>45441</v>
      </c>
      <c r="Z931" s="154">
        <v>2.9296345602802639E-2</v>
      </c>
      <c r="AA931" s="156">
        <v>2.9076312182797492E-2</v>
      </c>
    </row>
    <row r="932" spans="19:27" x14ac:dyDescent="0.2">
      <c r="S932" s="1"/>
      <c r="T932" s="117"/>
      <c r="W932" s="75" t="str">
        <f t="shared" si="25"/>
        <v>1w</v>
      </c>
      <c r="X932" s="148">
        <f>_xll.qlCalendarAdvance(Calendar,X931,W932,"f",FALSE)</f>
        <v>45448</v>
      </c>
      <c r="Y932" s="153">
        <f>_xll.qlCalendarAdvance(Calendar,X932,NDays&amp;"D")</f>
        <v>45448</v>
      </c>
      <c r="Z932" s="154">
        <v>2.9313942989926255E-2</v>
      </c>
      <c r="AA932" s="156">
        <v>2.9093785884451995E-2</v>
      </c>
    </row>
    <row r="933" spans="19:27" x14ac:dyDescent="0.2">
      <c r="S933" s="1"/>
      <c r="T933" s="117"/>
      <c r="W933" s="75" t="str">
        <f t="shared" si="25"/>
        <v>1w</v>
      </c>
      <c r="X933" s="148">
        <f>_xll.qlCalendarAdvance(Calendar,X932,W933,"f",FALSE)</f>
        <v>45455</v>
      </c>
      <c r="Y933" s="153">
        <f>_xll.qlCalendarAdvance(Calendar,X933,NDays&amp;"D")</f>
        <v>45455</v>
      </c>
      <c r="Z933" s="154">
        <v>2.9331539841992015E-2</v>
      </c>
      <c r="AA933" s="156">
        <v>2.9111258978826715E-2</v>
      </c>
    </row>
    <row r="934" spans="19:27" x14ac:dyDescent="0.2">
      <c r="S934" s="1"/>
      <c r="T934" s="117"/>
      <c r="W934" s="75" t="str">
        <f t="shared" si="25"/>
        <v>1w</v>
      </c>
      <c r="X934" s="148">
        <f>_xll.qlCalendarAdvance(Calendar,X933,W934,"f",FALSE)</f>
        <v>45462</v>
      </c>
      <c r="Y934" s="153">
        <f>_xll.qlCalendarAdvance(Calendar,X934,NDays&amp;"D")</f>
        <v>45462</v>
      </c>
      <c r="Z934" s="154">
        <v>2.934913615899111E-2</v>
      </c>
      <c r="AA934" s="156">
        <v>2.9128731465921653E-2</v>
      </c>
    </row>
    <row r="935" spans="19:27" x14ac:dyDescent="0.2">
      <c r="S935" s="1"/>
      <c r="T935" s="117"/>
      <c r="W935" s="75" t="str">
        <f t="shared" si="25"/>
        <v>1w</v>
      </c>
      <c r="X935" s="148">
        <f>_xll.qlCalendarAdvance(Calendar,X934,W935,"f",FALSE)</f>
        <v>45469</v>
      </c>
      <c r="Y935" s="153">
        <f>_xll.qlCalendarAdvance(Calendar,X935,NDays&amp;"D")</f>
        <v>45469</v>
      </c>
      <c r="Z935" s="154">
        <v>2.9366731940918253E-2</v>
      </c>
      <c r="AA935" s="156">
        <v>2.914620334573681E-2</v>
      </c>
    </row>
    <row r="936" spans="19:27" x14ac:dyDescent="0.2">
      <c r="S936" s="1"/>
      <c r="T936" s="117"/>
      <c r="W936" s="75" t="str">
        <f t="shared" si="25"/>
        <v>1w</v>
      </c>
      <c r="X936" s="148">
        <f>_xll.qlCalendarAdvance(Calendar,X935,W936,"f",FALSE)</f>
        <v>45476</v>
      </c>
      <c r="Y936" s="153">
        <f>_xll.qlCalendarAdvance(Calendar,X936,NDays&amp;"D")</f>
        <v>45476</v>
      </c>
      <c r="Z936" s="154">
        <v>2.9384327187763758E-2</v>
      </c>
      <c r="AA936" s="156">
        <v>2.9163674618434277E-2</v>
      </c>
    </row>
    <row r="937" spans="19:27" x14ac:dyDescent="0.2">
      <c r="S937" s="1"/>
      <c r="T937" s="117"/>
      <c r="W937" s="75" t="str">
        <f t="shared" si="25"/>
        <v>1w</v>
      </c>
      <c r="X937" s="148">
        <f>_xll.qlCalendarAdvance(Calendar,X936,W937,"f",FALSE)</f>
        <v>45483</v>
      </c>
      <c r="Y937" s="153">
        <f>_xll.qlCalendarAdvance(Calendar,X937,NDays&amp;"D")</f>
        <v>45483</v>
      </c>
      <c r="Z937" s="154">
        <v>2.9401921792513053E-2</v>
      </c>
      <c r="AA937" s="156">
        <v>2.9181145283770915E-2</v>
      </c>
    </row>
    <row r="938" spans="19:27" x14ac:dyDescent="0.2">
      <c r="S938" s="1"/>
      <c r="T938" s="117"/>
      <c r="W938" s="75" t="str">
        <f t="shared" si="25"/>
        <v>1w</v>
      </c>
      <c r="X938" s="148">
        <f>_xll.qlCalendarAdvance(Calendar,X937,W938,"f",FALSE)</f>
        <v>45490</v>
      </c>
      <c r="Y938" s="153">
        <f>_xll.qlCalendarAdvance(Calendar,X938,NDays&amp;"D")</f>
        <v>45490</v>
      </c>
      <c r="Z938" s="154">
        <v>2.9419512112933949E-2</v>
      </c>
      <c r="AA938" s="156">
        <v>2.9198615341827772E-2</v>
      </c>
    </row>
    <row r="939" spans="19:27" x14ac:dyDescent="0.2">
      <c r="S939" s="1"/>
      <c r="T939" s="117"/>
      <c r="W939" s="75" t="str">
        <f t="shared" si="25"/>
        <v>1w</v>
      </c>
      <c r="X939" s="148">
        <f>_xll.qlCalendarAdvance(Calendar,X938,W939,"f",FALSE)</f>
        <v>45497</v>
      </c>
      <c r="Y939" s="153">
        <f>_xll.qlCalendarAdvance(Calendar,X939,NDays&amp;"D")</f>
        <v>45497</v>
      </c>
      <c r="Z939" s="154">
        <v>2.9437090246218583E-2</v>
      </c>
      <c r="AA939" s="156">
        <v>2.9216084792685892E-2</v>
      </c>
    </row>
    <row r="940" spans="19:27" x14ac:dyDescent="0.2">
      <c r="S940" s="1"/>
      <c r="T940" s="117"/>
      <c r="W940" s="75" t="str">
        <f t="shared" si="25"/>
        <v>1w</v>
      </c>
      <c r="X940" s="148">
        <f>_xll.qlCalendarAdvance(Calendar,X939,W940,"f",FALSE)</f>
        <v>45504</v>
      </c>
      <c r="Y940" s="153">
        <f>_xll.qlCalendarAdvance(Calendar,X940,NDays&amp;"D")</f>
        <v>45504</v>
      </c>
      <c r="Z940" s="154">
        <v>2.9454648035774113E-2</v>
      </c>
      <c r="AA940" s="156">
        <v>2.9233553636264231E-2</v>
      </c>
    </row>
    <row r="941" spans="19:27" x14ac:dyDescent="0.2">
      <c r="S941" s="1"/>
      <c r="T941" s="117"/>
      <c r="W941" s="75" t="str">
        <f t="shared" si="25"/>
        <v>1w</v>
      </c>
      <c r="X941" s="148">
        <f>_xll.qlCalendarAdvance(Calendar,X940,W941,"f",FALSE)</f>
        <v>45511</v>
      </c>
      <c r="Y941" s="153">
        <f>_xll.qlCalendarAdvance(Calendar,X941,NDays&amp;"D")</f>
        <v>45511</v>
      </c>
      <c r="Z941" s="154">
        <v>2.9472177324859697E-2</v>
      </c>
      <c r="AA941" s="156">
        <v>2.9251021872643834E-2</v>
      </c>
    </row>
    <row r="942" spans="19:27" x14ac:dyDescent="0.2">
      <c r="S942" s="1"/>
      <c r="T942" s="117"/>
      <c r="W942" s="75" t="str">
        <f t="shared" si="25"/>
        <v>1w</v>
      </c>
      <c r="X942" s="148">
        <f>_xll.qlCalendarAdvance(Calendar,X941,W942,"f",FALSE)</f>
        <v>45518</v>
      </c>
      <c r="Y942" s="153">
        <f>_xll.qlCalendarAdvance(Calendar,X942,NDays&amp;"D")</f>
        <v>45518</v>
      </c>
      <c r="Z942" s="154">
        <v>2.9489669956597075E-2</v>
      </c>
      <c r="AA942" s="156">
        <v>2.9268489501662609E-2</v>
      </c>
    </row>
    <row r="943" spans="19:27" x14ac:dyDescent="0.2">
      <c r="S943" s="1"/>
      <c r="T943" s="117"/>
      <c r="W943" s="75" t="str">
        <f t="shared" si="25"/>
        <v>1w</v>
      </c>
      <c r="X943" s="148">
        <f>_xll.qlCalendarAdvance(Calendar,X942,W943,"f",FALSE)</f>
        <v>45525</v>
      </c>
      <c r="Y943" s="153">
        <f>_xll.qlCalendarAdvance(Calendar,X943,NDays&amp;"D")</f>
        <v>45525</v>
      </c>
      <c r="Z943" s="154">
        <v>2.9507117773961745E-2</v>
      </c>
      <c r="AA943" s="156">
        <v>2.9285956523482648E-2</v>
      </c>
    </row>
    <row r="944" spans="19:27" x14ac:dyDescent="0.2">
      <c r="S944" s="1"/>
      <c r="T944" s="117"/>
      <c r="W944" s="75" t="str">
        <f t="shared" si="25"/>
        <v>1w</v>
      </c>
      <c r="X944" s="148">
        <f>_xll.qlCalendarAdvance(Calendar,X943,W944,"f",FALSE)</f>
        <v>45532</v>
      </c>
      <c r="Y944" s="153">
        <f>_xll.qlCalendarAdvance(Calendar,X944,NDays&amp;"D")</f>
        <v>45532</v>
      </c>
      <c r="Z944" s="154">
        <v>2.9524512619790902E-2</v>
      </c>
      <c r="AA944" s="156">
        <v>2.9303422938103951E-2</v>
      </c>
    </row>
    <row r="945" spans="19:27" x14ac:dyDescent="0.2">
      <c r="S945" s="1"/>
      <c r="T945" s="117"/>
      <c r="W945" s="75" t="str">
        <f t="shared" si="25"/>
        <v>1w</v>
      </c>
      <c r="X945" s="148">
        <f>_xll.qlCalendarAdvance(Calendar,X944,W945,"f",FALSE)</f>
        <v>45539</v>
      </c>
      <c r="Y945" s="153">
        <f>_xll.qlCalendarAdvance(Calendar,X945,NDays&amp;"D")</f>
        <v>45539</v>
      </c>
      <c r="Z945" s="154">
        <v>2.9539429764155693E-2</v>
      </c>
      <c r="AA945" s="156">
        <v>2.9320888745364426E-2</v>
      </c>
    </row>
    <row r="946" spans="19:27" x14ac:dyDescent="0.2">
      <c r="S946" s="1"/>
      <c r="T946" s="117"/>
      <c r="W946" s="75" t="str">
        <f t="shared" si="25"/>
        <v>1w</v>
      </c>
      <c r="X946" s="148">
        <f>_xll.qlCalendarAdvance(Calendar,X945,W946,"f",FALSE)</f>
        <v>45546</v>
      </c>
      <c r="Y946" s="153">
        <f>_xll.qlCalendarAdvance(Calendar,X946,NDays&amp;"D")</f>
        <v>45546</v>
      </c>
      <c r="Z946" s="154">
        <v>2.95566996979044E-2</v>
      </c>
      <c r="AA946" s="156">
        <v>2.9338353945426165E-2</v>
      </c>
    </row>
    <row r="947" spans="19:27" x14ac:dyDescent="0.2">
      <c r="S947" s="1"/>
      <c r="T947" s="117"/>
      <c r="W947" s="75" t="str">
        <f t="shared" si="25"/>
        <v>1w</v>
      </c>
      <c r="X947" s="148">
        <f>_xll.qlCalendarAdvance(Calendar,X946,W947,"f",FALSE)</f>
        <v>45553</v>
      </c>
      <c r="Y947" s="153">
        <f>_xll.qlCalendarAdvance(Calendar,X947,NDays&amp;"D")</f>
        <v>45553</v>
      </c>
      <c r="Z947" s="154">
        <v>2.9573892526212085E-2</v>
      </c>
      <c r="AA947" s="156">
        <v>2.9355818538208123E-2</v>
      </c>
    </row>
    <row r="948" spans="19:27" x14ac:dyDescent="0.2">
      <c r="S948" s="1"/>
      <c r="T948" s="117"/>
      <c r="W948" s="75" t="str">
        <f t="shared" si="25"/>
        <v>1w</v>
      </c>
      <c r="X948" s="148">
        <f>_xll.qlCalendarAdvance(Calendar,X947,W948,"f",FALSE)</f>
        <v>45560</v>
      </c>
      <c r="Y948" s="153">
        <f>_xll.qlCalendarAdvance(Calendar,X948,NDays&amp;"D")</f>
        <v>45560</v>
      </c>
      <c r="Z948" s="154">
        <v>2.9595797804024829E-2</v>
      </c>
      <c r="AA948" s="156">
        <v>2.9373282523710298E-2</v>
      </c>
    </row>
    <row r="949" spans="19:27" x14ac:dyDescent="0.2">
      <c r="S949" s="1"/>
      <c r="T949" s="117"/>
      <c r="W949" s="75" t="str">
        <f t="shared" si="25"/>
        <v>1w</v>
      </c>
      <c r="X949" s="148">
        <f>_xll.qlCalendarAdvance(Calendar,X948,W949,"f",FALSE)</f>
        <v>45567</v>
      </c>
      <c r="Y949" s="153">
        <f>_xll.qlCalendarAdvance(Calendar,X949,NDays&amp;"D")</f>
        <v>45567</v>
      </c>
      <c r="Z949" s="154">
        <v>2.9610406765429909E-2</v>
      </c>
      <c r="AA949" s="156">
        <v>2.9390745902013737E-2</v>
      </c>
    </row>
    <row r="950" spans="19:27" x14ac:dyDescent="0.2">
      <c r="S950" s="1"/>
      <c r="T950" s="117"/>
      <c r="W950" s="75" t="str">
        <f t="shared" si="25"/>
        <v>1w</v>
      </c>
      <c r="X950" s="148">
        <f>_xll.qlCalendarAdvance(Calendar,X949,W950,"f",FALSE)</f>
        <v>45574</v>
      </c>
      <c r="Y950" s="153">
        <f>_xll.qlCalendarAdvance(Calendar,X950,NDays&amp;"D")</f>
        <v>45574</v>
      </c>
      <c r="Z950" s="154">
        <v>2.9627312505557689E-2</v>
      </c>
      <c r="AA950" s="156">
        <v>2.9408201795693145E-2</v>
      </c>
    </row>
    <row r="951" spans="19:27" x14ac:dyDescent="0.2">
      <c r="S951" s="1"/>
      <c r="T951" s="117"/>
      <c r="W951" s="75" t="str">
        <f t="shared" si="25"/>
        <v>1w</v>
      </c>
      <c r="X951" s="148">
        <f>_xll.qlCalendarAdvance(Calendar,X950,W951,"f",FALSE)</f>
        <v>45581</v>
      </c>
      <c r="Y951" s="153">
        <f>_xll.qlCalendarAdvance(Calendar,X951,NDays&amp;"D")</f>
        <v>45581</v>
      </c>
      <c r="Z951" s="154">
        <v>2.9644110996112274E-2</v>
      </c>
      <c r="AA951" s="156">
        <v>2.942557274452251E-2</v>
      </c>
    </row>
    <row r="952" spans="19:27" x14ac:dyDescent="0.2">
      <c r="S952" s="1"/>
      <c r="T952" s="117"/>
      <c r="W952" s="75" t="str">
        <f t="shared" si="25"/>
        <v>1w</v>
      </c>
      <c r="X952" s="148">
        <f>_xll.qlCalendarAdvance(Calendar,X951,W952,"f",FALSE)</f>
        <v>45588</v>
      </c>
      <c r="Y952" s="153">
        <f>_xll.qlCalendarAdvance(Calendar,X952,NDays&amp;"D")</f>
        <v>45588</v>
      </c>
      <c r="Z952" s="154">
        <v>2.9660801740303746E-2</v>
      </c>
      <c r="AA952" s="156">
        <v>2.9442836668658323E-2</v>
      </c>
    </row>
    <row r="953" spans="19:27" x14ac:dyDescent="0.2">
      <c r="S953" s="1"/>
      <c r="T953" s="117"/>
      <c r="W953" s="75" t="str">
        <f t="shared" si="25"/>
        <v>1w</v>
      </c>
      <c r="X953" s="148">
        <f>_xll.qlCalendarAdvance(Calendar,X952,W953,"f",FALSE)</f>
        <v>45595</v>
      </c>
      <c r="Y953" s="153">
        <f>_xll.qlCalendarAdvance(Calendar,X953,NDays&amp;"D")</f>
        <v>45595</v>
      </c>
      <c r="Z953" s="154">
        <v>2.9677384736782511E-2</v>
      </c>
      <c r="AA953" s="156">
        <v>2.9459993568100584E-2</v>
      </c>
    </row>
    <row r="954" spans="19:27" x14ac:dyDescent="0.2">
      <c r="S954" s="1"/>
      <c r="T954" s="117"/>
      <c r="W954" s="75" t="str">
        <f t="shared" si="25"/>
        <v>1w</v>
      </c>
      <c r="X954" s="148">
        <f>_xll.qlCalendarAdvance(Calendar,X953,W954,"f",FALSE)</f>
        <v>45602</v>
      </c>
      <c r="Y954" s="153">
        <f>_xll.qlCalendarAdvance(Calendar,X954,NDays&amp;"D")</f>
        <v>45602</v>
      </c>
      <c r="Z954" s="154">
        <v>2.9693859984206896E-2</v>
      </c>
      <c r="AA954" s="156">
        <v>2.9477043442768247E-2</v>
      </c>
    </row>
    <row r="955" spans="19:27" x14ac:dyDescent="0.2">
      <c r="S955" s="1"/>
      <c r="T955" s="117"/>
      <c r="W955" s="75" t="str">
        <f t="shared" si="25"/>
        <v>1w</v>
      </c>
      <c r="X955" s="148">
        <f>_xll.qlCalendarAdvance(Calendar,X954,W955,"f",FALSE)</f>
        <v>45609</v>
      </c>
      <c r="Y955" s="153">
        <f>_xll.qlCalendarAdvance(Calendar,X955,NDays&amp;"D")</f>
        <v>45609</v>
      </c>
      <c r="Z955" s="154">
        <v>2.9710227481244928E-2</v>
      </c>
      <c r="AA955" s="156">
        <v>2.9493986292742358E-2</v>
      </c>
    </row>
    <row r="956" spans="19:27" x14ac:dyDescent="0.2">
      <c r="S956" s="1"/>
      <c r="T956" s="117"/>
      <c r="W956" s="75" t="str">
        <f t="shared" si="25"/>
        <v>1w</v>
      </c>
      <c r="X956" s="148">
        <f>_xll.qlCalendarAdvance(Calendar,X955,W956,"f",FALSE)</f>
        <v>45616</v>
      </c>
      <c r="Y956" s="153">
        <f>_xll.qlCalendarAdvance(Calendar,X956,NDays&amp;"D")</f>
        <v>45616</v>
      </c>
      <c r="Z956" s="154">
        <v>2.9726487226569911E-2</v>
      </c>
      <c r="AA956" s="156">
        <v>2.9510822117941871E-2</v>
      </c>
    </row>
    <row r="957" spans="19:27" x14ac:dyDescent="0.2">
      <c r="S957" s="1"/>
      <c r="T957" s="117"/>
      <c r="W957" s="75" t="str">
        <f t="shared" si="25"/>
        <v>1w</v>
      </c>
      <c r="X957" s="148">
        <f>_xll.qlCalendarAdvance(Calendar,X956,W957,"f",FALSE)</f>
        <v>45623</v>
      </c>
      <c r="Y957" s="153">
        <f>_xll.qlCalendarAdvance(Calendar,X957,NDays&amp;"D")</f>
        <v>45623</v>
      </c>
      <c r="Z957" s="154">
        <v>2.9742639218868373E-2</v>
      </c>
      <c r="AA957" s="156">
        <v>2.9527550918366785E-2</v>
      </c>
    </row>
    <row r="958" spans="19:27" x14ac:dyDescent="0.2">
      <c r="S958" s="1"/>
      <c r="T958" s="117"/>
      <c r="W958" s="75" t="str">
        <f t="shared" si="25"/>
        <v>1w</v>
      </c>
      <c r="X958" s="148">
        <f>_xll.qlCalendarAdvance(Calendar,X957,W958,"f",FALSE)</f>
        <v>45630</v>
      </c>
      <c r="Y958" s="153">
        <f>_xll.qlCalendarAdvance(Calendar,X958,NDays&amp;"D")</f>
        <v>45630</v>
      </c>
      <c r="Z958" s="154">
        <v>2.975401168887689E-2</v>
      </c>
      <c r="AA958" s="156">
        <v>2.9544172694017101E-2</v>
      </c>
    </row>
    <row r="959" spans="19:27" x14ac:dyDescent="0.2">
      <c r="S959" s="1"/>
      <c r="T959" s="117"/>
      <c r="W959" s="75" t="str">
        <f t="shared" si="25"/>
        <v>1w</v>
      </c>
      <c r="X959" s="148">
        <f>_xll.qlCalendarAdvance(Calendar,X958,W959,"f",FALSE)</f>
        <v>45637</v>
      </c>
      <c r="Y959" s="153">
        <f>_xll.qlCalendarAdvance(Calendar,X959,NDays&amp;"D")</f>
        <v>45637</v>
      </c>
      <c r="Z959" s="154">
        <v>2.9769960973371382E-2</v>
      </c>
      <c r="AA959" s="156">
        <v>2.9560687444973865E-2</v>
      </c>
    </row>
    <row r="960" spans="19:27" x14ac:dyDescent="0.2">
      <c r="S960" s="1"/>
      <c r="T960" s="117"/>
      <c r="W960" s="75" t="str">
        <f t="shared" si="25"/>
        <v>1w</v>
      </c>
      <c r="X960" s="148">
        <f>_xll.qlCalendarAdvance(Calendar,X959,W960,"f",FALSE)</f>
        <v>45644</v>
      </c>
      <c r="Y960" s="153">
        <f>_xll.qlCalendarAdvance(Calendar,X960,NDays&amp;"D")</f>
        <v>45644</v>
      </c>
      <c r="Z960" s="154">
        <v>2.9785802517264409E-2</v>
      </c>
      <c r="AA960" s="156">
        <v>2.9577095170993939E-2</v>
      </c>
    </row>
    <row r="961" spans="19:27" x14ac:dyDescent="0.2">
      <c r="S961" s="1"/>
      <c r="T961" s="117"/>
      <c r="W961" s="75" t="str">
        <f t="shared" si="25"/>
        <v>1w</v>
      </c>
      <c r="X961" s="148">
        <f>_xll.qlCalendarAdvance(Calendar,X960,W961,"f",FALSE)</f>
        <v>45653</v>
      </c>
      <c r="Y961" s="153">
        <f>_xll.qlCalendarAdvance(Calendar,X961,NDays&amp;"D")</f>
        <v>45653</v>
      </c>
      <c r="Z961" s="154">
        <v>2.9806011901818544E-2</v>
      </c>
      <c r="AA961" s="156">
        <v>2.9602748956004309E-2</v>
      </c>
    </row>
    <row r="962" spans="19:27" x14ac:dyDescent="0.2">
      <c r="S962" s="1"/>
      <c r="T962" s="117"/>
      <c r="W962" s="75" t="str">
        <f t="shared" si="25"/>
        <v>1w</v>
      </c>
      <c r="X962" s="148">
        <f>_xll.qlCalendarAdvance(Calendar,X961,W962,"f",FALSE)</f>
        <v>45660</v>
      </c>
      <c r="Y962" s="153">
        <f>_xll.qlCalendarAdvance(Calendar,X962,NDays&amp;"D")</f>
        <v>45660</v>
      </c>
      <c r="Z962" s="154">
        <v>2.9821607176786169E-2</v>
      </c>
      <c r="AA962" s="156">
        <v>2.961889938447778E-2</v>
      </c>
    </row>
    <row r="963" spans="19:27" x14ac:dyDescent="0.2">
      <c r="S963" s="1"/>
      <c r="T963" s="117"/>
      <c r="W963" s="75" t="str">
        <f t="shared" si="25"/>
        <v>1w</v>
      </c>
      <c r="X963" s="148">
        <f>_xll.qlCalendarAdvance(Calendar,X962,W963,"f",FALSE)</f>
        <v>45667</v>
      </c>
      <c r="Y963" s="153">
        <f>_xll.qlCalendarAdvance(Calendar,X963,NDays&amp;"D")</f>
        <v>45667</v>
      </c>
      <c r="Z963" s="154">
        <v>2.9837094707064898E-2</v>
      </c>
      <c r="AA963" s="156">
        <v>2.9634942772156506E-2</v>
      </c>
    </row>
    <row r="964" spans="19:27" x14ac:dyDescent="0.2">
      <c r="S964" s="1"/>
      <c r="T964" s="117"/>
      <c r="W964" s="75" t="str">
        <f t="shared" si="25"/>
        <v>1w</v>
      </c>
      <c r="X964" s="148">
        <f>_xll.qlCalendarAdvance(Calendar,X963,W964,"f",FALSE)</f>
        <v>45674</v>
      </c>
      <c r="Y964" s="153">
        <f>_xll.qlCalendarAdvance(Calendar,X964,NDays&amp;"D")</f>
        <v>45674</v>
      </c>
      <c r="Z964" s="154">
        <v>2.9852474491429127E-2</v>
      </c>
      <c r="AA964" s="156">
        <v>2.9650879118959438E-2</v>
      </c>
    </row>
    <row r="965" spans="19:27" x14ac:dyDescent="0.2">
      <c r="S965" s="1"/>
      <c r="T965" s="117"/>
      <c r="W965" s="75" t="str">
        <f t="shared" si="25"/>
        <v>1w</v>
      </c>
      <c r="X965" s="148">
        <f>_xll.qlCalendarAdvance(Calendar,X964,W965,"f",FALSE)</f>
        <v>45681</v>
      </c>
      <c r="Y965" s="153">
        <f>_xll.qlCalendarAdvance(Calendar,X965,NDays&amp;"D")</f>
        <v>45681</v>
      </c>
      <c r="Z965" s="154">
        <v>2.986774652866226E-2</v>
      </c>
      <c r="AA965" s="156">
        <v>2.9666708424913594E-2</v>
      </c>
    </row>
    <row r="966" spans="19:27" x14ac:dyDescent="0.2">
      <c r="S966" s="1"/>
      <c r="T966" s="117"/>
      <c r="W966" s="75" t="str">
        <f t="shared" si="25"/>
        <v>1w</v>
      </c>
      <c r="X966" s="148">
        <f>_xll.qlCalendarAdvance(Calendar,X965,W966,"f",FALSE)</f>
        <v>45688</v>
      </c>
      <c r="Y966" s="153">
        <f>_xll.qlCalendarAdvance(Calendar,X966,NDays&amp;"D")</f>
        <v>45688</v>
      </c>
      <c r="Z966" s="154">
        <v>2.9880627478216883E-2</v>
      </c>
      <c r="AA966" s="156">
        <v>2.9682430689883896E-2</v>
      </c>
    </row>
    <row r="967" spans="19:27" x14ac:dyDescent="0.2">
      <c r="S967" s="1"/>
      <c r="T967" s="117"/>
      <c r="W967" s="75" t="str">
        <f t="shared" si="25"/>
        <v>1w</v>
      </c>
      <c r="X967" s="148">
        <f>_xll.qlCalendarAdvance(Calendar,X966,W967,"f",FALSE)</f>
        <v>45695</v>
      </c>
      <c r="Y967" s="153">
        <f>_xll.qlCalendarAdvance(Calendar,X967,NDays&amp;"D")</f>
        <v>45695</v>
      </c>
      <c r="Z967" s="154">
        <v>2.9895690485047151E-2</v>
      </c>
      <c r="AA967" s="156">
        <v>2.9698045913924373E-2</v>
      </c>
    </row>
    <row r="968" spans="19:27" x14ac:dyDescent="0.2">
      <c r="S968" s="1"/>
      <c r="T968" s="117"/>
      <c r="W968" s="75" t="str">
        <f t="shared" si="25"/>
        <v>1w</v>
      </c>
      <c r="X968" s="148">
        <f>_xll.qlCalendarAdvance(Calendar,X967,W968,"f",FALSE)</f>
        <v>45702</v>
      </c>
      <c r="Y968" s="153">
        <f>_xll.qlCalendarAdvance(Calendar,X968,NDays&amp;"D")</f>
        <v>45702</v>
      </c>
      <c r="Z968" s="154">
        <v>2.9910645749408861E-2</v>
      </c>
      <c r="AA968" s="156">
        <v>2.971355409689995E-2</v>
      </c>
    </row>
    <row r="969" spans="19:27" x14ac:dyDescent="0.2">
      <c r="S969" s="1"/>
      <c r="T969" s="117"/>
      <c r="W969" s="75" t="str">
        <f t="shared" si="25"/>
        <v>1w</v>
      </c>
      <c r="X969" s="148">
        <f>_xll.qlCalendarAdvance(Calendar,X968,W969,"f",FALSE)</f>
        <v>45709</v>
      </c>
      <c r="Y969" s="153">
        <f>_xll.qlCalendarAdvance(Calendar,X969,NDays&amp;"D")</f>
        <v>45709</v>
      </c>
      <c r="Z969" s="154">
        <v>2.9925493270131855E-2</v>
      </c>
      <c r="AA969" s="156">
        <v>2.9728955238837639E-2</v>
      </c>
    </row>
    <row r="970" spans="19:27" x14ac:dyDescent="0.2">
      <c r="S970" s="1"/>
      <c r="T970" s="117"/>
      <c r="W970" s="75" t="str">
        <f t="shared" si="25"/>
        <v>1w</v>
      </c>
      <c r="X970" s="148">
        <f>_xll.qlCalendarAdvance(Calendar,X969,W970,"f",FALSE)</f>
        <v>45716</v>
      </c>
      <c r="Y970" s="153">
        <f>_xll.qlCalendarAdvance(Calendar,X970,NDays&amp;"D")</f>
        <v>45716</v>
      </c>
      <c r="Z970" s="154">
        <v>2.9944747387999758E-2</v>
      </c>
      <c r="AA970" s="156">
        <v>2.9744249339683414E-2</v>
      </c>
    </row>
    <row r="971" spans="19:27" x14ac:dyDescent="0.2">
      <c r="S971" s="1"/>
      <c r="T971" s="117"/>
      <c r="W971" s="75" t="str">
        <f t="shared" si="25"/>
        <v>1w</v>
      </c>
      <c r="X971" s="148">
        <f>_xll.qlCalendarAdvance(Calendar,X970,W971,"f",FALSE)</f>
        <v>45723</v>
      </c>
      <c r="Y971" s="153">
        <f>_xll.qlCalendarAdvance(Calendar,X971,NDays&amp;"D")</f>
        <v>45723</v>
      </c>
      <c r="Z971" s="154">
        <v>2.9966114683328597E-2</v>
      </c>
      <c r="AA971" s="156">
        <v>2.9759436399383242E-2</v>
      </c>
    </row>
    <row r="972" spans="19:27" x14ac:dyDescent="0.2">
      <c r="S972" s="1"/>
      <c r="T972" s="117"/>
      <c r="W972" s="75" t="str">
        <f t="shared" si="25"/>
        <v>1w</v>
      </c>
      <c r="X972" s="148">
        <f>_xll.qlCalendarAdvance(Calendar,X971,W972,"f",FALSE)</f>
        <v>45730</v>
      </c>
      <c r="Y972" s="153">
        <f>_xll.qlCalendarAdvance(Calendar,X972,NDays&amp;"D")</f>
        <v>45730</v>
      </c>
      <c r="Z972" s="154">
        <v>2.9980606410676729E-2</v>
      </c>
      <c r="AA972" s="156">
        <v>2.9774516417883094E-2</v>
      </c>
    </row>
    <row r="973" spans="19:27" x14ac:dyDescent="0.2">
      <c r="S973" s="1"/>
      <c r="T973" s="117"/>
      <c r="W973" s="75" t="str">
        <f t="shared" si="25"/>
        <v>1w</v>
      </c>
      <c r="X973" s="148">
        <f>_xll.qlCalendarAdvance(Calendar,X972,W973,"f",FALSE)</f>
        <v>45737</v>
      </c>
      <c r="Y973" s="153">
        <f>_xll.qlCalendarAdvance(Calendar,X973,NDays&amp;"D")</f>
        <v>45737</v>
      </c>
      <c r="Z973" s="154">
        <v>2.999499034813026E-2</v>
      </c>
      <c r="AA973" s="156">
        <v>2.9789489395155952E-2</v>
      </c>
    </row>
    <row r="974" spans="19:27" x14ac:dyDescent="0.2">
      <c r="S974" s="1"/>
      <c r="T974" s="117"/>
      <c r="W974" s="75" t="str">
        <f t="shared" si="25"/>
        <v>1w</v>
      </c>
      <c r="X974" s="148">
        <f>_xll.qlCalendarAdvance(Calendar,X973,W974,"f",FALSE)</f>
        <v>45744</v>
      </c>
      <c r="Y974" s="153">
        <f>_xll.qlCalendarAdvance(Calendar,X974,NDays&amp;"D")</f>
        <v>45744</v>
      </c>
      <c r="Z974" s="154">
        <v>3.0009266494499365E-2</v>
      </c>
      <c r="AA974" s="156">
        <v>2.9804355331201814E-2</v>
      </c>
    </row>
    <row r="975" spans="19:27" x14ac:dyDescent="0.2">
      <c r="S975" s="1"/>
      <c r="T975" s="117"/>
      <c r="W975" s="75" t="str">
        <f t="shared" si="25"/>
        <v>1w</v>
      </c>
      <c r="X975" s="148">
        <f>_xll.qlCalendarAdvance(Calendar,X974,W975,"f",FALSE)</f>
        <v>45751</v>
      </c>
      <c r="Y975" s="153">
        <f>_xll.qlCalendarAdvance(Calendar,X975,NDays&amp;"D")</f>
        <v>45751</v>
      </c>
      <c r="Z975" s="154">
        <v>3.001676487740278E-2</v>
      </c>
      <c r="AA975" s="156">
        <v>2.9819114225939639E-2</v>
      </c>
    </row>
    <row r="976" spans="19:27" x14ac:dyDescent="0.2">
      <c r="S976" s="1"/>
      <c r="T976" s="117"/>
      <c r="W976" s="75" t="str">
        <f t="shared" si="25"/>
        <v>1w</v>
      </c>
      <c r="X976" s="148">
        <f>_xll.qlCalendarAdvance(Calendar,X975,W976,"f",FALSE)</f>
        <v>45758</v>
      </c>
      <c r="Y976" s="153">
        <f>_xll.qlCalendarAdvance(Calendar,X976,NDays&amp;"D")</f>
        <v>45758</v>
      </c>
      <c r="Z976" s="154">
        <v>3.003084507487529E-2</v>
      </c>
      <c r="AA976" s="156">
        <v>2.9833766079315392E-2</v>
      </c>
    </row>
    <row r="977" spans="19:27" x14ac:dyDescent="0.2">
      <c r="S977" s="1"/>
      <c r="T977" s="117"/>
      <c r="W977" s="75" t="str">
        <f t="shared" si="25"/>
        <v>1w</v>
      </c>
      <c r="X977" s="148">
        <f>_xll.qlCalendarAdvance(Calendar,X976,W977,"f",FALSE)</f>
        <v>45769</v>
      </c>
      <c r="Y977" s="153">
        <f>_xll.qlCalendarAdvance(Calendar,X977,NDays&amp;"D")</f>
        <v>45769</v>
      </c>
      <c r="Z977" s="154">
        <v>3.0052753360766991E-2</v>
      </c>
      <c r="AA977" s="156">
        <v>2.985207077979779E-2</v>
      </c>
    </row>
    <row r="978" spans="19:27" x14ac:dyDescent="0.2">
      <c r="S978" s="1"/>
      <c r="T978" s="117"/>
      <c r="W978" s="75" t="str">
        <f t="shared" si="25"/>
        <v>1w</v>
      </c>
      <c r="X978" s="148">
        <f>_xll.qlCalendarAdvance(Calendar,X977,W978,"f",FALSE)</f>
        <v>45776</v>
      </c>
      <c r="Y978" s="153">
        <f>_xll.qlCalendarAdvance(Calendar,X978,NDays&amp;"D")</f>
        <v>45776</v>
      </c>
      <c r="Z978" s="154">
        <v>3.0066556434537161E-2</v>
      </c>
      <c r="AA978" s="156">
        <v>2.9866460321158472E-2</v>
      </c>
    </row>
    <row r="979" spans="19:27" x14ac:dyDescent="0.2">
      <c r="S979" s="1"/>
      <c r="T979" s="117"/>
      <c r="W979" s="75" t="str">
        <f t="shared" si="25"/>
        <v>1w</v>
      </c>
      <c r="X979" s="148">
        <f>_xll.qlCalendarAdvance(Calendar,X978,W979,"f",FALSE)</f>
        <v>45783</v>
      </c>
      <c r="Y979" s="153">
        <f>_xll.qlCalendarAdvance(Calendar,X979,NDays&amp;"D")</f>
        <v>45783</v>
      </c>
      <c r="Z979" s="154">
        <v>3.0082445576933809E-2</v>
      </c>
      <c r="AA979" s="156">
        <v>2.9880742837339325E-2</v>
      </c>
    </row>
    <row r="980" spans="19:27" x14ac:dyDescent="0.2">
      <c r="S980" s="1"/>
      <c r="T980" s="117"/>
      <c r="W980" s="75" t="str">
        <f t="shared" si="25"/>
        <v>1w</v>
      </c>
      <c r="X980" s="148">
        <f>_xll.qlCalendarAdvance(Calendar,X979,W980,"f",FALSE)</f>
        <v>45790</v>
      </c>
      <c r="Y980" s="153">
        <f>_xll.qlCalendarAdvance(Calendar,X980,NDays&amp;"D")</f>
        <v>45790</v>
      </c>
      <c r="Z980" s="154">
        <v>3.0096026522081907E-2</v>
      </c>
      <c r="AA980" s="156">
        <v>2.9894918328421394E-2</v>
      </c>
    </row>
    <row r="981" spans="19:27" x14ac:dyDescent="0.2">
      <c r="S981" s="1"/>
      <c r="T981" s="117"/>
      <c r="W981" s="75" t="str">
        <f t="shared" ref="W981:W1044" si="26">W980</f>
        <v>1w</v>
      </c>
      <c r="X981" s="148">
        <f>_xll.qlCalendarAdvance(Calendar,X980,W981,"f",FALSE)</f>
        <v>45797</v>
      </c>
      <c r="Y981" s="153">
        <f>_xll.qlCalendarAdvance(Calendar,X981,NDays&amp;"D")</f>
        <v>45797</v>
      </c>
      <c r="Z981" s="154">
        <v>3.0109499684305333E-2</v>
      </c>
      <c r="AA981" s="156">
        <v>2.9908986794404679E-2</v>
      </c>
    </row>
    <row r="982" spans="19:27" x14ac:dyDescent="0.2">
      <c r="S982" s="1"/>
      <c r="T982" s="117"/>
      <c r="W982" s="75" t="str">
        <f t="shared" si="26"/>
        <v>1w</v>
      </c>
      <c r="X982" s="148">
        <f>_xll.qlCalendarAdvance(Calendar,X981,W982,"f",FALSE)</f>
        <v>45804</v>
      </c>
      <c r="Y982" s="153">
        <f>_xll.qlCalendarAdvance(Calendar,X982,NDays&amp;"D")</f>
        <v>45804</v>
      </c>
      <c r="Z982" s="154">
        <v>3.0122865062511717E-2</v>
      </c>
      <c r="AA982" s="156">
        <v>2.9922948235289182E-2</v>
      </c>
    </row>
    <row r="983" spans="19:27" x14ac:dyDescent="0.2">
      <c r="S983" s="1"/>
      <c r="T983" s="117"/>
      <c r="W983" s="75" t="str">
        <f t="shared" si="26"/>
        <v>1w</v>
      </c>
      <c r="X983" s="148">
        <f>_xll.qlCalendarAdvance(Calendar,X982,W983,"f",FALSE)</f>
        <v>45811</v>
      </c>
      <c r="Y983" s="153">
        <f>_xll.qlCalendarAdvance(Calendar,X983,NDays&amp;"D")</f>
        <v>45811</v>
      </c>
      <c r="Z983" s="154">
        <v>3.0136122655621034E-2</v>
      </c>
      <c r="AA983" s="156">
        <v>2.9936802651155947E-2</v>
      </c>
    </row>
    <row r="984" spans="19:27" x14ac:dyDescent="0.2">
      <c r="S984" s="1"/>
      <c r="T984" s="117"/>
      <c r="W984" s="75" t="str">
        <f t="shared" si="26"/>
        <v>1w</v>
      </c>
      <c r="X984" s="148">
        <f>_xll.qlCalendarAdvance(Calendar,X983,W984,"f",FALSE)</f>
        <v>45818</v>
      </c>
      <c r="Y984" s="153">
        <f>_xll.qlCalendarAdvance(Calendar,X984,NDays&amp;"D")</f>
        <v>45818</v>
      </c>
      <c r="Z984" s="154">
        <v>3.0149272462559423E-2</v>
      </c>
      <c r="AA984" s="156">
        <v>2.995055004168079E-2</v>
      </c>
    </row>
    <row r="985" spans="19:27" x14ac:dyDescent="0.2">
      <c r="S985" s="1"/>
      <c r="T985" s="117"/>
      <c r="W985" s="75" t="str">
        <f t="shared" si="26"/>
        <v>1w</v>
      </c>
      <c r="X985" s="148">
        <f>_xll.qlCalendarAdvance(Calendar,X984,W985,"f",FALSE)</f>
        <v>45825</v>
      </c>
      <c r="Y985" s="153">
        <f>_xll.qlCalendarAdvance(Calendar,X985,NDays&amp;"D")</f>
        <v>45825</v>
      </c>
      <c r="Z985" s="154">
        <v>3.0162314482264471E-2</v>
      </c>
      <c r="AA985" s="156">
        <v>2.996419040710685E-2</v>
      </c>
    </row>
    <row r="986" spans="19:27" x14ac:dyDescent="0.2">
      <c r="S986" s="1"/>
      <c r="T986" s="117"/>
      <c r="W986" s="75" t="str">
        <f t="shared" si="26"/>
        <v>1w</v>
      </c>
      <c r="X986" s="148">
        <f>_xll.qlCalendarAdvance(Calendar,X985,W986,"f",FALSE)</f>
        <v>45832</v>
      </c>
      <c r="Y986" s="153">
        <f>_xll.qlCalendarAdvance(Calendar,X986,NDays&amp;"D")</f>
        <v>45832</v>
      </c>
      <c r="Z986" s="154">
        <v>3.0175248713679048E-2</v>
      </c>
      <c r="AA986" s="156">
        <v>2.9977723747434126E-2</v>
      </c>
    </row>
    <row r="987" spans="19:27" x14ac:dyDescent="0.2">
      <c r="S987" s="1"/>
      <c r="T987" s="117"/>
      <c r="W987" s="75" t="str">
        <f t="shared" si="26"/>
        <v>1w</v>
      </c>
      <c r="X987" s="148">
        <f>_xll.qlCalendarAdvance(Calendar,X986,W987,"f",FALSE)</f>
        <v>45839</v>
      </c>
      <c r="Y987" s="153">
        <f>_xll.qlCalendarAdvance(Calendar,X987,NDays&amp;"D")</f>
        <v>45839</v>
      </c>
      <c r="Z987" s="154">
        <v>3.0188075155759247E-2</v>
      </c>
      <c r="AA987" s="156">
        <v>2.9991150062662619E-2</v>
      </c>
    </row>
    <row r="988" spans="19:27" x14ac:dyDescent="0.2">
      <c r="S988" s="1"/>
      <c r="T988" s="117"/>
      <c r="W988" s="75" t="str">
        <f t="shared" si="26"/>
        <v>1w</v>
      </c>
      <c r="X988" s="148">
        <f>_xll.qlCalendarAdvance(Calendar,X987,W988,"f",FALSE)</f>
        <v>45846</v>
      </c>
      <c r="Y988" s="153">
        <f>_xll.qlCalendarAdvance(Calendar,X988,NDays&amp;"D")</f>
        <v>45846</v>
      </c>
      <c r="Z988" s="154">
        <v>3.0200793807464682E-2</v>
      </c>
      <c r="AA988" s="156">
        <v>3.000446935254919E-2</v>
      </c>
    </row>
    <row r="989" spans="19:27" x14ac:dyDescent="0.2">
      <c r="S989" s="1"/>
      <c r="T989" s="117"/>
      <c r="W989" s="75" t="str">
        <f t="shared" si="26"/>
        <v>1w</v>
      </c>
      <c r="X989" s="148">
        <f>_xll.qlCalendarAdvance(Calendar,X988,W989,"f",FALSE)</f>
        <v>45853</v>
      </c>
      <c r="Y989" s="153">
        <f>_xll.qlCalendarAdvance(Calendar,X989,NDays&amp;"D")</f>
        <v>45853</v>
      </c>
      <c r="Z989" s="154">
        <v>3.0213404667768177E-2</v>
      </c>
      <c r="AA989" s="156">
        <v>3.0017681617255931E-2</v>
      </c>
    </row>
    <row r="990" spans="19:27" x14ac:dyDescent="0.2">
      <c r="S990" s="1"/>
      <c r="T990" s="117"/>
      <c r="W990" s="75" t="str">
        <f t="shared" si="26"/>
        <v>1w</v>
      </c>
      <c r="X990" s="148">
        <f>_xll.qlCalendarAdvance(Calendar,X989,W990,"f",FALSE)</f>
        <v>45860</v>
      </c>
      <c r="Y990" s="153">
        <f>_xll.qlCalendarAdvance(Calendar,X990,NDays&amp;"D")</f>
        <v>45860</v>
      </c>
      <c r="Z990" s="154">
        <v>3.0225907735647844E-2</v>
      </c>
      <c r="AA990" s="156">
        <v>3.0030786856782843E-2</v>
      </c>
    </row>
    <row r="991" spans="19:27" x14ac:dyDescent="0.2">
      <c r="S991" s="1"/>
      <c r="T991" s="117"/>
      <c r="W991" s="75" t="str">
        <f t="shared" si="26"/>
        <v>1w</v>
      </c>
      <c r="X991" s="148">
        <f>_xll.qlCalendarAdvance(Calendar,X990,W991,"f",FALSE)</f>
        <v>45867</v>
      </c>
      <c r="Y991" s="153">
        <f>_xll.qlCalendarAdvance(Calendar,X991,NDays&amp;"D")</f>
        <v>45867</v>
      </c>
      <c r="Z991" s="154">
        <v>3.0238303010092369E-2</v>
      </c>
      <c r="AA991" s="156">
        <v>3.0043785071048879E-2</v>
      </c>
    </row>
    <row r="992" spans="19:27" x14ac:dyDescent="0.2">
      <c r="S992" s="1"/>
      <c r="T992" s="117"/>
      <c r="W992" s="75" t="str">
        <f t="shared" si="26"/>
        <v>1w</v>
      </c>
      <c r="X992" s="148">
        <f>_xll.qlCalendarAdvance(Calendar,X991,W992,"f",FALSE)</f>
        <v>45874</v>
      </c>
      <c r="Y992" s="153">
        <f>_xll.qlCalendarAdvance(Calendar,X992,NDays&amp;"D")</f>
        <v>45874</v>
      </c>
      <c r="Z992" s="154">
        <v>3.0250590490098362E-2</v>
      </c>
      <c r="AA992" s="156">
        <v>3.0056676260135085E-2</v>
      </c>
    </row>
    <row r="993" spans="19:27" x14ac:dyDescent="0.2">
      <c r="S993" s="1"/>
      <c r="T993" s="117"/>
      <c r="W993" s="75" t="str">
        <f t="shared" si="26"/>
        <v>1w</v>
      </c>
      <c r="X993" s="148">
        <f>_xll.qlCalendarAdvance(Calendar,X992,W993,"f",FALSE)</f>
        <v>45881</v>
      </c>
      <c r="Y993" s="153">
        <f>_xll.qlCalendarAdvance(Calendar,X993,NDays&amp;"D")</f>
        <v>45881</v>
      </c>
      <c r="Z993" s="154">
        <v>3.0262770174674766E-2</v>
      </c>
      <c r="AA993" s="156">
        <v>3.0069460423960415E-2</v>
      </c>
    </row>
    <row r="994" spans="19:27" x14ac:dyDescent="0.2">
      <c r="S994" s="1"/>
      <c r="T994" s="117"/>
      <c r="W994" s="75" t="str">
        <f t="shared" si="26"/>
        <v>1w</v>
      </c>
      <c r="X994" s="148">
        <f>_xll.qlCalendarAdvance(Calendar,X993,W994,"f",FALSE)</f>
        <v>45888</v>
      </c>
      <c r="Y994" s="153">
        <f>_xll.qlCalendarAdvance(Calendar,X994,NDays&amp;"D")</f>
        <v>45888</v>
      </c>
      <c r="Z994" s="154">
        <v>3.0274842062831406E-2</v>
      </c>
      <c r="AA994" s="156">
        <v>3.0082137562443823E-2</v>
      </c>
    </row>
    <row r="995" spans="19:27" x14ac:dyDescent="0.2">
      <c r="S995" s="1"/>
      <c r="T995" s="117"/>
      <c r="W995" s="75" t="str">
        <f t="shared" si="26"/>
        <v>1w</v>
      </c>
      <c r="X995" s="148">
        <f>_xll.qlCalendarAdvance(Calendar,X994,W995,"f",FALSE)</f>
        <v>45895</v>
      </c>
      <c r="Y995" s="153">
        <f>_xll.qlCalendarAdvance(Calendar,X995,NDays&amp;"D")</f>
        <v>45895</v>
      </c>
      <c r="Z995" s="154">
        <v>3.028680615359397E-2</v>
      </c>
      <c r="AA995" s="156">
        <v>3.0094707675747401E-2</v>
      </c>
    </row>
    <row r="996" spans="19:27" x14ac:dyDescent="0.2">
      <c r="S996" s="1"/>
      <c r="T996" s="117"/>
      <c r="W996" s="75" t="str">
        <f t="shared" si="26"/>
        <v>1w</v>
      </c>
      <c r="X996" s="148">
        <f>_xll.qlCalendarAdvance(Calendar,X995,W996,"f",FALSE)</f>
        <v>45902</v>
      </c>
      <c r="Y996" s="153">
        <f>_xll.qlCalendarAdvance(Calendar,X996,NDays&amp;"D")</f>
        <v>45902</v>
      </c>
      <c r="Z996" s="154">
        <v>3.0296581668781516E-2</v>
      </c>
      <c r="AA996" s="156">
        <v>3.0107170763790103E-2</v>
      </c>
    </row>
    <row r="997" spans="19:27" x14ac:dyDescent="0.2">
      <c r="S997" s="1"/>
      <c r="T997" s="117"/>
      <c r="W997" s="75" t="str">
        <f t="shared" si="26"/>
        <v>1w</v>
      </c>
      <c r="X997" s="148">
        <f>_xll.qlCalendarAdvance(Calendar,X996,W997,"f",FALSE)</f>
        <v>45909</v>
      </c>
      <c r="Y997" s="153">
        <f>_xll.qlCalendarAdvance(Calendar,X997,NDays&amp;"D")</f>
        <v>45909</v>
      </c>
      <c r="Z997" s="154">
        <v>3.0308336889596454E-2</v>
      </c>
      <c r="AA997" s="156">
        <v>3.0119526826409837E-2</v>
      </c>
    </row>
    <row r="998" spans="19:27" x14ac:dyDescent="0.2">
      <c r="S998" s="1"/>
      <c r="T998" s="117"/>
      <c r="W998" s="75" t="str">
        <f t="shared" si="26"/>
        <v>1w</v>
      </c>
      <c r="X998" s="148">
        <f>_xll.qlCalendarAdvance(Calendar,X997,W998,"f",FALSE)</f>
        <v>45916</v>
      </c>
      <c r="Y998" s="153">
        <f>_xll.qlCalendarAdvance(Calendar,X998,NDays&amp;"D")</f>
        <v>45916</v>
      </c>
      <c r="Z998" s="154">
        <v>3.0319984318751946E-2</v>
      </c>
      <c r="AA998" s="156">
        <v>3.0131775863849741E-2</v>
      </c>
    </row>
    <row r="999" spans="19:27" x14ac:dyDescent="0.2">
      <c r="S999" s="1"/>
      <c r="T999" s="117"/>
      <c r="W999" s="75" t="str">
        <f t="shared" si="26"/>
        <v>1w</v>
      </c>
      <c r="X999" s="148">
        <f>_xll.qlCalendarAdvance(Calendar,X998,W999,"f",FALSE)</f>
        <v>45923</v>
      </c>
      <c r="Y999" s="153">
        <f>_xll.qlCalendarAdvance(Calendar,X999,NDays&amp;"D")</f>
        <v>45923</v>
      </c>
      <c r="Z999" s="154">
        <v>3.0331523955315517E-2</v>
      </c>
      <c r="AA999" s="156">
        <v>3.0143917875866677E-2</v>
      </c>
    </row>
    <row r="1000" spans="19:27" x14ac:dyDescent="0.2">
      <c r="S1000" s="1"/>
      <c r="T1000" s="117"/>
      <c r="W1000" s="75" t="str">
        <f t="shared" si="26"/>
        <v>1w</v>
      </c>
      <c r="X1000" s="148">
        <f>_xll.qlCalendarAdvance(Calendar,X999,W1000,"f",FALSE)</f>
        <v>45930</v>
      </c>
      <c r="Y1000" s="153">
        <f>_xll.qlCalendarAdvance(Calendar,X1000,NDays&amp;"D")</f>
        <v>45930</v>
      </c>
      <c r="Z1000" s="154">
        <v>3.0345009612917782E-2</v>
      </c>
      <c r="AA1000" s="156">
        <v>3.0155952862703783E-2</v>
      </c>
    </row>
    <row r="1001" spans="19:27" x14ac:dyDescent="0.2">
      <c r="S1001" s="1"/>
      <c r="T1001" s="117"/>
      <c r="W1001" s="75" t="str">
        <f t="shared" si="26"/>
        <v>1w</v>
      </c>
      <c r="X1001" s="148">
        <f>_xll.qlCalendarAdvance(Calendar,X1000,W1001,"f",FALSE)</f>
        <v>45937</v>
      </c>
      <c r="Y1001" s="153">
        <f>_xll.qlCalendarAdvance(Calendar,X1001,NDays&amp;"D")</f>
        <v>45937</v>
      </c>
      <c r="Z1001" s="154">
        <v>3.0356326899292158E-2</v>
      </c>
      <c r="AA1001" s="156">
        <v>3.0167880824117921E-2</v>
      </c>
    </row>
    <row r="1002" spans="19:27" x14ac:dyDescent="0.2">
      <c r="S1002" s="1"/>
      <c r="T1002" s="117"/>
      <c r="W1002" s="75" t="str">
        <f t="shared" si="26"/>
        <v>1w</v>
      </c>
      <c r="X1002" s="148">
        <f>_xll.qlCalendarAdvance(Calendar,X1001,W1002,"f",FALSE)</f>
        <v>45944</v>
      </c>
      <c r="Y1002" s="153">
        <f>_xll.qlCalendarAdvance(Calendar,X1002,NDays&amp;"D")</f>
        <v>45944</v>
      </c>
      <c r="Z1002" s="154">
        <v>3.0367536381677752E-2</v>
      </c>
      <c r="AA1002" s="156">
        <v>3.0179701760190136E-2</v>
      </c>
    </row>
    <row r="1003" spans="19:27" x14ac:dyDescent="0.2">
      <c r="S1003" s="1"/>
      <c r="T1003" s="117"/>
      <c r="W1003" s="75" t="str">
        <f t="shared" si="26"/>
        <v>1w</v>
      </c>
      <c r="X1003" s="148">
        <f>_xll.qlCalendarAdvance(Calendar,X1002,W1003,"f",FALSE)</f>
        <v>45951</v>
      </c>
      <c r="Y1003" s="153">
        <f>_xll.qlCalendarAdvance(Calendar,X1003,NDays&amp;"D")</f>
        <v>45951</v>
      </c>
      <c r="Z1003" s="154">
        <v>3.0378638059168083E-2</v>
      </c>
      <c r="AA1003" s="156">
        <v>3.019141567092043E-2</v>
      </c>
    </row>
    <row r="1004" spans="19:27" x14ac:dyDescent="0.2">
      <c r="S1004" s="1"/>
      <c r="T1004" s="117"/>
      <c r="W1004" s="75" t="str">
        <f t="shared" si="26"/>
        <v>1w</v>
      </c>
      <c r="X1004" s="148">
        <f>_xll.qlCalendarAdvance(Calendar,X1003,W1004,"f",FALSE)</f>
        <v>45958</v>
      </c>
      <c r="Y1004" s="153">
        <f>_xll.qlCalendarAdvance(Calendar,X1004,NDays&amp;"D")</f>
        <v>45958</v>
      </c>
      <c r="Z1004" s="154">
        <v>3.0389631930866353E-2</v>
      </c>
      <c r="AA1004" s="156">
        <v>3.0203022556227754E-2</v>
      </c>
    </row>
    <row r="1005" spans="19:27" x14ac:dyDescent="0.2">
      <c r="S1005" s="1"/>
      <c r="T1005" s="117"/>
      <c r="W1005" s="75" t="str">
        <f t="shared" si="26"/>
        <v>1w</v>
      </c>
      <c r="X1005" s="148">
        <f>_xll.qlCalendarAdvance(Calendar,X1004,W1005,"f",FALSE)</f>
        <v>45965</v>
      </c>
      <c r="Y1005" s="153">
        <f>_xll.qlCalendarAdvance(Calendar,X1005,NDays&amp;"D")</f>
        <v>45965</v>
      </c>
      <c r="Z1005" s="154">
        <v>3.0400517995882819E-2</v>
      </c>
      <c r="AA1005" s="156">
        <v>3.0214522416193157E-2</v>
      </c>
    </row>
    <row r="1006" spans="19:27" x14ac:dyDescent="0.2">
      <c r="S1006" s="1"/>
      <c r="T1006" s="117"/>
      <c r="W1006" s="75" t="str">
        <f t="shared" si="26"/>
        <v>1w</v>
      </c>
      <c r="X1006" s="148">
        <f>_xll.qlCalendarAdvance(Calendar,X1005,W1006,"f",FALSE)</f>
        <v>45972</v>
      </c>
      <c r="Y1006" s="153">
        <f>_xll.qlCalendarAdvance(Calendar,X1006,NDays&amp;"D")</f>
        <v>45972</v>
      </c>
      <c r="Z1006" s="154">
        <v>3.0411296253335659E-2</v>
      </c>
      <c r="AA1006" s="156">
        <v>3.0225915250816637E-2</v>
      </c>
    </row>
    <row r="1007" spans="19:27" x14ac:dyDescent="0.2">
      <c r="S1007" s="1"/>
      <c r="T1007" s="117"/>
      <c r="W1007" s="75" t="str">
        <f t="shared" si="26"/>
        <v>1w</v>
      </c>
      <c r="X1007" s="148">
        <f>_xll.qlCalendarAdvance(Calendar,X1006,W1007,"f",FALSE)</f>
        <v>45979</v>
      </c>
      <c r="Y1007" s="153">
        <f>_xll.qlCalendarAdvance(Calendar,X1007,NDays&amp;"D")</f>
        <v>45979</v>
      </c>
      <c r="Z1007" s="154">
        <v>3.0421966702352747E-2</v>
      </c>
      <c r="AA1007" s="156">
        <v>3.0237201060017149E-2</v>
      </c>
    </row>
    <row r="1008" spans="19:27" x14ac:dyDescent="0.2">
      <c r="S1008" s="1"/>
      <c r="T1008" s="117"/>
      <c r="W1008" s="75" t="str">
        <f t="shared" si="26"/>
        <v>1w</v>
      </c>
      <c r="X1008" s="148">
        <f>_xll.qlCalendarAdvance(Calendar,X1007,W1008,"f",FALSE)</f>
        <v>45986</v>
      </c>
      <c r="Y1008" s="153">
        <f>_xll.qlCalendarAdvance(Calendar,X1008,NDays&amp;"D")</f>
        <v>45986</v>
      </c>
      <c r="Z1008" s="154">
        <v>3.043252934207076E-2</v>
      </c>
      <c r="AA1008" s="156">
        <v>3.0248379843794693E-2</v>
      </c>
    </row>
    <row r="1009" spans="19:27" x14ac:dyDescent="0.2">
      <c r="S1009" s="1"/>
      <c r="T1009" s="117"/>
      <c r="W1009" s="75" t="str">
        <f t="shared" si="26"/>
        <v>1w</v>
      </c>
      <c r="X1009" s="148">
        <f>_xll.qlCalendarAdvance(Calendar,X1008,W1009,"f",FALSE)</f>
        <v>45993</v>
      </c>
      <c r="Y1009" s="153">
        <f>_xll.qlCalendarAdvance(Calendar,X1009,NDays&amp;"D")</f>
        <v>45993</v>
      </c>
      <c r="Z1009" s="154">
        <v>3.0438998344811577E-2</v>
      </c>
      <c r="AA1009" s="156">
        <v>3.0259451602230314E-2</v>
      </c>
    </row>
    <row r="1010" spans="19:27" x14ac:dyDescent="0.2">
      <c r="S1010" s="1"/>
      <c r="T1010" s="117"/>
      <c r="W1010" s="75" t="str">
        <f t="shared" si="26"/>
        <v>1w</v>
      </c>
      <c r="X1010" s="148">
        <f>_xll.qlCalendarAdvance(Calendar,X1009,W1010,"f",FALSE)</f>
        <v>46000</v>
      </c>
      <c r="Y1010" s="153">
        <f>_xll.qlCalendarAdvance(Calendar,X1010,NDays&amp;"D")</f>
        <v>46000</v>
      </c>
      <c r="Z1010" s="154">
        <v>3.0449359043053348E-2</v>
      </c>
      <c r="AA1010" s="156">
        <v>3.027041633516192E-2</v>
      </c>
    </row>
    <row r="1011" spans="19:27" x14ac:dyDescent="0.2">
      <c r="S1011" s="1"/>
      <c r="T1011" s="117"/>
      <c r="W1011" s="75" t="str">
        <f t="shared" si="26"/>
        <v>1w</v>
      </c>
      <c r="X1011" s="148">
        <f>_xll.qlCalendarAdvance(Calendar,X1010,W1011,"f",FALSE)</f>
        <v>46007</v>
      </c>
      <c r="Y1011" s="153">
        <f>_xll.qlCalendarAdvance(Calendar,X1011,NDays&amp;"D")</f>
        <v>46007</v>
      </c>
      <c r="Z1011" s="154">
        <v>3.0459611946918548E-2</v>
      </c>
      <c r="AA1011" s="156">
        <v>3.0281274042670558E-2</v>
      </c>
    </row>
    <row r="1012" spans="19:27" x14ac:dyDescent="0.2">
      <c r="S1012" s="1"/>
      <c r="T1012" s="117"/>
      <c r="W1012" s="75" t="str">
        <f t="shared" si="26"/>
        <v>1w</v>
      </c>
      <c r="X1012" s="148">
        <f>_xll.qlCalendarAdvance(Calendar,X1011,W1012,"f",FALSE)</f>
        <v>46014</v>
      </c>
      <c r="Y1012" s="153">
        <f>_xll.qlCalendarAdvance(Calendar,X1012,NDays&amp;"D")</f>
        <v>46014</v>
      </c>
      <c r="Z1012" s="154">
        <v>3.0469757055594012E-2</v>
      </c>
      <c r="AA1012" s="156">
        <v>3.0292024724675182E-2</v>
      </c>
    </row>
    <row r="1013" spans="19:27" x14ac:dyDescent="0.2">
      <c r="S1013" s="1"/>
      <c r="T1013" s="117"/>
      <c r="W1013" s="75" t="str">
        <f t="shared" si="26"/>
        <v>1w</v>
      </c>
      <c r="X1013" s="148">
        <f>_xll.qlCalendarAdvance(Calendar,X1012,W1013,"f",FALSE)</f>
        <v>46021</v>
      </c>
      <c r="Y1013" s="153">
        <f>_xll.qlCalendarAdvance(Calendar,X1013,NDays&amp;"D")</f>
        <v>46021</v>
      </c>
      <c r="Z1013" s="154">
        <v>3.0479794368278277E-2</v>
      </c>
      <c r="AA1013" s="156">
        <v>3.0302668381256836E-2</v>
      </c>
    </row>
    <row r="1014" spans="19:27" x14ac:dyDescent="0.2">
      <c r="S1014" s="1"/>
      <c r="T1014" s="117"/>
      <c r="W1014" s="75" t="str">
        <f t="shared" si="26"/>
        <v>1w</v>
      </c>
      <c r="X1014" s="148">
        <f>_xll.qlCalendarAdvance(Calendar,X1013,W1014,"f",FALSE)</f>
        <v>46028</v>
      </c>
      <c r="Y1014" s="153">
        <f>_xll.qlCalendarAdvance(Calendar,X1014,NDays&amp;"D")</f>
        <v>46028</v>
      </c>
      <c r="Z1014" s="154">
        <v>3.0491682785187033E-2</v>
      </c>
      <c r="AA1014" s="156">
        <v>3.0313205012496569E-2</v>
      </c>
    </row>
    <row r="1015" spans="19:27" x14ac:dyDescent="0.2">
      <c r="S1015" s="1"/>
      <c r="T1015" s="117"/>
      <c r="W1015" s="75" t="str">
        <f t="shared" si="26"/>
        <v>1w</v>
      </c>
      <c r="X1015" s="148">
        <f>_xll.qlCalendarAdvance(Calendar,X1014,W1015,"f",FALSE)</f>
        <v>46035</v>
      </c>
      <c r="Y1015" s="153">
        <f>_xll.qlCalendarAdvance(Calendar,X1015,NDays&amp;"D")</f>
        <v>46035</v>
      </c>
      <c r="Z1015" s="154">
        <v>3.0499545602503418E-2</v>
      </c>
      <c r="AA1015" s="156">
        <v>3.0323634618070194E-2</v>
      </c>
    </row>
    <row r="1016" spans="19:27" x14ac:dyDescent="0.2">
      <c r="S1016" s="1"/>
      <c r="T1016" s="117"/>
      <c r="W1016" s="75" t="str">
        <f t="shared" si="26"/>
        <v>1w</v>
      </c>
      <c r="X1016" s="148">
        <f>_xll.qlCalendarAdvance(Calendar,X1015,W1016,"f",FALSE)</f>
        <v>46042</v>
      </c>
      <c r="Y1016" s="153">
        <f>_xll.qlCalendarAdvance(Calendar,X1016,NDays&amp;"D")</f>
        <v>46042</v>
      </c>
      <c r="Z1016" s="154">
        <v>3.0509259522480098E-2</v>
      </c>
      <c r="AA1016" s="156">
        <v>3.0333957198301897E-2</v>
      </c>
    </row>
    <row r="1017" spans="19:27" x14ac:dyDescent="0.2">
      <c r="S1017" s="1"/>
      <c r="T1017" s="117"/>
      <c r="W1017" s="75" t="str">
        <f t="shared" si="26"/>
        <v>1w</v>
      </c>
      <c r="X1017" s="148">
        <f>_xll.qlCalendarAdvance(Calendar,X1016,W1017,"f",FALSE)</f>
        <v>46049</v>
      </c>
      <c r="Y1017" s="153">
        <f>_xll.qlCalendarAdvance(Calendar,X1017,NDays&amp;"D")</f>
        <v>46049</v>
      </c>
      <c r="Z1017" s="154">
        <v>3.0518865643338094E-2</v>
      </c>
      <c r="AA1017" s="156">
        <v>3.0344172753029586E-2</v>
      </c>
    </row>
    <row r="1018" spans="19:27" x14ac:dyDescent="0.2">
      <c r="S1018" s="1"/>
      <c r="T1018" s="117"/>
      <c r="W1018" s="75" t="str">
        <f t="shared" si="26"/>
        <v>1w</v>
      </c>
      <c r="X1018" s="148">
        <f>_xll.qlCalendarAdvance(Calendar,X1017,W1018,"f",FALSE)</f>
        <v>46056</v>
      </c>
      <c r="Y1018" s="153">
        <f>_xll.qlCalendarAdvance(Calendar,X1018,NDays&amp;"D")</f>
        <v>46056</v>
      </c>
      <c r="Z1018" s="154">
        <v>3.0530295280753735E-2</v>
      </c>
      <c r="AA1018" s="156">
        <v>3.0354281282253259E-2</v>
      </c>
    </row>
    <row r="1019" spans="19:27" x14ac:dyDescent="0.2">
      <c r="S1019" s="1"/>
      <c r="T1019" s="117"/>
      <c r="W1019" s="75" t="str">
        <f t="shared" si="26"/>
        <v>1w</v>
      </c>
      <c r="X1019" s="148">
        <f>_xll.qlCalendarAdvance(Calendar,X1018,W1019,"f",FALSE)</f>
        <v>46063</v>
      </c>
      <c r="Y1019" s="153">
        <f>_xll.qlCalendarAdvance(Calendar,X1019,NDays&amp;"D")</f>
        <v>46063</v>
      </c>
      <c r="Z1019" s="154">
        <v>3.0537754484665114E-2</v>
      </c>
      <c r="AA1019" s="156">
        <v>3.0364282785891872E-2</v>
      </c>
    </row>
    <row r="1020" spans="19:27" x14ac:dyDescent="0.2">
      <c r="S1020" s="1"/>
      <c r="T1020" s="117"/>
      <c r="W1020" s="75" t="str">
        <f t="shared" si="26"/>
        <v>1w</v>
      </c>
      <c r="X1020" s="148">
        <f>_xll.qlCalendarAdvance(Calendar,X1019,W1020,"f",FALSE)</f>
        <v>46070</v>
      </c>
      <c r="Y1020" s="153">
        <f>_xll.qlCalendarAdvance(Calendar,X1020,NDays&amp;"D")</f>
        <v>46070</v>
      </c>
      <c r="Z1020" s="154">
        <v>3.0547037203639285E-2</v>
      </c>
      <c r="AA1020" s="156">
        <v>3.0374177264107516E-2</v>
      </c>
    </row>
    <row r="1021" spans="19:27" x14ac:dyDescent="0.2">
      <c r="S1021" s="1"/>
      <c r="T1021" s="117"/>
      <c r="W1021" s="75" t="str">
        <f t="shared" si="26"/>
        <v>1w</v>
      </c>
      <c r="X1021" s="148">
        <f>_xll.qlCalendarAdvance(Calendar,X1020,W1021,"f",FALSE)</f>
        <v>46077</v>
      </c>
      <c r="Y1021" s="153">
        <f>_xll.qlCalendarAdvance(Calendar,X1021,NDays&amp;"D")</f>
        <v>46077</v>
      </c>
      <c r="Z1021" s="154">
        <v>3.055812265620321E-2</v>
      </c>
      <c r="AA1021" s="156">
        <v>3.0383964716738099E-2</v>
      </c>
    </row>
    <row r="1022" spans="19:27" x14ac:dyDescent="0.2">
      <c r="S1022" s="1"/>
      <c r="T1022" s="117"/>
      <c r="W1022" s="75" t="str">
        <f t="shared" si="26"/>
        <v>1w</v>
      </c>
      <c r="X1022" s="148">
        <f>_xll.qlCalendarAdvance(Calendar,X1021,W1022,"f",FALSE)</f>
        <v>46084</v>
      </c>
      <c r="Y1022" s="153">
        <f>_xll.qlCalendarAdvance(Calendar,X1022,NDays&amp;"D")</f>
        <v>46084</v>
      </c>
      <c r="Z1022" s="154">
        <v>3.0569085859009502E-2</v>
      </c>
      <c r="AA1022" s="156">
        <v>3.0393645143864667E-2</v>
      </c>
    </row>
    <row r="1023" spans="19:27" x14ac:dyDescent="0.2">
      <c r="S1023" s="1"/>
      <c r="T1023" s="117"/>
      <c r="W1023" s="75" t="str">
        <f t="shared" si="26"/>
        <v>1w</v>
      </c>
      <c r="X1023" s="148">
        <f>_xll.qlCalendarAdvance(Calendar,X1022,W1023,"f",FALSE)</f>
        <v>46091</v>
      </c>
      <c r="Y1023" s="153">
        <f>_xll.qlCalendarAdvance(Calendar,X1023,NDays&amp;"D")</f>
        <v>46091</v>
      </c>
      <c r="Z1023" s="154">
        <v>3.0578031261569206E-2</v>
      </c>
      <c r="AA1023" s="156">
        <v>3.0403218545406174E-2</v>
      </c>
    </row>
    <row r="1024" spans="19:27" x14ac:dyDescent="0.2">
      <c r="S1024" s="1"/>
      <c r="T1024" s="117"/>
      <c r="W1024" s="75" t="str">
        <f t="shared" si="26"/>
        <v>1w</v>
      </c>
      <c r="X1024" s="148">
        <f>_xll.qlCalendarAdvance(Calendar,X1023,W1024,"f",FALSE)</f>
        <v>46098</v>
      </c>
      <c r="Y1024" s="153">
        <f>_xll.qlCalendarAdvance(Calendar,X1024,NDays&amp;"D")</f>
        <v>46098</v>
      </c>
      <c r="Z1024" s="154">
        <v>3.0586868842202474E-2</v>
      </c>
      <c r="AA1024" s="156">
        <v>3.0412684921443667E-2</v>
      </c>
    </row>
    <row r="1025" spans="19:27" x14ac:dyDescent="0.2">
      <c r="S1025" s="1"/>
      <c r="T1025" s="117"/>
      <c r="W1025" s="75" t="str">
        <f t="shared" si="26"/>
        <v>1w</v>
      </c>
      <c r="X1025" s="148">
        <f>_xll.qlCalendarAdvance(Calendar,X1024,W1025,"f",FALSE)</f>
        <v>46105</v>
      </c>
      <c r="Y1025" s="153">
        <f>_xll.qlCalendarAdvance(Calendar,X1025,NDays&amp;"D")</f>
        <v>46105</v>
      </c>
      <c r="Z1025" s="154">
        <v>3.0595598600192227E-2</v>
      </c>
      <c r="AA1025" s="156">
        <v>3.0422044271815052E-2</v>
      </c>
    </row>
    <row r="1026" spans="19:27" x14ac:dyDescent="0.2">
      <c r="S1026" s="1"/>
      <c r="T1026" s="117"/>
      <c r="W1026" s="75" t="str">
        <f t="shared" si="26"/>
        <v>1w</v>
      </c>
      <c r="X1026" s="148">
        <f>_xll.qlCalendarAdvance(Calendar,X1025,W1026,"f",FALSE)</f>
        <v>46112</v>
      </c>
      <c r="Y1026" s="153">
        <f>_xll.qlCalendarAdvance(Calendar,X1026,NDays&amp;"D")</f>
        <v>46112</v>
      </c>
      <c r="Z1026" s="154">
        <v>3.0602345372776837E-2</v>
      </c>
      <c r="AA1026" s="156">
        <v>3.0431296596763469E-2</v>
      </c>
    </row>
    <row r="1027" spans="19:27" x14ac:dyDescent="0.2">
      <c r="S1027" s="1"/>
      <c r="T1027" s="117"/>
      <c r="W1027" s="75" t="str">
        <f t="shared" si="26"/>
        <v>1w</v>
      </c>
      <c r="X1027" s="148">
        <f>_xll.qlCalendarAdvance(Calendar,X1026,W1027,"f",FALSE)</f>
        <v>46119</v>
      </c>
      <c r="Y1027" s="153">
        <f>_xll.qlCalendarAdvance(Calendar,X1027,NDays&amp;"D")</f>
        <v>46119</v>
      </c>
      <c r="Z1027" s="154">
        <v>3.0610866473305815E-2</v>
      </c>
      <c r="AA1027" s="156">
        <v>3.0440441896045778E-2</v>
      </c>
    </row>
    <row r="1028" spans="19:27" x14ac:dyDescent="0.2">
      <c r="S1028" s="1"/>
      <c r="T1028" s="117"/>
      <c r="W1028" s="75" t="str">
        <f t="shared" si="26"/>
        <v>1w</v>
      </c>
      <c r="X1028" s="148">
        <f>_xll.qlCalendarAdvance(Calendar,X1027,W1028,"f",FALSE)</f>
        <v>46126</v>
      </c>
      <c r="Y1028" s="153">
        <f>_xll.qlCalendarAdvance(Calendar,X1028,NDays&amp;"D")</f>
        <v>46126</v>
      </c>
      <c r="Z1028" s="154">
        <v>3.0619279757962102E-2</v>
      </c>
      <c r="AA1028" s="156">
        <v>3.0449480169824072E-2</v>
      </c>
    </row>
    <row r="1029" spans="19:27" x14ac:dyDescent="0.2">
      <c r="S1029" s="1"/>
      <c r="T1029" s="117"/>
      <c r="W1029" s="75" t="str">
        <f t="shared" si="26"/>
        <v>1w</v>
      </c>
      <c r="X1029" s="148">
        <f>_xll.qlCalendarAdvance(Calendar,X1028,W1029,"f",FALSE)</f>
        <v>46133</v>
      </c>
      <c r="Y1029" s="153">
        <f>_xll.qlCalendarAdvance(Calendar,X1029,NDays&amp;"D")</f>
        <v>46133</v>
      </c>
      <c r="Z1029" s="154">
        <v>3.0627585226069724E-2</v>
      </c>
      <c r="AA1029" s="156">
        <v>3.0458411417855213E-2</v>
      </c>
    </row>
    <row r="1030" spans="19:27" x14ac:dyDescent="0.2">
      <c r="S1030" s="1"/>
      <c r="T1030" s="117"/>
      <c r="W1030" s="75" t="str">
        <f t="shared" si="26"/>
        <v>1w</v>
      </c>
      <c r="X1030" s="148">
        <f>_xll.qlCalendarAdvance(Calendar,X1029,W1030,"f",FALSE)</f>
        <v>46140</v>
      </c>
      <c r="Y1030" s="153">
        <f>_xll.qlCalendarAdvance(Calendar,X1030,NDays&amp;"D")</f>
        <v>46140</v>
      </c>
      <c r="Z1030" s="154">
        <v>3.0635782876966944E-2</v>
      </c>
      <c r="AA1030" s="156">
        <v>3.046723564038234E-2</v>
      </c>
    </row>
    <row r="1031" spans="19:27" x14ac:dyDescent="0.2">
      <c r="S1031" s="1"/>
      <c r="T1031" s="117"/>
      <c r="W1031" s="75" t="str">
        <f t="shared" si="26"/>
        <v>1w</v>
      </c>
      <c r="X1031" s="148">
        <f>_xll.qlCalendarAdvance(Calendar,X1030,W1031,"f",FALSE)</f>
        <v>46147</v>
      </c>
      <c r="Y1031" s="153">
        <f>_xll.qlCalendarAdvance(Calendar,X1031,NDays&amp;"D")</f>
        <v>46147</v>
      </c>
      <c r="Z1031" s="154">
        <v>3.0645712833704045E-2</v>
      </c>
      <c r="AA1031" s="156">
        <v>3.0475952837324405E-2</v>
      </c>
    </row>
    <row r="1032" spans="19:27" x14ac:dyDescent="0.2">
      <c r="S1032" s="1"/>
      <c r="T1032" s="117"/>
      <c r="W1032" s="75" t="str">
        <f t="shared" si="26"/>
        <v>1w</v>
      </c>
      <c r="X1032" s="148">
        <f>_xll.qlCalendarAdvance(Calendar,X1031,W1032,"f",FALSE)</f>
        <v>46154</v>
      </c>
      <c r="Y1032" s="153">
        <f>_xll.qlCalendarAdvance(Calendar,X1032,NDays&amp;"D")</f>
        <v>46154</v>
      </c>
      <c r="Z1032" s="154">
        <v>3.0653687813908956E-2</v>
      </c>
      <c r="AA1032" s="156">
        <v>3.0484563008519316E-2</v>
      </c>
    </row>
    <row r="1033" spans="19:27" x14ac:dyDescent="0.2">
      <c r="S1033" s="1"/>
      <c r="T1033" s="117"/>
      <c r="W1033" s="75" t="str">
        <f t="shared" si="26"/>
        <v>1w</v>
      </c>
      <c r="X1033" s="148">
        <f>_xll.qlCalendarAdvance(Calendar,X1032,W1033,"f",FALSE)</f>
        <v>46161</v>
      </c>
      <c r="Y1033" s="153">
        <f>_xll.qlCalendarAdvance(Calendar,X1033,NDays&amp;"D")</f>
        <v>46161</v>
      </c>
      <c r="Z1033" s="154">
        <v>3.0661554966065797E-2</v>
      </c>
      <c r="AA1033" s="156">
        <v>3.0493066154210213E-2</v>
      </c>
    </row>
    <row r="1034" spans="19:27" x14ac:dyDescent="0.2">
      <c r="S1034" s="1"/>
      <c r="T1034" s="117"/>
      <c r="W1034" s="75" t="str">
        <f t="shared" si="26"/>
        <v>1w</v>
      </c>
      <c r="X1034" s="148">
        <f>_xll.qlCalendarAdvance(Calendar,X1033,W1034,"f",FALSE)</f>
        <v>46168</v>
      </c>
      <c r="Y1034" s="153">
        <f>_xll.qlCalendarAdvance(Calendar,X1034,NDays&amp;"D")</f>
        <v>46168</v>
      </c>
      <c r="Z1034" s="154">
        <v>3.0669314289536766E-2</v>
      </c>
      <c r="AA1034" s="156">
        <v>3.0501462274235003E-2</v>
      </c>
    </row>
    <row r="1035" spans="19:27" x14ac:dyDescent="0.2">
      <c r="S1035" s="1"/>
      <c r="T1035" s="117"/>
      <c r="W1035" s="75" t="str">
        <f t="shared" si="26"/>
        <v>1w</v>
      </c>
      <c r="X1035" s="148">
        <f>_xll.qlCalendarAdvance(Calendar,X1034,W1035,"f",FALSE)</f>
        <v>46175</v>
      </c>
      <c r="Y1035" s="153">
        <f>_xll.qlCalendarAdvance(Calendar,X1035,NDays&amp;"D")</f>
        <v>46175</v>
      </c>
      <c r="Z1035" s="154">
        <v>3.0676965783694634E-2</v>
      </c>
      <c r="AA1035" s="156">
        <v>3.0509751368674731E-2</v>
      </c>
    </row>
    <row r="1036" spans="19:27" x14ac:dyDescent="0.2">
      <c r="S1036" s="1"/>
      <c r="T1036" s="117"/>
      <c r="W1036" s="75" t="str">
        <f t="shared" si="26"/>
        <v>1w</v>
      </c>
      <c r="X1036" s="148">
        <f>_xll.qlCalendarAdvance(Calendar,X1035,W1036,"f",FALSE)</f>
        <v>46182</v>
      </c>
      <c r="Y1036" s="153">
        <f>_xll.qlCalendarAdvance(Calendar,X1036,NDays&amp;"D")</f>
        <v>46182</v>
      </c>
      <c r="Z1036" s="154">
        <v>3.0684509447919225E-2</v>
      </c>
      <c r="AA1036" s="156">
        <v>3.0517933437448352E-2</v>
      </c>
    </row>
    <row r="1037" spans="19:27" x14ac:dyDescent="0.2">
      <c r="S1037" s="1"/>
      <c r="T1037" s="117"/>
      <c r="W1037" s="75" t="str">
        <f t="shared" si="26"/>
        <v>1w</v>
      </c>
      <c r="X1037" s="148">
        <f>_xll.qlCalendarAdvance(Calendar,X1036,W1037,"f",FALSE)</f>
        <v>46189</v>
      </c>
      <c r="Y1037" s="153">
        <f>_xll.qlCalendarAdvance(Calendar,X1037,NDays&amp;"D")</f>
        <v>46189</v>
      </c>
      <c r="Z1037" s="154">
        <v>3.0691945281601806E-2</v>
      </c>
      <c r="AA1037" s="156">
        <v>3.0526008480555866E-2</v>
      </c>
    </row>
    <row r="1038" spans="19:27" x14ac:dyDescent="0.2">
      <c r="S1038" s="1"/>
      <c r="T1038" s="117"/>
      <c r="W1038" s="75" t="str">
        <f t="shared" si="26"/>
        <v>1w</v>
      </c>
      <c r="X1038" s="148">
        <f>_xll.qlCalendarAdvance(Calendar,X1037,W1038,"f",FALSE)</f>
        <v>46196</v>
      </c>
      <c r="Y1038" s="153">
        <f>_xll.qlCalendarAdvance(Calendar,X1038,NDays&amp;"D")</f>
        <v>46196</v>
      </c>
      <c r="Z1038" s="154">
        <v>3.0699273284138937E-2</v>
      </c>
      <c r="AA1038" s="156">
        <v>3.0533976497997273E-2</v>
      </c>
    </row>
    <row r="1039" spans="19:27" x14ac:dyDescent="0.2">
      <c r="S1039" s="1"/>
      <c r="T1039" s="117"/>
      <c r="W1039" s="75" t="str">
        <f t="shared" si="26"/>
        <v>1w</v>
      </c>
      <c r="X1039" s="148">
        <f>_xll.qlCalendarAdvance(Calendar,X1038,W1039,"f",FALSE)</f>
        <v>46203</v>
      </c>
      <c r="Y1039" s="153">
        <f>_xll.qlCalendarAdvance(Calendar,X1039,NDays&amp;"D")</f>
        <v>46203</v>
      </c>
      <c r="Z1039" s="154">
        <v>3.070649345493863E-2</v>
      </c>
      <c r="AA1039" s="156">
        <v>3.0541837489772572E-2</v>
      </c>
    </row>
    <row r="1040" spans="19:27" x14ac:dyDescent="0.2">
      <c r="S1040" s="1"/>
      <c r="T1040" s="117"/>
      <c r="W1040" s="75" t="str">
        <f t="shared" si="26"/>
        <v>1w</v>
      </c>
      <c r="X1040" s="148">
        <f>_xll.qlCalendarAdvance(Calendar,X1039,W1040,"f",FALSE)</f>
        <v>46210</v>
      </c>
      <c r="Y1040" s="153">
        <f>_xll.qlCalendarAdvance(Calendar,X1040,NDays&amp;"D")</f>
        <v>46210</v>
      </c>
      <c r="Z1040" s="154">
        <v>3.071360579341682E-2</v>
      </c>
      <c r="AA1040" s="156">
        <v>3.0549591455881764E-2</v>
      </c>
    </row>
    <row r="1041" spans="19:27" x14ac:dyDescent="0.2">
      <c r="S1041" s="1"/>
      <c r="T1041" s="117"/>
      <c r="W1041" s="75" t="str">
        <f t="shared" si="26"/>
        <v>1w</v>
      </c>
      <c r="X1041" s="148">
        <f>_xll.qlCalendarAdvance(Calendar,X1040,W1041,"f",FALSE)</f>
        <v>46217</v>
      </c>
      <c r="Y1041" s="153">
        <f>_xll.qlCalendarAdvance(Calendar,X1041,NDays&amp;"D")</f>
        <v>46217</v>
      </c>
      <c r="Z1041" s="154">
        <v>3.0720611301203349E-2</v>
      </c>
      <c r="AA1041" s="156">
        <v>3.0557238396243802E-2</v>
      </c>
    </row>
    <row r="1042" spans="19:27" x14ac:dyDescent="0.2">
      <c r="S1042" s="1"/>
      <c r="T1042" s="117"/>
      <c r="W1042" s="75" t="str">
        <f t="shared" si="26"/>
        <v>1w</v>
      </c>
      <c r="X1042" s="148">
        <f>_xll.qlCalendarAdvance(Calendar,X1041,W1042,"f",FALSE)</f>
        <v>46224</v>
      </c>
      <c r="Y1042" s="153">
        <f>_xll.qlCalendarAdvance(Calendar,X1042,NDays&amp;"D")</f>
        <v>46224</v>
      </c>
      <c r="Z1042" s="154">
        <v>3.0727514988779271E-2</v>
      </c>
      <c r="AA1042" s="156">
        <v>3.0564778310939733E-2</v>
      </c>
    </row>
    <row r="1043" spans="19:27" x14ac:dyDescent="0.2">
      <c r="S1043" s="1"/>
      <c r="T1043" s="117"/>
      <c r="W1043" s="75" t="str">
        <f t="shared" si="26"/>
        <v>1w</v>
      </c>
      <c r="X1043" s="148">
        <f>_xll.qlCalendarAdvance(Calendar,X1042,W1043,"f",FALSE)</f>
        <v>46231</v>
      </c>
      <c r="Y1043" s="153">
        <f>_xll.qlCalendarAdvance(Calendar,X1043,NDays&amp;"D")</f>
        <v>46231</v>
      </c>
      <c r="Z1043" s="154">
        <v>3.0734322868877419E-2</v>
      </c>
      <c r="AA1043" s="156">
        <v>3.0572211199969557E-2</v>
      </c>
    </row>
    <row r="1044" spans="19:27" x14ac:dyDescent="0.2">
      <c r="S1044" s="1"/>
      <c r="T1044" s="117"/>
      <c r="W1044" s="75" t="str">
        <f t="shared" si="26"/>
        <v>1w</v>
      </c>
      <c r="X1044" s="148">
        <f>_xll.qlCalendarAdvance(Calendar,X1043,W1044,"f",FALSE)</f>
        <v>46238</v>
      </c>
      <c r="Y1044" s="153">
        <f>_xll.qlCalendarAdvance(Calendar,X1044,NDays&amp;"D")</f>
        <v>46238</v>
      </c>
      <c r="Z1044" s="154">
        <v>3.0741040954278202E-2</v>
      </c>
      <c r="AA1044" s="156">
        <v>3.0579537063333273E-2</v>
      </c>
    </row>
    <row r="1045" spans="19:27" x14ac:dyDescent="0.2">
      <c r="S1045" s="1"/>
      <c r="T1045" s="117"/>
      <c r="W1045" s="75" t="str">
        <f t="shared" ref="W1045:W1108" si="27">W1044</f>
        <v>1w</v>
      </c>
      <c r="X1045" s="148">
        <f>_xll.qlCalendarAdvance(Calendar,X1044,W1045,"f",FALSE)</f>
        <v>46245</v>
      </c>
      <c r="Y1045" s="153">
        <f>_xll.qlCalendarAdvance(Calendar,X1045,NDays&amp;"D")</f>
        <v>46245</v>
      </c>
      <c r="Z1045" s="154">
        <v>3.0747675257810476E-2</v>
      </c>
      <c r="AA1045" s="156">
        <v>3.0586755901030882E-2</v>
      </c>
    </row>
    <row r="1046" spans="19:27" x14ac:dyDescent="0.2">
      <c r="S1046" s="1"/>
      <c r="T1046" s="117"/>
      <c r="W1046" s="75" t="str">
        <f t="shared" si="27"/>
        <v>1w</v>
      </c>
      <c r="X1046" s="148">
        <f>_xll.qlCalendarAdvance(Calendar,X1045,W1046,"f",FALSE)</f>
        <v>46252</v>
      </c>
      <c r="Y1046" s="153">
        <f>_xll.qlCalendarAdvance(Calendar,X1046,NDays&amp;"D")</f>
        <v>46252</v>
      </c>
      <c r="Z1046" s="154">
        <v>3.0754231792345387E-2</v>
      </c>
      <c r="AA1046" s="156">
        <v>3.0593867712900291E-2</v>
      </c>
    </row>
    <row r="1047" spans="19:27" x14ac:dyDescent="0.2">
      <c r="S1047" s="1"/>
      <c r="T1047" s="117"/>
      <c r="W1047" s="75" t="str">
        <f t="shared" si="27"/>
        <v>1w</v>
      </c>
      <c r="X1047" s="148">
        <f>_xll.qlCalendarAdvance(Calendar,X1046,W1047,"f",FALSE)</f>
        <v>46259</v>
      </c>
      <c r="Y1047" s="153">
        <f>_xll.qlCalendarAdvance(Calendar,X1047,NDays&amp;"D")</f>
        <v>46259</v>
      </c>
      <c r="Z1047" s="154">
        <v>3.0760716570800765E-2</v>
      </c>
      <c r="AA1047" s="156">
        <v>3.0600872499022547E-2</v>
      </c>
    </row>
    <row r="1048" spans="19:27" x14ac:dyDescent="0.2">
      <c r="S1048" s="1"/>
      <c r="T1048" s="117"/>
      <c r="W1048" s="75" t="str">
        <f t="shared" si="27"/>
        <v>1w</v>
      </c>
      <c r="X1048" s="148">
        <f>_xll.qlCalendarAdvance(Calendar,X1047,W1048,"f",FALSE)</f>
        <v>46266</v>
      </c>
      <c r="Y1048" s="153">
        <f>_xll.qlCalendarAdvance(Calendar,X1048,NDays&amp;"D")</f>
        <v>46266</v>
      </c>
      <c r="Z1048" s="154">
        <v>3.0765394578818665E-2</v>
      </c>
      <c r="AA1048" s="156">
        <v>3.0607770259559741E-2</v>
      </c>
    </row>
    <row r="1049" spans="19:27" x14ac:dyDescent="0.2">
      <c r="S1049" s="1"/>
      <c r="T1049" s="117"/>
      <c r="W1049" s="75" t="str">
        <f t="shared" si="27"/>
        <v>1w</v>
      </c>
      <c r="X1049" s="148">
        <f>_xll.qlCalendarAdvance(Calendar,X1048,W1049,"f",FALSE)</f>
        <v>46273</v>
      </c>
      <c r="Y1049" s="153">
        <f>_xll.qlCalendarAdvance(Calendar,X1049,NDays&amp;"D")</f>
        <v>46273</v>
      </c>
      <c r="Z1049" s="154">
        <v>3.0771756122259381E-2</v>
      </c>
      <c r="AA1049" s="156">
        <v>3.0614560994268736E-2</v>
      </c>
    </row>
    <row r="1050" spans="19:27" x14ac:dyDescent="0.2">
      <c r="S1050" s="1"/>
      <c r="T1050" s="117"/>
      <c r="W1050" s="75" t="str">
        <f t="shared" si="27"/>
        <v>1w</v>
      </c>
      <c r="X1050" s="148">
        <f>_xll.qlCalendarAdvance(Calendar,X1049,W1050,"f",FALSE)</f>
        <v>46280</v>
      </c>
      <c r="Y1050" s="153">
        <f>_xll.qlCalendarAdvance(Calendar,X1050,NDays&amp;"D")</f>
        <v>46280</v>
      </c>
      <c r="Z1050" s="154">
        <v>3.0778063679305613E-2</v>
      </c>
      <c r="AA1050" s="156">
        <v>3.0621244703311623E-2</v>
      </c>
    </row>
    <row r="1051" spans="19:27" x14ac:dyDescent="0.2">
      <c r="S1051" s="1"/>
      <c r="T1051" s="117"/>
      <c r="W1051" s="75" t="str">
        <f t="shared" si="27"/>
        <v>1w</v>
      </c>
      <c r="X1051" s="148">
        <f>_xll.qlCalendarAdvance(Calendar,X1050,W1051,"f",FALSE)</f>
        <v>46287</v>
      </c>
      <c r="Y1051" s="153">
        <f>_xll.qlCalendarAdvance(Calendar,X1051,NDays&amp;"D")</f>
        <v>46287</v>
      </c>
      <c r="Z1051" s="154">
        <v>3.0784323328610991E-2</v>
      </c>
      <c r="AA1051" s="156">
        <v>3.0627821386445264E-2</v>
      </c>
    </row>
    <row r="1052" spans="19:27" x14ac:dyDescent="0.2">
      <c r="S1052" s="1"/>
      <c r="T1052" s="117"/>
      <c r="W1052" s="75" t="str">
        <f t="shared" si="27"/>
        <v>1w</v>
      </c>
      <c r="X1052" s="148">
        <f>_xll.qlCalendarAdvance(Calendar,X1051,W1052,"f",FALSE)</f>
        <v>46294</v>
      </c>
      <c r="Y1052" s="153">
        <f>_xll.qlCalendarAdvance(Calendar,X1052,NDays&amp;"D")</f>
        <v>46294</v>
      </c>
      <c r="Z1052" s="154">
        <v>3.0790541148870126E-2</v>
      </c>
      <c r="AA1052" s="156">
        <v>3.0634291043993844E-2</v>
      </c>
    </row>
    <row r="1053" spans="19:27" x14ac:dyDescent="0.2">
      <c r="S1053" s="1"/>
      <c r="T1053" s="117"/>
      <c r="W1053" s="75" t="str">
        <f t="shared" si="27"/>
        <v>1w</v>
      </c>
      <c r="X1053" s="148">
        <f>_xll.qlCalendarAdvance(Calendar,X1052,W1053,"f",FALSE)</f>
        <v>46301</v>
      </c>
      <c r="Y1053" s="153">
        <f>_xll.qlCalendarAdvance(Calendar,X1053,NDays&amp;"D")</f>
        <v>46301</v>
      </c>
      <c r="Z1053" s="154">
        <v>3.0798455092550633E-2</v>
      </c>
      <c r="AA1053" s="156">
        <v>3.0640653675714224E-2</v>
      </c>
    </row>
    <row r="1054" spans="19:27" x14ac:dyDescent="0.2">
      <c r="S1054" s="1"/>
      <c r="T1054" s="117"/>
      <c r="W1054" s="75" t="str">
        <f t="shared" si="27"/>
        <v>1w</v>
      </c>
      <c r="X1054" s="148">
        <f>_xll.qlCalendarAdvance(Calendar,X1053,W1054,"f",FALSE)</f>
        <v>46308</v>
      </c>
      <c r="Y1054" s="153">
        <f>_xll.qlCalendarAdvance(Calendar,X1054,NDays&amp;"D")</f>
        <v>46308</v>
      </c>
      <c r="Z1054" s="154">
        <v>3.0804605312498009E-2</v>
      </c>
      <c r="AA1054" s="156">
        <v>3.0646943161545259E-2</v>
      </c>
    </row>
    <row r="1055" spans="19:27" x14ac:dyDescent="0.2">
      <c r="S1055" s="1"/>
      <c r="T1055" s="117"/>
      <c r="W1055" s="75" t="str">
        <f t="shared" si="27"/>
        <v>1w</v>
      </c>
      <c r="X1055" s="148">
        <f>_xll.qlCalendarAdvance(Calendar,X1054,W1055,"f",FALSE)</f>
        <v>46315</v>
      </c>
      <c r="Y1055" s="153">
        <f>_xll.qlCalendarAdvance(Calendar,X1055,NDays&amp;"D")</f>
        <v>46315</v>
      </c>
      <c r="Z1055" s="154">
        <v>3.0810726723934388E-2</v>
      </c>
      <c r="AA1055" s="156">
        <v>3.0653203785255823E-2</v>
      </c>
    </row>
    <row r="1056" spans="19:27" x14ac:dyDescent="0.2">
      <c r="S1056" s="1"/>
      <c r="T1056" s="117"/>
      <c r="W1056" s="75" t="str">
        <f t="shared" si="27"/>
        <v>1w</v>
      </c>
      <c r="X1056" s="148">
        <f>_xll.qlCalendarAdvance(Calendar,X1055,W1056,"f",FALSE)</f>
        <v>46322</v>
      </c>
      <c r="Y1056" s="153">
        <f>_xll.qlCalendarAdvance(Calendar,X1056,NDays&amp;"D")</f>
        <v>46322</v>
      </c>
      <c r="Z1056" s="154">
        <v>3.0816819329651461E-2</v>
      </c>
      <c r="AA1056" s="156">
        <v>3.0659435813731317E-2</v>
      </c>
    </row>
    <row r="1057" spans="19:27" x14ac:dyDescent="0.2">
      <c r="S1057" s="1"/>
      <c r="T1057" s="117"/>
      <c r="W1057" s="75" t="str">
        <f t="shared" si="27"/>
        <v>1w</v>
      </c>
      <c r="X1057" s="148">
        <f>_xll.qlCalendarAdvance(Calendar,X1056,W1057,"f",FALSE)</f>
        <v>46329</v>
      </c>
      <c r="Y1057" s="153">
        <f>_xll.qlCalendarAdvance(Calendar,X1057,NDays&amp;"D")</f>
        <v>46329</v>
      </c>
      <c r="Z1057" s="154">
        <v>3.0822883129516202E-2</v>
      </c>
      <c r="AA1057" s="156">
        <v>3.0665639246890697E-2</v>
      </c>
    </row>
    <row r="1058" spans="19:27" x14ac:dyDescent="0.2">
      <c r="S1058" s="1"/>
      <c r="T1058" s="117"/>
      <c r="W1058" s="75" t="str">
        <f t="shared" si="27"/>
        <v>1w</v>
      </c>
      <c r="X1058" s="148">
        <f>_xll.qlCalendarAdvance(Calendar,X1057,W1058,"f",FALSE)</f>
        <v>46336</v>
      </c>
      <c r="Y1058" s="153">
        <f>_xll.qlCalendarAdvance(Calendar,X1058,NDays&amp;"D")</f>
        <v>46336</v>
      </c>
      <c r="Z1058" s="154">
        <v>3.0828918123397359E-2</v>
      </c>
      <c r="AA1058" s="156">
        <v>3.0671814084815008E-2</v>
      </c>
    </row>
    <row r="1059" spans="19:27" x14ac:dyDescent="0.2">
      <c r="S1059" s="1"/>
      <c r="T1059" s="117"/>
      <c r="W1059" s="75" t="str">
        <f t="shared" si="27"/>
        <v>1w</v>
      </c>
      <c r="X1059" s="148">
        <f>_xll.qlCalendarAdvance(Calendar,X1058,W1059,"f",FALSE)</f>
        <v>46343</v>
      </c>
      <c r="Y1059" s="153">
        <f>_xll.qlCalendarAdvance(Calendar,X1059,NDays&amp;"D")</f>
        <v>46343</v>
      </c>
      <c r="Z1059" s="154">
        <v>3.0834924311165423E-2</v>
      </c>
      <c r="AA1059" s="156">
        <v>3.0677960327342157E-2</v>
      </c>
    </row>
    <row r="1060" spans="19:27" x14ac:dyDescent="0.2">
      <c r="S1060" s="1"/>
      <c r="T1060" s="117"/>
      <c r="W1060" s="75" t="str">
        <f t="shared" si="27"/>
        <v>1w</v>
      </c>
      <c r="X1060" s="148">
        <f>_xll.qlCalendarAdvance(Calendar,X1059,W1060,"f",FALSE)</f>
        <v>46350</v>
      </c>
      <c r="Y1060" s="153">
        <f>_xll.qlCalendarAdvance(Calendar,X1060,NDays&amp;"D")</f>
        <v>46350</v>
      </c>
      <c r="Z1060" s="154">
        <v>3.0840901692688265E-2</v>
      </c>
      <c r="AA1060" s="156">
        <v>3.0684077974634238E-2</v>
      </c>
    </row>
    <row r="1061" spans="19:27" x14ac:dyDescent="0.2">
      <c r="S1061" s="1"/>
      <c r="T1061" s="117"/>
      <c r="W1061" s="75" t="str">
        <f t="shared" si="27"/>
        <v>1w</v>
      </c>
      <c r="X1061" s="148">
        <f>_xll.qlCalendarAdvance(Calendar,X1060,W1061,"f",FALSE)</f>
        <v>46357</v>
      </c>
      <c r="Y1061" s="153">
        <f>_xll.qlCalendarAdvance(Calendar,X1061,NDays&amp;"D")</f>
        <v>46357</v>
      </c>
      <c r="Z1061" s="154">
        <v>3.0843411245087691E-2</v>
      </c>
      <c r="AA1061" s="156">
        <v>3.0690167026610204E-2</v>
      </c>
    </row>
    <row r="1062" spans="19:27" x14ac:dyDescent="0.2">
      <c r="S1062" s="1"/>
      <c r="T1062" s="117"/>
      <c r="W1062" s="75" t="str">
        <f t="shared" si="27"/>
        <v>1w</v>
      </c>
      <c r="X1062" s="148">
        <f>_xll.qlCalendarAdvance(Calendar,X1061,W1062,"f",FALSE)</f>
        <v>46364</v>
      </c>
      <c r="Y1062" s="153">
        <f>_xll.qlCalendarAdvance(Calendar,X1062,NDays&amp;"D")</f>
        <v>46364</v>
      </c>
      <c r="Z1062" s="154">
        <v>3.0849334131583358E-2</v>
      </c>
      <c r="AA1062" s="156">
        <v>3.0696227483351102E-2</v>
      </c>
    </row>
    <row r="1063" spans="19:27" x14ac:dyDescent="0.2">
      <c r="S1063" s="1"/>
      <c r="T1063" s="117"/>
      <c r="W1063" s="75" t="str">
        <f t="shared" si="27"/>
        <v>1w</v>
      </c>
      <c r="X1063" s="148">
        <f>_xll.qlCalendarAdvance(Calendar,X1062,W1063,"f",FALSE)</f>
        <v>46371</v>
      </c>
      <c r="Y1063" s="153">
        <f>_xll.qlCalendarAdvance(Calendar,X1063,NDays&amp;"D")</f>
        <v>46371</v>
      </c>
      <c r="Z1063" s="154">
        <v>3.085522821612911E-2</v>
      </c>
      <c r="AA1063" s="156">
        <v>3.0702259344694838E-2</v>
      </c>
    </row>
    <row r="1064" spans="19:27" x14ac:dyDescent="0.2">
      <c r="S1064" s="1"/>
      <c r="T1064" s="117"/>
      <c r="W1064" s="75" t="str">
        <f t="shared" si="27"/>
        <v>1w</v>
      </c>
      <c r="X1064" s="148">
        <f>_xll.qlCalendarAdvance(Calendar,X1063,W1064,"f",FALSE)</f>
        <v>46378</v>
      </c>
      <c r="Y1064" s="153">
        <f>_xll.qlCalendarAdvance(Calendar,X1064,NDays&amp;"D")</f>
        <v>46378</v>
      </c>
      <c r="Z1064" s="154">
        <v>3.086109349859888E-2</v>
      </c>
      <c r="AA1064" s="156">
        <v>3.0708262610803505E-2</v>
      </c>
    </row>
    <row r="1065" spans="19:27" x14ac:dyDescent="0.2">
      <c r="S1065" s="1"/>
      <c r="T1065" s="117"/>
      <c r="W1065" s="75" t="str">
        <f t="shared" si="27"/>
        <v>1w</v>
      </c>
      <c r="X1065" s="148">
        <f>_xll.qlCalendarAdvance(Calendar,X1064,W1065,"f",FALSE)</f>
        <v>46385</v>
      </c>
      <c r="Y1065" s="153">
        <f>_xll.qlCalendarAdvance(Calendar,X1065,NDays&amp;"D")</f>
        <v>46385</v>
      </c>
      <c r="Z1065" s="154">
        <v>3.0868643267258775E-2</v>
      </c>
      <c r="AA1065" s="156">
        <v>3.0714237281596057E-2</v>
      </c>
    </row>
    <row r="1066" spans="19:27" x14ac:dyDescent="0.2">
      <c r="S1066" s="1"/>
      <c r="T1066" s="117"/>
      <c r="W1066" s="75" t="str">
        <f t="shared" si="27"/>
        <v>1w</v>
      </c>
      <c r="X1066" s="148">
        <f>_xll.qlCalendarAdvance(Calendar,X1065,W1066,"f",FALSE)</f>
        <v>46392</v>
      </c>
      <c r="Y1066" s="153">
        <f>_xll.qlCalendarAdvance(Calendar,X1066,NDays&amp;"D")</f>
        <v>46392</v>
      </c>
      <c r="Z1066" s="154">
        <v>3.0872737656818788E-2</v>
      </c>
      <c r="AA1066" s="156">
        <v>3.0720183357072495E-2</v>
      </c>
    </row>
    <row r="1067" spans="19:27" x14ac:dyDescent="0.2">
      <c r="S1067" s="1"/>
      <c r="T1067" s="117"/>
      <c r="W1067" s="75" t="str">
        <f t="shared" si="27"/>
        <v>1w</v>
      </c>
      <c r="X1067" s="148">
        <f>_xll.qlCalendarAdvance(Calendar,X1066,W1067,"f",FALSE)</f>
        <v>46399</v>
      </c>
      <c r="Y1067" s="153">
        <f>_xll.qlCalendarAdvance(Calendar,X1067,NDays&amp;"D")</f>
        <v>46399</v>
      </c>
      <c r="Z1067" s="154">
        <v>3.0878516532322185E-2</v>
      </c>
      <c r="AA1067" s="156">
        <v>3.0726100837313863E-2</v>
      </c>
    </row>
    <row r="1068" spans="19:27" x14ac:dyDescent="0.2">
      <c r="S1068" s="1"/>
      <c r="T1068" s="117"/>
      <c r="W1068" s="75" t="str">
        <f t="shared" si="27"/>
        <v>1w</v>
      </c>
      <c r="X1068" s="148">
        <f>_xll.qlCalendarAdvance(Calendar,X1067,W1068,"f",FALSE)</f>
        <v>46406</v>
      </c>
      <c r="Y1068" s="153">
        <f>_xll.qlCalendarAdvance(Calendar,X1068,NDays&amp;"D")</f>
        <v>46406</v>
      </c>
      <c r="Z1068" s="154">
        <v>3.0884266605257019E-2</v>
      </c>
      <c r="AA1068" s="156">
        <v>3.0731989722077024E-2</v>
      </c>
    </row>
    <row r="1069" spans="19:27" x14ac:dyDescent="0.2">
      <c r="S1069" s="1"/>
      <c r="T1069" s="117"/>
      <c r="W1069" s="75" t="str">
        <f t="shared" si="27"/>
        <v>1w</v>
      </c>
      <c r="X1069" s="148">
        <f>_xll.qlCalendarAdvance(Calendar,X1068,W1069,"f",FALSE)</f>
        <v>46413</v>
      </c>
      <c r="Y1069" s="153">
        <f>_xll.qlCalendarAdvance(Calendar,X1069,NDays&amp;"D")</f>
        <v>46413</v>
      </c>
      <c r="Z1069" s="154">
        <v>3.0889987875503518E-2</v>
      </c>
      <c r="AA1069" s="156">
        <v>3.0737850011605117E-2</v>
      </c>
    </row>
    <row r="1070" spans="19:27" x14ac:dyDescent="0.2">
      <c r="S1070" s="1"/>
      <c r="T1070" s="117"/>
      <c r="W1070" s="75" t="str">
        <f t="shared" si="27"/>
        <v>1w</v>
      </c>
      <c r="X1070" s="148">
        <f>_xll.qlCalendarAdvance(Calendar,X1069,W1070,"f",FALSE)</f>
        <v>46420</v>
      </c>
      <c r="Y1070" s="153">
        <f>_xll.qlCalendarAdvance(Calendar,X1070,NDays&amp;"D")</f>
        <v>46420</v>
      </c>
      <c r="Z1070" s="154">
        <v>3.0897385767155838E-2</v>
      </c>
      <c r="AA1070" s="156">
        <v>3.074368170589814E-2</v>
      </c>
    </row>
    <row r="1071" spans="19:27" x14ac:dyDescent="0.2">
      <c r="S1071" s="1"/>
      <c r="T1071" s="117"/>
      <c r="W1071" s="75" t="str">
        <f t="shared" si="27"/>
        <v>1w</v>
      </c>
      <c r="X1071" s="148">
        <f>_xll.qlCalendarAdvance(Calendar,X1070,W1071,"f",FALSE)</f>
        <v>46427</v>
      </c>
      <c r="Y1071" s="153">
        <f>_xll.qlCalendarAdvance(Calendar,X1071,NDays&amp;"D")</f>
        <v>46427</v>
      </c>
      <c r="Z1071" s="154">
        <v>3.0901344007443439E-2</v>
      </c>
      <c r="AA1071" s="156">
        <v>3.0749484804794003E-2</v>
      </c>
    </row>
    <row r="1072" spans="19:27" x14ac:dyDescent="0.2">
      <c r="S1072" s="1"/>
      <c r="T1072" s="117"/>
      <c r="W1072" s="75" t="str">
        <f t="shared" si="27"/>
        <v>1w</v>
      </c>
      <c r="X1072" s="148">
        <f>_xll.qlCalendarAdvance(Calendar,X1071,W1072,"f",FALSE)</f>
        <v>46434</v>
      </c>
      <c r="Y1072" s="153">
        <f>_xll.qlCalendarAdvance(Calendar,X1072,NDays&amp;"D")</f>
        <v>46434</v>
      </c>
      <c r="Z1072" s="154">
        <v>3.0906978868899124E-2</v>
      </c>
      <c r="AA1072" s="156">
        <v>3.0755259308454796E-2</v>
      </c>
    </row>
    <row r="1073" spans="19:27" x14ac:dyDescent="0.2">
      <c r="S1073" s="1"/>
      <c r="T1073" s="117"/>
      <c r="W1073" s="75" t="str">
        <f t="shared" si="27"/>
        <v>1w</v>
      </c>
      <c r="X1073" s="148">
        <f>_xll.qlCalendarAdvance(Calendar,X1072,W1073,"f",FALSE)</f>
        <v>46441</v>
      </c>
      <c r="Y1073" s="153">
        <f>_xll.qlCalendarAdvance(Calendar,X1073,NDays&amp;"D")</f>
        <v>46441</v>
      </c>
      <c r="Z1073" s="154">
        <v>3.0912584927183802E-2</v>
      </c>
      <c r="AA1073" s="156">
        <v>3.0761005216718429E-2</v>
      </c>
    </row>
    <row r="1074" spans="19:27" x14ac:dyDescent="0.2">
      <c r="S1074" s="1"/>
      <c r="T1074" s="117"/>
      <c r="W1074" s="75" t="str">
        <f t="shared" si="27"/>
        <v>1w</v>
      </c>
      <c r="X1074" s="148">
        <f>_xll.qlCalendarAdvance(Calendar,X1073,W1074,"f",FALSE)</f>
        <v>46448</v>
      </c>
      <c r="Y1074" s="153">
        <f>_xll.qlCalendarAdvance(Calendar,X1074,NDays&amp;"D")</f>
        <v>46448</v>
      </c>
      <c r="Z1074" s="154">
        <v>3.0921560307218564E-2</v>
      </c>
      <c r="AA1074" s="156">
        <v>3.0766722529746993E-2</v>
      </c>
    </row>
    <row r="1075" spans="19:27" x14ac:dyDescent="0.2">
      <c r="S1075" s="1"/>
      <c r="T1075" s="117"/>
      <c r="W1075" s="75" t="str">
        <f t="shared" si="27"/>
        <v>1w</v>
      </c>
      <c r="X1075" s="148">
        <f>_xll.qlCalendarAdvance(Calendar,X1074,W1075,"f",FALSE)</f>
        <v>46455</v>
      </c>
      <c r="Y1075" s="153">
        <f>_xll.qlCalendarAdvance(Calendar,X1075,NDays&amp;"D")</f>
        <v>46455</v>
      </c>
      <c r="Z1075" s="154">
        <v>3.0927105579931124E-2</v>
      </c>
      <c r="AA1075" s="156">
        <v>3.0772411247459441E-2</v>
      </c>
    </row>
    <row r="1076" spans="19:27" x14ac:dyDescent="0.2">
      <c r="S1076" s="1"/>
      <c r="T1076" s="117"/>
      <c r="W1076" s="75" t="str">
        <f t="shared" si="27"/>
        <v>1w</v>
      </c>
      <c r="X1076" s="148">
        <f>_xll.qlCalendarAdvance(Calendar,X1075,W1076,"f",FALSE)</f>
        <v>46462</v>
      </c>
      <c r="Y1076" s="153">
        <f>_xll.qlCalendarAdvance(Calendar,X1076,NDays&amp;"D")</f>
        <v>46462</v>
      </c>
      <c r="Z1076" s="154">
        <v>3.0932622044406659E-2</v>
      </c>
      <c r="AA1076" s="156">
        <v>3.0778071369774729E-2</v>
      </c>
    </row>
    <row r="1077" spans="19:27" x14ac:dyDescent="0.2">
      <c r="S1077" s="1"/>
      <c r="T1077" s="117"/>
      <c r="W1077" s="75" t="str">
        <f t="shared" si="27"/>
        <v>1w</v>
      </c>
      <c r="X1077" s="148">
        <f>_xll.qlCalendarAdvance(Calendar,X1076,W1077,"f",FALSE)</f>
        <v>46469</v>
      </c>
      <c r="Y1077" s="153">
        <f>_xll.qlCalendarAdvance(Calendar,X1077,NDays&amp;"D")</f>
        <v>46469</v>
      </c>
      <c r="Z1077" s="154">
        <v>3.0938109700527117E-2</v>
      </c>
      <c r="AA1077" s="156">
        <v>3.0783702896854948E-2</v>
      </c>
    </row>
    <row r="1078" spans="19:27" x14ac:dyDescent="0.2">
      <c r="S1078" s="1"/>
      <c r="T1078" s="117"/>
      <c r="W1078" s="75" t="str">
        <f t="shared" si="27"/>
        <v>1w</v>
      </c>
      <c r="X1078" s="148">
        <f>_xll.qlCalendarAdvance(Calendar,X1077,W1078,"f",FALSE)</f>
        <v>46476</v>
      </c>
      <c r="Y1078" s="153">
        <f>_xll.qlCalendarAdvance(Calendar,X1078,NDays&amp;"D")</f>
        <v>46476</v>
      </c>
      <c r="Z1078" s="154">
        <v>3.0943568548173577E-2</v>
      </c>
      <c r="AA1078" s="156">
        <v>3.0789305828538005E-2</v>
      </c>
    </row>
    <row r="1079" spans="19:27" x14ac:dyDescent="0.2">
      <c r="S1079" s="1"/>
      <c r="T1079" s="117"/>
      <c r="W1079" s="75" t="str">
        <f t="shared" si="27"/>
        <v>1w</v>
      </c>
      <c r="X1079" s="148">
        <f>_xll.qlCalendarAdvance(Calendar,X1078,W1079,"f",FALSE)</f>
        <v>46483</v>
      </c>
      <c r="Y1079" s="153">
        <f>_xll.qlCalendarAdvance(Calendar,X1079,NDays&amp;"D")</f>
        <v>46483</v>
      </c>
      <c r="Z1079" s="154">
        <v>3.0947307524297793E-2</v>
      </c>
      <c r="AA1079" s="156">
        <v>3.0794880164985994E-2</v>
      </c>
    </row>
    <row r="1080" spans="19:27" x14ac:dyDescent="0.2">
      <c r="S1080" s="1"/>
      <c r="T1080" s="117"/>
      <c r="W1080" s="75" t="str">
        <f t="shared" si="27"/>
        <v>1w</v>
      </c>
      <c r="X1080" s="148">
        <f>_xll.qlCalendarAdvance(Calendar,X1079,W1080,"f",FALSE)</f>
        <v>46490</v>
      </c>
      <c r="Y1080" s="153">
        <f>_xll.qlCalendarAdvance(Calendar,X1080,NDays&amp;"D")</f>
        <v>46490</v>
      </c>
      <c r="Z1080" s="154">
        <v>3.0952710356024881E-2</v>
      </c>
      <c r="AA1080" s="156">
        <v>3.0800425906036821E-2</v>
      </c>
    </row>
    <row r="1081" spans="19:27" x14ac:dyDescent="0.2">
      <c r="S1081" s="1"/>
      <c r="T1081" s="117"/>
      <c r="W1081" s="75" t="str">
        <f t="shared" si="27"/>
        <v>1w</v>
      </c>
      <c r="X1081" s="148">
        <f>_xll.qlCalendarAdvance(Calendar,X1080,W1081,"f",FALSE)</f>
        <v>46497</v>
      </c>
      <c r="Y1081" s="153">
        <f>_xll.qlCalendarAdvance(Calendar,X1081,NDays&amp;"D")</f>
        <v>46497</v>
      </c>
      <c r="Z1081" s="154">
        <v>3.0958084381288917E-2</v>
      </c>
      <c r="AA1081" s="156">
        <v>3.080594305185258E-2</v>
      </c>
    </row>
    <row r="1082" spans="19:27" x14ac:dyDescent="0.2">
      <c r="S1082" s="1"/>
      <c r="T1082" s="117"/>
      <c r="W1082" s="75" t="str">
        <f t="shared" si="27"/>
        <v>1w</v>
      </c>
      <c r="X1082" s="148">
        <f>_xll.qlCalendarAdvance(Calendar,X1081,W1082,"f",FALSE)</f>
        <v>46504</v>
      </c>
      <c r="Y1082" s="153">
        <f>_xll.qlCalendarAdvance(Calendar,X1082,NDays&amp;"D")</f>
        <v>46504</v>
      </c>
      <c r="Z1082" s="154">
        <v>3.0963429599974123E-2</v>
      </c>
      <c r="AA1082" s="156">
        <v>3.0811431602190131E-2</v>
      </c>
    </row>
    <row r="1083" spans="19:27" x14ac:dyDescent="0.2">
      <c r="S1083" s="1"/>
      <c r="T1083" s="117"/>
      <c r="W1083" s="75" t="str">
        <f t="shared" si="27"/>
        <v>1w</v>
      </c>
      <c r="X1083" s="148">
        <f>_xll.qlCalendarAdvance(Calendar,X1082,W1083,"f",FALSE)</f>
        <v>46511</v>
      </c>
      <c r="Y1083" s="153">
        <f>_xll.qlCalendarAdvance(Calendar,X1083,NDays&amp;"D")</f>
        <v>46511</v>
      </c>
      <c r="Z1083" s="154">
        <v>3.0970430655179251E-2</v>
      </c>
      <c r="AA1083" s="156">
        <v>3.0816891557292614E-2</v>
      </c>
    </row>
    <row r="1084" spans="19:27" x14ac:dyDescent="0.2">
      <c r="S1084" s="1"/>
      <c r="T1084" s="117"/>
      <c r="W1084" s="75" t="str">
        <f t="shared" si="27"/>
        <v>1w</v>
      </c>
      <c r="X1084" s="148">
        <f>_xll.qlCalendarAdvance(Calendar,X1083,W1084,"f",FALSE)</f>
        <v>46518</v>
      </c>
      <c r="Y1084" s="153">
        <f>_xll.qlCalendarAdvance(Calendar,X1084,NDays&amp;"D")</f>
        <v>46518</v>
      </c>
      <c r="Z1084" s="154">
        <v>3.0975716649523012E-2</v>
      </c>
      <c r="AA1084" s="156">
        <v>3.0822322917078981E-2</v>
      </c>
    </row>
    <row r="1085" spans="19:27" x14ac:dyDescent="0.2">
      <c r="S1085" s="1"/>
      <c r="T1085" s="117"/>
      <c r="W1085" s="75" t="str">
        <f t="shared" si="27"/>
        <v>1w</v>
      </c>
      <c r="X1085" s="148">
        <f>_xll.qlCalendarAdvance(Calendar,X1084,W1085,"f",FALSE)</f>
        <v>46525</v>
      </c>
      <c r="Y1085" s="153">
        <f>_xll.qlCalendarAdvance(Calendar,X1085,NDays&amp;"D")</f>
        <v>46525</v>
      </c>
      <c r="Z1085" s="154">
        <v>3.098097383457879E-2</v>
      </c>
      <c r="AA1085" s="156">
        <v>3.0827725681549234E-2</v>
      </c>
    </row>
    <row r="1086" spans="19:27" x14ac:dyDescent="0.2">
      <c r="S1086" s="1"/>
      <c r="T1086" s="117"/>
      <c r="W1086" s="75" t="str">
        <f t="shared" si="27"/>
        <v>1w</v>
      </c>
      <c r="X1086" s="148">
        <f>_xll.qlCalendarAdvance(Calendar,X1085,W1086,"f",FALSE)</f>
        <v>46532</v>
      </c>
      <c r="Y1086" s="153">
        <f>_xll.qlCalendarAdvance(Calendar,X1086,NDays&amp;"D")</f>
        <v>46532</v>
      </c>
      <c r="Z1086" s="154">
        <v>3.0986202210233817E-2</v>
      </c>
      <c r="AA1086" s="156">
        <v>3.0833099850622325E-2</v>
      </c>
    </row>
    <row r="1087" spans="19:27" x14ac:dyDescent="0.2">
      <c r="S1087" s="1"/>
      <c r="T1087" s="117"/>
      <c r="W1087" s="75" t="str">
        <f t="shared" si="27"/>
        <v>1w</v>
      </c>
      <c r="X1087" s="148">
        <f>_xll.qlCalendarAdvance(Calendar,X1086,W1087,"f",FALSE)</f>
        <v>46539</v>
      </c>
      <c r="Y1087" s="153">
        <f>_xll.qlCalendarAdvance(Calendar,X1087,NDays&amp;"D")</f>
        <v>46539</v>
      </c>
      <c r="Z1087" s="154">
        <v>3.099140177637446E-2</v>
      </c>
      <c r="AA1087" s="156">
        <v>3.0838445424460348E-2</v>
      </c>
    </row>
    <row r="1088" spans="19:27" x14ac:dyDescent="0.2">
      <c r="S1088" s="1"/>
      <c r="T1088" s="117"/>
      <c r="W1088" s="75" t="str">
        <f t="shared" si="27"/>
        <v>1w</v>
      </c>
      <c r="X1088" s="148">
        <f>_xll.qlCalendarAdvance(Calendar,X1087,W1088,"f",FALSE)</f>
        <v>46546</v>
      </c>
      <c r="Y1088" s="153">
        <f>_xll.qlCalendarAdvance(Calendar,X1088,NDays&amp;"D")</f>
        <v>46546</v>
      </c>
      <c r="Z1088" s="154">
        <v>3.0996572532888834E-2</v>
      </c>
      <c r="AA1088" s="156">
        <v>3.0843762402820163E-2</v>
      </c>
    </row>
    <row r="1089" spans="19:27" x14ac:dyDescent="0.2">
      <c r="S1089" s="1"/>
      <c r="T1089" s="117"/>
      <c r="W1089" s="75" t="str">
        <f t="shared" si="27"/>
        <v>1w</v>
      </c>
      <c r="X1089" s="148">
        <f>_xll.qlCalendarAdvance(Calendar,X1088,W1089,"f",FALSE)</f>
        <v>46553</v>
      </c>
      <c r="Y1089" s="153">
        <f>_xll.qlCalendarAdvance(Calendar,X1089,NDays&amp;"D")</f>
        <v>46553</v>
      </c>
      <c r="Z1089" s="154">
        <v>3.1001714479665061E-2</v>
      </c>
      <c r="AA1089" s="156">
        <v>3.0849050785944909E-2</v>
      </c>
    </row>
    <row r="1090" spans="19:27" x14ac:dyDescent="0.2">
      <c r="S1090" s="1"/>
      <c r="T1090" s="117"/>
      <c r="W1090" s="75" t="str">
        <f t="shared" si="27"/>
        <v>1w</v>
      </c>
      <c r="X1090" s="148">
        <f>_xll.qlCalendarAdvance(Calendar,X1089,W1090,"f",FALSE)</f>
        <v>46560</v>
      </c>
      <c r="Y1090" s="153">
        <f>_xll.qlCalendarAdvance(Calendar,X1090,NDays&amp;"D")</f>
        <v>46560</v>
      </c>
      <c r="Z1090" s="154">
        <v>3.1006827616591265E-2</v>
      </c>
      <c r="AA1090" s="156">
        <v>3.0854310573672494E-2</v>
      </c>
    </row>
    <row r="1091" spans="19:27" x14ac:dyDescent="0.2">
      <c r="S1091" s="1"/>
      <c r="T1091" s="117"/>
      <c r="W1091" s="75" t="str">
        <f t="shared" si="27"/>
        <v>1w</v>
      </c>
      <c r="X1091" s="148">
        <f>_xll.qlCalendarAdvance(Calendar,X1090,W1091,"f",FALSE)</f>
        <v>46567</v>
      </c>
      <c r="Y1091" s="153">
        <f>_xll.qlCalendarAdvance(Calendar,X1091,NDays&amp;"D")</f>
        <v>46567</v>
      </c>
      <c r="Z1091" s="154">
        <v>3.1011911943559966E-2</v>
      </c>
      <c r="AA1091" s="156">
        <v>3.0859541766165011E-2</v>
      </c>
    </row>
    <row r="1092" spans="19:27" x14ac:dyDescent="0.2">
      <c r="S1092" s="1"/>
      <c r="T1092" s="117"/>
      <c r="W1092" s="75" t="str">
        <f t="shared" si="27"/>
        <v>1w</v>
      </c>
      <c r="X1092" s="148">
        <f>_xll.qlCalendarAdvance(Calendar,X1091,W1092,"f",FALSE)</f>
        <v>46574</v>
      </c>
      <c r="Y1092" s="153">
        <f>_xll.qlCalendarAdvance(Calendar,X1092,NDays&amp;"D")</f>
        <v>46574</v>
      </c>
      <c r="Z1092" s="154">
        <v>3.1016967460456651E-2</v>
      </c>
      <c r="AA1092" s="156">
        <v>3.0864744363179319E-2</v>
      </c>
    </row>
    <row r="1093" spans="19:27" x14ac:dyDescent="0.2">
      <c r="S1093" s="1"/>
      <c r="T1093" s="117"/>
      <c r="W1093" s="75" t="str">
        <f t="shared" si="27"/>
        <v>1w</v>
      </c>
      <c r="X1093" s="148">
        <f>_xll.qlCalendarAdvance(Calendar,X1092,W1093,"f",FALSE)</f>
        <v>46581</v>
      </c>
      <c r="Y1093" s="153">
        <f>_xll.qlCalendarAdvance(Calendar,X1093,NDays&amp;"D")</f>
        <v>46581</v>
      </c>
      <c r="Z1093" s="154">
        <v>3.1021994167173838E-2</v>
      </c>
      <c r="AA1093" s="156">
        <v>3.0869918365039606E-2</v>
      </c>
    </row>
    <row r="1094" spans="19:27" x14ac:dyDescent="0.2">
      <c r="S1094" s="1"/>
      <c r="T1094" s="117"/>
      <c r="W1094" s="75" t="str">
        <f t="shared" si="27"/>
        <v>1w</v>
      </c>
      <c r="X1094" s="148">
        <f>_xll.qlCalendarAdvance(Calendar,X1093,W1094,"f",FALSE)</f>
        <v>46588</v>
      </c>
      <c r="Y1094" s="153">
        <f>_xll.qlCalendarAdvance(Calendar,X1094,NDays&amp;"D")</f>
        <v>46588</v>
      </c>
      <c r="Z1094" s="154">
        <v>3.1026992063604052E-2</v>
      </c>
      <c r="AA1094" s="156">
        <v>3.0875063771421685E-2</v>
      </c>
    </row>
    <row r="1095" spans="19:27" x14ac:dyDescent="0.2">
      <c r="S1095" s="1"/>
      <c r="T1095" s="117"/>
      <c r="W1095" s="75" t="str">
        <f t="shared" si="27"/>
        <v>1w</v>
      </c>
      <c r="X1095" s="148">
        <f>_xll.qlCalendarAdvance(Calendar,X1094,W1095,"f",FALSE)</f>
        <v>46595</v>
      </c>
      <c r="Y1095" s="153">
        <f>_xll.qlCalendarAdvance(Calendar,X1095,NDays&amp;"D")</f>
        <v>46595</v>
      </c>
      <c r="Z1095" s="154">
        <v>3.1031961149638066E-2</v>
      </c>
      <c r="AA1095" s="156">
        <v>3.0880180582487649E-2</v>
      </c>
    </row>
    <row r="1096" spans="19:27" x14ac:dyDescent="0.2">
      <c r="S1096" s="1"/>
      <c r="T1096" s="117"/>
      <c r="W1096" s="75" t="str">
        <f t="shared" si="27"/>
        <v>1w</v>
      </c>
      <c r="X1096" s="148">
        <f>_xll.qlCalendarAdvance(Calendar,X1095,W1096,"f",FALSE)</f>
        <v>46602</v>
      </c>
      <c r="Y1096" s="153">
        <f>_xll.qlCalendarAdvance(Calendar,X1096,NDays&amp;"D")</f>
        <v>46602</v>
      </c>
      <c r="Z1096" s="154">
        <v>3.1036901425168396E-2</v>
      </c>
      <c r="AA1096" s="156">
        <v>3.0885268798237497E-2</v>
      </c>
    </row>
    <row r="1097" spans="19:27" x14ac:dyDescent="0.2">
      <c r="S1097" s="1"/>
      <c r="T1097" s="117"/>
      <c r="W1097" s="75" t="str">
        <f t="shared" si="27"/>
        <v>1w</v>
      </c>
      <c r="X1097" s="148">
        <f>_xll.qlCalendarAdvance(Calendar,X1096,W1097,"f",FALSE)</f>
        <v>46609</v>
      </c>
      <c r="Y1097" s="153">
        <f>_xll.qlCalendarAdvance(Calendar,X1097,NDays&amp;"D")</f>
        <v>46609</v>
      </c>
      <c r="Z1097" s="154">
        <v>3.1041812890090212E-2</v>
      </c>
      <c r="AA1097" s="156">
        <v>3.0890328418671231E-2</v>
      </c>
    </row>
    <row r="1098" spans="19:27" x14ac:dyDescent="0.2">
      <c r="S1098" s="1"/>
      <c r="T1098" s="117"/>
      <c r="W1098" s="75" t="str">
        <f t="shared" si="27"/>
        <v>1w</v>
      </c>
      <c r="X1098" s="148">
        <f>_xll.qlCalendarAdvance(Calendar,X1097,W1098,"f",FALSE)</f>
        <v>46616</v>
      </c>
      <c r="Y1098" s="153">
        <f>_xll.qlCalendarAdvance(Calendar,X1098,NDays&amp;"D")</f>
        <v>46616</v>
      </c>
      <c r="Z1098" s="154">
        <v>3.1046695544294279E-2</v>
      </c>
      <c r="AA1098" s="156">
        <v>3.0895359443707804E-2</v>
      </c>
    </row>
    <row r="1099" spans="19:27" x14ac:dyDescent="0.2">
      <c r="S1099" s="1"/>
      <c r="T1099" s="117"/>
      <c r="W1099" s="75" t="str">
        <f t="shared" si="27"/>
        <v>1w</v>
      </c>
      <c r="X1099" s="148">
        <f>_xll.qlCalendarAdvance(Calendar,X1098,W1099,"f",FALSE)</f>
        <v>46623</v>
      </c>
      <c r="Y1099" s="153">
        <f>_xll.qlCalendarAdvance(Calendar,X1099,NDays&amp;"D")</f>
        <v>46623</v>
      </c>
      <c r="Z1099" s="154">
        <v>3.1051549387675768E-2</v>
      </c>
      <c r="AA1099" s="156">
        <v>3.0900361873347215E-2</v>
      </c>
    </row>
    <row r="1100" spans="19:27" x14ac:dyDescent="0.2">
      <c r="S1100" s="1"/>
      <c r="T1100" s="117"/>
      <c r="W1100" s="75" t="str">
        <f t="shared" si="27"/>
        <v>1w</v>
      </c>
      <c r="X1100" s="148">
        <f>_xll.qlCalendarAdvance(Calendar,X1099,W1100,"f",FALSE)</f>
        <v>46630</v>
      </c>
      <c r="Y1100" s="153">
        <f>_xll.qlCalendarAdvance(Calendar,X1100,NDays&amp;"D")</f>
        <v>46630</v>
      </c>
      <c r="Z1100" s="154">
        <v>3.1054717484060874E-2</v>
      </c>
      <c r="AA1100" s="156">
        <v>3.0905335707670512E-2</v>
      </c>
    </row>
    <row r="1101" spans="19:27" x14ac:dyDescent="0.2">
      <c r="S1101" s="1"/>
      <c r="T1101" s="117"/>
      <c r="W1101" s="75" t="str">
        <f t="shared" si="27"/>
        <v>1w</v>
      </c>
      <c r="X1101" s="148">
        <f>_xll.qlCalendarAdvance(Calendar,X1100,W1101,"f",FALSE)</f>
        <v>46637</v>
      </c>
      <c r="Y1101" s="153">
        <f>_xll.qlCalendarAdvance(Calendar,X1101,NDays&amp;"D")</f>
        <v>46637</v>
      </c>
      <c r="Z1101" s="154">
        <v>3.1059515356738586E-2</v>
      </c>
      <c r="AA1101" s="156">
        <v>3.0910280946677693E-2</v>
      </c>
    </row>
    <row r="1102" spans="19:27" x14ac:dyDescent="0.2">
      <c r="S1102" s="1"/>
      <c r="T1102" s="117"/>
      <c r="W1102" s="75" t="str">
        <f t="shared" si="27"/>
        <v>1w</v>
      </c>
      <c r="X1102" s="148">
        <f>_xll.qlCalendarAdvance(Calendar,X1101,W1102,"f",FALSE)</f>
        <v>46644</v>
      </c>
      <c r="Y1102" s="153">
        <f>_xll.qlCalendarAdvance(Calendar,X1102,NDays&amp;"D")</f>
        <v>46644</v>
      </c>
      <c r="Z1102" s="154">
        <v>3.106428442066881E-2</v>
      </c>
      <c r="AA1102" s="156">
        <v>3.0915197590287713E-2</v>
      </c>
    </row>
    <row r="1103" spans="19:27" x14ac:dyDescent="0.2">
      <c r="S1103" s="1"/>
      <c r="T1103" s="117"/>
      <c r="W1103" s="75" t="str">
        <f t="shared" si="27"/>
        <v>1w</v>
      </c>
      <c r="X1103" s="148">
        <f>_xll.qlCalendarAdvance(Calendar,X1102,W1103,"f",FALSE)</f>
        <v>46651</v>
      </c>
      <c r="Y1103" s="153">
        <f>_xll.qlCalendarAdvance(Calendar,X1103,NDays&amp;"D")</f>
        <v>46651</v>
      </c>
      <c r="Z1103" s="154">
        <v>3.1069024675750019E-2</v>
      </c>
      <c r="AA1103" s="156">
        <v>3.0920085638581618E-2</v>
      </c>
    </row>
    <row r="1104" spans="19:27" x14ac:dyDescent="0.2">
      <c r="S1104" s="1"/>
      <c r="T1104" s="117"/>
      <c r="W1104" s="75" t="str">
        <f t="shared" si="27"/>
        <v>1w</v>
      </c>
      <c r="X1104" s="148">
        <f>_xll.qlCalendarAdvance(Calendar,X1103,W1104,"f",FALSE)</f>
        <v>46658</v>
      </c>
      <c r="Y1104" s="153">
        <f>_xll.qlCalendarAdvance(Calendar,X1104,NDays&amp;"D")</f>
        <v>46658</v>
      </c>
      <c r="Z1104" s="154">
        <v>3.1075386438610634E-2</v>
      </c>
      <c r="AA1104" s="156">
        <v>3.0924945091640454E-2</v>
      </c>
    </row>
    <row r="1105" spans="19:27" x14ac:dyDescent="0.2">
      <c r="S1105" s="1"/>
      <c r="T1105" s="117"/>
      <c r="W1105" s="75" t="str">
        <f t="shared" si="27"/>
        <v>1w</v>
      </c>
      <c r="X1105" s="148">
        <f>_xll.qlCalendarAdvance(Calendar,X1104,W1105,"f",FALSE)</f>
        <v>46665</v>
      </c>
      <c r="Y1105" s="153">
        <f>_xll.qlCalendarAdvance(Calendar,X1105,NDays&amp;"D")</f>
        <v>46665</v>
      </c>
      <c r="Z1105" s="154">
        <v>3.1080067414878964E-2</v>
      </c>
      <c r="AA1105" s="156">
        <v>3.0929775949221083E-2</v>
      </c>
    </row>
    <row r="1106" spans="19:27" x14ac:dyDescent="0.2">
      <c r="S1106" s="1"/>
      <c r="T1106" s="117"/>
      <c r="W1106" s="75" t="str">
        <f t="shared" si="27"/>
        <v>1w</v>
      </c>
      <c r="X1106" s="148">
        <f>_xll.qlCalendarAdvance(Calendar,X1105,W1106,"f",FALSE)</f>
        <v>46672</v>
      </c>
      <c r="Y1106" s="153">
        <f>_xll.qlCalendarAdvance(Calendar,X1106,NDays&amp;"D")</f>
        <v>46672</v>
      </c>
      <c r="Z1106" s="154">
        <v>3.1084719579604986E-2</v>
      </c>
      <c r="AA1106" s="156">
        <v>3.0934578211323505E-2</v>
      </c>
    </row>
    <row r="1107" spans="19:27" x14ac:dyDescent="0.2">
      <c r="S1107" s="1"/>
      <c r="T1107" s="117"/>
      <c r="W1107" s="75" t="str">
        <f t="shared" si="27"/>
        <v>1w</v>
      </c>
      <c r="X1107" s="148">
        <f>_xll.qlCalendarAdvance(Calendar,X1106,W1107,"f",FALSE)</f>
        <v>46679</v>
      </c>
      <c r="Y1107" s="153">
        <f>_xll.qlCalendarAdvance(Calendar,X1107,NDays&amp;"D")</f>
        <v>46679</v>
      </c>
      <c r="Z1107" s="154">
        <v>3.1089342932687392E-2</v>
      </c>
      <c r="AA1107" s="156">
        <v>3.0939351878271903E-2</v>
      </c>
    </row>
    <row r="1108" spans="19:27" x14ac:dyDescent="0.2">
      <c r="S1108" s="1"/>
      <c r="T1108" s="117"/>
      <c r="W1108" s="75" t="str">
        <f t="shared" si="27"/>
        <v>1w</v>
      </c>
      <c r="X1108" s="148">
        <f>_xll.qlCalendarAdvance(Calendar,X1107,W1108,"f",FALSE)</f>
        <v>46686</v>
      </c>
      <c r="Y1108" s="153">
        <f>_xll.qlCalendarAdvance(Calendar,X1108,NDays&amp;"D")</f>
        <v>46686</v>
      </c>
      <c r="Z1108" s="154">
        <v>3.1093937474024877E-2</v>
      </c>
      <c r="AA1108" s="156">
        <v>3.0944096949742095E-2</v>
      </c>
    </row>
    <row r="1109" spans="19:27" x14ac:dyDescent="0.2">
      <c r="S1109" s="1"/>
      <c r="T1109" s="117"/>
      <c r="W1109" s="75" t="str">
        <f t="shared" ref="W1109:W1172" si="28">W1108</f>
        <v>1w</v>
      </c>
      <c r="X1109" s="148">
        <f>_xll.qlCalendarAdvance(Calendar,X1108,W1109,"f",FALSE)</f>
        <v>46693</v>
      </c>
      <c r="Y1109" s="153">
        <f>_xll.qlCalendarAdvance(Calendar,X1109,NDays&amp;"D")</f>
        <v>46693</v>
      </c>
      <c r="Z1109" s="154">
        <v>3.1098503203520537E-2</v>
      </c>
      <c r="AA1109" s="156">
        <v>3.0948813425896171E-2</v>
      </c>
    </row>
    <row r="1110" spans="19:27" x14ac:dyDescent="0.2">
      <c r="S1110" s="1"/>
      <c r="T1110" s="117"/>
      <c r="W1110" s="75" t="str">
        <f t="shared" si="28"/>
        <v>1w</v>
      </c>
      <c r="X1110" s="148">
        <f>_xll.qlCalendarAdvance(Calendar,X1109,W1110,"f",FALSE)</f>
        <v>46700</v>
      </c>
      <c r="Y1110" s="153">
        <f>_xll.qlCalendarAdvance(Calendar,X1110,NDays&amp;"D")</f>
        <v>46700</v>
      </c>
      <c r="Z1110" s="154">
        <v>3.1103040121073944E-2</v>
      </c>
      <c r="AA1110" s="156">
        <v>3.0953501306734132E-2</v>
      </c>
    </row>
    <row r="1111" spans="19:27" x14ac:dyDescent="0.2">
      <c r="S1111" s="1"/>
      <c r="T1111" s="117"/>
      <c r="W1111" s="75" t="str">
        <f t="shared" si="28"/>
        <v>1w</v>
      </c>
      <c r="X1111" s="148">
        <f>_xll.qlCalendarAdvance(Calendar,X1110,W1111,"f",FALSE)</f>
        <v>46707</v>
      </c>
      <c r="Y1111" s="153">
        <f>_xll.qlCalendarAdvance(Calendar,X1111,NDays&amp;"D")</f>
        <v>46707</v>
      </c>
      <c r="Z1111" s="154">
        <v>3.1107548226586432E-2</v>
      </c>
      <c r="AA1111" s="156">
        <v>3.0958160592174933E-2</v>
      </c>
    </row>
    <row r="1112" spans="19:27" x14ac:dyDescent="0.2">
      <c r="S1112" s="1"/>
      <c r="T1112" s="117"/>
      <c r="W1112" s="75" t="str">
        <f t="shared" si="28"/>
        <v>1w</v>
      </c>
      <c r="X1112" s="148">
        <f>_xll.qlCalendarAdvance(Calendar,X1111,W1112,"f",FALSE)</f>
        <v>46714</v>
      </c>
      <c r="Y1112" s="153">
        <f>_xll.qlCalendarAdvance(Calendar,X1112,NDays&amp;"D")</f>
        <v>46714</v>
      </c>
      <c r="Z1112" s="154">
        <v>3.1112027519961984E-2</v>
      </c>
      <c r="AA1112" s="156">
        <v>3.0962791282218571E-2</v>
      </c>
    </row>
    <row r="1113" spans="19:27" x14ac:dyDescent="0.2">
      <c r="S1113" s="1"/>
      <c r="T1113" s="117"/>
      <c r="W1113" s="75" t="str">
        <f t="shared" si="28"/>
        <v>1w</v>
      </c>
      <c r="X1113" s="148">
        <f>_xll.qlCalendarAdvance(Calendar,X1112,W1113,"f",FALSE)</f>
        <v>46721</v>
      </c>
      <c r="Y1113" s="153">
        <f>_xll.qlCalendarAdvance(Calendar,X1113,NDays&amp;"D")</f>
        <v>46721</v>
      </c>
      <c r="Z1113" s="154">
        <v>3.1114842717837526E-2</v>
      </c>
      <c r="AA1113" s="156">
        <v>3.0967393376946095E-2</v>
      </c>
    </row>
    <row r="1114" spans="19:27" x14ac:dyDescent="0.2">
      <c r="S1114" s="1"/>
      <c r="T1114" s="117"/>
      <c r="W1114" s="75" t="str">
        <f t="shared" si="28"/>
        <v>1w</v>
      </c>
      <c r="X1114" s="148">
        <f>_xll.qlCalendarAdvance(Calendar,X1113,W1114,"f",FALSE)</f>
        <v>46728</v>
      </c>
      <c r="Y1114" s="153">
        <f>_xll.qlCalendarAdvance(Calendar,X1114,NDays&amp;"D")</f>
        <v>46728</v>
      </c>
      <c r="Z1114" s="154">
        <v>3.1119266069018346E-2</v>
      </c>
      <c r="AA1114" s="156">
        <v>3.0971966876357504E-2</v>
      </c>
    </row>
    <row r="1115" spans="19:27" x14ac:dyDescent="0.2">
      <c r="S1115" s="1"/>
      <c r="T1115" s="117"/>
      <c r="W1115" s="75" t="str">
        <f t="shared" si="28"/>
        <v>1w</v>
      </c>
      <c r="X1115" s="148">
        <f>_xll.qlCalendarAdvance(Calendar,X1114,W1115,"f",FALSE)</f>
        <v>46735</v>
      </c>
      <c r="Y1115" s="153">
        <f>_xll.qlCalendarAdvance(Calendar,X1115,NDays&amp;"D")</f>
        <v>46735</v>
      </c>
      <c r="Z1115" s="154">
        <v>3.112366061017453E-2</v>
      </c>
      <c r="AA1115" s="156">
        <v>3.0976511780290705E-2</v>
      </c>
    </row>
    <row r="1116" spans="19:27" x14ac:dyDescent="0.2">
      <c r="S1116" s="1"/>
      <c r="T1116" s="117"/>
      <c r="W1116" s="75" t="str">
        <f t="shared" si="28"/>
        <v>1w</v>
      </c>
      <c r="X1116" s="148">
        <f>_xll.qlCalendarAdvance(Calendar,X1115,W1116,"f",FALSE)</f>
        <v>46742</v>
      </c>
      <c r="Y1116" s="153">
        <f>_xll.qlCalendarAdvance(Calendar,X1116,NDays&amp;"D")</f>
        <v>46742</v>
      </c>
      <c r="Z1116" s="154">
        <v>3.1128026341211677E-2</v>
      </c>
      <c r="AA1116" s="156">
        <v>3.0981028088907792E-2</v>
      </c>
    </row>
    <row r="1117" spans="19:27" x14ac:dyDescent="0.2">
      <c r="S1117" s="1"/>
      <c r="T1117" s="117"/>
      <c r="W1117" s="75" t="str">
        <f t="shared" si="28"/>
        <v>1w</v>
      </c>
      <c r="X1117" s="148">
        <f>_xll.qlCalendarAdvance(Calendar,X1116,W1117,"f",FALSE)</f>
        <v>46750</v>
      </c>
      <c r="Y1117" s="153">
        <f>_xll.qlCalendarAdvance(Calendar,X1117,NDays&amp;"D")</f>
        <v>46750</v>
      </c>
      <c r="Z1117" s="154">
        <v>3.1132980470294055E-2</v>
      </c>
      <c r="AA1117" s="156">
        <v>3.098615456976761E-2</v>
      </c>
    </row>
    <row r="1118" spans="19:27" x14ac:dyDescent="0.2">
      <c r="S1118" s="1"/>
      <c r="T1118" s="117"/>
      <c r="W1118" s="75" t="str">
        <f t="shared" si="28"/>
        <v>1w</v>
      </c>
      <c r="X1118" s="148">
        <f>_xll.qlCalendarAdvance(Calendar,X1117,W1118,"f",FALSE)</f>
        <v>46757</v>
      </c>
      <c r="Y1118" s="153">
        <f>_xll.qlCalendarAdvance(Calendar,X1118,NDays&amp;"D")</f>
        <v>46757</v>
      </c>
      <c r="Z1118" s="154">
        <v>3.1137284465047311E-2</v>
      </c>
      <c r="AA1118" s="156">
        <v>3.0990609602614683E-2</v>
      </c>
    </row>
    <row r="1119" spans="19:27" x14ac:dyDescent="0.2">
      <c r="S1119" s="1"/>
      <c r="T1119" s="117"/>
      <c r="W1119" s="75" t="str">
        <f t="shared" si="28"/>
        <v>1w</v>
      </c>
      <c r="X1119" s="148">
        <f>_xll.qlCalendarAdvance(Calendar,X1118,W1119,"f",FALSE)</f>
        <v>46764</v>
      </c>
      <c r="Y1119" s="153">
        <f>_xll.qlCalendarAdvance(Calendar,X1119,NDays&amp;"D")</f>
        <v>46764</v>
      </c>
      <c r="Z1119" s="154">
        <v>3.1141559649388518E-2</v>
      </c>
      <c r="AA1119" s="156">
        <v>3.0995036039983548E-2</v>
      </c>
    </row>
    <row r="1120" spans="19:27" x14ac:dyDescent="0.2">
      <c r="S1120" s="1"/>
      <c r="T1120" s="117"/>
      <c r="W1120" s="75" t="str">
        <f t="shared" si="28"/>
        <v>1w</v>
      </c>
      <c r="X1120" s="148">
        <f>_xll.qlCalendarAdvance(Calendar,X1119,W1120,"f",FALSE)</f>
        <v>46771</v>
      </c>
      <c r="Y1120" s="153">
        <f>_xll.qlCalendarAdvance(Calendar,X1120,NDays&amp;"D")</f>
        <v>46771</v>
      </c>
      <c r="Z1120" s="154">
        <v>3.1145806023229496E-2</v>
      </c>
      <c r="AA1120" s="156">
        <v>3.0999433882117344E-2</v>
      </c>
    </row>
    <row r="1121" spans="19:27" x14ac:dyDescent="0.2">
      <c r="S1121" s="1"/>
      <c r="T1121" s="117"/>
      <c r="W1121" s="75" t="str">
        <f t="shared" si="28"/>
        <v>1w</v>
      </c>
      <c r="X1121" s="148">
        <f>_xll.qlCalendarAdvance(Calendar,X1120,W1121,"f",FALSE)</f>
        <v>46778</v>
      </c>
      <c r="Y1121" s="153">
        <f>_xll.qlCalendarAdvance(Calendar,X1121,NDays&amp;"D")</f>
        <v>46778</v>
      </c>
      <c r="Z1121" s="154">
        <v>3.1150023586476738E-2</v>
      </c>
      <c r="AA1121" s="156">
        <v>3.1003803128853979E-2</v>
      </c>
    </row>
    <row r="1122" spans="19:27" x14ac:dyDescent="0.2">
      <c r="S1122" s="1"/>
      <c r="T1122" s="117"/>
      <c r="W1122" s="75" t="str">
        <f t="shared" si="28"/>
        <v>1w</v>
      </c>
      <c r="X1122" s="148">
        <f>_xll.qlCalendarAdvance(Calendar,X1121,W1122,"f",FALSE)</f>
        <v>46785</v>
      </c>
      <c r="Y1122" s="153">
        <f>_xll.qlCalendarAdvance(Calendar,X1122,NDays&amp;"D")</f>
        <v>46785</v>
      </c>
      <c r="Z1122" s="154">
        <v>3.1152592456071347E-2</v>
      </c>
      <c r="AA1122" s="156">
        <v>3.10081437802745E-2</v>
      </c>
    </row>
    <row r="1123" spans="19:27" x14ac:dyDescent="0.2">
      <c r="S1123" s="1"/>
      <c r="T1123" s="117"/>
      <c r="W1123" s="75" t="str">
        <f t="shared" si="28"/>
        <v>1w</v>
      </c>
      <c r="X1123" s="148">
        <f>_xll.qlCalendarAdvance(Calendar,X1122,W1123,"f",FALSE)</f>
        <v>46792</v>
      </c>
      <c r="Y1123" s="153">
        <f>_xll.qlCalendarAdvance(Calendar,X1123,NDays&amp;"D")</f>
        <v>46792</v>
      </c>
      <c r="Z1123" s="154">
        <v>3.1156754101906031E-2</v>
      </c>
      <c r="AA1123" s="156">
        <v>3.1012455836135766E-2</v>
      </c>
    </row>
    <row r="1124" spans="19:27" x14ac:dyDescent="0.2">
      <c r="S1124" s="1"/>
      <c r="T1124" s="117"/>
      <c r="W1124" s="75" t="str">
        <f t="shared" si="28"/>
        <v>1w</v>
      </c>
      <c r="X1124" s="148">
        <f>_xll.qlCalendarAdvance(Calendar,X1123,W1124,"f",FALSE)</f>
        <v>46799</v>
      </c>
      <c r="Y1124" s="153">
        <f>_xll.qlCalendarAdvance(Calendar,X1124,NDays&amp;"D")</f>
        <v>46799</v>
      </c>
      <c r="Z1124" s="154">
        <v>3.116088693928909E-2</v>
      </c>
      <c r="AA1124" s="156">
        <v>3.1016739296761964E-2</v>
      </c>
    </row>
    <row r="1125" spans="19:27" x14ac:dyDescent="0.2">
      <c r="S1125" s="1"/>
      <c r="T1125" s="117"/>
      <c r="W1125" s="75" t="str">
        <f t="shared" si="28"/>
        <v>1w</v>
      </c>
      <c r="X1125" s="148">
        <f>_xll.qlCalendarAdvance(Calendar,X1124,W1125,"f",FALSE)</f>
        <v>46806</v>
      </c>
      <c r="Y1125" s="153">
        <f>_xll.qlCalendarAdvance(Calendar,X1125,NDays&amp;"D")</f>
        <v>46806</v>
      </c>
      <c r="Z1125" s="154">
        <v>3.1164990968134076E-2</v>
      </c>
      <c r="AA1125" s="156">
        <v>3.1020994161991E-2</v>
      </c>
    </row>
    <row r="1126" spans="19:27" x14ac:dyDescent="0.2">
      <c r="S1126" s="1"/>
      <c r="T1126" s="117"/>
      <c r="W1126" s="75" t="str">
        <f t="shared" si="28"/>
        <v>1w</v>
      </c>
      <c r="X1126" s="148">
        <f>_xll.qlCalendarAdvance(Calendar,X1125,W1126,"f",FALSE)</f>
        <v>46813</v>
      </c>
      <c r="Y1126" s="153">
        <f>_xll.qlCalendarAdvance(Calendar,X1126,NDays&amp;"D")</f>
        <v>46813</v>
      </c>
      <c r="Z1126" s="154">
        <v>3.1172292220927961E-2</v>
      </c>
      <c r="AA1126" s="156">
        <v>3.1025220431903922E-2</v>
      </c>
    </row>
    <row r="1127" spans="19:27" x14ac:dyDescent="0.2">
      <c r="S1127" s="1"/>
      <c r="T1127" s="117"/>
      <c r="W1127" s="75" t="str">
        <f t="shared" si="28"/>
        <v>1w</v>
      </c>
      <c r="X1127" s="148">
        <f>_xll.qlCalendarAdvance(Calendar,X1126,W1127,"f",FALSE)</f>
        <v>46820</v>
      </c>
      <c r="Y1127" s="153">
        <f>_xll.qlCalendarAdvance(Calendar,X1127,NDays&amp;"D")</f>
        <v>46820</v>
      </c>
      <c r="Z1127" s="154">
        <v>3.1176335204743808E-2</v>
      </c>
      <c r="AA1127" s="156">
        <v>3.1029418106338635E-2</v>
      </c>
    </row>
    <row r="1128" spans="19:27" x14ac:dyDescent="0.2">
      <c r="S1128" s="1"/>
      <c r="T1128" s="117"/>
      <c r="W1128" s="75" t="str">
        <f t="shared" si="28"/>
        <v>1w</v>
      </c>
      <c r="X1128" s="148">
        <f>_xll.qlCalendarAdvance(Calendar,X1127,W1128,"f",FALSE)</f>
        <v>46827</v>
      </c>
      <c r="Y1128" s="153">
        <f>_xll.qlCalendarAdvance(Calendar,X1128,NDays&amp;"D")</f>
        <v>46827</v>
      </c>
      <c r="Z1128" s="154">
        <v>3.1180349374934812E-2</v>
      </c>
      <c r="AA1128" s="156">
        <v>3.1033587185457234E-2</v>
      </c>
    </row>
    <row r="1129" spans="19:27" x14ac:dyDescent="0.2">
      <c r="S1129" s="1"/>
      <c r="T1129" s="117"/>
      <c r="W1129" s="75" t="str">
        <f t="shared" si="28"/>
        <v>1w</v>
      </c>
      <c r="X1129" s="148">
        <f>_xll.qlCalendarAdvance(Calendar,X1128,W1129,"f",FALSE)</f>
        <v>46834</v>
      </c>
      <c r="Y1129" s="153">
        <f>_xll.qlCalendarAdvance(Calendar,X1129,NDays&amp;"D")</f>
        <v>46834</v>
      </c>
      <c r="Z1129" s="154">
        <v>3.1184334731414642E-2</v>
      </c>
      <c r="AA1129" s="156">
        <v>3.1037727669178672E-2</v>
      </c>
    </row>
    <row r="1130" spans="19:27" x14ac:dyDescent="0.2">
      <c r="S1130" s="1"/>
      <c r="T1130" s="117"/>
      <c r="W1130" s="75" t="str">
        <f t="shared" si="28"/>
        <v>1w</v>
      </c>
      <c r="X1130" s="148">
        <f>_xll.qlCalendarAdvance(Calendar,X1129,W1130,"f",FALSE)</f>
        <v>46841</v>
      </c>
      <c r="Y1130" s="153">
        <f>_xll.qlCalendarAdvance(Calendar,X1130,NDays&amp;"D")</f>
        <v>46841</v>
      </c>
      <c r="Z1130" s="154">
        <v>3.1188291274096086E-2</v>
      </c>
      <c r="AA1130" s="156">
        <v>3.1041839557421902E-2</v>
      </c>
    </row>
    <row r="1131" spans="19:27" x14ac:dyDescent="0.2">
      <c r="S1131" s="1"/>
      <c r="T1131" s="117"/>
      <c r="W1131" s="75" t="str">
        <f t="shared" si="28"/>
        <v>1w</v>
      </c>
      <c r="X1131" s="148">
        <f>_xll.qlCalendarAdvance(Calendar,X1130,W1131,"f",FALSE)</f>
        <v>46848</v>
      </c>
      <c r="Y1131" s="153">
        <f>_xll.qlCalendarAdvance(Calendar,X1131,NDays&amp;"D")</f>
        <v>46848</v>
      </c>
      <c r="Z1131" s="154">
        <v>3.1190614616807607E-2</v>
      </c>
      <c r="AA1131" s="156">
        <v>3.1045922850349017E-2</v>
      </c>
    </row>
    <row r="1132" spans="19:27" x14ac:dyDescent="0.2">
      <c r="S1132" s="1"/>
      <c r="T1132" s="117"/>
      <c r="W1132" s="75" t="str">
        <f t="shared" si="28"/>
        <v>1w</v>
      </c>
      <c r="X1132" s="148">
        <f>_xll.qlCalendarAdvance(Calendar,X1131,W1132,"f",FALSE)</f>
        <v>46855</v>
      </c>
      <c r="Y1132" s="153">
        <f>_xll.qlCalendarAdvance(Calendar,X1132,NDays&amp;"D")</f>
        <v>46855</v>
      </c>
      <c r="Z1132" s="154">
        <v>3.1194515257716875E-2</v>
      </c>
      <c r="AA1132" s="156">
        <v>3.1049977548041063E-2</v>
      </c>
    </row>
    <row r="1133" spans="19:27" x14ac:dyDescent="0.2">
      <c r="S1133" s="1"/>
      <c r="T1133" s="117"/>
      <c r="W1133" s="75" t="str">
        <f t="shared" si="28"/>
        <v>1w</v>
      </c>
      <c r="X1133" s="148">
        <f>_xll.qlCalendarAdvance(Calendar,X1132,W1133,"f",FALSE)</f>
        <v>46862</v>
      </c>
      <c r="Y1133" s="153">
        <f>_xll.qlCalendarAdvance(Calendar,X1133,NDays&amp;"D")</f>
        <v>46862</v>
      </c>
      <c r="Z1133" s="154">
        <v>3.1198387086991273E-2</v>
      </c>
      <c r="AA1133" s="156">
        <v>3.1054003650173856E-2</v>
      </c>
    </row>
    <row r="1134" spans="19:27" x14ac:dyDescent="0.2">
      <c r="S1134" s="1"/>
      <c r="T1134" s="117"/>
      <c r="W1134" s="75" t="str">
        <f t="shared" si="28"/>
        <v>1w</v>
      </c>
      <c r="X1134" s="148">
        <f>_xll.qlCalendarAdvance(Calendar,X1133,W1134,"f",FALSE)</f>
        <v>46869</v>
      </c>
      <c r="Y1134" s="153">
        <f>_xll.qlCalendarAdvance(Calendar,X1134,NDays&amp;"D")</f>
        <v>46869</v>
      </c>
      <c r="Z1134" s="154">
        <v>3.120223010454886E-2</v>
      </c>
      <c r="AA1134" s="156">
        <v>3.1058001156909487E-2</v>
      </c>
    </row>
    <row r="1135" spans="19:27" x14ac:dyDescent="0.2">
      <c r="S1135" s="1"/>
      <c r="T1135" s="117"/>
      <c r="W1135" s="75" t="str">
        <f t="shared" si="28"/>
        <v>1w</v>
      </c>
      <c r="X1135" s="148">
        <f>_xll.qlCalendarAdvance(Calendar,X1134,W1135,"f",FALSE)</f>
        <v>46876</v>
      </c>
      <c r="Y1135" s="153">
        <f>_xll.qlCalendarAdvance(Calendar,X1135,NDays&amp;"D")</f>
        <v>46876</v>
      </c>
      <c r="Z1135" s="154">
        <v>3.1207641777571921E-2</v>
      </c>
      <c r="AA1135" s="156">
        <v>3.106197006841005E-2</v>
      </c>
    </row>
    <row r="1136" spans="19:27" x14ac:dyDescent="0.2">
      <c r="S1136" s="1"/>
      <c r="T1136" s="117"/>
      <c r="W1136" s="75" t="str">
        <f t="shared" si="28"/>
        <v>1w</v>
      </c>
      <c r="X1136" s="148">
        <f>_xll.qlCalendarAdvance(Calendar,X1135,W1136,"f",FALSE)</f>
        <v>46883</v>
      </c>
      <c r="Y1136" s="153">
        <f>_xll.qlCalendarAdvance(Calendar,X1136,NDays&amp;"D")</f>
        <v>46883</v>
      </c>
      <c r="Z1136" s="154">
        <v>3.121142543569411E-2</v>
      </c>
      <c r="AA1136" s="156">
        <v>3.1065910384432405E-2</v>
      </c>
    </row>
    <row r="1137" spans="19:27" x14ac:dyDescent="0.2">
      <c r="S1137" s="1"/>
      <c r="T1137" s="117"/>
      <c r="W1137" s="75" t="str">
        <f t="shared" si="28"/>
        <v>1w</v>
      </c>
      <c r="X1137" s="148">
        <f>_xll.qlCalendarAdvance(Calendar,X1136,W1137,"f",FALSE)</f>
        <v>46890</v>
      </c>
      <c r="Y1137" s="153">
        <f>_xll.qlCalendarAdvance(Calendar,X1137,NDays&amp;"D")</f>
        <v>46890</v>
      </c>
      <c r="Z1137" s="154">
        <v>3.1215180279432965E-2</v>
      </c>
      <c r="AA1137" s="156">
        <v>3.1069822105138645E-2</v>
      </c>
    </row>
    <row r="1138" spans="19:27" x14ac:dyDescent="0.2">
      <c r="S1138" s="1"/>
      <c r="T1138" s="117"/>
      <c r="W1138" s="75" t="str">
        <f t="shared" si="28"/>
        <v>1w</v>
      </c>
      <c r="X1138" s="148">
        <f>_xll.qlCalendarAdvance(Calendar,X1137,W1138,"f",FALSE)</f>
        <v>46897</v>
      </c>
      <c r="Y1138" s="153">
        <f>_xll.qlCalendarAdvance(Calendar,X1138,NDays&amp;"D")</f>
        <v>46897</v>
      </c>
      <c r="Z1138" s="154">
        <v>3.1218906308706565E-2</v>
      </c>
      <c r="AA1138" s="156">
        <v>3.1073705230366677E-2</v>
      </c>
    </row>
    <row r="1139" spans="19:27" x14ac:dyDescent="0.2">
      <c r="S1139" s="1"/>
      <c r="T1139" s="117"/>
      <c r="W1139" s="75" t="str">
        <f t="shared" si="28"/>
        <v>1w</v>
      </c>
      <c r="X1139" s="148">
        <f>_xll.qlCalendarAdvance(Calendar,X1138,W1139,"f",FALSE)</f>
        <v>46904</v>
      </c>
      <c r="Y1139" s="153">
        <f>_xll.qlCalendarAdvance(Calendar,X1139,NDays&amp;"D")</f>
        <v>46904</v>
      </c>
      <c r="Z1139" s="154">
        <v>3.1222603523435623E-2</v>
      </c>
      <c r="AA1139" s="156">
        <v>3.1077559760197548E-2</v>
      </c>
    </row>
    <row r="1140" spans="19:27" x14ac:dyDescent="0.2">
      <c r="S1140" s="1"/>
      <c r="T1140" s="117"/>
      <c r="W1140" s="75" t="str">
        <f t="shared" si="28"/>
        <v>1w</v>
      </c>
      <c r="X1140" s="148">
        <f>_xll.qlCalendarAdvance(Calendar,X1139,W1140,"f",FALSE)</f>
        <v>46911</v>
      </c>
      <c r="Y1140" s="153">
        <f>_xll.qlCalendarAdvance(Calendar,X1140,NDays&amp;"D")</f>
        <v>46911</v>
      </c>
      <c r="Z1140" s="154">
        <v>3.122627192353997E-2</v>
      </c>
      <c r="AA1140" s="156">
        <v>3.1081385694712305E-2</v>
      </c>
    </row>
    <row r="1141" spans="19:27" x14ac:dyDescent="0.2">
      <c r="S1141" s="1"/>
      <c r="T1141" s="117"/>
      <c r="W1141" s="75" t="str">
        <f t="shared" si="28"/>
        <v>1w</v>
      </c>
      <c r="X1141" s="148">
        <f>_xll.qlCalendarAdvance(Calendar,X1140,W1141,"f",FALSE)</f>
        <v>46918</v>
      </c>
      <c r="Y1141" s="153">
        <f>_xll.qlCalendarAdvance(Calendar,X1141,NDays&amp;"D")</f>
        <v>46918</v>
      </c>
      <c r="Z1141" s="154">
        <v>3.1229911508940326E-2</v>
      </c>
      <c r="AA1141" s="156">
        <v>3.1085183033748853E-2</v>
      </c>
    </row>
    <row r="1142" spans="19:27" x14ac:dyDescent="0.2">
      <c r="S1142" s="1"/>
      <c r="T1142" s="117"/>
      <c r="W1142" s="75" t="str">
        <f t="shared" si="28"/>
        <v>1w</v>
      </c>
      <c r="X1142" s="148">
        <f>_xll.qlCalendarAdvance(Calendar,X1141,W1142,"f",FALSE)</f>
        <v>46925</v>
      </c>
      <c r="Y1142" s="153">
        <f>_xll.qlCalendarAdvance(Calendar,X1142,NDays&amp;"D")</f>
        <v>46925</v>
      </c>
      <c r="Z1142" s="154">
        <v>3.1233522279556523E-2</v>
      </c>
      <c r="AA1142" s="156">
        <v>3.1088951777388241E-2</v>
      </c>
    </row>
    <row r="1143" spans="19:27" x14ac:dyDescent="0.2">
      <c r="S1143" s="1"/>
      <c r="T1143" s="117"/>
      <c r="W1143" s="75" t="str">
        <f t="shared" si="28"/>
        <v>1w</v>
      </c>
      <c r="X1143" s="148">
        <f>_xll.qlCalendarAdvance(Calendar,X1142,W1143,"f",FALSE)</f>
        <v>46932</v>
      </c>
      <c r="Y1143" s="153">
        <f>_xll.qlCalendarAdvance(Calendar,X1143,NDays&amp;"D")</f>
        <v>46932</v>
      </c>
      <c r="Z1143" s="154">
        <v>3.1237104235312806E-2</v>
      </c>
      <c r="AA1143" s="156">
        <v>3.1092691925711513E-2</v>
      </c>
    </row>
    <row r="1144" spans="19:27" x14ac:dyDescent="0.2">
      <c r="S1144" s="1"/>
      <c r="T1144" s="117"/>
      <c r="W1144" s="75" t="str">
        <f t="shared" si="28"/>
        <v>1w</v>
      </c>
      <c r="X1144" s="148">
        <f>_xll.qlCalendarAdvance(Calendar,X1143,W1144,"f",FALSE)</f>
        <v>46939</v>
      </c>
      <c r="Y1144" s="153">
        <f>_xll.qlCalendarAdvance(Calendar,X1144,NDays&amp;"D")</f>
        <v>46939</v>
      </c>
      <c r="Z1144" s="154">
        <v>3.1240657376130763E-2</v>
      </c>
      <c r="AA1144" s="156">
        <v>3.109640347871867E-2</v>
      </c>
    </row>
    <row r="1145" spans="19:27" x14ac:dyDescent="0.2">
      <c r="S1145" s="1"/>
      <c r="T1145" s="117"/>
      <c r="W1145" s="75" t="str">
        <f t="shared" si="28"/>
        <v>1w</v>
      </c>
      <c r="X1145" s="148">
        <f>_xll.qlCalendarAdvance(Calendar,X1144,W1145,"f",FALSE)</f>
        <v>46946</v>
      </c>
      <c r="Y1145" s="153">
        <f>_xll.qlCalendarAdvance(Calendar,X1145,NDays&amp;"D")</f>
        <v>46946</v>
      </c>
      <c r="Z1145" s="154">
        <v>3.1244181701932876E-2</v>
      </c>
      <c r="AA1145" s="156">
        <v>3.1100086436166574E-2</v>
      </c>
    </row>
    <row r="1146" spans="19:27" x14ac:dyDescent="0.2">
      <c r="S1146" s="1"/>
      <c r="T1146" s="117"/>
      <c r="W1146" s="75" t="str">
        <f t="shared" si="28"/>
        <v>1w</v>
      </c>
      <c r="X1146" s="148">
        <f>_xll.qlCalendarAdvance(Calendar,X1145,W1146,"f",FALSE)</f>
        <v>46953</v>
      </c>
      <c r="Y1146" s="153">
        <f>_xll.qlCalendarAdvance(Calendar,X1146,NDays&amp;"D")</f>
        <v>46953</v>
      </c>
      <c r="Z1146" s="154">
        <v>3.1247677212643384E-2</v>
      </c>
      <c r="AA1146" s="156">
        <v>3.1103740798379409E-2</v>
      </c>
    </row>
    <row r="1147" spans="19:27" x14ac:dyDescent="0.2">
      <c r="S1147" s="1"/>
      <c r="T1147" s="117"/>
      <c r="W1147" s="75" t="str">
        <f t="shared" si="28"/>
        <v>1w</v>
      </c>
      <c r="X1147" s="148">
        <f>_xll.qlCalendarAdvance(Calendar,X1146,W1147,"f",FALSE)</f>
        <v>46960</v>
      </c>
      <c r="Y1147" s="153">
        <f>_xll.qlCalendarAdvance(Calendar,X1147,NDays&amp;"D")</f>
        <v>46960</v>
      </c>
      <c r="Z1147" s="154">
        <v>3.1251143908187409E-2</v>
      </c>
      <c r="AA1147" s="156">
        <v>3.110736656503299E-2</v>
      </c>
    </row>
    <row r="1148" spans="19:27" x14ac:dyDescent="0.2">
      <c r="S1148" s="1"/>
      <c r="T1148" s="117"/>
      <c r="W1148" s="75" t="str">
        <f t="shared" si="28"/>
        <v>1w</v>
      </c>
      <c r="X1148" s="148">
        <f>_xll.qlCalendarAdvance(Calendar,X1147,W1148,"f",FALSE)</f>
        <v>46967</v>
      </c>
      <c r="Y1148" s="153">
        <f>_xll.qlCalendarAdvance(Calendar,X1148,NDays&amp;"D")</f>
        <v>46967</v>
      </c>
      <c r="Z1148" s="154">
        <v>3.1254581788488306E-2</v>
      </c>
      <c r="AA1148" s="156">
        <v>3.1110963736370456E-2</v>
      </c>
    </row>
    <row r="1149" spans="19:27" x14ac:dyDescent="0.2">
      <c r="S1149" s="1"/>
      <c r="T1149" s="117"/>
      <c r="W1149" s="75" t="str">
        <f t="shared" si="28"/>
        <v>1w</v>
      </c>
      <c r="X1149" s="148">
        <f>_xll.qlCalendarAdvance(Calendar,X1148,W1149,"f",FALSE)</f>
        <v>46974</v>
      </c>
      <c r="Y1149" s="153">
        <f>_xll.qlCalendarAdvance(Calendar,X1149,NDays&amp;"D")</f>
        <v>46974</v>
      </c>
      <c r="Z1149" s="154">
        <v>3.125799085347384E-2</v>
      </c>
      <c r="AA1149" s="156">
        <v>3.1114532312310761E-2</v>
      </c>
    </row>
    <row r="1150" spans="19:27" x14ac:dyDescent="0.2">
      <c r="S1150" s="1"/>
      <c r="T1150" s="117"/>
      <c r="W1150" s="75" t="str">
        <f t="shared" si="28"/>
        <v>1w</v>
      </c>
      <c r="X1150" s="148">
        <f>_xll.qlCalendarAdvance(Calendar,X1149,W1150,"f",FALSE)</f>
        <v>46981</v>
      </c>
      <c r="Y1150" s="153">
        <f>_xll.qlCalendarAdvance(Calendar,X1150,NDays&amp;"D")</f>
        <v>46981</v>
      </c>
      <c r="Z1150" s="154">
        <v>3.1261371103068251E-2</v>
      </c>
      <c r="AA1150" s="156">
        <v>3.1118072292853904E-2</v>
      </c>
    </row>
    <row r="1151" spans="19:27" x14ac:dyDescent="0.2">
      <c r="S1151" s="1"/>
      <c r="T1151" s="117"/>
      <c r="W1151" s="75" t="str">
        <f t="shared" si="28"/>
        <v>1w</v>
      </c>
      <c r="X1151" s="148">
        <f>_xll.qlCalendarAdvance(Calendar,X1150,W1151,"f",FALSE)</f>
        <v>46988</v>
      </c>
      <c r="Y1151" s="153">
        <f>_xll.qlCalendarAdvance(Calendar,X1151,NDays&amp;"D")</f>
        <v>46988</v>
      </c>
      <c r="Z1151" s="154">
        <v>3.1264722537200182E-2</v>
      </c>
      <c r="AA1151" s="156">
        <v>3.112158367791884E-2</v>
      </c>
    </row>
    <row r="1152" spans="19:27" x14ac:dyDescent="0.2">
      <c r="S1152" s="1"/>
      <c r="T1152" s="117"/>
      <c r="W1152" s="75" t="str">
        <f t="shared" si="28"/>
        <v>1w</v>
      </c>
      <c r="X1152" s="148">
        <f>_xll.qlCalendarAdvance(Calendar,X1151,W1152,"f",FALSE)</f>
        <v>46995</v>
      </c>
      <c r="Y1152" s="153">
        <f>_xll.qlCalendarAdvance(Calendar,X1152,NDays&amp;"D")</f>
        <v>46995</v>
      </c>
      <c r="Z1152" s="154">
        <v>3.1268045155796509E-2</v>
      </c>
      <c r="AA1152" s="156">
        <v>3.1125066467667661E-2</v>
      </c>
    </row>
    <row r="1153" spans="19:27" x14ac:dyDescent="0.2">
      <c r="S1153" s="1"/>
      <c r="T1153" s="117"/>
      <c r="W1153" s="75" t="str">
        <f t="shared" si="28"/>
        <v>1w</v>
      </c>
      <c r="X1153" s="148">
        <f>_xll.qlCalendarAdvance(Calendar,X1152,W1153,"f",FALSE)</f>
        <v>47002</v>
      </c>
      <c r="Y1153" s="153">
        <f>_xll.qlCalendarAdvance(Calendar,X1153,NDays&amp;"D")</f>
        <v>47002</v>
      </c>
      <c r="Z1153" s="154">
        <v>3.1269773106230102E-2</v>
      </c>
      <c r="AA1153" s="156">
        <v>3.1128520662019321E-2</v>
      </c>
    </row>
    <row r="1154" spans="19:27" x14ac:dyDescent="0.2">
      <c r="S1154" s="1"/>
      <c r="T1154" s="117"/>
      <c r="W1154" s="75" t="str">
        <f t="shared" si="28"/>
        <v>1w</v>
      </c>
      <c r="X1154" s="148">
        <f>_xll.qlCalendarAdvance(Calendar,X1153,W1154,"f",FALSE)</f>
        <v>47009</v>
      </c>
      <c r="Y1154" s="153">
        <f>_xll.qlCalendarAdvance(Calendar,X1154,NDays&amp;"D")</f>
        <v>47009</v>
      </c>
      <c r="Z1154" s="154">
        <v>3.1273039873001778E-2</v>
      </c>
      <c r="AA1154" s="156">
        <v>3.113194626097382E-2</v>
      </c>
    </row>
    <row r="1155" spans="19:27" x14ac:dyDescent="0.2">
      <c r="S1155" s="1"/>
      <c r="T1155" s="117"/>
      <c r="W1155" s="75" t="str">
        <f t="shared" si="28"/>
        <v>1w</v>
      </c>
      <c r="X1155" s="148">
        <f>_xll.qlCalendarAdvance(Calendar,X1154,W1155,"f",FALSE)</f>
        <v>47016</v>
      </c>
      <c r="Y1155" s="153">
        <f>_xll.qlCalendarAdvance(Calendar,X1155,NDays&amp;"D")</f>
        <v>47016</v>
      </c>
      <c r="Z1155" s="154">
        <v>3.1276277826460648E-2</v>
      </c>
      <c r="AA1155" s="156">
        <v>3.113534326445011E-2</v>
      </c>
    </row>
    <row r="1156" spans="19:27" x14ac:dyDescent="0.2">
      <c r="S1156" s="1"/>
      <c r="T1156" s="117"/>
      <c r="W1156" s="75" t="str">
        <f t="shared" si="28"/>
        <v>1w</v>
      </c>
      <c r="X1156" s="148">
        <f>_xll.qlCalendarAdvance(Calendar,X1155,W1156,"f",FALSE)</f>
        <v>47023</v>
      </c>
      <c r="Y1156" s="153">
        <f>_xll.qlCalendarAdvance(Calendar,X1156,NDays&amp;"D")</f>
        <v>47023</v>
      </c>
      <c r="Z1156" s="154">
        <v>3.1279486966535472E-2</v>
      </c>
      <c r="AA1156" s="156">
        <v>3.1138711672610286E-2</v>
      </c>
    </row>
    <row r="1157" spans="19:27" x14ac:dyDescent="0.2">
      <c r="S1157" s="1"/>
      <c r="T1157" s="117"/>
      <c r="W1157" s="75" t="str">
        <f t="shared" si="28"/>
        <v>1w</v>
      </c>
      <c r="X1157" s="148">
        <f>_xll.qlCalendarAdvance(Calendar,X1156,W1157,"f",FALSE)</f>
        <v>47030</v>
      </c>
      <c r="Y1157" s="153">
        <f>_xll.qlCalendarAdvance(Calendar,X1157,NDays&amp;"D")</f>
        <v>47030</v>
      </c>
      <c r="Z1157" s="154">
        <v>3.1284226013252037E-2</v>
      </c>
      <c r="AA1157" s="156">
        <v>3.1142051485373301E-2</v>
      </c>
    </row>
    <row r="1158" spans="19:27" x14ac:dyDescent="0.2">
      <c r="S1158" s="1"/>
      <c r="T1158" s="117"/>
      <c r="W1158" s="75" t="str">
        <f t="shared" si="28"/>
        <v>1w</v>
      </c>
      <c r="X1158" s="148">
        <f>_xll.qlCalendarAdvance(Calendar,X1157,W1158,"f",FALSE)</f>
        <v>47037</v>
      </c>
      <c r="Y1158" s="153">
        <f>_xll.qlCalendarAdvance(Calendar,X1158,NDays&amp;"D")</f>
        <v>47037</v>
      </c>
      <c r="Z1158" s="154">
        <v>3.1287375737147759E-2</v>
      </c>
      <c r="AA1158" s="156">
        <v>3.1145362702658108E-2</v>
      </c>
    </row>
    <row r="1159" spans="19:27" x14ac:dyDescent="0.2">
      <c r="S1159" s="1"/>
      <c r="T1159" s="117"/>
      <c r="W1159" s="75" t="str">
        <f t="shared" si="28"/>
        <v>1w</v>
      </c>
      <c r="X1159" s="148">
        <f>_xll.qlCalendarAdvance(Calendar,X1158,W1159,"f",FALSE)</f>
        <v>47044</v>
      </c>
      <c r="Y1159" s="153">
        <f>_xll.qlCalendarAdvance(Calendar,X1159,NDays&amp;"D")</f>
        <v>47044</v>
      </c>
      <c r="Z1159" s="154">
        <v>3.1290496645018082E-2</v>
      </c>
      <c r="AA1159" s="156">
        <v>3.1148645324545754E-2</v>
      </c>
    </row>
    <row r="1160" spans="19:27" x14ac:dyDescent="0.2">
      <c r="S1160" s="1"/>
      <c r="T1160" s="117"/>
      <c r="W1160" s="75" t="str">
        <f t="shared" si="28"/>
        <v>1w</v>
      </c>
      <c r="X1160" s="148">
        <f>_xll.qlCalendarAdvance(Calendar,X1159,W1160,"f",FALSE)</f>
        <v>47051</v>
      </c>
      <c r="Y1160" s="153">
        <f>_xll.qlCalendarAdvance(Calendar,X1160,NDays&amp;"D")</f>
        <v>47051</v>
      </c>
      <c r="Z1160" s="154">
        <v>3.1293588736796933E-2</v>
      </c>
      <c r="AA1160" s="156">
        <v>3.1151899351117285E-2</v>
      </c>
    </row>
    <row r="1161" spans="19:27" x14ac:dyDescent="0.2">
      <c r="S1161" s="1"/>
      <c r="T1161" s="117"/>
      <c r="W1161" s="75" t="str">
        <f t="shared" si="28"/>
        <v>1w</v>
      </c>
      <c r="X1161" s="148">
        <f>_xll.qlCalendarAdvance(Calendar,X1160,W1161,"f",FALSE)</f>
        <v>47058</v>
      </c>
      <c r="Y1161" s="153">
        <f>_xll.qlCalendarAdvance(Calendar,X1161,NDays&amp;"D")</f>
        <v>47058</v>
      </c>
      <c r="Z1161" s="154">
        <v>3.1296652012414723E-2</v>
      </c>
      <c r="AA1161" s="156">
        <v>3.1155124782129562E-2</v>
      </c>
    </row>
    <row r="1162" spans="19:27" x14ac:dyDescent="0.2">
      <c r="S1162" s="1"/>
      <c r="T1162" s="117"/>
      <c r="W1162" s="75" t="str">
        <f t="shared" si="28"/>
        <v>1w</v>
      </c>
      <c r="X1162" s="148">
        <f>_xll.qlCalendarAdvance(Calendar,X1161,W1162,"f",FALSE)</f>
        <v>47065</v>
      </c>
      <c r="Y1162" s="153">
        <f>_xll.qlCalendarAdvance(Calendar,X1162,NDays&amp;"D")</f>
        <v>47065</v>
      </c>
      <c r="Z1162" s="154">
        <v>3.1299686471807142E-2</v>
      </c>
      <c r="AA1162" s="156">
        <v>3.1158321617825724E-2</v>
      </c>
    </row>
    <row r="1163" spans="19:27" x14ac:dyDescent="0.2">
      <c r="S1163" s="1"/>
      <c r="T1163" s="117"/>
      <c r="W1163" s="75" t="str">
        <f t="shared" si="28"/>
        <v>1w</v>
      </c>
      <c r="X1163" s="148">
        <f>_xll.qlCalendarAdvance(Calendar,X1162,W1163,"f",FALSE)</f>
        <v>47072</v>
      </c>
      <c r="Y1163" s="153">
        <f>_xll.qlCalendarAdvance(Calendar,X1163,NDays&amp;"D")</f>
        <v>47072</v>
      </c>
      <c r="Z1163" s="154">
        <v>3.1302692114906362E-2</v>
      </c>
      <c r="AA1163" s="156">
        <v>3.1161489858043678E-2</v>
      </c>
    </row>
    <row r="1164" spans="19:27" x14ac:dyDescent="0.2">
      <c r="S1164" s="1"/>
      <c r="T1164" s="117"/>
      <c r="W1164" s="75" t="str">
        <f t="shared" si="28"/>
        <v>1w</v>
      </c>
      <c r="X1164" s="148">
        <f>_xll.qlCalendarAdvance(Calendar,X1163,W1164,"f",FALSE)</f>
        <v>47079</v>
      </c>
      <c r="Y1164" s="153">
        <f>_xll.qlCalendarAdvance(Calendar,X1164,NDays&amp;"D")</f>
        <v>47079</v>
      </c>
      <c r="Z1164" s="154">
        <v>3.1305668941651585E-2</v>
      </c>
      <c r="AA1164" s="156">
        <v>3.1164629503026564E-2</v>
      </c>
    </row>
    <row r="1165" spans="19:27" x14ac:dyDescent="0.2">
      <c r="S1165" s="1"/>
      <c r="T1165" s="117"/>
      <c r="W1165" s="75" t="str">
        <f t="shared" si="28"/>
        <v>1w</v>
      </c>
      <c r="X1165" s="148">
        <f>_xll.qlCalendarAdvance(Calendar,X1164,W1165,"f",FALSE)</f>
        <v>47086</v>
      </c>
      <c r="Y1165" s="153">
        <f>_xll.qlCalendarAdvance(Calendar,X1165,NDays&amp;"D")</f>
        <v>47086</v>
      </c>
      <c r="Z1165" s="154">
        <v>3.1307072613856381E-2</v>
      </c>
      <c r="AA1165" s="156">
        <v>3.1167740552450196E-2</v>
      </c>
    </row>
    <row r="1166" spans="19:27" x14ac:dyDescent="0.2">
      <c r="S1166" s="1"/>
      <c r="T1166" s="117"/>
      <c r="W1166" s="75" t="str">
        <f t="shared" si="28"/>
        <v>1w</v>
      </c>
      <c r="X1166" s="148">
        <f>_xll.qlCalendarAdvance(Calendar,X1165,W1166,"f",FALSE)</f>
        <v>47093</v>
      </c>
      <c r="Y1166" s="153">
        <f>_xll.qlCalendarAdvance(Calendar,X1166,NDays&amp;"D")</f>
        <v>47093</v>
      </c>
      <c r="Z1166" s="154">
        <v>3.1308451002093007E-2</v>
      </c>
      <c r="AA1166" s="156">
        <v>3.1170823006476667E-2</v>
      </c>
    </row>
    <row r="1167" spans="19:27" x14ac:dyDescent="0.2">
      <c r="S1167" s="1"/>
      <c r="T1167" s="117"/>
      <c r="W1167" s="75" t="str">
        <f t="shared" si="28"/>
        <v>1w</v>
      </c>
      <c r="X1167" s="148">
        <f>_xll.qlCalendarAdvance(Calendar,X1166,W1167,"f",FALSE)</f>
        <v>47100</v>
      </c>
      <c r="Y1167" s="153">
        <f>_xll.qlCalendarAdvance(Calendar,X1167,NDays&amp;"D")</f>
        <v>47100</v>
      </c>
      <c r="Z1167" s="154">
        <v>3.1311345001410799E-2</v>
      </c>
      <c r="AA1167" s="156">
        <v>3.1173876865105976E-2</v>
      </c>
    </row>
    <row r="1168" spans="19:27" x14ac:dyDescent="0.2">
      <c r="S1168" s="1"/>
      <c r="T1168" s="117"/>
      <c r="W1168" s="75" t="str">
        <f t="shared" si="28"/>
        <v>1w</v>
      </c>
      <c r="X1168" s="148">
        <f>_xll.qlCalendarAdvance(Calendar,X1167,W1168,"f",FALSE)</f>
        <v>47107</v>
      </c>
      <c r="Y1168" s="153">
        <f>_xll.qlCalendarAdvance(Calendar,X1168,NDays&amp;"D")</f>
        <v>47107</v>
      </c>
      <c r="Z1168" s="154">
        <v>3.1314210189006306E-2</v>
      </c>
      <c r="AA1168" s="156">
        <v>3.1176902128338124E-2</v>
      </c>
    </row>
    <row r="1169" spans="19:27" x14ac:dyDescent="0.2">
      <c r="S1169" s="1"/>
      <c r="T1169" s="117"/>
      <c r="W1169" s="75" t="str">
        <f t="shared" si="28"/>
        <v>1w</v>
      </c>
      <c r="X1169" s="148">
        <f>_xll.qlCalendarAdvance(Calendar,X1168,W1169,"f",FALSE)</f>
        <v>47114</v>
      </c>
      <c r="Y1169" s="153">
        <f>_xll.qlCalendarAdvance(Calendar,X1169,NDays&amp;"D")</f>
        <v>47114</v>
      </c>
      <c r="Z1169" s="154">
        <v>3.1317046564820081E-2</v>
      </c>
      <c r="AA1169" s="156">
        <v>3.1179898796173111E-2</v>
      </c>
    </row>
    <row r="1170" spans="19:27" x14ac:dyDescent="0.2">
      <c r="S1170" s="1"/>
      <c r="T1170" s="117"/>
      <c r="W1170" s="75" t="str">
        <f t="shared" si="28"/>
        <v>1w</v>
      </c>
      <c r="X1170" s="148">
        <f>_xll.qlCalendarAdvance(Calendar,X1169,W1170,"f",FALSE)</f>
        <v>47121</v>
      </c>
      <c r="Y1170" s="153">
        <f>_xll.qlCalendarAdvance(Calendar,X1170,NDays&amp;"D")</f>
        <v>47121</v>
      </c>
      <c r="Z1170" s="154">
        <v>3.1319854128789994E-2</v>
      </c>
      <c r="AA1170" s="156">
        <v>3.118286686852989E-2</v>
      </c>
    </row>
    <row r="1171" spans="19:27" x14ac:dyDescent="0.2">
      <c r="S1171" s="1"/>
      <c r="T1171" s="117"/>
      <c r="W1171" s="75" t="str">
        <f t="shared" si="28"/>
        <v>1w</v>
      </c>
      <c r="X1171" s="148">
        <f>_xll.qlCalendarAdvance(Calendar,X1170,W1171,"f",FALSE)</f>
        <v>47128</v>
      </c>
      <c r="Y1171" s="153">
        <f>_xll.qlCalendarAdvance(Calendar,X1171,NDays&amp;"D")</f>
        <v>47128</v>
      </c>
      <c r="Z1171" s="154">
        <v>3.1322632880859312E-2</v>
      </c>
      <c r="AA1171" s="156">
        <v>3.1185806345489508E-2</v>
      </c>
    </row>
    <row r="1172" spans="19:27" x14ac:dyDescent="0.2">
      <c r="S1172" s="1"/>
      <c r="T1172" s="117"/>
      <c r="W1172" s="75" t="str">
        <f t="shared" si="28"/>
        <v>1w</v>
      </c>
      <c r="X1172" s="148">
        <f>_xll.qlCalendarAdvance(Calendar,X1171,W1172,"f",FALSE)</f>
        <v>47135</v>
      </c>
      <c r="Y1172" s="153">
        <f>_xll.qlCalendarAdvance(Calendar,X1172,NDays&amp;"D")</f>
        <v>47135</v>
      </c>
      <c r="Z1172" s="154">
        <v>3.1325382820967702E-2</v>
      </c>
      <c r="AA1172" s="156">
        <v>3.1188717227133012E-2</v>
      </c>
    </row>
    <row r="1173" spans="19:27" x14ac:dyDescent="0.2">
      <c r="S1173" s="1"/>
      <c r="T1173" s="117"/>
      <c r="W1173" s="75" t="str">
        <f t="shared" ref="W1173:W1236" si="29">W1172</f>
        <v>1w</v>
      </c>
      <c r="X1173" s="148">
        <f>_xll.qlCalendarAdvance(Calendar,X1172,W1173,"f",FALSE)</f>
        <v>47142</v>
      </c>
      <c r="Y1173" s="153">
        <f>_xll.qlCalendarAdvance(Calendar,X1173,NDays&amp;"D")</f>
        <v>47142</v>
      </c>
      <c r="Z1173" s="154">
        <v>3.1328103949057537E-2</v>
      </c>
      <c r="AA1173" s="156">
        <v>3.1191599513217261E-2</v>
      </c>
    </row>
    <row r="1174" spans="19:27" x14ac:dyDescent="0.2">
      <c r="S1174" s="1"/>
      <c r="T1174" s="117"/>
      <c r="W1174" s="75" t="str">
        <f t="shared" si="29"/>
        <v>1w</v>
      </c>
      <c r="X1174" s="148">
        <f>_xll.qlCalendarAdvance(Calendar,X1173,W1174,"f",FALSE)</f>
        <v>47149</v>
      </c>
      <c r="Y1174" s="153">
        <f>_xll.qlCalendarAdvance(Calendar,X1174,NDays&amp;"D")</f>
        <v>47149</v>
      </c>
      <c r="Z1174" s="154">
        <v>3.1329268118459395E-2</v>
      </c>
      <c r="AA1174" s="156">
        <v>3.1194453203985395E-2</v>
      </c>
    </row>
    <row r="1175" spans="19:27" x14ac:dyDescent="0.2">
      <c r="S1175" s="1"/>
      <c r="T1175" s="117"/>
      <c r="W1175" s="75" t="str">
        <f t="shared" si="29"/>
        <v>1w</v>
      </c>
      <c r="X1175" s="148">
        <f>_xll.qlCalendarAdvance(Calendar,X1174,W1175,"f",FALSE)</f>
        <v>47156</v>
      </c>
      <c r="Y1175" s="153">
        <f>_xll.qlCalendarAdvance(Calendar,X1175,NDays&amp;"D")</f>
        <v>47156</v>
      </c>
      <c r="Z1175" s="154">
        <v>3.133345976895098E-2</v>
      </c>
      <c r="AA1175" s="156">
        <v>3.1197278299356368E-2</v>
      </c>
    </row>
    <row r="1176" spans="19:27" x14ac:dyDescent="0.2">
      <c r="S1176" s="1"/>
      <c r="T1176" s="117"/>
      <c r="W1176" s="75" t="str">
        <f t="shared" si="29"/>
        <v>1w</v>
      </c>
      <c r="X1176" s="148">
        <f>_xll.qlCalendarAdvance(Calendar,X1175,W1176,"f",FALSE)</f>
        <v>47163</v>
      </c>
      <c r="Y1176" s="153">
        <f>_xll.qlCalendarAdvance(Calendar,X1176,NDays&amp;"D")</f>
        <v>47163</v>
      </c>
      <c r="Z1176" s="154">
        <v>3.1334569976656602E-2</v>
      </c>
      <c r="AA1176" s="156">
        <v>3.1200074799168087E-2</v>
      </c>
    </row>
    <row r="1177" spans="19:27" x14ac:dyDescent="0.2">
      <c r="S1177" s="1"/>
      <c r="T1177" s="117"/>
      <c r="W1177" s="75" t="str">
        <f t="shared" si="29"/>
        <v>1w</v>
      </c>
      <c r="X1177" s="148">
        <f>_xll.qlCalendarAdvance(Calendar,X1176,W1177,"f",FALSE)</f>
        <v>47170</v>
      </c>
      <c r="Y1177" s="153">
        <f>_xll.qlCalendarAdvance(Calendar,X1177,NDays&amp;"D")</f>
        <v>47170</v>
      </c>
      <c r="Z1177" s="154">
        <v>3.1337177691088305E-2</v>
      </c>
      <c r="AA1177" s="156">
        <v>3.1202842703663691E-2</v>
      </c>
    </row>
    <row r="1178" spans="19:27" x14ac:dyDescent="0.2">
      <c r="S1178" s="1"/>
      <c r="T1178" s="117"/>
      <c r="W1178" s="75" t="str">
        <f t="shared" si="29"/>
        <v>1w</v>
      </c>
      <c r="X1178" s="148">
        <f>_xll.qlCalendarAdvance(Calendar,X1177,W1178,"f",FALSE)</f>
        <v>47177</v>
      </c>
      <c r="Y1178" s="153">
        <f>_xll.qlCalendarAdvance(Calendar,X1178,NDays&amp;"D")</f>
        <v>47177</v>
      </c>
      <c r="Z1178" s="154">
        <v>3.1344318763724191E-2</v>
      </c>
      <c r="AA1178" s="156">
        <v>3.1205582012762134E-2</v>
      </c>
    </row>
    <row r="1179" spans="19:27" x14ac:dyDescent="0.2">
      <c r="S1179" s="1"/>
      <c r="T1179" s="117"/>
      <c r="W1179" s="75" t="str">
        <f t="shared" si="29"/>
        <v>1w</v>
      </c>
      <c r="X1179" s="148">
        <f>_xll.qlCalendarAdvance(Calendar,X1178,W1179,"f",FALSE)</f>
        <v>47184</v>
      </c>
      <c r="Y1179" s="153">
        <f>_xll.qlCalendarAdvance(Calendar,X1179,NDays&amp;"D")</f>
        <v>47184</v>
      </c>
      <c r="Z1179" s="154">
        <v>3.1346863337746493E-2</v>
      </c>
      <c r="AA1179" s="156">
        <v>3.120829272638237E-2</v>
      </c>
    </row>
    <row r="1180" spans="19:27" x14ac:dyDescent="0.2">
      <c r="S1180" s="1"/>
      <c r="T1180" s="117"/>
      <c r="W1180" s="75" t="str">
        <f t="shared" si="29"/>
        <v>1w</v>
      </c>
      <c r="X1180" s="148">
        <f>_xll.qlCalendarAdvance(Calendar,X1179,W1180,"f",FALSE)</f>
        <v>47191</v>
      </c>
      <c r="Y1180" s="153">
        <f>_xll.qlCalendarAdvance(Calendar,X1180,NDays&amp;"D")</f>
        <v>47191</v>
      </c>
      <c r="Z1180" s="154">
        <v>3.1349379094457223E-2</v>
      </c>
      <c r="AA1180" s="156">
        <v>3.1210974844605444E-2</v>
      </c>
    </row>
    <row r="1181" spans="19:27" x14ac:dyDescent="0.2">
      <c r="S1181" s="1"/>
      <c r="T1181" s="117"/>
      <c r="W1181" s="75" t="str">
        <f t="shared" si="29"/>
        <v>1w</v>
      </c>
      <c r="X1181" s="148">
        <f>_xll.qlCalendarAdvance(Calendar,X1180,W1181,"f",FALSE)</f>
        <v>47198</v>
      </c>
      <c r="Y1181" s="153">
        <f>_xll.qlCalendarAdvance(Calendar,X1181,NDays&amp;"D")</f>
        <v>47198</v>
      </c>
      <c r="Z1181" s="154">
        <v>3.1351866033801766E-2</v>
      </c>
      <c r="AA1181" s="156">
        <v>3.1213628367431356E-2</v>
      </c>
    </row>
    <row r="1182" spans="19:27" x14ac:dyDescent="0.2">
      <c r="S1182" s="1"/>
      <c r="T1182" s="117"/>
      <c r="W1182" s="75" t="str">
        <f t="shared" si="29"/>
        <v>1w</v>
      </c>
      <c r="X1182" s="148">
        <f>_xll.qlCalendarAdvance(Calendar,X1181,W1182,"f",FALSE)</f>
        <v>47205</v>
      </c>
      <c r="Y1182" s="153">
        <f>_xll.qlCalendarAdvance(Calendar,X1182,NDays&amp;"D")</f>
        <v>47205</v>
      </c>
      <c r="Z1182" s="154">
        <v>3.1354324155726386E-2</v>
      </c>
      <c r="AA1182" s="156">
        <v>3.1216253294779062E-2</v>
      </c>
    </row>
    <row r="1183" spans="19:27" x14ac:dyDescent="0.2">
      <c r="S1183" s="1"/>
      <c r="T1183" s="117"/>
      <c r="W1183" s="75" t="str">
        <f t="shared" si="29"/>
        <v>1w</v>
      </c>
      <c r="X1183" s="148">
        <f>_xll.qlCalendarAdvance(Calendar,X1182,W1183,"f",FALSE)</f>
        <v>47212</v>
      </c>
      <c r="Y1183" s="153">
        <f>_xll.qlCalendarAdvance(Calendar,X1183,NDays&amp;"D")</f>
        <v>47212</v>
      </c>
      <c r="Z1183" s="154">
        <v>3.1355242053651596E-2</v>
      </c>
      <c r="AA1183" s="156">
        <v>3.1218849626729606E-2</v>
      </c>
    </row>
    <row r="1184" spans="19:27" x14ac:dyDescent="0.2">
      <c r="S1184" s="1"/>
      <c r="T1184" s="117"/>
      <c r="W1184" s="75" t="str">
        <f t="shared" si="29"/>
        <v>1w</v>
      </c>
      <c r="X1184" s="148">
        <f>_xll.qlCalendarAdvance(Calendar,X1183,W1184,"f",FALSE)</f>
        <v>47219</v>
      </c>
      <c r="Y1184" s="153">
        <f>_xll.qlCalendarAdvance(Calendar,X1184,NDays&amp;"D")</f>
        <v>47219</v>
      </c>
      <c r="Z1184" s="154">
        <v>3.135764439339097E-2</v>
      </c>
      <c r="AA1184" s="156">
        <v>3.1221417363282988E-2</v>
      </c>
    </row>
    <row r="1185" spans="19:27" x14ac:dyDescent="0.2">
      <c r="S1185" s="1"/>
      <c r="T1185" s="117"/>
      <c r="W1185" s="75" t="str">
        <f t="shared" si="29"/>
        <v>1w</v>
      </c>
      <c r="X1185" s="148">
        <f>_xll.qlCalendarAdvance(Calendar,X1184,W1185,"f",FALSE)</f>
        <v>47226</v>
      </c>
      <c r="Y1185" s="153">
        <f>_xll.qlCalendarAdvance(Calendar,X1185,NDays&amp;"D")</f>
        <v>47226</v>
      </c>
      <c r="Z1185" s="154">
        <v>3.1360017918006917E-2</v>
      </c>
      <c r="AA1185" s="156">
        <v>3.122395650443921E-2</v>
      </c>
    </row>
    <row r="1186" spans="19:27" x14ac:dyDescent="0.2">
      <c r="S1186" s="1"/>
      <c r="T1186" s="117"/>
      <c r="W1186" s="75" t="str">
        <f t="shared" si="29"/>
        <v>1w</v>
      </c>
      <c r="X1186" s="148">
        <f>_xll.qlCalendarAdvance(Calendar,X1185,W1186,"f",FALSE)</f>
        <v>47233</v>
      </c>
      <c r="Y1186" s="153">
        <f>_xll.qlCalendarAdvance(Calendar,X1186,NDays&amp;"D")</f>
        <v>47233</v>
      </c>
      <c r="Z1186" s="154">
        <v>3.1362362627448674E-2</v>
      </c>
      <c r="AA1186" s="156">
        <v>3.1226467050036177E-2</v>
      </c>
    </row>
    <row r="1187" spans="19:27" x14ac:dyDescent="0.2">
      <c r="S1187" s="1"/>
      <c r="T1187" s="117"/>
      <c r="W1187" s="75" t="str">
        <f t="shared" si="29"/>
        <v>1w</v>
      </c>
      <c r="X1187" s="148">
        <f>_xll.qlCalendarAdvance(Calendar,X1186,W1187,"f",FALSE)</f>
        <v>47240</v>
      </c>
      <c r="Y1187" s="153">
        <f>_xll.qlCalendarAdvance(Calendar,X1187,NDays&amp;"D")</f>
        <v>47240</v>
      </c>
      <c r="Z1187" s="154">
        <v>3.1366182502216518E-2</v>
      </c>
      <c r="AA1187" s="156">
        <v>3.122894900031703E-2</v>
      </c>
    </row>
    <row r="1188" spans="19:27" x14ac:dyDescent="0.2">
      <c r="S1188" s="1"/>
      <c r="T1188" s="117"/>
      <c r="W1188" s="75" t="str">
        <f t="shared" si="29"/>
        <v>1w</v>
      </c>
      <c r="X1188" s="148">
        <f>_xll.qlCalendarAdvance(Calendar,X1187,W1188,"f",FALSE)</f>
        <v>47247</v>
      </c>
      <c r="Y1188" s="153">
        <f>_xll.qlCalendarAdvance(Calendar,X1188,NDays&amp;"D")</f>
        <v>47247</v>
      </c>
      <c r="Z1188" s="154">
        <v>3.1368467718529233E-2</v>
      </c>
      <c r="AA1188" s="156">
        <v>3.1231402355200721E-2</v>
      </c>
    </row>
    <row r="1189" spans="19:27" x14ac:dyDescent="0.2">
      <c r="S1189" s="1"/>
      <c r="T1189" s="117"/>
      <c r="W1189" s="75" t="str">
        <f t="shared" si="29"/>
        <v>1w</v>
      </c>
      <c r="X1189" s="148">
        <f>_xll.qlCalendarAdvance(Calendar,X1188,W1189,"f",FALSE)</f>
        <v>47254</v>
      </c>
      <c r="Y1189" s="153">
        <f>_xll.qlCalendarAdvance(Calendar,X1189,NDays&amp;"D")</f>
        <v>47254</v>
      </c>
      <c r="Z1189" s="154">
        <v>3.137072411706348E-2</v>
      </c>
      <c r="AA1189" s="156">
        <v>3.1233827114606205E-2</v>
      </c>
    </row>
    <row r="1190" spans="19:27" x14ac:dyDescent="0.2">
      <c r="S1190" s="1"/>
      <c r="T1190" s="117"/>
      <c r="W1190" s="75" t="str">
        <f t="shared" si="29"/>
        <v>1w</v>
      </c>
      <c r="X1190" s="148">
        <f>_xll.qlCalendarAdvance(Calendar,X1189,W1190,"f",FALSE)</f>
        <v>47261</v>
      </c>
      <c r="Y1190" s="153">
        <f>_xll.qlCalendarAdvance(Calendar,X1190,NDays&amp;"D")</f>
        <v>47261</v>
      </c>
      <c r="Z1190" s="154">
        <v>3.1372951697768166E-2</v>
      </c>
      <c r="AA1190" s="156">
        <v>3.1236223278533481E-2</v>
      </c>
    </row>
    <row r="1191" spans="19:27" x14ac:dyDescent="0.2">
      <c r="S1191" s="1"/>
      <c r="T1191" s="117"/>
      <c r="W1191" s="75" t="str">
        <f t="shared" si="29"/>
        <v>1w</v>
      </c>
      <c r="X1191" s="148">
        <f>_xll.qlCalendarAdvance(Calendar,X1190,W1191,"f",FALSE)</f>
        <v>47268</v>
      </c>
      <c r="Y1191" s="153">
        <f>_xll.qlCalendarAdvance(Calendar,X1191,NDays&amp;"D")</f>
        <v>47268</v>
      </c>
      <c r="Z1191" s="154">
        <v>3.1375150460599251E-2</v>
      </c>
      <c r="AA1191" s="156">
        <v>3.1238590847144643E-2</v>
      </c>
    </row>
    <row r="1192" spans="19:27" x14ac:dyDescent="0.2">
      <c r="S1192" s="1"/>
      <c r="T1192" s="117"/>
      <c r="W1192" s="75" t="str">
        <f t="shared" si="29"/>
        <v>1w</v>
      </c>
      <c r="X1192" s="148">
        <f>_xll.qlCalendarAdvance(Calendar,X1191,W1192,"f",FALSE)</f>
        <v>47275</v>
      </c>
      <c r="Y1192" s="153">
        <f>_xll.qlCalendarAdvance(Calendar,X1192,NDays&amp;"D")</f>
        <v>47275</v>
      </c>
      <c r="Z1192" s="154">
        <v>3.1377320405506511E-2</v>
      </c>
      <c r="AA1192" s="156">
        <v>3.1240929820277596E-2</v>
      </c>
    </row>
    <row r="1193" spans="19:27" x14ac:dyDescent="0.2">
      <c r="S1193" s="1"/>
      <c r="T1193" s="117"/>
      <c r="W1193" s="75" t="str">
        <f t="shared" si="29"/>
        <v>1w</v>
      </c>
      <c r="X1193" s="148">
        <f>_xll.qlCalendarAdvance(Calendar,X1192,W1193,"f",FALSE)</f>
        <v>47282</v>
      </c>
      <c r="Y1193" s="153">
        <f>_xll.qlCalendarAdvance(Calendar,X1193,NDays&amp;"D")</f>
        <v>47282</v>
      </c>
      <c r="Z1193" s="154">
        <v>3.137946153244503E-2</v>
      </c>
      <c r="AA1193" s="156">
        <v>3.1243240198013389E-2</v>
      </c>
    </row>
    <row r="1194" spans="19:27" x14ac:dyDescent="0.2">
      <c r="S1194" s="1"/>
      <c r="T1194" s="117"/>
      <c r="W1194" s="75" t="str">
        <f t="shared" si="29"/>
        <v>1w</v>
      </c>
      <c r="X1194" s="148">
        <f>_xll.qlCalendarAdvance(Calendar,X1193,W1194,"f",FALSE)</f>
        <v>47289</v>
      </c>
      <c r="Y1194" s="153">
        <f>_xll.qlCalendarAdvance(Calendar,X1194,NDays&amp;"D")</f>
        <v>47289</v>
      </c>
      <c r="Z1194" s="154">
        <v>3.1381573841366341E-2</v>
      </c>
      <c r="AA1194" s="156">
        <v>3.1245521980189928E-2</v>
      </c>
    </row>
    <row r="1195" spans="19:27" x14ac:dyDescent="0.2">
      <c r="S1195" s="1"/>
      <c r="T1195" s="117"/>
      <c r="W1195" s="75" t="str">
        <f t="shared" si="29"/>
        <v>1w</v>
      </c>
      <c r="X1195" s="148">
        <f>_xll.qlCalendarAdvance(Calendar,X1194,W1195,"f",FALSE)</f>
        <v>47296</v>
      </c>
      <c r="Y1195" s="153">
        <f>_xll.qlCalendarAdvance(Calendar,X1195,NDays&amp;"D")</f>
        <v>47296</v>
      </c>
      <c r="Z1195" s="154">
        <v>3.1383657332225527E-2</v>
      </c>
      <c r="AA1195" s="156">
        <v>3.1247775167050351E-2</v>
      </c>
    </row>
    <row r="1196" spans="19:27" x14ac:dyDescent="0.2">
      <c r="S1196" s="1"/>
      <c r="T1196" s="117"/>
      <c r="W1196" s="75" t="str">
        <f t="shared" si="29"/>
        <v>1w</v>
      </c>
      <c r="X1196" s="148">
        <f>_xll.qlCalendarAdvance(Calendar,X1195,W1196,"f",FALSE)</f>
        <v>47303</v>
      </c>
      <c r="Y1196" s="153">
        <f>_xll.qlCalendarAdvance(Calendar,X1196,NDays&amp;"D")</f>
        <v>47303</v>
      </c>
      <c r="Z1196" s="154">
        <v>3.138571200497766E-2</v>
      </c>
      <c r="AA1196" s="156">
        <v>3.1249999758513614E-2</v>
      </c>
    </row>
    <row r="1197" spans="19:27" x14ac:dyDescent="0.2">
      <c r="S1197" s="1"/>
      <c r="T1197" s="117"/>
      <c r="W1197" s="75" t="str">
        <f t="shared" si="29"/>
        <v>1w</v>
      </c>
      <c r="X1197" s="148">
        <f>_xll.qlCalendarAdvance(Calendar,X1196,W1197,"f",FALSE)</f>
        <v>47310</v>
      </c>
      <c r="Y1197" s="153">
        <f>_xll.qlCalendarAdvance(Calendar,X1197,NDays&amp;"D")</f>
        <v>47310</v>
      </c>
      <c r="Z1197" s="154">
        <v>3.1387737835916703E-2</v>
      </c>
      <c r="AA1197" s="156">
        <v>3.1252195754498668E-2</v>
      </c>
    </row>
    <row r="1198" spans="19:27" x14ac:dyDescent="0.2">
      <c r="S1198" s="1"/>
      <c r="T1198" s="117"/>
      <c r="W1198" s="75" t="str">
        <f t="shared" si="29"/>
        <v>1w</v>
      </c>
      <c r="X1198" s="148">
        <f>_xll.qlCalendarAdvance(Calendar,X1197,W1198,"f",FALSE)</f>
        <v>47317</v>
      </c>
      <c r="Y1198" s="153">
        <f>_xll.qlCalendarAdvance(Calendar,X1198,NDays&amp;"D")</f>
        <v>47317</v>
      </c>
      <c r="Z1198" s="154">
        <v>3.1389734019599422E-2</v>
      </c>
      <c r="AA1198" s="156">
        <v>3.1254363155005516E-2</v>
      </c>
    </row>
    <row r="1199" spans="19:27" x14ac:dyDescent="0.2">
      <c r="S1199" s="1"/>
      <c r="T1199" s="117"/>
      <c r="W1199" s="75" t="str">
        <f t="shared" si="29"/>
        <v>1w</v>
      </c>
      <c r="X1199" s="148">
        <f>_xll.qlCalendarAdvance(Calendar,X1198,W1199,"f",FALSE)</f>
        <v>47324</v>
      </c>
      <c r="Y1199" s="153">
        <f>_xll.qlCalendarAdvance(Calendar,X1199,NDays&amp;"D")</f>
        <v>47324</v>
      </c>
      <c r="Z1199" s="154">
        <v>3.1391698808472444E-2</v>
      </c>
      <c r="AA1199" s="156">
        <v>3.1256501960115202E-2</v>
      </c>
    </row>
    <row r="1200" spans="19:27" x14ac:dyDescent="0.2">
      <c r="S1200" s="1"/>
      <c r="T1200" s="117"/>
      <c r="W1200" s="75" t="str">
        <f t="shared" si="29"/>
        <v>1w</v>
      </c>
      <c r="X1200" s="148">
        <f>_xll.qlCalendarAdvance(Calendar,X1199,W1200,"f",FALSE)</f>
        <v>47331</v>
      </c>
      <c r="Y1200" s="153">
        <f>_xll.qlCalendarAdvance(Calendar,X1200,NDays&amp;"D")</f>
        <v>47331</v>
      </c>
      <c r="Z1200" s="154">
        <v>3.1393630398884272E-2</v>
      </c>
      <c r="AA1200" s="156">
        <v>3.1258612169827726E-2</v>
      </c>
    </row>
    <row r="1201" spans="19:27" x14ac:dyDescent="0.2">
      <c r="S1201" s="1"/>
      <c r="T1201" s="117"/>
      <c r="W1201" s="75" t="str">
        <f t="shared" si="29"/>
        <v>1w</v>
      </c>
      <c r="X1201" s="148">
        <f>_xll.qlCalendarAdvance(Calendar,X1200,W1201,"f",FALSE)</f>
        <v>47338</v>
      </c>
      <c r="Y1201" s="153">
        <f>_xll.qlCalendarAdvance(Calendar,X1201,NDays&amp;"D")</f>
        <v>47338</v>
      </c>
      <c r="Z1201" s="154">
        <v>3.1395526987188671E-2</v>
      </c>
      <c r="AA1201" s="156">
        <v>3.126069378414309E-2</v>
      </c>
    </row>
    <row r="1202" spans="19:27" x14ac:dyDescent="0.2">
      <c r="S1202" s="1"/>
      <c r="T1202" s="117"/>
      <c r="W1202" s="75" t="str">
        <f t="shared" si="29"/>
        <v>1w</v>
      </c>
      <c r="X1202" s="148">
        <f>_xll.qlCalendarAdvance(Calendar,X1201,W1202,"f",FALSE)</f>
        <v>47345</v>
      </c>
      <c r="Y1202" s="153">
        <f>_xll.qlCalendarAdvance(Calendar,X1202,NDays&amp;"D")</f>
        <v>47345</v>
      </c>
      <c r="Z1202" s="154">
        <v>3.1397386769731507E-2</v>
      </c>
      <c r="AA1202" s="156">
        <v>3.1262746802980246E-2</v>
      </c>
    </row>
    <row r="1203" spans="19:27" x14ac:dyDescent="0.2">
      <c r="S1203" s="1"/>
      <c r="T1203" s="117"/>
      <c r="W1203" s="75" t="str">
        <f t="shared" si="29"/>
        <v>1w</v>
      </c>
      <c r="X1203" s="148">
        <f>_xll.qlCalendarAdvance(Calendar,X1202,W1203,"f",FALSE)</f>
        <v>47352</v>
      </c>
      <c r="Y1203" s="153">
        <f>_xll.qlCalendarAdvance(Calendar,X1203,NDays&amp;"D")</f>
        <v>47352</v>
      </c>
      <c r="Z1203" s="154">
        <v>3.1399207942855986E-2</v>
      </c>
      <c r="AA1203" s="156">
        <v>3.1264771226339194E-2</v>
      </c>
    </row>
    <row r="1204" spans="19:27" x14ac:dyDescent="0.2">
      <c r="S1204" s="1"/>
      <c r="T1204" s="117"/>
      <c r="W1204" s="75" t="str">
        <f t="shared" si="29"/>
        <v>1w</v>
      </c>
      <c r="X1204" s="148">
        <f>_xll.qlCalendarAdvance(Calendar,X1203,W1204,"f",FALSE)</f>
        <v>47359</v>
      </c>
      <c r="Y1204" s="153">
        <f>_xll.qlCalendarAdvance(Calendar,X1204,NDays&amp;"D")</f>
        <v>47359</v>
      </c>
      <c r="Z1204" s="154">
        <v>3.1400988702907084E-2</v>
      </c>
      <c r="AA1204" s="156">
        <v>3.1266767054300981E-2</v>
      </c>
    </row>
    <row r="1205" spans="19:27" x14ac:dyDescent="0.2">
      <c r="S1205" s="1"/>
      <c r="T1205" s="117"/>
      <c r="W1205" s="75" t="str">
        <f t="shared" si="29"/>
        <v>1w</v>
      </c>
      <c r="X1205" s="148">
        <f>_xll.qlCalendarAdvance(Calendar,X1204,W1205,"f",FALSE)</f>
        <v>47366</v>
      </c>
      <c r="Y1205" s="153">
        <f>_xll.qlCalendarAdvance(Calendar,X1205,NDays&amp;"D")</f>
        <v>47366</v>
      </c>
      <c r="Z1205" s="154">
        <v>3.1401264302870317E-2</v>
      </c>
      <c r="AA1205" s="156">
        <v>3.1268734286784561E-2</v>
      </c>
    </row>
    <row r="1206" spans="19:27" x14ac:dyDescent="0.2">
      <c r="S1206" s="1"/>
      <c r="T1206" s="117"/>
      <c r="W1206" s="75" t="str">
        <f t="shared" si="29"/>
        <v>1w</v>
      </c>
      <c r="X1206" s="148">
        <f>_xll.qlCalendarAdvance(Calendar,X1205,W1206,"f",FALSE)</f>
        <v>47373</v>
      </c>
      <c r="Y1206" s="153">
        <f>_xll.qlCalendarAdvance(Calendar,X1206,NDays&amp;"D")</f>
        <v>47373</v>
      </c>
      <c r="Z1206" s="154">
        <v>3.140296225510221E-2</v>
      </c>
      <c r="AA1206" s="156">
        <v>3.1270672923870979E-2</v>
      </c>
    </row>
    <row r="1207" spans="19:27" x14ac:dyDescent="0.2">
      <c r="S1207" s="1"/>
      <c r="T1207" s="117"/>
      <c r="W1207" s="75" t="str">
        <f t="shared" si="29"/>
        <v>1w</v>
      </c>
      <c r="X1207" s="148">
        <f>_xll.qlCalendarAdvance(Calendar,X1206,W1207,"f",FALSE)</f>
        <v>47380</v>
      </c>
      <c r="Y1207" s="153">
        <f>_xll.qlCalendarAdvance(Calendar,X1207,NDays&amp;"D")</f>
        <v>47380</v>
      </c>
      <c r="Z1207" s="154">
        <v>3.1404614460808999E-2</v>
      </c>
      <c r="AA1207" s="156">
        <v>3.1272582965560236E-2</v>
      </c>
    </row>
    <row r="1208" spans="19:27" x14ac:dyDescent="0.2">
      <c r="S1208" s="1"/>
      <c r="T1208" s="117"/>
      <c r="W1208" s="75" t="str">
        <f t="shared" si="29"/>
        <v>1w</v>
      </c>
      <c r="X1208" s="148">
        <f>_xll.qlCalendarAdvance(Calendar,X1207,W1208,"f",FALSE)</f>
        <v>47387</v>
      </c>
      <c r="Y1208" s="153">
        <f>_xll.qlCalendarAdvance(Calendar,X1208,NDays&amp;"D")</f>
        <v>47387</v>
      </c>
      <c r="Z1208" s="154">
        <v>3.1407671539151118E-2</v>
      </c>
      <c r="AA1208" s="156">
        <v>3.1274464411771286E-2</v>
      </c>
    </row>
    <row r="1209" spans="19:27" x14ac:dyDescent="0.2">
      <c r="S1209" s="1"/>
      <c r="T1209" s="117"/>
      <c r="W1209" s="75" t="str">
        <f t="shared" si="29"/>
        <v>1w</v>
      </c>
      <c r="X1209" s="148">
        <f>_xll.qlCalendarAdvance(Calendar,X1208,W1209,"f",FALSE)</f>
        <v>47394</v>
      </c>
      <c r="Y1209" s="153">
        <f>_xll.qlCalendarAdvance(Calendar,X1209,NDays&amp;"D")</f>
        <v>47394</v>
      </c>
      <c r="Z1209" s="154">
        <v>3.1409223178904176E-2</v>
      </c>
      <c r="AA1209" s="156">
        <v>3.1276317262504127E-2</v>
      </c>
    </row>
    <row r="1210" spans="19:27" x14ac:dyDescent="0.2">
      <c r="S1210" s="1"/>
      <c r="T1210" s="117"/>
      <c r="W1210" s="75" t="str">
        <f t="shared" si="29"/>
        <v>1w</v>
      </c>
      <c r="X1210" s="148">
        <f>_xll.qlCalendarAdvance(Calendar,X1209,W1210,"f",FALSE)</f>
        <v>47401</v>
      </c>
      <c r="Y1210" s="153">
        <f>_xll.qlCalendarAdvance(Calendar,X1210,NDays&amp;"D")</f>
        <v>47401</v>
      </c>
      <c r="Z1210" s="154">
        <v>3.1410723590614864E-2</v>
      </c>
      <c r="AA1210" s="156">
        <v>3.1278139997816812E-2</v>
      </c>
    </row>
    <row r="1211" spans="19:27" x14ac:dyDescent="0.2">
      <c r="S1211" s="1"/>
      <c r="T1211" s="117"/>
      <c r="W1211" s="75" t="str">
        <f t="shared" si="29"/>
        <v>1w</v>
      </c>
      <c r="X1211" s="148">
        <f>_xll.qlCalendarAdvance(Calendar,X1210,W1211,"f",FALSE)</f>
        <v>47408</v>
      </c>
      <c r="Y1211" s="153">
        <f>_xll.qlCalendarAdvance(Calendar,X1211,NDays&amp;"D")</f>
        <v>47408</v>
      </c>
      <c r="Z1211" s="154">
        <v>3.1412171588470372E-2</v>
      </c>
      <c r="AA1211" s="156">
        <v>3.1279915497492983E-2</v>
      </c>
    </row>
    <row r="1212" spans="19:27" x14ac:dyDescent="0.2">
      <c r="S1212" s="1"/>
      <c r="T1212" s="117"/>
      <c r="W1212" s="75" t="str">
        <f t="shared" si="29"/>
        <v>1w</v>
      </c>
      <c r="X1212" s="148">
        <f>_xll.qlCalendarAdvance(Calendar,X1211,W1212,"f",FALSE)</f>
        <v>47415</v>
      </c>
      <c r="Y1212" s="153">
        <f>_xll.qlCalendarAdvance(Calendar,X1212,NDays&amp;"D")</f>
        <v>47415</v>
      </c>
      <c r="Z1212" s="154">
        <v>3.1413567062863537E-2</v>
      </c>
      <c r="AA1212" s="156">
        <v>3.1281638881249796E-2</v>
      </c>
    </row>
    <row r="1213" spans="19:27" x14ac:dyDescent="0.2">
      <c r="S1213" s="1"/>
      <c r="T1213" s="117"/>
      <c r="W1213" s="75" t="str">
        <f t="shared" si="29"/>
        <v>1w</v>
      </c>
      <c r="X1213" s="148">
        <f>_xll.qlCalendarAdvance(Calendar,X1212,W1213,"f",FALSE)</f>
        <v>47422</v>
      </c>
      <c r="Y1213" s="153">
        <f>_xll.qlCalendarAdvance(Calendar,X1213,NDays&amp;"D")</f>
        <v>47422</v>
      </c>
      <c r="Z1213" s="154">
        <v>3.1414910013739743E-2</v>
      </c>
      <c r="AA1213" s="156">
        <v>3.1283310149087251E-2</v>
      </c>
    </row>
    <row r="1214" spans="19:27" x14ac:dyDescent="0.2">
      <c r="S1214" s="1"/>
      <c r="T1214" s="117"/>
      <c r="W1214" s="75" t="str">
        <f t="shared" si="29"/>
        <v>1w</v>
      </c>
      <c r="X1214" s="148">
        <f>_xll.qlCalendarAdvance(Calendar,X1213,W1214,"f",FALSE)</f>
        <v>47429</v>
      </c>
      <c r="Y1214" s="153">
        <f>_xll.qlCalendarAdvance(Calendar,X1214,NDays&amp;"D")</f>
        <v>47429</v>
      </c>
      <c r="Z1214" s="154">
        <v>3.1416200441047891E-2</v>
      </c>
      <c r="AA1214" s="156">
        <v>3.1284929301167441E-2</v>
      </c>
    </row>
    <row r="1215" spans="19:27" x14ac:dyDescent="0.2">
      <c r="S1215" s="1"/>
      <c r="T1215" s="117"/>
      <c r="W1215" s="75" t="str">
        <f t="shared" si="29"/>
        <v>1w</v>
      </c>
      <c r="X1215" s="148">
        <f>_xll.qlCalendarAdvance(Calendar,X1214,W1215,"f",FALSE)</f>
        <v>47436</v>
      </c>
      <c r="Y1215" s="153">
        <f>_xll.qlCalendarAdvance(Calendar,X1215,NDays&amp;"D")</f>
        <v>47436</v>
      </c>
      <c r="Z1215" s="154">
        <v>3.1417438344734247E-2</v>
      </c>
      <c r="AA1215" s="156">
        <v>3.128649633740932E-2</v>
      </c>
    </row>
    <row r="1216" spans="19:27" x14ac:dyDescent="0.2">
      <c r="S1216" s="1"/>
      <c r="T1216" s="117"/>
      <c r="W1216" s="75" t="str">
        <f t="shared" si="29"/>
        <v>1w</v>
      </c>
      <c r="X1216" s="148">
        <f>_xll.qlCalendarAdvance(Calendar,X1215,W1216,"f",FALSE)</f>
        <v>47443</v>
      </c>
      <c r="Y1216" s="153">
        <f>_xll.qlCalendarAdvance(Calendar,X1216,NDays&amp;"D")</f>
        <v>47443</v>
      </c>
      <c r="Z1216" s="154">
        <v>3.1418623724752126E-2</v>
      </c>
      <c r="AA1216" s="156">
        <v>3.1288011257893933E-2</v>
      </c>
    </row>
    <row r="1217" spans="19:27" x14ac:dyDescent="0.2">
      <c r="S1217" s="1"/>
      <c r="T1217" s="117"/>
      <c r="W1217" s="75" t="str">
        <f t="shared" si="29"/>
        <v>1w</v>
      </c>
      <c r="X1217" s="148">
        <f>_xll.qlCalendarAdvance(Calendar,X1216,W1217,"f",FALSE)</f>
        <v>47450</v>
      </c>
      <c r="Y1217" s="153">
        <f>_xll.qlCalendarAdvance(Calendar,X1217,NDays&amp;"D")</f>
        <v>47450</v>
      </c>
      <c r="Z1217" s="154">
        <v>3.1419756581054829E-2</v>
      </c>
      <c r="AA1217" s="156">
        <v>3.1289474062459188E-2</v>
      </c>
    </row>
    <row r="1218" spans="19:27" x14ac:dyDescent="0.2">
      <c r="S1218" s="1"/>
      <c r="T1218" s="117"/>
      <c r="W1218" s="75" t="str">
        <f t="shared" si="29"/>
        <v>1w</v>
      </c>
      <c r="X1218" s="148">
        <f>_xll.qlCalendarAdvance(Calendar,X1217,W1218,"f",FALSE)</f>
        <v>47457</v>
      </c>
      <c r="Y1218" s="153">
        <f>_xll.qlCalendarAdvance(Calendar,X1218,NDays&amp;"D")</f>
        <v>47457</v>
      </c>
      <c r="Z1218" s="154">
        <v>3.1418004496895961E-2</v>
      </c>
      <c r="AA1218" s="156">
        <v>3.1290884751186132E-2</v>
      </c>
    </row>
    <row r="1219" spans="19:27" x14ac:dyDescent="0.2">
      <c r="S1219" s="1"/>
      <c r="T1219" s="117"/>
      <c r="W1219" s="75" t="str">
        <f t="shared" si="29"/>
        <v>1w</v>
      </c>
      <c r="X1219" s="148">
        <f>_xll.qlCalendarAdvance(Calendar,X1218,W1219,"f",FALSE)</f>
        <v>47464</v>
      </c>
      <c r="Y1219" s="153">
        <f>_xll.qlCalendarAdvance(Calendar,X1219,NDays&amp;"D")</f>
        <v>47464</v>
      </c>
      <c r="Z1219" s="154">
        <v>3.1419039631509188E-2</v>
      </c>
      <c r="AA1219" s="156">
        <v>3.1292243324155811E-2</v>
      </c>
    </row>
    <row r="1220" spans="19:27" x14ac:dyDescent="0.2">
      <c r="S1220" s="1"/>
      <c r="T1220" s="117"/>
      <c r="W1220" s="75" t="str">
        <f t="shared" si="29"/>
        <v>1w</v>
      </c>
      <c r="X1220" s="148">
        <f>_xll.qlCalendarAdvance(Calendar,X1219,W1220,"f",FALSE)</f>
        <v>47471</v>
      </c>
      <c r="Y1220" s="153">
        <f>_xll.qlCalendarAdvance(Calendar,X1220,NDays&amp;"D")</f>
        <v>47471</v>
      </c>
      <c r="Z1220" s="154">
        <v>3.1420022251285151E-2</v>
      </c>
      <c r="AA1220" s="156">
        <v>3.1293549781206131E-2</v>
      </c>
    </row>
    <row r="1221" spans="19:27" x14ac:dyDescent="0.2">
      <c r="S1221" s="1"/>
      <c r="T1221" s="117"/>
      <c r="W1221" s="75" t="str">
        <f t="shared" si="29"/>
        <v>1w</v>
      </c>
      <c r="X1221" s="148">
        <f>_xll.qlCalendarAdvance(Calendar,X1220,W1221,"f",FALSE)</f>
        <v>47479</v>
      </c>
      <c r="Y1221" s="153">
        <f>_xll.qlCalendarAdvance(Calendar,X1221,NDays&amp;"D")</f>
        <v>47479</v>
      </c>
      <c r="Z1221" s="154">
        <v>3.142108094138394E-2</v>
      </c>
      <c r="AA1221" s="156">
        <v>3.1294979059761641E-2</v>
      </c>
    </row>
    <row r="1222" spans="19:27" x14ac:dyDescent="0.2">
      <c r="S1222" s="1"/>
      <c r="T1222" s="117"/>
      <c r="W1222" s="75" t="str">
        <f t="shared" si="29"/>
        <v>1w</v>
      </c>
      <c r="X1222" s="148">
        <f>_xll.qlCalendarAdvance(Calendar,X1221,W1222,"f",FALSE)</f>
        <v>47486</v>
      </c>
      <c r="Y1222" s="153">
        <f>_xll.qlCalendarAdvance(Calendar,X1222,NDays&amp;"D")</f>
        <v>47486</v>
      </c>
      <c r="Z1222" s="154">
        <v>3.1421951029241897E-2</v>
      </c>
      <c r="AA1222" s="156">
        <v>3.1296173840061892E-2</v>
      </c>
    </row>
    <row r="1223" spans="19:27" x14ac:dyDescent="0.2">
      <c r="S1223" s="1"/>
      <c r="T1223" s="117"/>
      <c r="W1223" s="75" t="str">
        <f t="shared" si="29"/>
        <v>1w</v>
      </c>
      <c r="X1223" s="148">
        <f>_xll.qlCalendarAdvance(Calendar,X1222,W1223,"f",FALSE)</f>
        <v>47493</v>
      </c>
      <c r="Y1223" s="153">
        <f>_xll.qlCalendarAdvance(Calendar,X1223,NDays&amp;"D")</f>
        <v>47493</v>
      </c>
      <c r="Z1223" s="154">
        <v>3.1422768602150937E-2</v>
      </c>
      <c r="AA1223" s="156">
        <v>3.1297316504523831E-2</v>
      </c>
    </row>
    <row r="1224" spans="19:27" x14ac:dyDescent="0.2">
      <c r="S1224" s="1"/>
      <c r="T1224" s="117"/>
      <c r="W1224" s="75" t="str">
        <f t="shared" si="29"/>
        <v>1w</v>
      </c>
      <c r="X1224" s="148">
        <f>_xll.qlCalendarAdvance(Calendar,X1223,W1224,"f",FALSE)</f>
        <v>47500</v>
      </c>
      <c r="Y1224" s="153">
        <f>_xll.qlCalendarAdvance(Calendar,X1224,NDays&amp;"D")</f>
        <v>47500</v>
      </c>
      <c r="Z1224" s="154">
        <v>3.1423533660079536E-2</v>
      </c>
      <c r="AA1224" s="156">
        <v>3.1298407053147459E-2</v>
      </c>
    </row>
    <row r="1225" spans="19:27" x14ac:dyDescent="0.2">
      <c r="S1225" s="1"/>
      <c r="T1225" s="117"/>
      <c r="W1225" s="75" t="str">
        <f t="shared" si="29"/>
        <v>1w</v>
      </c>
      <c r="X1225" s="148">
        <f>_xll.qlCalendarAdvance(Calendar,X1224,W1225,"f",FALSE)</f>
        <v>47507</v>
      </c>
      <c r="Y1225" s="153">
        <f>_xll.qlCalendarAdvance(Calendar,X1225,NDays&amp;"D")</f>
        <v>47507</v>
      </c>
      <c r="Z1225" s="154">
        <v>3.1424246202997982E-2</v>
      </c>
      <c r="AA1225" s="156">
        <v>3.1299445486013822E-2</v>
      </c>
    </row>
    <row r="1226" spans="19:27" x14ac:dyDescent="0.2">
      <c r="S1226" s="1"/>
      <c r="T1226" s="117"/>
      <c r="W1226" s="75" t="str">
        <f t="shared" si="29"/>
        <v>1w</v>
      </c>
      <c r="X1226" s="148">
        <f>_xll.qlCalendarAdvance(Calendar,X1225,W1226,"f",FALSE)</f>
        <v>47514</v>
      </c>
      <c r="Y1226" s="153">
        <f>_xll.qlCalendarAdvance(Calendar,X1226,NDays&amp;"D")</f>
        <v>47514</v>
      </c>
      <c r="Z1226" s="154">
        <v>3.142351956974241E-2</v>
      </c>
      <c r="AA1226" s="156">
        <v>3.1300431802960826E-2</v>
      </c>
    </row>
    <row r="1227" spans="19:27" x14ac:dyDescent="0.2">
      <c r="S1227" s="1"/>
      <c r="T1227" s="117"/>
      <c r="W1227" s="75" t="str">
        <f t="shared" si="29"/>
        <v>1w</v>
      </c>
      <c r="X1227" s="148">
        <f>_xll.qlCalendarAdvance(Calendar,X1226,W1227,"f",FALSE)</f>
        <v>47521</v>
      </c>
      <c r="Y1227" s="153">
        <f>_xll.qlCalendarAdvance(Calendar,X1227,NDays&amp;"D")</f>
        <v>47521</v>
      </c>
      <c r="Z1227" s="154">
        <v>3.14241307812161E-2</v>
      </c>
      <c r="AA1227" s="156">
        <v>3.1301366003988473E-2</v>
      </c>
    </row>
    <row r="1228" spans="19:27" x14ac:dyDescent="0.2">
      <c r="S1228" s="1"/>
      <c r="T1228" s="117"/>
      <c r="W1228" s="75" t="str">
        <f t="shared" si="29"/>
        <v>1w</v>
      </c>
      <c r="X1228" s="148">
        <f>_xll.qlCalendarAdvance(Calendar,X1227,W1228,"f",FALSE)</f>
        <v>47528</v>
      </c>
      <c r="Y1228" s="153">
        <f>_xll.qlCalendarAdvance(Calendar,X1228,NDays&amp;"D")</f>
        <v>47528</v>
      </c>
      <c r="Z1228" s="154">
        <v>3.1424689482107832E-2</v>
      </c>
      <c r="AA1228" s="156">
        <v>3.1302248089420948E-2</v>
      </c>
    </row>
    <row r="1229" spans="19:27" x14ac:dyDescent="0.2">
      <c r="S1229" s="1"/>
      <c r="T1229" s="117"/>
      <c r="W1229" s="75" t="str">
        <f t="shared" si="29"/>
        <v>1w</v>
      </c>
      <c r="X1229" s="148">
        <f>_xll.qlCalendarAdvance(Calendar,X1228,W1229,"f",FALSE)</f>
        <v>47535</v>
      </c>
      <c r="Y1229" s="153">
        <f>_xll.qlCalendarAdvance(Calendar,X1229,NDays&amp;"D")</f>
        <v>47535</v>
      </c>
      <c r="Z1229" s="154">
        <v>3.1425195672396655E-2</v>
      </c>
      <c r="AA1229" s="156">
        <v>3.1303078058771971E-2</v>
      </c>
    </row>
    <row r="1230" spans="19:27" x14ac:dyDescent="0.2">
      <c r="S1230" s="1"/>
      <c r="T1230" s="117"/>
      <c r="W1230" s="75" t="str">
        <f t="shared" si="29"/>
        <v>1w</v>
      </c>
      <c r="X1230" s="148">
        <f>_xll.qlCalendarAdvance(Calendar,X1229,W1230,"f",FALSE)</f>
        <v>47542</v>
      </c>
      <c r="Y1230" s="153">
        <f>_xll.qlCalendarAdvance(Calendar,X1230,NDays&amp;"D")</f>
        <v>47542</v>
      </c>
      <c r="Z1230" s="154">
        <v>3.142976404177391E-2</v>
      </c>
      <c r="AA1230" s="156">
        <v>3.1303855912446776E-2</v>
      </c>
    </row>
    <row r="1231" spans="19:27" x14ac:dyDescent="0.2">
      <c r="S1231" s="1"/>
      <c r="T1231" s="117"/>
      <c r="W1231" s="75" t="str">
        <f t="shared" si="29"/>
        <v>1w</v>
      </c>
      <c r="X1231" s="148">
        <f>_xll.qlCalendarAdvance(Calendar,X1230,W1231,"f",FALSE)</f>
        <v>47549</v>
      </c>
      <c r="Y1231" s="153">
        <f>_xll.qlCalendarAdvance(Calendar,X1231,NDays&amp;"D")</f>
        <v>47549</v>
      </c>
      <c r="Z1231" s="154">
        <v>3.1430154058858212E-2</v>
      </c>
      <c r="AA1231" s="156">
        <v>3.1304581650121177E-2</v>
      </c>
    </row>
    <row r="1232" spans="19:27" x14ac:dyDescent="0.2">
      <c r="S1232" s="1"/>
      <c r="T1232" s="117"/>
      <c r="W1232" s="75" t="str">
        <f t="shared" si="29"/>
        <v>1w</v>
      </c>
      <c r="X1232" s="148">
        <f>_xll.qlCalendarAdvance(Calendar,X1231,W1232,"f",FALSE)</f>
        <v>47556</v>
      </c>
      <c r="Y1232" s="153">
        <f>_xll.qlCalendarAdvance(Calendar,X1232,NDays&amp;"D")</f>
        <v>47556</v>
      </c>
      <c r="Z1232" s="154">
        <v>3.1430491551771904E-2</v>
      </c>
      <c r="AA1232" s="156">
        <v>3.1305255272119359E-2</v>
      </c>
    </row>
    <row r="1233" spans="19:27" x14ac:dyDescent="0.2">
      <c r="S1233" s="1"/>
      <c r="T1233" s="117"/>
      <c r="W1233" s="75" t="str">
        <f t="shared" si="29"/>
        <v>1w</v>
      </c>
      <c r="X1233" s="148">
        <f>_xll.qlCalendarAdvance(Calendar,X1232,W1233,"f",FALSE)</f>
        <v>47563</v>
      </c>
      <c r="Y1233" s="153">
        <f>_xll.qlCalendarAdvance(Calendar,X1233,NDays&amp;"D")</f>
        <v>47563</v>
      </c>
      <c r="Z1233" s="154">
        <v>3.1430776520502642E-2</v>
      </c>
      <c r="AA1233" s="156">
        <v>3.1305876778198183E-2</v>
      </c>
    </row>
    <row r="1234" spans="19:27" x14ac:dyDescent="0.2">
      <c r="S1234" s="1"/>
      <c r="T1234" s="117"/>
      <c r="W1234" s="75" t="str">
        <f t="shared" si="29"/>
        <v>1w</v>
      </c>
      <c r="X1234" s="148">
        <f>_xll.qlCalendarAdvance(Calendar,X1233,W1234,"f",FALSE)</f>
        <v>47570</v>
      </c>
      <c r="Y1234" s="153">
        <f>_xll.qlCalendarAdvance(Calendar,X1234,NDays&amp;"D")</f>
        <v>47570</v>
      </c>
      <c r="Z1234" s="154">
        <v>3.1431008965038976E-2</v>
      </c>
      <c r="AA1234" s="156">
        <v>3.1306446168519741E-2</v>
      </c>
    </row>
    <row r="1235" spans="19:27" x14ac:dyDescent="0.2">
      <c r="S1235" s="1"/>
      <c r="T1235" s="117"/>
      <c r="W1235" s="75" t="str">
        <f t="shared" si="29"/>
        <v>1w</v>
      </c>
      <c r="X1235" s="148">
        <f>_xll.qlCalendarAdvance(Calendar,X1234,W1235,"f",FALSE)</f>
        <v>47577</v>
      </c>
      <c r="Y1235" s="153">
        <f>_xll.qlCalendarAdvance(Calendar,X1235,NDays&amp;"D")</f>
        <v>47577</v>
      </c>
      <c r="Z1235" s="154">
        <v>3.1429836233238626E-2</v>
      </c>
      <c r="AA1235" s="156">
        <v>3.1306963442840896E-2</v>
      </c>
    </row>
    <row r="1236" spans="19:27" x14ac:dyDescent="0.2">
      <c r="S1236" s="1"/>
      <c r="T1236" s="117"/>
      <c r="W1236" s="75" t="str">
        <f t="shared" si="29"/>
        <v>1w</v>
      </c>
      <c r="X1236" s="148">
        <f>_xll.qlCalendarAdvance(Calendar,X1235,W1236,"f",FALSE)</f>
        <v>47584</v>
      </c>
      <c r="Y1236" s="153">
        <f>_xll.qlCalendarAdvance(Calendar,X1236,NDays&amp;"D")</f>
        <v>47584</v>
      </c>
      <c r="Z1236" s="154">
        <v>3.1429967369840175E-2</v>
      </c>
      <c r="AA1236" s="156">
        <v>3.1307428601404785E-2</v>
      </c>
    </row>
    <row r="1237" spans="19:27" x14ac:dyDescent="0.2">
      <c r="S1237" s="1"/>
      <c r="T1237" s="117"/>
      <c r="W1237" s="75" t="str">
        <f t="shared" ref="W1237:W1300" si="30">W1236</f>
        <v>1w</v>
      </c>
      <c r="X1237" s="148">
        <f>_xll.qlCalendarAdvance(Calendar,X1236,W1237,"f",FALSE)</f>
        <v>47591</v>
      </c>
      <c r="Y1237" s="153">
        <f>_xll.qlCalendarAdvance(Calendar,X1237,NDays&amp;"D")</f>
        <v>47591</v>
      </c>
      <c r="Z1237" s="154">
        <v>3.143004598673288E-2</v>
      </c>
      <c r="AA1237" s="156">
        <v>3.1313320372582609E-2</v>
      </c>
    </row>
    <row r="1238" spans="19:27" x14ac:dyDescent="0.2">
      <c r="S1238" s="1"/>
      <c r="T1238" s="117"/>
      <c r="W1238" s="75" t="str">
        <f t="shared" si="30"/>
        <v>1w</v>
      </c>
      <c r="X1238" s="148">
        <f>_xll.qlCalendarAdvance(Calendar,X1237,W1238,"f",FALSE)</f>
        <v>47598</v>
      </c>
      <c r="Y1238" s="153">
        <f>_xll.qlCalendarAdvance(Calendar,X1238,NDays&amp;"D")</f>
        <v>47598</v>
      </c>
      <c r="Z1238" s="154">
        <v>3.1430072083909605E-2</v>
      </c>
      <c r="AA1238" s="156">
        <v>3.1308202571098676E-2</v>
      </c>
    </row>
    <row r="1239" spans="19:27" x14ac:dyDescent="0.2">
      <c r="S1239" s="1"/>
      <c r="T1239" s="117"/>
      <c r="W1239" s="75" t="str">
        <f t="shared" si="30"/>
        <v>1w</v>
      </c>
      <c r="X1239" s="148">
        <f>_xll.qlCalendarAdvance(Calendar,X1238,W1239,"f",FALSE)</f>
        <v>47605</v>
      </c>
      <c r="Y1239" s="153">
        <f>_xll.qlCalendarAdvance(Calendar,X1239,NDays&amp;"D")</f>
        <v>47605</v>
      </c>
      <c r="Z1239" s="154">
        <v>3.1431383324550033E-2</v>
      </c>
      <c r="AA1239" s="156">
        <v>3.130851138214763E-2</v>
      </c>
    </row>
    <row r="1240" spans="19:27" x14ac:dyDescent="0.2">
      <c r="S1240" s="1"/>
      <c r="T1240" s="117"/>
      <c r="W1240" s="75" t="str">
        <f t="shared" si="30"/>
        <v>1w</v>
      </c>
      <c r="X1240" s="148">
        <f>_xll.qlCalendarAdvance(Calendar,X1239,W1240,"f",FALSE)</f>
        <v>47612</v>
      </c>
      <c r="Y1240" s="153">
        <f>_xll.qlCalendarAdvance(Calendar,X1240,NDays&amp;"D")</f>
        <v>47612</v>
      </c>
      <c r="Z1240" s="154">
        <v>3.1431300623797509E-2</v>
      </c>
      <c r="AA1240" s="156">
        <v>3.1308768077277227E-2</v>
      </c>
    </row>
    <row r="1241" spans="19:27" x14ac:dyDescent="0.2">
      <c r="S1241" s="1"/>
      <c r="T1241" s="117"/>
      <c r="W1241" s="75" t="str">
        <f t="shared" si="30"/>
        <v>1w</v>
      </c>
      <c r="X1241" s="148">
        <f>_xll.qlCalendarAdvance(Calendar,X1240,W1241,"f",FALSE)</f>
        <v>47619</v>
      </c>
      <c r="Y1241" s="153">
        <f>_xll.qlCalendarAdvance(Calendar,X1241,NDays&amp;"D")</f>
        <v>47619</v>
      </c>
      <c r="Z1241" s="154">
        <v>3.1431165398831201E-2</v>
      </c>
      <c r="AA1241" s="156">
        <v>3.1308972656730605E-2</v>
      </c>
    </row>
    <row r="1242" spans="19:27" x14ac:dyDescent="0.2">
      <c r="S1242" s="1"/>
      <c r="T1242" s="117"/>
      <c r="W1242" s="75" t="str">
        <f t="shared" si="30"/>
        <v>1w</v>
      </c>
      <c r="X1242" s="148">
        <f>_xll.qlCalendarAdvance(Calendar,X1241,W1242,"f",FALSE)</f>
        <v>47626</v>
      </c>
      <c r="Y1242" s="153">
        <f>_xll.qlCalendarAdvance(Calendar,X1242,NDays&amp;"D")</f>
        <v>47626</v>
      </c>
      <c r="Z1242" s="154">
        <v>3.1430977649653753E-2</v>
      </c>
      <c r="AA1242" s="156">
        <v>3.1309125120264625E-2</v>
      </c>
    </row>
    <row r="1243" spans="19:27" x14ac:dyDescent="0.2">
      <c r="S1243" s="1"/>
      <c r="T1243" s="117"/>
      <c r="W1243" s="75" t="str">
        <f t="shared" si="30"/>
        <v>1w</v>
      </c>
      <c r="X1243" s="148">
        <f>_xll.qlCalendarAdvance(Calendar,X1242,W1243,"f",FALSE)</f>
        <v>47633</v>
      </c>
      <c r="Y1243" s="153">
        <f>_xll.qlCalendarAdvance(Calendar,X1243,NDays&amp;"D")</f>
        <v>47633</v>
      </c>
      <c r="Z1243" s="154">
        <v>3.1430737376273089E-2</v>
      </c>
      <c r="AA1243" s="156">
        <v>3.1309225467960333E-2</v>
      </c>
    </row>
    <row r="1244" spans="19:27" x14ac:dyDescent="0.2">
      <c r="S1244" s="1"/>
      <c r="T1244" s="117"/>
      <c r="W1244" s="75" t="str">
        <f t="shared" si="30"/>
        <v>1w</v>
      </c>
      <c r="X1244" s="148">
        <f>_xll.qlCalendarAdvance(Calendar,X1243,W1244,"f",FALSE)</f>
        <v>47640</v>
      </c>
      <c r="Y1244" s="153">
        <f>_xll.qlCalendarAdvance(Calendar,X1244,NDays&amp;"D")</f>
        <v>47640</v>
      </c>
      <c r="Z1244" s="154">
        <v>3.1430444578700673E-2</v>
      </c>
      <c r="AA1244" s="156">
        <v>3.130927369981773E-2</v>
      </c>
    </row>
    <row r="1245" spans="19:27" x14ac:dyDescent="0.2">
      <c r="S1245" s="1"/>
      <c r="T1245" s="117"/>
      <c r="W1245" s="75" t="str">
        <f t="shared" si="30"/>
        <v>1w</v>
      </c>
      <c r="X1245" s="148">
        <f>_xll.qlCalendarAdvance(Calendar,X1244,W1245,"f",FALSE)</f>
        <v>47647</v>
      </c>
      <c r="Y1245" s="153">
        <f>_xll.qlCalendarAdvance(Calendar,X1245,NDays&amp;"D")</f>
        <v>47647</v>
      </c>
      <c r="Z1245" s="154">
        <v>3.1430099256946183E-2</v>
      </c>
      <c r="AA1245" s="156">
        <v>3.1309269815836815E-2</v>
      </c>
    </row>
    <row r="1246" spans="19:27" x14ac:dyDescent="0.2">
      <c r="S1246" s="1"/>
      <c r="T1246" s="117"/>
      <c r="W1246" s="75" t="str">
        <f t="shared" si="30"/>
        <v>1w</v>
      </c>
      <c r="X1246" s="148">
        <f>_xll.qlCalendarAdvance(Calendar,X1245,W1246,"f",FALSE)</f>
        <v>47654</v>
      </c>
      <c r="Y1246" s="153">
        <f>_xll.qlCalendarAdvance(Calendar,X1246,NDays&amp;"D")</f>
        <v>47654</v>
      </c>
      <c r="Z1246" s="154">
        <v>3.1429701411023719E-2</v>
      </c>
      <c r="AA1246" s="156">
        <v>3.1309213815936543E-2</v>
      </c>
    </row>
    <row r="1247" spans="19:27" x14ac:dyDescent="0.2">
      <c r="S1247" s="1"/>
      <c r="T1247" s="117"/>
      <c r="W1247" s="75" t="str">
        <f t="shared" si="30"/>
        <v>1w</v>
      </c>
      <c r="X1247" s="148">
        <f>_xll.qlCalendarAdvance(Calendar,X1246,W1247,"f",FALSE)</f>
        <v>47661</v>
      </c>
      <c r="Y1247" s="153">
        <f>_xll.qlCalendarAdvance(Calendar,X1247,NDays&amp;"D")</f>
        <v>47661</v>
      </c>
      <c r="Z1247" s="154">
        <v>3.1429251040948257E-2</v>
      </c>
      <c r="AA1247" s="156">
        <v>3.1309105700279005E-2</v>
      </c>
    </row>
    <row r="1248" spans="19:27" x14ac:dyDescent="0.2">
      <c r="S1248" s="1"/>
      <c r="T1248" s="117"/>
      <c r="W1248" s="75" t="str">
        <f t="shared" si="30"/>
        <v>1w</v>
      </c>
      <c r="X1248" s="148">
        <f>_xll.qlCalendarAdvance(Calendar,X1247,W1248,"f",FALSE)</f>
        <v>47668</v>
      </c>
      <c r="Y1248" s="153">
        <f>_xll.qlCalendarAdvance(Calendar,X1248,NDays&amp;"D")</f>
        <v>47668</v>
      </c>
      <c r="Z1248" s="154">
        <v>3.1428748146739183E-2</v>
      </c>
      <c r="AA1248" s="156">
        <v>3.1308945468783156E-2</v>
      </c>
    </row>
    <row r="1249" spans="19:27" x14ac:dyDescent="0.2">
      <c r="S1249" s="1"/>
      <c r="T1249" s="117"/>
      <c r="W1249" s="75" t="str">
        <f t="shared" si="30"/>
        <v>1w</v>
      </c>
      <c r="X1249" s="148">
        <f>_xll.qlCalendarAdvance(Calendar,X1248,W1249,"f",FALSE)</f>
        <v>47675</v>
      </c>
      <c r="Y1249" s="153">
        <f>_xll.qlCalendarAdvance(Calendar,X1249,NDays&amp;"D")</f>
        <v>47675</v>
      </c>
      <c r="Z1249" s="154">
        <v>3.142819272841587E-2</v>
      </c>
      <c r="AA1249" s="156">
        <v>3.1308733121530041E-2</v>
      </c>
    </row>
    <row r="1250" spans="19:27" x14ac:dyDescent="0.2">
      <c r="S1250" s="1"/>
      <c r="T1250" s="117"/>
      <c r="W1250" s="75" t="str">
        <f t="shared" si="30"/>
        <v>1w</v>
      </c>
      <c r="X1250" s="148">
        <f>_xll.qlCalendarAdvance(Calendar,X1249,W1250,"f",FALSE)</f>
        <v>47682</v>
      </c>
      <c r="Y1250" s="153">
        <f>_xll.qlCalendarAdvance(Calendar,X1250,NDays&amp;"D")</f>
        <v>47682</v>
      </c>
      <c r="Z1250" s="154">
        <v>3.1427584785997699E-2</v>
      </c>
      <c r="AA1250" s="156">
        <v>3.1308468658276523E-2</v>
      </c>
    </row>
    <row r="1251" spans="19:27" x14ac:dyDescent="0.2">
      <c r="S1251" s="1"/>
      <c r="T1251" s="117"/>
      <c r="W1251" s="75" t="str">
        <f t="shared" si="30"/>
        <v>1w</v>
      </c>
      <c r="X1251" s="148">
        <f>_xll.qlCalendarAdvance(Calendar,X1250,W1251,"f",FALSE)</f>
        <v>47689</v>
      </c>
      <c r="Y1251" s="153">
        <f>_xll.qlCalendarAdvance(Calendar,X1251,NDays&amp;"D")</f>
        <v>47689</v>
      </c>
      <c r="Z1251" s="154">
        <v>3.1426924319512863E-2</v>
      </c>
      <c r="AA1251" s="156">
        <v>3.1308152079265739E-2</v>
      </c>
    </row>
    <row r="1252" spans="19:27" x14ac:dyDescent="0.2">
      <c r="S1252" s="1"/>
      <c r="T1252" s="117"/>
      <c r="W1252" s="75" t="str">
        <f t="shared" si="30"/>
        <v>1w</v>
      </c>
      <c r="X1252" s="148">
        <f>_xll.qlCalendarAdvance(Calendar,X1251,W1252,"f",FALSE)</f>
        <v>47696</v>
      </c>
      <c r="Y1252" s="153">
        <f>_xll.qlCalendarAdvance(Calendar,X1252,NDays&amp;"D")</f>
        <v>47696</v>
      </c>
      <c r="Z1252" s="154">
        <v>3.1426211328983385E-2</v>
      </c>
      <c r="AA1252" s="156">
        <v>3.1307783384335597E-2</v>
      </c>
    </row>
    <row r="1253" spans="19:27" x14ac:dyDescent="0.2">
      <c r="S1253" s="1"/>
      <c r="T1253" s="117"/>
      <c r="W1253" s="75" t="str">
        <f t="shared" si="30"/>
        <v>1w</v>
      </c>
      <c r="X1253" s="148">
        <f>_xll.qlCalendarAdvance(Calendar,X1252,W1253,"f",FALSE)</f>
        <v>47703</v>
      </c>
      <c r="Y1253" s="153">
        <f>_xll.qlCalendarAdvance(Calendar,X1253,NDays&amp;"D")</f>
        <v>47703</v>
      </c>
      <c r="Z1253" s="154">
        <v>3.1425445814440976E-2</v>
      </c>
      <c r="AA1253" s="156">
        <v>3.130736257364819E-2</v>
      </c>
    </row>
    <row r="1254" spans="19:27" x14ac:dyDescent="0.2">
      <c r="S1254" s="1"/>
      <c r="T1254" s="117"/>
      <c r="W1254" s="75" t="str">
        <f t="shared" si="30"/>
        <v>1w</v>
      </c>
      <c r="X1254" s="148">
        <f>_xll.qlCalendarAdvance(Calendar,X1253,W1254,"f",FALSE)</f>
        <v>47710</v>
      </c>
      <c r="Y1254" s="153">
        <f>_xll.qlCalendarAdvance(Calendar,X1254,NDays&amp;"D")</f>
        <v>47710</v>
      </c>
      <c r="Z1254" s="154">
        <v>3.1424627775912067E-2</v>
      </c>
      <c r="AA1254" s="156">
        <v>3.1306889647122471E-2</v>
      </c>
    </row>
    <row r="1255" spans="19:27" x14ac:dyDescent="0.2">
      <c r="S1255" s="1"/>
      <c r="T1255" s="117"/>
      <c r="W1255" s="75" t="str">
        <f t="shared" si="30"/>
        <v>1w</v>
      </c>
      <c r="X1255" s="148">
        <f>_xll.qlCalendarAdvance(Calendar,X1254,W1255,"f",FALSE)</f>
        <v>47717</v>
      </c>
      <c r="Y1255" s="153">
        <f>_xll.qlCalendarAdvance(Calendar,X1255,NDays&amp;"D")</f>
        <v>47717</v>
      </c>
      <c r="Z1255" s="154">
        <v>3.1423757213432775E-2</v>
      </c>
      <c r="AA1255" s="156">
        <v>3.1306364604758441E-2</v>
      </c>
    </row>
    <row r="1256" spans="19:27" x14ac:dyDescent="0.2">
      <c r="S1256" s="1"/>
      <c r="T1256" s="117"/>
      <c r="W1256" s="75" t="str">
        <f t="shared" si="30"/>
        <v>1w</v>
      </c>
      <c r="X1256" s="148">
        <f>_xll.qlCalendarAdvance(Calendar,X1255,W1256,"f",FALSE)</f>
        <v>47724</v>
      </c>
      <c r="Y1256" s="153">
        <f>_xll.qlCalendarAdvance(Calendar,X1256,NDays&amp;"D")</f>
        <v>47724</v>
      </c>
      <c r="Z1256" s="154">
        <v>3.1422834127033936E-2</v>
      </c>
      <c r="AA1256" s="156">
        <v>3.1305787446475053E-2</v>
      </c>
    </row>
    <row r="1257" spans="19:27" x14ac:dyDescent="0.2">
      <c r="S1257" s="1"/>
      <c r="T1257" s="117"/>
      <c r="W1257" s="75" t="str">
        <f t="shared" si="30"/>
        <v>1w</v>
      </c>
      <c r="X1257" s="148">
        <f>_xll.qlCalendarAdvance(Calendar,X1256,W1257,"f",FALSE)</f>
        <v>47731</v>
      </c>
      <c r="Y1257" s="153">
        <f>_xll.qlCalendarAdvance(Calendar,X1257,NDays&amp;"D")</f>
        <v>47731</v>
      </c>
      <c r="Z1257" s="154">
        <v>3.1420589195560754E-2</v>
      </c>
      <c r="AA1257" s="156">
        <v>3.13051581724344E-2</v>
      </c>
    </row>
    <row r="1258" spans="19:27" x14ac:dyDescent="0.2">
      <c r="S1258" s="1"/>
      <c r="T1258" s="117"/>
      <c r="W1258" s="75" t="str">
        <f t="shared" si="30"/>
        <v>1w</v>
      </c>
      <c r="X1258" s="148">
        <f>_xll.qlCalendarAdvance(Calendar,X1257,W1258,"f",FALSE)</f>
        <v>47738</v>
      </c>
      <c r="Y1258" s="153">
        <f>_xll.qlCalendarAdvance(Calendar,X1258,NDays&amp;"D")</f>
        <v>47738</v>
      </c>
      <c r="Z1258" s="154">
        <v>3.1419564900971378E-2</v>
      </c>
      <c r="AA1258" s="156">
        <v>3.1304476782474389E-2</v>
      </c>
    </row>
    <row r="1259" spans="19:27" x14ac:dyDescent="0.2">
      <c r="S1259" s="1"/>
      <c r="T1259" s="117"/>
      <c r="W1259" s="75" t="str">
        <f t="shared" si="30"/>
        <v>1w</v>
      </c>
      <c r="X1259" s="148">
        <f>_xll.qlCalendarAdvance(Calendar,X1258,W1259,"f",FALSE)</f>
        <v>47745</v>
      </c>
      <c r="Y1259" s="153">
        <f>_xll.qlCalendarAdvance(Calendar,X1259,NDays&amp;"D")</f>
        <v>47745</v>
      </c>
      <c r="Z1259" s="154">
        <v>3.1418488087075702E-2</v>
      </c>
      <c r="AA1259" s="156">
        <v>3.1303743276757112E-2</v>
      </c>
    </row>
    <row r="1260" spans="19:27" x14ac:dyDescent="0.2">
      <c r="S1260" s="1"/>
      <c r="T1260" s="117"/>
      <c r="W1260" s="75" t="str">
        <f t="shared" si="30"/>
        <v>1w</v>
      </c>
      <c r="X1260" s="148">
        <f>_xll.qlCalendarAdvance(Calendar,X1259,W1260,"f",FALSE)</f>
        <v>47752</v>
      </c>
      <c r="Y1260" s="153">
        <f>_xll.qlCalendarAdvance(Calendar,X1260,NDays&amp;"D")</f>
        <v>47752</v>
      </c>
      <c r="Z1260" s="154">
        <v>3.1418616543018307E-2</v>
      </c>
      <c r="AA1260" s="156">
        <v>3.1302957655120478E-2</v>
      </c>
    </row>
    <row r="1261" spans="19:27" x14ac:dyDescent="0.2">
      <c r="S1261" s="1"/>
      <c r="T1261" s="117"/>
      <c r="W1261" s="75" t="str">
        <f t="shared" si="30"/>
        <v>1w</v>
      </c>
      <c r="X1261" s="148">
        <f>_xll.qlCalendarAdvance(Calendar,X1260,W1261,"f",FALSE)</f>
        <v>47759</v>
      </c>
      <c r="Y1261" s="153">
        <f>_xll.qlCalendarAdvance(Calendar,X1261,NDays&amp;"D")</f>
        <v>47759</v>
      </c>
      <c r="Z1261" s="154">
        <v>3.1417430837616347E-2</v>
      </c>
      <c r="AA1261" s="156">
        <v>3.1302119917726579E-2</v>
      </c>
    </row>
    <row r="1262" spans="19:27" x14ac:dyDescent="0.2">
      <c r="S1262" s="1"/>
      <c r="T1262" s="117"/>
      <c r="W1262" s="75" t="str">
        <f t="shared" si="30"/>
        <v>1w</v>
      </c>
      <c r="X1262" s="148">
        <f>_xll.qlCalendarAdvance(Calendar,X1261,W1262,"f",FALSE)</f>
        <v>47766</v>
      </c>
      <c r="Y1262" s="153">
        <f>_xll.qlCalendarAdvance(Calendar,X1262,NDays&amp;"D")</f>
        <v>47766</v>
      </c>
      <c r="Z1262" s="154">
        <v>3.1416192608545036E-2</v>
      </c>
      <c r="AA1262" s="156">
        <v>3.1301230064413321E-2</v>
      </c>
    </row>
    <row r="1263" spans="19:27" x14ac:dyDescent="0.2">
      <c r="S1263" s="1"/>
      <c r="T1263" s="117"/>
      <c r="W1263" s="75" t="str">
        <f t="shared" si="30"/>
        <v>1w</v>
      </c>
      <c r="X1263" s="148">
        <f>_xll.qlCalendarAdvance(Calendar,X1262,W1263,"f",FALSE)</f>
        <v>47773</v>
      </c>
      <c r="Y1263" s="153">
        <f>_xll.qlCalendarAdvance(Calendar,X1263,NDays&amp;"D")</f>
        <v>47773</v>
      </c>
      <c r="Z1263" s="154">
        <v>3.1414901855855444E-2</v>
      </c>
      <c r="AA1263" s="156">
        <v>3.1300288095342799E-2</v>
      </c>
    </row>
    <row r="1264" spans="19:27" x14ac:dyDescent="0.2">
      <c r="S1264" s="1"/>
      <c r="T1264" s="117"/>
      <c r="W1264" s="75" t="str">
        <f t="shared" si="30"/>
        <v>1w</v>
      </c>
      <c r="X1264" s="148">
        <f>_xll.qlCalendarAdvance(Calendar,X1263,W1264,"f",FALSE)</f>
        <v>47780</v>
      </c>
      <c r="Y1264" s="153">
        <f>_xll.qlCalendarAdvance(Calendar,X1264,NDays&amp;"D")</f>
        <v>47780</v>
      </c>
      <c r="Z1264" s="154">
        <v>3.1413558579595165E-2</v>
      </c>
      <c r="AA1264" s="156">
        <v>3.1299294010433965E-2</v>
      </c>
    </row>
    <row r="1265" spans="19:27" x14ac:dyDescent="0.2">
      <c r="S1265" s="1"/>
      <c r="T1265" s="117"/>
      <c r="W1265" s="75" t="str">
        <f t="shared" si="30"/>
        <v>1w</v>
      </c>
      <c r="X1265" s="148">
        <f>_xll.qlCalendarAdvance(Calendar,X1264,W1265,"f",FALSE)</f>
        <v>47787</v>
      </c>
      <c r="Y1265" s="153">
        <f>_xll.qlCalendarAdvance(Calendar,X1265,NDays&amp;"D")</f>
        <v>47787</v>
      </c>
      <c r="Z1265" s="154">
        <v>3.1412162779820563E-2</v>
      </c>
      <c r="AA1265" s="156">
        <v>3.1298247809686819E-2</v>
      </c>
    </row>
    <row r="1266" spans="19:27" x14ac:dyDescent="0.2">
      <c r="S1266" s="1"/>
      <c r="T1266" s="117"/>
      <c r="W1266" s="75" t="str">
        <f t="shared" si="30"/>
        <v>1w</v>
      </c>
      <c r="X1266" s="148">
        <f>_xll.qlCalendarAdvance(Calendar,X1265,W1266,"f",FALSE)</f>
        <v>47794</v>
      </c>
      <c r="Y1266" s="153">
        <f>_xll.qlCalendarAdvance(Calendar,X1266,NDays&amp;"D")</f>
        <v>47794</v>
      </c>
      <c r="Z1266" s="154">
        <v>3.1410714456582736E-2</v>
      </c>
      <c r="AA1266" s="156">
        <v>3.1297149493020315E-2</v>
      </c>
    </row>
    <row r="1267" spans="19:27" x14ac:dyDescent="0.2">
      <c r="S1267" s="1"/>
      <c r="T1267" s="117"/>
      <c r="W1267" s="75" t="str">
        <f t="shared" si="30"/>
        <v>1w</v>
      </c>
      <c r="X1267" s="148">
        <f>_xll.qlCalendarAdvance(Calendar,X1266,W1267,"f",FALSE)</f>
        <v>47801</v>
      </c>
      <c r="Y1267" s="153">
        <f>_xll.qlCalendarAdvance(Calendar,X1267,NDays&amp;"D")</f>
        <v>47801</v>
      </c>
      <c r="Z1267" s="154">
        <v>3.1409213609941589E-2</v>
      </c>
      <c r="AA1267" s="156">
        <v>3.1295999060596547E-2</v>
      </c>
    </row>
    <row r="1268" spans="19:27" x14ac:dyDescent="0.2">
      <c r="S1268" s="1"/>
      <c r="T1268" s="117"/>
      <c r="W1268" s="75" t="str">
        <f t="shared" si="30"/>
        <v>1w</v>
      </c>
      <c r="X1268" s="148">
        <f>_xll.qlCalendarAdvance(Calendar,X1267,W1268,"f",FALSE)</f>
        <v>47808</v>
      </c>
      <c r="Y1268" s="153">
        <f>_xll.qlCalendarAdvance(Calendar,X1268,NDays&amp;"D")</f>
        <v>47808</v>
      </c>
      <c r="Z1268" s="154">
        <v>3.1407660239955268E-2</v>
      </c>
      <c r="AA1268" s="156">
        <v>3.129479651225342E-2</v>
      </c>
    </row>
    <row r="1269" spans="19:27" x14ac:dyDescent="0.2">
      <c r="S1269" s="1"/>
      <c r="T1269" s="117"/>
      <c r="W1269" s="75" t="str">
        <f t="shared" si="30"/>
        <v>1w</v>
      </c>
      <c r="X1269" s="148">
        <f>_xll.qlCalendarAdvance(Calendar,X1268,W1269,"f",FALSE)</f>
        <v>47815</v>
      </c>
      <c r="Y1269" s="153">
        <f>_xll.qlCalendarAdvance(Calendar,X1269,NDays&amp;"D")</f>
        <v>47815</v>
      </c>
      <c r="Z1269" s="154">
        <v>3.1406054346685426E-2</v>
      </c>
      <c r="AA1269" s="156">
        <v>3.1293541848234074E-2</v>
      </c>
    </row>
    <row r="1270" spans="19:27" x14ac:dyDescent="0.2">
      <c r="S1270" s="1"/>
      <c r="T1270" s="117"/>
      <c r="W1270" s="75" t="str">
        <f t="shared" si="30"/>
        <v>1w</v>
      </c>
      <c r="X1270" s="148">
        <f>_xll.qlCalendarAdvance(Calendar,X1269,W1270,"f",FALSE)</f>
        <v>47822</v>
      </c>
      <c r="Y1270" s="153">
        <f>_xll.qlCalendarAdvance(Calendar,X1270,NDays&amp;"D")</f>
        <v>47822</v>
      </c>
      <c r="Z1270" s="154">
        <v>3.140195751468771E-2</v>
      </c>
      <c r="AA1270" s="156">
        <v>3.1292235068214325E-2</v>
      </c>
    </row>
    <row r="1271" spans="19:27" x14ac:dyDescent="0.2">
      <c r="S1271" s="1"/>
      <c r="T1271" s="117"/>
      <c r="W1271" s="75" t="str">
        <f t="shared" si="30"/>
        <v>1w</v>
      </c>
      <c r="X1271" s="148">
        <f>_xll.qlCalendarAdvance(Calendar,X1270,W1271,"f",FALSE)</f>
        <v>47829</v>
      </c>
      <c r="Y1271" s="153">
        <f>_xll.qlCalendarAdvance(Calendar,X1271,NDays&amp;"D")</f>
        <v>47829</v>
      </c>
      <c r="Z1271" s="154">
        <v>3.140025437028001E-2</v>
      </c>
      <c r="AA1271" s="156">
        <v>3.129087617243731E-2</v>
      </c>
    </row>
    <row r="1272" spans="19:27" x14ac:dyDescent="0.2">
      <c r="S1272" s="1"/>
      <c r="T1272" s="117"/>
      <c r="W1272" s="75" t="str">
        <f t="shared" si="30"/>
        <v>1w</v>
      </c>
      <c r="X1272" s="148">
        <f>_xll.qlCalendarAdvance(Calendar,X1271,W1272,"f",FALSE)</f>
        <v>47836</v>
      </c>
      <c r="Y1272" s="153">
        <f>_xll.qlCalendarAdvance(Calendar,X1272,NDays&amp;"D")</f>
        <v>47836</v>
      </c>
      <c r="Z1272" s="154">
        <v>3.1398498711759967E-2</v>
      </c>
      <c r="AA1272" s="156">
        <v>3.1289465160821983E-2</v>
      </c>
    </row>
    <row r="1273" spans="19:27" x14ac:dyDescent="0.2">
      <c r="S1273" s="1"/>
      <c r="T1273" s="117"/>
      <c r="W1273" s="75" t="str">
        <f t="shared" si="30"/>
        <v>1w</v>
      </c>
      <c r="X1273" s="148">
        <f>_xll.qlCalendarAdvance(Calendar,X1272,W1273,"f",FALSE)</f>
        <v>47844</v>
      </c>
      <c r="Y1273" s="153">
        <f>_xll.qlCalendarAdvance(Calendar,X1273,NDays&amp;"D")</f>
        <v>47844</v>
      </c>
      <c r="Z1273" s="154">
        <v>3.1396427941970978E-2</v>
      </c>
      <c r="AA1273" s="156">
        <v>3.1290256098230149E-2</v>
      </c>
    </row>
    <row r="1274" spans="19:27" x14ac:dyDescent="0.2">
      <c r="S1274" s="1"/>
      <c r="T1274" s="117"/>
      <c r="W1274" s="75" t="str">
        <f t="shared" si="30"/>
        <v>1w</v>
      </c>
      <c r="X1274" s="148">
        <f>_xll.qlCalendarAdvance(Calendar,X1273,W1274,"f",FALSE)</f>
        <v>47851</v>
      </c>
      <c r="Y1274" s="153">
        <f>_xll.qlCalendarAdvance(Calendar,X1274,NDays&amp;"D")</f>
        <v>47851</v>
      </c>
      <c r="Z1274" s="154">
        <v>3.1394559753439313E-2</v>
      </c>
      <c r="AA1274" s="156">
        <v>3.1288725702417475E-2</v>
      </c>
    </row>
    <row r="1275" spans="19:27" x14ac:dyDescent="0.2">
      <c r="S1275" s="1"/>
      <c r="T1275" s="117"/>
      <c r="W1275" s="75" t="str">
        <f t="shared" si="30"/>
        <v>1w</v>
      </c>
      <c r="X1275" s="148">
        <f>_xll.qlCalendarAdvance(Calendar,X1274,W1275,"f",FALSE)</f>
        <v>47858</v>
      </c>
      <c r="Y1275" s="153">
        <f>_xll.qlCalendarAdvance(Calendar,X1275,NDays&amp;"D")</f>
        <v>47858</v>
      </c>
      <c r="Z1275" s="154">
        <v>3.1392639051015934E-2</v>
      </c>
      <c r="AA1275" s="156">
        <v>3.1287143181797372E-2</v>
      </c>
    </row>
    <row r="1276" spans="19:27" x14ac:dyDescent="0.2">
      <c r="S1276" s="1"/>
      <c r="T1276" s="117"/>
      <c r="W1276" s="75" t="str">
        <f t="shared" si="30"/>
        <v>1w</v>
      </c>
      <c r="X1276" s="148">
        <f>_xll.qlCalendarAdvance(Calendar,X1275,W1276,"f",FALSE)</f>
        <v>47865</v>
      </c>
      <c r="Y1276" s="153">
        <f>_xll.qlCalendarAdvance(Calendar,X1276,NDays&amp;"D")</f>
        <v>47865</v>
      </c>
      <c r="Z1276" s="154">
        <v>3.1390665834771979E-2</v>
      </c>
      <c r="AA1276" s="156">
        <v>3.1285508536450887E-2</v>
      </c>
    </row>
    <row r="1277" spans="19:27" x14ac:dyDescent="0.2">
      <c r="S1277" s="1"/>
      <c r="T1277" s="117"/>
      <c r="W1277" s="75" t="str">
        <f t="shared" si="30"/>
        <v>1w</v>
      </c>
      <c r="X1277" s="148">
        <f>_xll.qlCalendarAdvance(Calendar,X1276,W1277,"f",FALSE)</f>
        <v>47872</v>
      </c>
      <c r="Y1277" s="153">
        <f>_xll.qlCalendarAdvance(Calendar,X1277,NDays&amp;"D")</f>
        <v>47872</v>
      </c>
      <c r="Z1277" s="154">
        <v>3.1388640104785794E-2</v>
      </c>
      <c r="AA1277" s="156">
        <v>3.1283821766350993E-2</v>
      </c>
    </row>
    <row r="1278" spans="19:27" x14ac:dyDescent="0.2">
      <c r="S1278" s="1"/>
      <c r="T1278" s="117"/>
      <c r="W1278" s="75" t="str">
        <f t="shared" si="30"/>
        <v>1w</v>
      </c>
      <c r="X1278" s="148">
        <f>_xll.qlCalendarAdvance(Calendar,X1277,W1278,"f",FALSE)</f>
        <v>47879</v>
      </c>
      <c r="Y1278" s="153">
        <f>_xll.qlCalendarAdvance(Calendar,X1278,NDays&amp;"D")</f>
        <v>47879</v>
      </c>
      <c r="Z1278" s="154">
        <v>3.1385374060361376E-2</v>
      </c>
      <c r="AA1278" s="156">
        <v>3.1282082871470683E-2</v>
      </c>
    </row>
    <row r="1279" spans="19:27" x14ac:dyDescent="0.2">
      <c r="S1279" s="1"/>
      <c r="T1279" s="117"/>
      <c r="W1279" s="75" t="str">
        <f t="shared" si="30"/>
        <v>1w</v>
      </c>
      <c r="X1279" s="148">
        <f>_xll.qlCalendarAdvance(Calendar,X1278,W1279,"f",FALSE)</f>
        <v>47886</v>
      </c>
      <c r="Y1279" s="153">
        <f>_xll.qlCalendarAdvance(Calendar,X1279,NDays&amp;"D")</f>
        <v>47886</v>
      </c>
      <c r="Z1279" s="154">
        <v>3.1383247236274212E-2</v>
      </c>
      <c r="AA1279" s="156">
        <v>3.1280291851918017E-2</v>
      </c>
    </row>
    <row r="1280" spans="19:27" x14ac:dyDescent="0.2">
      <c r="S1280" s="1"/>
      <c r="T1280" s="117"/>
      <c r="W1280" s="75" t="str">
        <f t="shared" si="30"/>
        <v>1w</v>
      </c>
      <c r="X1280" s="148">
        <f>_xll.qlCalendarAdvance(Calendar,X1279,W1280,"f",FALSE)</f>
        <v>47893</v>
      </c>
      <c r="Y1280" s="153">
        <f>_xll.qlCalendarAdvance(Calendar,X1280,NDays&amp;"D")</f>
        <v>47893</v>
      </c>
      <c r="Z1280" s="154">
        <v>3.1381067903164077E-2</v>
      </c>
      <c r="AA1280" s="156">
        <v>3.1278448707557915E-2</v>
      </c>
    </row>
    <row r="1281" spans="19:27" x14ac:dyDescent="0.2">
      <c r="S1281" s="1"/>
      <c r="T1281" s="117"/>
      <c r="W1281" s="75" t="str">
        <f t="shared" si="30"/>
        <v>1w</v>
      </c>
      <c r="X1281" s="148">
        <f>_xll.qlCalendarAdvance(Calendar,X1280,W1281,"f",FALSE)</f>
        <v>47900</v>
      </c>
      <c r="Y1281" s="153">
        <f>_xll.qlCalendarAdvance(Calendar,X1281,NDays&amp;"D")</f>
        <v>47900</v>
      </c>
      <c r="Z1281" s="154">
        <v>3.1378836061112948E-2</v>
      </c>
      <c r="AA1281" s="156">
        <v>3.1276553438498444E-2</v>
      </c>
    </row>
    <row r="1282" spans="19:27" x14ac:dyDescent="0.2">
      <c r="S1282" s="1"/>
      <c r="T1282" s="117"/>
      <c r="W1282" s="75" t="str">
        <f t="shared" si="30"/>
        <v>1w</v>
      </c>
      <c r="X1282" s="148">
        <f>_xll.qlCalendarAdvance(Calendar,X1281,W1282,"f",FALSE)</f>
        <v>47907</v>
      </c>
      <c r="Y1282" s="153">
        <f>_xll.qlCalendarAdvance(Calendar,X1282,NDays&amp;"D")</f>
        <v>47907</v>
      </c>
      <c r="Z1282" s="154">
        <v>3.137889548274362E-2</v>
      </c>
      <c r="AA1282" s="156">
        <v>3.1274606044739604E-2</v>
      </c>
    </row>
    <row r="1283" spans="19:27" x14ac:dyDescent="0.2">
      <c r="S1283" s="1"/>
      <c r="T1283" s="117"/>
      <c r="W1283" s="75" t="str">
        <f t="shared" si="30"/>
        <v>1w</v>
      </c>
      <c r="X1283" s="148">
        <f>_xll.qlCalendarAdvance(Calendar,X1282,W1283,"f",FALSE)</f>
        <v>47914</v>
      </c>
      <c r="Y1283" s="153">
        <f>_xll.qlCalendarAdvance(Calendar,X1283,NDays&amp;"D")</f>
        <v>47914</v>
      </c>
      <c r="Z1283" s="154">
        <v>3.1380052193532404E-2</v>
      </c>
      <c r="AA1283" s="156">
        <v>3.1272606526173329E-2</v>
      </c>
    </row>
    <row r="1284" spans="19:27" x14ac:dyDescent="0.2">
      <c r="S1284" s="1"/>
      <c r="T1284" s="117"/>
      <c r="W1284" s="75" t="str">
        <f t="shared" si="30"/>
        <v>1w</v>
      </c>
      <c r="X1284" s="148">
        <f>_xll.qlCalendarAdvance(Calendar,X1283,W1284,"f",FALSE)</f>
        <v>47921</v>
      </c>
      <c r="Y1284" s="153">
        <f>_xll.qlCalendarAdvance(Calendar,X1284,NDays&amp;"D")</f>
        <v>47921</v>
      </c>
      <c r="Z1284" s="154">
        <v>3.1377643040939346E-2</v>
      </c>
      <c r="AA1284" s="156">
        <v>3.1270554882907683E-2</v>
      </c>
    </row>
    <row r="1285" spans="19:27" x14ac:dyDescent="0.2">
      <c r="S1285" s="1"/>
      <c r="T1285" s="117"/>
      <c r="W1285" s="75" t="str">
        <f t="shared" si="30"/>
        <v>1w</v>
      </c>
      <c r="X1285" s="148">
        <f>_xll.qlCalendarAdvance(Calendar,X1284,W1285,"f",FALSE)</f>
        <v>47928</v>
      </c>
      <c r="Y1285" s="153">
        <f>_xll.qlCalendarAdvance(Calendar,X1285,NDays&amp;"D")</f>
        <v>47928</v>
      </c>
      <c r="Z1285" s="154">
        <v>3.1375181357388926E-2</v>
      </c>
      <c r="AA1285" s="156">
        <v>3.1268451114888629E-2</v>
      </c>
    </row>
    <row r="1286" spans="19:27" x14ac:dyDescent="0.2">
      <c r="S1286" s="1"/>
      <c r="T1286" s="117"/>
      <c r="W1286" s="75" t="str">
        <f t="shared" si="30"/>
        <v>1w</v>
      </c>
      <c r="X1286" s="148">
        <f>_xll.qlCalendarAdvance(Calendar,X1285,W1286,"f",FALSE)</f>
        <v>47935</v>
      </c>
      <c r="Y1286" s="153">
        <f>_xll.qlCalendarAdvance(Calendar,X1286,NDays&amp;"D")</f>
        <v>47935</v>
      </c>
      <c r="Z1286" s="154">
        <v>3.1372667142979441E-2</v>
      </c>
      <c r="AA1286" s="156">
        <v>3.1266295222170212E-2</v>
      </c>
    </row>
    <row r="1287" spans="19:27" x14ac:dyDescent="0.2">
      <c r="S1287" s="1"/>
      <c r="T1287" s="117"/>
      <c r="W1287" s="75" t="str">
        <f t="shared" si="30"/>
        <v>1w</v>
      </c>
      <c r="X1287" s="148">
        <f>_xll.qlCalendarAdvance(Calendar,X1286,W1287,"f",FALSE)</f>
        <v>47942</v>
      </c>
      <c r="Y1287" s="153">
        <f>_xll.qlCalendarAdvance(Calendar,X1287,NDays&amp;"D")</f>
        <v>47942</v>
      </c>
      <c r="Z1287" s="154">
        <v>3.1366646495153416E-2</v>
      </c>
      <c r="AA1287" s="156">
        <v>3.1264087204725399E-2</v>
      </c>
    </row>
    <row r="1288" spans="19:27" x14ac:dyDescent="0.2">
      <c r="S1288" s="1"/>
      <c r="T1288" s="117"/>
      <c r="W1288" s="75" t="str">
        <f t="shared" si="30"/>
        <v>1w</v>
      </c>
      <c r="X1288" s="148">
        <f>_xll.qlCalendarAdvance(Calendar,X1287,W1288,"f",FALSE)</f>
        <v>47953</v>
      </c>
      <c r="Y1288" s="153">
        <f>_xll.qlCalendarAdvance(Calendar,X1288,NDays&amp;"D")</f>
        <v>47953</v>
      </c>
      <c r="Z1288" s="154">
        <v>3.1362525652304338E-2</v>
      </c>
      <c r="AA1288" s="156">
        <v>3.1258165839611607E-2</v>
      </c>
    </row>
    <row r="1289" spans="19:27" x14ac:dyDescent="0.2">
      <c r="S1289" s="1"/>
      <c r="T1289" s="117"/>
      <c r="W1289" s="75" t="str">
        <f t="shared" si="30"/>
        <v>1w</v>
      </c>
      <c r="X1289" s="148">
        <f>_xll.qlCalendarAdvance(Calendar,X1288,W1289,"f",FALSE)</f>
        <v>47960</v>
      </c>
      <c r="Y1289" s="153">
        <f>_xll.qlCalendarAdvance(Calendar,X1289,NDays&amp;"D")</f>
        <v>47960</v>
      </c>
      <c r="Z1289" s="154">
        <v>3.1359835775775523E-2</v>
      </c>
      <c r="AA1289" s="156">
        <v>3.1255831633377751E-2</v>
      </c>
    </row>
    <row r="1290" spans="19:27" x14ac:dyDescent="0.2">
      <c r="S1290" s="1"/>
      <c r="T1290" s="117"/>
      <c r="W1290" s="75" t="str">
        <f t="shared" si="30"/>
        <v>1w</v>
      </c>
      <c r="X1290" s="148">
        <f>_xll.qlCalendarAdvance(Calendar,X1289,W1290,"f",FALSE)</f>
        <v>47967</v>
      </c>
      <c r="Y1290" s="153">
        <f>_xll.qlCalendarAdvance(Calendar,X1290,NDays&amp;"D")</f>
        <v>47967</v>
      </c>
      <c r="Z1290" s="154">
        <v>3.1357093382271162E-2</v>
      </c>
      <c r="AA1290" s="156">
        <v>3.125344531138663E-2</v>
      </c>
    </row>
    <row r="1291" spans="19:27" x14ac:dyDescent="0.2">
      <c r="S1291" s="1"/>
      <c r="T1291" s="117"/>
      <c r="W1291" s="75" t="str">
        <f t="shared" si="30"/>
        <v>1w</v>
      </c>
      <c r="X1291" s="148">
        <f>_xll.qlCalendarAdvance(Calendar,X1290,W1291,"f",FALSE)</f>
        <v>47974</v>
      </c>
      <c r="Y1291" s="153">
        <f>_xll.qlCalendarAdvance(Calendar,X1291,NDays&amp;"D")</f>
        <v>47974</v>
      </c>
      <c r="Z1291" s="154">
        <v>3.1355431879661104E-2</v>
      </c>
      <c r="AA1291" s="156">
        <v>3.1251006873395104E-2</v>
      </c>
    </row>
    <row r="1292" spans="19:27" x14ac:dyDescent="0.2">
      <c r="S1292" s="1"/>
      <c r="T1292" s="117"/>
      <c r="W1292" s="75" t="str">
        <f t="shared" si="30"/>
        <v>1w</v>
      </c>
      <c r="X1292" s="148">
        <f>_xll.qlCalendarAdvance(Calendar,X1291,W1292,"f",FALSE)</f>
        <v>47981</v>
      </c>
      <c r="Y1292" s="153">
        <f>_xll.qlCalendarAdvance(Calendar,X1292,NDays&amp;"D")</f>
        <v>47981</v>
      </c>
      <c r="Z1292" s="154">
        <v>3.1352580457368676E-2</v>
      </c>
      <c r="AA1292" s="156">
        <v>3.1248516319808406E-2</v>
      </c>
    </row>
    <row r="1293" spans="19:27" x14ac:dyDescent="0.2">
      <c r="S1293" s="1"/>
      <c r="T1293" s="117"/>
      <c r="W1293" s="75" t="str">
        <f t="shared" si="30"/>
        <v>1w</v>
      </c>
      <c r="X1293" s="148">
        <f>_xll.qlCalendarAdvance(Calendar,X1292,W1293,"f",FALSE)</f>
        <v>47988</v>
      </c>
      <c r="Y1293" s="153">
        <f>_xll.qlCalendarAdvance(Calendar,X1293,NDays&amp;"D")</f>
        <v>47988</v>
      </c>
      <c r="Z1293" s="154">
        <v>3.1349676513962491E-2</v>
      </c>
      <c r="AA1293" s="156">
        <v>3.1245973650221304E-2</v>
      </c>
    </row>
    <row r="1294" spans="19:27" x14ac:dyDescent="0.2">
      <c r="S1294" s="1"/>
      <c r="T1294" s="117"/>
      <c r="W1294" s="75" t="str">
        <f t="shared" si="30"/>
        <v>1w</v>
      </c>
      <c r="X1294" s="148">
        <f>_xll.qlCalendarAdvance(Calendar,X1293,W1294,"f",FALSE)</f>
        <v>47995</v>
      </c>
      <c r="Y1294" s="153">
        <f>_xll.qlCalendarAdvance(Calendar,X1294,NDays&amp;"D")</f>
        <v>47995</v>
      </c>
      <c r="Z1294" s="154">
        <v>3.1346720049557943E-2</v>
      </c>
      <c r="AA1294" s="156">
        <v>3.1243378864876936E-2</v>
      </c>
    </row>
    <row r="1295" spans="19:27" x14ac:dyDescent="0.2">
      <c r="S1295" s="1"/>
      <c r="T1295" s="117"/>
      <c r="W1295" s="75" t="str">
        <f t="shared" si="30"/>
        <v>1w</v>
      </c>
      <c r="X1295" s="148">
        <f>_xll.qlCalendarAdvance(Calendar,X1294,W1295,"f",FALSE)</f>
        <v>48002</v>
      </c>
      <c r="Y1295" s="153">
        <f>_xll.qlCalendarAdvance(Calendar,X1295,NDays&amp;"D")</f>
        <v>48002</v>
      </c>
      <c r="Z1295" s="154">
        <v>3.1343711064270439E-2</v>
      </c>
      <c r="AA1295" s="156">
        <v>3.1240731963775303E-2</v>
      </c>
    </row>
    <row r="1296" spans="19:27" x14ac:dyDescent="0.2">
      <c r="S1296" s="1"/>
      <c r="T1296" s="117"/>
      <c r="W1296" s="75" t="str">
        <f t="shared" si="30"/>
        <v>1w</v>
      </c>
      <c r="X1296" s="148">
        <f>_xll.qlCalendarAdvance(Calendar,X1295,W1296,"f",FALSE)</f>
        <v>48009</v>
      </c>
      <c r="Y1296" s="153">
        <f>_xll.qlCalendarAdvance(Calendar,X1296,NDays&amp;"D")</f>
        <v>48009</v>
      </c>
      <c r="Z1296" s="154">
        <v>3.1340649558220669E-2</v>
      </c>
      <c r="AA1296" s="156">
        <v>3.1238032946835359E-2</v>
      </c>
    </row>
    <row r="1297" spans="19:27" x14ac:dyDescent="0.2">
      <c r="S1297" s="1"/>
      <c r="T1297" s="117"/>
      <c r="W1297" s="75" t="str">
        <f t="shared" si="30"/>
        <v>1w</v>
      </c>
      <c r="X1297" s="148">
        <f>_xll.qlCalendarAdvance(Calendar,X1296,W1297,"f",FALSE)</f>
        <v>48016</v>
      </c>
      <c r="Y1297" s="153">
        <f>_xll.qlCalendarAdvance(Calendar,X1297,NDays&amp;"D")</f>
        <v>48016</v>
      </c>
      <c r="Z1297" s="154">
        <v>3.1337535531524907E-2</v>
      </c>
      <c r="AA1297" s="156">
        <v>3.1235281814057103E-2</v>
      </c>
    </row>
    <row r="1298" spans="19:27" x14ac:dyDescent="0.2">
      <c r="S1298" s="1"/>
      <c r="T1298" s="117"/>
      <c r="W1298" s="75" t="str">
        <f t="shared" si="30"/>
        <v>1w</v>
      </c>
      <c r="X1298" s="148">
        <f>_xll.qlCalendarAdvance(Calendar,X1297,W1298,"f",FALSE)</f>
        <v>48023</v>
      </c>
      <c r="Y1298" s="153">
        <f>_xll.qlCalendarAdvance(Calendar,X1298,NDays&amp;"D")</f>
        <v>48023</v>
      </c>
      <c r="Z1298" s="154">
        <v>3.1334368984310905E-2</v>
      </c>
      <c r="AA1298" s="156">
        <v>3.1232478565440536E-2</v>
      </c>
    </row>
    <row r="1299" spans="19:27" x14ac:dyDescent="0.2">
      <c r="S1299" s="1"/>
      <c r="T1299" s="117"/>
      <c r="W1299" s="75" t="str">
        <f t="shared" si="30"/>
        <v>1w</v>
      </c>
      <c r="X1299" s="148">
        <f>_xll.qlCalendarAdvance(Calendar,X1298,W1299,"f",FALSE)</f>
        <v>48030</v>
      </c>
      <c r="Y1299" s="153">
        <f>_xll.qlCalendarAdvance(Calendar,X1299,NDays&amp;"D")</f>
        <v>48030</v>
      </c>
      <c r="Z1299" s="154">
        <v>3.1331149916699337E-2</v>
      </c>
      <c r="AA1299" s="156">
        <v>3.1229623201066703E-2</v>
      </c>
    </row>
    <row r="1300" spans="19:27" x14ac:dyDescent="0.2">
      <c r="S1300" s="1"/>
      <c r="T1300" s="117"/>
      <c r="W1300" s="75" t="str">
        <f t="shared" si="30"/>
        <v>1w</v>
      </c>
      <c r="X1300" s="148">
        <f>_xll.qlCalendarAdvance(Calendar,X1299,W1300,"f",FALSE)</f>
        <v>48037</v>
      </c>
      <c r="Y1300" s="153">
        <f>_xll.qlCalendarAdvance(Calendar,X1300,NDays&amp;"D")</f>
        <v>48037</v>
      </c>
      <c r="Z1300" s="154">
        <v>3.1327878328819711E-2</v>
      </c>
      <c r="AA1300" s="156">
        <v>3.1226715720854559E-2</v>
      </c>
    </row>
    <row r="1301" spans="19:27" x14ac:dyDescent="0.2">
      <c r="S1301" s="1"/>
      <c r="T1301" s="117"/>
      <c r="W1301" s="75" t="str">
        <f t="shared" ref="W1301:W1364" si="31">W1300</f>
        <v>1w</v>
      </c>
      <c r="X1301" s="148">
        <f>_xll.qlCalendarAdvance(Calendar,X1300,W1301,"f",FALSE)</f>
        <v>48044</v>
      </c>
      <c r="Y1301" s="153">
        <f>_xll.qlCalendarAdvance(Calendar,X1301,NDays&amp;"D")</f>
        <v>48044</v>
      </c>
      <c r="Z1301" s="154">
        <v>3.1324554220800639E-2</v>
      </c>
      <c r="AA1301" s="156">
        <v>3.1223756124885149E-2</v>
      </c>
    </row>
    <row r="1302" spans="19:27" x14ac:dyDescent="0.2">
      <c r="S1302" s="1"/>
      <c r="T1302" s="117"/>
      <c r="W1302" s="75" t="str">
        <f t="shared" si="31"/>
        <v>1w</v>
      </c>
      <c r="X1302" s="148">
        <f>_xll.qlCalendarAdvance(Calendar,X1301,W1302,"f",FALSE)</f>
        <v>48051</v>
      </c>
      <c r="Y1302" s="153">
        <f>_xll.qlCalendarAdvance(Calendar,X1302,NDays&amp;"D")</f>
        <v>48051</v>
      </c>
      <c r="Z1302" s="154">
        <v>3.1321177592771622E-2</v>
      </c>
      <c r="AA1302" s="156">
        <v>3.1220744413077428E-2</v>
      </c>
    </row>
    <row r="1303" spans="19:27" x14ac:dyDescent="0.2">
      <c r="S1303" s="1"/>
      <c r="T1303" s="117"/>
      <c r="W1303" s="75" t="str">
        <f t="shared" si="31"/>
        <v>1w</v>
      </c>
      <c r="X1303" s="148">
        <f>_xll.qlCalendarAdvance(Calendar,X1302,W1303,"f",FALSE)</f>
        <v>48058</v>
      </c>
      <c r="Y1303" s="153">
        <f>_xll.qlCalendarAdvance(Calendar,X1303,NDays&amp;"D")</f>
        <v>48058</v>
      </c>
      <c r="Z1303" s="154">
        <v>3.1317748444867441E-2</v>
      </c>
      <c r="AA1303" s="156">
        <v>3.1217680585512442E-2</v>
      </c>
    </row>
    <row r="1304" spans="19:27" x14ac:dyDescent="0.2">
      <c r="S1304" s="1"/>
      <c r="T1304" s="117"/>
      <c r="W1304" s="75" t="str">
        <f t="shared" si="31"/>
        <v>1w</v>
      </c>
      <c r="X1304" s="148">
        <f>_xll.qlCalendarAdvance(Calendar,X1303,W1304,"f",FALSE)</f>
        <v>48065</v>
      </c>
      <c r="Y1304" s="153">
        <f>_xll.qlCalendarAdvance(Calendar,X1304,NDays&amp;"D")</f>
        <v>48065</v>
      </c>
      <c r="Z1304" s="154">
        <v>3.1314266777221995E-2</v>
      </c>
      <c r="AA1304" s="156">
        <v>3.1214564642109144E-2</v>
      </c>
    </row>
    <row r="1305" spans="19:27" x14ac:dyDescent="0.2">
      <c r="S1305" s="1"/>
      <c r="T1305" s="117"/>
      <c r="W1305" s="75" t="str">
        <f t="shared" si="31"/>
        <v>1w</v>
      </c>
      <c r="X1305" s="148">
        <f>_xll.qlCalendarAdvance(Calendar,X1304,W1305,"f",FALSE)</f>
        <v>48072</v>
      </c>
      <c r="Y1305" s="153">
        <f>_xll.qlCalendarAdvance(Calendar,X1305,NDays&amp;"D")</f>
        <v>48072</v>
      </c>
      <c r="Z1305" s="154">
        <v>3.1310732589973592E-2</v>
      </c>
      <c r="AA1305" s="156">
        <v>3.1211396582867534E-2</v>
      </c>
    </row>
    <row r="1306" spans="19:27" x14ac:dyDescent="0.2">
      <c r="S1306" s="1"/>
      <c r="T1306" s="117"/>
      <c r="W1306" s="75" t="str">
        <f t="shared" si="31"/>
        <v>1w</v>
      </c>
      <c r="X1306" s="148">
        <f>_xll.qlCalendarAdvance(Calendar,X1305,W1306,"f",FALSE)</f>
        <v>48079</v>
      </c>
      <c r="Y1306" s="153">
        <f>_xll.qlCalendarAdvance(Calendar,X1306,NDays&amp;"D")</f>
        <v>48079</v>
      </c>
      <c r="Z1306" s="154">
        <v>3.1307145883258787E-2</v>
      </c>
      <c r="AA1306" s="156">
        <v>3.120817640786866E-2</v>
      </c>
    </row>
    <row r="1307" spans="19:27" x14ac:dyDescent="0.2">
      <c r="S1307" s="1"/>
      <c r="T1307" s="117"/>
      <c r="W1307" s="75" t="str">
        <f t="shared" si="31"/>
        <v>1w</v>
      </c>
      <c r="X1307" s="148">
        <f>_xll.qlCalendarAdvance(Calendar,X1306,W1307,"f",FALSE)</f>
        <v>48086</v>
      </c>
      <c r="Y1307" s="153">
        <f>_xll.qlCalendarAdvance(Calendar,X1307,NDays&amp;"D")</f>
        <v>48086</v>
      </c>
      <c r="Z1307" s="154">
        <v>3.1303506657222924E-2</v>
      </c>
      <c r="AA1307" s="156">
        <v>3.120490411711252E-2</v>
      </c>
    </row>
    <row r="1308" spans="19:27" x14ac:dyDescent="0.2">
      <c r="S1308" s="1"/>
      <c r="T1308" s="117"/>
      <c r="W1308" s="75" t="str">
        <f t="shared" si="31"/>
        <v>1w</v>
      </c>
      <c r="X1308" s="148">
        <f>_xll.qlCalendarAdvance(Calendar,X1307,W1308,"f",FALSE)</f>
        <v>48093</v>
      </c>
      <c r="Y1308" s="153">
        <f>_xll.qlCalendarAdvance(Calendar,X1308,NDays&amp;"D")</f>
        <v>48093</v>
      </c>
      <c r="Z1308" s="154">
        <v>3.1298750027824861E-2</v>
      </c>
      <c r="AA1308" s="156">
        <v>3.1201579710437022E-2</v>
      </c>
    </row>
    <row r="1309" spans="19:27" x14ac:dyDescent="0.2">
      <c r="S1309" s="1"/>
      <c r="T1309" s="117"/>
      <c r="W1309" s="75" t="str">
        <f t="shared" si="31"/>
        <v>1w</v>
      </c>
      <c r="X1309" s="148">
        <f>_xll.qlCalendarAdvance(Calendar,X1308,W1309,"f",FALSE)</f>
        <v>48100</v>
      </c>
      <c r="Y1309" s="153">
        <f>_xll.qlCalendarAdvance(Calendar,X1309,NDays&amp;"D")</f>
        <v>48100</v>
      </c>
      <c r="Z1309" s="154">
        <v>3.1295009834392651E-2</v>
      </c>
      <c r="AA1309" s="156">
        <v>3.1198203188085305E-2</v>
      </c>
    </row>
    <row r="1310" spans="19:27" x14ac:dyDescent="0.2">
      <c r="S1310" s="1"/>
      <c r="T1310" s="117"/>
      <c r="W1310" s="75" t="str">
        <f t="shared" si="31"/>
        <v>1w</v>
      </c>
      <c r="X1310" s="148">
        <f>_xll.qlCalendarAdvance(Calendar,X1309,W1310,"f",FALSE)</f>
        <v>48107</v>
      </c>
      <c r="Y1310" s="153">
        <f>_xll.qlCalendarAdvance(Calendar,X1310,NDays&amp;"D")</f>
        <v>48107</v>
      </c>
      <c r="Z1310" s="154">
        <v>3.1291217126509806E-2</v>
      </c>
      <c r="AA1310" s="156">
        <v>3.1194774549895277E-2</v>
      </c>
    </row>
    <row r="1311" spans="19:27" x14ac:dyDescent="0.2">
      <c r="S1311" s="1"/>
      <c r="T1311" s="117"/>
      <c r="W1311" s="75" t="str">
        <f t="shared" si="31"/>
        <v>1w</v>
      </c>
      <c r="X1311" s="148">
        <f>_xll.qlCalendarAdvance(Calendar,X1310,W1311,"f",FALSE)</f>
        <v>48114</v>
      </c>
      <c r="Y1311" s="153">
        <f>_xll.qlCalendarAdvance(Calendar,X1311,NDays&amp;"D")</f>
        <v>48114</v>
      </c>
      <c r="Z1311" s="154">
        <v>3.1287371904325054E-2</v>
      </c>
      <c r="AA1311" s="156">
        <v>3.1191293795947983E-2</v>
      </c>
    </row>
    <row r="1312" spans="19:27" x14ac:dyDescent="0.2">
      <c r="S1312" s="1"/>
      <c r="T1312" s="117"/>
      <c r="W1312" s="75" t="str">
        <f t="shared" si="31"/>
        <v>1w</v>
      </c>
      <c r="X1312" s="148">
        <f>_xll.qlCalendarAdvance(Calendar,X1311,W1312,"f",FALSE)</f>
        <v>48121</v>
      </c>
      <c r="Y1312" s="153">
        <f>_xll.qlCalendarAdvance(Calendar,X1312,NDays&amp;"D")</f>
        <v>48121</v>
      </c>
      <c r="Z1312" s="154">
        <v>3.1284522742285277E-2</v>
      </c>
      <c r="AA1312" s="156">
        <v>3.1187760926162378E-2</v>
      </c>
    </row>
    <row r="1313" spans="19:27" x14ac:dyDescent="0.2">
      <c r="S1313" s="1"/>
      <c r="T1313" s="117"/>
      <c r="W1313" s="75" t="str">
        <f t="shared" si="31"/>
        <v>1w</v>
      </c>
      <c r="X1313" s="148">
        <f>_xll.qlCalendarAdvance(Calendar,X1312,W1313,"f",FALSE)</f>
        <v>48128</v>
      </c>
      <c r="Y1313" s="153">
        <f>_xll.qlCalendarAdvance(Calendar,X1313,NDays&amp;"D")</f>
        <v>48128</v>
      </c>
      <c r="Z1313" s="154">
        <v>3.1280568403394042E-2</v>
      </c>
      <c r="AA1313" s="156">
        <v>3.1184175940619507E-2</v>
      </c>
    </row>
    <row r="1314" spans="19:27" x14ac:dyDescent="0.2">
      <c r="S1314" s="1"/>
      <c r="T1314" s="117"/>
      <c r="W1314" s="75" t="str">
        <f t="shared" si="31"/>
        <v>1w</v>
      </c>
      <c r="X1314" s="148">
        <f>_xll.qlCalendarAdvance(Calendar,X1313,W1314,"f",FALSE)</f>
        <v>48135</v>
      </c>
      <c r="Y1314" s="153">
        <f>_xll.qlCalendarAdvance(Calendar,X1314,NDays&amp;"D")</f>
        <v>48135</v>
      </c>
      <c r="Z1314" s="154">
        <v>3.1276561546226544E-2</v>
      </c>
      <c r="AA1314" s="156">
        <v>3.1180538839319372E-2</v>
      </c>
    </row>
    <row r="1315" spans="19:27" x14ac:dyDescent="0.2">
      <c r="S1315" s="1"/>
      <c r="T1315" s="117"/>
      <c r="W1315" s="75" t="str">
        <f t="shared" si="31"/>
        <v>1w</v>
      </c>
      <c r="X1315" s="148">
        <f>_xll.qlCalendarAdvance(Calendar,X1314,W1315,"f",FALSE)</f>
        <v>48142</v>
      </c>
      <c r="Y1315" s="153">
        <f>_xll.qlCalendarAdvance(Calendar,X1315,NDays&amp;"D")</f>
        <v>48142</v>
      </c>
      <c r="Z1315" s="154">
        <v>3.1272502170941352E-2</v>
      </c>
      <c r="AA1315" s="156">
        <v>3.1176849622099878E-2</v>
      </c>
    </row>
    <row r="1316" spans="19:27" x14ac:dyDescent="0.2">
      <c r="S1316" s="1"/>
      <c r="T1316" s="117"/>
      <c r="W1316" s="75" t="str">
        <f t="shared" si="31"/>
        <v>1w</v>
      </c>
      <c r="X1316" s="148">
        <f>_xll.qlCalendarAdvance(Calendar,X1315,W1316,"f",FALSE)</f>
        <v>48149</v>
      </c>
      <c r="Y1316" s="153">
        <f>_xll.qlCalendarAdvance(Calendar,X1316,NDays&amp;"D")</f>
        <v>48149</v>
      </c>
      <c r="Z1316" s="154">
        <v>3.1268390277698802E-2</v>
      </c>
      <c r="AA1316" s="156">
        <v>3.1173108289204166E-2</v>
      </c>
    </row>
    <row r="1317" spans="19:27" x14ac:dyDescent="0.2">
      <c r="S1317" s="1"/>
      <c r="T1317" s="117"/>
      <c r="W1317" s="75" t="str">
        <f t="shared" si="31"/>
        <v>1w</v>
      </c>
      <c r="X1317" s="148">
        <f>_xll.qlCalendarAdvance(Calendar,X1316,W1317,"f",FALSE)</f>
        <v>48156</v>
      </c>
      <c r="Y1317" s="153">
        <f>_xll.qlCalendarAdvance(Calendar,X1317,NDays&amp;"D")</f>
        <v>48156</v>
      </c>
      <c r="Z1317" s="154">
        <v>3.1264225866660098E-2</v>
      </c>
      <c r="AA1317" s="156">
        <v>3.1169314840470141E-2</v>
      </c>
    </row>
    <row r="1318" spans="19:27" x14ac:dyDescent="0.2">
      <c r="S1318" s="1"/>
      <c r="T1318" s="117"/>
      <c r="W1318" s="75" t="str">
        <f t="shared" si="31"/>
        <v>1w</v>
      </c>
      <c r="X1318" s="148">
        <f>_xll.qlCalendarAdvance(Calendar,X1317,W1318,"f",FALSE)</f>
        <v>48163</v>
      </c>
      <c r="Y1318" s="153">
        <f>_xll.qlCalendarAdvance(Calendar,X1318,NDays&amp;"D")</f>
        <v>48163</v>
      </c>
      <c r="Z1318" s="154">
        <v>3.1260008937989095E-2</v>
      </c>
      <c r="AA1318" s="156">
        <v>3.1165469276059898E-2</v>
      </c>
    </row>
    <row r="1319" spans="19:27" x14ac:dyDescent="0.2">
      <c r="S1319" s="1"/>
      <c r="T1319" s="117"/>
      <c r="W1319" s="75" t="str">
        <f t="shared" si="31"/>
        <v>1w</v>
      </c>
      <c r="X1319" s="148">
        <f>_xll.qlCalendarAdvance(Calendar,X1318,W1319,"f",FALSE)</f>
        <v>48170</v>
      </c>
      <c r="Y1319" s="153">
        <f>_xll.qlCalendarAdvance(Calendar,X1319,NDays&amp;"D")</f>
        <v>48170</v>
      </c>
      <c r="Z1319" s="154">
        <v>3.1255739491853181E-2</v>
      </c>
      <c r="AA1319" s="156">
        <v>3.1161571595730297E-2</v>
      </c>
    </row>
    <row r="1320" spans="19:27" x14ac:dyDescent="0.2">
      <c r="S1320" s="1"/>
      <c r="T1320" s="117"/>
      <c r="W1320" s="75" t="str">
        <f t="shared" si="31"/>
        <v>1w</v>
      </c>
      <c r="X1320" s="148">
        <f>_xll.qlCalendarAdvance(Calendar,X1319,W1320,"f",FALSE)</f>
        <v>48177</v>
      </c>
      <c r="Y1320" s="153">
        <f>_xll.qlCalendarAdvance(Calendar,X1320,NDays&amp;"D")</f>
        <v>48177</v>
      </c>
      <c r="Z1320" s="154">
        <v>3.1251417528418847E-2</v>
      </c>
      <c r="AA1320" s="156">
        <v>3.1157621799724478E-2</v>
      </c>
    </row>
    <row r="1321" spans="19:27" x14ac:dyDescent="0.2">
      <c r="S1321" s="1"/>
      <c r="T1321" s="117"/>
      <c r="W1321" s="75" t="str">
        <f t="shared" si="31"/>
        <v>1w</v>
      </c>
      <c r="X1321" s="148">
        <f>_xll.qlCalendarAdvance(Calendar,X1320,W1321,"f",FALSE)</f>
        <v>48184</v>
      </c>
      <c r="Y1321" s="153">
        <f>_xll.qlCalendarAdvance(Calendar,X1321,NDays&amp;"D")</f>
        <v>48184</v>
      </c>
      <c r="Z1321" s="154">
        <v>3.1246031429797261E-2</v>
      </c>
      <c r="AA1321" s="156">
        <v>3.1153619887961392E-2</v>
      </c>
    </row>
    <row r="1322" spans="19:27" x14ac:dyDescent="0.2">
      <c r="S1322" s="1"/>
      <c r="T1322" s="117"/>
      <c r="W1322" s="75" t="str">
        <f t="shared" si="31"/>
        <v>1w</v>
      </c>
      <c r="X1322" s="148">
        <f>_xll.qlCalendarAdvance(Calendar,X1321,W1322,"f",FALSE)</f>
        <v>48191</v>
      </c>
      <c r="Y1322" s="153">
        <f>_xll.qlCalendarAdvance(Calendar,X1322,NDays&amp;"D")</f>
        <v>48191</v>
      </c>
      <c r="Z1322" s="154">
        <v>3.1241608560621831E-2</v>
      </c>
      <c r="AA1322" s="156">
        <v>3.1149565860359996E-2</v>
      </c>
    </row>
    <row r="1323" spans="19:27" x14ac:dyDescent="0.2">
      <c r="S1323" s="1"/>
      <c r="T1323" s="117"/>
      <c r="W1323" s="75" t="str">
        <f t="shared" si="31"/>
        <v>1w</v>
      </c>
      <c r="X1323" s="148">
        <f>_xll.qlCalendarAdvance(Calendar,X1322,W1323,"f",FALSE)</f>
        <v>48198</v>
      </c>
      <c r="Y1323" s="153">
        <f>_xll.qlCalendarAdvance(Calendar,X1323,NDays&amp;"D")</f>
        <v>48198</v>
      </c>
      <c r="Z1323" s="154">
        <v>3.1237133179078024E-2</v>
      </c>
      <c r="AA1323" s="156">
        <v>3.114545971708238E-2</v>
      </c>
    </row>
    <row r="1324" spans="19:27" x14ac:dyDescent="0.2">
      <c r="S1324" s="1"/>
      <c r="T1324" s="117"/>
      <c r="W1324" s="75" t="str">
        <f t="shared" si="31"/>
        <v>1w</v>
      </c>
      <c r="X1324" s="148">
        <f>_xll.qlCalendarAdvance(Calendar,X1323,W1324,"f",FALSE)</f>
        <v>48205</v>
      </c>
      <c r="Y1324" s="153">
        <f>_xll.qlCalendarAdvance(Calendar,X1324,NDays&amp;"D")</f>
        <v>48205</v>
      </c>
      <c r="Z1324" s="154">
        <v>3.1232605285338628E-2</v>
      </c>
      <c r="AA1324" s="156">
        <v>3.1141301457885406E-2</v>
      </c>
    </row>
    <row r="1325" spans="19:27" x14ac:dyDescent="0.2">
      <c r="S1325" s="1"/>
      <c r="T1325" s="117"/>
      <c r="W1325" s="75" t="str">
        <f t="shared" si="31"/>
        <v>1w</v>
      </c>
      <c r="X1325" s="148">
        <f>_xll.qlCalendarAdvance(Calendar,X1324,W1325,"f",FALSE)</f>
        <v>48212</v>
      </c>
      <c r="Y1325" s="153">
        <f>_xll.qlCalendarAdvance(Calendar,X1325,NDays&amp;"D")</f>
        <v>48212</v>
      </c>
      <c r="Z1325" s="154">
        <v>3.1228024879581758E-2</v>
      </c>
      <c r="AA1325" s="156">
        <v>3.1137091083012214E-2</v>
      </c>
    </row>
    <row r="1326" spans="19:27" x14ac:dyDescent="0.2">
      <c r="S1326" s="1"/>
      <c r="T1326" s="117"/>
      <c r="W1326" s="75" t="str">
        <f t="shared" si="31"/>
        <v>1w</v>
      </c>
      <c r="X1326" s="148">
        <f>_xll.qlCalendarAdvance(Calendar,X1325,W1326,"f",FALSE)</f>
        <v>48219</v>
      </c>
      <c r="Y1326" s="153">
        <f>_xll.qlCalendarAdvance(Calendar,X1326,NDays&amp;"D")</f>
        <v>48219</v>
      </c>
      <c r="Z1326" s="154">
        <v>3.1223391961982875E-2</v>
      </c>
      <c r="AA1326" s="156">
        <v>3.113282859230071E-2</v>
      </c>
    </row>
    <row r="1327" spans="19:27" x14ac:dyDescent="0.2">
      <c r="S1327" s="1"/>
      <c r="T1327" s="117"/>
      <c r="W1327" s="75" t="str">
        <f t="shared" si="31"/>
        <v>1w</v>
      </c>
      <c r="X1327" s="148">
        <f>_xll.qlCalendarAdvance(Calendar,X1326,W1327,"f",FALSE)</f>
        <v>48226</v>
      </c>
      <c r="Y1327" s="153">
        <f>_xll.qlCalendarAdvance(Calendar,X1327,NDays&amp;"D")</f>
        <v>48226</v>
      </c>
      <c r="Z1327" s="154">
        <v>3.1218706532726327E-2</v>
      </c>
      <c r="AA1327" s="156">
        <v>3.112851398583194E-2</v>
      </c>
    </row>
    <row r="1328" spans="19:27" x14ac:dyDescent="0.2">
      <c r="S1328" s="1"/>
      <c r="T1328" s="117"/>
      <c r="W1328" s="75" t="str">
        <f t="shared" si="31"/>
        <v>1w</v>
      </c>
      <c r="X1328" s="148">
        <f>_xll.qlCalendarAdvance(Calendar,X1327,W1328,"f",FALSE)</f>
        <v>48233</v>
      </c>
      <c r="Y1328" s="153">
        <f>_xll.qlCalendarAdvance(Calendar,X1328,NDays&amp;"D")</f>
        <v>48233</v>
      </c>
      <c r="Z1328" s="154">
        <v>3.1213968591992922E-2</v>
      </c>
      <c r="AA1328" s="156">
        <v>3.1124147263686952E-2</v>
      </c>
    </row>
    <row r="1329" spans="19:27" x14ac:dyDescent="0.2">
      <c r="S1329" s="1"/>
      <c r="T1329" s="117"/>
      <c r="W1329" s="75" t="str">
        <f t="shared" si="31"/>
        <v>1w</v>
      </c>
      <c r="X1329" s="148">
        <f>_xll.qlCalendarAdvance(Calendar,X1328,W1329,"f",FALSE)</f>
        <v>48240</v>
      </c>
      <c r="Y1329" s="153">
        <f>_xll.qlCalendarAdvance(Calendar,X1329,NDays&amp;"D")</f>
        <v>48240</v>
      </c>
      <c r="Z1329" s="154">
        <v>3.1209178139967004E-2</v>
      </c>
      <c r="AA1329" s="156">
        <v>3.1119728425703652E-2</v>
      </c>
    </row>
    <row r="1330" spans="19:27" x14ac:dyDescent="0.2">
      <c r="S1330" s="1"/>
      <c r="T1330" s="117"/>
      <c r="W1330" s="75" t="str">
        <f t="shared" si="31"/>
        <v>1w</v>
      </c>
      <c r="X1330" s="148">
        <f>_xll.qlCalendarAdvance(Calendar,X1329,W1330,"f",FALSE)</f>
        <v>48247</v>
      </c>
      <c r="Y1330" s="153">
        <f>_xll.qlCalendarAdvance(Calendar,X1330,NDays&amp;"D")</f>
        <v>48247</v>
      </c>
      <c r="Z1330" s="154">
        <v>3.1204335176836503E-2</v>
      </c>
      <c r="AA1330" s="156">
        <v>3.1115257472044133E-2</v>
      </c>
    </row>
    <row r="1331" spans="19:27" x14ac:dyDescent="0.2">
      <c r="S1331" s="1"/>
      <c r="T1331" s="117"/>
      <c r="W1331" s="75" t="str">
        <f t="shared" si="31"/>
        <v>1w</v>
      </c>
      <c r="X1331" s="148">
        <f>_xll.qlCalendarAdvance(Calendar,X1330,W1331,"f",FALSE)</f>
        <v>48254</v>
      </c>
      <c r="Y1331" s="153">
        <f>_xll.qlCalendarAdvance(Calendar,X1331,NDays&amp;"D")</f>
        <v>48254</v>
      </c>
      <c r="Z1331" s="154">
        <v>3.1198469223448464E-2</v>
      </c>
      <c r="AA1331" s="156">
        <v>3.1110734402546303E-2</v>
      </c>
    </row>
    <row r="1332" spans="19:27" x14ac:dyDescent="0.2">
      <c r="S1332" s="1"/>
      <c r="T1332" s="117"/>
      <c r="W1332" s="75" t="str">
        <f t="shared" si="31"/>
        <v>1w</v>
      </c>
      <c r="X1332" s="148">
        <f>_xll.qlCalendarAdvance(Calendar,X1331,W1332,"f",FALSE)</f>
        <v>48261</v>
      </c>
      <c r="Y1332" s="153">
        <f>_xll.qlCalendarAdvance(Calendar,X1332,NDays&amp;"D")</f>
        <v>48261</v>
      </c>
      <c r="Z1332" s="154">
        <v>3.1193525410366848E-2</v>
      </c>
      <c r="AA1332" s="156">
        <v>3.11061592174533E-2</v>
      </c>
    </row>
    <row r="1333" spans="19:27" x14ac:dyDescent="0.2">
      <c r="S1333" s="1"/>
      <c r="T1333" s="117"/>
      <c r="W1333" s="75" t="str">
        <f t="shared" si="31"/>
        <v>1w</v>
      </c>
      <c r="X1333" s="148">
        <f>_xll.qlCalendarAdvance(Calendar,X1332,W1333,"f",FALSE)</f>
        <v>48268</v>
      </c>
      <c r="Y1333" s="153">
        <f>_xll.qlCalendarAdvance(Calendar,X1333,NDays&amp;"D")</f>
        <v>48268</v>
      </c>
      <c r="Z1333" s="154">
        <v>3.1188529091139734E-2</v>
      </c>
      <c r="AA1333" s="156">
        <v>3.1101531916359892E-2</v>
      </c>
    </row>
    <row r="1334" spans="19:27" x14ac:dyDescent="0.2">
      <c r="S1334" s="1"/>
      <c r="T1334" s="117"/>
      <c r="W1334" s="75" t="str">
        <f t="shared" si="31"/>
        <v>1w</v>
      </c>
      <c r="X1334" s="148">
        <f>_xll.qlCalendarAdvance(Calendar,X1333,W1334,"f",FALSE)</f>
        <v>48275</v>
      </c>
      <c r="Y1334" s="153">
        <f>_xll.qlCalendarAdvance(Calendar,X1334,NDays&amp;"D")</f>
        <v>48275</v>
      </c>
      <c r="Z1334" s="154">
        <v>3.1185395823244238E-2</v>
      </c>
      <c r="AA1334" s="156">
        <v>3.1096852499590266E-2</v>
      </c>
    </row>
    <row r="1335" spans="19:27" x14ac:dyDescent="0.2">
      <c r="S1335" s="1"/>
      <c r="T1335" s="117"/>
      <c r="W1335" s="75" t="str">
        <f t="shared" si="31"/>
        <v>1w</v>
      </c>
      <c r="X1335" s="148">
        <f>_xll.qlCalendarAdvance(Calendar,X1334,W1335,"f",FALSE)</f>
        <v>48282</v>
      </c>
      <c r="Y1335" s="153">
        <f>_xll.qlCalendarAdvance(Calendar,X1335,NDays&amp;"D")</f>
        <v>48282</v>
      </c>
      <c r="Z1335" s="154">
        <v>3.1180286121942995E-2</v>
      </c>
      <c r="AA1335" s="156">
        <v>3.1092120967144421E-2</v>
      </c>
    </row>
    <row r="1336" spans="19:27" x14ac:dyDescent="0.2">
      <c r="S1336" s="1"/>
      <c r="T1336" s="117"/>
      <c r="W1336" s="75" t="str">
        <f t="shared" si="31"/>
        <v>1w</v>
      </c>
      <c r="X1336" s="148">
        <f>_xll.qlCalendarAdvance(Calendar,X1335,W1336,"f",FALSE)</f>
        <v>48289</v>
      </c>
      <c r="Y1336" s="153">
        <f>_xll.qlCalendarAdvance(Calendar,X1336,NDays&amp;"D")</f>
        <v>48289</v>
      </c>
      <c r="Z1336" s="154">
        <v>3.1175123906318259E-2</v>
      </c>
      <c r="AA1336" s="156">
        <v>3.108733731894131E-2</v>
      </c>
    </row>
    <row r="1337" spans="19:27" x14ac:dyDescent="0.2">
      <c r="S1337" s="1"/>
      <c r="T1337" s="117"/>
      <c r="W1337" s="75" t="str">
        <f t="shared" si="31"/>
        <v>1w</v>
      </c>
      <c r="X1337" s="148">
        <f>_xll.qlCalendarAdvance(Calendar,X1336,W1337,"f",FALSE)</f>
        <v>48296</v>
      </c>
      <c r="Y1337" s="153">
        <f>_xll.qlCalendarAdvance(Calendar,X1337,NDays&amp;"D")</f>
        <v>48296</v>
      </c>
      <c r="Z1337" s="154">
        <v>3.1169909176571763E-2</v>
      </c>
      <c r="AA1337" s="156">
        <v>3.1082501554899888E-2</v>
      </c>
    </row>
    <row r="1338" spans="19:27" x14ac:dyDescent="0.2">
      <c r="S1338" s="1"/>
      <c r="T1338" s="117"/>
      <c r="W1338" s="75" t="str">
        <f t="shared" si="31"/>
        <v>1w</v>
      </c>
      <c r="X1338" s="148">
        <f>_xll.qlCalendarAdvance(Calendar,X1337,W1338,"f",FALSE)</f>
        <v>48303</v>
      </c>
      <c r="Y1338" s="153">
        <f>_xll.qlCalendarAdvance(Calendar,X1338,NDays&amp;"D")</f>
        <v>48303</v>
      </c>
      <c r="Z1338" s="154">
        <v>3.1164641932908771E-2</v>
      </c>
      <c r="AA1338" s="156">
        <v>3.1077613675182247E-2</v>
      </c>
    </row>
    <row r="1339" spans="19:27" x14ac:dyDescent="0.2">
      <c r="S1339" s="1"/>
      <c r="T1339" s="117"/>
      <c r="W1339" s="75" t="str">
        <f t="shared" si="31"/>
        <v>1w</v>
      </c>
      <c r="X1339" s="148">
        <f>_xll.qlCalendarAdvance(Calendar,X1338,W1339,"f",FALSE)</f>
        <v>48310</v>
      </c>
      <c r="Y1339" s="153">
        <f>_xll.qlCalendarAdvance(Calendar,X1339,NDays&amp;"D")</f>
        <v>48310</v>
      </c>
      <c r="Z1339" s="154">
        <v>3.1158385540736487E-2</v>
      </c>
      <c r="AA1339" s="156">
        <v>3.1072673679707341E-2</v>
      </c>
    </row>
    <row r="1340" spans="19:27" x14ac:dyDescent="0.2">
      <c r="S1340" s="1"/>
      <c r="T1340" s="117"/>
      <c r="W1340" s="75" t="str">
        <f t="shared" si="31"/>
        <v>1w</v>
      </c>
      <c r="X1340" s="148">
        <f>_xll.qlCalendarAdvance(Calendar,X1339,W1340,"f",FALSE)</f>
        <v>48317</v>
      </c>
      <c r="Y1340" s="153">
        <f>_xll.qlCalendarAdvance(Calendar,X1340,NDays&amp;"D")</f>
        <v>48317</v>
      </c>
      <c r="Z1340" s="154">
        <v>3.1153017477271599E-2</v>
      </c>
      <c r="AA1340" s="156">
        <v>3.1067681568556216E-2</v>
      </c>
    </row>
    <row r="1341" spans="19:27" x14ac:dyDescent="0.2">
      <c r="S1341" s="1"/>
      <c r="T1341" s="117"/>
      <c r="W1341" s="75" t="str">
        <f t="shared" si="31"/>
        <v>1w</v>
      </c>
      <c r="X1341" s="148">
        <f>_xll.qlCalendarAdvance(Calendar,X1340,W1341,"f",FALSE)</f>
        <v>48324</v>
      </c>
      <c r="Y1341" s="153">
        <f>_xll.qlCalendarAdvance(Calendar,X1341,NDays&amp;"D")</f>
        <v>48324</v>
      </c>
      <c r="Z1341" s="154">
        <v>3.1147596904889486E-2</v>
      </c>
      <c r="AA1341" s="156">
        <v>3.1062637341647825E-2</v>
      </c>
    </row>
    <row r="1342" spans="19:27" x14ac:dyDescent="0.2">
      <c r="S1342" s="1"/>
      <c r="T1342" s="117"/>
      <c r="W1342" s="75" t="str">
        <f t="shared" si="31"/>
        <v>1w</v>
      </c>
      <c r="X1342" s="148">
        <f>_xll.qlCalendarAdvance(Calendar,X1341,W1342,"f",FALSE)</f>
        <v>48331</v>
      </c>
      <c r="Y1342" s="153">
        <f>_xll.qlCalendarAdvance(Calendar,X1342,NDays&amp;"D")</f>
        <v>48331</v>
      </c>
      <c r="Z1342" s="154">
        <v>3.1142123823803002E-2</v>
      </c>
      <c r="AA1342" s="156">
        <v>3.1057540998982169E-2</v>
      </c>
    </row>
    <row r="1343" spans="19:27" x14ac:dyDescent="0.2">
      <c r="S1343" s="1"/>
      <c r="T1343" s="117"/>
      <c r="W1343" s="75" t="str">
        <f t="shared" si="31"/>
        <v>1w</v>
      </c>
      <c r="X1343" s="148">
        <f>_xll.qlCalendarAdvance(Calendar,X1342,W1343,"f",FALSE)</f>
        <v>48338</v>
      </c>
      <c r="Y1343" s="153">
        <f>_xll.qlCalendarAdvance(Calendar,X1343,NDays&amp;"D")</f>
        <v>48338</v>
      </c>
      <c r="Z1343" s="154">
        <v>3.1137518013204763E-2</v>
      </c>
      <c r="AA1343" s="156">
        <v>3.1052392540559248E-2</v>
      </c>
    </row>
    <row r="1344" spans="19:27" x14ac:dyDescent="0.2">
      <c r="S1344" s="1"/>
      <c r="T1344" s="117"/>
      <c r="W1344" s="75" t="str">
        <f t="shared" si="31"/>
        <v>1w</v>
      </c>
      <c r="X1344" s="148">
        <f>_xll.qlCalendarAdvance(Calendar,X1343,W1344,"f",FALSE)</f>
        <v>48345</v>
      </c>
      <c r="Y1344" s="153">
        <f>_xll.qlCalendarAdvance(Calendar,X1344,NDays&amp;"D")</f>
        <v>48345</v>
      </c>
      <c r="Z1344" s="154">
        <v>3.1131935690480929E-2</v>
      </c>
      <c r="AA1344" s="156">
        <v>3.1047191966379062E-2</v>
      </c>
    </row>
    <row r="1345" spans="19:27" x14ac:dyDescent="0.2">
      <c r="S1345" s="1"/>
      <c r="T1345" s="117"/>
      <c r="W1345" s="75" t="str">
        <f t="shared" si="31"/>
        <v>1w</v>
      </c>
      <c r="X1345" s="148">
        <f>_xll.qlCalendarAdvance(Calendar,X1344,W1345,"f",FALSE)</f>
        <v>48352</v>
      </c>
      <c r="Y1345" s="153">
        <f>_xll.qlCalendarAdvance(Calendar,X1345,NDays&amp;"D")</f>
        <v>48352</v>
      </c>
      <c r="Z1345" s="154">
        <v>3.1126300855339073E-2</v>
      </c>
      <c r="AA1345" s="156">
        <v>3.1041939276522656E-2</v>
      </c>
    </row>
    <row r="1346" spans="19:27" x14ac:dyDescent="0.2">
      <c r="S1346" s="1"/>
      <c r="T1346" s="117"/>
      <c r="W1346" s="75" t="str">
        <f t="shared" si="31"/>
        <v>1w</v>
      </c>
      <c r="X1346" s="148">
        <f>_xll.qlCalendarAdvance(Calendar,X1345,W1346,"f",FALSE)</f>
        <v>48359</v>
      </c>
      <c r="Y1346" s="153">
        <f>_xll.qlCalendarAdvance(Calendar,X1346,NDays&amp;"D")</f>
        <v>48359</v>
      </c>
      <c r="Z1346" s="154">
        <v>3.1120613507998544E-2</v>
      </c>
      <c r="AA1346" s="156">
        <v>3.1036634470908986E-2</v>
      </c>
    </row>
    <row r="1347" spans="19:27" x14ac:dyDescent="0.2">
      <c r="S1347" s="1"/>
      <c r="T1347" s="117"/>
      <c r="W1347" s="75" t="str">
        <f t="shared" si="31"/>
        <v>1w</v>
      </c>
      <c r="X1347" s="148">
        <f>_xll.qlCalendarAdvance(Calendar,X1346,W1347,"f",FALSE)</f>
        <v>48366</v>
      </c>
      <c r="Y1347" s="153">
        <f>_xll.qlCalendarAdvance(Calendar,X1347,NDays&amp;"D")</f>
        <v>48366</v>
      </c>
      <c r="Z1347" s="154">
        <v>3.1114873648684864E-2</v>
      </c>
      <c r="AA1347" s="156">
        <v>3.1031277549619096E-2</v>
      </c>
    </row>
    <row r="1348" spans="19:27" x14ac:dyDescent="0.2">
      <c r="S1348" s="1"/>
      <c r="T1348" s="117"/>
      <c r="W1348" s="75" t="str">
        <f t="shared" si="31"/>
        <v>1w</v>
      </c>
      <c r="X1348" s="148">
        <f>_xll.qlCalendarAdvance(Calendar,X1347,W1348,"f",FALSE)</f>
        <v>48373</v>
      </c>
      <c r="Y1348" s="153">
        <f>_xll.qlCalendarAdvance(Calendar,X1348,NDays&amp;"D")</f>
        <v>48373</v>
      </c>
      <c r="Z1348" s="154">
        <v>3.1109081277624434E-2</v>
      </c>
      <c r="AA1348" s="156">
        <v>3.1025868512571941E-2</v>
      </c>
    </row>
    <row r="1349" spans="19:27" x14ac:dyDescent="0.2">
      <c r="S1349" s="1"/>
      <c r="T1349" s="117"/>
      <c r="W1349" s="75" t="str">
        <f t="shared" si="31"/>
        <v>1w</v>
      </c>
      <c r="X1349" s="148">
        <f>_xll.qlCalendarAdvance(Calendar,X1348,W1349,"f",FALSE)</f>
        <v>48380</v>
      </c>
      <c r="Y1349" s="153">
        <f>_xll.qlCalendarAdvance(Calendar,X1349,NDays&amp;"D")</f>
        <v>48380</v>
      </c>
      <c r="Z1349" s="154">
        <v>3.1103236395046297E-2</v>
      </c>
      <c r="AA1349" s="156">
        <v>3.1020407359848567E-2</v>
      </c>
    </row>
    <row r="1350" spans="19:27" x14ac:dyDescent="0.2">
      <c r="S1350" s="1"/>
      <c r="T1350" s="117"/>
      <c r="W1350" s="75" t="str">
        <f t="shared" si="31"/>
        <v>1w</v>
      </c>
      <c r="X1350" s="148">
        <f>_xll.qlCalendarAdvance(Calendar,X1349,W1350,"f",FALSE)</f>
        <v>48387</v>
      </c>
      <c r="Y1350" s="153">
        <f>_xll.qlCalendarAdvance(Calendar,X1350,NDays&amp;"D")</f>
        <v>48387</v>
      </c>
      <c r="Z1350" s="154">
        <v>3.1097339001179496E-2</v>
      </c>
      <c r="AA1350" s="156">
        <v>3.1014894091367928E-2</v>
      </c>
    </row>
    <row r="1351" spans="19:27" x14ac:dyDescent="0.2">
      <c r="S1351" s="1"/>
      <c r="T1351" s="117"/>
      <c r="W1351" s="75" t="str">
        <f t="shared" si="31"/>
        <v>1w</v>
      </c>
      <c r="X1351" s="148">
        <f>_xll.qlCalendarAdvance(Calendar,X1350,W1351,"f",FALSE)</f>
        <v>48394</v>
      </c>
      <c r="Y1351" s="153">
        <f>_xll.qlCalendarAdvance(Calendar,X1351,NDays&amp;"D")</f>
        <v>48394</v>
      </c>
      <c r="Z1351" s="154">
        <v>3.1091389096255719E-2</v>
      </c>
      <c r="AA1351" s="156">
        <v>3.1009328707130024E-2</v>
      </c>
    </row>
    <row r="1352" spans="19:27" x14ac:dyDescent="0.2">
      <c r="S1352" s="1"/>
      <c r="T1352" s="117"/>
      <c r="W1352" s="75" t="str">
        <f t="shared" si="31"/>
        <v>1w</v>
      </c>
      <c r="X1352" s="148">
        <f>_xll.qlCalendarAdvance(Calendar,X1351,W1352,"f",FALSE)</f>
        <v>48401</v>
      </c>
      <c r="Y1352" s="153">
        <f>_xll.qlCalendarAdvance(Calendar,X1352,NDays&amp;"D")</f>
        <v>48401</v>
      </c>
      <c r="Z1352" s="154">
        <v>3.1085386680511057E-2</v>
      </c>
      <c r="AA1352" s="156">
        <v>3.1003711207296947E-2</v>
      </c>
    </row>
    <row r="1353" spans="19:27" x14ac:dyDescent="0.2">
      <c r="S1353" s="1"/>
      <c r="T1353" s="117"/>
      <c r="W1353" s="75" t="str">
        <f t="shared" si="31"/>
        <v>1w</v>
      </c>
      <c r="X1353" s="148">
        <f>_xll.qlCalendarAdvance(Calendar,X1352,W1353,"f",FALSE)</f>
        <v>48408</v>
      </c>
      <c r="Y1353" s="153">
        <f>_xll.qlCalendarAdvance(Calendar,X1353,NDays&amp;"D")</f>
        <v>48408</v>
      </c>
      <c r="Z1353" s="154">
        <v>3.1079331754181604E-2</v>
      </c>
      <c r="AA1353" s="156">
        <v>3.0998041591706604E-2</v>
      </c>
    </row>
    <row r="1354" spans="19:27" x14ac:dyDescent="0.2">
      <c r="S1354" s="1"/>
      <c r="T1354" s="117"/>
      <c r="W1354" s="75" t="str">
        <f t="shared" si="31"/>
        <v>1w</v>
      </c>
      <c r="X1354" s="148">
        <f>_xll.qlCalendarAdvance(Calendar,X1353,W1354,"f",FALSE)</f>
        <v>48415</v>
      </c>
      <c r="Y1354" s="153">
        <f>_xll.qlCalendarAdvance(Calendar,X1354,NDays&amp;"D")</f>
        <v>48415</v>
      </c>
      <c r="Z1354" s="154">
        <v>3.107322431750521E-2</v>
      </c>
      <c r="AA1354" s="156">
        <v>3.099231986027795E-2</v>
      </c>
    </row>
    <row r="1355" spans="19:27" x14ac:dyDescent="0.2">
      <c r="S1355" s="1"/>
      <c r="T1355" s="117"/>
      <c r="W1355" s="75" t="str">
        <f t="shared" si="31"/>
        <v>1w</v>
      </c>
      <c r="X1355" s="148">
        <f>_xll.qlCalendarAdvance(Calendar,X1354,W1355,"f",FALSE)</f>
        <v>48422</v>
      </c>
      <c r="Y1355" s="153">
        <f>_xll.qlCalendarAdvance(Calendar,X1355,NDays&amp;"D")</f>
        <v>48422</v>
      </c>
      <c r="Z1355" s="154">
        <v>3.1067064370723253E-2</v>
      </c>
      <c r="AA1355" s="156">
        <v>3.0986546013254124E-2</v>
      </c>
    </row>
    <row r="1356" spans="19:27" x14ac:dyDescent="0.2">
      <c r="S1356" s="1"/>
      <c r="T1356" s="117"/>
      <c r="W1356" s="75" t="str">
        <f t="shared" si="31"/>
        <v>1w</v>
      </c>
      <c r="X1356" s="148">
        <f>_xll.qlCalendarAdvance(Calendar,X1355,W1356,"f",FALSE)</f>
        <v>48429</v>
      </c>
      <c r="Y1356" s="153">
        <f>_xll.qlCalendarAdvance(Calendar,X1356,NDays&amp;"D")</f>
        <v>48429</v>
      </c>
      <c r="Z1356" s="154">
        <v>3.1060851914077106E-2</v>
      </c>
      <c r="AA1356" s="156">
        <v>3.0980720050473032E-2</v>
      </c>
    </row>
    <row r="1357" spans="19:27" x14ac:dyDescent="0.2">
      <c r="S1357" s="1"/>
      <c r="T1357" s="117"/>
      <c r="W1357" s="75" t="str">
        <f t="shared" si="31"/>
        <v>1w</v>
      </c>
      <c r="X1357" s="148">
        <f>_xll.qlCalendarAdvance(Calendar,X1356,W1357,"f",FALSE)</f>
        <v>48436</v>
      </c>
      <c r="Y1357" s="153">
        <f>_xll.qlCalendarAdvance(Calendar,X1357,NDays&amp;"D")</f>
        <v>48436</v>
      </c>
      <c r="Z1357" s="154">
        <v>3.10545869478152E-2</v>
      </c>
      <c r="AA1357" s="156">
        <v>3.0974841972177813E-2</v>
      </c>
    </row>
    <row r="1358" spans="19:27" x14ac:dyDescent="0.2">
      <c r="S1358" s="1"/>
      <c r="T1358" s="117"/>
      <c r="W1358" s="75" t="str">
        <f t="shared" si="31"/>
        <v>1w</v>
      </c>
      <c r="X1358" s="148">
        <f>_xll.qlCalendarAdvance(Calendar,X1357,W1358,"f",FALSE)</f>
        <v>48443</v>
      </c>
      <c r="Y1358" s="153">
        <f>_xll.qlCalendarAdvance(Calendar,X1358,NDays&amp;"D")</f>
        <v>48443</v>
      </c>
      <c r="Z1358" s="154">
        <v>3.104826947217891E-2</v>
      </c>
      <c r="AA1358" s="156">
        <v>3.0968911778044284E-2</v>
      </c>
    </row>
    <row r="1359" spans="19:27" x14ac:dyDescent="0.2">
      <c r="S1359" s="1"/>
      <c r="T1359" s="117"/>
      <c r="W1359" s="75" t="str">
        <f t="shared" si="31"/>
        <v>1w</v>
      </c>
      <c r="X1359" s="148">
        <f>_xll.qlCalendarAdvance(Calendar,X1358,W1359,"f",FALSE)</f>
        <v>48450</v>
      </c>
      <c r="Y1359" s="153">
        <f>_xll.qlCalendarAdvance(Calendar,X1359,NDays&amp;"D")</f>
        <v>48450</v>
      </c>
      <c r="Z1359" s="154">
        <v>3.1041899487421944E-2</v>
      </c>
      <c r="AA1359" s="156">
        <v>3.0962929468234535E-2</v>
      </c>
    </row>
    <row r="1360" spans="19:27" x14ac:dyDescent="0.2">
      <c r="S1360" s="1"/>
      <c r="T1360" s="117"/>
      <c r="W1360" s="75" t="str">
        <f t="shared" si="31"/>
        <v>1w</v>
      </c>
      <c r="X1360" s="148">
        <f>_xll.qlCalendarAdvance(Calendar,X1359,W1360,"f",FALSE)</f>
        <v>48457</v>
      </c>
      <c r="Y1360" s="153">
        <f>_xll.qlCalendarAdvance(Calendar,X1360,NDays&amp;"D")</f>
        <v>48457</v>
      </c>
      <c r="Z1360" s="154">
        <v>3.1034629628733146E-2</v>
      </c>
      <c r="AA1360" s="156">
        <v>3.095689504266752E-2</v>
      </c>
    </row>
    <row r="1361" spans="19:27" x14ac:dyDescent="0.2">
      <c r="S1361" s="1"/>
      <c r="T1361" s="117"/>
      <c r="W1361" s="75" t="str">
        <f t="shared" si="31"/>
        <v>1w</v>
      </c>
      <c r="X1361" s="148">
        <f>_xll.qlCalendarAdvance(Calendar,X1360,W1361,"f",FALSE)</f>
        <v>48464</v>
      </c>
      <c r="Y1361" s="153">
        <f>_xll.qlCalendarAdvance(Calendar,X1361,NDays&amp;"D")</f>
        <v>48464</v>
      </c>
      <c r="Z1361" s="154">
        <v>3.1028158925109534E-2</v>
      </c>
      <c r="AA1361" s="156">
        <v>3.0950808501505334E-2</v>
      </c>
    </row>
    <row r="1362" spans="19:27" x14ac:dyDescent="0.2">
      <c r="S1362" s="1"/>
      <c r="T1362" s="117"/>
      <c r="W1362" s="75" t="str">
        <f t="shared" si="31"/>
        <v>1w</v>
      </c>
      <c r="X1362" s="148">
        <f>_xll.qlCalendarAdvance(Calendar,X1361,W1362,"f",FALSE)</f>
        <v>48471</v>
      </c>
      <c r="Y1362" s="153">
        <f>_xll.qlCalendarAdvance(Calendar,X1362,NDays&amp;"D")</f>
        <v>48471</v>
      </c>
      <c r="Z1362" s="154">
        <v>3.1021635717435034E-2</v>
      </c>
      <c r="AA1362" s="156">
        <v>3.0944669844585881E-2</v>
      </c>
    </row>
    <row r="1363" spans="19:27" x14ac:dyDescent="0.2">
      <c r="S1363" s="1"/>
      <c r="T1363" s="117"/>
      <c r="W1363" s="75" t="str">
        <f t="shared" si="31"/>
        <v>1w</v>
      </c>
      <c r="X1363" s="148">
        <f>_xll.qlCalendarAdvance(Calendar,X1362,W1363,"f",FALSE)</f>
        <v>48478</v>
      </c>
      <c r="Y1363" s="153">
        <f>_xll.qlCalendarAdvance(Calendar,X1363,NDays&amp;"D")</f>
        <v>48478</v>
      </c>
      <c r="Z1363" s="154">
        <v>3.101506000596347E-2</v>
      </c>
      <c r="AA1363" s="156">
        <v>3.093847907199021E-2</v>
      </c>
    </row>
    <row r="1364" spans="19:27" x14ac:dyDescent="0.2">
      <c r="S1364" s="1"/>
      <c r="T1364" s="117"/>
      <c r="W1364" s="75" t="str">
        <f t="shared" si="31"/>
        <v>1w</v>
      </c>
      <c r="X1364" s="148">
        <f>_xll.qlCalendarAdvance(Calendar,X1363,W1364,"f",FALSE)</f>
        <v>48485</v>
      </c>
      <c r="Y1364" s="153">
        <f>_xll.qlCalendarAdvance(Calendar,X1364,NDays&amp;"D")</f>
        <v>48485</v>
      </c>
      <c r="Z1364" s="154">
        <v>3.1009261935653992E-2</v>
      </c>
      <c r="AA1364" s="156">
        <v>3.093223618371832E-2</v>
      </c>
    </row>
    <row r="1365" spans="19:27" x14ac:dyDescent="0.2">
      <c r="S1365" s="1"/>
      <c r="T1365" s="117"/>
      <c r="W1365" s="75" t="str">
        <f t="shared" ref="W1365:W1428" si="32">W1364</f>
        <v>1w</v>
      </c>
      <c r="X1365" s="148">
        <f>_xll.qlCalendarAdvance(Calendar,X1364,W1365,"f",FALSE)</f>
        <v>48492</v>
      </c>
      <c r="Y1365" s="153">
        <f>_xll.qlCalendarAdvance(Calendar,X1365,NDays&amp;"D")</f>
        <v>48492</v>
      </c>
      <c r="Z1365" s="154">
        <v>3.1002576901503532E-2</v>
      </c>
      <c r="AA1365" s="156">
        <v>3.0925941179851257E-2</v>
      </c>
    </row>
    <row r="1366" spans="19:27" x14ac:dyDescent="0.2">
      <c r="S1366" s="1"/>
      <c r="T1366" s="117"/>
      <c r="W1366" s="75" t="str">
        <f t="shared" si="32"/>
        <v>1w</v>
      </c>
      <c r="X1366" s="148">
        <f>_xll.qlCalendarAdvance(Calendar,X1365,W1366,"f",FALSE)</f>
        <v>48499</v>
      </c>
      <c r="Y1366" s="153">
        <f>_xll.qlCalendarAdvance(Calendar,X1366,NDays&amp;"D")</f>
        <v>48499</v>
      </c>
      <c r="Z1366" s="154">
        <v>3.0995839360032154E-2</v>
      </c>
      <c r="AA1366" s="156">
        <v>3.0919594060145883E-2</v>
      </c>
    </row>
    <row r="1367" spans="19:27" x14ac:dyDescent="0.2">
      <c r="S1367" s="1"/>
      <c r="T1367" s="117"/>
      <c r="W1367" s="75" t="str">
        <f t="shared" si="32"/>
        <v>1w</v>
      </c>
      <c r="X1367" s="148">
        <f>_xll.qlCalendarAdvance(Calendar,X1366,W1367,"f",FALSE)</f>
        <v>48506</v>
      </c>
      <c r="Y1367" s="153">
        <f>_xll.qlCalendarAdvance(Calendar,X1367,NDays&amp;"D")</f>
        <v>48506</v>
      </c>
      <c r="Z1367" s="154">
        <v>3.098904931150414E-2</v>
      </c>
      <c r="AA1367" s="156">
        <v>3.0913194824926382E-2</v>
      </c>
    </row>
    <row r="1368" spans="19:27" x14ac:dyDescent="0.2">
      <c r="S1368" s="1"/>
      <c r="T1368" s="117"/>
      <c r="W1368" s="75" t="str">
        <f t="shared" si="32"/>
        <v>1w</v>
      </c>
      <c r="X1368" s="148">
        <f>_xll.qlCalendarAdvance(Calendar,X1367,W1368,"f",FALSE)</f>
        <v>48513</v>
      </c>
      <c r="Y1368" s="153">
        <f>_xll.qlCalendarAdvance(Calendar,X1368,NDays&amp;"D")</f>
        <v>48513</v>
      </c>
      <c r="Z1368" s="154">
        <v>3.0982206756187292E-2</v>
      </c>
      <c r="AA1368" s="156">
        <v>3.0906743473949616E-2</v>
      </c>
    </row>
    <row r="1369" spans="19:27" x14ac:dyDescent="0.2">
      <c r="S1369" s="1"/>
      <c r="T1369" s="117"/>
      <c r="W1369" s="75" t="str">
        <f t="shared" si="32"/>
        <v>1w</v>
      </c>
      <c r="X1369" s="148">
        <f>_xll.qlCalendarAdvance(Calendar,X1368,W1369,"f",FALSE)</f>
        <v>48520</v>
      </c>
      <c r="Y1369" s="153">
        <f>_xll.qlCalendarAdvance(Calendar,X1369,NDays&amp;"D")</f>
        <v>48520</v>
      </c>
      <c r="Z1369" s="154">
        <v>3.0975311694349417E-2</v>
      </c>
      <c r="AA1369" s="156">
        <v>3.0900240007296631E-2</v>
      </c>
    </row>
    <row r="1370" spans="19:27" x14ac:dyDescent="0.2">
      <c r="S1370" s="1"/>
      <c r="T1370" s="117"/>
      <c r="W1370" s="75" t="str">
        <f t="shared" si="32"/>
        <v>1w</v>
      </c>
      <c r="X1370" s="148">
        <f>_xll.qlCalendarAdvance(Calendar,X1369,W1370,"f",FALSE)</f>
        <v>48527</v>
      </c>
      <c r="Y1370" s="153">
        <f>_xll.qlCalendarAdvance(Calendar,X1370,NDays&amp;"D")</f>
        <v>48527</v>
      </c>
      <c r="Z1370" s="154">
        <v>3.0968364126264487E-2</v>
      </c>
      <c r="AA1370" s="156">
        <v>3.0893684425048473E-2</v>
      </c>
    </row>
    <row r="1371" spans="19:27" x14ac:dyDescent="0.2">
      <c r="S1371" s="1"/>
      <c r="T1371" s="117"/>
      <c r="W1371" s="75" t="str">
        <f t="shared" si="32"/>
        <v>1w</v>
      </c>
      <c r="X1371" s="148">
        <f>_xll.qlCalendarAdvance(Calendar,X1370,W1371,"f",FALSE)</f>
        <v>48534</v>
      </c>
      <c r="Y1371" s="153">
        <f>_xll.qlCalendarAdvance(Calendar,X1371,NDays&amp;"D")</f>
        <v>48534</v>
      </c>
      <c r="Z1371" s="154">
        <v>3.0961364052205592E-2</v>
      </c>
      <c r="AA1371" s="156">
        <v>3.088707672704305E-2</v>
      </c>
    </row>
    <row r="1372" spans="19:27" x14ac:dyDescent="0.2">
      <c r="S1372" s="1"/>
      <c r="T1372" s="117"/>
      <c r="W1372" s="75" t="str">
        <f t="shared" si="32"/>
        <v>1w</v>
      </c>
      <c r="X1372" s="148">
        <f>_xll.qlCalendarAdvance(Calendar,X1371,W1372,"f",FALSE)</f>
        <v>48541</v>
      </c>
      <c r="Y1372" s="153">
        <f>_xll.qlCalendarAdvance(Calendar,X1372,NDays&amp;"D")</f>
        <v>48541</v>
      </c>
      <c r="Z1372" s="154">
        <v>3.0954311472449345E-2</v>
      </c>
      <c r="AA1372" s="156">
        <v>3.0880416913523501E-2</v>
      </c>
    </row>
    <row r="1373" spans="19:27" x14ac:dyDescent="0.2">
      <c r="S1373" s="1"/>
      <c r="T1373" s="117"/>
      <c r="W1373" s="75" t="str">
        <f t="shared" si="32"/>
        <v>1w</v>
      </c>
      <c r="X1373" s="148">
        <f>_xll.qlCalendarAdvance(Calendar,X1372,W1373,"f",FALSE)</f>
        <v>48548</v>
      </c>
      <c r="Y1373" s="153">
        <f>_xll.qlCalendarAdvance(Calendar,X1373,NDays&amp;"D")</f>
        <v>48548</v>
      </c>
      <c r="Z1373" s="154">
        <v>3.0945623721671176E-2</v>
      </c>
      <c r="AA1373" s="156">
        <v>3.0873704984246686E-2</v>
      </c>
    </row>
    <row r="1374" spans="19:27" x14ac:dyDescent="0.2">
      <c r="S1374" s="1"/>
      <c r="T1374" s="117"/>
      <c r="W1374" s="75" t="str">
        <f t="shared" si="32"/>
        <v>1w</v>
      </c>
      <c r="X1374" s="148">
        <f>_xll.qlCalendarAdvance(Calendar,X1373,W1374,"f",FALSE)</f>
        <v>48555</v>
      </c>
      <c r="Y1374" s="153">
        <f>_xll.qlCalendarAdvance(Calendar,X1374,NDays&amp;"D")</f>
        <v>48555</v>
      </c>
      <c r="Z1374" s="154">
        <v>3.0938474839603044E-2</v>
      </c>
      <c r="AA1374" s="156">
        <v>3.0866940939293652E-2</v>
      </c>
    </row>
    <row r="1375" spans="19:27" x14ac:dyDescent="0.2">
      <c r="S1375" s="1"/>
      <c r="T1375" s="117"/>
      <c r="W1375" s="75" t="str">
        <f t="shared" si="32"/>
        <v>1w</v>
      </c>
      <c r="X1375" s="148">
        <f>_xll.qlCalendarAdvance(Calendar,X1374,W1375,"f",FALSE)</f>
        <v>48562</v>
      </c>
      <c r="Y1375" s="153">
        <f>_xll.qlCalendarAdvance(Calendar,X1375,NDays&amp;"D")</f>
        <v>48562</v>
      </c>
      <c r="Z1375" s="154">
        <v>3.0931273461222129E-2</v>
      </c>
      <c r="AA1375" s="156">
        <v>3.0860124778745446E-2</v>
      </c>
    </row>
    <row r="1376" spans="19:27" x14ac:dyDescent="0.2">
      <c r="S1376" s="1"/>
      <c r="T1376" s="117"/>
      <c r="W1376" s="75" t="str">
        <f t="shared" si="32"/>
        <v>1w</v>
      </c>
      <c r="X1376" s="148">
        <f>_xll.qlCalendarAdvance(Calendar,X1375,W1376,"f",FALSE)</f>
        <v>48569</v>
      </c>
      <c r="Y1376" s="153">
        <f>_xll.qlCalendarAdvance(Calendar,X1376,NDays&amp;"D")</f>
        <v>48569</v>
      </c>
      <c r="Z1376" s="154">
        <v>3.09240195868076E-2</v>
      </c>
      <c r="AA1376" s="156">
        <v>3.085325650252102E-2</v>
      </c>
    </row>
    <row r="1377" spans="19:27" x14ac:dyDescent="0.2">
      <c r="S1377" s="1"/>
      <c r="T1377" s="117"/>
      <c r="W1377" s="75" t="str">
        <f t="shared" si="32"/>
        <v>1w</v>
      </c>
      <c r="X1377" s="148">
        <f>_xll.qlCalendarAdvance(Calendar,X1376,W1377,"f",FALSE)</f>
        <v>48577</v>
      </c>
      <c r="Y1377" s="153">
        <f>_xll.qlCalendarAdvance(Calendar,X1377,NDays&amp;"D")</f>
        <v>48577</v>
      </c>
      <c r="Z1377" s="154">
        <v>3.091566516411812E-2</v>
      </c>
      <c r="AA1377" s="156">
        <v>3.084534322884358E-2</v>
      </c>
    </row>
    <row r="1378" spans="19:27" x14ac:dyDescent="0.2">
      <c r="S1378" s="1"/>
      <c r="T1378" s="117"/>
      <c r="W1378" s="75" t="str">
        <f t="shared" si="32"/>
        <v>1w</v>
      </c>
      <c r="X1378" s="148">
        <f>_xll.qlCalendarAdvance(Calendar,X1377,W1378,"f",FALSE)</f>
        <v>48584</v>
      </c>
      <c r="Y1378" s="153">
        <f>_xll.qlCalendarAdvance(Calendar,X1378,NDays&amp;"D")</f>
        <v>48584</v>
      </c>
      <c r="Z1378" s="154">
        <v>3.09082987991426E-2</v>
      </c>
      <c r="AA1378" s="156">
        <v>3.0838363276274317E-2</v>
      </c>
    </row>
    <row r="1379" spans="19:27" x14ac:dyDescent="0.2">
      <c r="S1379" s="1"/>
      <c r="T1379" s="117"/>
      <c r="W1379" s="75" t="str">
        <f t="shared" si="32"/>
        <v>1w</v>
      </c>
      <c r="X1379" s="148">
        <f>_xll.qlCalendarAdvance(Calendar,X1378,W1379,"f",FALSE)</f>
        <v>48591</v>
      </c>
      <c r="Y1379" s="153">
        <f>_xll.qlCalendarAdvance(Calendar,X1379,NDays&amp;"D")</f>
        <v>48591</v>
      </c>
      <c r="Z1379" s="154">
        <v>3.0900879939018664E-2</v>
      </c>
      <c r="AA1379" s="156">
        <v>3.0831331208028834E-2</v>
      </c>
    </row>
    <row r="1380" spans="19:27" x14ac:dyDescent="0.2">
      <c r="S1380" s="1"/>
      <c r="T1380" s="117"/>
      <c r="W1380" s="75" t="str">
        <f t="shared" si="32"/>
        <v>1w</v>
      </c>
      <c r="X1380" s="148">
        <f>_xll.qlCalendarAdvance(Calendar,X1379,W1380,"f",FALSE)</f>
        <v>48598</v>
      </c>
      <c r="Y1380" s="153">
        <f>_xll.qlCalendarAdvance(Calendar,X1380,NDays&amp;"D")</f>
        <v>48598</v>
      </c>
      <c r="Z1380" s="154">
        <v>3.0893408584029978E-2</v>
      </c>
      <c r="AA1380" s="156">
        <v>3.0824247024107132E-2</v>
      </c>
    </row>
    <row r="1381" spans="19:27" x14ac:dyDescent="0.2">
      <c r="S1381" s="1"/>
      <c r="T1381" s="117"/>
      <c r="W1381" s="75" t="str">
        <f t="shared" si="32"/>
        <v>1w</v>
      </c>
      <c r="X1381" s="148">
        <f>_xll.qlCalendarAdvance(Calendar,X1380,W1381,"f",FALSE)</f>
        <v>48605</v>
      </c>
      <c r="Y1381" s="153">
        <f>_xll.qlCalendarAdvance(Calendar,X1381,NDays&amp;"D")</f>
        <v>48605</v>
      </c>
      <c r="Z1381" s="154">
        <v>3.0885884734466507E-2</v>
      </c>
      <c r="AA1381" s="156">
        <v>3.0817110724590258E-2</v>
      </c>
    </row>
    <row r="1382" spans="19:27" x14ac:dyDescent="0.2">
      <c r="S1382" s="1"/>
      <c r="T1382" s="117"/>
      <c r="W1382" s="75" t="str">
        <f t="shared" si="32"/>
        <v>1w</v>
      </c>
      <c r="X1382" s="148">
        <f>_xll.qlCalendarAdvance(Calendar,X1381,W1382,"f",FALSE)</f>
        <v>48612</v>
      </c>
      <c r="Y1382" s="153">
        <f>_xll.qlCalendarAdvance(Calendar,X1382,NDays&amp;"D")</f>
        <v>48612</v>
      </c>
      <c r="Z1382" s="154">
        <v>3.0878308390617313E-2</v>
      </c>
      <c r="AA1382" s="156">
        <v>3.080992230947821E-2</v>
      </c>
    </row>
    <row r="1383" spans="19:27" x14ac:dyDescent="0.2">
      <c r="S1383" s="1"/>
      <c r="T1383" s="117"/>
      <c r="W1383" s="75" t="str">
        <f t="shared" si="32"/>
        <v>1w</v>
      </c>
      <c r="X1383" s="148">
        <f>_xll.qlCalendarAdvance(Calendar,X1382,W1383,"f",FALSE)</f>
        <v>48619</v>
      </c>
      <c r="Y1383" s="153">
        <f>_xll.qlCalendarAdvance(Calendar,X1383,NDays&amp;"D")</f>
        <v>48619</v>
      </c>
      <c r="Z1383" s="154">
        <v>3.0869932014764977E-2</v>
      </c>
      <c r="AA1383" s="156">
        <v>3.0802681778770991E-2</v>
      </c>
    </row>
    <row r="1384" spans="19:27" x14ac:dyDescent="0.2">
      <c r="S1384" s="1"/>
      <c r="T1384" s="117"/>
      <c r="W1384" s="75" t="str">
        <f t="shared" si="32"/>
        <v>1w</v>
      </c>
      <c r="X1384" s="148">
        <f>_xll.qlCalendarAdvance(Calendar,X1383,W1384,"f",FALSE)</f>
        <v>48626</v>
      </c>
      <c r="Y1384" s="153">
        <f>_xll.qlCalendarAdvance(Calendar,X1384,NDays&amp;"D")</f>
        <v>48626</v>
      </c>
      <c r="Z1384" s="154">
        <v>3.086225507954049E-2</v>
      </c>
      <c r="AA1384" s="156">
        <v>3.0795389132387552E-2</v>
      </c>
    </row>
    <row r="1385" spans="19:27" x14ac:dyDescent="0.2">
      <c r="S1385" s="1"/>
      <c r="T1385" s="117"/>
      <c r="W1385" s="75" t="str">
        <f t="shared" si="32"/>
        <v>1w</v>
      </c>
      <c r="X1385" s="148">
        <f>_xll.qlCalendarAdvance(Calendar,X1384,W1385,"f",FALSE)</f>
        <v>48633</v>
      </c>
      <c r="Y1385" s="153">
        <f>_xll.qlCalendarAdvance(Calendar,X1385,NDays&amp;"D")</f>
        <v>48633</v>
      </c>
      <c r="Z1385" s="154">
        <v>3.0854525655153023E-2</v>
      </c>
      <c r="AA1385" s="156">
        <v>3.0788044370246848E-2</v>
      </c>
    </row>
    <row r="1386" spans="19:27" x14ac:dyDescent="0.2">
      <c r="S1386" s="1"/>
      <c r="T1386" s="117"/>
      <c r="W1386" s="75" t="str">
        <f t="shared" si="32"/>
        <v>1w</v>
      </c>
      <c r="X1386" s="148">
        <f>_xll.qlCalendarAdvance(Calendar,X1385,W1386,"f",FALSE)</f>
        <v>48640</v>
      </c>
      <c r="Y1386" s="153">
        <f>_xll.qlCalendarAdvance(Calendar,X1386,NDays&amp;"D")</f>
        <v>48640</v>
      </c>
      <c r="Z1386" s="154">
        <v>3.0848945612587143E-2</v>
      </c>
      <c r="AA1386" s="156">
        <v>3.0780647492673063E-2</v>
      </c>
    </row>
    <row r="1387" spans="19:27" x14ac:dyDescent="0.2">
      <c r="S1387" s="1"/>
      <c r="T1387" s="117"/>
      <c r="W1387" s="75" t="str">
        <f t="shared" si="32"/>
        <v>1w</v>
      </c>
      <c r="X1387" s="148">
        <f>_xll.qlCalendarAdvance(Calendar,X1386,W1387,"f",FALSE)</f>
        <v>48647</v>
      </c>
      <c r="Y1387" s="153">
        <f>_xll.qlCalendarAdvance(Calendar,X1387,NDays&amp;"D")</f>
        <v>48647</v>
      </c>
      <c r="Z1387" s="154">
        <v>3.0841097981699105E-2</v>
      </c>
      <c r="AA1387" s="156">
        <v>3.077319849942306E-2</v>
      </c>
    </row>
    <row r="1388" spans="19:27" x14ac:dyDescent="0.2">
      <c r="S1388" s="1"/>
      <c r="T1388" s="117"/>
      <c r="W1388" s="75" t="str">
        <f t="shared" si="32"/>
        <v>1w</v>
      </c>
      <c r="X1388" s="148">
        <f>_xll.qlCalendarAdvance(Calendar,X1387,W1388,"f",FALSE)</f>
        <v>48654</v>
      </c>
      <c r="Y1388" s="153">
        <f>_xll.qlCalendarAdvance(Calendar,X1388,NDays&amp;"D")</f>
        <v>48654</v>
      </c>
      <c r="Z1388" s="154">
        <v>3.083319784984876E-2</v>
      </c>
      <c r="AA1388" s="156">
        <v>3.0765697390496838E-2</v>
      </c>
    </row>
    <row r="1389" spans="19:27" x14ac:dyDescent="0.2">
      <c r="S1389" s="1"/>
      <c r="T1389" s="117"/>
      <c r="W1389" s="75" t="str">
        <f t="shared" si="32"/>
        <v>1w</v>
      </c>
      <c r="X1389" s="148">
        <f>_xll.qlCalendarAdvance(Calendar,X1388,W1389,"f",FALSE)</f>
        <v>48661</v>
      </c>
      <c r="Y1389" s="153">
        <f>_xll.qlCalendarAdvance(Calendar,X1389,NDays&amp;"D")</f>
        <v>48661</v>
      </c>
      <c r="Z1389" s="154">
        <v>3.0825245217351482E-2</v>
      </c>
      <c r="AA1389" s="156">
        <v>3.0758144166137535E-2</v>
      </c>
    </row>
    <row r="1390" spans="19:27" x14ac:dyDescent="0.2">
      <c r="S1390" s="1"/>
      <c r="T1390" s="117"/>
      <c r="W1390" s="75" t="str">
        <f t="shared" si="32"/>
        <v>1w</v>
      </c>
      <c r="X1390" s="148">
        <f>_xll.qlCalendarAdvance(Calendar,X1389,W1390,"f",FALSE)</f>
        <v>48668</v>
      </c>
      <c r="Y1390" s="153">
        <f>_xll.qlCalendarAdvance(Calendar,X1390,NDays&amp;"D")</f>
        <v>48668</v>
      </c>
      <c r="Z1390" s="154">
        <v>3.0817240084517361E-2</v>
      </c>
      <c r="AA1390" s="156">
        <v>3.0750538825939921E-2</v>
      </c>
    </row>
    <row r="1391" spans="19:27" x14ac:dyDescent="0.2">
      <c r="S1391" s="1"/>
      <c r="T1391" s="117"/>
      <c r="W1391" s="75" t="str">
        <f t="shared" si="32"/>
        <v>1w</v>
      </c>
      <c r="X1391" s="148">
        <f>_xll.qlCalendarAdvance(Calendar,X1390,W1391,"f",FALSE)</f>
        <v>48675</v>
      </c>
      <c r="Y1391" s="153">
        <f>_xll.qlCalendarAdvance(Calendar,X1391,NDays&amp;"D")</f>
        <v>48675</v>
      </c>
      <c r="Z1391" s="154">
        <v>3.0808470968226268E-2</v>
      </c>
      <c r="AA1391" s="156">
        <v>3.0742881370390274E-2</v>
      </c>
    </row>
    <row r="1392" spans="19:27" x14ac:dyDescent="0.2">
      <c r="S1392" s="1"/>
      <c r="T1392" s="117"/>
      <c r="W1392" s="75" t="str">
        <f t="shared" si="32"/>
        <v>1w</v>
      </c>
      <c r="X1392" s="148">
        <f>_xll.qlCalendarAdvance(Calendar,X1391,W1392,"f",FALSE)</f>
        <v>48682</v>
      </c>
      <c r="Y1392" s="153">
        <f>_xll.qlCalendarAdvance(Calendar,X1392,NDays&amp;"D")</f>
        <v>48682</v>
      </c>
      <c r="Z1392" s="154">
        <v>3.0800365267124027E-2</v>
      </c>
      <c r="AA1392" s="156">
        <v>3.0735171799083361E-2</v>
      </c>
    </row>
    <row r="1393" spans="19:27" x14ac:dyDescent="0.2">
      <c r="S1393" s="1"/>
      <c r="T1393" s="117"/>
      <c r="W1393" s="75" t="str">
        <f t="shared" si="32"/>
        <v>1w</v>
      </c>
      <c r="X1393" s="148">
        <f>_xll.qlCalendarAdvance(Calendar,X1392,W1393,"f",FALSE)</f>
        <v>48689</v>
      </c>
      <c r="Y1393" s="153">
        <f>_xll.qlCalendarAdvance(Calendar,X1393,NDays&amp;"D")</f>
        <v>48689</v>
      </c>
      <c r="Z1393" s="154">
        <v>3.0792207070850366E-2</v>
      </c>
      <c r="AA1393" s="156">
        <v>3.0727410112262321E-2</v>
      </c>
    </row>
    <row r="1394" spans="19:27" x14ac:dyDescent="0.2">
      <c r="S1394" s="1"/>
      <c r="T1394" s="117"/>
      <c r="W1394" s="75" t="str">
        <f t="shared" si="32"/>
        <v>1w</v>
      </c>
      <c r="X1394" s="148">
        <f>_xll.qlCalendarAdvance(Calendar,X1393,W1394,"f",FALSE)</f>
        <v>48696</v>
      </c>
      <c r="Y1394" s="153">
        <f>_xll.qlCalendarAdvance(Calendar,X1394,NDays&amp;"D")</f>
        <v>48696</v>
      </c>
      <c r="Z1394" s="154">
        <v>3.0783996379720565E-2</v>
      </c>
      <c r="AA1394" s="156">
        <v>3.0719596309765063E-2</v>
      </c>
    </row>
    <row r="1395" spans="19:27" x14ac:dyDescent="0.2">
      <c r="S1395" s="1"/>
      <c r="T1395" s="117"/>
      <c r="W1395" s="75" t="str">
        <f t="shared" si="32"/>
        <v>1w</v>
      </c>
      <c r="X1395" s="148">
        <f>_xll.qlCalendarAdvance(Calendar,X1394,W1395,"f",FALSE)</f>
        <v>48703</v>
      </c>
      <c r="Y1395" s="153">
        <f>_xll.qlCalendarAdvance(Calendar,X1395,NDays&amp;"D")</f>
        <v>48703</v>
      </c>
      <c r="Z1395" s="154">
        <v>3.0776426926439723E-2</v>
      </c>
      <c r="AA1395" s="156">
        <v>3.0711730391753678E-2</v>
      </c>
    </row>
    <row r="1396" spans="19:27" x14ac:dyDescent="0.2">
      <c r="S1396" s="1"/>
      <c r="T1396" s="117"/>
      <c r="W1396" s="75" t="str">
        <f t="shared" si="32"/>
        <v>1w</v>
      </c>
      <c r="X1396" s="148">
        <f>_xll.qlCalendarAdvance(Calendar,X1395,W1396,"f",FALSE)</f>
        <v>48710</v>
      </c>
      <c r="Y1396" s="153">
        <f>_xll.qlCalendarAdvance(Calendar,X1396,NDays&amp;"D")</f>
        <v>48710</v>
      </c>
      <c r="Z1396" s="154">
        <v>3.0768106798291998E-2</v>
      </c>
      <c r="AA1396" s="156">
        <v>3.0703812357985028E-2</v>
      </c>
    </row>
    <row r="1397" spans="19:27" x14ac:dyDescent="0.2">
      <c r="S1397" s="1"/>
      <c r="T1397" s="117"/>
      <c r="W1397" s="75" t="str">
        <f t="shared" si="32"/>
        <v>1w</v>
      </c>
      <c r="X1397" s="148">
        <f>_xll.qlCalendarAdvance(Calendar,X1396,W1397,"f",FALSE)</f>
        <v>48717</v>
      </c>
      <c r="Y1397" s="153">
        <f>_xll.qlCalendarAdvance(Calendar,X1397,NDays&amp;"D")</f>
        <v>48717</v>
      </c>
      <c r="Z1397" s="154">
        <v>3.0759734172061751E-2</v>
      </c>
      <c r="AA1397" s="156">
        <v>3.0695842208864343E-2</v>
      </c>
    </row>
    <row r="1398" spans="19:27" x14ac:dyDescent="0.2">
      <c r="S1398" s="1"/>
      <c r="T1398" s="117"/>
      <c r="W1398" s="75" t="str">
        <f t="shared" si="32"/>
        <v>1w</v>
      </c>
      <c r="X1398" s="148">
        <f>_xll.qlCalendarAdvance(Calendar,X1397,W1398,"f",FALSE)</f>
        <v>48724</v>
      </c>
      <c r="Y1398" s="153">
        <f>_xll.qlCalendarAdvance(Calendar,X1398,NDays&amp;"D")</f>
        <v>48724</v>
      </c>
      <c r="Z1398" s="154">
        <v>3.0751309048077571E-2</v>
      </c>
      <c r="AA1398" s="156">
        <v>3.068781994406744E-2</v>
      </c>
    </row>
    <row r="1399" spans="19:27" x14ac:dyDescent="0.2">
      <c r="S1399" s="1"/>
      <c r="T1399" s="117"/>
      <c r="W1399" s="75" t="str">
        <f t="shared" si="32"/>
        <v>1w</v>
      </c>
      <c r="X1399" s="148">
        <f>_xll.qlCalendarAdvance(Calendar,X1398,W1399,"f",FALSE)</f>
        <v>48731</v>
      </c>
      <c r="Y1399" s="153">
        <f>_xll.qlCalendarAdvance(Calendar,X1399,NDays&amp;"D")</f>
        <v>48731</v>
      </c>
      <c r="Z1399" s="154">
        <v>3.0742831426668928E-2</v>
      </c>
      <c r="AA1399" s="156">
        <v>3.0679745563675365E-2</v>
      </c>
    </row>
    <row r="1400" spans="19:27" x14ac:dyDescent="0.2">
      <c r="S1400" s="1"/>
      <c r="T1400" s="117"/>
      <c r="W1400" s="75" t="str">
        <f t="shared" si="32"/>
        <v>1w</v>
      </c>
      <c r="X1400" s="148">
        <f>_xll.qlCalendarAdvance(Calendar,X1399,W1400,"f",FALSE)</f>
        <v>48738</v>
      </c>
      <c r="Y1400" s="153">
        <f>_xll.qlCalendarAdvance(Calendar,X1400,NDays&amp;"D")</f>
        <v>48738</v>
      </c>
      <c r="Z1400" s="154">
        <v>3.0734301308175862E-2</v>
      </c>
      <c r="AA1400" s="156">
        <v>3.0671619067769162E-2</v>
      </c>
    </row>
    <row r="1401" spans="19:27" x14ac:dyDescent="0.2">
      <c r="S1401" s="1"/>
      <c r="T1401" s="117"/>
      <c r="W1401" s="75" t="str">
        <f t="shared" si="32"/>
        <v>1w</v>
      </c>
      <c r="X1401" s="148">
        <f>_xll.qlCalendarAdvance(Calendar,X1400,W1401,"f",FALSE)</f>
        <v>48745</v>
      </c>
      <c r="Y1401" s="153">
        <f>_xll.qlCalendarAdvance(Calendar,X1401,NDays&amp;"D")</f>
        <v>48745</v>
      </c>
      <c r="Z1401" s="154">
        <v>3.0725718692928727E-2</v>
      </c>
      <c r="AA1401" s="156">
        <v>3.0663440456267788E-2</v>
      </c>
    </row>
    <row r="1402" spans="19:27" x14ac:dyDescent="0.2">
      <c r="S1402" s="1"/>
      <c r="T1402" s="117"/>
      <c r="W1402" s="75" t="str">
        <f t="shared" si="32"/>
        <v>1w</v>
      </c>
      <c r="X1402" s="148">
        <f>_xll.qlCalendarAdvance(Calendar,X1401,W1402,"f",FALSE)</f>
        <v>48752</v>
      </c>
      <c r="Y1402" s="153">
        <f>_xll.qlCalendarAdvance(Calendar,X1402,NDays&amp;"D")</f>
        <v>48752</v>
      </c>
      <c r="Z1402" s="154">
        <v>3.0717083581268446E-2</v>
      </c>
      <c r="AA1402" s="156">
        <v>3.0655209729252286E-2</v>
      </c>
    </row>
    <row r="1403" spans="19:27" x14ac:dyDescent="0.2">
      <c r="S1403" s="1"/>
      <c r="T1403" s="117"/>
      <c r="W1403" s="75" t="str">
        <f t="shared" si="32"/>
        <v>1w</v>
      </c>
      <c r="X1403" s="148">
        <f>_xll.qlCalendarAdvance(Calendar,X1402,W1403,"f",FALSE)</f>
        <v>48759</v>
      </c>
      <c r="Y1403" s="153">
        <f>_xll.qlCalendarAdvance(Calendar,X1403,NDays&amp;"D")</f>
        <v>48759</v>
      </c>
      <c r="Z1403" s="154">
        <v>3.0708395973535061E-2</v>
      </c>
      <c r="AA1403" s="156">
        <v>3.0646926886560566E-2</v>
      </c>
    </row>
    <row r="1404" spans="19:27" x14ac:dyDescent="0.2">
      <c r="S1404" s="1"/>
      <c r="T1404" s="117"/>
      <c r="W1404" s="75" t="str">
        <f t="shared" si="32"/>
        <v>1w</v>
      </c>
      <c r="X1404" s="148">
        <f>_xll.qlCalendarAdvance(Calendar,X1403,W1404,"f",FALSE)</f>
        <v>48766</v>
      </c>
      <c r="Y1404" s="153">
        <f>_xll.qlCalendarAdvance(Calendar,X1404,NDays&amp;"D")</f>
        <v>48766</v>
      </c>
      <c r="Z1404" s="154">
        <v>3.0699655870070376E-2</v>
      </c>
      <c r="AA1404" s="156">
        <v>3.0638591928354719E-2</v>
      </c>
    </row>
    <row r="1405" spans="19:27" x14ac:dyDescent="0.2">
      <c r="S1405" s="1"/>
      <c r="T1405" s="117"/>
      <c r="W1405" s="75" t="str">
        <f t="shared" si="32"/>
        <v>1w</v>
      </c>
      <c r="X1405" s="148">
        <f>_xll.qlCalendarAdvance(Calendar,X1404,W1405,"f",FALSE)</f>
        <v>48773</v>
      </c>
      <c r="Y1405" s="153">
        <f>_xll.qlCalendarAdvance(Calendar,X1405,NDays&amp;"D")</f>
        <v>48773</v>
      </c>
      <c r="Z1405" s="154">
        <v>3.0690863271217953E-2</v>
      </c>
      <c r="AA1405" s="156">
        <v>3.06302048545537E-2</v>
      </c>
    </row>
    <row r="1406" spans="19:27" x14ac:dyDescent="0.2">
      <c r="S1406" s="1"/>
      <c r="T1406" s="117"/>
      <c r="W1406" s="75" t="str">
        <f t="shared" si="32"/>
        <v>1w</v>
      </c>
      <c r="X1406" s="148">
        <f>_xll.qlCalendarAdvance(Calendar,X1405,W1406,"f",FALSE)</f>
        <v>48780</v>
      </c>
      <c r="Y1406" s="153">
        <f>_xll.qlCalendarAdvance(Calendar,X1406,NDays&amp;"D")</f>
        <v>48780</v>
      </c>
      <c r="Z1406" s="154">
        <v>3.0682018177326652E-2</v>
      </c>
      <c r="AA1406" s="156">
        <v>3.06217656653196E-2</v>
      </c>
    </row>
    <row r="1407" spans="19:27" x14ac:dyDescent="0.2">
      <c r="S1407" s="1"/>
      <c r="T1407" s="117"/>
      <c r="W1407" s="75" t="str">
        <f t="shared" si="32"/>
        <v>1w</v>
      </c>
      <c r="X1407" s="148">
        <f>_xll.qlCalendarAdvance(Calendar,X1406,W1407,"f",FALSE)</f>
        <v>48787</v>
      </c>
      <c r="Y1407" s="153">
        <f>_xll.qlCalendarAdvance(Calendar,X1407,NDays&amp;"D")</f>
        <v>48787</v>
      </c>
      <c r="Z1407" s="154">
        <v>3.0673120588742671E-2</v>
      </c>
      <c r="AA1407" s="156">
        <v>3.0613274360490328E-2</v>
      </c>
    </row>
    <row r="1408" spans="19:27" x14ac:dyDescent="0.2">
      <c r="S1408" s="1"/>
      <c r="T1408" s="117"/>
      <c r="W1408" s="75" t="str">
        <f t="shared" si="32"/>
        <v>1w</v>
      </c>
      <c r="X1408" s="148">
        <f>_xll.qlCalendarAdvance(Calendar,X1407,W1408,"f",FALSE)</f>
        <v>48794</v>
      </c>
      <c r="Y1408" s="153">
        <f>_xll.qlCalendarAdvance(Calendar,X1408,NDays&amp;"D")</f>
        <v>48794</v>
      </c>
      <c r="Z1408" s="154">
        <v>3.066417050581751E-2</v>
      </c>
      <c r="AA1408" s="156">
        <v>3.0604730940146929E-2</v>
      </c>
    </row>
    <row r="1409" spans="19:27" x14ac:dyDescent="0.2">
      <c r="S1409" s="1"/>
      <c r="T1409" s="117"/>
      <c r="W1409" s="75" t="str">
        <f t="shared" si="32"/>
        <v>1w</v>
      </c>
      <c r="X1409" s="148">
        <f>_xll.qlCalendarAdvance(Calendar,X1408,W1409,"f",FALSE)</f>
        <v>48801</v>
      </c>
      <c r="Y1409" s="153">
        <f>_xll.qlCalendarAdvance(Calendar,X1409,NDays&amp;"D")</f>
        <v>48801</v>
      </c>
      <c r="Z1409" s="154">
        <v>3.0655167928904426E-2</v>
      </c>
      <c r="AA1409" s="156">
        <v>3.0596135404127311E-2</v>
      </c>
    </row>
    <row r="1410" spans="19:27" x14ac:dyDescent="0.2">
      <c r="S1410" s="1"/>
      <c r="T1410" s="117"/>
      <c r="W1410" s="75" t="str">
        <f t="shared" si="32"/>
        <v>1w</v>
      </c>
      <c r="X1410" s="148">
        <f>_xll.qlCalendarAdvance(Calendar,X1409,W1410,"f",FALSE)</f>
        <v>48808</v>
      </c>
      <c r="Y1410" s="153">
        <f>_xll.qlCalendarAdvance(Calendar,X1410,NDays&amp;"D")</f>
        <v>48808</v>
      </c>
      <c r="Z1410" s="154">
        <v>3.0646112858356674E-2</v>
      </c>
      <c r="AA1410" s="156">
        <v>3.058748775275566E-2</v>
      </c>
    </row>
    <row r="1411" spans="19:27" x14ac:dyDescent="0.2">
      <c r="S1411" s="1"/>
      <c r="T1411" s="117"/>
      <c r="W1411" s="75" t="str">
        <f t="shared" si="32"/>
        <v>1w</v>
      </c>
      <c r="X1411" s="148">
        <f>_xll.qlCalendarAdvance(Calendar,X1410,W1411,"f",FALSE)</f>
        <v>48815</v>
      </c>
      <c r="Y1411" s="153">
        <f>_xll.qlCalendarAdvance(Calendar,X1411,NDays&amp;"D")</f>
        <v>48815</v>
      </c>
      <c r="Z1411" s="154">
        <v>3.0637005294531915E-2</v>
      </c>
      <c r="AA1411" s="156">
        <v>3.0578787985788836E-2</v>
      </c>
    </row>
    <row r="1412" spans="19:27" x14ac:dyDescent="0.2">
      <c r="S1412" s="1"/>
      <c r="T1412" s="117"/>
      <c r="W1412" s="75" t="str">
        <f t="shared" si="32"/>
        <v>1w</v>
      </c>
      <c r="X1412" s="148">
        <f>_xll.qlCalendarAdvance(Calendar,X1411,W1412,"f",FALSE)</f>
        <v>48822</v>
      </c>
      <c r="Y1412" s="153">
        <f>_xll.qlCalendarAdvance(Calendar,X1412,NDays&amp;"D")</f>
        <v>48822</v>
      </c>
      <c r="Z1412" s="154">
        <v>3.0627227693990285E-2</v>
      </c>
      <c r="AA1412" s="156">
        <v>3.0570036103145792E-2</v>
      </c>
    </row>
    <row r="1413" spans="19:27" x14ac:dyDescent="0.2">
      <c r="S1413" s="1"/>
      <c r="T1413" s="117"/>
      <c r="W1413" s="75" t="str">
        <f t="shared" si="32"/>
        <v>1w</v>
      </c>
      <c r="X1413" s="148">
        <f>_xll.qlCalendarAdvance(Calendar,X1412,W1413,"f",FALSE)</f>
        <v>48829</v>
      </c>
      <c r="Y1413" s="153">
        <f>_xll.qlCalendarAdvance(Calendar,X1413,NDays&amp;"D")</f>
        <v>48829</v>
      </c>
      <c r="Z1413" s="154">
        <v>3.0618019663757334E-2</v>
      </c>
      <c r="AA1413" s="156">
        <v>3.0561232105231761E-2</v>
      </c>
    </row>
    <row r="1414" spans="19:27" x14ac:dyDescent="0.2">
      <c r="S1414" s="1"/>
      <c r="T1414" s="117"/>
      <c r="W1414" s="75" t="str">
        <f t="shared" si="32"/>
        <v>1w</v>
      </c>
      <c r="X1414" s="148">
        <f>_xll.qlCalendarAdvance(Calendar,X1413,W1414,"f",FALSE)</f>
        <v>48836</v>
      </c>
      <c r="Y1414" s="153">
        <f>_xll.qlCalendarAdvance(Calendar,X1414,NDays&amp;"D")</f>
        <v>48836</v>
      </c>
      <c r="Z1414" s="154">
        <v>3.0608759145457427E-2</v>
      </c>
      <c r="AA1414" s="156">
        <v>3.0552375991641512E-2</v>
      </c>
    </row>
    <row r="1415" spans="19:27" x14ac:dyDescent="0.2">
      <c r="S1415" s="1"/>
      <c r="T1415" s="117"/>
      <c r="W1415" s="75" t="str">
        <f t="shared" si="32"/>
        <v>1w</v>
      </c>
      <c r="X1415" s="148">
        <f>_xll.qlCalendarAdvance(Calendar,X1414,W1415,"f",FALSE)</f>
        <v>48843</v>
      </c>
      <c r="Y1415" s="153">
        <f>_xll.qlCalendarAdvance(Calendar,X1415,NDays&amp;"D")</f>
        <v>48843</v>
      </c>
      <c r="Z1415" s="154">
        <v>3.0599446139453042E-2</v>
      </c>
      <c r="AA1415" s="156">
        <v>3.0543467762537135E-2</v>
      </c>
    </row>
    <row r="1416" spans="19:27" x14ac:dyDescent="0.2">
      <c r="S1416" s="1"/>
      <c r="T1416" s="117"/>
      <c r="W1416" s="75" t="str">
        <f t="shared" si="32"/>
        <v>1w</v>
      </c>
      <c r="X1416" s="148">
        <f>_xll.qlCalendarAdvance(Calendar,X1415,W1416,"f",FALSE)</f>
        <v>48850</v>
      </c>
      <c r="Y1416" s="153">
        <f>_xll.qlCalendarAdvance(Calendar,X1416,NDays&amp;"D")</f>
        <v>48850</v>
      </c>
      <c r="Z1416" s="154">
        <v>3.0590080646106663E-2</v>
      </c>
      <c r="AA1416" s="156">
        <v>3.0534507417999679E-2</v>
      </c>
    </row>
    <row r="1417" spans="19:27" x14ac:dyDescent="0.2">
      <c r="S1417" s="1"/>
      <c r="T1417" s="117"/>
      <c r="W1417" s="75" t="str">
        <f t="shared" si="32"/>
        <v>1w</v>
      </c>
      <c r="X1417" s="148">
        <f>_xll.qlCalendarAdvance(Calendar,X1416,W1417,"f",FALSE)</f>
        <v>48857</v>
      </c>
      <c r="Y1417" s="153">
        <f>_xll.qlCalendarAdvance(Calendar,X1417,NDays&amp;"D")</f>
        <v>48857</v>
      </c>
      <c r="Z1417" s="154">
        <v>3.0581257573000446E-2</v>
      </c>
      <c r="AA1417" s="156">
        <v>3.052549495786705E-2</v>
      </c>
    </row>
    <row r="1418" spans="19:27" x14ac:dyDescent="0.2">
      <c r="S1418" s="1"/>
      <c r="T1418" s="117"/>
      <c r="W1418" s="75" t="str">
        <f t="shared" si="32"/>
        <v>1w</v>
      </c>
      <c r="X1418" s="148">
        <f>_xll.qlCalendarAdvance(Calendar,X1417,W1418,"f",FALSE)</f>
        <v>48864</v>
      </c>
      <c r="Y1418" s="153">
        <f>_xll.qlCalendarAdvance(Calendar,X1418,NDays&amp;"D")</f>
        <v>48864</v>
      </c>
      <c r="Z1418" s="154">
        <v>3.0571782566399131E-2</v>
      </c>
      <c r="AA1418" s="156">
        <v>3.0516430382301341E-2</v>
      </c>
    </row>
    <row r="1419" spans="19:27" x14ac:dyDescent="0.2">
      <c r="S1419" s="1"/>
      <c r="T1419" s="117"/>
      <c r="W1419" s="75" t="str">
        <f t="shared" si="32"/>
        <v>1w</v>
      </c>
      <c r="X1419" s="148">
        <f>_xll.qlCalendarAdvance(Calendar,X1418,W1419,"f",FALSE)</f>
        <v>48871</v>
      </c>
      <c r="Y1419" s="153">
        <f>_xll.qlCalendarAdvance(Calendar,X1419,NDays&amp;"D")</f>
        <v>48871</v>
      </c>
      <c r="Z1419" s="154">
        <v>3.0562255069448162E-2</v>
      </c>
      <c r="AA1419" s="156">
        <v>3.0507313691221505E-2</v>
      </c>
    </row>
    <row r="1420" spans="19:27" x14ac:dyDescent="0.2">
      <c r="S1420" s="1"/>
      <c r="T1420" s="117"/>
      <c r="W1420" s="75" t="str">
        <f t="shared" si="32"/>
        <v>1w</v>
      </c>
      <c r="X1420" s="148">
        <f>_xll.qlCalendarAdvance(Calendar,X1419,W1420,"f",FALSE)</f>
        <v>48878</v>
      </c>
      <c r="Y1420" s="153">
        <f>_xll.qlCalendarAdvance(Calendar,X1420,NDays&amp;"D")</f>
        <v>48878</v>
      </c>
      <c r="Z1420" s="154">
        <v>3.0552675082523705E-2</v>
      </c>
      <c r="AA1420" s="156">
        <v>3.0498144884627543E-2</v>
      </c>
    </row>
    <row r="1421" spans="19:27" x14ac:dyDescent="0.2">
      <c r="S1421" s="1"/>
      <c r="T1421" s="117"/>
      <c r="W1421" s="75" t="str">
        <f t="shared" si="32"/>
        <v>1w</v>
      </c>
      <c r="X1421" s="148">
        <f>_xll.qlCalendarAdvance(Calendar,X1420,W1421,"f",FALSE)</f>
        <v>48885</v>
      </c>
      <c r="Y1421" s="153">
        <f>_xll.qlCalendarAdvance(Calendar,X1421,NDays&amp;"D")</f>
        <v>48885</v>
      </c>
      <c r="Z1421" s="154">
        <v>3.0543042606003677E-2</v>
      </c>
      <c r="AA1421" s="156">
        <v>3.0488923962438408E-2</v>
      </c>
    </row>
    <row r="1422" spans="19:27" x14ac:dyDescent="0.2">
      <c r="S1422" s="1"/>
      <c r="T1422" s="117"/>
      <c r="W1422" s="75" t="str">
        <f t="shared" si="32"/>
        <v>1w</v>
      </c>
      <c r="X1422" s="148">
        <f>_xll.qlCalendarAdvance(Calendar,X1421,W1422,"f",FALSE)</f>
        <v>48892</v>
      </c>
      <c r="Y1422" s="153">
        <f>_xll.qlCalendarAdvance(Calendar,X1422,NDays&amp;"D")</f>
        <v>48892</v>
      </c>
      <c r="Z1422" s="154">
        <v>3.0533357640268644E-2</v>
      </c>
      <c r="AA1422" s="156">
        <v>3.0479650924978285E-2</v>
      </c>
    </row>
    <row r="1423" spans="19:27" x14ac:dyDescent="0.2">
      <c r="S1423" s="1"/>
      <c r="T1423" s="117"/>
      <c r="W1423" s="75" t="str">
        <f t="shared" si="32"/>
        <v>1w</v>
      </c>
      <c r="X1423" s="148">
        <f>_xll.qlCalendarAdvance(Calendar,X1422,W1423,"f",FALSE)</f>
        <v>48899</v>
      </c>
      <c r="Y1423" s="153">
        <f>_xll.qlCalendarAdvance(Calendar,X1423,NDays&amp;"D")</f>
        <v>48899</v>
      </c>
      <c r="Z1423" s="154">
        <v>3.0523620185697414E-2</v>
      </c>
      <c r="AA1423" s="156">
        <v>3.0470325771841944E-2</v>
      </c>
    </row>
    <row r="1424" spans="19:27" x14ac:dyDescent="0.2">
      <c r="S1424" s="1"/>
      <c r="T1424" s="117"/>
      <c r="W1424" s="75" t="str">
        <f t="shared" si="32"/>
        <v>1w</v>
      </c>
      <c r="X1424" s="148">
        <f>_xll.qlCalendarAdvance(Calendar,X1423,W1424,"f",FALSE)</f>
        <v>48906</v>
      </c>
      <c r="Y1424" s="153">
        <f>_xll.qlCalendarAdvance(Calendar,X1424,NDays&amp;"D")</f>
        <v>48906</v>
      </c>
      <c r="Z1424" s="154">
        <v>3.0513830242674952E-2</v>
      </c>
      <c r="AA1424" s="156">
        <v>3.0460948503272522E-2</v>
      </c>
    </row>
    <row r="1425" spans="19:27" x14ac:dyDescent="0.2">
      <c r="S1425" s="1"/>
      <c r="T1425" s="117"/>
      <c r="W1425" s="75" t="str">
        <f t="shared" si="32"/>
        <v>1w</v>
      </c>
      <c r="X1425" s="148">
        <f>_xll.qlCalendarAdvance(Calendar,X1424,W1425,"f",FALSE)</f>
        <v>48913</v>
      </c>
      <c r="Y1425" s="153">
        <f>_xll.qlCalendarAdvance(Calendar,X1425,NDays&amp;"D")</f>
        <v>48913</v>
      </c>
      <c r="Z1425" s="154">
        <v>3.050287045624641E-2</v>
      </c>
      <c r="AA1425" s="156">
        <v>3.0451519119270021E-2</v>
      </c>
    </row>
    <row r="1426" spans="19:27" x14ac:dyDescent="0.2">
      <c r="S1426" s="1"/>
      <c r="T1426" s="117"/>
      <c r="W1426" s="75" t="str">
        <f t="shared" si="32"/>
        <v>1w</v>
      </c>
      <c r="X1426" s="148">
        <f>_xll.qlCalendarAdvance(Calendar,X1425,W1426,"f",FALSE)</f>
        <v>48920</v>
      </c>
      <c r="Y1426" s="153">
        <f>_xll.qlCalendarAdvance(Calendar,X1426,NDays&amp;"D")</f>
        <v>48920</v>
      </c>
      <c r="Z1426" s="154">
        <v>3.0492984681644891E-2</v>
      </c>
      <c r="AA1426" s="156">
        <v>3.0442037619834439E-2</v>
      </c>
    </row>
    <row r="1427" spans="19:27" x14ac:dyDescent="0.2">
      <c r="S1427" s="1"/>
      <c r="T1427" s="117"/>
      <c r="W1427" s="75" t="str">
        <f t="shared" si="32"/>
        <v>1w</v>
      </c>
      <c r="X1427" s="148">
        <f>_xll.qlCalendarAdvance(Calendar,X1426,W1427,"f",FALSE)</f>
        <v>48927</v>
      </c>
      <c r="Y1427" s="153">
        <f>_xll.qlCalendarAdvance(Calendar,X1427,NDays&amp;"D")</f>
        <v>48927</v>
      </c>
      <c r="Z1427" s="154">
        <v>3.0483046427900701E-2</v>
      </c>
      <c r="AA1427" s="156">
        <v>3.0432504004884731E-2</v>
      </c>
    </row>
    <row r="1428" spans="19:27" x14ac:dyDescent="0.2">
      <c r="S1428" s="1"/>
      <c r="T1428" s="117"/>
      <c r="W1428" s="75" t="str">
        <f t="shared" si="32"/>
        <v>1w</v>
      </c>
      <c r="X1428" s="148">
        <f>_xll.qlCalendarAdvance(Calendar,X1427,W1428,"f",FALSE)</f>
        <v>48934</v>
      </c>
      <c r="Y1428" s="153">
        <f>_xll.qlCalendarAdvance(Calendar,X1428,NDays&amp;"D")</f>
        <v>48934</v>
      </c>
      <c r="Z1428" s="154">
        <v>3.0473055695398352E-2</v>
      </c>
      <c r="AA1428" s="156">
        <v>3.042291827433985E-2</v>
      </c>
    </row>
    <row r="1429" spans="19:27" x14ac:dyDescent="0.2">
      <c r="S1429" s="1"/>
      <c r="T1429" s="117"/>
      <c r="W1429" s="75" t="str">
        <f t="shared" ref="W1429:W1492" si="33">W1428</f>
        <v>1w</v>
      </c>
      <c r="X1429" s="148">
        <f>_xll.qlCalendarAdvance(Calendar,X1428,W1429,"f",FALSE)</f>
        <v>48941</v>
      </c>
      <c r="Y1429" s="153">
        <f>_xll.qlCalendarAdvance(Calendar,X1429,NDays&amp;"D")</f>
        <v>48941</v>
      </c>
      <c r="Z1429" s="154">
        <v>3.0463012484521473E-2</v>
      </c>
      <c r="AA1429" s="156">
        <v>3.0413280428442935E-2</v>
      </c>
    </row>
    <row r="1430" spans="19:27" x14ac:dyDescent="0.2">
      <c r="S1430" s="1"/>
      <c r="T1430" s="117"/>
      <c r="W1430" s="75" t="str">
        <f t="shared" si="33"/>
        <v>1w</v>
      </c>
      <c r="X1430" s="148">
        <f>_xll.qlCalendarAdvance(Calendar,X1429,W1430,"f",FALSE)</f>
        <v>48948</v>
      </c>
      <c r="Y1430" s="153">
        <f>_xll.qlCalendarAdvance(Calendar,X1430,NDays&amp;"D")</f>
        <v>48948</v>
      </c>
      <c r="Z1430" s="154">
        <v>3.0452916795658178E-2</v>
      </c>
      <c r="AA1430" s="156">
        <v>3.0403590467031893E-2</v>
      </c>
    </row>
    <row r="1431" spans="19:27" x14ac:dyDescent="0.2">
      <c r="S1431" s="1"/>
      <c r="T1431" s="117"/>
      <c r="W1431" s="75" t="str">
        <f t="shared" si="33"/>
        <v>1w</v>
      </c>
      <c r="X1431" s="148">
        <f>_xll.qlCalendarAdvance(Calendar,X1430,W1431,"f",FALSE)</f>
        <v>48955</v>
      </c>
      <c r="Y1431" s="153">
        <f>_xll.qlCalendarAdvance(Calendar,X1431,NDays&amp;"D")</f>
        <v>48955</v>
      </c>
      <c r="Z1431" s="154">
        <v>3.0442768629198397E-2</v>
      </c>
      <c r="AA1431" s="156">
        <v>3.0393848390349865E-2</v>
      </c>
    </row>
    <row r="1432" spans="19:27" x14ac:dyDescent="0.2">
      <c r="S1432" s="1"/>
      <c r="T1432" s="117"/>
      <c r="W1432" s="75" t="str">
        <f t="shared" si="33"/>
        <v>1w</v>
      </c>
      <c r="X1432" s="148">
        <f>_xll.qlCalendarAdvance(Calendar,X1431,W1432,"f",FALSE)</f>
        <v>48962</v>
      </c>
      <c r="Y1432" s="153">
        <f>_xll.qlCalendarAdvance(Calendar,X1432,NDays&amp;"D")</f>
        <v>48962</v>
      </c>
      <c r="Z1432" s="154">
        <v>3.0432567985532042E-2</v>
      </c>
      <c r="AA1432" s="156">
        <v>3.0384054198072663E-2</v>
      </c>
    </row>
    <row r="1433" spans="19:27" x14ac:dyDescent="0.2">
      <c r="S1433" s="1"/>
      <c r="T1433" s="117"/>
      <c r="W1433" s="75" t="str">
        <f t="shared" si="33"/>
        <v>1w</v>
      </c>
      <c r="X1433" s="148">
        <f>_xll.qlCalendarAdvance(Calendar,X1432,W1433,"f",FALSE)</f>
        <v>48969</v>
      </c>
      <c r="Y1433" s="153">
        <f>_xll.qlCalendarAdvance(Calendar,X1433,NDays&amp;"D")</f>
        <v>48969</v>
      </c>
      <c r="Z1433" s="154">
        <v>3.0422314865050846E-2</v>
      </c>
      <c r="AA1433" s="156">
        <v>3.0374207890362381E-2</v>
      </c>
    </row>
    <row r="1434" spans="19:27" x14ac:dyDescent="0.2">
      <c r="S1434" s="1"/>
      <c r="T1434" s="117"/>
      <c r="W1434" s="75" t="str">
        <f t="shared" si="33"/>
        <v>1w</v>
      </c>
      <c r="X1434" s="148">
        <f>_xll.qlCalendarAdvance(Calendar,X1433,W1434,"f",FALSE)</f>
        <v>48976</v>
      </c>
      <c r="Y1434" s="153">
        <f>_xll.qlCalendarAdvance(Calendar,X1434,NDays&amp;"D")</f>
        <v>48976</v>
      </c>
      <c r="Z1434" s="154">
        <v>3.0412009268153736E-2</v>
      </c>
      <c r="AA1434" s="156">
        <v>3.0364309467137973E-2</v>
      </c>
    </row>
    <row r="1435" spans="19:27" x14ac:dyDescent="0.2">
      <c r="S1435" s="1"/>
      <c r="T1435" s="117"/>
      <c r="W1435" s="75" t="str">
        <f t="shared" si="33"/>
        <v>1w</v>
      </c>
      <c r="X1435" s="148">
        <f>_xll.qlCalendarAdvance(Calendar,X1434,W1435,"f",FALSE)</f>
        <v>48983</v>
      </c>
      <c r="Y1435" s="153">
        <f>_xll.qlCalendarAdvance(Calendar,X1435,NDays&amp;"D")</f>
        <v>48983</v>
      </c>
      <c r="Z1435" s="154">
        <v>3.0401137803763471E-2</v>
      </c>
      <c r="AA1435" s="156">
        <v>3.0354358928561531E-2</v>
      </c>
    </row>
    <row r="1436" spans="19:27" x14ac:dyDescent="0.2">
      <c r="S1436" s="1"/>
      <c r="T1436" s="117"/>
      <c r="W1436" s="75" t="str">
        <f t="shared" si="33"/>
        <v>1w</v>
      </c>
      <c r="X1436" s="148">
        <f>_xll.qlCalendarAdvance(Calendar,X1435,W1436,"f",FALSE)</f>
        <v>48990</v>
      </c>
      <c r="Y1436" s="153">
        <f>_xll.qlCalendarAdvance(Calendar,X1436,NDays&amp;"D")</f>
        <v>48990</v>
      </c>
      <c r="Z1436" s="154">
        <v>3.0390731866859179E-2</v>
      </c>
      <c r="AA1436" s="156">
        <v>3.0344356274552009E-2</v>
      </c>
    </row>
    <row r="1437" spans="19:27" x14ac:dyDescent="0.2">
      <c r="S1437" s="1"/>
      <c r="T1437" s="117"/>
      <c r="W1437" s="75" t="str">
        <f t="shared" si="33"/>
        <v>1w</v>
      </c>
      <c r="X1437" s="148">
        <f>_xll.qlCalendarAdvance(Calendar,X1436,W1437,"f",FALSE)</f>
        <v>48997</v>
      </c>
      <c r="Y1437" s="153">
        <f>_xll.qlCalendarAdvance(Calendar,X1437,NDays&amp;"D")</f>
        <v>48997</v>
      </c>
      <c r="Z1437" s="154">
        <v>3.0380273458762326E-2</v>
      </c>
      <c r="AA1437" s="156">
        <v>3.0334301505109407E-2</v>
      </c>
    </row>
    <row r="1438" spans="19:27" x14ac:dyDescent="0.2">
      <c r="S1438" s="1"/>
      <c r="T1438" s="117"/>
      <c r="W1438" s="75" t="str">
        <f t="shared" si="33"/>
        <v>1w</v>
      </c>
      <c r="X1438" s="148">
        <f>_xll.qlCalendarAdvance(Calendar,X1437,W1438,"f",FALSE)</f>
        <v>49004</v>
      </c>
      <c r="Y1438" s="153">
        <f>_xll.qlCalendarAdvance(Calendar,X1438,NDays&amp;"D")</f>
        <v>49004</v>
      </c>
      <c r="Z1438" s="154">
        <v>3.0371259972765609E-2</v>
      </c>
      <c r="AA1438" s="156">
        <v>3.0324194620395817E-2</v>
      </c>
    </row>
    <row r="1439" spans="19:27" x14ac:dyDescent="0.2">
      <c r="S1439" s="1"/>
      <c r="T1439" s="117"/>
      <c r="W1439" s="75" t="str">
        <f t="shared" si="33"/>
        <v>1w</v>
      </c>
      <c r="X1439" s="148">
        <f>_xll.qlCalendarAdvance(Calendar,X1438,W1439,"f",FALSE)</f>
        <v>49011</v>
      </c>
      <c r="Y1439" s="153">
        <f>_xll.qlCalendarAdvance(Calendar,X1439,NDays&amp;"D")</f>
        <v>49011</v>
      </c>
      <c r="Z1439" s="154">
        <v>3.0360682750419362E-2</v>
      </c>
      <c r="AA1439" s="156">
        <v>3.0314035620006008E-2</v>
      </c>
    </row>
    <row r="1440" spans="19:27" x14ac:dyDescent="0.2">
      <c r="S1440" s="1"/>
      <c r="T1440" s="117"/>
      <c r="W1440" s="75" t="str">
        <f t="shared" si="33"/>
        <v>1w</v>
      </c>
      <c r="X1440" s="148">
        <f>_xll.qlCalendarAdvance(Calendar,X1439,W1440,"f",FALSE)</f>
        <v>49018</v>
      </c>
      <c r="Y1440" s="153">
        <f>_xll.qlCalendarAdvance(Calendar,X1440,NDays&amp;"D")</f>
        <v>49018</v>
      </c>
      <c r="Z1440" s="154">
        <v>3.0350053046043043E-2</v>
      </c>
      <c r="AA1440" s="156">
        <v>3.0303824504345211E-2</v>
      </c>
    </row>
    <row r="1441" spans="19:27" x14ac:dyDescent="0.2">
      <c r="S1441" s="1"/>
      <c r="T1441" s="117"/>
      <c r="W1441" s="75" t="str">
        <f t="shared" si="33"/>
        <v>1w</v>
      </c>
      <c r="X1441" s="148">
        <f>_xll.qlCalendarAdvance(Calendar,X1440,W1441,"f",FALSE)</f>
        <v>49025</v>
      </c>
      <c r="Y1441" s="153">
        <f>_xll.qlCalendarAdvance(Calendar,X1441,NDays&amp;"D")</f>
        <v>49025</v>
      </c>
      <c r="Z1441" s="154">
        <v>3.0339370860053328E-2</v>
      </c>
      <c r="AA1441" s="156">
        <v>3.0293561273251335E-2</v>
      </c>
    </row>
    <row r="1442" spans="19:27" x14ac:dyDescent="0.2">
      <c r="S1442" s="1"/>
      <c r="T1442" s="117"/>
      <c r="W1442" s="75" t="str">
        <f t="shared" si="33"/>
        <v>1w</v>
      </c>
      <c r="X1442" s="148">
        <f>_xll.qlCalendarAdvance(Calendar,X1441,W1442,"f",FALSE)</f>
        <v>49032</v>
      </c>
      <c r="Y1442" s="153">
        <f>_xll.qlCalendarAdvance(Calendar,X1442,NDays&amp;"D")</f>
        <v>49032</v>
      </c>
      <c r="Z1442" s="154">
        <v>3.0328636192871315E-2</v>
      </c>
      <c r="AA1442" s="156">
        <v>3.0283245926724378E-2</v>
      </c>
    </row>
    <row r="1443" spans="19:27" x14ac:dyDescent="0.2">
      <c r="S1443" s="1"/>
      <c r="T1443" s="117"/>
      <c r="W1443" s="75" t="str">
        <f t="shared" si="33"/>
        <v>1w</v>
      </c>
      <c r="X1443" s="148">
        <f>_xll.qlCalendarAdvance(Calendar,X1442,W1443,"f",FALSE)</f>
        <v>49039</v>
      </c>
      <c r="Y1443" s="153">
        <f>_xll.qlCalendarAdvance(Calendar,X1443,NDays&amp;"D")</f>
        <v>49039</v>
      </c>
      <c r="Z1443" s="154">
        <v>3.0317373492600323E-2</v>
      </c>
      <c r="AA1443" s="156">
        <v>3.0272878464764341E-2</v>
      </c>
    </row>
    <row r="1444" spans="19:27" x14ac:dyDescent="0.2">
      <c r="S1444" s="1"/>
      <c r="T1444" s="117"/>
      <c r="W1444" s="75" t="str">
        <f t="shared" si="33"/>
        <v>1w</v>
      </c>
      <c r="X1444" s="148">
        <f>_xll.qlCalendarAdvance(Calendar,X1443,W1444,"f",FALSE)</f>
        <v>49046</v>
      </c>
      <c r="Y1444" s="153">
        <f>_xll.qlCalendarAdvance(Calendar,X1444,NDays&amp;"D")</f>
        <v>49046</v>
      </c>
      <c r="Z1444" s="154">
        <v>3.0306538509326159E-2</v>
      </c>
      <c r="AA1444" s="156">
        <v>3.026245888745227E-2</v>
      </c>
    </row>
    <row r="1445" spans="19:27" x14ac:dyDescent="0.2">
      <c r="S1445" s="1"/>
      <c r="T1445" s="117"/>
      <c r="W1445" s="75" t="str">
        <f t="shared" si="33"/>
        <v>1w</v>
      </c>
      <c r="X1445" s="148">
        <f>_xll.qlCalendarAdvance(Calendar,X1444,W1445,"f",FALSE)</f>
        <v>49053</v>
      </c>
      <c r="Y1445" s="153">
        <f>_xll.qlCalendarAdvance(Calendar,X1445,NDays&amp;"D")</f>
        <v>49053</v>
      </c>
      <c r="Z1445" s="154">
        <v>3.0295651050125057E-2</v>
      </c>
      <c r="AA1445" s="156">
        <v>3.0251987194788166E-2</v>
      </c>
    </row>
    <row r="1446" spans="19:27" x14ac:dyDescent="0.2">
      <c r="S1446" s="1"/>
      <c r="T1446" s="117"/>
      <c r="W1446" s="75" t="str">
        <f t="shared" si="33"/>
        <v>1w</v>
      </c>
      <c r="X1446" s="148">
        <f>_xll.qlCalendarAdvance(Calendar,X1445,W1446,"f",FALSE)</f>
        <v>49060</v>
      </c>
      <c r="Y1446" s="153">
        <f>_xll.qlCalendarAdvance(Calendar,X1446,NDays&amp;"D")</f>
        <v>49060</v>
      </c>
      <c r="Z1446" s="154">
        <v>3.0284711115420061E-2</v>
      </c>
      <c r="AA1446" s="156">
        <v>3.0241463386690981E-2</v>
      </c>
    </row>
    <row r="1447" spans="19:27" x14ac:dyDescent="0.2">
      <c r="S1447" s="1"/>
      <c r="T1447" s="117"/>
      <c r="W1447" s="75" t="str">
        <f t="shared" si="33"/>
        <v>1w</v>
      </c>
      <c r="X1447" s="148">
        <f>_xll.qlCalendarAdvance(Calendar,X1446,W1447,"f",FALSE)</f>
        <v>49067</v>
      </c>
      <c r="Y1447" s="153">
        <f>_xll.qlCalendarAdvance(Calendar,X1447,NDays&amp;"D")</f>
        <v>49067</v>
      </c>
      <c r="Z1447" s="154">
        <v>3.0274175653959262E-2</v>
      </c>
      <c r="AA1447" s="156">
        <v>3.0230887463241762E-2</v>
      </c>
    </row>
    <row r="1448" spans="19:27" x14ac:dyDescent="0.2">
      <c r="S1448" s="1"/>
      <c r="T1448" s="117"/>
      <c r="W1448" s="75" t="str">
        <f t="shared" si="33"/>
        <v>1w</v>
      </c>
      <c r="X1448" s="148">
        <f>_xll.qlCalendarAdvance(Calendar,X1447,W1448,"f",FALSE)</f>
        <v>49074</v>
      </c>
      <c r="Y1448" s="153">
        <f>_xll.qlCalendarAdvance(Calendar,X1448,NDays&amp;"D")</f>
        <v>49074</v>
      </c>
      <c r="Z1448" s="154">
        <v>3.0263126108578165E-2</v>
      </c>
      <c r="AA1448" s="156">
        <v>3.0220259424359464E-2</v>
      </c>
    </row>
    <row r="1449" spans="19:27" x14ac:dyDescent="0.2">
      <c r="S1449" s="1"/>
      <c r="T1449" s="117"/>
      <c r="W1449" s="75" t="str">
        <f t="shared" si="33"/>
        <v>1w</v>
      </c>
      <c r="X1449" s="148">
        <f>_xll.qlCalendarAdvance(Calendar,X1448,W1449,"f",FALSE)</f>
        <v>49081</v>
      </c>
      <c r="Y1449" s="153">
        <f>_xll.qlCalendarAdvance(Calendar,X1449,NDays&amp;"D")</f>
        <v>49081</v>
      </c>
      <c r="Z1449" s="154">
        <v>3.0252024085009644E-2</v>
      </c>
      <c r="AA1449" s="156">
        <v>3.0209579270206177E-2</v>
      </c>
    </row>
    <row r="1450" spans="19:27" x14ac:dyDescent="0.2">
      <c r="S1450" s="1"/>
      <c r="T1450" s="117"/>
      <c r="W1450" s="75" t="str">
        <f t="shared" si="33"/>
        <v>1w</v>
      </c>
      <c r="X1450" s="148">
        <f>_xll.qlCalendarAdvance(Calendar,X1449,W1450,"f",FALSE)</f>
        <v>49088</v>
      </c>
      <c r="Y1450" s="153">
        <f>_xll.qlCalendarAdvance(Calendar,X1450,NDays&amp;"D")</f>
        <v>49088</v>
      </c>
      <c r="Z1450" s="154">
        <v>3.0240869583690645E-2</v>
      </c>
      <c r="AA1450" s="156">
        <v>3.0198847000538764E-2</v>
      </c>
    </row>
    <row r="1451" spans="19:27" x14ac:dyDescent="0.2">
      <c r="S1451" s="1"/>
      <c r="T1451" s="117"/>
      <c r="W1451" s="75" t="str">
        <f t="shared" si="33"/>
        <v>1w</v>
      </c>
      <c r="X1451" s="148">
        <f>_xll.qlCalendarAdvance(Calendar,X1450,W1451,"f",FALSE)</f>
        <v>49095</v>
      </c>
      <c r="Y1451" s="153">
        <f>_xll.qlCalendarAdvance(Calendar,X1451,NDays&amp;"D")</f>
        <v>49095</v>
      </c>
      <c r="Z1451" s="154">
        <v>3.0229662605061637E-2</v>
      </c>
      <c r="AA1451" s="156">
        <v>3.0188062615600364E-2</v>
      </c>
    </row>
    <row r="1452" spans="19:27" x14ac:dyDescent="0.2">
      <c r="S1452" s="1"/>
      <c r="T1452" s="117"/>
      <c r="W1452" s="75" t="str">
        <f t="shared" si="33"/>
        <v>1w</v>
      </c>
      <c r="X1452" s="148">
        <f>_xll.qlCalendarAdvance(Calendar,X1451,W1452,"f",FALSE)</f>
        <v>49102</v>
      </c>
      <c r="Y1452" s="153">
        <f>_xll.qlCalendarAdvance(Calendar,X1452,NDays&amp;"D")</f>
        <v>49102</v>
      </c>
      <c r="Z1452" s="154">
        <v>3.0218403149561326E-2</v>
      </c>
      <c r="AA1452" s="156">
        <v>3.0177226115228883E-2</v>
      </c>
    </row>
    <row r="1453" spans="19:27" x14ac:dyDescent="0.2">
      <c r="S1453" s="1"/>
      <c r="T1453" s="117"/>
      <c r="W1453" s="75" t="str">
        <f t="shared" si="33"/>
        <v>1w</v>
      </c>
      <c r="X1453" s="148">
        <f>_xll.qlCalendarAdvance(Calendar,X1452,W1453,"f",FALSE)</f>
        <v>49109</v>
      </c>
      <c r="Y1453" s="153">
        <f>_xll.qlCalendarAdvance(Calendar,X1453,NDays&amp;"D")</f>
        <v>49109</v>
      </c>
      <c r="Z1453" s="154">
        <v>3.0207091217635464E-2</v>
      </c>
      <c r="AA1453" s="156">
        <v>3.0166337499667462E-2</v>
      </c>
    </row>
    <row r="1454" spans="19:27" x14ac:dyDescent="0.2">
      <c r="S1454" s="1"/>
      <c r="T1454" s="117"/>
      <c r="W1454" s="75" t="str">
        <f t="shared" si="33"/>
        <v>1w</v>
      </c>
      <c r="X1454" s="148">
        <f>_xll.qlCalendarAdvance(Calendar,X1453,W1454,"f",FALSE)</f>
        <v>49116</v>
      </c>
      <c r="Y1454" s="153">
        <f>_xll.qlCalendarAdvance(Calendar,X1454,NDays&amp;"D")</f>
        <v>49116</v>
      </c>
      <c r="Z1454" s="154">
        <v>3.0195726809728932E-2</v>
      </c>
      <c r="AA1454" s="156">
        <v>3.0155396768591913E-2</v>
      </c>
    </row>
    <row r="1455" spans="19:27" x14ac:dyDescent="0.2">
      <c r="S1455" s="1"/>
      <c r="T1455" s="117"/>
      <c r="W1455" s="75" t="str">
        <f t="shared" si="33"/>
        <v>1w</v>
      </c>
      <c r="X1455" s="148">
        <f>_xll.qlCalendarAdvance(Calendar,X1454,W1455,"f",FALSE)</f>
        <v>49123</v>
      </c>
      <c r="Y1455" s="153">
        <f>_xll.qlCalendarAdvance(Calendar,X1455,NDays&amp;"D")</f>
        <v>49123</v>
      </c>
      <c r="Z1455" s="154">
        <v>3.0184309926288358E-2</v>
      </c>
      <c r="AA1455" s="156">
        <v>3.0144403922245377E-2</v>
      </c>
    </row>
    <row r="1456" spans="19:27" x14ac:dyDescent="0.2">
      <c r="S1456" s="1"/>
      <c r="T1456" s="117"/>
      <c r="W1456" s="75" t="str">
        <f t="shared" si="33"/>
        <v>1w</v>
      </c>
      <c r="X1456" s="148">
        <f>_xll.qlCalendarAdvance(Calendar,X1455,W1456,"f",FALSE)</f>
        <v>49130</v>
      </c>
      <c r="Y1456" s="153">
        <f>_xll.qlCalendarAdvance(Calendar,X1456,NDays&amp;"D")</f>
        <v>49130</v>
      </c>
      <c r="Z1456" s="154">
        <v>3.0172840567766548E-2</v>
      </c>
      <c r="AA1456" s="156">
        <v>3.0133358960465761E-2</v>
      </c>
    </row>
    <row r="1457" spans="19:27" x14ac:dyDescent="0.2">
      <c r="S1457" s="1"/>
      <c r="T1457" s="117"/>
      <c r="W1457" s="75" t="str">
        <f t="shared" si="33"/>
        <v>1w</v>
      </c>
      <c r="X1457" s="148">
        <f>_xll.qlCalendarAdvance(Calendar,X1456,W1457,"f",FALSE)</f>
        <v>49137</v>
      </c>
      <c r="Y1457" s="153">
        <f>_xll.qlCalendarAdvance(Calendar,X1457,NDays&amp;"D")</f>
        <v>49137</v>
      </c>
      <c r="Z1457" s="154">
        <v>3.0161318834747222E-2</v>
      </c>
      <c r="AA1457" s="156">
        <v>3.0122261883415158E-2</v>
      </c>
    </row>
    <row r="1458" spans="19:27" x14ac:dyDescent="0.2">
      <c r="S1458" s="1"/>
      <c r="T1458" s="117"/>
      <c r="W1458" s="75" t="str">
        <f t="shared" si="33"/>
        <v>1w</v>
      </c>
      <c r="X1458" s="148">
        <f>_xll.qlCalendarAdvance(Calendar,X1457,W1458,"f",FALSE)</f>
        <v>49144</v>
      </c>
      <c r="Y1458" s="153">
        <f>_xll.qlCalendarAdvance(Calendar,X1458,NDays&amp;"D")</f>
        <v>49144</v>
      </c>
      <c r="Z1458" s="154">
        <v>3.014974813597969E-2</v>
      </c>
      <c r="AA1458" s="156">
        <v>3.011111269101252E-2</v>
      </c>
    </row>
    <row r="1459" spans="19:27" x14ac:dyDescent="0.2">
      <c r="S1459" s="1"/>
      <c r="T1459" s="117"/>
      <c r="W1459" s="75" t="str">
        <f t="shared" si="33"/>
        <v>1w</v>
      </c>
      <c r="X1459" s="148">
        <f>_xll.qlCalendarAdvance(Calendar,X1458,W1459,"f",FALSE)</f>
        <v>49151</v>
      </c>
      <c r="Y1459" s="153">
        <f>_xll.qlCalendarAdvance(Calendar,X1459,NDays&amp;"D")</f>
        <v>49151</v>
      </c>
      <c r="Z1459" s="154">
        <v>3.0138135867013714E-2</v>
      </c>
      <c r="AA1459" s="156">
        <v>3.0099911383338895E-2</v>
      </c>
    </row>
    <row r="1460" spans="19:27" x14ac:dyDescent="0.2">
      <c r="S1460" s="1"/>
      <c r="T1460" s="117"/>
      <c r="W1460" s="75" t="str">
        <f t="shared" si="33"/>
        <v>1w</v>
      </c>
      <c r="X1460" s="148">
        <f>_xll.qlCalendarAdvance(Calendar,X1459,W1460,"f",FALSE)</f>
        <v>49158</v>
      </c>
      <c r="Y1460" s="153">
        <f>_xll.qlCalendarAdvance(Calendar,X1460,NDays&amp;"D")</f>
        <v>49158</v>
      </c>
      <c r="Z1460" s="154">
        <v>3.0126489660669973E-2</v>
      </c>
      <c r="AA1460" s="156">
        <v>3.0088657960313236E-2</v>
      </c>
    </row>
    <row r="1461" spans="19:27" x14ac:dyDescent="0.2">
      <c r="S1461" s="1"/>
      <c r="T1461" s="117"/>
      <c r="W1461" s="75" t="str">
        <f t="shared" si="33"/>
        <v>1w</v>
      </c>
      <c r="X1461" s="148">
        <f>_xll.qlCalendarAdvance(Calendar,X1460,W1461,"f",FALSE)</f>
        <v>49165</v>
      </c>
      <c r="Y1461" s="153">
        <f>_xll.qlCalendarAdvance(Calendar,X1461,NDays&amp;"D")</f>
        <v>49165</v>
      </c>
      <c r="Z1461" s="154">
        <v>3.0114817149681058E-2</v>
      </c>
      <c r="AA1461" s="156">
        <v>3.0077352421935544E-2</v>
      </c>
    </row>
    <row r="1462" spans="19:27" x14ac:dyDescent="0.2">
      <c r="S1462" s="1"/>
      <c r="T1462" s="117"/>
      <c r="W1462" s="75" t="str">
        <f t="shared" si="33"/>
        <v>1w</v>
      </c>
      <c r="X1462" s="148">
        <f>_xll.qlCalendarAdvance(Calendar,X1461,W1462,"f",FALSE)</f>
        <v>49172</v>
      </c>
      <c r="Y1462" s="153">
        <f>_xll.qlCalendarAdvance(Calendar,X1462,NDays&amp;"D")</f>
        <v>49172</v>
      </c>
      <c r="Z1462" s="154">
        <v>3.0103125966690573E-2</v>
      </c>
      <c r="AA1462" s="156">
        <v>3.0065994768286863E-2</v>
      </c>
    </row>
    <row r="1463" spans="19:27" x14ac:dyDescent="0.2">
      <c r="S1463" s="1"/>
      <c r="T1463" s="117"/>
      <c r="W1463" s="75" t="str">
        <f t="shared" si="33"/>
        <v>1w</v>
      </c>
      <c r="X1463" s="148">
        <f>_xll.qlCalendarAdvance(Calendar,X1462,W1463,"f",FALSE)</f>
        <v>49179</v>
      </c>
      <c r="Y1463" s="153">
        <f>_xll.qlCalendarAdvance(Calendar,X1463,NDays&amp;"D")</f>
        <v>49179</v>
      </c>
      <c r="Z1463" s="154">
        <v>3.0091423744254043E-2</v>
      </c>
      <c r="AA1463" s="156">
        <v>3.0054584999286149E-2</v>
      </c>
    </row>
    <row r="1464" spans="19:27" x14ac:dyDescent="0.2">
      <c r="S1464" s="1"/>
      <c r="T1464" s="117"/>
      <c r="W1464" s="75" t="str">
        <f t="shared" si="33"/>
        <v>1w</v>
      </c>
      <c r="X1464" s="148">
        <f>_xll.qlCalendarAdvance(Calendar,X1463,W1464,"f",FALSE)</f>
        <v>49186</v>
      </c>
      <c r="Y1464" s="153">
        <f>_xll.qlCalendarAdvance(Calendar,X1464,NDays&amp;"D")</f>
        <v>49186</v>
      </c>
      <c r="Z1464" s="154">
        <v>3.0079718114838009E-2</v>
      </c>
      <c r="AA1464" s="156">
        <v>3.0043123115014447E-2</v>
      </c>
    </row>
    <row r="1465" spans="19:27" x14ac:dyDescent="0.2">
      <c r="S1465" s="1"/>
      <c r="T1465" s="117"/>
      <c r="W1465" s="75" t="str">
        <f t="shared" si="33"/>
        <v>1w</v>
      </c>
      <c r="X1465" s="148">
        <f>_xll.qlCalendarAdvance(Calendar,X1464,W1465,"f",FALSE)</f>
        <v>49193</v>
      </c>
      <c r="Y1465" s="153">
        <f>_xll.qlCalendarAdvance(Calendar,X1465,NDays&amp;"D")</f>
        <v>49193</v>
      </c>
      <c r="Z1465" s="154">
        <v>3.0067614078202458E-2</v>
      </c>
      <c r="AA1465" s="156">
        <v>3.0031609115471758E-2</v>
      </c>
    </row>
    <row r="1466" spans="19:27" x14ac:dyDescent="0.2">
      <c r="S1466" s="1"/>
      <c r="T1466" s="117"/>
      <c r="W1466" s="75" t="str">
        <f t="shared" si="33"/>
        <v>1w</v>
      </c>
      <c r="X1466" s="148">
        <f>_xll.qlCalendarAdvance(Calendar,X1465,W1466,"f",FALSE)</f>
        <v>49200</v>
      </c>
      <c r="Y1466" s="153">
        <f>_xll.qlCalendarAdvance(Calendar,X1466,NDays&amp;"D")</f>
        <v>49200</v>
      </c>
      <c r="Z1466" s="154">
        <v>3.0055922822469959E-2</v>
      </c>
      <c r="AA1466" s="156">
        <v>3.0020043000495988E-2</v>
      </c>
    </row>
    <row r="1467" spans="19:27" x14ac:dyDescent="0.2">
      <c r="S1467" s="1"/>
      <c r="T1467" s="117"/>
      <c r="W1467" s="75" t="str">
        <f t="shared" si="33"/>
        <v>1w</v>
      </c>
      <c r="X1467" s="148">
        <f>_xll.qlCalendarAdvance(Calendar,X1466,W1467,"f",FALSE)</f>
        <v>49207</v>
      </c>
      <c r="Y1467" s="153">
        <f>_xll.qlCalendarAdvance(Calendar,X1467,NDays&amp;"D")</f>
        <v>49207</v>
      </c>
      <c r="Z1467" s="154">
        <v>3.0044250743171876E-2</v>
      </c>
      <c r="AA1467" s="156">
        <v>3.0008424770411324E-2</v>
      </c>
    </row>
    <row r="1468" spans="19:27" x14ac:dyDescent="0.2">
      <c r="S1468" s="1"/>
      <c r="T1468" s="117"/>
      <c r="W1468" s="75" t="str">
        <f t="shared" si="33"/>
        <v>1w</v>
      </c>
      <c r="X1468" s="148">
        <f>_xll.qlCalendarAdvance(Calendar,X1467,W1468,"f",FALSE)</f>
        <v>49214</v>
      </c>
      <c r="Y1468" s="153">
        <f>_xll.qlCalendarAdvance(Calendar,X1468,NDays&amp;"D")</f>
        <v>49214</v>
      </c>
      <c r="Z1468" s="154">
        <v>3.0032605555662995E-2</v>
      </c>
      <c r="AA1468" s="156">
        <v>2.9996754424893579E-2</v>
      </c>
    </row>
    <row r="1469" spans="19:27" x14ac:dyDescent="0.2">
      <c r="S1469" s="1"/>
      <c r="T1469" s="117"/>
      <c r="W1469" s="75" t="str">
        <f t="shared" si="33"/>
        <v>1w</v>
      </c>
      <c r="X1469" s="148">
        <f>_xll.qlCalendarAdvance(Calendar,X1468,W1469,"f",FALSE)</f>
        <v>49221</v>
      </c>
      <c r="Y1469" s="153">
        <f>_xll.qlCalendarAdvance(Calendar,X1469,NDays&amp;"D")</f>
        <v>49221</v>
      </c>
      <c r="Z1469" s="154">
        <v>3.0021405993125496E-2</v>
      </c>
      <c r="AA1469" s="156">
        <v>2.9985031964266939E-2</v>
      </c>
    </row>
    <row r="1470" spans="19:27" x14ac:dyDescent="0.2">
      <c r="S1470" s="1"/>
      <c r="T1470" s="117"/>
      <c r="W1470" s="75" t="str">
        <f t="shared" si="33"/>
        <v>1w</v>
      </c>
      <c r="X1470" s="148">
        <f>_xll.qlCalendarAdvance(Calendar,X1469,W1470,"f",FALSE)</f>
        <v>49228</v>
      </c>
      <c r="Y1470" s="153">
        <f>_xll.qlCalendarAdvance(Calendar,X1470,NDays&amp;"D")</f>
        <v>49228</v>
      </c>
      <c r="Z1470" s="154">
        <v>3.0009840168954353E-2</v>
      </c>
      <c r="AA1470" s="156">
        <v>2.9973263822714591E-2</v>
      </c>
    </row>
    <row r="1471" spans="19:27" x14ac:dyDescent="0.2">
      <c r="S1471" s="1"/>
      <c r="T1471" s="117"/>
      <c r="W1471" s="75" t="str">
        <f t="shared" si="33"/>
        <v>1w</v>
      </c>
      <c r="X1471" s="148">
        <f>_xll.qlCalendarAdvance(Calendar,X1470,W1471,"f",FALSE)</f>
        <v>49235</v>
      </c>
      <c r="Y1471" s="153">
        <f>_xll.qlCalendarAdvance(Calendar,X1471,NDays&amp;"D")</f>
        <v>49235</v>
      </c>
      <c r="Z1471" s="154">
        <v>2.9998321718372828E-2</v>
      </c>
      <c r="AA1471" s="156">
        <v>2.9961522472388147E-2</v>
      </c>
    </row>
    <row r="1472" spans="19:27" x14ac:dyDescent="0.2">
      <c r="S1472" s="1"/>
      <c r="T1472" s="117"/>
      <c r="W1472" s="75" t="str">
        <f t="shared" si="33"/>
        <v>1w</v>
      </c>
      <c r="X1472" s="148">
        <f>_xll.qlCalendarAdvance(Calendar,X1471,W1472,"f",FALSE)</f>
        <v>49242</v>
      </c>
      <c r="Y1472" s="153">
        <f>_xll.qlCalendarAdvance(Calendar,X1472,NDays&amp;"D")</f>
        <v>49242</v>
      </c>
      <c r="Z1472" s="154">
        <v>2.9986851104540149E-2</v>
      </c>
      <c r="AA1472" s="156">
        <v>2.9949828571336212E-2</v>
      </c>
    </row>
    <row r="1473" spans="19:27" x14ac:dyDescent="0.2">
      <c r="S1473" s="1"/>
      <c r="T1473" s="117"/>
      <c r="W1473" s="75" t="str">
        <f t="shared" si="33"/>
        <v>1w</v>
      </c>
      <c r="X1473" s="148">
        <f>_xll.qlCalendarAdvance(Calendar,X1472,W1473,"f",FALSE)</f>
        <v>49249</v>
      </c>
      <c r="Y1473" s="153">
        <f>_xll.qlCalendarAdvance(Calendar,X1473,NDays&amp;"D")</f>
        <v>49249</v>
      </c>
      <c r="Z1473" s="154">
        <v>2.9975428327043162E-2</v>
      </c>
      <c r="AA1473" s="156">
        <v>2.9938182119477741E-2</v>
      </c>
    </row>
    <row r="1474" spans="19:27" x14ac:dyDescent="0.2">
      <c r="S1474" s="1"/>
      <c r="T1474" s="117"/>
      <c r="W1474" s="75" t="str">
        <f t="shared" si="33"/>
        <v>1w</v>
      </c>
      <c r="X1474" s="148">
        <f>_xll.qlCalendarAdvance(Calendar,X1473,W1474,"f",FALSE)</f>
        <v>49256</v>
      </c>
      <c r="Y1474" s="153">
        <f>_xll.qlCalendarAdvance(Calendar,X1474,NDays&amp;"D")</f>
        <v>49256</v>
      </c>
      <c r="Z1474" s="154">
        <v>2.9964053385474872E-2</v>
      </c>
      <c r="AA1474" s="156">
        <v>2.9926583116974825E-2</v>
      </c>
    </row>
    <row r="1475" spans="19:27" x14ac:dyDescent="0.2">
      <c r="S1475" s="1"/>
      <c r="T1475" s="117"/>
      <c r="W1475" s="75" t="str">
        <f t="shared" si="33"/>
        <v>1w</v>
      </c>
      <c r="X1475" s="148">
        <f>_xll.qlCalendarAdvance(Calendar,X1474,W1475,"f",FALSE)</f>
        <v>49263</v>
      </c>
      <c r="Y1475" s="153">
        <f>_xll.qlCalendarAdvance(Calendar,X1475,NDays&amp;"D")</f>
        <v>49263</v>
      </c>
      <c r="Z1475" s="154">
        <v>2.9952726279422998E-2</v>
      </c>
      <c r="AA1475" s="156">
        <v>2.9915031563584327E-2</v>
      </c>
    </row>
    <row r="1476" spans="19:27" x14ac:dyDescent="0.2">
      <c r="S1476" s="1"/>
      <c r="T1476" s="117"/>
      <c r="W1476" s="75" t="str">
        <f t="shared" si="33"/>
        <v>1w</v>
      </c>
      <c r="X1476" s="148">
        <f>_xll.qlCalendarAdvance(Calendar,X1475,W1476,"f",FALSE)</f>
        <v>49270</v>
      </c>
      <c r="Y1476" s="153">
        <f>_xll.qlCalendarAdvance(Calendar,X1476,NDays&amp;"D")</f>
        <v>49270</v>
      </c>
      <c r="Z1476" s="154">
        <v>2.9941447008484955E-2</v>
      </c>
      <c r="AA1476" s="156">
        <v>2.9903527459306245E-2</v>
      </c>
    </row>
    <row r="1477" spans="19:27" x14ac:dyDescent="0.2">
      <c r="S1477" s="1"/>
      <c r="T1477" s="117"/>
      <c r="W1477" s="75" t="str">
        <f t="shared" si="33"/>
        <v>1w</v>
      </c>
      <c r="X1477" s="148">
        <f>_xll.qlCalendarAdvance(Calendar,X1476,W1477,"f",FALSE)</f>
        <v>49277</v>
      </c>
      <c r="Y1477" s="153">
        <f>_xll.qlCalendarAdvance(Calendar,X1477,NDays&amp;"D")</f>
        <v>49277</v>
      </c>
      <c r="Z1477" s="154">
        <v>2.9929784687816863E-2</v>
      </c>
      <c r="AA1477" s="156">
        <v>2.9892070804302673E-2</v>
      </c>
    </row>
    <row r="1478" spans="19:27" x14ac:dyDescent="0.2">
      <c r="S1478" s="1"/>
      <c r="T1478" s="117"/>
      <c r="W1478" s="75" t="str">
        <f t="shared" si="33"/>
        <v>1w</v>
      </c>
      <c r="X1478" s="148">
        <f>_xll.qlCalendarAdvance(Calendar,X1477,W1478,"f",FALSE)</f>
        <v>49284</v>
      </c>
      <c r="Y1478" s="153">
        <f>_xll.qlCalendarAdvance(Calendar,X1478,NDays&amp;"D")</f>
        <v>49284</v>
      </c>
      <c r="Z1478" s="154">
        <v>2.9918165458418241E-2</v>
      </c>
      <c r="AA1478" s="156">
        <v>2.9880661598654656E-2</v>
      </c>
    </row>
    <row r="1479" spans="19:27" x14ac:dyDescent="0.2">
      <c r="S1479" s="1"/>
      <c r="T1479" s="117"/>
      <c r="W1479" s="75" t="str">
        <f t="shared" si="33"/>
        <v>1w</v>
      </c>
      <c r="X1479" s="148">
        <f>_xll.qlCalendarAdvance(Calendar,X1478,W1479,"f",FALSE)</f>
        <v>49291</v>
      </c>
      <c r="Y1479" s="153">
        <f>_xll.qlCalendarAdvance(Calendar,X1479,NDays&amp;"D")</f>
        <v>49291</v>
      </c>
      <c r="Z1479" s="154">
        <v>2.9907024676518651E-2</v>
      </c>
      <c r="AA1479" s="156">
        <v>2.9869299841956964E-2</v>
      </c>
    </row>
    <row r="1480" spans="19:27" x14ac:dyDescent="0.2">
      <c r="S1480" s="1"/>
      <c r="T1480" s="117"/>
      <c r="W1480" s="75" t="str">
        <f t="shared" si="33"/>
        <v>1w</v>
      </c>
      <c r="X1480" s="148">
        <f>_xll.qlCalendarAdvance(Calendar,X1479,W1480,"f",FALSE)</f>
        <v>49298</v>
      </c>
      <c r="Y1480" s="153">
        <f>_xll.qlCalendarAdvance(Calendar,X1480,NDays&amp;"D")</f>
        <v>49298</v>
      </c>
      <c r="Z1480" s="154">
        <v>2.9895931719697968E-2</v>
      </c>
      <c r="AA1480" s="156">
        <v>2.9857985534452736E-2</v>
      </c>
    </row>
    <row r="1481" spans="19:27" x14ac:dyDescent="0.2">
      <c r="S1481" s="1"/>
      <c r="T1481" s="117"/>
      <c r="W1481" s="75" t="str">
        <f t="shared" si="33"/>
        <v>1w</v>
      </c>
      <c r="X1481" s="148">
        <f>_xll.qlCalendarAdvance(Calendar,X1480,W1481,"f",FALSE)</f>
        <v>49305</v>
      </c>
      <c r="Y1481" s="153">
        <f>_xll.qlCalendarAdvance(Calendar,X1481,NDays&amp;"D")</f>
        <v>49305</v>
      </c>
      <c r="Z1481" s="154">
        <v>2.9884886587567175E-2</v>
      </c>
      <c r="AA1481" s="156">
        <v>2.9846718676304063E-2</v>
      </c>
    </row>
    <row r="1482" spans="19:27" x14ac:dyDescent="0.2">
      <c r="S1482" s="1"/>
      <c r="T1482" s="117"/>
      <c r="W1482" s="75" t="str">
        <f t="shared" si="33"/>
        <v>1w</v>
      </c>
      <c r="X1482" s="148">
        <f>_xll.qlCalendarAdvance(Calendar,X1481,W1482,"f",FALSE)</f>
        <v>49312</v>
      </c>
      <c r="Y1482" s="153">
        <f>_xll.qlCalendarAdvance(Calendar,X1482,NDays&amp;"D")</f>
        <v>49312</v>
      </c>
      <c r="Z1482" s="154">
        <v>2.9873889279737248E-2</v>
      </c>
      <c r="AA1482" s="156">
        <v>2.983549926718676E-2</v>
      </c>
    </row>
    <row r="1483" spans="19:27" x14ac:dyDescent="0.2">
      <c r="S1483" s="1"/>
      <c r="T1483" s="117"/>
      <c r="W1483" s="75" t="str">
        <f t="shared" si="33"/>
        <v>1w</v>
      </c>
      <c r="X1483" s="148">
        <f>_xll.qlCalendarAdvance(Calendar,X1482,W1483,"f",FALSE)</f>
        <v>49319</v>
      </c>
      <c r="Y1483" s="153">
        <f>_xll.qlCalendarAdvance(Calendar,X1483,NDays&amp;"D")</f>
        <v>49319</v>
      </c>
      <c r="Z1483" s="154">
        <v>2.9862939795825466E-2</v>
      </c>
      <c r="AA1483" s="156">
        <v>2.9824327307343967E-2</v>
      </c>
    </row>
    <row r="1484" spans="19:27" x14ac:dyDescent="0.2">
      <c r="S1484" s="1"/>
      <c r="T1484" s="117"/>
      <c r="W1484" s="75" t="str">
        <f t="shared" si="33"/>
        <v>1w</v>
      </c>
      <c r="X1484" s="148">
        <f>_xll.qlCalendarAdvance(Calendar,X1483,W1484,"f",FALSE)</f>
        <v>49326</v>
      </c>
      <c r="Y1484" s="153">
        <f>_xll.qlCalendarAdvance(Calendar,X1484,NDays&amp;"D")</f>
        <v>49326</v>
      </c>
      <c r="Z1484" s="154">
        <v>2.9852038135443709E-2</v>
      </c>
      <c r="AA1484" s="156">
        <v>2.9813202796694638E-2</v>
      </c>
    </row>
    <row r="1485" spans="19:27" x14ac:dyDescent="0.2">
      <c r="S1485" s="1"/>
      <c r="T1485" s="117"/>
      <c r="W1485" s="75" t="str">
        <f t="shared" si="33"/>
        <v>1w</v>
      </c>
      <c r="X1485" s="148">
        <f>_xll.qlCalendarAdvance(Calendar,X1484,W1485,"f",FALSE)</f>
        <v>49333</v>
      </c>
      <c r="Y1485" s="153">
        <f>_xll.qlCalendarAdvance(Calendar,X1485,NDays&amp;"D")</f>
        <v>49333</v>
      </c>
      <c r="Z1485" s="154">
        <v>2.9841184298210158E-2</v>
      </c>
      <c r="AA1485" s="156">
        <v>2.9802125735238771E-2</v>
      </c>
    </row>
    <row r="1486" spans="19:27" x14ac:dyDescent="0.2">
      <c r="S1486" s="1"/>
      <c r="T1486" s="117"/>
      <c r="W1486" s="75" t="str">
        <f t="shared" si="33"/>
        <v>1w</v>
      </c>
      <c r="X1486" s="148">
        <f>_xll.qlCalendarAdvance(Calendar,X1485,W1486,"f",FALSE)</f>
        <v>49340</v>
      </c>
      <c r="Y1486" s="153">
        <f>_xll.qlCalendarAdvance(Calendar,X1486,NDays&amp;"D")</f>
        <v>49340</v>
      </c>
      <c r="Z1486" s="154">
        <v>2.9829925255247171E-2</v>
      </c>
      <c r="AA1486" s="156">
        <v>2.9791096122733229E-2</v>
      </c>
    </row>
    <row r="1487" spans="19:27" x14ac:dyDescent="0.2">
      <c r="S1487" s="1"/>
      <c r="T1487" s="117"/>
      <c r="W1487" s="75" t="str">
        <f t="shared" si="33"/>
        <v>1w</v>
      </c>
      <c r="X1487" s="148">
        <f>_xll.qlCalendarAdvance(Calendar,X1486,W1487,"f",FALSE)</f>
        <v>49347</v>
      </c>
      <c r="Y1487" s="153">
        <f>_xll.qlCalendarAdvance(Calendar,X1487,NDays&amp;"D")</f>
        <v>49347</v>
      </c>
      <c r="Z1487" s="154">
        <v>2.981962009166671E-2</v>
      </c>
      <c r="AA1487" s="156">
        <v>2.9780113959664289E-2</v>
      </c>
    </row>
    <row r="1488" spans="19:27" x14ac:dyDescent="0.2">
      <c r="S1488" s="1"/>
      <c r="T1488" s="117"/>
      <c r="W1488" s="75" t="str">
        <f t="shared" si="33"/>
        <v>1w</v>
      </c>
      <c r="X1488" s="148">
        <f>_xll.qlCalendarAdvance(Calendar,X1487,W1488,"f",FALSE)</f>
        <v>49354</v>
      </c>
      <c r="Y1488" s="153">
        <f>_xll.qlCalendarAdvance(Calendar,X1488,NDays&amp;"D")</f>
        <v>49354</v>
      </c>
      <c r="Z1488" s="154">
        <v>2.9808451609467546E-2</v>
      </c>
      <c r="AA1488" s="156">
        <v>2.9769179245464628E-2</v>
      </c>
    </row>
    <row r="1489" spans="19:27" x14ac:dyDescent="0.2">
      <c r="S1489" s="1"/>
      <c r="T1489" s="117"/>
      <c r="W1489" s="75" t="str">
        <f t="shared" si="33"/>
        <v>1w</v>
      </c>
      <c r="X1489" s="148">
        <f>_xll.qlCalendarAdvance(Calendar,X1488,W1489,"f",FALSE)</f>
        <v>49361</v>
      </c>
      <c r="Y1489" s="153">
        <f>_xll.qlCalendarAdvance(Calendar,X1489,NDays&amp;"D")</f>
        <v>49361</v>
      </c>
      <c r="Z1489" s="154">
        <v>2.9797786512951941E-2</v>
      </c>
      <c r="AA1489" s="156">
        <v>2.9758291980620521E-2</v>
      </c>
    </row>
    <row r="1490" spans="19:27" x14ac:dyDescent="0.2">
      <c r="S1490" s="1"/>
      <c r="T1490" s="117"/>
      <c r="W1490" s="75" t="str">
        <f t="shared" si="33"/>
        <v>1w</v>
      </c>
      <c r="X1490" s="148">
        <f>_xll.qlCalendarAdvance(Calendar,X1489,W1490,"f",FALSE)</f>
        <v>49368</v>
      </c>
      <c r="Y1490" s="153">
        <f>_xll.qlCalendarAdvance(Calendar,X1490,NDays&amp;"D")</f>
        <v>49368</v>
      </c>
      <c r="Z1490" s="154">
        <v>2.9788559678602545E-2</v>
      </c>
      <c r="AA1490" s="156">
        <v>2.9747452164888832E-2</v>
      </c>
    </row>
    <row r="1491" spans="19:27" x14ac:dyDescent="0.2">
      <c r="S1491" s="1"/>
      <c r="T1491" s="117"/>
      <c r="W1491" s="75" t="str">
        <f t="shared" si="33"/>
        <v>1w</v>
      </c>
      <c r="X1491" s="148">
        <f>_xll.qlCalendarAdvance(Calendar,X1490,W1491,"f",FALSE)</f>
        <v>49375</v>
      </c>
      <c r="Y1491" s="153">
        <f>_xll.qlCalendarAdvance(Calendar,X1491,NDays&amp;"D")</f>
        <v>49375</v>
      </c>
      <c r="Z1491" s="154">
        <v>2.9777997886739623E-2</v>
      </c>
      <c r="AA1491" s="156">
        <v>2.9736659798188514E-2</v>
      </c>
    </row>
    <row r="1492" spans="19:27" x14ac:dyDescent="0.2">
      <c r="S1492" s="1"/>
      <c r="T1492" s="117"/>
      <c r="W1492" s="75" t="str">
        <f t="shared" si="33"/>
        <v>1w</v>
      </c>
      <c r="X1492" s="148">
        <f>_xll.qlCalendarAdvance(Calendar,X1491,W1492,"f",FALSE)</f>
        <v>49382</v>
      </c>
      <c r="Y1492" s="153">
        <f>_xll.qlCalendarAdvance(Calendar,X1492,NDays&amp;"D")</f>
        <v>49382</v>
      </c>
      <c r="Z1492" s="154">
        <v>2.9767483923719137E-2</v>
      </c>
      <c r="AA1492" s="156">
        <v>2.9725914880681659E-2</v>
      </c>
    </row>
    <row r="1493" spans="19:27" x14ac:dyDescent="0.2">
      <c r="S1493" s="1"/>
      <c r="T1493" s="117"/>
      <c r="W1493" s="75" t="str">
        <f t="shared" ref="W1493:W1556" si="34">W1492</f>
        <v>1w</v>
      </c>
      <c r="X1493" s="148">
        <f>_xll.qlCalendarAdvance(Calendar,X1492,W1493,"f",FALSE)</f>
        <v>49389</v>
      </c>
      <c r="Y1493" s="153">
        <f>_xll.qlCalendarAdvance(Calendar,X1493,NDays&amp;"D")</f>
        <v>49389</v>
      </c>
      <c r="Z1493" s="154">
        <v>2.9757017789164043E-2</v>
      </c>
      <c r="AA1493" s="156">
        <v>2.9715217412449313E-2</v>
      </c>
    </row>
    <row r="1494" spans="19:27" x14ac:dyDescent="0.2">
      <c r="S1494" s="1"/>
      <c r="T1494" s="117"/>
      <c r="W1494" s="75" t="str">
        <f t="shared" si="34"/>
        <v>1w</v>
      </c>
      <c r="X1494" s="148">
        <f>_xll.qlCalendarAdvance(Calendar,X1493,W1494,"f",FALSE)</f>
        <v>49396</v>
      </c>
      <c r="Y1494" s="153">
        <f>_xll.qlCalendarAdvance(Calendar,X1494,NDays&amp;"D")</f>
        <v>49396</v>
      </c>
      <c r="Z1494" s="154">
        <v>2.974659948269906E-2</v>
      </c>
      <c r="AA1494" s="156">
        <v>2.9704567393248338E-2</v>
      </c>
    </row>
    <row r="1495" spans="19:27" x14ac:dyDescent="0.2">
      <c r="S1495" s="1"/>
      <c r="T1495" s="117"/>
      <c r="W1495" s="75" t="str">
        <f t="shared" si="34"/>
        <v>1w</v>
      </c>
      <c r="X1495" s="148">
        <f>_xll.qlCalendarAdvance(Calendar,X1494,W1495,"f",FALSE)</f>
        <v>49403</v>
      </c>
      <c r="Y1495" s="153">
        <f>_xll.qlCalendarAdvance(Calendar,X1495,NDays&amp;"D")</f>
        <v>49403</v>
      </c>
      <c r="Z1495" s="154">
        <v>2.9735752424055149E-2</v>
      </c>
      <c r="AA1495" s="156">
        <v>2.9693964823078733E-2</v>
      </c>
    </row>
    <row r="1496" spans="19:27" x14ac:dyDescent="0.2">
      <c r="S1496" s="1"/>
      <c r="T1496" s="117"/>
      <c r="W1496" s="75" t="str">
        <f t="shared" si="34"/>
        <v>1w</v>
      </c>
      <c r="X1496" s="148">
        <f>_xll.qlCalendarAdvance(Calendar,X1495,W1496,"f",FALSE)</f>
        <v>49410</v>
      </c>
      <c r="Y1496" s="153">
        <f>_xll.qlCalendarAdvance(Calendar,X1496,NDays&amp;"D")</f>
        <v>49410</v>
      </c>
      <c r="Z1496" s="154">
        <v>2.9725427194401823E-2</v>
      </c>
      <c r="AA1496" s="156">
        <v>2.9683409702102592E-2</v>
      </c>
    </row>
    <row r="1497" spans="19:27" x14ac:dyDescent="0.2">
      <c r="S1497" s="1"/>
      <c r="T1497" s="117"/>
      <c r="W1497" s="75" t="str">
        <f t="shared" si="34"/>
        <v>1w</v>
      </c>
      <c r="X1497" s="148">
        <f>_xll.qlCalendarAdvance(Calendar,X1496,W1497,"f",FALSE)</f>
        <v>49417</v>
      </c>
      <c r="Y1497" s="153">
        <f>_xll.qlCalendarAdvance(Calendar,X1497,NDays&amp;"D")</f>
        <v>49417</v>
      </c>
      <c r="Z1497" s="154">
        <v>2.9715149787578676E-2</v>
      </c>
      <c r="AA1497" s="156">
        <v>2.9672902030238868E-2</v>
      </c>
    </row>
    <row r="1498" spans="19:27" x14ac:dyDescent="0.2">
      <c r="S1498" s="1"/>
      <c r="T1498" s="117"/>
      <c r="W1498" s="75" t="str">
        <f t="shared" si="34"/>
        <v>1w</v>
      </c>
      <c r="X1498" s="148">
        <f>_xll.qlCalendarAdvance(Calendar,X1497,W1498,"f",FALSE)</f>
        <v>49424</v>
      </c>
      <c r="Y1498" s="153">
        <f>_xll.qlCalendarAdvance(Calendar,X1498,NDays&amp;"D")</f>
        <v>49424</v>
      </c>
      <c r="Z1498" s="154">
        <v>2.9704920203221442E-2</v>
      </c>
      <c r="AA1498" s="156">
        <v>2.9662441807487561E-2</v>
      </c>
    </row>
    <row r="1499" spans="19:27" x14ac:dyDescent="0.2">
      <c r="S1499" s="1"/>
      <c r="T1499" s="117"/>
      <c r="W1499" s="75" t="str">
        <f t="shared" si="34"/>
        <v>1w</v>
      </c>
      <c r="X1499" s="148">
        <f>_xll.qlCalendarAdvance(Calendar,X1498,W1499,"f",FALSE)</f>
        <v>49431</v>
      </c>
      <c r="Y1499" s="153">
        <f>_xll.qlCalendarAdvance(Calendar,X1499,NDays&amp;"D")</f>
        <v>49431</v>
      </c>
      <c r="Z1499" s="154">
        <v>2.9695225358689695E-2</v>
      </c>
      <c r="AA1499" s="156">
        <v>2.965202903384867E-2</v>
      </c>
    </row>
    <row r="1500" spans="19:27" x14ac:dyDescent="0.2">
      <c r="S1500" s="1"/>
      <c r="T1500" s="117"/>
      <c r="W1500" s="75" t="str">
        <f t="shared" si="34"/>
        <v>1w</v>
      </c>
      <c r="X1500" s="148">
        <f>_xll.qlCalendarAdvance(Calendar,X1499,W1500,"f",FALSE)</f>
        <v>49438</v>
      </c>
      <c r="Y1500" s="153">
        <f>_xll.qlCalendarAdvance(Calendar,X1500,NDays&amp;"D")</f>
        <v>49438</v>
      </c>
      <c r="Z1500" s="154">
        <v>2.9685094012969961E-2</v>
      </c>
      <c r="AA1500" s="156">
        <v>2.9641663709322197E-2</v>
      </c>
    </row>
    <row r="1501" spans="19:27" x14ac:dyDescent="0.2">
      <c r="S1501" s="1"/>
      <c r="T1501" s="117"/>
      <c r="W1501" s="75" t="str">
        <f t="shared" si="34"/>
        <v>1w</v>
      </c>
      <c r="X1501" s="148">
        <f>_xll.qlCalendarAdvance(Calendar,X1500,W1501,"f",FALSE)</f>
        <v>49445</v>
      </c>
      <c r="Y1501" s="153">
        <f>_xll.qlCalendarAdvance(Calendar,X1501,NDays&amp;"D")</f>
        <v>49445</v>
      </c>
      <c r="Z1501" s="154">
        <v>2.9675010492760074E-2</v>
      </c>
      <c r="AA1501" s="156">
        <v>2.9631345833827094E-2</v>
      </c>
    </row>
    <row r="1502" spans="19:27" x14ac:dyDescent="0.2">
      <c r="S1502" s="1"/>
      <c r="T1502" s="117"/>
      <c r="W1502" s="75" t="str">
        <f t="shared" si="34"/>
        <v>1w</v>
      </c>
      <c r="X1502" s="148">
        <f>_xll.qlCalendarAdvance(Calendar,X1501,W1502,"f",FALSE)</f>
        <v>49452</v>
      </c>
      <c r="Y1502" s="153">
        <f>_xll.qlCalendarAdvance(Calendar,X1502,NDays&amp;"D")</f>
        <v>49452</v>
      </c>
      <c r="Z1502" s="154">
        <v>2.9664974797696201E-2</v>
      </c>
      <c r="AA1502" s="156">
        <v>2.9621075407525455E-2</v>
      </c>
    </row>
    <row r="1503" spans="19:27" x14ac:dyDescent="0.2">
      <c r="S1503" s="1"/>
      <c r="T1503" s="117"/>
      <c r="W1503" s="75" t="str">
        <f t="shared" si="34"/>
        <v>1w</v>
      </c>
      <c r="X1503" s="148">
        <f>_xll.qlCalendarAdvance(Calendar,X1502,W1503,"f",FALSE)</f>
        <v>49459</v>
      </c>
      <c r="Y1503" s="153">
        <f>_xll.qlCalendarAdvance(Calendar,X1503,NDays&amp;"D")</f>
        <v>49459</v>
      </c>
      <c r="Z1503" s="154">
        <v>2.9654986927419805E-2</v>
      </c>
      <c r="AA1503" s="156">
        <v>2.9610852430255186E-2</v>
      </c>
    </row>
    <row r="1504" spans="19:27" x14ac:dyDescent="0.2">
      <c r="S1504" s="1"/>
      <c r="T1504" s="117"/>
      <c r="W1504" s="75" t="str">
        <f t="shared" si="34"/>
        <v>1w</v>
      </c>
      <c r="X1504" s="148">
        <f>_xll.qlCalendarAdvance(Calendar,X1503,W1504,"f",FALSE)</f>
        <v>49466</v>
      </c>
      <c r="Y1504" s="153">
        <f>_xll.qlCalendarAdvance(Calendar,X1504,NDays&amp;"D")</f>
        <v>49466</v>
      </c>
      <c r="Z1504" s="154">
        <v>2.9645046881571463E-2</v>
      </c>
      <c r="AA1504" s="156">
        <v>2.960067690217838E-2</v>
      </c>
    </row>
    <row r="1505" spans="19:27" x14ac:dyDescent="0.2">
      <c r="S1505" s="1"/>
      <c r="T1505" s="117"/>
      <c r="W1505" s="75" t="str">
        <f t="shared" si="34"/>
        <v>1w</v>
      </c>
      <c r="X1505" s="148">
        <f>_xll.qlCalendarAdvance(Calendar,X1504,W1505,"f",FALSE)</f>
        <v>49473</v>
      </c>
      <c r="Y1505" s="153">
        <f>_xll.qlCalendarAdvance(Calendar,X1505,NDays&amp;"D")</f>
        <v>49473</v>
      </c>
      <c r="Z1505" s="154">
        <v>2.9635154659795274E-2</v>
      </c>
      <c r="AA1505" s="156">
        <v>2.9590548823051899E-2</v>
      </c>
    </row>
    <row r="1506" spans="19:27" x14ac:dyDescent="0.2">
      <c r="S1506" s="1"/>
      <c r="T1506" s="117"/>
      <c r="W1506" s="75" t="str">
        <f t="shared" si="34"/>
        <v>1w</v>
      </c>
      <c r="X1506" s="148">
        <f>_xll.qlCalendarAdvance(Calendar,X1505,W1506,"f",FALSE)</f>
        <v>49480</v>
      </c>
      <c r="Y1506" s="153">
        <f>_xll.qlCalendarAdvance(Calendar,X1506,NDays&amp;"D")</f>
        <v>49480</v>
      </c>
      <c r="Z1506" s="154">
        <v>2.9625310261734462E-2</v>
      </c>
      <c r="AA1506" s="156">
        <v>2.9580468192956788E-2</v>
      </c>
    </row>
    <row r="1507" spans="19:27" x14ac:dyDescent="0.2">
      <c r="S1507" s="1"/>
      <c r="T1507" s="117"/>
      <c r="W1507" s="75" t="str">
        <f t="shared" si="34"/>
        <v>1w</v>
      </c>
      <c r="X1507" s="148">
        <f>_xll.qlCalendarAdvance(Calendar,X1506,W1507,"f",FALSE)</f>
        <v>49487</v>
      </c>
      <c r="Y1507" s="153">
        <f>_xll.qlCalendarAdvance(Calendar,X1507,NDays&amp;"D")</f>
        <v>49487</v>
      </c>
      <c r="Z1507" s="154">
        <v>2.961551368703929E-2</v>
      </c>
      <c r="AA1507" s="156">
        <v>2.9570435012136187E-2</v>
      </c>
    </row>
    <row r="1508" spans="19:27" x14ac:dyDescent="0.2">
      <c r="S1508" s="1"/>
      <c r="T1508" s="117"/>
      <c r="W1508" s="75" t="str">
        <f t="shared" si="34"/>
        <v>1w</v>
      </c>
      <c r="X1508" s="148">
        <f>_xll.qlCalendarAdvance(Calendar,X1507,W1508,"f",FALSE)</f>
        <v>49494</v>
      </c>
      <c r="Y1508" s="153">
        <f>_xll.qlCalendarAdvance(Calendar,X1508,NDays&amp;"D")</f>
        <v>49494</v>
      </c>
      <c r="Z1508" s="154">
        <v>2.9605764935354741E-2</v>
      </c>
      <c r="AA1508" s="156">
        <v>2.9560449280184864E-2</v>
      </c>
    </row>
    <row r="1509" spans="19:27" x14ac:dyDescent="0.2">
      <c r="S1509" s="1"/>
      <c r="T1509" s="117"/>
      <c r="W1509" s="75" t="str">
        <f t="shared" si="34"/>
        <v>1w</v>
      </c>
      <c r="X1509" s="148">
        <f>_xll.qlCalendarAdvance(Calendar,X1508,W1509,"f",FALSE)</f>
        <v>49501</v>
      </c>
      <c r="Y1509" s="153">
        <f>_xll.qlCalendarAdvance(Calendar,X1509,NDays&amp;"D")</f>
        <v>49501</v>
      </c>
      <c r="Z1509" s="154">
        <v>2.9596064006332846E-2</v>
      </c>
      <c r="AA1509" s="156">
        <v>2.955051099750805E-2</v>
      </c>
    </row>
    <row r="1510" spans="19:27" x14ac:dyDescent="0.2">
      <c r="S1510" s="1"/>
      <c r="T1510" s="117"/>
      <c r="W1510" s="75" t="str">
        <f t="shared" si="34"/>
        <v>1w</v>
      </c>
      <c r="X1510" s="148">
        <f>_xll.qlCalendarAdvance(Calendar,X1509,W1510,"f",FALSE)</f>
        <v>49508</v>
      </c>
      <c r="Y1510" s="153">
        <f>_xll.qlCalendarAdvance(Calendar,X1510,NDays&amp;"D")</f>
        <v>49508</v>
      </c>
      <c r="Z1510" s="154">
        <v>2.9586410899624754E-2</v>
      </c>
      <c r="AA1510" s="156">
        <v>2.9540620163781561E-2</v>
      </c>
    </row>
    <row r="1511" spans="19:27" x14ac:dyDescent="0.2">
      <c r="S1511" s="1"/>
      <c r="T1511" s="117"/>
      <c r="W1511" s="75" t="str">
        <f t="shared" si="34"/>
        <v>1w</v>
      </c>
      <c r="X1511" s="148">
        <f>_xll.qlCalendarAdvance(Calendar,X1510,W1511,"f",FALSE)</f>
        <v>49515</v>
      </c>
      <c r="Y1511" s="153">
        <f>_xll.qlCalendarAdvance(Calendar,X1511,NDays&amp;"D")</f>
        <v>49515</v>
      </c>
      <c r="Z1511" s="154">
        <v>2.9576805614883375E-2</v>
      </c>
      <c r="AA1511" s="156">
        <v>2.9530776779086443E-2</v>
      </c>
    </row>
    <row r="1512" spans="19:27" x14ac:dyDescent="0.2">
      <c r="S1512" s="1"/>
      <c r="T1512" s="117"/>
      <c r="W1512" s="75" t="str">
        <f t="shared" si="34"/>
        <v>1w</v>
      </c>
      <c r="X1512" s="148">
        <f>_xll.qlCalendarAdvance(Calendar,X1511,W1512,"f",FALSE)</f>
        <v>49522</v>
      </c>
      <c r="Y1512" s="153">
        <f>_xll.qlCalendarAdvance(Calendar,X1512,NDays&amp;"D")</f>
        <v>49522</v>
      </c>
      <c r="Z1512" s="154">
        <v>2.9567248151766902E-2</v>
      </c>
      <c r="AA1512" s="156">
        <v>2.9520980843422695E-2</v>
      </c>
    </row>
    <row r="1513" spans="19:27" x14ac:dyDescent="0.2">
      <c r="S1513" s="1"/>
      <c r="T1513" s="117"/>
      <c r="W1513" s="75" t="str">
        <f t="shared" si="34"/>
        <v>1w</v>
      </c>
      <c r="X1513" s="148">
        <f>_xll.qlCalendarAdvance(Calendar,X1512,W1513,"f",FALSE)</f>
        <v>49529</v>
      </c>
      <c r="Y1513" s="153">
        <f>_xll.qlCalendarAdvance(Calendar,X1513,NDays&amp;"D")</f>
        <v>49529</v>
      </c>
      <c r="Z1513" s="154">
        <v>2.9557738509930015E-2</v>
      </c>
      <c r="AA1513" s="156">
        <v>2.9511232356871364E-2</v>
      </c>
    </row>
    <row r="1514" spans="19:27" x14ac:dyDescent="0.2">
      <c r="S1514" s="1"/>
      <c r="T1514" s="117"/>
      <c r="W1514" s="75" t="str">
        <f t="shared" si="34"/>
        <v>1w</v>
      </c>
      <c r="X1514" s="148">
        <f>_xll.qlCalendarAdvance(Calendar,X1513,W1514,"f",FALSE)</f>
        <v>49536</v>
      </c>
      <c r="Y1514" s="153">
        <f>_xll.qlCalendarAdvance(Calendar,X1514,NDays&amp;"D")</f>
        <v>49536</v>
      </c>
      <c r="Z1514" s="154">
        <v>2.9548276689032663E-2</v>
      </c>
      <c r="AA1514" s="156">
        <v>2.9501531319513496E-2</v>
      </c>
    </row>
    <row r="1515" spans="19:27" x14ac:dyDescent="0.2">
      <c r="S1515" s="1"/>
      <c r="T1515" s="117"/>
      <c r="W1515" s="75" t="str">
        <f t="shared" si="34"/>
        <v>1w</v>
      </c>
      <c r="X1515" s="148">
        <f>_xll.qlCalendarAdvance(Calendar,X1514,W1515,"f",FALSE)</f>
        <v>49543</v>
      </c>
      <c r="Y1515" s="153">
        <f>_xll.qlCalendarAdvance(Calendar,X1515,NDays&amp;"D")</f>
        <v>49543</v>
      </c>
      <c r="Z1515" s="154">
        <v>2.9538862688733049E-2</v>
      </c>
      <c r="AA1515" s="156">
        <v>2.9491877730943861E-2</v>
      </c>
    </row>
    <row r="1516" spans="19:27" x14ac:dyDescent="0.2">
      <c r="S1516" s="1"/>
      <c r="T1516" s="117"/>
      <c r="W1516" s="75" t="str">
        <f t="shared" si="34"/>
        <v>1w</v>
      </c>
      <c r="X1516" s="148">
        <f>_xll.qlCalendarAdvance(Calendar,X1515,W1516,"f",FALSE)</f>
        <v>49550</v>
      </c>
      <c r="Y1516" s="153">
        <f>_xll.qlCalendarAdvance(Calendar,X1516,NDays&amp;"D")</f>
        <v>49550</v>
      </c>
      <c r="Z1516" s="154">
        <v>2.952949650869641E-2</v>
      </c>
      <c r="AA1516" s="156">
        <v>2.9482271591567688E-2</v>
      </c>
    </row>
    <row r="1517" spans="19:27" x14ac:dyDescent="0.2">
      <c r="S1517" s="1"/>
      <c r="T1517" s="117"/>
      <c r="W1517" s="75" t="str">
        <f t="shared" si="34"/>
        <v>1w</v>
      </c>
      <c r="X1517" s="148">
        <f>_xll.qlCalendarAdvance(Calendar,X1516,W1517,"f",FALSE)</f>
        <v>49557</v>
      </c>
      <c r="Y1517" s="153">
        <f>_xll.qlCalendarAdvance(Calendar,X1517,NDays&amp;"D")</f>
        <v>49557</v>
      </c>
      <c r="Z1517" s="154">
        <v>2.9519643896168388E-2</v>
      </c>
      <c r="AA1517" s="156">
        <v>2.947271290114184E-2</v>
      </c>
    </row>
    <row r="1518" spans="19:27" x14ac:dyDescent="0.2">
      <c r="S1518" s="1"/>
      <c r="T1518" s="117"/>
      <c r="W1518" s="75" t="str">
        <f t="shared" si="34"/>
        <v>1w</v>
      </c>
      <c r="X1518" s="148">
        <f>_xll.qlCalendarAdvance(Calendar,X1517,W1518,"f",FALSE)</f>
        <v>49564</v>
      </c>
      <c r="Y1518" s="153">
        <f>_xll.qlCalendarAdvance(Calendar,X1518,NDays&amp;"D")</f>
        <v>49564</v>
      </c>
      <c r="Z1518" s="154">
        <v>2.951037068713596E-2</v>
      </c>
      <c r="AA1518" s="156">
        <v>2.9463201659828409E-2</v>
      </c>
    </row>
    <row r="1519" spans="19:27" x14ac:dyDescent="0.2">
      <c r="S1519" s="1"/>
      <c r="T1519" s="117"/>
      <c r="W1519" s="75" t="str">
        <f t="shared" si="34"/>
        <v>1w</v>
      </c>
      <c r="X1519" s="148">
        <f>_xll.qlCalendarAdvance(Calendar,X1518,W1519,"f",FALSE)</f>
        <v>49571</v>
      </c>
      <c r="Y1519" s="153">
        <f>_xll.qlCalendarAdvance(Calendar,X1519,NDays&amp;"D")</f>
        <v>49571</v>
      </c>
      <c r="Z1519" s="154">
        <v>2.9501145293300217E-2</v>
      </c>
      <c r="AA1519" s="156">
        <v>2.9453737867465302E-2</v>
      </c>
    </row>
    <row r="1520" spans="19:27" x14ac:dyDescent="0.2">
      <c r="S1520" s="1"/>
      <c r="T1520" s="117"/>
      <c r="W1520" s="75" t="str">
        <f t="shared" si="34"/>
        <v>1w</v>
      </c>
      <c r="X1520" s="148">
        <f>_xll.qlCalendarAdvance(Calendar,X1519,W1520,"f",FALSE)</f>
        <v>49578</v>
      </c>
      <c r="Y1520" s="153">
        <f>_xll.qlCalendarAdvance(Calendar,X1520,NDays&amp;"D")</f>
        <v>49578</v>
      </c>
      <c r="Z1520" s="154">
        <v>2.949250998446867E-2</v>
      </c>
      <c r="AA1520" s="156">
        <v>2.9444321524214612E-2</v>
      </c>
    </row>
    <row r="1521" spans="19:27" x14ac:dyDescent="0.2">
      <c r="S1521" s="1"/>
      <c r="T1521" s="117"/>
      <c r="W1521" s="75" t="str">
        <f t="shared" si="34"/>
        <v>1w</v>
      </c>
      <c r="X1521" s="148">
        <f>_xll.qlCalendarAdvance(Calendar,X1520,W1521,"f",FALSE)</f>
        <v>49585</v>
      </c>
      <c r="Y1521" s="153">
        <f>_xll.qlCalendarAdvance(Calendar,X1521,NDays&amp;"D")</f>
        <v>49585</v>
      </c>
      <c r="Z1521" s="154">
        <v>2.948338290073263E-2</v>
      </c>
      <c r="AA1521" s="156">
        <v>2.9434952629995292E-2</v>
      </c>
    </row>
    <row r="1522" spans="19:27" x14ac:dyDescent="0.2">
      <c r="S1522" s="1"/>
      <c r="T1522" s="117"/>
      <c r="W1522" s="75" t="str">
        <f t="shared" si="34"/>
        <v>1w</v>
      </c>
      <c r="X1522" s="148">
        <f>_xll.qlCalendarAdvance(Calendar,X1521,W1522,"f",FALSE)</f>
        <v>49592</v>
      </c>
      <c r="Y1522" s="153">
        <f>_xll.qlCalendarAdvance(Calendar,X1522,NDays&amp;"D")</f>
        <v>49592</v>
      </c>
      <c r="Z1522" s="154">
        <v>2.9474303635267769E-2</v>
      </c>
      <c r="AA1522" s="156">
        <v>2.9425631184726297E-2</v>
      </c>
    </row>
    <row r="1523" spans="19:27" x14ac:dyDescent="0.2">
      <c r="S1523" s="1"/>
      <c r="T1523" s="117"/>
      <c r="W1523" s="75" t="str">
        <f t="shared" si="34"/>
        <v>1w</v>
      </c>
      <c r="X1523" s="148">
        <f>_xll.qlCalendarAdvance(Calendar,X1522,W1523,"f",FALSE)</f>
        <v>49599</v>
      </c>
      <c r="Y1523" s="153">
        <f>_xll.qlCalendarAdvance(Calendar,X1523,NDays&amp;"D")</f>
        <v>49599</v>
      </c>
      <c r="Z1523" s="154">
        <v>2.9465272187748141E-2</v>
      </c>
      <c r="AA1523" s="156">
        <v>2.9416357188488673E-2</v>
      </c>
    </row>
    <row r="1524" spans="19:27" x14ac:dyDescent="0.2">
      <c r="S1524" s="1"/>
      <c r="T1524" s="117"/>
      <c r="W1524" s="75" t="str">
        <f t="shared" si="34"/>
        <v>1w</v>
      </c>
      <c r="X1524" s="148">
        <f>_xll.qlCalendarAdvance(Calendar,X1523,W1524,"f",FALSE)</f>
        <v>49606</v>
      </c>
      <c r="Y1524" s="153">
        <f>_xll.qlCalendarAdvance(Calendar,X1524,NDays&amp;"D")</f>
        <v>49606</v>
      </c>
      <c r="Z1524" s="154">
        <v>2.9456288557848674E-2</v>
      </c>
      <c r="AA1524" s="156">
        <v>2.940713064128242E-2</v>
      </c>
    </row>
    <row r="1525" spans="19:27" x14ac:dyDescent="0.2">
      <c r="S1525" s="1"/>
      <c r="T1525" s="117"/>
      <c r="W1525" s="75" t="str">
        <f t="shared" si="34"/>
        <v>1w</v>
      </c>
      <c r="X1525" s="148">
        <f>_xll.qlCalendarAdvance(Calendar,X1524,W1525,"f",FALSE)</f>
        <v>49613</v>
      </c>
      <c r="Y1525" s="153">
        <f>_xll.qlCalendarAdvance(Calendar,X1525,NDays&amp;"D")</f>
        <v>49613</v>
      </c>
      <c r="Z1525" s="154">
        <v>2.9447352745248713E-2</v>
      </c>
      <c r="AA1525" s="156">
        <v>2.939795154302649E-2</v>
      </c>
    </row>
    <row r="1526" spans="19:27" x14ac:dyDescent="0.2">
      <c r="S1526" s="1"/>
      <c r="T1526" s="117"/>
      <c r="W1526" s="75" t="str">
        <f t="shared" si="34"/>
        <v>1w</v>
      </c>
      <c r="X1526" s="148">
        <f>_xll.qlCalendarAdvance(Calendar,X1525,W1526,"f",FALSE)</f>
        <v>49620</v>
      </c>
      <c r="Y1526" s="153">
        <f>_xll.qlCalendarAdvance(Calendar,X1526,NDays&amp;"D")</f>
        <v>49620</v>
      </c>
      <c r="Z1526" s="154">
        <v>2.9438464749627597E-2</v>
      </c>
      <c r="AA1526" s="156">
        <v>2.9388819893882978E-2</v>
      </c>
    </row>
    <row r="1527" spans="19:27" x14ac:dyDescent="0.2">
      <c r="S1527" s="1"/>
      <c r="T1527" s="117"/>
      <c r="W1527" s="75" t="str">
        <f t="shared" si="34"/>
        <v>1w</v>
      </c>
      <c r="X1527" s="148">
        <f>_xll.qlCalendarAdvance(Calendar,X1526,W1527,"f",FALSE)</f>
        <v>49627</v>
      </c>
      <c r="Y1527" s="153">
        <f>_xll.qlCalendarAdvance(Calendar,X1527,NDays&amp;"D")</f>
        <v>49627</v>
      </c>
      <c r="Z1527" s="154">
        <v>2.9429624570663778E-2</v>
      </c>
      <c r="AA1527" s="156">
        <v>2.937973569368979E-2</v>
      </c>
    </row>
    <row r="1528" spans="19:27" x14ac:dyDescent="0.2">
      <c r="S1528" s="1"/>
      <c r="T1528" s="117"/>
      <c r="W1528" s="75" t="str">
        <f t="shared" si="34"/>
        <v>1w</v>
      </c>
      <c r="X1528" s="148">
        <f>_xll.qlCalendarAdvance(Calendar,X1527,W1528,"f",FALSE)</f>
        <v>49634</v>
      </c>
      <c r="Y1528" s="153">
        <f>_xll.qlCalendarAdvance(Calendar,X1528,NDays&amp;"D")</f>
        <v>49634</v>
      </c>
      <c r="Z1528" s="154">
        <v>2.9420832208043649E-2</v>
      </c>
      <c r="AA1528" s="156">
        <v>2.9370698942446927E-2</v>
      </c>
    </row>
    <row r="1529" spans="19:27" x14ac:dyDescent="0.2">
      <c r="S1529" s="1"/>
      <c r="T1529" s="117"/>
      <c r="W1529" s="75" t="str">
        <f t="shared" si="34"/>
        <v>1w</v>
      </c>
      <c r="X1529" s="148">
        <f>_xll.qlCalendarAdvance(Calendar,X1528,W1529,"f",FALSE)</f>
        <v>49641</v>
      </c>
      <c r="Y1529" s="153">
        <f>_xll.qlCalendarAdvance(Calendar,X1529,NDays&amp;"D")</f>
        <v>49641</v>
      </c>
      <c r="Z1529" s="154">
        <v>2.9412087661448306E-2</v>
      </c>
      <c r="AA1529" s="156">
        <v>2.9361709640235434E-2</v>
      </c>
    </row>
    <row r="1530" spans="19:27" x14ac:dyDescent="0.2">
      <c r="S1530" s="1"/>
      <c r="T1530" s="117"/>
      <c r="W1530" s="75" t="str">
        <f t="shared" si="34"/>
        <v>1w</v>
      </c>
      <c r="X1530" s="148">
        <f>_xll.qlCalendarAdvance(Calendar,X1529,W1530,"f",FALSE)</f>
        <v>49648</v>
      </c>
      <c r="Y1530" s="153">
        <f>_xll.qlCalendarAdvance(Calendar,X1530,NDays&amp;"D")</f>
        <v>49648</v>
      </c>
      <c r="Z1530" s="154">
        <v>2.9402821671724977E-2</v>
      </c>
      <c r="AA1530" s="156">
        <v>2.9352767787055312E-2</v>
      </c>
    </row>
    <row r="1531" spans="19:27" x14ac:dyDescent="0.2">
      <c r="S1531" s="1"/>
      <c r="T1531" s="117"/>
      <c r="W1531" s="75" t="str">
        <f t="shared" si="34"/>
        <v>1w</v>
      </c>
      <c r="X1531" s="148">
        <f>_xll.qlCalendarAdvance(Calendar,X1530,W1531,"f",FALSE)</f>
        <v>49655</v>
      </c>
      <c r="Y1531" s="153">
        <f>_xll.qlCalendarAdvance(Calendar,X1531,NDays&amp;"D")</f>
        <v>49655</v>
      </c>
      <c r="Z1531" s="154">
        <v>2.939417003520706E-2</v>
      </c>
      <c r="AA1531" s="156">
        <v>2.9343873382744468E-2</v>
      </c>
    </row>
    <row r="1532" spans="19:27" x14ac:dyDescent="0.2">
      <c r="S1532" s="1"/>
      <c r="T1532" s="117"/>
      <c r="W1532" s="75" t="str">
        <f t="shared" si="34"/>
        <v>1w</v>
      </c>
      <c r="X1532" s="148">
        <f>_xll.qlCalendarAdvance(Calendar,X1531,W1532,"f",FALSE)</f>
        <v>49662</v>
      </c>
      <c r="Y1532" s="153">
        <f>_xll.qlCalendarAdvance(Calendar,X1532,NDays&amp;"D")</f>
        <v>49662</v>
      </c>
      <c r="Z1532" s="154">
        <v>2.9385566209763157E-2</v>
      </c>
      <c r="AA1532" s="156">
        <v>2.933502642754604E-2</v>
      </c>
    </row>
    <row r="1533" spans="19:27" x14ac:dyDescent="0.2">
      <c r="S1533" s="1"/>
      <c r="T1533" s="117"/>
      <c r="W1533" s="75" t="str">
        <f t="shared" si="34"/>
        <v>1w</v>
      </c>
      <c r="X1533" s="148">
        <f>_xll.qlCalendarAdvance(Calendar,X1532,W1533,"f",FALSE)</f>
        <v>49670</v>
      </c>
      <c r="Y1533" s="153">
        <f>_xll.qlCalendarAdvance(Calendar,X1533,NDays&amp;"D")</f>
        <v>49670</v>
      </c>
      <c r="Z1533" s="154">
        <v>2.9375791810178482E-2</v>
      </c>
      <c r="AA1533" s="156">
        <v>2.932497372235221E-2</v>
      </c>
    </row>
    <row r="1534" spans="19:27" x14ac:dyDescent="0.2">
      <c r="S1534" s="1"/>
      <c r="T1534" s="117"/>
      <c r="W1534" s="75" t="str">
        <f t="shared" si="34"/>
        <v>1w</v>
      </c>
      <c r="X1534" s="148">
        <f>_xll.qlCalendarAdvance(Calendar,X1533,W1534,"f",FALSE)</f>
        <v>49677</v>
      </c>
      <c r="Y1534" s="153">
        <f>_xll.qlCalendarAdvance(Calendar,X1534,NDays&amp;"D")</f>
        <v>49677</v>
      </c>
      <c r="Z1534" s="154">
        <v>2.9367290436008768E-2</v>
      </c>
      <c r="AA1534" s="156">
        <v>2.9316228443522219E-2</v>
      </c>
    </row>
    <row r="1535" spans="19:27" x14ac:dyDescent="0.2">
      <c r="S1535" s="1"/>
      <c r="T1535" s="117"/>
      <c r="W1535" s="75" t="str">
        <f t="shared" si="34"/>
        <v>1w</v>
      </c>
      <c r="X1535" s="148">
        <f>_xll.qlCalendarAdvance(Calendar,X1534,W1535,"f",FALSE)</f>
        <v>49684</v>
      </c>
      <c r="Y1535" s="153">
        <f>_xll.qlCalendarAdvance(Calendar,X1535,NDays&amp;"D")</f>
        <v>49684</v>
      </c>
      <c r="Z1535" s="154">
        <v>2.9358836871958324E-2</v>
      </c>
      <c r="AA1535" s="156">
        <v>2.9307530613642552E-2</v>
      </c>
    </row>
    <row r="1536" spans="19:27" x14ac:dyDescent="0.2">
      <c r="S1536" s="1"/>
      <c r="T1536" s="117"/>
      <c r="W1536" s="75" t="str">
        <f t="shared" si="34"/>
        <v>1w</v>
      </c>
      <c r="X1536" s="148">
        <f>_xll.qlCalendarAdvance(Calendar,X1535,W1536,"f",FALSE)</f>
        <v>49691</v>
      </c>
      <c r="Y1536" s="153">
        <f>_xll.qlCalendarAdvance(Calendar,X1536,NDays&amp;"D")</f>
        <v>49691</v>
      </c>
      <c r="Z1536" s="154">
        <v>2.9350431117727015E-2</v>
      </c>
      <c r="AA1536" s="156">
        <v>2.9298880232632163E-2</v>
      </c>
    </row>
    <row r="1537" spans="19:27" x14ac:dyDescent="0.2">
      <c r="S1537" s="1"/>
      <c r="T1537" s="117"/>
      <c r="W1537" s="75" t="str">
        <f t="shared" si="34"/>
        <v>1w</v>
      </c>
      <c r="X1537" s="148">
        <f>_xll.qlCalendarAdvance(Calendar,X1536,W1537,"f",FALSE)</f>
        <v>49698</v>
      </c>
      <c r="Y1537" s="153">
        <f>_xll.qlCalendarAdvance(Calendar,X1537,NDays&amp;"D")</f>
        <v>49698</v>
      </c>
      <c r="Z1537" s="154">
        <v>2.9342073173018259E-2</v>
      </c>
      <c r="AA1537" s="156">
        <v>2.9290277300815237E-2</v>
      </c>
    </row>
    <row r="1538" spans="19:27" x14ac:dyDescent="0.2">
      <c r="S1538" s="1"/>
      <c r="T1538" s="117"/>
      <c r="W1538" s="75" t="str">
        <f t="shared" si="34"/>
        <v>1w</v>
      </c>
      <c r="X1538" s="148">
        <f>_xll.qlCalendarAdvance(Calendar,X1537,W1538,"f",FALSE)</f>
        <v>49705</v>
      </c>
      <c r="Y1538" s="153">
        <f>_xll.qlCalendarAdvance(Calendar,X1538,NDays&amp;"D")</f>
        <v>49705</v>
      </c>
      <c r="Z1538" s="154">
        <v>2.9333171799455656E-2</v>
      </c>
      <c r="AA1538" s="156">
        <v>2.9281721817705497E-2</v>
      </c>
    </row>
    <row r="1539" spans="19:27" x14ac:dyDescent="0.2">
      <c r="S1539" s="1"/>
      <c r="T1539" s="117"/>
      <c r="W1539" s="75" t="str">
        <f t="shared" si="34"/>
        <v>1w</v>
      </c>
      <c r="X1539" s="148">
        <f>_xll.qlCalendarAdvance(Calendar,X1538,W1539,"f",FALSE)</f>
        <v>49712</v>
      </c>
      <c r="Y1539" s="153">
        <f>_xll.qlCalendarAdvance(Calendar,X1539,NDays&amp;"D")</f>
        <v>49712</v>
      </c>
      <c r="Z1539" s="154">
        <v>2.9324906719765547E-2</v>
      </c>
      <c r="AA1539" s="156">
        <v>2.9273213783708174E-2</v>
      </c>
    </row>
    <row r="1540" spans="19:27" x14ac:dyDescent="0.2">
      <c r="S1540" s="1"/>
      <c r="T1540" s="117"/>
      <c r="W1540" s="75" t="str">
        <f t="shared" si="34"/>
        <v>1w</v>
      </c>
      <c r="X1540" s="148">
        <f>_xll.qlCalendarAdvance(Calendar,X1539,W1540,"f",FALSE)</f>
        <v>49719</v>
      </c>
      <c r="Y1540" s="153">
        <f>_xll.qlCalendarAdvance(Calendar,X1540,NDays&amp;"D")</f>
        <v>49719</v>
      </c>
      <c r="Z1540" s="154">
        <v>2.9316689444721683E-2</v>
      </c>
      <c r="AA1540" s="156">
        <v>2.9264753198580129E-2</v>
      </c>
    </row>
    <row r="1541" spans="19:27" x14ac:dyDescent="0.2">
      <c r="S1541" s="1"/>
      <c r="T1541" s="117"/>
      <c r="W1541" s="75" t="str">
        <f t="shared" si="34"/>
        <v>1w</v>
      </c>
      <c r="X1541" s="148">
        <f>_xll.qlCalendarAdvance(Calendar,X1540,W1541,"f",FALSE)</f>
        <v>49726</v>
      </c>
      <c r="Y1541" s="153">
        <f>_xll.qlCalendarAdvance(Calendar,X1541,NDays&amp;"D")</f>
        <v>49726</v>
      </c>
      <c r="Z1541" s="154">
        <v>2.9308519974034091E-2</v>
      </c>
      <c r="AA1541" s="156">
        <v>2.9256340062483455E-2</v>
      </c>
    </row>
    <row r="1542" spans="19:27" x14ac:dyDescent="0.2">
      <c r="S1542" s="1"/>
      <c r="T1542" s="117"/>
      <c r="W1542" s="75" t="str">
        <f t="shared" si="34"/>
        <v>1w</v>
      </c>
      <c r="X1542" s="148">
        <f>_xll.qlCalendarAdvance(Calendar,X1541,W1542,"f",FALSE)</f>
        <v>49733</v>
      </c>
      <c r="Y1542" s="153">
        <f>_xll.qlCalendarAdvance(Calendar,X1542,NDays&amp;"D")</f>
        <v>49733</v>
      </c>
      <c r="Z1542" s="154">
        <v>2.9300398307418214E-2</v>
      </c>
      <c r="AA1542" s="156">
        <v>2.9247974375337105E-2</v>
      </c>
    </row>
    <row r="1543" spans="19:27" x14ac:dyDescent="0.2">
      <c r="S1543" s="1"/>
      <c r="T1543" s="117"/>
      <c r="W1543" s="75" t="str">
        <f t="shared" si="34"/>
        <v>1w</v>
      </c>
      <c r="X1543" s="148">
        <f>_xll.qlCalendarAdvance(Calendar,X1542,W1543,"f",FALSE)</f>
        <v>49740</v>
      </c>
      <c r="Y1543" s="153">
        <f>_xll.qlCalendarAdvance(Calendar,X1543,NDays&amp;"D")</f>
        <v>49740</v>
      </c>
      <c r="Z1543" s="154">
        <v>2.929353482883364E-2</v>
      </c>
      <c r="AA1543" s="156">
        <v>2.9239656137060033E-2</v>
      </c>
    </row>
    <row r="1544" spans="19:27" x14ac:dyDescent="0.2">
      <c r="S1544" s="1"/>
      <c r="T1544" s="117"/>
      <c r="W1544" s="75" t="str">
        <f t="shared" si="34"/>
        <v>1w</v>
      </c>
      <c r="X1544" s="148">
        <f>_xll.qlCalendarAdvance(Calendar,X1543,W1544,"f",FALSE)</f>
        <v>49747</v>
      </c>
      <c r="Y1544" s="153">
        <f>_xll.qlCalendarAdvance(Calendar,X1544,NDays&amp;"D")</f>
        <v>49747</v>
      </c>
      <c r="Z1544" s="154">
        <v>2.928551431613664E-2</v>
      </c>
      <c r="AA1544" s="156">
        <v>2.9231385347814332E-2</v>
      </c>
    </row>
    <row r="1545" spans="19:27" x14ac:dyDescent="0.2">
      <c r="S1545" s="1"/>
      <c r="T1545" s="117"/>
      <c r="W1545" s="75" t="str">
        <f t="shared" si="34"/>
        <v>1w</v>
      </c>
      <c r="X1545" s="148">
        <f>_xll.qlCalendarAdvance(Calendar,X1544,W1545,"f",FALSE)</f>
        <v>49754</v>
      </c>
      <c r="Y1545" s="153">
        <f>_xll.qlCalendarAdvance(Calendar,X1545,NDays&amp;"D")</f>
        <v>49754</v>
      </c>
      <c r="Z1545" s="154">
        <v>2.9277541614612219E-2</v>
      </c>
      <c r="AA1545" s="156">
        <v>2.9223162007437908E-2</v>
      </c>
    </row>
    <row r="1546" spans="19:27" x14ac:dyDescent="0.2">
      <c r="S1546" s="1"/>
      <c r="T1546" s="117"/>
      <c r="W1546" s="75" t="str">
        <f t="shared" si="34"/>
        <v>1w</v>
      </c>
      <c r="X1546" s="148">
        <f>_xll.qlCalendarAdvance(Calendar,X1545,W1546,"f",FALSE)</f>
        <v>49761</v>
      </c>
      <c r="Y1546" s="153">
        <f>_xll.qlCalendarAdvance(Calendar,X1546,NDays&amp;"D")</f>
        <v>49761</v>
      </c>
      <c r="Z1546" s="154">
        <v>2.9269616723971433E-2</v>
      </c>
      <c r="AA1546" s="156">
        <v>2.921498611601181E-2</v>
      </c>
    </row>
    <row r="1547" spans="19:27" x14ac:dyDescent="0.2">
      <c r="S1547" s="1"/>
      <c r="T1547" s="117"/>
      <c r="W1547" s="75" t="str">
        <f t="shared" si="34"/>
        <v>1w</v>
      </c>
      <c r="X1547" s="148">
        <f>_xll.qlCalendarAdvance(Calendar,X1546,W1547,"f",FALSE)</f>
        <v>49768</v>
      </c>
      <c r="Y1547" s="153">
        <f>_xll.qlCalendarAdvance(Calendar,X1547,NDays&amp;"D")</f>
        <v>49768</v>
      </c>
      <c r="Z1547" s="154">
        <v>2.926112318516556E-2</v>
      </c>
      <c r="AA1547" s="156">
        <v>2.9206857673536035E-2</v>
      </c>
    </row>
    <row r="1548" spans="19:27" x14ac:dyDescent="0.2">
      <c r="S1548" s="1"/>
      <c r="T1548" s="117"/>
      <c r="W1548" s="75" t="str">
        <f t="shared" si="34"/>
        <v>1w</v>
      </c>
      <c r="X1548" s="148">
        <f>_xll.qlCalendarAdvance(Calendar,X1547,W1548,"f",FALSE)</f>
        <v>49775</v>
      </c>
      <c r="Y1548" s="153">
        <f>_xll.qlCalendarAdvance(Calendar,X1548,NDays&amp;"D")</f>
        <v>49775</v>
      </c>
      <c r="Z1548" s="154">
        <v>2.9253291125985369E-2</v>
      </c>
      <c r="AA1548" s="156">
        <v>2.9201148754681494E-2</v>
      </c>
    </row>
    <row r="1549" spans="19:27" x14ac:dyDescent="0.2">
      <c r="S1549" s="1"/>
      <c r="T1549" s="117"/>
      <c r="W1549" s="75" t="str">
        <f t="shared" si="34"/>
        <v>1w</v>
      </c>
      <c r="X1549" s="148">
        <f>_xll.qlCalendarAdvance(Calendar,X1548,W1549,"f",FALSE)</f>
        <v>49782</v>
      </c>
      <c r="Y1549" s="153">
        <f>_xll.qlCalendarAdvance(Calendar,X1549,NDays&amp;"D")</f>
        <v>49782</v>
      </c>
      <c r="Z1549" s="154">
        <v>2.9245506872878371E-2</v>
      </c>
      <c r="AA1549" s="156">
        <v>2.9190743135354413E-2</v>
      </c>
    </row>
    <row r="1550" spans="19:27" x14ac:dyDescent="0.2">
      <c r="S1550" s="1"/>
      <c r="T1550" s="117"/>
      <c r="W1550" s="75" t="str">
        <f t="shared" si="34"/>
        <v>1w</v>
      </c>
      <c r="X1550" s="148">
        <f>_xll.qlCalendarAdvance(Calendar,X1549,W1550,"f",FALSE)</f>
        <v>49789</v>
      </c>
      <c r="Y1550" s="153">
        <f>_xll.qlCalendarAdvance(Calendar,X1550,NDays&amp;"D")</f>
        <v>49789</v>
      </c>
      <c r="Z1550" s="154">
        <v>2.9237770425568473E-2</v>
      </c>
      <c r="AA1550" s="156">
        <v>2.9182757039729612E-2</v>
      </c>
    </row>
    <row r="1551" spans="19:27" x14ac:dyDescent="0.2">
      <c r="S1551" s="1"/>
      <c r="T1551" s="117"/>
      <c r="W1551" s="75" t="str">
        <f t="shared" si="34"/>
        <v>1w</v>
      </c>
      <c r="X1551" s="148">
        <f>_xll.qlCalendarAdvance(Calendar,X1550,W1551,"f",FALSE)</f>
        <v>49796</v>
      </c>
      <c r="Y1551" s="153">
        <f>_xll.qlCalendarAdvance(Calendar,X1551,NDays&amp;"D")</f>
        <v>49796</v>
      </c>
      <c r="Z1551" s="154">
        <v>2.9230709424158154E-2</v>
      </c>
      <c r="AA1551" s="156">
        <v>2.9174818392893043E-2</v>
      </c>
    </row>
    <row r="1552" spans="19:27" x14ac:dyDescent="0.2">
      <c r="S1552" s="1"/>
      <c r="T1552" s="117"/>
      <c r="W1552" s="75" t="str">
        <f t="shared" si="34"/>
        <v>1w</v>
      </c>
      <c r="X1552" s="148">
        <f>_xll.qlCalendarAdvance(Calendar,X1551,W1552,"f",FALSE)</f>
        <v>49803</v>
      </c>
      <c r="Y1552" s="153">
        <f>_xll.qlCalendarAdvance(Calendar,X1552,NDays&amp;"D")</f>
        <v>49803</v>
      </c>
      <c r="Z1552" s="154">
        <v>2.9223071392917768E-2</v>
      </c>
      <c r="AA1552" s="156">
        <v>2.9166927195087844E-2</v>
      </c>
    </row>
    <row r="1553" spans="19:27" x14ac:dyDescent="0.2">
      <c r="S1553" s="1"/>
      <c r="T1553" s="117"/>
      <c r="W1553" s="75" t="str">
        <f t="shared" si="34"/>
        <v>1w</v>
      </c>
      <c r="X1553" s="148">
        <f>_xll.qlCalendarAdvance(Calendar,X1552,W1553,"f",FALSE)</f>
        <v>49810</v>
      </c>
      <c r="Y1553" s="153">
        <f>_xll.qlCalendarAdvance(Calendar,X1553,NDays&amp;"D")</f>
        <v>49810</v>
      </c>
      <c r="Z1553" s="154">
        <v>2.921548117060974E-2</v>
      </c>
      <c r="AA1553" s="156">
        <v>2.9159083446151923E-2</v>
      </c>
    </row>
    <row r="1554" spans="19:27" x14ac:dyDescent="0.2">
      <c r="S1554" s="1"/>
      <c r="T1554" s="117"/>
      <c r="W1554" s="75" t="str">
        <f t="shared" si="34"/>
        <v>1w</v>
      </c>
      <c r="X1554" s="148">
        <f>_xll.qlCalendarAdvance(Calendar,X1553,W1554,"f",FALSE)</f>
        <v>49817</v>
      </c>
      <c r="Y1554" s="153">
        <f>_xll.qlCalendarAdvance(Calendar,X1554,NDays&amp;"D")</f>
        <v>49817</v>
      </c>
      <c r="Z1554" s="154">
        <v>2.9207938756958332E-2</v>
      </c>
      <c r="AA1554" s="156">
        <v>2.9151287146085281E-2</v>
      </c>
    </row>
    <row r="1555" spans="19:27" x14ac:dyDescent="0.2">
      <c r="S1555" s="1"/>
      <c r="T1555" s="117"/>
      <c r="W1555" s="75" t="str">
        <f t="shared" si="34"/>
        <v>1w</v>
      </c>
      <c r="X1555" s="148">
        <f>_xll.qlCalendarAdvance(Calendar,X1554,W1555,"f",FALSE)</f>
        <v>49824</v>
      </c>
      <c r="Y1555" s="153">
        <f>_xll.qlCalendarAdvance(Calendar,X1555,NDays&amp;"D")</f>
        <v>49824</v>
      </c>
      <c r="Z1555" s="154">
        <v>2.9200444151694864E-2</v>
      </c>
      <c r="AA1555" s="156">
        <v>2.9143538294968963E-2</v>
      </c>
    </row>
    <row r="1556" spans="19:27" x14ac:dyDescent="0.2">
      <c r="S1556" s="1"/>
      <c r="T1556" s="117"/>
      <c r="W1556" s="75" t="str">
        <f t="shared" si="34"/>
        <v>1w</v>
      </c>
      <c r="X1556" s="148">
        <f>_xll.qlCalendarAdvance(Calendar,X1555,W1556,"f",FALSE)</f>
        <v>49831</v>
      </c>
      <c r="Y1556" s="153">
        <f>_xll.qlCalendarAdvance(Calendar,X1556,NDays&amp;"D")</f>
        <v>49831</v>
      </c>
      <c r="Z1556" s="154">
        <v>2.9192997354550644E-2</v>
      </c>
      <c r="AA1556" s="156">
        <v>2.9135836892802969E-2</v>
      </c>
    </row>
    <row r="1557" spans="19:27" x14ac:dyDescent="0.2">
      <c r="S1557" s="1"/>
      <c r="T1557" s="117"/>
      <c r="W1557" s="75" t="str">
        <f t="shared" ref="W1557:W1620" si="35">W1556</f>
        <v>1w</v>
      </c>
      <c r="X1557" s="148">
        <f>_xll.qlCalendarAdvance(Calendar,X1556,W1557,"f",FALSE)</f>
        <v>49838</v>
      </c>
      <c r="Y1557" s="153">
        <f>_xll.qlCalendarAdvance(Calendar,X1557,NDays&amp;"D")</f>
        <v>49838</v>
      </c>
      <c r="Z1557" s="154">
        <v>2.9185598365259635E-2</v>
      </c>
      <c r="AA1557" s="156">
        <v>2.9128182939425207E-2</v>
      </c>
    </row>
    <row r="1558" spans="19:27" x14ac:dyDescent="0.2">
      <c r="S1558" s="1"/>
      <c r="T1558" s="117"/>
      <c r="W1558" s="75" t="str">
        <f t="shared" si="35"/>
        <v>1w</v>
      </c>
      <c r="X1558" s="148">
        <f>_xll.qlCalendarAdvance(Calendar,X1557,W1558,"f",FALSE)</f>
        <v>49845</v>
      </c>
      <c r="Y1558" s="153">
        <f>_xll.qlCalendarAdvance(Calendar,X1558,NDays&amp;"D")</f>
        <v>49845</v>
      </c>
      <c r="Z1558" s="154">
        <v>2.9178247183552265E-2</v>
      </c>
      <c r="AA1558" s="156">
        <v>2.9120576435078815E-2</v>
      </c>
    </row>
    <row r="1559" spans="19:27" x14ac:dyDescent="0.2">
      <c r="S1559" s="1"/>
      <c r="T1559" s="117"/>
      <c r="W1559" s="75" t="str">
        <f t="shared" si="35"/>
        <v>1w</v>
      </c>
      <c r="X1559" s="148">
        <f>_xll.qlCalendarAdvance(Calendar,X1558,W1559,"f",FALSE)</f>
        <v>49852</v>
      </c>
      <c r="Y1559" s="153">
        <f>_xll.qlCalendarAdvance(Calendar,X1559,NDays&amp;"D")</f>
        <v>49852</v>
      </c>
      <c r="Z1559" s="154">
        <v>2.9170943809169542E-2</v>
      </c>
      <c r="AA1559" s="156">
        <v>2.9113017379520656E-2</v>
      </c>
    </row>
    <row r="1560" spans="19:27" x14ac:dyDescent="0.2">
      <c r="S1560" s="1"/>
      <c r="T1560" s="117"/>
      <c r="W1560" s="75" t="str">
        <f t="shared" si="35"/>
        <v>1w</v>
      </c>
      <c r="X1560" s="148">
        <f>_xll.qlCalendarAdvance(Calendar,X1559,W1560,"f",FALSE)</f>
        <v>49859</v>
      </c>
      <c r="Y1560" s="153">
        <f>_xll.qlCalendarAdvance(Calendar,X1560,NDays&amp;"D")</f>
        <v>49859</v>
      </c>
      <c r="Z1560" s="154">
        <v>2.9163688241845419E-2</v>
      </c>
      <c r="AA1560" s="156">
        <v>2.9105505772831775E-2</v>
      </c>
    </row>
    <row r="1561" spans="19:27" x14ac:dyDescent="0.2">
      <c r="S1561" s="1"/>
      <c r="T1561" s="117"/>
      <c r="W1561" s="75" t="str">
        <f t="shared" si="35"/>
        <v>1w</v>
      </c>
      <c r="X1561" s="148">
        <f>_xll.qlCalendarAdvance(Calendar,X1560,W1561,"f",FALSE)</f>
        <v>49866</v>
      </c>
      <c r="Y1561" s="153">
        <f>_xll.qlCalendarAdvance(Calendar,X1561,NDays&amp;"D")</f>
        <v>49866</v>
      </c>
      <c r="Z1561" s="154">
        <v>2.9156480481322661E-2</v>
      </c>
      <c r="AA1561" s="156">
        <v>2.9098041615174264E-2</v>
      </c>
    </row>
    <row r="1562" spans="19:27" x14ac:dyDescent="0.2">
      <c r="S1562" s="1"/>
      <c r="T1562" s="117"/>
      <c r="W1562" s="75" t="str">
        <f t="shared" si="35"/>
        <v>1w</v>
      </c>
      <c r="X1562" s="148">
        <f>_xll.qlCalendarAdvance(Calendar,X1561,W1562,"f",FALSE)</f>
        <v>49873</v>
      </c>
      <c r="Y1562" s="153">
        <f>_xll.qlCalendarAdvance(Calendar,X1562,NDays&amp;"D")</f>
        <v>49873</v>
      </c>
      <c r="Z1562" s="154">
        <v>2.9149320527341399E-2</v>
      </c>
      <c r="AA1562" s="156">
        <v>2.9090624906304985E-2</v>
      </c>
    </row>
    <row r="1563" spans="19:27" x14ac:dyDescent="0.2">
      <c r="S1563" s="1"/>
      <c r="T1563" s="117"/>
      <c r="W1563" s="75" t="str">
        <f t="shared" si="35"/>
        <v>1w</v>
      </c>
      <c r="X1563" s="148">
        <f>_xll.qlCalendarAdvance(Calendar,X1562,W1563,"f",FALSE)</f>
        <v>49880</v>
      </c>
      <c r="Y1563" s="153">
        <f>_xll.qlCalendarAdvance(Calendar,X1563,NDays&amp;"D")</f>
        <v>49880</v>
      </c>
      <c r="Z1563" s="154">
        <v>2.914220837964351E-2</v>
      </c>
      <c r="AA1563" s="156">
        <v>2.9083255646304984E-2</v>
      </c>
    </row>
    <row r="1564" spans="19:27" x14ac:dyDescent="0.2">
      <c r="S1564" s="1"/>
      <c r="T1564" s="117"/>
      <c r="W1564" s="75" t="str">
        <f t="shared" si="35"/>
        <v>1w</v>
      </c>
      <c r="X1564" s="148">
        <f>_xll.qlCalendarAdvance(Calendar,X1563,W1564,"f",FALSE)</f>
        <v>49887</v>
      </c>
      <c r="Y1564" s="153">
        <f>_xll.qlCalendarAdvance(Calendar,X1564,NDays&amp;"D")</f>
        <v>49887</v>
      </c>
      <c r="Z1564" s="154">
        <v>2.913514403797705E-2</v>
      </c>
      <c r="AA1564" s="156">
        <v>2.9075933835255308E-2</v>
      </c>
    </row>
    <row r="1565" spans="19:27" x14ac:dyDescent="0.2">
      <c r="S1565" s="1"/>
      <c r="T1565" s="117"/>
      <c r="W1565" s="75" t="str">
        <f t="shared" si="35"/>
        <v>1w</v>
      </c>
      <c r="X1565" s="148">
        <f>_xll.qlCalendarAdvance(Calendar,X1564,W1565,"f",FALSE)</f>
        <v>49894</v>
      </c>
      <c r="Y1565" s="153">
        <f>_xll.qlCalendarAdvance(Calendar,X1565,NDays&amp;"D")</f>
        <v>49894</v>
      </c>
      <c r="Z1565" s="154">
        <v>2.9128127502085668E-2</v>
      </c>
      <c r="AA1565" s="156">
        <v>2.9068659472993863E-2</v>
      </c>
    </row>
    <row r="1566" spans="19:27" x14ac:dyDescent="0.2">
      <c r="S1566" s="1"/>
      <c r="T1566" s="117"/>
      <c r="W1566" s="75" t="str">
        <f t="shared" si="35"/>
        <v>1w</v>
      </c>
      <c r="X1566" s="148">
        <f>_xll.qlCalendarAdvance(Calendar,X1565,W1566,"f",FALSE)</f>
        <v>49901</v>
      </c>
      <c r="Y1566" s="153">
        <f>_xll.qlCalendarAdvance(Calendar,X1566,NDays&amp;"D")</f>
        <v>49901</v>
      </c>
      <c r="Z1566" s="154">
        <v>2.9121158771719172E-2</v>
      </c>
      <c r="AA1566" s="156">
        <v>2.9061432559844835E-2</v>
      </c>
    </row>
    <row r="1567" spans="19:27" x14ac:dyDescent="0.2">
      <c r="S1567" s="1"/>
      <c r="T1567" s="117"/>
      <c r="W1567" s="75" t="str">
        <f t="shared" si="35"/>
        <v>1w</v>
      </c>
      <c r="X1567" s="148">
        <f>_xll.qlCalendarAdvance(Calendar,X1566,W1567,"f",FALSE)</f>
        <v>49908</v>
      </c>
      <c r="Y1567" s="153">
        <f>_xll.qlCalendarAdvance(Calendar,X1567,NDays&amp;"D")</f>
        <v>49908</v>
      </c>
      <c r="Z1567" s="154">
        <v>2.9114237846626499E-2</v>
      </c>
      <c r="AA1567" s="156">
        <v>2.9054253095321947E-2</v>
      </c>
    </row>
    <row r="1568" spans="19:27" x14ac:dyDescent="0.2">
      <c r="S1568" s="1"/>
      <c r="T1568" s="117"/>
      <c r="W1568" s="75" t="str">
        <f t="shared" si="35"/>
        <v>1w</v>
      </c>
      <c r="X1568" s="148">
        <f>_xll.qlCalendarAdvance(Calendar,X1567,W1568,"f",FALSE)</f>
        <v>49915</v>
      </c>
      <c r="Y1568" s="153">
        <f>_xll.qlCalendarAdvance(Calendar,X1568,NDays&amp;"D")</f>
        <v>49915</v>
      </c>
      <c r="Z1568" s="154">
        <v>2.9107364726559223E-2</v>
      </c>
      <c r="AA1568" s="156">
        <v>2.9047121079668337E-2</v>
      </c>
    </row>
    <row r="1569" spans="19:27" x14ac:dyDescent="0.2">
      <c r="S1569" s="1"/>
      <c r="T1569" s="117"/>
      <c r="W1569" s="75" t="str">
        <f t="shared" si="35"/>
        <v>1w</v>
      </c>
      <c r="X1569" s="148">
        <f>_xll.qlCalendarAdvance(Calendar,X1568,W1569,"f",FALSE)</f>
        <v>49922</v>
      </c>
      <c r="Y1569" s="153">
        <f>_xll.qlCalendarAdvance(Calendar,X1569,NDays&amp;"D")</f>
        <v>49922</v>
      </c>
      <c r="Z1569" s="154">
        <v>2.9099860673166035E-2</v>
      </c>
      <c r="AA1569" s="156">
        <v>2.9040036513046097E-2</v>
      </c>
    </row>
    <row r="1570" spans="19:27" x14ac:dyDescent="0.2">
      <c r="S1570" s="1"/>
      <c r="T1570" s="117"/>
      <c r="W1570" s="75" t="str">
        <f t="shared" si="35"/>
        <v>1w</v>
      </c>
      <c r="X1570" s="148">
        <f>_xll.qlCalendarAdvance(Calendar,X1569,W1570,"f",FALSE)</f>
        <v>49929</v>
      </c>
      <c r="Y1570" s="153">
        <f>_xll.qlCalendarAdvance(Calendar,X1570,NDays&amp;"D")</f>
        <v>49929</v>
      </c>
      <c r="Z1570" s="154">
        <v>2.9093080286401639E-2</v>
      </c>
      <c r="AA1570" s="156">
        <v>2.9032999395131043E-2</v>
      </c>
    </row>
    <row r="1571" spans="19:27" x14ac:dyDescent="0.2">
      <c r="S1571" s="1"/>
      <c r="T1571" s="117"/>
      <c r="W1571" s="75" t="str">
        <f t="shared" si="35"/>
        <v>1w</v>
      </c>
      <c r="X1571" s="148">
        <f>_xll.qlCalendarAdvance(Calendar,X1570,W1571,"f",FALSE)</f>
        <v>49936</v>
      </c>
      <c r="Y1571" s="153">
        <f>_xll.qlCalendarAdvance(Calendar,X1571,NDays&amp;"D")</f>
        <v>49936</v>
      </c>
      <c r="Z1571" s="154">
        <v>2.9086347700024728E-2</v>
      </c>
      <c r="AA1571" s="156">
        <v>2.9026009726166313E-2</v>
      </c>
    </row>
    <row r="1572" spans="19:27" x14ac:dyDescent="0.2">
      <c r="S1572" s="1"/>
      <c r="T1572" s="117"/>
      <c r="W1572" s="75" t="str">
        <f t="shared" si="35"/>
        <v>1w</v>
      </c>
      <c r="X1572" s="148">
        <f>_xll.qlCalendarAdvance(Calendar,X1571,W1572,"f",FALSE)</f>
        <v>49943</v>
      </c>
      <c r="Y1572" s="153">
        <f>_xll.qlCalendarAdvance(Calendar,X1572,NDays&amp;"D")</f>
        <v>49943</v>
      </c>
      <c r="Z1572" s="154">
        <v>2.9082414297795938E-2</v>
      </c>
      <c r="AA1572" s="156">
        <v>2.9019067506070861E-2</v>
      </c>
    </row>
    <row r="1573" spans="19:27" x14ac:dyDescent="0.2">
      <c r="S1573" s="1"/>
      <c r="T1573" s="117"/>
      <c r="W1573" s="75" t="str">
        <f t="shared" si="35"/>
        <v>1w</v>
      </c>
      <c r="X1573" s="148">
        <f>_xll.qlCalendarAdvance(Calendar,X1572,W1573,"f",FALSE)</f>
        <v>49950</v>
      </c>
      <c r="Y1573" s="153">
        <f>_xll.qlCalendarAdvance(Calendar,X1573,NDays&amp;"D")</f>
        <v>49950</v>
      </c>
      <c r="Z1573" s="154">
        <v>2.9073716193041083E-2</v>
      </c>
      <c r="AA1573" s="156">
        <v>2.9012172734763642E-2</v>
      </c>
    </row>
    <row r="1574" spans="19:27" x14ac:dyDescent="0.2">
      <c r="S1574" s="1"/>
      <c r="T1574" s="117"/>
      <c r="W1574" s="75" t="str">
        <f t="shared" si="35"/>
        <v>1w</v>
      </c>
      <c r="X1574" s="148">
        <f>_xll.qlCalendarAdvance(Calendar,X1573,W1574,"f",FALSE)</f>
        <v>49957</v>
      </c>
      <c r="Y1574" s="153">
        <f>_xll.qlCalendarAdvance(Calendar,X1574,NDays&amp;"D")</f>
        <v>49957</v>
      </c>
      <c r="Z1574" s="154">
        <v>2.9067129898009702E-2</v>
      </c>
      <c r="AA1574" s="156">
        <v>2.90053254123257E-2</v>
      </c>
    </row>
    <row r="1575" spans="19:27" x14ac:dyDescent="0.2">
      <c r="S1575" s="1"/>
      <c r="T1575" s="117"/>
      <c r="W1575" s="75" t="str">
        <f t="shared" si="35"/>
        <v>1w</v>
      </c>
      <c r="X1575" s="148">
        <f>_xll.qlCalendarAdvance(Calendar,X1574,W1575,"f",FALSE)</f>
        <v>49964</v>
      </c>
      <c r="Y1575" s="153">
        <f>_xll.qlCalendarAdvance(Calendar,X1575,NDays&amp;"D")</f>
        <v>49964</v>
      </c>
      <c r="Z1575" s="154">
        <v>2.9060591406315842E-2</v>
      </c>
      <c r="AA1575" s="156">
        <v>2.8998525538838082E-2</v>
      </c>
    </row>
    <row r="1576" spans="19:27" x14ac:dyDescent="0.2">
      <c r="S1576" s="1"/>
      <c r="T1576" s="117"/>
      <c r="W1576" s="75" t="str">
        <f t="shared" si="35"/>
        <v>1w</v>
      </c>
      <c r="X1576" s="148">
        <f>_xll.qlCalendarAdvance(Calendar,X1575,W1576,"f",FALSE)</f>
        <v>49971</v>
      </c>
      <c r="Y1576" s="153">
        <f>_xll.qlCalendarAdvance(Calendar,X1576,NDays&amp;"D")</f>
        <v>49971</v>
      </c>
      <c r="Z1576" s="154">
        <v>2.905410071772253E-2</v>
      </c>
      <c r="AA1576" s="156">
        <v>2.8991773114138697E-2</v>
      </c>
    </row>
    <row r="1577" spans="19:27" x14ac:dyDescent="0.2">
      <c r="S1577" s="1"/>
      <c r="T1577" s="117"/>
      <c r="W1577" s="75" t="str">
        <f t="shared" si="35"/>
        <v>1w</v>
      </c>
      <c r="X1577" s="148">
        <f>_xll.qlCalendarAdvance(Calendar,X1576,W1577,"f",FALSE)</f>
        <v>49978</v>
      </c>
      <c r="Y1577" s="153">
        <f>_xll.qlCalendarAdvance(Calendar,X1577,NDays&amp;"D")</f>
        <v>49978</v>
      </c>
      <c r="Z1577" s="154">
        <v>2.9047657831997198E-2</v>
      </c>
      <c r="AA1577" s="156">
        <v>2.8985068138227543E-2</v>
      </c>
    </row>
    <row r="1578" spans="19:27" x14ac:dyDescent="0.2">
      <c r="S1578" s="1"/>
      <c r="T1578" s="117"/>
      <c r="W1578" s="75" t="str">
        <f t="shared" si="35"/>
        <v>1w</v>
      </c>
      <c r="X1578" s="148">
        <f>_xll.qlCalendarAdvance(Calendar,X1577,W1578,"f",FALSE)</f>
        <v>49985</v>
      </c>
      <c r="Y1578" s="153">
        <f>_xll.qlCalendarAdvance(Calendar,X1578,NDays&amp;"D")</f>
        <v>49985</v>
      </c>
      <c r="Z1578" s="154">
        <v>2.9041262748908159E-2</v>
      </c>
      <c r="AA1578" s="156">
        <v>2.8978410611266714E-2</v>
      </c>
    </row>
    <row r="1579" spans="19:27" x14ac:dyDescent="0.2">
      <c r="S1579" s="1"/>
      <c r="T1579" s="117"/>
      <c r="W1579" s="75" t="str">
        <f t="shared" si="35"/>
        <v>1w</v>
      </c>
      <c r="X1579" s="148">
        <f>_xll.qlCalendarAdvance(Calendar,X1578,W1579,"f",FALSE)</f>
        <v>49992</v>
      </c>
      <c r="Y1579" s="153">
        <f>_xll.qlCalendarAdvance(Calendar,X1579,NDays&amp;"D")</f>
        <v>49992</v>
      </c>
      <c r="Z1579" s="154">
        <v>2.9034915468227254E-2</v>
      </c>
      <c r="AA1579" s="156">
        <v>2.897180053301307E-2</v>
      </c>
    </row>
    <row r="1580" spans="19:27" x14ac:dyDescent="0.2">
      <c r="S1580" s="1"/>
      <c r="T1580" s="117"/>
      <c r="W1580" s="75" t="str">
        <f t="shared" si="35"/>
        <v>1w</v>
      </c>
      <c r="X1580" s="148">
        <f>_xll.qlCalendarAdvance(Calendar,X1579,W1580,"f",FALSE)</f>
        <v>49999</v>
      </c>
      <c r="Y1580" s="153">
        <f>_xll.qlCalendarAdvance(Calendar,X1580,NDays&amp;"D")</f>
        <v>49999</v>
      </c>
      <c r="Z1580" s="154">
        <v>2.9028615989727197E-2</v>
      </c>
      <c r="AA1580" s="156">
        <v>2.8965237903709751E-2</v>
      </c>
    </row>
    <row r="1581" spans="19:27" x14ac:dyDescent="0.2">
      <c r="S1581" s="1"/>
      <c r="T1581" s="117"/>
      <c r="W1581" s="75" t="str">
        <f t="shared" si="35"/>
        <v>1w</v>
      </c>
      <c r="X1581" s="148">
        <f>_xll.qlCalendarAdvance(Calendar,X1580,W1581,"f",FALSE)</f>
        <v>50006</v>
      </c>
      <c r="Y1581" s="153">
        <f>_xll.qlCalendarAdvance(Calendar,X1581,NDays&amp;"D")</f>
        <v>50006</v>
      </c>
      <c r="Z1581" s="154">
        <v>2.9022364313179824E-2</v>
      </c>
      <c r="AA1581" s="156">
        <v>2.8958722723194663E-2</v>
      </c>
    </row>
    <row r="1582" spans="19:27" x14ac:dyDescent="0.2">
      <c r="S1582" s="1"/>
      <c r="T1582" s="117"/>
      <c r="W1582" s="75" t="str">
        <f t="shared" si="35"/>
        <v>1w</v>
      </c>
      <c r="X1582" s="148">
        <f>_xll.qlCalendarAdvance(Calendar,X1581,W1582,"f",FALSE)</f>
        <v>50013</v>
      </c>
      <c r="Y1582" s="153">
        <f>_xll.qlCalendarAdvance(Calendar,X1582,NDays&amp;"D")</f>
        <v>50013</v>
      </c>
      <c r="Z1582" s="154">
        <v>2.9014727895493506E-2</v>
      </c>
      <c r="AA1582" s="156">
        <v>2.8952254991548854E-2</v>
      </c>
    </row>
    <row r="1583" spans="19:27" x14ac:dyDescent="0.2">
      <c r="S1583" s="1"/>
      <c r="T1583" s="117"/>
      <c r="W1583" s="75" t="str">
        <f t="shared" si="35"/>
        <v>1w</v>
      </c>
      <c r="X1583" s="148">
        <f>_xll.qlCalendarAdvance(Calendar,X1582,W1583,"f",FALSE)</f>
        <v>50020</v>
      </c>
      <c r="Y1583" s="153">
        <f>_xll.qlCalendarAdvance(Calendar,X1583,NDays&amp;"D")</f>
        <v>50020</v>
      </c>
      <c r="Z1583" s="154">
        <v>2.9008565969571787E-2</v>
      </c>
      <c r="AA1583" s="156">
        <v>2.8945834708691276E-2</v>
      </c>
    </row>
    <row r="1584" spans="19:27" x14ac:dyDescent="0.2">
      <c r="S1584" s="1"/>
      <c r="T1584" s="117"/>
      <c r="W1584" s="75" t="str">
        <f t="shared" si="35"/>
        <v>1w</v>
      </c>
      <c r="X1584" s="148">
        <f>_xll.qlCalendarAdvance(Calendar,X1583,W1584,"f",FALSE)</f>
        <v>50027</v>
      </c>
      <c r="Y1584" s="153">
        <f>_xll.qlCalendarAdvance(Calendar,X1584,NDays&amp;"D")</f>
        <v>50027</v>
      </c>
      <c r="Z1584" s="154">
        <v>2.9002451837192966E-2</v>
      </c>
      <c r="AA1584" s="156">
        <v>2.8939461874784023E-2</v>
      </c>
    </row>
    <row r="1585" spans="19:27" x14ac:dyDescent="0.2">
      <c r="S1585" s="1"/>
      <c r="T1585" s="117"/>
      <c r="W1585" s="75" t="str">
        <f t="shared" si="35"/>
        <v>1w</v>
      </c>
      <c r="X1585" s="148">
        <f>_xll.qlCalendarAdvance(Calendar,X1584,W1585,"f",FALSE)</f>
        <v>50038</v>
      </c>
      <c r="Y1585" s="153">
        <f>_xll.qlCalendarAdvance(Calendar,X1585,NDays&amp;"D")</f>
        <v>50038</v>
      </c>
      <c r="Z1585" s="154">
        <v>2.8993667057640823E-2</v>
      </c>
      <c r="AA1585" s="156">
        <v>2.8929543287244952E-2</v>
      </c>
    </row>
    <row r="1586" spans="19:27" x14ac:dyDescent="0.2">
      <c r="S1586" s="1"/>
      <c r="T1586" s="117"/>
      <c r="W1586" s="75" t="str">
        <f t="shared" si="35"/>
        <v>1w</v>
      </c>
      <c r="X1586" s="148">
        <f>_xll.qlCalendarAdvance(Calendar,X1585,W1586,"f",FALSE)</f>
        <v>50045</v>
      </c>
      <c r="Y1586" s="153">
        <f>_xll.qlCalendarAdvance(Calendar,X1586,NDays&amp;"D")</f>
        <v>50045</v>
      </c>
      <c r="Z1586" s="154">
        <v>2.8988408601995686E-2</v>
      </c>
      <c r="AA1586" s="156">
        <v>2.8923292464542172E-2</v>
      </c>
    </row>
    <row r="1587" spans="19:27" x14ac:dyDescent="0.2">
      <c r="S1587" s="1"/>
      <c r="T1587" s="117"/>
      <c r="W1587" s="75" t="str">
        <f t="shared" si="35"/>
        <v>1w</v>
      </c>
      <c r="X1587" s="148">
        <f>_xll.qlCalendarAdvance(Calendar,X1586,W1587,"f",FALSE)</f>
        <v>50052</v>
      </c>
      <c r="Y1587" s="153">
        <f>_xll.qlCalendarAdvance(Calendar,X1587,NDays&amp;"D")</f>
        <v>50052</v>
      </c>
      <c r="Z1587" s="154">
        <v>2.8981738262656782E-2</v>
      </c>
      <c r="AA1587" s="156">
        <v>2.8917089090546577E-2</v>
      </c>
    </row>
    <row r="1588" spans="19:27" x14ac:dyDescent="0.2">
      <c r="S1588" s="1"/>
      <c r="T1588" s="117"/>
      <c r="W1588" s="75" t="str">
        <f t="shared" si="35"/>
        <v>1w</v>
      </c>
      <c r="X1588" s="148">
        <f>_xll.qlCalendarAdvance(Calendar,X1587,W1588,"f",FALSE)</f>
        <v>50059</v>
      </c>
      <c r="Y1588" s="153">
        <f>_xll.qlCalendarAdvance(Calendar,X1588,NDays&amp;"D")</f>
        <v>50059</v>
      </c>
      <c r="Z1588" s="154">
        <v>2.8975845559925346E-2</v>
      </c>
      <c r="AA1588" s="156">
        <v>2.8910933165501307E-2</v>
      </c>
    </row>
    <row r="1589" spans="19:27" x14ac:dyDescent="0.2">
      <c r="S1589" s="1"/>
      <c r="T1589" s="117"/>
      <c r="W1589" s="75" t="str">
        <f t="shared" si="35"/>
        <v>1w</v>
      </c>
      <c r="X1589" s="148">
        <f>_xll.qlCalendarAdvance(Calendar,X1588,W1589,"f",FALSE)</f>
        <v>50066</v>
      </c>
      <c r="Y1589" s="153">
        <f>_xll.qlCalendarAdvance(Calendar,X1589,NDays&amp;"D")</f>
        <v>50066</v>
      </c>
      <c r="Z1589" s="154">
        <v>2.8970000653421316E-2</v>
      </c>
      <c r="AA1589" s="156">
        <v>2.8904824689082176E-2</v>
      </c>
    </row>
    <row r="1590" spans="19:27" x14ac:dyDescent="0.2">
      <c r="S1590" s="1"/>
      <c r="T1590" s="117"/>
      <c r="W1590" s="75" t="str">
        <f t="shared" si="35"/>
        <v>1w</v>
      </c>
      <c r="X1590" s="148">
        <f>_xll.qlCalendarAdvance(Calendar,X1589,W1590,"f",FALSE)</f>
        <v>50073</v>
      </c>
      <c r="Y1590" s="153">
        <f>_xll.qlCalendarAdvance(Calendar,X1590,NDays&amp;"D")</f>
        <v>50073</v>
      </c>
      <c r="Z1590" s="154">
        <v>2.8964945183251985E-2</v>
      </c>
      <c r="AA1590" s="156">
        <v>2.8898763661694415E-2</v>
      </c>
    </row>
    <row r="1591" spans="19:27" x14ac:dyDescent="0.2">
      <c r="S1591" s="1"/>
      <c r="T1591" s="117"/>
      <c r="W1591" s="75" t="str">
        <f t="shared" si="35"/>
        <v>1w</v>
      </c>
      <c r="X1591" s="148">
        <f>_xll.qlCalendarAdvance(Calendar,X1590,W1591,"f",FALSE)</f>
        <v>50080</v>
      </c>
      <c r="Y1591" s="153">
        <f>_xll.qlCalendarAdvance(Calendar,X1591,NDays&amp;"D")</f>
        <v>50080</v>
      </c>
      <c r="Z1591" s="154">
        <v>2.8958454228266296E-2</v>
      </c>
      <c r="AA1591" s="156">
        <v>2.8892750082932794E-2</v>
      </c>
    </row>
    <row r="1592" spans="19:27" x14ac:dyDescent="0.2">
      <c r="S1592" s="1"/>
      <c r="T1592" s="117"/>
      <c r="W1592" s="75" t="str">
        <f t="shared" si="35"/>
        <v>1w</v>
      </c>
      <c r="X1592" s="148">
        <f>_xll.qlCalendarAdvance(Calendar,X1591,W1592,"f",FALSE)</f>
        <v>50087</v>
      </c>
      <c r="Y1592" s="153">
        <f>_xll.qlCalendarAdvance(Calendar,X1592,NDays&amp;"D")</f>
        <v>50087</v>
      </c>
      <c r="Z1592" s="154">
        <v>2.8952752709205623E-2</v>
      </c>
      <c r="AA1592" s="156">
        <v>2.8886783953121498E-2</v>
      </c>
    </row>
    <row r="1593" spans="19:27" x14ac:dyDescent="0.2">
      <c r="S1593" s="1"/>
      <c r="T1593" s="117"/>
      <c r="W1593" s="75" t="str">
        <f t="shared" si="35"/>
        <v>1w</v>
      </c>
      <c r="X1593" s="148">
        <f>_xll.qlCalendarAdvance(Calendar,X1592,W1593,"f",FALSE)</f>
        <v>50094</v>
      </c>
      <c r="Y1593" s="153">
        <f>_xll.qlCalendarAdvance(Calendar,X1593,NDays&amp;"D")</f>
        <v>50094</v>
      </c>
      <c r="Z1593" s="154">
        <v>2.8947849516466638E-2</v>
      </c>
      <c r="AA1593" s="156">
        <v>2.8880865272017386E-2</v>
      </c>
    </row>
    <row r="1594" spans="19:27" x14ac:dyDescent="0.2">
      <c r="S1594" s="1"/>
      <c r="T1594" s="117"/>
      <c r="W1594" s="75" t="str">
        <f t="shared" si="35"/>
        <v>1w</v>
      </c>
      <c r="X1594" s="148">
        <f>_xll.qlCalendarAdvance(Calendar,X1593,W1594,"f",FALSE)</f>
        <v>50101</v>
      </c>
      <c r="Y1594" s="153">
        <f>_xll.qlCalendarAdvance(Calendar,X1594,NDays&amp;"D")</f>
        <v>50101</v>
      </c>
      <c r="Z1594" s="154">
        <v>2.8942246559254002E-2</v>
      </c>
      <c r="AA1594" s="156">
        <v>2.8874994039782553E-2</v>
      </c>
    </row>
    <row r="1595" spans="19:27" x14ac:dyDescent="0.2">
      <c r="S1595" s="1"/>
      <c r="T1595" s="117"/>
      <c r="W1595" s="75" t="str">
        <f t="shared" si="35"/>
        <v>1w</v>
      </c>
      <c r="X1595" s="148">
        <f>_xll.qlCalendarAdvance(Calendar,X1594,W1595,"f",FALSE)</f>
        <v>50108</v>
      </c>
      <c r="Y1595" s="153">
        <f>_xll.qlCalendarAdvance(Calendar,X1595,NDays&amp;"D")</f>
        <v>50108</v>
      </c>
      <c r="Z1595" s="154">
        <v>2.8936691400897555E-2</v>
      </c>
      <c r="AA1595" s="156">
        <v>2.8869170256335952E-2</v>
      </c>
    </row>
    <row r="1596" spans="19:27" x14ac:dyDescent="0.2">
      <c r="S1596" s="1"/>
      <c r="T1596" s="117"/>
      <c r="W1596" s="75" t="str">
        <f t="shared" si="35"/>
        <v>1w</v>
      </c>
      <c r="X1596" s="148">
        <f>_xll.qlCalendarAdvance(Calendar,X1595,W1596,"f",FALSE)</f>
        <v>50115</v>
      </c>
      <c r="Y1596" s="153">
        <f>_xll.qlCalendarAdvance(Calendar,X1596,NDays&amp;"D")</f>
        <v>50115</v>
      </c>
      <c r="Z1596" s="154">
        <v>2.8931184041196448E-2</v>
      </c>
      <c r="AA1596" s="156">
        <v>2.8863393921596536E-2</v>
      </c>
    </row>
    <row r="1597" spans="19:27" x14ac:dyDescent="0.2">
      <c r="S1597" s="1"/>
      <c r="T1597" s="117"/>
      <c r="W1597" s="75" t="str">
        <f t="shared" si="35"/>
        <v>1w</v>
      </c>
      <c r="X1597" s="148">
        <f>_xll.qlCalendarAdvance(Calendar,X1596,W1597,"f",FALSE)</f>
        <v>50122</v>
      </c>
      <c r="Y1597" s="153">
        <f>_xll.qlCalendarAdvance(Calendar,X1597,NDays&amp;"D")</f>
        <v>50122</v>
      </c>
      <c r="Z1597" s="154">
        <v>2.8925724479954222E-2</v>
      </c>
      <c r="AA1597" s="156">
        <v>2.8857665035888491E-2</v>
      </c>
    </row>
    <row r="1598" spans="19:27" x14ac:dyDescent="0.2">
      <c r="S1598" s="1"/>
      <c r="T1598" s="117"/>
      <c r="W1598" s="75" t="str">
        <f t="shared" si="35"/>
        <v>1w</v>
      </c>
      <c r="X1598" s="148">
        <f>_xll.qlCalendarAdvance(Calendar,X1597,W1598,"f",FALSE)</f>
        <v>50129</v>
      </c>
      <c r="Y1598" s="153">
        <f>_xll.qlCalendarAdvance(Calendar,X1598,NDays&amp;"D")</f>
        <v>50129</v>
      </c>
      <c r="Z1598" s="154">
        <v>2.8920312716972672E-2</v>
      </c>
      <c r="AA1598" s="156">
        <v>2.8851983598725539E-2</v>
      </c>
    </row>
    <row r="1599" spans="19:27" x14ac:dyDescent="0.2">
      <c r="S1599" s="1"/>
      <c r="T1599" s="117"/>
      <c r="W1599" s="75" t="str">
        <f t="shared" si="35"/>
        <v>1w</v>
      </c>
      <c r="X1599" s="148">
        <f>_xll.qlCalendarAdvance(Calendar,X1598,W1599,"f",FALSE)</f>
        <v>50137</v>
      </c>
      <c r="Y1599" s="153">
        <f>_xll.qlCalendarAdvance(Calendar,X1599,NDays&amp;"D")</f>
        <v>50137</v>
      </c>
      <c r="Z1599" s="154">
        <v>2.8913417529737619E-2</v>
      </c>
      <c r="AA1599" s="156">
        <v>2.8845548628417816E-2</v>
      </c>
    </row>
    <row r="1600" spans="19:27" x14ac:dyDescent="0.2">
      <c r="S1600" s="1"/>
      <c r="T1600" s="117"/>
      <c r="W1600" s="75" t="str">
        <f t="shared" si="35"/>
        <v>1w</v>
      </c>
      <c r="X1600" s="148">
        <f>_xll.qlCalendarAdvance(Calendar,X1599,W1600,"f",FALSE)</f>
        <v>50144</v>
      </c>
      <c r="Y1600" s="153">
        <f>_xll.qlCalendarAdvance(Calendar,X1600,NDays&amp;"D")</f>
        <v>50144</v>
      </c>
      <c r="Z1600" s="154">
        <v>2.8908105196121452E-2</v>
      </c>
      <c r="AA1600" s="156">
        <v>2.8839968867299115E-2</v>
      </c>
    </row>
    <row r="1601" spans="19:27" x14ac:dyDescent="0.2">
      <c r="S1601" s="1"/>
      <c r="T1601" s="117"/>
      <c r="W1601" s="75" t="str">
        <f t="shared" si="35"/>
        <v>1w</v>
      </c>
      <c r="X1601" s="148">
        <f>_xll.qlCalendarAdvance(Calendar,X1600,W1601,"f",FALSE)</f>
        <v>50151</v>
      </c>
      <c r="Y1601" s="153">
        <f>_xll.qlCalendarAdvance(Calendar,X1601,NDays&amp;"D")</f>
        <v>50151</v>
      </c>
      <c r="Z1601" s="154">
        <v>2.890284065632891E-2</v>
      </c>
      <c r="AA1601" s="156">
        <v>2.8834436554968645E-2</v>
      </c>
    </row>
    <row r="1602" spans="19:27" x14ac:dyDescent="0.2">
      <c r="S1602" s="1"/>
      <c r="T1602" s="117"/>
      <c r="W1602" s="75" t="str">
        <f t="shared" si="35"/>
        <v>1w</v>
      </c>
      <c r="X1602" s="148">
        <f>_xll.qlCalendarAdvance(Calendar,X1601,W1602,"f",FALSE)</f>
        <v>50158</v>
      </c>
      <c r="Y1602" s="153">
        <f>_xll.qlCalendarAdvance(Calendar,X1602,NDays&amp;"D")</f>
        <v>50158</v>
      </c>
      <c r="Z1602" s="154">
        <v>2.8897623910173854E-2</v>
      </c>
      <c r="AA1602" s="156">
        <v>2.8828951691507454E-2</v>
      </c>
    </row>
    <row r="1603" spans="19:27" x14ac:dyDescent="0.2">
      <c r="S1603" s="1"/>
      <c r="T1603" s="117"/>
      <c r="W1603" s="75" t="str">
        <f t="shared" si="35"/>
        <v>1w</v>
      </c>
      <c r="X1603" s="148">
        <f>_xll.qlCalendarAdvance(Calendar,X1602,W1603,"f",FALSE)</f>
        <v>50165</v>
      </c>
      <c r="Y1603" s="153">
        <f>_xll.qlCalendarAdvance(Calendar,X1603,NDays&amp;"D")</f>
        <v>50165</v>
      </c>
      <c r="Z1603" s="154">
        <v>2.8893235803285209E-2</v>
      </c>
      <c r="AA1603" s="156">
        <v>2.8823514276753448E-2</v>
      </c>
    </row>
    <row r="1604" spans="19:27" x14ac:dyDescent="0.2">
      <c r="S1604" s="1"/>
      <c r="T1604" s="117"/>
      <c r="W1604" s="75" t="str">
        <f t="shared" si="35"/>
        <v>1w</v>
      </c>
      <c r="X1604" s="148">
        <f>_xll.qlCalendarAdvance(Calendar,X1603,W1604,"f",FALSE)</f>
        <v>50172</v>
      </c>
      <c r="Y1604" s="153">
        <f>_xll.qlCalendarAdvance(Calendar,X1604,NDays&amp;"D")</f>
        <v>50172</v>
      </c>
      <c r="Z1604" s="154">
        <v>2.8888117654005962E-2</v>
      </c>
      <c r="AA1604" s="156">
        <v>2.8818124310787674E-2</v>
      </c>
    </row>
    <row r="1605" spans="19:27" x14ac:dyDescent="0.2">
      <c r="S1605" s="1"/>
      <c r="T1605" s="117"/>
      <c r="W1605" s="75" t="str">
        <f t="shared" si="35"/>
        <v>1w</v>
      </c>
      <c r="X1605" s="148">
        <f>_xll.qlCalendarAdvance(Calendar,X1604,W1605,"f",FALSE)</f>
        <v>50179</v>
      </c>
      <c r="Y1605" s="153">
        <f>_xll.qlCalendarAdvance(Calendar,X1605,NDays&amp;"D")</f>
        <v>50179</v>
      </c>
      <c r="Z1605" s="154">
        <v>2.8883047301638674E-2</v>
      </c>
      <c r="AA1605" s="156">
        <v>2.8812781793610132E-2</v>
      </c>
    </row>
    <row r="1606" spans="19:27" x14ac:dyDescent="0.2">
      <c r="S1606" s="1"/>
      <c r="T1606" s="117"/>
      <c r="W1606" s="75" t="str">
        <f t="shared" si="35"/>
        <v>1w</v>
      </c>
      <c r="X1606" s="148">
        <f>_xll.qlCalendarAdvance(Calendar,X1605,W1606,"f",FALSE)</f>
        <v>50186</v>
      </c>
      <c r="Y1606" s="153">
        <f>_xll.qlCalendarAdvance(Calendar,X1606,NDays&amp;"D")</f>
        <v>50186</v>
      </c>
      <c r="Z1606" s="154">
        <v>2.8878024746004514E-2</v>
      </c>
      <c r="AA1606" s="156">
        <v>2.8807486725220821E-2</v>
      </c>
    </row>
    <row r="1607" spans="19:27" x14ac:dyDescent="0.2">
      <c r="S1607" s="1"/>
      <c r="T1607" s="117"/>
      <c r="W1607" s="75" t="str">
        <f t="shared" si="35"/>
        <v>1w</v>
      </c>
      <c r="X1607" s="148">
        <f>_xll.qlCalendarAdvance(Calendar,X1606,W1607,"f",FALSE)</f>
        <v>50193</v>
      </c>
      <c r="Y1607" s="153">
        <f>_xll.qlCalendarAdvance(Calendar,X1607,NDays&amp;"D")</f>
        <v>50193</v>
      </c>
      <c r="Z1607" s="154">
        <v>2.8873049986921129E-2</v>
      </c>
      <c r="AA1607" s="156">
        <v>2.8802239105619742E-2</v>
      </c>
    </row>
    <row r="1608" spans="19:27" x14ac:dyDescent="0.2">
      <c r="S1608" s="1"/>
      <c r="T1608" s="117"/>
      <c r="W1608" s="75" t="str">
        <f t="shared" si="35"/>
        <v>1w</v>
      </c>
      <c r="X1608" s="148">
        <f>_xll.qlCalendarAdvance(Calendar,X1607,W1608,"f",FALSE)</f>
        <v>50200</v>
      </c>
      <c r="Y1608" s="153">
        <f>_xll.qlCalendarAdvance(Calendar,X1608,NDays&amp;"D")</f>
        <v>50200</v>
      </c>
      <c r="Z1608" s="154">
        <v>2.8868123024208811E-2</v>
      </c>
      <c r="AA1608" s="156">
        <v>2.8797038934806896E-2</v>
      </c>
    </row>
    <row r="1609" spans="19:27" x14ac:dyDescent="0.2">
      <c r="S1609" s="1"/>
      <c r="T1609" s="117"/>
      <c r="W1609" s="75" t="str">
        <f t="shared" si="35"/>
        <v>1w</v>
      </c>
      <c r="X1609" s="148">
        <f>_xll.qlCalendarAdvance(Calendar,X1608,W1609,"f",FALSE)</f>
        <v>50207</v>
      </c>
      <c r="Y1609" s="153">
        <f>_xll.qlCalendarAdvance(Calendar,X1609,NDays&amp;"D")</f>
        <v>50207</v>
      </c>
      <c r="Z1609" s="154">
        <v>2.8863243857693129E-2</v>
      </c>
      <c r="AA1609" s="156">
        <v>2.8791886212701234E-2</v>
      </c>
    </row>
    <row r="1610" spans="19:27" x14ac:dyDescent="0.2">
      <c r="S1610" s="1"/>
      <c r="T1610" s="117"/>
      <c r="W1610" s="75" t="str">
        <f t="shared" si="35"/>
        <v>1w</v>
      </c>
      <c r="X1610" s="148">
        <f>_xll.qlCalendarAdvance(Calendar,X1609,W1610,"f",FALSE)</f>
        <v>50214</v>
      </c>
      <c r="Y1610" s="153">
        <f>_xll.qlCalendarAdvance(Calendar,X1610,NDays&amp;"D")</f>
        <v>50214</v>
      </c>
      <c r="Z1610" s="154">
        <v>2.8858412487197897E-2</v>
      </c>
      <c r="AA1610" s="156">
        <v>2.8786780939383805E-2</v>
      </c>
    </row>
    <row r="1611" spans="19:27" x14ac:dyDescent="0.2">
      <c r="S1611" s="1"/>
      <c r="T1611" s="117"/>
      <c r="W1611" s="75" t="str">
        <f t="shared" si="35"/>
        <v>1w</v>
      </c>
      <c r="X1611" s="148">
        <f>_xll.qlCalendarAdvance(Calendar,X1610,W1611,"f",FALSE)</f>
        <v>50221</v>
      </c>
      <c r="Y1611" s="153">
        <f>_xll.qlCalendarAdvance(Calendar,X1611,NDays&amp;"D")</f>
        <v>50221</v>
      </c>
      <c r="Z1611" s="154">
        <v>2.8853628912551336E-2</v>
      </c>
      <c r="AA1611" s="156">
        <v>2.8781723114935653E-2</v>
      </c>
    </row>
    <row r="1612" spans="19:27" x14ac:dyDescent="0.2">
      <c r="S1612" s="1"/>
      <c r="T1612" s="117"/>
      <c r="W1612" s="75" t="str">
        <f t="shared" si="35"/>
        <v>1w</v>
      </c>
      <c r="X1612" s="148">
        <f>_xll.qlCalendarAdvance(Calendar,X1611,W1612,"f",FALSE)</f>
        <v>50228</v>
      </c>
      <c r="Y1612" s="153">
        <f>_xll.qlCalendarAdvance(Calendar,X1612,NDays&amp;"D")</f>
        <v>50228</v>
      </c>
      <c r="Z1612" s="154">
        <v>2.8848893133578132E-2</v>
      </c>
      <c r="AA1612" s="156">
        <v>2.8776712739032595E-2</v>
      </c>
    </row>
    <row r="1613" spans="19:27" x14ac:dyDescent="0.2">
      <c r="S1613" s="1"/>
      <c r="T1613" s="117"/>
      <c r="W1613" s="75" t="str">
        <f t="shared" si="35"/>
        <v>1w</v>
      </c>
      <c r="X1613" s="148">
        <f>_xll.qlCalendarAdvance(Calendar,X1612,W1613,"f",FALSE)</f>
        <v>50235</v>
      </c>
      <c r="Y1613" s="153">
        <f>_xll.qlCalendarAdvance(Calendar,X1613,NDays&amp;"D")</f>
        <v>50235</v>
      </c>
      <c r="Z1613" s="154">
        <v>2.8844205150110915E-2</v>
      </c>
      <c r="AA1613" s="156">
        <v>2.8771749811998815E-2</v>
      </c>
    </row>
    <row r="1614" spans="19:27" x14ac:dyDescent="0.2">
      <c r="S1614" s="1"/>
      <c r="T1614" s="117"/>
      <c r="W1614" s="75" t="str">
        <f t="shared" si="35"/>
        <v>1w</v>
      </c>
      <c r="X1614" s="148">
        <f>_xll.qlCalendarAdvance(Calendar,X1613,W1614,"f",FALSE)</f>
        <v>50242</v>
      </c>
      <c r="Y1614" s="153">
        <f>_xll.qlCalendarAdvance(Calendar,X1614,NDays&amp;"D")</f>
        <v>50242</v>
      </c>
      <c r="Z1614" s="154">
        <v>2.8839564961982301E-2</v>
      </c>
      <c r="AA1614" s="156">
        <v>2.8766834333753266E-2</v>
      </c>
    </row>
    <row r="1615" spans="19:27" x14ac:dyDescent="0.2">
      <c r="S1615" s="1"/>
      <c r="T1615" s="117"/>
      <c r="W1615" s="75" t="str">
        <f t="shared" si="35"/>
        <v>1w</v>
      </c>
      <c r="X1615" s="148">
        <f>_xll.qlCalendarAdvance(Calendar,X1614,W1615,"f",FALSE)</f>
        <v>50249</v>
      </c>
      <c r="Y1615" s="153">
        <f>_xll.qlCalendarAdvance(Calendar,X1615,NDays&amp;"D")</f>
        <v>50249</v>
      </c>
      <c r="Z1615" s="154">
        <v>2.883497256902403E-2</v>
      </c>
      <c r="AA1615" s="156">
        <v>2.8761966304295949E-2</v>
      </c>
    </row>
    <row r="1616" spans="19:27" x14ac:dyDescent="0.2">
      <c r="S1616" s="1"/>
      <c r="T1616" s="117"/>
      <c r="W1616" s="75" t="str">
        <f t="shared" si="35"/>
        <v>1w</v>
      </c>
      <c r="X1616" s="148">
        <f>_xll.qlCalendarAdvance(Calendar,X1615,W1616,"f",FALSE)</f>
        <v>50256</v>
      </c>
      <c r="Y1616" s="153">
        <f>_xll.qlCalendarAdvance(Calendar,X1616,NDays&amp;"D")</f>
        <v>50256</v>
      </c>
      <c r="Z1616" s="154">
        <v>2.8830427971073134E-2</v>
      </c>
      <c r="AA1616" s="156">
        <v>2.8757145723545818E-2</v>
      </c>
    </row>
    <row r="1617" spans="19:27" x14ac:dyDescent="0.2">
      <c r="S1617" s="1"/>
      <c r="T1617" s="117"/>
      <c r="W1617" s="75" t="str">
        <f t="shared" si="35"/>
        <v>1w</v>
      </c>
      <c r="X1617" s="148">
        <f>_xll.qlCalendarAdvance(Calendar,X1616,W1617,"f",FALSE)</f>
        <v>50263</v>
      </c>
      <c r="Y1617" s="153">
        <f>_xll.qlCalendarAdvance(Calendar,X1617,NDays&amp;"D")</f>
        <v>50263</v>
      </c>
      <c r="Z1617" s="154">
        <v>2.8825931167963992E-2</v>
      </c>
      <c r="AA1617" s="156">
        <v>2.8752372591502873E-2</v>
      </c>
    </row>
    <row r="1618" spans="19:27" x14ac:dyDescent="0.2">
      <c r="S1618" s="1"/>
      <c r="T1618" s="117"/>
      <c r="W1618" s="75" t="str">
        <f t="shared" si="35"/>
        <v>1w</v>
      </c>
      <c r="X1618" s="148">
        <f>_xll.qlCalendarAdvance(Calendar,X1617,W1618,"f",FALSE)</f>
        <v>50270</v>
      </c>
      <c r="Y1618" s="153">
        <f>_xll.qlCalendarAdvance(Calendar,X1618,NDays&amp;"D")</f>
        <v>50270</v>
      </c>
      <c r="Z1618" s="154">
        <v>2.8821482159538038E-2</v>
      </c>
      <c r="AA1618" s="156">
        <v>2.8747646908248159E-2</v>
      </c>
    </row>
    <row r="1619" spans="19:27" x14ac:dyDescent="0.2">
      <c r="S1619" s="1"/>
      <c r="T1619" s="117"/>
      <c r="W1619" s="75" t="str">
        <f t="shared" si="35"/>
        <v>1w</v>
      </c>
      <c r="X1619" s="148">
        <f>_xll.qlCalendarAdvance(Calendar,X1618,W1619,"f",FALSE)</f>
        <v>50277</v>
      </c>
      <c r="Y1619" s="153">
        <f>_xll.qlCalendarAdvance(Calendar,X1619,NDays&amp;"D")</f>
        <v>50277</v>
      </c>
      <c r="Z1619" s="154">
        <v>2.8817080945633181E-2</v>
      </c>
      <c r="AA1619" s="156">
        <v>2.8742968673862723E-2</v>
      </c>
    </row>
    <row r="1620" spans="19:27" x14ac:dyDescent="0.2">
      <c r="S1620" s="1"/>
      <c r="T1620" s="117"/>
      <c r="W1620" s="75" t="str">
        <f t="shared" si="35"/>
        <v>1w</v>
      </c>
      <c r="X1620" s="148">
        <f>_xll.qlCalendarAdvance(Calendar,X1619,W1620,"f",FALSE)</f>
        <v>50284</v>
      </c>
      <c r="Y1620" s="153">
        <f>_xll.qlCalendarAdvance(Calendar,X1620,NDays&amp;"D")</f>
        <v>50284</v>
      </c>
      <c r="Z1620" s="154">
        <v>2.8811894988376247E-2</v>
      </c>
      <c r="AA1620" s="156">
        <v>2.8738337888103427E-2</v>
      </c>
    </row>
    <row r="1621" spans="19:27" x14ac:dyDescent="0.2">
      <c r="S1621" s="1"/>
      <c r="T1621" s="117"/>
      <c r="W1621" s="75" t="str">
        <f t="shared" ref="W1621:W1684" si="36">W1620</f>
        <v>1w</v>
      </c>
      <c r="X1621" s="148">
        <f>_xll.qlCalendarAdvance(Calendar,X1620,W1621,"f",FALSE)</f>
        <v>50291</v>
      </c>
      <c r="Y1621" s="153">
        <f>_xll.qlCalendarAdvance(Calendar,X1621,NDays&amp;"D")</f>
        <v>50291</v>
      </c>
      <c r="Z1621" s="154">
        <v>2.8807586288073252E-2</v>
      </c>
      <c r="AA1621" s="156">
        <v>2.8733754551132362E-2</v>
      </c>
    </row>
    <row r="1622" spans="19:27" x14ac:dyDescent="0.2">
      <c r="S1622" s="1"/>
      <c r="T1622" s="117"/>
      <c r="W1622" s="75" t="str">
        <f t="shared" si="36"/>
        <v>1w</v>
      </c>
      <c r="X1622" s="148">
        <f>_xll.qlCalendarAdvance(Calendar,X1621,W1622,"f",FALSE)</f>
        <v>50298</v>
      </c>
      <c r="Y1622" s="153">
        <f>_xll.qlCalendarAdvance(Calendar,X1622,NDays&amp;"D")</f>
        <v>50298</v>
      </c>
      <c r="Z1622" s="154">
        <v>2.8803325378026066E-2</v>
      </c>
      <c r="AA1622" s="156">
        <v>2.8729218662868483E-2</v>
      </c>
    </row>
    <row r="1623" spans="19:27" x14ac:dyDescent="0.2">
      <c r="S1623" s="1"/>
      <c r="T1623" s="117"/>
      <c r="W1623" s="75" t="str">
        <f t="shared" si="36"/>
        <v>1w</v>
      </c>
      <c r="X1623" s="148">
        <f>_xll.qlCalendarAdvance(Calendar,X1622,W1623,"f",FALSE)</f>
        <v>50305</v>
      </c>
      <c r="Y1623" s="153">
        <f>_xll.qlCalendarAdvance(Calendar,X1623,NDays&amp;"D")</f>
        <v>50305</v>
      </c>
      <c r="Z1623" s="154">
        <v>2.8799112258083279E-2</v>
      </c>
      <c r="AA1623" s="156">
        <v>2.8724730223392836E-2</v>
      </c>
    </row>
    <row r="1624" spans="19:27" x14ac:dyDescent="0.2">
      <c r="S1624" s="1"/>
      <c r="T1624" s="117"/>
      <c r="W1624" s="75" t="str">
        <f t="shared" si="36"/>
        <v>1w</v>
      </c>
      <c r="X1624" s="148">
        <f>_xll.qlCalendarAdvance(Calendar,X1623,W1624,"f",FALSE)</f>
        <v>50312</v>
      </c>
      <c r="Y1624" s="153">
        <f>_xll.qlCalendarAdvance(Calendar,X1624,NDays&amp;"D")</f>
        <v>50312</v>
      </c>
      <c r="Z1624" s="154">
        <v>2.8794946928096164E-2</v>
      </c>
      <c r="AA1624" s="156">
        <v>2.8720289232624374E-2</v>
      </c>
    </row>
    <row r="1625" spans="19:27" x14ac:dyDescent="0.2">
      <c r="S1625" s="1"/>
      <c r="T1625" s="117"/>
      <c r="W1625" s="75" t="str">
        <f t="shared" si="36"/>
        <v>1w</v>
      </c>
      <c r="X1625" s="148">
        <f>_xll.qlCalendarAdvance(Calendar,X1624,W1625,"f",FALSE)</f>
        <v>50319</v>
      </c>
      <c r="Y1625" s="153">
        <f>_xll.qlCalendarAdvance(Calendar,X1625,NDays&amp;"D")</f>
        <v>50319</v>
      </c>
      <c r="Z1625" s="154">
        <v>2.8791677338455675E-2</v>
      </c>
      <c r="AA1625" s="156">
        <v>2.8715895690644144E-2</v>
      </c>
    </row>
    <row r="1626" spans="19:27" x14ac:dyDescent="0.2">
      <c r="S1626" s="1"/>
      <c r="T1626" s="117"/>
      <c r="W1626" s="75" t="str">
        <f t="shared" si="36"/>
        <v>1w</v>
      </c>
      <c r="X1626" s="148">
        <f>_xll.qlCalendarAdvance(Calendar,X1625,W1626,"f",FALSE)</f>
        <v>50326</v>
      </c>
      <c r="Y1626" s="153">
        <f>_xll.qlCalendarAdvance(Calendar,X1626,NDays&amp;"D")</f>
        <v>50326</v>
      </c>
      <c r="Z1626" s="154">
        <v>2.8787610681881882E-2</v>
      </c>
      <c r="AA1626" s="156">
        <v>2.8711549597290054E-2</v>
      </c>
    </row>
    <row r="1627" spans="19:27" x14ac:dyDescent="0.2">
      <c r="S1627" s="1"/>
      <c r="T1627" s="117"/>
      <c r="W1627" s="75" t="str">
        <f t="shared" si="36"/>
        <v>1w</v>
      </c>
      <c r="X1627" s="148">
        <f>_xll.qlCalendarAdvance(Calendar,X1626,W1627,"f",FALSE)</f>
        <v>50333</v>
      </c>
      <c r="Y1627" s="153">
        <f>_xll.qlCalendarAdvance(Calendar,X1627,NDays&amp;"D")</f>
        <v>50333</v>
      </c>
      <c r="Z1627" s="154">
        <v>2.878359181861613E-2</v>
      </c>
      <c r="AA1627" s="156">
        <v>2.8707250952805241E-2</v>
      </c>
    </row>
    <row r="1628" spans="19:27" x14ac:dyDescent="0.2">
      <c r="S1628" s="1"/>
      <c r="T1628" s="117"/>
      <c r="W1628" s="75" t="str">
        <f t="shared" si="36"/>
        <v>1w</v>
      </c>
      <c r="X1628" s="148">
        <f>_xll.qlCalendarAdvance(Calendar,X1627,W1628,"f",FALSE)</f>
        <v>50340</v>
      </c>
      <c r="Y1628" s="153">
        <f>_xll.qlCalendarAdvance(Calendar,X1628,NDays&amp;"D")</f>
        <v>50340</v>
      </c>
      <c r="Z1628" s="154">
        <v>2.8779620748512189E-2</v>
      </c>
      <c r="AA1628" s="156">
        <v>2.8702999756946568E-2</v>
      </c>
    </row>
    <row r="1629" spans="19:27" x14ac:dyDescent="0.2">
      <c r="S1629" s="1"/>
      <c r="T1629" s="117"/>
      <c r="W1629" s="75" t="str">
        <f t="shared" si="36"/>
        <v>1w</v>
      </c>
      <c r="X1629" s="148">
        <f>_xll.qlCalendarAdvance(Calendar,X1628,W1629,"f",FALSE)</f>
        <v>50347</v>
      </c>
      <c r="Y1629" s="153">
        <f>_xll.qlCalendarAdvance(Calendar,X1629,NDays&amp;"D")</f>
        <v>50347</v>
      </c>
      <c r="Z1629" s="154">
        <v>2.8775697471429985E-2</v>
      </c>
      <c r="AA1629" s="156">
        <v>2.8698796009957173E-2</v>
      </c>
    </row>
    <row r="1630" spans="19:27" x14ac:dyDescent="0.2">
      <c r="S1630" s="1"/>
      <c r="T1630" s="117"/>
      <c r="W1630" s="75" t="str">
        <f t="shared" si="36"/>
        <v>1w</v>
      </c>
      <c r="X1630" s="148">
        <f>_xll.qlCalendarAdvance(Calendar,X1629,W1630,"f",FALSE)</f>
        <v>50354</v>
      </c>
      <c r="Y1630" s="153">
        <f>_xll.qlCalendarAdvance(Calendar,X1630,NDays&amp;"D")</f>
        <v>50354</v>
      </c>
      <c r="Z1630" s="154">
        <v>2.8771821987227685E-2</v>
      </c>
      <c r="AA1630" s="156">
        <v>2.8694639711674963E-2</v>
      </c>
    </row>
    <row r="1631" spans="19:27" x14ac:dyDescent="0.2">
      <c r="S1631" s="1"/>
      <c r="T1631" s="117"/>
      <c r="W1631" s="75" t="str">
        <f t="shared" si="36"/>
        <v>1w</v>
      </c>
      <c r="X1631" s="148">
        <f>_xll.qlCalendarAdvance(Calendar,X1630,W1631,"f",FALSE)</f>
        <v>50361</v>
      </c>
      <c r="Y1631" s="153">
        <f>_xll.qlCalendarAdvance(Calendar,X1631,NDays&amp;"D")</f>
        <v>50361</v>
      </c>
      <c r="Z1631" s="154">
        <v>2.8767994295765226E-2</v>
      </c>
      <c r="AA1631" s="156">
        <v>2.8690530862099939E-2</v>
      </c>
    </row>
    <row r="1632" spans="19:27" x14ac:dyDescent="0.2">
      <c r="S1632" s="1"/>
      <c r="T1632" s="117"/>
      <c r="W1632" s="75" t="str">
        <f t="shared" si="36"/>
        <v>1w</v>
      </c>
      <c r="X1632" s="148">
        <f>_xll.qlCalendarAdvance(Calendar,X1631,W1632,"f",FALSE)</f>
        <v>50368</v>
      </c>
      <c r="Y1632" s="153">
        <f>_xll.qlCalendarAdvance(Calendar,X1632,NDays&amp;"D")</f>
        <v>50368</v>
      </c>
      <c r="Z1632" s="154">
        <v>2.8764214396905179E-2</v>
      </c>
      <c r="AA1632" s="156">
        <v>2.8686469461070008E-2</v>
      </c>
    </row>
    <row r="1633" spans="19:27" x14ac:dyDescent="0.2">
      <c r="S1633" s="1"/>
      <c r="T1633" s="117"/>
      <c r="W1633" s="75" t="str">
        <f t="shared" si="36"/>
        <v>1w</v>
      </c>
      <c r="X1633" s="148">
        <f>_xll.qlCalendarAdvance(Calendar,X1632,W1633,"f",FALSE)</f>
        <v>50375</v>
      </c>
      <c r="Y1633" s="153">
        <f>_xll.qlCalendarAdvance(Calendar,X1633,NDays&amp;"D")</f>
        <v>50375</v>
      </c>
      <c r="Z1633" s="154">
        <v>2.8758737018066083E-2</v>
      </c>
      <c r="AA1633" s="156">
        <v>2.8682455508909355E-2</v>
      </c>
    </row>
    <row r="1634" spans="19:27" x14ac:dyDescent="0.2">
      <c r="S1634" s="1"/>
      <c r="T1634" s="117"/>
      <c r="W1634" s="75" t="str">
        <f t="shared" si="36"/>
        <v>1w</v>
      </c>
      <c r="X1634" s="148">
        <f>_xll.qlCalendarAdvance(Calendar,X1633,W1634,"f",FALSE)</f>
        <v>50382</v>
      </c>
      <c r="Y1634" s="153">
        <f>_xll.qlCalendarAdvance(Calendar,X1634,NDays&amp;"D")</f>
        <v>50382</v>
      </c>
      <c r="Z1634" s="154">
        <v>2.875504645607627E-2</v>
      </c>
      <c r="AA1634" s="156">
        <v>2.8678489005536933E-2</v>
      </c>
    </row>
    <row r="1635" spans="19:27" x14ac:dyDescent="0.2">
      <c r="S1635" s="1"/>
      <c r="T1635" s="117"/>
      <c r="W1635" s="75" t="str">
        <f t="shared" si="36"/>
        <v>1w</v>
      </c>
      <c r="X1635" s="148">
        <f>_xll.qlCalendarAdvance(Calendar,X1634,W1635,"f",FALSE)</f>
        <v>50389</v>
      </c>
      <c r="Y1635" s="153">
        <f>_xll.qlCalendarAdvance(Calendar,X1635,NDays&amp;"D")</f>
        <v>50389</v>
      </c>
      <c r="Z1635" s="154">
        <v>2.8751403678731378E-2</v>
      </c>
      <c r="AA1635" s="156">
        <v>2.8674569950871698E-2</v>
      </c>
    </row>
    <row r="1636" spans="19:27" x14ac:dyDescent="0.2">
      <c r="S1636" s="1"/>
      <c r="T1636" s="117"/>
      <c r="W1636" s="75" t="str">
        <f t="shared" si="36"/>
        <v>1w</v>
      </c>
      <c r="X1636" s="148">
        <f>_xll.qlCalendarAdvance(Calendar,X1635,W1636,"f",FALSE)</f>
        <v>50396</v>
      </c>
      <c r="Y1636" s="153">
        <f>_xll.qlCalendarAdvance(Calendar,X1636,NDays&amp;"D")</f>
        <v>50396</v>
      </c>
      <c r="Z1636" s="154">
        <v>2.874780868590263E-2</v>
      </c>
      <c r="AA1636" s="156">
        <v>2.8670698344913648E-2</v>
      </c>
    </row>
    <row r="1637" spans="19:27" x14ac:dyDescent="0.2">
      <c r="S1637" s="1"/>
      <c r="T1637" s="117"/>
      <c r="W1637" s="75" t="str">
        <f t="shared" si="36"/>
        <v>1w</v>
      </c>
      <c r="X1637" s="148">
        <f>_xll.qlCalendarAdvance(Calendar,X1636,W1637,"f",FALSE)</f>
        <v>50403</v>
      </c>
      <c r="Y1637" s="153">
        <f>_xll.qlCalendarAdvance(Calendar,X1637,NDays&amp;"D")</f>
        <v>50403</v>
      </c>
      <c r="Z1637" s="154">
        <v>2.8744261477463957E-2</v>
      </c>
      <c r="AA1637" s="156">
        <v>2.8666874187662783E-2</v>
      </c>
    </row>
    <row r="1638" spans="19:27" x14ac:dyDescent="0.2">
      <c r="S1638" s="1"/>
      <c r="T1638" s="117"/>
      <c r="W1638" s="75" t="str">
        <f t="shared" si="36"/>
        <v>1w</v>
      </c>
      <c r="X1638" s="148">
        <f>_xll.qlCalendarAdvance(Calendar,X1637,W1638,"f",FALSE)</f>
        <v>50410</v>
      </c>
      <c r="Y1638" s="153">
        <f>_xll.qlCalendarAdvance(Calendar,X1638,NDays&amp;"D")</f>
        <v>50410</v>
      </c>
      <c r="Z1638" s="154">
        <v>2.8740762053289289E-2</v>
      </c>
      <c r="AA1638" s="156">
        <v>2.866309747920015E-2</v>
      </c>
    </row>
    <row r="1639" spans="19:27" x14ac:dyDescent="0.2">
      <c r="S1639" s="1"/>
      <c r="T1639" s="117"/>
      <c r="W1639" s="75" t="str">
        <f t="shared" si="36"/>
        <v>1w</v>
      </c>
      <c r="X1639" s="148">
        <f>_xll.qlCalendarAdvance(Calendar,X1638,W1639,"f",FALSE)</f>
        <v>50417</v>
      </c>
      <c r="Y1639" s="153">
        <f>_xll.qlCalendarAdvance(Calendar,X1639,NDays&amp;"D")</f>
        <v>50417</v>
      </c>
      <c r="Z1639" s="154">
        <v>2.8737310413257951E-2</v>
      </c>
      <c r="AA1639" s="156">
        <v>2.8659368219363657E-2</v>
      </c>
    </row>
    <row r="1640" spans="19:27" x14ac:dyDescent="0.2">
      <c r="S1640" s="1"/>
      <c r="T1640" s="117"/>
      <c r="W1640" s="75" t="str">
        <f t="shared" si="36"/>
        <v>1w</v>
      </c>
      <c r="X1640" s="148">
        <f>_xll.qlCalendarAdvance(Calendar,X1639,W1640,"f",FALSE)</f>
        <v>50424</v>
      </c>
      <c r="Y1640" s="153">
        <f>_xll.qlCalendarAdvance(Calendar,X1640,NDays&amp;"D")</f>
        <v>50424</v>
      </c>
      <c r="Z1640" s="154">
        <v>2.8733906557248379E-2</v>
      </c>
      <c r="AA1640" s="156">
        <v>2.8655686408234349E-2</v>
      </c>
    </row>
    <row r="1641" spans="19:27" x14ac:dyDescent="0.2">
      <c r="S1641" s="1"/>
      <c r="T1641" s="117"/>
      <c r="W1641" s="75" t="str">
        <f t="shared" si="36"/>
        <v>1w</v>
      </c>
      <c r="X1641" s="148">
        <f>_xll.qlCalendarAdvance(Calendar,X1640,W1641,"f",FALSE)</f>
        <v>50431</v>
      </c>
      <c r="Y1641" s="153">
        <f>_xll.qlCalendarAdvance(Calendar,X1641,NDays&amp;"D")</f>
        <v>50431</v>
      </c>
      <c r="Z1641" s="154">
        <v>2.8731448044845592E-2</v>
      </c>
      <c r="AA1641" s="156">
        <v>2.8652052045812226E-2</v>
      </c>
    </row>
    <row r="1642" spans="19:27" x14ac:dyDescent="0.2">
      <c r="S1642" s="1"/>
      <c r="T1642" s="117"/>
      <c r="W1642" s="75" t="str">
        <f t="shared" si="36"/>
        <v>1w</v>
      </c>
      <c r="X1642" s="148">
        <f>_xll.qlCalendarAdvance(Calendar,X1641,W1642,"f",FALSE)</f>
        <v>50438</v>
      </c>
      <c r="Y1642" s="153">
        <f>_xll.qlCalendarAdvance(Calendar,X1642,NDays&amp;"D")</f>
        <v>50438</v>
      </c>
      <c r="Z1642" s="154">
        <v>2.8728142910423485E-2</v>
      </c>
      <c r="AA1642" s="156">
        <v>2.8648465132178336E-2</v>
      </c>
    </row>
    <row r="1643" spans="19:27" x14ac:dyDescent="0.2">
      <c r="S1643" s="1"/>
      <c r="T1643" s="117"/>
      <c r="W1643" s="75" t="str">
        <f t="shared" si="36"/>
        <v>1w</v>
      </c>
      <c r="X1643" s="148">
        <f>_xll.qlCalendarAdvance(Calendar,X1642,W1643,"f",FALSE)</f>
        <v>50445</v>
      </c>
      <c r="Y1643" s="153">
        <f>_xll.qlCalendarAdvance(Calendar,X1643,NDays&amp;"D")</f>
        <v>50445</v>
      </c>
      <c r="Z1643" s="154">
        <v>2.8723981692162469E-2</v>
      </c>
      <c r="AA1643" s="156">
        <v>2.8644925667170584E-2</v>
      </c>
    </row>
    <row r="1644" spans="19:27" x14ac:dyDescent="0.2">
      <c r="S1644" s="1"/>
      <c r="T1644" s="117"/>
      <c r="W1644" s="75" t="str">
        <f t="shared" si="36"/>
        <v>1w</v>
      </c>
      <c r="X1644" s="148">
        <f>_xll.qlCalendarAdvance(Calendar,X1643,W1644,"f",FALSE)</f>
        <v>50452</v>
      </c>
      <c r="Y1644" s="153">
        <f>_xll.qlCalendarAdvance(Calendar,X1644,NDays&amp;"D")</f>
        <v>50452</v>
      </c>
      <c r="Z1644" s="154">
        <v>2.872076897106118E-2</v>
      </c>
      <c r="AA1644" s="156">
        <v>2.8641433650870018E-2</v>
      </c>
    </row>
    <row r="1645" spans="19:27" x14ac:dyDescent="0.2">
      <c r="S1645" s="1"/>
      <c r="T1645" s="117"/>
      <c r="W1645" s="75" t="str">
        <f t="shared" si="36"/>
        <v>1w</v>
      </c>
      <c r="X1645" s="148">
        <f>_xll.qlCalendarAdvance(Calendar,X1644,W1645,"f",FALSE)</f>
        <v>50459</v>
      </c>
      <c r="Y1645" s="153">
        <f>_xll.qlCalendarAdvance(Calendar,X1645,NDays&amp;"D")</f>
        <v>50459</v>
      </c>
      <c r="Z1645" s="154">
        <v>2.8717604033401723E-2</v>
      </c>
      <c r="AA1645" s="156">
        <v>2.8637989083357684E-2</v>
      </c>
    </row>
    <row r="1646" spans="19:27" x14ac:dyDescent="0.2">
      <c r="S1646" s="1"/>
      <c r="T1646" s="117"/>
      <c r="W1646" s="75" t="str">
        <f t="shared" si="36"/>
        <v>1w</v>
      </c>
      <c r="X1646" s="148">
        <f>_xll.qlCalendarAdvance(Calendar,X1645,W1646,"f",FALSE)</f>
        <v>50466</v>
      </c>
      <c r="Y1646" s="153">
        <f>_xll.qlCalendarAdvance(Calendar,X1646,NDays&amp;"D")</f>
        <v>50466</v>
      </c>
      <c r="Z1646" s="154">
        <v>2.8716313963404266E-2</v>
      </c>
      <c r="AA1646" s="156">
        <v>2.8634591964633582E-2</v>
      </c>
    </row>
    <row r="1647" spans="19:27" x14ac:dyDescent="0.2">
      <c r="S1647" s="1"/>
      <c r="T1647" s="117"/>
      <c r="W1647" s="75" t="str">
        <f t="shared" si="36"/>
        <v>1w</v>
      </c>
      <c r="X1647" s="148">
        <f>_xll.qlCalendarAdvance(Calendar,X1646,W1647,"f",FALSE)</f>
        <v>50473</v>
      </c>
      <c r="Y1647" s="153">
        <f>_xll.qlCalendarAdvance(Calendar,X1647,NDays&amp;"D")</f>
        <v>50473</v>
      </c>
      <c r="Z1647" s="154">
        <v>2.8713250938282028E-2</v>
      </c>
      <c r="AA1647" s="156">
        <v>2.8631242294454573E-2</v>
      </c>
    </row>
    <row r="1648" spans="19:27" x14ac:dyDescent="0.2">
      <c r="S1648" s="1"/>
      <c r="T1648" s="117"/>
      <c r="W1648" s="75" t="str">
        <f t="shared" si="36"/>
        <v>1w</v>
      </c>
      <c r="X1648" s="148">
        <f>_xll.qlCalendarAdvance(Calendar,X1647,W1648,"f",FALSE)</f>
        <v>50480</v>
      </c>
      <c r="Y1648" s="153">
        <f>_xll.qlCalendarAdvance(Calendar,X1648,NDays&amp;"D")</f>
        <v>50480</v>
      </c>
      <c r="Z1648" s="154">
        <v>2.8710235703798593E-2</v>
      </c>
      <c r="AA1648" s="156">
        <v>2.8627940073063796E-2</v>
      </c>
    </row>
    <row r="1649" spans="19:27" x14ac:dyDescent="0.2">
      <c r="S1649" s="1"/>
      <c r="T1649" s="117"/>
      <c r="W1649" s="75" t="str">
        <f t="shared" si="36"/>
        <v>1w</v>
      </c>
      <c r="X1649" s="148">
        <f>_xll.qlCalendarAdvance(Calendar,X1648,W1649,"f",FALSE)</f>
        <v>50487</v>
      </c>
      <c r="Y1649" s="153">
        <f>_xll.qlCalendarAdvance(Calendar,X1649,NDays&amp;"D")</f>
        <v>50487</v>
      </c>
      <c r="Z1649" s="154">
        <v>2.8707268259846486E-2</v>
      </c>
      <c r="AA1649" s="156">
        <v>2.8624685300299157E-2</v>
      </c>
    </row>
    <row r="1650" spans="19:27" x14ac:dyDescent="0.2">
      <c r="S1650" s="1"/>
      <c r="T1650" s="117"/>
      <c r="W1650" s="75" t="str">
        <f t="shared" si="36"/>
        <v>1w</v>
      </c>
      <c r="X1650" s="148">
        <f>_xll.qlCalendarAdvance(Calendar,X1649,W1650,"f",FALSE)</f>
        <v>50494</v>
      </c>
      <c r="Y1650" s="153">
        <f>_xll.qlCalendarAdvance(Calendar,X1650,NDays&amp;"D")</f>
        <v>50494</v>
      </c>
      <c r="Z1650" s="154">
        <v>2.8704348606319992E-2</v>
      </c>
      <c r="AA1650" s="156">
        <v>2.8621477976403797E-2</v>
      </c>
    </row>
    <row r="1651" spans="19:27" x14ac:dyDescent="0.2">
      <c r="S1651" s="1"/>
      <c r="T1651" s="117"/>
      <c r="W1651" s="75" t="str">
        <f t="shared" si="36"/>
        <v>1w</v>
      </c>
      <c r="X1651" s="148">
        <f>_xll.qlCalendarAdvance(Calendar,X1650,W1651,"f",FALSE)</f>
        <v>50501</v>
      </c>
      <c r="Y1651" s="153">
        <f>_xll.qlCalendarAdvance(Calendar,X1651,NDays&amp;"D")</f>
        <v>50501</v>
      </c>
      <c r="Z1651" s="154">
        <v>2.8700547121776113E-2</v>
      </c>
      <c r="AA1651" s="156">
        <v>2.861831810105353E-2</v>
      </c>
    </row>
    <row r="1652" spans="19:27" x14ac:dyDescent="0.2">
      <c r="S1652" s="1"/>
      <c r="T1652" s="117"/>
      <c r="W1652" s="75" t="str">
        <f t="shared" si="36"/>
        <v>1w</v>
      </c>
      <c r="X1652" s="148">
        <f>_xll.qlCalendarAdvance(Calendar,X1651,W1652,"f",FALSE)</f>
        <v>50508</v>
      </c>
      <c r="Y1652" s="153">
        <f>_xll.qlCalendarAdvance(Calendar,X1652,NDays&amp;"D")</f>
        <v>50508</v>
      </c>
      <c r="Z1652" s="154">
        <v>2.8697719856725847E-2</v>
      </c>
      <c r="AA1652" s="156">
        <v>2.8615205674410449E-2</v>
      </c>
    </row>
    <row r="1653" spans="19:27" x14ac:dyDescent="0.2">
      <c r="S1653" s="1"/>
      <c r="T1653" s="117"/>
      <c r="W1653" s="75" t="str">
        <f t="shared" si="36"/>
        <v>1w</v>
      </c>
      <c r="X1653" s="148">
        <f>_xll.qlCalendarAdvance(Calendar,X1652,W1653,"f",FALSE)</f>
        <v>50515</v>
      </c>
      <c r="Y1653" s="153">
        <f>_xll.qlCalendarAdvance(Calendar,X1653,NDays&amp;"D")</f>
        <v>50515</v>
      </c>
      <c r="Z1653" s="154">
        <v>2.8694940378033149E-2</v>
      </c>
      <c r="AA1653" s="156">
        <v>2.8612140696555599E-2</v>
      </c>
    </row>
    <row r="1654" spans="19:27" x14ac:dyDescent="0.2">
      <c r="S1654" s="1"/>
      <c r="T1654" s="117"/>
      <c r="W1654" s="75" t="str">
        <f t="shared" si="36"/>
        <v>1w</v>
      </c>
      <c r="X1654" s="148">
        <f>_xll.qlCalendarAdvance(Calendar,X1653,W1654,"f",FALSE)</f>
        <v>50522</v>
      </c>
      <c r="Y1654" s="153">
        <f>_xll.qlCalendarAdvance(Calendar,X1654,NDays&amp;"D")</f>
        <v>50522</v>
      </c>
      <c r="Z1654" s="154">
        <v>2.8692208685599158E-2</v>
      </c>
      <c r="AA1654" s="156">
        <v>2.8609123167326889E-2</v>
      </c>
    </row>
    <row r="1655" spans="19:27" x14ac:dyDescent="0.2">
      <c r="S1655" s="1"/>
      <c r="T1655" s="117"/>
      <c r="W1655" s="75" t="str">
        <f t="shared" si="36"/>
        <v>1w</v>
      </c>
      <c r="X1655" s="148">
        <f>_xll.qlCalendarAdvance(Calendar,X1654,W1655,"f",FALSE)</f>
        <v>50529</v>
      </c>
      <c r="Y1655" s="153">
        <f>_xll.qlCalendarAdvance(Calendar,X1655,NDays&amp;"D")</f>
        <v>50529</v>
      </c>
      <c r="Z1655" s="154">
        <v>2.869046719144492E-2</v>
      </c>
      <c r="AA1655" s="156">
        <v>2.8606153086805364E-2</v>
      </c>
    </row>
    <row r="1656" spans="19:27" x14ac:dyDescent="0.2">
      <c r="S1656" s="1"/>
      <c r="T1656" s="117"/>
      <c r="W1656" s="75" t="str">
        <f t="shared" si="36"/>
        <v>1w</v>
      </c>
      <c r="X1656" s="148">
        <f>_xll.qlCalendarAdvance(Calendar,X1655,W1656,"f",FALSE)</f>
        <v>50536</v>
      </c>
      <c r="Y1656" s="153">
        <f>_xll.qlCalendarAdvance(Calendar,X1656,NDays&amp;"D")</f>
        <v>50536</v>
      </c>
      <c r="Z1656" s="154">
        <v>2.8687834278326149E-2</v>
      </c>
      <c r="AA1656" s="156">
        <v>2.8603230454909978E-2</v>
      </c>
    </row>
    <row r="1657" spans="19:27" x14ac:dyDescent="0.2">
      <c r="S1657" s="1"/>
      <c r="T1657" s="117"/>
      <c r="W1657" s="75" t="str">
        <f t="shared" si="36"/>
        <v>1w</v>
      </c>
      <c r="X1657" s="148">
        <f>_xll.qlCalendarAdvance(Calendar,X1656,W1657,"f",FALSE)</f>
        <v>50543</v>
      </c>
      <c r="Y1657" s="153">
        <f>_xll.qlCalendarAdvance(Calendar,X1657,NDays&amp;"D")</f>
        <v>50543</v>
      </c>
      <c r="Z1657" s="154">
        <v>2.868524915493529E-2</v>
      </c>
      <c r="AA1657" s="156">
        <v>2.8600355271883871E-2</v>
      </c>
    </row>
    <row r="1658" spans="19:27" x14ac:dyDescent="0.2">
      <c r="S1658" s="1"/>
      <c r="T1658" s="117"/>
      <c r="W1658" s="75" t="str">
        <f t="shared" si="36"/>
        <v>1w</v>
      </c>
      <c r="X1658" s="148">
        <f>_xll.qlCalendarAdvance(Calendar,X1657,W1658,"f",FALSE)</f>
        <v>50550</v>
      </c>
      <c r="Y1658" s="153">
        <f>_xll.qlCalendarAdvance(Calendar,X1658,NDays&amp;"D")</f>
        <v>50550</v>
      </c>
      <c r="Z1658" s="154">
        <v>2.8682711821177199E-2</v>
      </c>
      <c r="AA1658" s="156">
        <v>2.8597527537483902E-2</v>
      </c>
    </row>
    <row r="1659" spans="19:27" x14ac:dyDescent="0.2">
      <c r="S1659" s="1"/>
      <c r="T1659" s="117"/>
      <c r="W1659" s="75" t="str">
        <f t="shared" si="36"/>
        <v>1w</v>
      </c>
      <c r="X1659" s="148">
        <f>_xll.qlCalendarAdvance(Calendar,X1658,W1659,"f",FALSE)</f>
        <v>50557</v>
      </c>
      <c r="Y1659" s="153">
        <f>_xll.qlCalendarAdvance(Calendar,X1659,NDays&amp;"D")</f>
        <v>50557</v>
      </c>
      <c r="Z1659" s="154">
        <v>2.8680222276964668E-2</v>
      </c>
      <c r="AA1659" s="156">
        <v>2.8594747251710073E-2</v>
      </c>
    </row>
    <row r="1660" spans="19:27" x14ac:dyDescent="0.2">
      <c r="S1660" s="1"/>
      <c r="T1660" s="117"/>
      <c r="W1660" s="75" t="str">
        <f t="shared" si="36"/>
        <v>1w</v>
      </c>
      <c r="X1660" s="148">
        <f>_xll.qlCalendarAdvance(Calendar,X1659,W1660,"f",FALSE)</f>
        <v>50564</v>
      </c>
      <c r="Y1660" s="153">
        <f>_xll.qlCalendarAdvance(Calendar,X1660,NDays&amp;"D")</f>
        <v>50564</v>
      </c>
      <c r="Z1660" s="154">
        <v>2.8677780522204314E-2</v>
      </c>
      <c r="AA1660" s="156">
        <v>2.8592014414724476E-2</v>
      </c>
    </row>
    <row r="1661" spans="19:27" x14ac:dyDescent="0.2">
      <c r="S1661" s="1"/>
      <c r="T1661" s="117"/>
      <c r="W1661" s="75" t="str">
        <f t="shared" si="36"/>
        <v>1w</v>
      </c>
      <c r="X1661" s="148">
        <f>_xll.qlCalendarAdvance(Calendar,X1660,W1661,"f",FALSE)</f>
        <v>50571</v>
      </c>
      <c r="Y1661" s="153">
        <f>_xll.qlCalendarAdvance(Calendar,X1661,NDays&amp;"D")</f>
        <v>50571</v>
      </c>
      <c r="Z1661" s="154">
        <v>2.867538655681157E-2</v>
      </c>
      <c r="AA1661" s="156">
        <v>2.8589329026283972E-2</v>
      </c>
    </row>
    <row r="1662" spans="19:27" x14ac:dyDescent="0.2">
      <c r="S1662" s="1"/>
      <c r="T1662" s="117"/>
      <c r="W1662" s="75" t="str">
        <f t="shared" si="36"/>
        <v>1w</v>
      </c>
      <c r="X1662" s="148">
        <f>_xll.qlCalendarAdvance(Calendar,X1661,W1662,"f",FALSE)</f>
        <v>50578</v>
      </c>
      <c r="Y1662" s="153">
        <f>_xll.qlCalendarAdvance(Calendar,X1662,NDays&amp;"D")</f>
        <v>50578</v>
      </c>
      <c r="Z1662" s="154">
        <v>2.86730403807001E-2</v>
      </c>
      <c r="AA1662" s="156">
        <v>2.8586691086712746E-2</v>
      </c>
    </row>
    <row r="1663" spans="19:27" x14ac:dyDescent="0.2">
      <c r="S1663" s="1"/>
      <c r="T1663" s="117"/>
      <c r="W1663" s="75" t="str">
        <f t="shared" si="36"/>
        <v>1w</v>
      </c>
      <c r="X1663" s="148">
        <f>_xll.qlCalendarAdvance(Calendar,X1662,W1663,"f",FALSE)</f>
        <v>50585</v>
      </c>
      <c r="Y1663" s="153">
        <f>_xll.qlCalendarAdvance(Calendar,X1663,NDays&amp;"D")</f>
        <v>50585</v>
      </c>
      <c r="Z1663" s="154">
        <v>2.8670741993786216E-2</v>
      </c>
      <c r="AA1663" s="156">
        <v>2.8584100595767659E-2</v>
      </c>
    </row>
    <row r="1664" spans="19:27" x14ac:dyDescent="0.2">
      <c r="S1664" s="1"/>
      <c r="T1664" s="117"/>
      <c r="W1664" s="75" t="str">
        <f t="shared" si="36"/>
        <v>1w</v>
      </c>
      <c r="X1664" s="148">
        <f>_xll.qlCalendarAdvance(Calendar,X1663,W1664,"f",FALSE)</f>
        <v>50592</v>
      </c>
      <c r="Y1664" s="153">
        <f>_xll.qlCalendarAdvance(Calendar,X1664,NDays&amp;"D")</f>
        <v>50592</v>
      </c>
      <c r="Z1664" s="154">
        <v>2.8668491395985353E-2</v>
      </c>
      <c r="AA1664" s="156">
        <v>2.8581557553448711E-2</v>
      </c>
    </row>
    <row r="1665" spans="19:27" x14ac:dyDescent="0.2">
      <c r="S1665" s="1"/>
      <c r="T1665" s="117"/>
      <c r="W1665" s="75" t="str">
        <f t="shared" si="36"/>
        <v>1w</v>
      </c>
      <c r="X1665" s="148">
        <f>_xll.qlCalendarAdvance(Calendar,X1664,W1665,"f",FALSE)</f>
        <v>50599</v>
      </c>
      <c r="Y1665" s="153">
        <f>_xll.qlCalendarAdvance(Calendar,X1665,NDays&amp;"D")</f>
        <v>50599</v>
      </c>
      <c r="Z1665" s="154">
        <v>2.8666288587217339E-2</v>
      </c>
      <c r="AA1665" s="156">
        <v>2.8579061959755903E-2</v>
      </c>
    </row>
    <row r="1666" spans="19:27" x14ac:dyDescent="0.2">
      <c r="S1666" s="1"/>
      <c r="T1666" s="117"/>
      <c r="W1666" s="75" t="str">
        <f t="shared" si="36"/>
        <v>1w</v>
      </c>
      <c r="X1666" s="148">
        <f>_xll.qlCalendarAdvance(Calendar,X1665,W1666,"f",FALSE)</f>
        <v>50606</v>
      </c>
      <c r="Y1666" s="153">
        <f>_xll.qlCalendarAdvance(Calendar,X1666,NDays&amp;"D")</f>
        <v>50606</v>
      </c>
      <c r="Z1666" s="154">
        <v>2.8664133567404656E-2</v>
      </c>
      <c r="AA1666" s="156">
        <v>2.8576613814851326E-2</v>
      </c>
    </row>
    <row r="1667" spans="19:27" x14ac:dyDescent="0.2">
      <c r="S1667" s="1"/>
      <c r="T1667" s="117"/>
      <c r="W1667" s="75" t="str">
        <f t="shared" si="36"/>
        <v>1w</v>
      </c>
      <c r="X1667" s="148">
        <f>_xll.qlCalendarAdvance(Calendar,X1666,W1667,"f",FALSE)</f>
        <v>50613</v>
      </c>
      <c r="Y1667" s="153">
        <f>_xll.qlCalendarAdvance(Calendar,X1667,NDays&amp;"D")</f>
        <v>50613</v>
      </c>
      <c r="Z1667" s="154">
        <v>2.8662026336469776E-2</v>
      </c>
      <c r="AA1667" s="156">
        <v>2.8574213118734981E-2</v>
      </c>
    </row>
    <row r="1668" spans="19:27" x14ac:dyDescent="0.2">
      <c r="S1668" s="1"/>
      <c r="T1668" s="117"/>
      <c r="W1668" s="75" t="str">
        <f t="shared" si="36"/>
        <v>1w</v>
      </c>
      <c r="X1668" s="148">
        <f>_xll.qlCalendarAdvance(Calendar,X1667,W1668,"f",FALSE)</f>
        <v>50620</v>
      </c>
      <c r="Y1668" s="153">
        <f>_xll.qlCalendarAdvance(Calendar,X1668,NDays&amp;"D")</f>
        <v>50620</v>
      </c>
      <c r="Z1668" s="154">
        <v>2.8659966894334303E-2</v>
      </c>
      <c r="AA1668" s="156">
        <v>2.8571859871082683E-2</v>
      </c>
    </row>
    <row r="1669" spans="19:27" x14ac:dyDescent="0.2">
      <c r="S1669" s="1"/>
      <c r="T1669" s="117"/>
      <c r="W1669" s="75" t="str">
        <f t="shared" si="36"/>
        <v>1w</v>
      </c>
      <c r="X1669" s="148">
        <f>_xll.qlCalendarAdvance(Calendar,X1668,W1669,"f",FALSE)</f>
        <v>50627</v>
      </c>
      <c r="Y1669" s="153">
        <f>_xll.qlCalendarAdvance(Calendar,X1669,NDays&amp;"D")</f>
        <v>50627</v>
      </c>
      <c r="Z1669" s="154">
        <v>2.8657955240929518E-2</v>
      </c>
      <c r="AA1669" s="156">
        <v>2.8569554072299663E-2</v>
      </c>
    </row>
    <row r="1670" spans="19:27" x14ac:dyDescent="0.2">
      <c r="S1670" s="1"/>
      <c r="T1670" s="117"/>
      <c r="W1670" s="75" t="str">
        <f t="shared" si="36"/>
        <v>1w</v>
      </c>
      <c r="X1670" s="148">
        <f>_xll.qlCalendarAdvance(Calendar,X1669,W1670,"f",FALSE)</f>
        <v>50634</v>
      </c>
      <c r="Y1670" s="153">
        <f>_xll.qlCalendarAdvance(Calendar,X1670,NDays&amp;"D")</f>
        <v>50634</v>
      </c>
      <c r="Z1670" s="154">
        <v>2.8655991376177904E-2</v>
      </c>
      <c r="AA1670" s="156">
        <v>2.8567295722142783E-2</v>
      </c>
    </row>
    <row r="1671" spans="19:27" x14ac:dyDescent="0.2">
      <c r="S1671" s="1"/>
      <c r="T1671" s="117"/>
      <c r="W1671" s="75" t="str">
        <f t="shared" si="36"/>
        <v>1w</v>
      </c>
      <c r="X1671" s="148">
        <f>_xll.qlCalendarAdvance(Calendar,X1670,W1671,"f",FALSE)</f>
        <v>50641</v>
      </c>
      <c r="Y1671" s="153">
        <f>_xll.qlCalendarAdvance(Calendar,X1671,NDays&amp;"D")</f>
        <v>50641</v>
      </c>
      <c r="Z1671" s="154">
        <v>2.8654075300011621E-2</v>
      </c>
      <c r="AA1671" s="156">
        <v>2.8565084820612041E-2</v>
      </c>
    </row>
    <row r="1672" spans="19:27" x14ac:dyDescent="0.2">
      <c r="S1672" s="1"/>
      <c r="T1672" s="117"/>
      <c r="W1672" s="75" t="str">
        <f t="shared" si="36"/>
        <v>1w</v>
      </c>
      <c r="X1672" s="148">
        <f>_xll.qlCalendarAdvance(Calendar,X1671,W1672,"f",FALSE)</f>
        <v>50648</v>
      </c>
      <c r="Y1672" s="153">
        <f>_xll.qlCalendarAdvance(Calendar,X1672,NDays&amp;"D")</f>
        <v>50648</v>
      </c>
      <c r="Z1672" s="154">
        <v>2.8651209569728678E-2</v>
      </c>
      <c r="AA1672" s="156">
        <v>2.8562921367869532E-2</v>
      </c>
    </row>
    <row r="1673" spans="19:27" x14ac:dyDescent="0.2">
      <c r="S1673" s="1"/>
      <c r="T1673" s="117"/>
      <c r="W1673" s="75" t="str">
        <f t="shared" si="36"/>
        <v>1w</v>
      </c>
      <c r="X1673" s="148">
        <f>_xll.qlCalendarAdvance(Calendar,X1672,W1673,"f",FALSE)</f>
        <v>50655</v>
      </c>
      <c r="Y1673" s="153">
        <f>_xll.qlCalendarAdvance(Calendar,X1673,NDays&amp;"D")</f>
        <v>50655</v>
      </c>
      <c r="Z1673" s="154">
        <v>2.8649385799723957E-2</v>
      </c>
      <c r="AA1673" s="156">
        <v>2.8560805363591069E-2</v>
      </c>
    </row>
    <row r="1674" spans="19:27" x14ac:dyDescent="0.2">
      <c r="S1674" s="1"/>
      <c r="T1674" s="117"/>
      <c r="W1674" s="75" t="str">
        <f t="shared" si="36"/>
        <v>1w</v>
      </c>
      <c r="X1674" s="148">
        <f>_xll.qlCalendarAdvance(Calendar,X1673,W1674,"f",FALSE)</f>
        <v>50662</v>
      </c>
      <c r="Y1674" s="153">
        <f>_xll.qlCalendarAdvance(Calendar,X1674,NDays&amp;"D")</f>
        <v>50662</v>
      </c>
      <c r="Z1674" s="154">
        <v>2.864760981436236E-2</v>
      </c>
      <c r="AA1674" s="156">
        <v>2.8558736808100837E-2</v>
      </c>
    </row>
    <row r="1675" spans="19:27" x14ac:dyDescent="0.2">
      <c r="S1675" s="1"/>
      <c r="T1675" s="117"/>
      <c r="W1675" s="75" t="str">
        <f t="shared" si="36"/>
        <v>1w</v>
      </c>
      <c r="X1675" s="148">
        <f>_xll.qlCalendarAdvance(Calendar,X1674,W1675,"f",FALSE)</f>
        <v>50669</v>
      </c>
      <c r="Y1675" s="153">
        <f>_xll.qlCalendarAdvance(Calendar,X1675,NDays&amp;"D")</f>
        <v>50669</v>
      </c>
      <c r="Z1675" s="154">
        <v>2.8645881613579772E-2</v>
      </c>
      <c r="AA1675" s="156">
        <v>2.8556715701317792E-2</v>
      </c>
    </row>
    <row r="1676" spans="19:27" x14ac:dyDescent="0.2">
      <c r="S1676" s="1"/>
      <c r="T1676" s="117"/>
      <c r="W1676" s="75" t="str">
        <f t="shared" si="36"/>
        <v>1w</v>
      </c>
      <c r="X1676" s="148">
        <f>_xll.qlCalendarAdvance(Calendar,X1675,W1676,"f",FALSE)</f>
        <v>50676</v>
      </c>
      <c r="Y1676" s="153">
        <f>_xll.qlCalendarAdvance(Calendar,X1676,NDays&amp;"D")</f>
        <v>50676</v>
      </c>
      <c r="Z1676" s="154">
        <v>2.8645211745610782E-2</v>
      </c>
      <c r="AA1676" s="156">
        <v>2.8554742043322978E-2</v>
      </c>
    </row>
    <row r="1677" spans="19:27" x14ac:dyDescent="0.2">
      <c r="S1677" s="1"/>
      <c r="T1677" s="117"/>
      <c r="W1677" s="75" t="str">
        <f t="shared" si="36"/>
        <v>1w</v>
      </c>
      <c r="X1677" s="148">
        <f>_xll.qlCalendarAdvance(Calendar,X1676,W1677,"f",FALSE)</f>
        <v>50683</v>
      </c>
      <c r="Y1677" s="153">
        <f>_xll.qlCalendarAdvance(Calendar,X1677,NDays&amp;"D")</f>
        <v>50683</v>
      </c>
      <c r="Z1677" s="154">
        <v>2.8643582399571679E-2</v>
      </c>
      <c r="AA1677" s="156">
        <v>2.8552815833954304E-2</v>
      </c>
    </row>
    <row r="1678" spans="19:27" x14ac:dyDescent="0.2">
      <c r="S1678" s="1"/>
      <c r="T1678" s="117"/>
      <c r="W1678" s="75" t="str">
        <f t="shared" si="36"/>
        <v>1w</v>
      </c>
      <c r="X1678" s="148">
        <f>_xll.qlCalendarAdvance(Calendar,X1677,W1678,"f",FALSE)</f>
        <v>50690</v>
      </c>
      <c r="Y1678" s="153">
        <f>_xll.qlCalendarAdvance(Calendar,X1678,NDays&amp;"D")</f>
        <v>50690</v>
      </c>
      <c r="Z1678" s="154">
        <v>2.8642000841673038E-2</v>
      </c>
      <c r="AA1678" s="156">
        <v>2.8550937073130722E-2</v>
      </c>
    </row>
    <row r="1679" spans="19:27" x14ac:dyDescent="0.2">
      <c r="S1679" s="1"/>
      <c r="T1679" s="117"/>
      <c r="W1679" s="75" t="str">
        <f t="shared" si="36"/>
        <v>1w</v>
      </c>
      <c r="X1679" s="148">
        <f>_xll.qlCalendarAdvance(Calendar,X1678,W1679,"f",FALSE)</f>
        <v>50697</v>
      </c>
      <c r="Y1679" s="153">
        <f>_xll.qlCalendarAdvance(Calendar,X1679,NDays&amp;"D")</f>
        <v>50697</v>
      </c>
      <c r="Z1679" s="154">
        <v>2.8640467071854952E-2</v>
      </c>
      <c r="AA1679" s="156">
        <v>2.8549105761014326E-2</v>
      </c>
    </row>
    <row r="1680" spans="19:27" x14ac:dyDescent="0.2">
      <c r="S1680" s="1"/>
      <c r="T1680" s="117"/>
      <c r="W1680" s="75" t="str">
        <f t="shared" si="36"/>
        <v>1w</v>
      </c>
      <c r="X1680" s="148">
        <f>_xll.qlCalendarAdvance(Calendar,X1679,W1680,"f",FALSE)</f>
        <v>50704</v>
      </c>
      <c r="Y1680" s="153">
        <f>_xll.qlCalendarAdvance(Calendar,X1680,NDays&amp;"D")</f>
        <v>50704</v>
      </c>
      <c r="Z1680" s="154">
        <v>2.863898109006633E-2</v>
      </c>
      <c r="AA1680" s="156">
        <v>2.8547321897605116E-2</v>
      </c>
    </row>
    <row r="1681" spans="19:27" x14ac:dyDescent="0.2">
      <c r="S1681" s="1"/>
      <c r="T1681" s="117"/>
      <c r="W1681" s="75" t="str">
        <f t="shared" si="36"/>
        <v>1w</v>
      </c>
      <c r="X1681" s="148">
        <f>_xll.qlCalendarAdvance(Calendar,X1680,W1681,"f",FALSE)</f>
        <v>50711</v>
      </c>
      <c r="Y1681" s="153">
        <f>_xll.qlCalendarAdvance(Calendar,X1681,NDays&amp;"D")</f>
        <v>50711</v>
      </c>
      <c r="Z1681" s="154">
        <v>2.8637542896254319E-2</v>
      </c>
      <c r="AA1681" s="156">
        <v>2.8545585482822045E-2</v>
      </c>
    </row>
    <row r="1682" spans="19:27" x14ac:dyDescent="0.2">
      <c r="S1682" s="1"/>
      <c r="T1682" s="117"/>
      <c r="W1682" s="75" t="str">
        <f t="shared" si="36"/>
        <v>1w</v>
      </c>
      <c r="X1682" s="148">
        <f>_xll.qlCalendarAdvance(Calendar,X1681,W1682,"f",FALSE)</f>
        <v>50718</v>
      </c>
      <c r="Y1682" s="153">
        <f>_xll.qlCalendarAdvance(Calendar,X1682,NDays&amp;"D")</f>
        <v>50718</v>
      </c>
      <c r="Z1682" s="154">
        <v>2.8636152490362533E-2</v>
      </c>
      <c r="AA1682" s="156">
        <v>2.8543896516827205E-2</v>
      </c>
    </row>
    <row r="1683" spans="19:27" x14ac:dyDescent="0.2">
      <c r="S1683" s="1"/>
      <c r="T1683" s="117"/>
      <c r="W1683" s="75" t="str">
        <f t="shared" si="36"/>
        <v>1w</v>
      </c>
      <c r="X1683" s="148">
        <f>_xll.qlCalendarAdvance(Calendar,X1682,W1683,"f",FALSE)</f>
        <v>50725</v>
      </c>
      <c r="Y1683" s="153">
        <f>_xll.qlCalendarAdvance(Calendar,X1683,NDays&amp;"D")</f>
        <v>50725</v>
      </c>
      <c r="Z1683" s="154">
        <v>2.8634809872345166E-2</v>
      </c>
      <c r="AA1683" s="156">
        <v>2.8542254999458505E-2</v>
      </c>
    </row>
    <row r="1684" spans="19:27" x14ac:dyDescent="0.2">
      <c r="S1684" s="1"/>
      <c r="T1684" s="117"/>
      <c r="W1684" s="75" t="str">
        <f t="shared" si="36"/>
        <v>1w</v>
      </c>
      <c r="X1684" s="148">
        <f>_xll.qlCalendarAdvance(Calendar,X1683,W1684,"f",FALSE)</f>
        <v>50732</v>
      </c>
      <c r="Y1684" s="153">
        <f>_xll.qlCalendarAdvance(Calendar,X1684,NDays&amp;"D")</f>
        <v>50732</v>
      </c>
      <c r="Z1684" s="154">
        <v>2.8633515042152884E-2</v>
      </c>
      <c r="AA1684" s="156">
        <v>2.8540660930715944E-2</v>
      </c>
    </row>
    <row r="1685" spans="19:27" x14ac:dyDescent="0.2">
      <c r="S1685" s="1"/>
      <c r="T1685" s="117"/>
      <c r="W1685" s="75" t="str">
        <f t="shared" ref="W1685:W1748" si="37">W1684</f>
        <v>1w</v>
      </c>
      <c r="X1685" s="148">
        <f>_xll.qlCalendarAdvance(Calendar,X1684,W1685,"f",FALSE)</f>
        <v>50739</v>
      </c>
      <c r="Y1685" s="153">
        <f>_xll.qlCalendarAdvance(Calendar,X1685,NDays&amp;"D")</f>
        <v>50739</v>
      </c>
      <c r="Z1685" s="154">
        <v>2.8630187861097365E-2</v>
      </c>
      <c r="AA1685" s="156">
        <v>2.8539114310680569E-2</v>
      </c>
    </row>
    <row r="1686" spans="19:27" x14ac:dyDescent="0.2">
      <c r="S1686" s="1"/>
      <c r="T1686" s="117"/>
      <c r="W1686" s="75" t="str">
        <f t="shared" si="37"/>
        <v>1w</v>
      </c>
      <c r="X1686" s="148">
        <f>_xll.qlCalendarAdvance(Calendar,X1685,W1686,"f",FALSE)</f>
        <v>50746</v>
      </c>
      <c r="Y1686" s="153">
        <f>_xll.qlCalendarAdvance(Calendar,X1686,NDays&amp;"D")</f>
        <v>50746</v>
      </c>
      <c r="Z1686" s="154">
        <v>2.862898196812912E-2</v>
      </c>
      <c r="AA1686" s="156">
        <v>2.8537615139271333E-2</v>
      </c>
    </row>
    <row r="1687" spans="19:27" x14ac:dyDescent="0.2">
      <c r="S1687" s="1"/>
      <c r="T1687" s="117"/>
      <c r="W1687" s="75" t="str">
        <f t="shared" si="37"/>
        <v>1w</v>
      </c>
      <c r="X1687" s="148">
        <f>_xll.qlCalendarAdvance(Calendar,X1686,W1687,"f",FALSE)</f>
        <v>50753</v>
      </c>
      <c r="Y1687" s="153">
        <f>_xll.qlCalendarAdvance(Calendar,X1687,NDays&amp;"D")</f>
        <v>50753</v>
      </c>
      <c r="Z1687" s="154">
        <v>2.8627823855381568E-2</v>
      </c>
      <c r="AA1687" s="156">
        <v>2.8536163416650329E-2</v>
      </c>
    </row>
    <row r="1688" spans="19:27" x14ac:dyDescent="0.2">
      <c r="S1688" s="1"/>
      <c r="T1688" s="117"/>
      <c r="W1688" s="75" t="str">
        <f t="shared" si="37"/>
        <v>1w</v>
      </c>
      <c r="X1688" s="148">
        <f>_xll.qlCalendarAdvance(Calendar,X1687,W1688,"f",FALSE)</f>
        <v>50760</v>
      </c>
      <c r="Y1688" s="153">
        <f>_xll.qlCalendarAdvance(Calendar,X1688,NDays&amp;"D")</f>
        <v>50760</v>
      </c>
      <c r="Z1688" s="154">
        <v>2.8626713522812382E-2</v>
      </c>
      <c r="AA1688" s="156">
        <v>2.8534759142493371E-2</v>
      </c>
    </row>
    <row r="1689" spans="19:27" x14ac:dyDescent="0.2">
      <c r="S1689" s="1"/>
      <c r="T1689" s="117"/>
      <c r="W1689" s="75" t="str">
        <f t="shared" si="37"/>
        <v>1w</v>
      </c>
      <c r="X1689" s="148">
        <f>_xll.qlCalendarAdvance(Calendar,X1688,W1689,"f",FALSE)</f>
        <v>50768</v>
      </c>
      <c r="Y1689" s="153">
        <f>_xll.qlCalendarAdvance(Calendar,X1689,NDays&amp;"D")</f>
        <v>50768</v>
      </c>
      <c r="Z1689" s="154">
        <v>2.8625503077596114E-2</v>
      </c>
      <c r="AA1689" s="156">
        <v>2.8533212358339277E-2</v>
      </c>
    </row>
    <row r="1690" spans="19:27" x14ac:dyDescent="0.2">
      <c r="S1690" s="1"/>
      <c r="T1690" s="117"/>
      <c r="W1690" s="75" t="str">
        <f t="shared" si="37"/>
        <v>1w</v>
      </c>
      <c r="X1690" s="148">
        <f>_xll.qlCalendarAdvance(Calendar,X1689,W1690,"f",FALSE)</f>
        <v>50775</v>
      </c>
      <c r="Y1690" s="153">
        <f>_xll.qlCalendarAdvance(Calendar,X1690,NDays&amp;"D")</f>
        <v>50775</v>
      </c>
      <c r="Z1690" s="154">
        <v>2.8624495130995176E-2</v>
      </c>
      <c r="AA1690" s="156">
        <v>2.8531909760064478E-2</v>
      </c>
    </row>
    <row r="1691" spans="19:27" x14ac:dyDescent="0.2">
      <c r="S1691" s="1"/>
      <c r="T1691" s="117"/>
      <c r="W1691" s="75" t="str">
        <f t="shared" si="37"/>
        <v>1w</v>
      </c>
      <c r="X1691" s="148">
        <f>_xll.qlCalendarAdvance(Calendar,X1690,W1691,"f",FALSE)</f>
        <v>50782</v>
      </c>
      <c r="Y1691" s="153">
        <f>_xll.qlCalendarAdvance(Calendar,X1691,NDays&amp;"D")</f>
        <v>50782</v>
      </c>
      <c r="Z1691" s="154">
        <v>2.8623534964456441E-2</v>
      </c>
      <c r="AA1691" s="156">
        <v>2.8530654610334771E-2</v>
      </c>
    </row>
    <row r="1692" spans="19:27" x14ac:dyDescent="0.2">
      <c r="S1692" s="1"/>
      <c r="T1692" s="117"/>
      <c r="W1692" s="75" t="str">
        <f t="shared" si="37"/>
        <v>1w</v>
      </c>
      <c r="X1692" s="148">
        <f>_xll.qlCalendarAdvance(Calendar,X1691,W1692,"f",FALSE)</f>
        <v>50789</v>
      </c>
      <c r="Y1692" s="153">
        <f>_xll.qlCalendarAdvance(Calendar,X1692,NDays&amp;"D")</f>
        <v>50789</v>
      </c>
      <c r="Z1692" s="154">
        <v>2.8622622577946594E-2</v>
      </c>
      <c r="AA1692" s="156">
        <v>2.852944690931225E-2</v>
      </c>
    </row>
    <row r="1693" spans="19:27" x14ac:dyDescent="0.2">
      <c r="S1693" s="1"/>
      <c r="T1693" s="117"/>
      <c r="W1693" s="75" t="str">
        <f t="shared" si="37"/>
        <v>1w</v>
      </c>
      <c r="X1693" s="148">
        <f>_xll.qlCalendarAdvance(Calendar,X1692,W1693,"f",FALSE)</f>
        <v>50796</v>
      </c>
      <c r="Y1693" s="153">
        <f>_xll.qlCalendarAdvance(Calendar,X1693,NDays&amp;"D")</f>
        <v>50796</v>
      </c>
      <c r="Z1693" s="154">
        <v>2.8621757971432307E-2</v>
      </c>
      <c r="AA1693" s="156">
        <v>2.8528286657077961E-2</v>
      </c>
    </row>
    <row r="1694" spans="19:27" x14ac:dyDescent="0.2">
      <c r="S1694" s="1"/>
      <c r="T1694" s="117"/>
      <c r="W1694" s="75" t="str">
        <f t="shared" si="37"/>
        <v>1w</v>
      </c>
      <c r="X1694" s="148">
        <f>_xll.qlCalendarAdvance(Calendar,X1693,W1694,"f",FALSE)</f>
        <v>50803</v>
      </c>
      <c r="Y1694" s="153">
        <f>_xll.qlCalendarAdvance(Calendar,X1694,NDays&amp;"D")</f>
        <v>50803</v>
      </c>
      <c r="Z1694" s="154">
        <v>2.8620941144883869E-2</v>
      </c>
      <c r="AA1694" s="156">
        <v>2.8527173853388765E-2</v>
      </c>
    </row>
    <row r="1695" spans="19:27" x14ac:dyDescent="0.2">
      <c r="S1695" s="1"/>
      <c r="T1695" s="117"/>
      <c r="W1695" s="75" t="str">
        <f t="shared" si="37"/>
        <v>1w</v>
      </c>
      <c r="X1695" s="148">
        <f>_xll.qlCalendarAdvance(Calendar,X1694,W1695,"f",FALSE)</f>
        <v>50810</v>
      </c>
      <c r="Y1695" s="153">
        <f>_xll.qlCalendarAdvance(Calendar,X1695,NDays&amp;"D")</f>
        <v>50810</v>
      </c>
      <c r="Z1695" s="154">
        <v>2.8619098754521281E-2</v>
      </c>
      <c r="AA1695" s="156">
        <v>2.8526108498487801E-2</v>
      </c>
    </row>
    <row r="1696" spans="19:27" x14ac:dyDescent="0.2">
      <c r="S1696" s="1"/>
      <c r="T1696" s="117"/>
      <c r="W1696" s="75" t="str">
        <f t="shared" si="37"/>
        <v>1w</v>
      </c>
      <c r="X1696" s="148">
        <f>_xll.qlCalendarAdvance(Calendar,X1695,W1696,"f",FALSE)</f>
        <v>50817</v>
      </c>
      <c r="Y1696" s="153">
        <f>_xll.qlCalendarAdvance(Calendar,X1696,NDays&amp;"D")</f>
        <v>50817</v>
      </c>
      <c r="Z1696" s="154">
        <v>2.861837413159294E-2</v>
      </c>
      <c r="AA1696" s="156">
        <v>2.8525090592050883E-2</v>
      </c>
    </row>
    <row r="1697" spans="19:27" x14ac:dyDescent="0.2">
      <c r="S1697" s="1"/>
      <c r="T1697" s="117"/>
      <c r="W1697" s="75" t="str">
        <f t="shared" si="37"/>
        <v>1w</v>
      </c>
      <c r="X1697" s="148">
        <f>_xll.qlCalendarAdvance(Calendar,X1696,W1697,"f",FALSE)</f>
        <v>50824</v>
      </c>
      <c r="Y1697" s="153">
        <f>_xll.qlCalendarAdvance(Calendar,X1697,NDays&amp;"D")</f>
        <v>50824</v>
      </c>
      <c r="Z1697" s="154">
        <v>2.8617697284817882E-2</v>
      </c>
      <c r="AA1697" s="156">
        <v>2.8524120134402198E-2</v>
      </c>
    </row>
    <row r="1698" spans="19:27" x14ac:dyDescent="0.2">
      <c r="S1698" s="1"/>
      <c r="T1698" s="117"/>
      <c r="W1698" s="75" t="str">
        <f t="shared" si="37"/>
        <v>1w</v>
      </c>
      <c r="X1698" s="148">
        <f>_xll.qlCalendarAdvance(Calendar,X1697,W1698,"f",FALSE)</f>
        <v>50831</v>
      </c>
      <c r="Y1698" s="153">
        <f>_xll.qlCalendarAdvance(Calendar,X1698,NDays&amp;"D")</f>
        <v>50831</v>
      </c>
      <c r="Z1698" s="154">
        <v>2.8620319618532061E-2</v>
      </c>
      <c r="AA1698" s="156">
        <v>2.8523197125460698E-2</v>
      </c>
    </row>
    <row r="1699" spans="19:27" x14ac:dyDescent="0.2">
      <c r="S1699" s="1"/>
      <c r="T1699" s="117"/>
      <c r="W1699" s="75" t="str">
        <f t="shared" si="37"/>
        <v>1w</v>
      </c>
      <c r="X1699" s="148">
        <f>_xll.qlCalendarAdvance(Calendar,X1698,W1699,"f",FALSE)</f>
        <v>50838</v>
      </c>
      <c r="Y1699" s="153">
        <f>_xll.qlCalendarAdvance(Calendar,X1699,NDays&amp;"D")</f>
        <v>50838</v>
      </c>
      <c r="Z1699" s="154">
        <v>2.8619748427858992E-2</v>
      </c>
      <c r="AA1699" s="156">
        <v>2.8522321565145337E-2</v>
      </c>
    </row>
    <row r="1700" spans="19:27" x14ac:dyDescent="0.2">
      <c r="S1700" s="1"/>
      <c r="T1700" s="117"/>
      <c r="W1700" s="75" t="str">
        <f t="shared" si="37"/>
        <v>1w</v>
      </c>
      <c r="X1700" s="148">
        <f>_xll.qlCalendarAdvance(Calendar,X1699,W1700,"f",FALSE)</f>
        <v>50845</v>
      </c>
      <c r="Y1700" s="153">
        <f>_xll.qlCalendarAdvance(Calendar,X1700,NDays&amp;"D")</f>
        <v>50845</v>
      </c>
      <c r="Z1700" s="154">
        <v>2.8619225024470112E-2</v>
      </c>
      <c r="AA1700" s="156">
        <v>2.8521493453456115E-2</v>
      </c>
    </row>
    <row r="1701" spans="19:27" x14ac:dyDescent="0.2">
      <c r="S1701" s="1"/>
      <c r="T1701" s="117"/>
      <c r="W1701" s="75" t="str">
        <f t="shared" si="37"/>
        <v>1w</v>
      </c>
      <c r="X1701" s="148">
        <f>_xll.qlCalendarAdvance(Calendar,X1700,W1701,"f",FALSE)</f>
        <v>50852</v>
      </c>
      <c r="Y1701" s="153">
        <f>_xll.qlCalendarAdvance(Calendar,X1701,NDays&amp;"D")</f>
        <v>50852</v>
      </c>
      <c r="Z1701" s="154">
        <v>2.8618749408347802E-2</v>
      </c>
      <c r="AA1701" s="156">
        <v>2.8520712790393032E-2</v>
      </c>
    </row>
    <row r="1702" spans="19:27" x14ac:dyDescent="0.2">
      <c r="S1702" s="1"/>
      <c r="T1702" s="117"/>
      <c r="W1702" s="75" t="str">
        <f t="shared" si="37"/>
        <v>1w</v>
      </c>
      <c r="X1702" s="148">
        <f>_xll.qlCalendarAdvance(Calendar,X1701,W1702,"f",FALSE)</f>
        <v>50859</v>
      </c>
      <c r="Y1702" s="153">
        <f>_xll.qlCalendarAdvance(Calendar,X1702,NDays&amp;"D")</f>
        <v>50859</v>
      </c>
      <c r="Z1702" s="154">
        <v>2.8618321579473568E-2</v>
      </c>
      <c r="AA1702" s="156">
        <v>2.8519979576118182E-2</v>
      </c>
    </row>
    <row r="1703" spans="19:27" x14ac:dyDescent="0.2">
      <c r="S1703" s="1"/>
      <c r="T1703" s="117"/>
      <c r="W1703" s="75" t="str">
        <f t="shared" si="37"/>
        <v>1w</v>
      </c>
      <c r="X1703" s="148">
        <f>_xll.qlCalendarAdvance(Calendar,X1702,W1703,"f",FALSE)</f>
        <v>50866</v>
      </c>
      <c r="Y1703" s="153">
        <f>_xll.qlCalendarAdvance(Calendar,X1703,NDays&amp;"D")</f>
        <v>50866</v>
      </c>
      <c r="Z1703" s="154">
        <v>2.8616840478779836E-2</v>
      </c>
      <c r="AA1703" s="156">
        <v>2.851929381046947E-2</v>
      </c>
    </row>
    <row r="1704" spans="19:27" x14ac:dyDescent="0.2">
      <c r="S1704" s="1"/>
      <c r="T1704" s="117"/>
      <c r="W1704" s="75" t="str">
        <f t="shared" si="37"/>
        <v>1w</v>
      </c>
      <c r="X1704" s="148">
        <f>_xll.qlCalendarAdvance(Calendar,X1703,W1704,"f",FALSE)</f>
        <v>50873</v>
      </c>
      <c r="Y1704" s="153">
        <f>_xll.qlCalendarAdvance(Calendar,X1704,NDays&amp;"D")</f>
        <v>50873</v>
      </c>
      <c r="Z1704" s="154">
        <v>2.8616504837209109E-2</v>
      </c>
      <c r="AA1704" s="156">
        <v>2.8518655493284806E-2</v>
      </c>
    </row>
    <row r="1705" spans="19:27" x14ac:dyDescent="0.2">
      <c r="S1705" s="1"/>
      <c r="T1705" s="117"/>
      <c r="W1705" s="75" t="str">
        <f t="shared" si="37"/>
        <v>1w</v>
      </c>
      <c r="X1705" s="148">
        <f>_xll.qlCalendarAdvance(Calendar,X1704,W1705,"f",FALSE)</f>
        <v>50880</v>
      </c>
      <c r="Y1705" s="153">
        <f>_xll.qlCalendarAdvance(Calendar,X1705,NDays&amp;"D")</f>
        <v>50880</v>
      </c>
      <c r="Z1705" s="154">
        <v>2.86162169791148E-2</v>
      </c>
      <c r="AA1705" s="156">
        <v>2.8518064624969419E-2</v>
      </c>
    </row>
    <row r="1706" spans="19:27" x14ac:dyDescent="0.2">
      <c r="S1706" s="1"/>
      <c r="T1706" s="117"/>
      <c r="W1706" s="75" t="str">
        <f t="shared" si="37"/>
        <v>1w</v>
      </c>
      <c r="X1706" s="148">
        <f>_xll.qlCalendarAdvance(Calendar,X1705,W1706,"f",FALSE)</f>
        <v>50887</v>
      </c>
      <c r="Y1706" s="153">
        <f>_xll.qlCalendarAdvance(Calendar,X1706,NDays&amp;"D")</f>
        <v>50887</v>
      </c>
      <c r="Z1706" s="154">
        <v>2.8615976904485332E-2</v>
      </c>
      <c r="AA1706" s="156">
        <v>2.8517521205280172E-2</v>
      </c>
    </row>
    <row r="1707" spans="19:27" x14ac:dyDescent="0.2">
      <c r="S1707" s="1"/>
      <c r="T1707" s="117"/>
      <c r="W1707" s="75" t="str">
        <f t="shared" si="37"/>
        <v>1w</v>
      </c>
      <c r="X1707" s="148">
        <f>_xll.qlCalendarAdvance(Calendar,X1706,W1707,"f",FALSE)</f>
        <v>50894</v>
      </c>
      <c r="Y1707" s="153">
        <f>_xll.qlCalendarAdvance(Calendar,X1707,NDays&amp;"D")</f>
        <v>50894</v>
      </c>
      <c r="Z1707" s="154">
        <v>2.8616899243360971E-2</v>
      </c>
      <c r="AA1707" s="156">
        <v>2.851702523429811E-2</v>
      </c>
    </row>
    <row r="1708" spans="19:27" x14ac:dyDescent="0.2">
      <c r="S1708" s="1"/>
      <c r="T1708" s="117"/>
      <c r="W1708" s="75" t="str">
        <f t="shared" si="37"/>
        <v>1w</v>
      </c>
      <c r="X1708" s="148">
        <f>_xll.qlCalendarAdvance(Calendar,X1707,W1708,"f",FALSE)</f>
        <v>50901</v>
      </c>
      <c r="Y1708" s="153">
        <f>_xll.qlCalendarAdvance(Calendar,X1708,NDays&amp;"D")</f>
        <v>50901</v>
      </c>
      <c r="Z1708" s="154">
        <v>2.8616758137717933E-2</v>
      </c>
      <c r="AA1708" s="156">
        <v>2.8516576711861141E-2</v>
      </c>
    </row>
    <row r="1709" spans="19:27" x14ac:dyDescent="0.2">
      <c r="S1709" s="1"/>
      <c r="T1709" s="117"/>
      <c r="W1709" s="75" t="str">
        <f t="shared" si="37"/>
        <v>1w</v>
      </c>
      <c r="X1709" s="148">
        <f>_xll.qlCalendarAdvance(Calendar,X1708,W1709,"f",FALSE)</f>
        <v>50908</v>
      </c>
      <c r="Y1709" s="153">
        <f>_xll.qlCalendarAdvance(Calendar,X1709,NDays&amp;"D")</f>
        <v>50908</v>
      </c>
      <c r="Z1709" s="154">
        <v>2.8616664819252489E-2</v>
      </c>
      <c r="AA1709" s="156">
        <v>2.8516175638131358E-2</v>
      </c>
    </row>
    <row r="1710" spans="19:27" x14ac:dyDescent="0.2">
      <c r="S1710" s="1"/>
      <c r="T1710" s="117"/>
      <c r="W1710" s="75" t="str">
        <f t="shared" si="37"/>
        <v>1w</v>
      </c>
      <c r="X1710" s="148">
        <f>_xll.qlCalendarAdvance(Calendar,X1709,W1710,"f",FALSE)</f>
        <v>50915</v>
      </c>
      <c r="Y1710" s="153">
        <f>_xll.qlCalendarAdvance(Calendar,X1710,NDays&amp;"D")</f>
        <v>50915</v>
      </c>
      <c r="Z1710" s="154">
        <v>2.861661928796112E-2</v>
      </c>
      <c r="AA1710" s="156">
        <v>2.851582201310876E-2</v>
      </c>
    </row>
    <row r="1711" spans="19:27" x14ac:dyDescent="0.2">
      <c r="S1711" s="1"/>
      <c r="T1711" s="117"/>
      <c r="W1711" s="75" t="str">
        <f t="shared" si="37"/>
        <v>1w</v>
      </c>
      <c r="X1711" s="148">
        <f>_xll.qlCalendarAdvance(Calendar,X1710,W1711,"f",FALSE)</f>
        <v>50922</v>
      </c>
      <c r="Y1711" s="153">
        <f>_xll.qlCalendarAdvance(Calendar,X1711,NDays&amp;"D")</f>
        <v>50922</v>
      </c>
      <c r="Z1711" s="154">
        <v>2.8616621543842941E-2</v>
      </c>
      <c r="AA1711" s="156">
        <v>2.8515515836712302E-2</v>
      </c>
    </row>
    <row r="1712" spans="19:27" x14ac:dyDescent="0.2">
      <c r="S1712" s="1"/>
      <c r="T1712" s="117"/>
      <c r="W1712" s="75" t="str">
        <f t="shared" si="37"/>
        <v>1w</v>
      </c>
      <c r="X1712" s="148">
        <f>_xll.qlCalendarAdvance(Calendar,X1711,W1712,"f",FALSE)</f>
        <v>50929</v>
      </c>
      <c r="Y1712" s="153">
        <f>_xll.qlCalendarAdvance(Calendar,X1712,NDays&amp;"D")</f>
        <v>50929</v>
      </c>
      <c r="Z1712" s="154">
        <v>2.8616671586897954E-2</v>
      </c>
      <c r="AA1712" s="156">
        <v>2.8515257109023029E-2</v>
      </c>
    </row>
    <row r="1713" spans="19:27" x14ac:dyDescent="0.2">
      <c r="S1713" s="1"/>
      <c r="T1713" s="117"/>
      <c r="W1713" s="75" t="str">
        <f t="shared" si="37"/>
        <v>1w</v>
      </c>
      <c r="X1713" s="148">
        <f>_xll.qlCalendarAdvance(Calendar,X1712,W1713,"f",FALSE)</f>
        <v>50936</v>
      </c>
      <c r="Y1713" s="153">
        <f>_xll.qlCalendarAdvance(Calendar,X1713,NDays&amp;"D")</f>
        <v>50936</v>
      </c>
      <c r="Z1713" s="154">
        <v>2.8616769417125279E-2</v>
      </c>
      <c r="AA1713" s="156">
        <v>2.8515045829878849E-2</v>
      </c>
    </row>
    <row r="1714" spans="19:27" x14ac:dyDescent="0.2">
      <c r="S1714" s="1"/>
      <c r="T1714" s="117"/>
      <c r="W1714" s="75" t="str">
        <f t="shared" si="37"/>
        <v>1w</v>
      </c>
      <c r="X1714" s="148">
        <f>_xll.qlCalendarAdvance(Calendar,X1713,W1714,"f",FALSE)</f>
        <v>50943</v>
      </c>
      <c r="Y1714" s="153">
        <f>_xll.qlCalendarAdvance(Calendar,X1714,NDays&amp;"D")</f>
        <v>50943</v>
      </c>
      <c r="Z1714" s="154">
        <v>2.8616915034531964E-2</v>
      </c>
      <c r="AA1714" s="156">
        <v>2.8514881999522901E-2</v>
      </c>
    </row>
    <row r="1715" spans="19:27" x14ac:dyDescent="0.2">
      <c r="S1715" s="1"/>
      <c r="T1715" s="117"/>
      <c r="W1715" s="75" t="str">
        <f t="shared" si="37"/>
        <v>1w</v>
      </c>
      <c r="X1715" s="148">
        <f>_xll.qlCalendarAdvance(Calendar,X1714,W1715,"f",FALSE)</f>
        <v>50950</v>
      </c>
      <c r="Y1715" s="153">
        <f>_xll.qlCalendarAdvance(Calendar,X1715,NDays&amp;"D")</f>
        <v>50950</v>
      </c>
      <c r="Z1715" s="154">
        <v>2.861710843912153E-2</v>
      </c>
      <c r="AA1715" s="156">
        <v>2.8514765617793092E-2</v>
      </c>
    </row>
    <row r="1716" spans="19:27" x14ac:dyDescent="0.2">
      <c r="S1716" s="1"/>
      <c r="T1716" s="117"/>
      <c r="W1716" s="75" t="str">
        <f t="shared" si="37"/>
        <v>1w</v>
      </c>
      <c r="X1716" s="148">
        <f>_xll.qlCalendarAdvance(Calendar,X1715,W1716,"f",FALSE)</f>
        <v>50957</v>
      </c>
      <c r="Y1716" s="153">
        <f>_xll.qlCalendarAdvance(Calendar,X1716,NDays&amp;"D")</f>
        <v>50957</v>
      </c>
      <c r="Z1716" s="154">
        <v>2.8617349630900145E-2</v>
      </c>
      <c r="AA1716" s="156">
        <v>2.8514696684608376E-2</v>
      </c>
    </row>
    <row r="1717" spans="19:27" x14ac:dyDescent="0.2">
      <c r="S1717" s="1"/>
      <c r="T1717" s="117"/>
      <c r="W1717" s="75" t="str">
        <f t="shared" si="37"/>
        <v>1w</v>
      </c>
      <c r="X1717" s="148">
        <f>_xll.qlCalendarAdvance(Calendar,X1716,W1717,"f",FALSE)</f>
        <v>50964</v>
      </c>
      <c r="Y1717" s="153">
        <f>_xll.qlCalendarAdvance(Calendar,X1717,NDays&amp;"D")</f>
        <v>50964</v>
      </c>
      <c r="Z1717" s="154">
        <v>2.8617637949200549E-2</v>
      </c>
      <c r="AA1717" s="156">
        <v>2.8514675200292938E-2</v>
      </c>
    </row>
    <row r="1718" spans="19:27" x14ac:dyDescent="0.2">
      <c r="S1718" s="1"/>
      <c r="T1718" s="117"/>
      <c r="W1718" s="75" t="str">
        <f t="shared" si="37"/>
        <v>1w</v>
      </c>
      <c r="X1718" s="148">
        <f>_xll.qlCalendarAdvance(Calendar,X1717,W1718,"f",FALSE)</f>
        <v>50971</v>
      </c>
      <c r="Y1718" s="153">
        <f>_xll.qlCalendarAdvance(Calendar,X1718,NDays&amp;"D")</f>
        <v>50971</v>
      </c>
      <c r="Z1718" s="154">
        <v>2.8617968656115312E-2</v>
      </c>
      <c r="AA1718" s="156">
        <v>2.8514701164441547E-2</v>
      </c>
    </row>
    <row r="1719" spans="19:27" x14ac:dyDescent="0.2">
      <c r="S1719" s="1"/>
      <c r="T1719" s="117"/>
      <c r="W1719" s="75" t="str">
        <f t="shared" si="37"/>
        <v>1w</v>
      </c>
      <c r="X1719" s="148">
        <f>_xll.qlCalendarAdvance(Calendar,X1718,W1719,"f",FALSE)</f>
        <v>50978</v>
      </c>
      <c r="Y1719" s="153">
        <f>_xll.qlCalendarAdvance(Calendar,X1719,NDays&amp;"D")</f>
        <v>50978</v>
      </c>
      <c r="Z1719" s="154">
        <v>2.861833545992299E-2</v>
      </c>
      <c r="AA1719" s="156">
        <v>2.8514774577459434E-2</v>
      </c>
    </row>
    <row r="1720" spans="19:27" x14ac:dyDescent="0.2">
      <c r="S1720" s="1"/>
      <c r="T1720" s="117"/>
      <c r="W1720" s="75" t="str">
        <f t="shared" si="37"/>
        <v>1w</v>
      </c>
      <c r="X1720" s="148">
        <f>_xll.qlCalendarAdvance(Calendar,X1719,W1720,"f",FALSE)</f>
        <v>50985</v>
      </c>
      <c r="Y1720" s="153">
        <f>_xll.qlCalendarAdvance(Calendar,X1720,NDays&amp;"D")</f>
        <v>50985</v>
      </c>
      <c r="Z1720" s="154">
        <v>2.8618732065840001E-2</v>
      </c>
      <c r="AA1720" s="156">
        <v>2.8514895438941368E-2</v>
      </c>
    </row>
    <row r="1721" spans="19:27" x14ac:dyDescent="0.2">
      <c r="S1721" s="1"/>
      <c r="T1721" s="117"/>
      <c r="W1721" s="75" t="str">
        <f t="shared" si="37"/>
        <v>1w</v>
      </c>
      <c r="X1721" s="148">
        <f>_xll.qlCalendarAdvance(Calendar,X1720,W1721,"f",FALSE)</f>
        <v>50992</v>
      </c>
      <c r="Y1721" s="153">
        <f>_xll.qlCalendarAdvance(Calendar,X1721,NDays&amp;"D")</f>
        <v>50992</v>
      </c>
      <c r="Z1721" s="154">
        <v>2.8619152179082757E-2</v>
      </c>
      <c r="AA1721" s="156">
        <v>2.8515063749130487E-2</v>
      </c>
    </row>
    <row r="1722" spans="19:27" x14ac:dyDescent="0.2">
      <c r="S1722" s="1"/>
      <c r="T1722" s="117"/>
      <c r="W1722" s="75" t="str">
        <f t="shared" si="37"/>
        <v>1w</v>
      </c>
      <c r="X1722" s="148">
        <f>_xll.qlCalendarAdvance(Calendar,X1721,W1722,"f",FALSE)</f>
        <v>50999</v>
      </c>
      <c r="Y1722" s="153">
        <f>_xll.qlCalendarAdvance(Calendar,X1722,NDays&amp;"D")</f>
        <v>50999</v>
      </c>
      <c r="Z1722" s="154">
        <v>2.8619589504865036E-2</v>
      </c>
      <c r="AA1722" s="156">
        <v>2.8515279508026792E-2</v>
      </c>
    </row>
    <row r="1723" spans="19:27" x14ac:dyDescent="0.2">
      <c r="S1723" s="1"/>
      <c r="T1723" s="117"/>
      <c r="W1723" s="75" t="str">
        <f t="shared" si="37"/>
        <v>1w</v>
      </c>
      <c r="X1723" s="148">
        <f>_xll.qlCalendarAdvance(Calendar,X1722,W1723,"f",FALSE)</f>
        <v>51006</v>
      </c>
      <c r="Y1723" s="153">
        <f>_xll.qlCalendarAdvance(Calendar,X1723,NDays&amp;"D")</f>
        <v>51006</v>
      </c>
      <c r="Z1723" s="154">
        <v>2.8620037748397966E-2</v>
      </c>
      <c r="AA1723" s="156">
        <v>2.8515542715549236E-2</v>
      </c>
    </row>
    <row r="1724" spans="19:27" x14ac:dyDescent="0.2">
      <c r="S1724" s="1"/>
      <c r="T1724" s="117"/>
      <c r="W1724" s="75" t="str">
        <f t="shared" si="37"/>
        <v>1w</v>
      </c>
      <c r="X1724" s="148">
        <f>_xll.qlCalendarAdvance(Calendar,X1723,W1724,"f",FALSE)</f>
        <v>51013</v>
      </c>
      <c r="Y1724" s="153">
        <f>_xll.qlCalendarAdvance(Calendar,X1724,NDays&amp;"D")</f>
        <v>51013</v>
      </c>
      <c r="Z1724" s="154">
        <v>2.8619339643106371E-2</v>
      </c>
      <c r="AA1724" s="156">
        <v>2.8515853371697819E-2</v>
      </c>
    </row>
    <row r="1725" spans="19:27" x14ac:dyDescent="0.2">
      <c r="S1725" s="1"/>
      <c r="T1725" s="117"/>
      <c r="W1725" s="75" t="str">
        <f t="shared" si="37"/>
        <v>1w</v>
      </c>
      <c r="X1725" s="148">
        <f>_xll.qlCalendarAdvance(Calendar,X1724,W1725,"f",FALSE)</f>
        <v>51020</v>
      </c>
      <c r="Y1725" s="153">
        <f>_xll.qlCalendarAdvance(Calendar,X1725,NDays&amp;"D")</f>
        <v>51020</v>
      </c>
      <c r="Z1725" s="154">
        <v>2.8619792503378084E-2</v>
      </c>
      <c r="AA1725" s="156">
        <v>2.8516211476634634E-2</v>
      </c>
    </row>
    <row r="1726" spans="19:27" x14ac:dyDescent="0.2">
      <c r="S1726" s="1"/>
      <c r="T1726" s="117"/>
      <c r="W1726" s="75" t="str">
        <f t="shared" si="37"/>
        <v>1w</v>
      </c>
      <c r="X1726" s="148">
        <f>_xll.qlCalendarAdvance(Calendar,X1725,W1726,"f",FALSE)</f>
        <v>51027</v>
      </c>
      <c r="Y1726" s="153">
        <f>_xll.qlCalendarAdvance(Calendar,X1726,NDays&amp;"D")</f>
        <v>51027</v>
      </c>
      <c r="Z1726" s="154">
        <v>2.8620237694071026E-2</v>
      </c>
      <c r="AA1726" s="156">
        <v>2.8516617030116542E-2</v>
      </c>
    </row>
    <row r="1727" spans="19:27" x14ac:dyDescent="0.2">
      <c r="S1727" s="1"/>
      <c r="T1727" s="117"/>
      <c r="W1727" s="75" t="str">
        <f t="shared" si="37"/>
        <v>1w</v>
      </c>
      <c r="X1727" s="148">
        <f>_xll.qlCalendarAdvance(Calendar,X1726,W1727,"f",FALSE)</f>
        <v>51034</v>
      </c>
      <c r="Y1727" s="153">
        <f>_xll.qlCalendarAdvance(Calendar,X1727,NDays&amp;"D")</f>
        <v>51034</v>
      </c>
      <c r="Z1727" s="154">
        <v>2.8620668851715339E-2</v>
      </c>
      <c r="AA1727" s="156">
        <v>2.851707003222459E-2</v>
      </c>
    </row>
    <row r="1728" spans="19:27" x14ac:dyDescent="0.2">
      <c r="S1728" s="1"/>
      <c r="T1728" s="117"/>
      <c r="W1728" s="75" t="str">
        <f t="shared" si="37"/>
        <v>1w</v>
      </c>
      <c r="X1728" s="148">
        <f>_xll.qlCalendarAdvance(Calendar,X1727,W1728,"f",FALSE)</f>
        <v>51041</v>
      </c>
      <c r="Y1728" s="153">
        <f>_xll.qlCalendarAdvance(Calendar,X1728,NDays&amp;"D")</f>
        <v>51041</v>
      </c>
      <c r="Z1728" s="154">
        <v>2.8621079612828691E-2</v>
      </c>
      <c r="AA1728" s="156">
        <v>2.8517570483201915E-2</v>
      </c>
    </row>
    <row r="1729" spans="19:27" x14ac:dyDescent="0.2">
      <c r="S1729" s="1"/>
      <c r="T1729" s="117"/>
      <c r="W1729" s="75" t="str">
        <f t="shared" si="37"/>
        <v>1w</v>
      </c>
      <c r="X1729" s="148">
        <f>_xll.qlCalendarAdvance(Calendar,X1728,W1729,"f",FALSE)</f>
        <v>51048</v>
      </c>
      <c r="Y1729" s="153">
        <f>_xll.qlCalendarAdvance(Calendar,X1729,NDays&amp;"D")</f>
        <v>51048</v>
      </c>
      <c r="Z1729" s="154">
        <v>2.8622603973830228E-2</v>
      </c>
      <c r="AA1729" s="156">
        <v>2.8518118382643287E-2</v>
      </c>
    </row>
    <row r="1730" spans="19:27" x14ac:dyDescent="0.2">
      <c r="S1730" s="1"/>
      <c r="T1730" s="117"/>
      <c r="W1730" s="75" t="str">
        <f t="shared" si="37"/>
        <v>1w</v>
      </c>
      <c r="X1730" s="148">
        <f>_xll.qlCalendarAdvance(Calendar,X1729,W1730,"f",FALSE)</f>
        <v>51055</v>
      </c>
      <c r="Y1730" s="153">
        <f>_xll.qlCalendarAdvance(Calendar,X1730,NDays&amp;"D")</f>
        <v>51055</v>
      </c>
      <c r="Z1730" s="154">
        <v>2.8622952769637947E-2</v>
      </c>
      <c r="AA1730" s="156">
        <v>2.8518688304871587E-2</v>
      </c>
    </row>
    <row r="1731" spans="19:27" x14ac:dyDescent="0.2">
      <c r="S1731" s="1"/>
      <c r="T1731" s="117"/>
      <c r="W1731" s="75" t="str">
        <f t="shared" si="37"/>
        <v>1w</v>
      </c>
      <c r="X1731" s="148">
        <f>_xll.qlCalendarAdvance(Calendar,X1730,W1731,"f",FALSE)</f>
        <v>51062</v>
      </c>
      <c r="Y1731" s="153">
        <f>_xll.qlCalendarAdvance(Calendar,X1731,NDays&amp;"D")</f>
        <v>51062</v>
      </c>
      <c r="Z1731" s="154">
        <v>2.8623266645543842E-2</v>
      </c>
      <c r="AA1731" s="156">
        <v>2.851922548602337E-2</v>
      </c>
    </row>
    <row r="1732" spans="19:27" x14ac:dyDescent="0.2">
      <c r="S1732" s="1"/>
      <c r="T1732" s="117"/>
      <c r="W1732" s="75" t="str">
        <f t="shared" si="37"/>
        <v>1w</v>
      </c>
      <c r="X1732" s="148">
        <f>_xll.qlCalendarAdvance(Calendar,X1731,W1732,"f",FALSE)</f>
        <v>51069</v>
      </c>
      <c r="Y1732" s="153">
        <f>_xll.qlCalendarAdvance(Calendar,X1732,NDays&amp;"D")</f>
        <v>51069</v>
      </c>
      <c r="Z1732" s="154">
        <v>2.8623545577071936E-2</v>
      </c>
      <c r="AA1732" s="156">
        <v>2.851972797045188E-2</v>
      </c>
    </row>
    <row r="1733" spans="19:27" x14ac:dyDescent="0.2">
      <c r="S1733" s="1"/>
      <c r="T1733" s="117"/>
      <c r="W1733" s="75" t="str">
        <f t="shared" si="37"/>
        <v>1w</v>
      </c>
      <c r="X1733" s="148">
        <f>_xll.qlCalendarAdvance(Calendar,X1732,W1733,"f",FALSE)</f>
        <v>51076</v>
      </c>
      <c r="Y1733" s="153">
        <f>_xll.qlCalendarAdvance(Calendar,X1733,NDays&amp;"D")</f>
        <v>51076</v>
      </c>
      <c r="Z1733" s="154">
        <v>2.8623789564215178E-2</v>
      </c>
      <c r="AA1733" s="156">
        <v>2.8520195758076072E-2</v>
      </c>
    </row>
    <row r="1734" spans="19:27" x14ac:dyDescent="0.2">
      <c r="S1734" s="1"/>
      <c r="T1734" s="117"/>
      <c r="W1734" s="75" t="str">
        <f t="shared" si="37"/>
        <v>1w</v>
      </c>
      <c r="X1734" s="148">
        <f>_xll.qlCalendarAdvance(Calendar,X1733,W1734,"f",FALSE)</f>
        <v>51083</v>
      </c>
      <c r="Y1734" s="153">
        <f>_xll.qlCalendarAdvance(Calendar,X1734,NDays&amp;"D")</f>
        <v>51083</v>
      </c>
      <c r="Z1734" s="154">
        <v>2.8623998606966523E-2</v>
      </c>
      <c r="AA1734" s="156">
        <v>2.85206288488149E-2</v>
      </c>
    </row>
    <row r="1735" spans="19:27" x14ac:dyDescent="0.2">
      <c r="S1735" s="1"/>
      <c r="T1735" s="117"/>
      <c r="W1735" s="75" t="str">
        <f t="shared" si="37"/>
        <v>1w</v>
      </c>
      <c r="X1735" s="148">
        <f>_xll.qlCalendarAdvance(Calendar,X1734,W1735,"f",FALSE)</f>
        <v>51090</v>
      </c>
      <c r="Y1735" s="153">
        <f>_xll.qlCalendarAdvance(Calendar,X1735,NDays&amp;"D")</f>
        <v>51090</v>
      </c>
      <c r="Z1735" s="154">
        <v>2.862417270532245E-2</v>
      </c>
      <c r="AA1735" s="156">
        <v>2.8521027242911501E-2</v>
      </c>
    </row>
    <row r="1736" spans="19:27" x14ac:dyDescent="0.2">
      <c r="S1736" s="1"/>
      <c r="T1736" s="117"/>
      <c r="W1736" s="75" t="str">
        <f t="shared" si="37"/>
        <v>1w</v>
      </c>
      <c r="X1736" s="148">
        <f>_xll.qlCalendarAdvance(Calendar,X1735,W1736,"f",FALSE)</f>
        <v>51097</v>
      </c>
      <c r="Y1736" s="153">
        <f>_xll.qlCalendarAdvance(Calendar,X1736,NDays&amp;"D")</f>
        <v>51097</v>
      </c>
      <c r="Z1736" s="154">
        <v>2.8624311859275026E-2</v>
      </c>
      <c r="AA1736" s="156">
        <v>2.8521390940041691E-2</v>
      </c>
    </row>
    <row r="1737" spans="19:27" x14ac:dyDescent="0.2">
      <c r="S1737" s="1"/>
      <c r="T1737" s="117"/>
      <c r="W1737" s="75" t="str">
        <f t="shared" si="37"/>
        <v>1w</v>
      </c>
      <c r="X1737" s="148">
        <f>_xll.qlCalendarAdvance(Calendar,X1736,W1737,"f",FALSE)</f>
        <v>51104</v>
      </c>
      <c r="Y1737" s="153">
        <f>_xll.qlCalendarAdvance(Calendar,X1737,NDays&amp;"D")</f>
        <v>51104</v>
      </c>
      <c r="Z1737" s="154">
        <v>2.8623295533729273E-2</v>
      </c>
      <c r="AA1737" s="156">
        <v>2.8521719940448609E-2</v>
      </c>
    </row>
    <row r="1738" spans="19:27" x14ac:dyDescent="0.2">
      <c r="S1738" s="1"/>
      <c r="T1738" s="117"/>
      <c r="W1738" s="75" t="str">
        <f t="shared" si="37"/>
        <v>1w</v>
      </c>
      <c r="X1738" s="148">
        <f>_xll.qlCalendarAdvance(Calendar,X1737,W1738,"f",FALSE)</f>
        <v>51111</v>
      </c>
      <c r="Y1738" s="153">
        <f>_xll.qlCalendarAdvance(Calendar,X1738,NDays&amp;"D")</f>
        <v>51111</v>
      </c>
      <c r="Z1738" s="154">
        <v>2.8623367289291046E-2</v>
      </c>
      <c r="AA1738" s="156">
        <v>2.8522014244051208E-2</v>
      </c>
    </row>
    <row r="1739" spans="19:27" x14ac:dyDescent="0.2">
      <c r="S1739" s="1"/>
      <c r="T1739" s="117"/>
      <c r="W1739" s="75" t="str">
        <f t="shared" si="37"/>
        <v>1w</v>
      </c>
      <c r="X1739" s="148">
        <f>_xll.qlCalendarAdvance(Calendar,X1738,W1739,"f",FALSE)</f>
        <v>51118</v>
      </c>
      <c r="Y1739" s="153">
        <f>_xll.qlCalendarAdvance(Calendar,X1739,NDays&amp;"D")</f>
        <v>51118</v>
      </c>
      <c r="Z1739" s="154">
        <v>2.8623404103175622E-2</v>
      </c>
      <c r="AA1739" s="156">
        <v>2.8522273850849489E-2</v>
      </c>
    </row>
    <row r="1740" spans="19:27" x14ac:dyDescent="0.2">
      <c r="S1740" s="1"/>
      <c r="T1740" s="117"/>
      <c r="W1740" s="75" t="str">
        <f t="shared" si="37"/>
        <v>1w</v>
      </c>
      <c r="X1740" s="148">
        <f>_xll.qlCalendarAdvance(Calendar,X1739,W1740,"f",FALSE)</f>
        <v>51125</v>
      </c>
      <c r="Y1740" s="153">
        <f>_xll.qlCalendarAdvance(Calendar,X1740,NDays&amp;"D")</f>
        <v>51125</v>
      </c>
      <c r="Z1740" s="154">
        <v>2.8623405975378553E-2</v>
      </c>
      <c r="AA1740" s="156">
        <v>2.8522498760762405E-2</v>
      </c>
    </row>
    <row r="1741" spans="19:27" x14ac:dyDescent="0.2">
      <c r="S1741" s="1"/>
      <c r="T1741" s="117"/>
      <c r="W1741" s="75" t="str">
        <f t="shared" si="37"/>
        <v>1w</v>
      </c>
      <c r="X1741" s="148">
        <f>_xll.qlCalendarAdvance(Calendar,X1740,W1741,"f",FALSE)</f>
        <v>51132</v>
      </c>
      <c r="Y1741" s="153">
        <f>_xll.qlCalendarAdvance(Calendar,X1741,NDays&amp;"D")</f>
        <v>51132</v>
      </c>
      <c r="Z1741" s="154">
        <v>2.8623372905900727E-2</v>
      </c>
      <c r="AA1741" s="156">
        <v>2.8522688973952048E-2</v>
      </c>
    </row>
    <row r="1742" spans="19:27" x14ac:dyDescent="0.2">
      <c r="S1742" s="1"/>
      <c r="T1742" s="117"/>
      <c r="W1742" s="75" t="str">
        <f t="shared" si="37"/>
        <v>1w</v>
      </c>
      <c r="X1742" s="148">
        <f>_xll.qlCalendarAdvance(Calendar,X1741,W1742,"f",FALSE)</f>
        <v>51139</v>
      </c>
      <c r="Y1742" s="153">
        <f>_xll.qlCalendarAdvance(Calendar,X1742,NDays&amp;"D")</f>
        <v>51139</v>
      </c>
      <c r="Z1742" s="154">
        <v>2.8623304894744812E-2</v>
      </c>
      <c r="AA1742" s="156">
        <v>2.8522844490337373E-2</v>
      </c>
    </row>
    <row r="1743" spans="19:27" x14ac:dyDescent="0.2">
      <c r="S1743" s="1"/>
      <c r="T1743" s="117"/>
      <c r="W1743" s="75" t="str">
        <f t="shared" si="37"/>
        <v>1w</v>
      </c>
      <c r="X1743" s="148">
        <f>_xll.qlCalendarAdvance(Calendar,X1742,W1743,"f",FALSE)</f>
        <v>51146</v>
      </c>
      <c r="Y1743" s="153">
        <f>_xll.qlCalendarAdvance(Calendar,X1743,NDays&amp;"D")</f>
        <v>51146</v>
      </c>
      <c r="Z1743" s="154">
        <v>2.8623201941911706E-2</v>
      </c>
      <c r="AA1743" s="156">
        <v>2.852296530991838E-2</v>
      </c>
    </row>
    <row r="1744" spans="19:27" x14ac:dyDescent="0.2">
      <c r="S1744" s="1"/>
      <c r="T1744" s="117"/>
      <c r="W1744" s="75" t="str">
        <f t="shared" si="37"/>
        <v>1w</v>
      </c>
      <c r="X1744" s="148">
        <f>_xll.qlCalendarAdvance(Calendar,X1743,W1744,"f",FALSE)</f>
        <v>51153</v>
      </c>
      <c r="Y1744" s="153">
        <f>_xll.qlCalendarAdvance(Calendar,X1744,NDays&amp;"D")</f>
        <v>51153</v>
      </c>
      <c r="Z1744" s="154">
        <v>2.8623064047402291E-2</v>
      </c>
      <c r="AA1744" s="156">
        <v>2.8523051432695068E-2</v>
      </c>
    </row>
    <row r="1745" spans="19:27" x14ac:dyDescent="0.2">
      <c r="S1745" s="1"/>
      <c r="T1745" s="117"/>
      <c r="W1745" s="75" t="str">
        <f t="shared" si="37"/>
        <v>1w</v>
      </c>
      <c r="X1745" s="148">
        <f>_xll.qlCalendarAdvance(Calendar,X1744,W1745,"f",FALSE)</f>
        <v>51160</v>
      </c>
      <c r="Y1745" s="153">
        <f>_xll.qlCalendarAdvance(Calendar,X1745,NDays&amp;"D")</f>
        <v>51160</v>
      </c>
      <c r="Z1745" s="154">
        <v>2.8622891211223699E-2</v>
      </c>
      <c r="AA1745" s="156">
        <v>2.8523102858667437E-2</v>
      </c>
    </row>
    <row r="1746" spans="19:27" x14ac:dyDescent="0.2">
      <c r="S1746" s="1"/>
      <c r="T1746" s="117"/>
      <c r="W1746" s="75" t="str">
        <f t="shared" si="37"/>
        <v>1w</v>
      </c>
      <c r="X1746" s="148">
        <f>_xll.qlCalendarAdvance(Calendar,X1745,W1746,"f",FALSE)</f>
        <v>51167</v>
      </c>
      <c r="Y1746" s="153">
        <f>_xll.qlCalendarAdvance(Calendar,X1746,NDays&amp;"D")</f>
        <v>51167</v>
      </c>
      <c r="Z1746" s="154">
        <v>2.8621585227673937E-2</v>
      </c>
      <c r="AA1746" s="156">
        <v>2.8523119587754442E-2</v>
      </c>
    </row>
    <row r="1747" spans="19:27" x14ac:dyDescent="0.2">
      <c r="S1747" s="1"/>
      <c r="T1747" s="117"/>
      <c r="W1747" s="75" t="str">
        <f t="shared" si="37"/>
        <v>1w</v>
      </c>
      <c r="X1747" s="148">
        <f>_xll.qlCalendarAdvance(Calendar,X1746,W1747,"f",FALSE)</f>
        <v>51174</v>
      </c>
      <c r="Y1747" s="153">
        <f>_xll.qlCalendarAdvance(Calendar,X1747,NDays&amp;"D")</f>
        <v>51174</v>
      </c>
      <c r="Z1747" s="154">
        <v>2.8621345022769043E-2</v>
      </c>
      <c r="AA1747" s="156">
        <v>2.8523101620037128E-2</v>
      </c>
    </row>
    <row r="1748" spans="19:27" x14ac:dyDescent="0.2">
      <c r="S1748" s="1"/>
      <c r="T1748" s="117"/>
      <c r="W1748" s="75" t="str">
        <f t="shared" si="37"/>
        <v>1w</v>
      </c>
      <c r="X1748" s="148">
        <f>_xll.qlCalendarAdvance(Calendar,X1747,W1748,"f",FALSE)</f>
        <v>51181</v>
      </c>
      <c r="Y1748" s="153">
        <f>_xll.qlCalendarAdvance(Calendar,X1748,NDays&amp;"D")</f>
        <v>51181</v>
      </c>
      <c r="Z1748" s="154">
        <v>2.8621069878937672E-2</v>
      </c>
      <c r="AA1748" s="156">
        <v>2.8523048955596542E-2</v>
      </c>
    </row>
    <row r="1749" spans="19:27" x14ac:dyDescent="0.2">
      <c r="S1749" s="1"/>
      <c r="T1749" s="117"/>
      <c r="W1749" s="75" t="str">
        <f t="shared" ref="W1749:W1812" si="38">W1748</f>
        <v>1w</v>
      </c>
      <c r="X1749" s="148">
        <f>_xll.qlCalendarAdvance(Calendar,X1748,W1749,"f",FALSE)</f>
        <v>51188</v>
      </c>
      <c r="Y1749" s="153">
        <f>_xll.qlCalendarAdvance(Calendar,X1749,NDays&amp;"D")</f>
        <v>51188</v>
      </c>
      <c r="Z1749" s="154">
        <v>2.862075979618792E-2</v>
      </c>
      <c r="AA1749" s="156">
        <v>2.8522961594351637E-2</v>
      </c>
    </row>
    <row r="1750" spans="19:27" x14ac:dyDescent="0.2">
      <c r="S1750" s="1"/>
      <c r="T1750" s="117"/>
      <c r="W1750" s="75" t="str">
        <f t="shared" si="38"/>
        <v>1w</v>
      </c>
      <c r="X1750" s="148">
        <f>_xll.qlCalendarAdvance(Calendar,X1749,W1750,"f",FALSE)</f>
        <v>51195</v>
      </c>
      <c r="Y1750" s="153">
        <f>_xll.qlCalendarAdvance(Calendar,X1750,NDays&amp;"D")</f>
        <v>51195</v>
      </c>
      <c r="Z1750" s="154">
        <v>2.8622590852092039E-2</v>
      </c>
      <c r="AA1750" s="156">
        <v>2.8522839536221367E-2</v>
      </c>
    </row>
    <row r="1751" spans="19:27" x14ac:dyDescent="0.2">
      <c r="S1751" s="1"/>
      <c r="T1751" s="117"/>
      <c r="W1751" s="75" t="str">
        <f t="shared" si="38"/>
        <v>1w</v>
      </c>
      <c r="X1751" s="148">
        <f>_xll.qlCalendarAdvance(Calendar,X1750,W1751,"f",FALSE)</f>
        <v>51202</v>
      </c>
      <c r="Y1751" s="153">
        <f>_xll.qlCalendarAdvance(Calendar,X1751,NDays&amp;"D")</f>
        <v>51202</v>
      </c>
      <c r="Z1751" s="154">
        <v>2.862220584009921E-2</v>
      </c>
      <c r="AA1751" s="156">
        <v>2.8522682781367825E-2</v>
      </c>
    </row>
    <row r="1752" spans="19:27" x14ac:dyDescent="0.2">
      <c r="S1752" s="1"/>
      <c r="T1752" s="117"/>
      <c r="W1752" s="75" t="str">
        <f t="shared" si="38"/>
        <v>1w</v>
      </c>
      <c r="X1752" s="148">
        <f>_xll.qlCalendarAdvance(Calendar,X1751,W1752,"f",FALSE)</f>
        <v>51209</v>
      </c>
      <c r="Y1752" s="153">
        <f>_xll.qlCalendarAdvance(Calendar,X1752,NDays&amp;"D")</f>
        <v>51209</v>
      </c>
      <c r="Z1752" s="154">
        <v>2.8621785883755003E-2</v>
      </c>
      <c r="AA1752" s="156">
        <v>2.8522491329709965E-2</v>
      </c>
    </row>
    <row r="1753" spans="19:27" x14ac:dyDescent="0.2">
      <c r="S1753" s="1"/>
      <c r="T1753" s="117"/>
      <c r="W1753" s="75" t="str">
        <f t="shared" si="38"/>
        <v>1w</v>
      </c>
      <c r="X1753" s="148">
        <f>_xll.qlCalendarAdvance(Calendar,X1752,W1753,"f",FALSE)</f>
        <v>51216</v>
      </c>
      <c r="Y1753" s="153">
        <f>_xll.qlCalendarAdvance(Calendar,X1753,NDays&amp;"D")</f>
        <v>51216</v>
      </c>
      <c r="Z1753" s="154">
        <v>2.8621330983072641E-2</v>
      </c>
      <c r="AA1753" s="156">
        <v>2.8522265181085693E-2</v>
      </c>
    </row>
    <row r="1754" spans="19:27" x14ac:dyDescent="0.2">
      <c r="S1754" s="1"/>
      <c r="T1754" s="117"/>
      <c r="W1754" s="75" t="str">
        <f t="shared" si="38"/>
        <v>1w</v>
      </c>
      <c r="X1754" s="148">
        <f>_xll.qlCalendarAdvance(Calendar,X1753,W1754,"f",FALSE)</f>
        <v>51223</v>
      </c>
      <c r="Y1754" s="153">
        <f>_xll.qlCalendarAdvance(Calendar,X1754,NDays&amp;"D")</f>
        <v>51223</v>
      </c>
      <c r="Z1754" s="154">
        <v>2.8620841138063569E-2</v>
      </c>
      <c r="AA1754" s="156">
        <v>2.8522004335900242E-2</v>
      </c>
    </row>
    <row r="1755" spans="19:27" x14ac:dyDescent="0.2">
      <c r="S1755" s="1"/>
      <c r="T1755" s="117"/>
      <c r="W1755" s="75" t="str">
        <f t="shared" si="38"/>
        <v>1w</v>
      </c>
      <c r="X1755" s="148">
        <f>_xll.qlCalendarAdvance(Calendar,X1754,W1755,"f",FALSE)</f>
        <v>51230</v>
      </c>
      <c r="Y1755" s="153">
        <f>_xll.qlCalendarAdvance(Calendar,X1755,NDays&amp;"D")</f>
        <v>51230</v>
      </c>
      <c r="Z1755" s="154">
        <v>2.8619241058940325E-2</v>
      </c>
      <c r="AA1755" s="156">
        <v>2.8521708793748379E-2</v>
      </c>
    </row>
    <row r="1756" spans="19:27" x14ac:dyDescent="0.2">
      <c r="S1756" s="1"/>
      <c r="T1756" s="117"/>
      <c r="W1756" s="75" t="str">
        <f t="shared" si="38"/>
        <v>1w</v>
      </c>
      <c r="X1756" s="148">
        <f>_xll.qlCalendarAdvance(Calendar,X1755,W1756,"f",FALSE)</f>
        <v>51237</v>
      </c>
      <c r="Y1756" s="153">
        <f>_xll.qlCalendarAdvance(Calendar,X1756,NDays&amp;"D")</f>
        <v>51237</v>
      </c>
      <c r="Z1756" s="154">
        <v>2.8618683864871895E-2</v>
      </c>
      <c r="AA1756" s="156">
        <v>2.8521378554873245E-2</v>
      </c>
    </row>
    <row r="1757" spans="19:27" x14ac:dyDescent="0.2">
      <c r="S1757" s="1"/>
      <c r="T1757" s="117"/>
      <c r="W1757" s="75" t="str">
        <f t="shared" si="38"/>
        <v>1w</v>
      </c>
      <c r="X1757" s="148">
        <f>_xll.qlCalendarAdvance(Calendar,X1756,W1757,"f",FALSE)</f>
        <v>51244</v>
      </c>
      <c r="Y1757" s="153">
        <f>_xll.qlCalendarAdvance(Calendar,X1757,NDays&amp;"D")</f>
        <v>51244</v>
      </c>
      <c r="Z1757" s="154">
        <v>2.8618091729245614E-2</v>
      </c>
      <c r="AA1757" s="156">
        <v>2.8521013619193791E-2</v>
      </c>
    </row>
    <row r="1758" spans="19:27" x14ac:dyDescent="0.2">
      <c r="S1758" s="1"/>
      <c r="T1758" s="117"/>
      <c r="W1758" s="75" t="str">
        <f t="shared" si="38"/>
        <v>1w</v>
      </c>
      <c r="X1758" s="148">
        <f>_xll.qlCalendarAdvance(Calendar,X1757,W1758,"f",FALSE)</f>
        <v>51251</v>
      </c>
      <c r="Y1758" s="153">
        <f>_xll.qlCalendarAdvance(Calendar,X1758,NDays&amp;"D")</f>
        <v>51251</v>
      </c>
      <c r="Z1758" s="154">
        <v>2.8617464652077509E-2</v>
      </c>
      <c r="AA1758" s="156">
        <v>2.8520613986710019E-2</v>
      </c>
    </row>
    <row r="1759" spans="19:27" x14ac:dyDescent="0.2">
      <c r="S1759" s="1"/>
      <c r="T1759" s="117"/>
      <c r="W1759" s="75" t="str">
        <f t="shared" si="38"/>
        <v>1w</v>
      </c>
      <c r="X1759" s="148">
        <f>_xll.qlCalendarAdvance(Calendar,X1758,W1759,"f",FALSE)</f>
        <v>51258</v>
      </c>
      <c r="Y1759" s="153">
        <f>_xll.qlCalendarAdvance(Calendar,X1759,NDays&amp;"D")</f>
        <v>51258</v>
      </c>
      <c r="Z1759" s="154">
        <v>2.8617867748595063E-2</v>
      </c>
      <c r="AA1759" s="156">
        <v>2.8520179657259837E-2</v>
      </c>
    </row>
    <row r="1760" spans="19:27" x14ac:dyDescent="0.2">
      <c r="S1760" s="1"/>
      <c r="T1760" s="117"/>
      <c r="W1760" s="75" t="str">
        <f t="shared" si="38"/>
        <v>1w</v>
      </c>
      <c r="X1760" s="148">
        <f>_xll.qlCalendarAdvance(Calendar,X1759,W1760,"f",FALSE)</f>
        <v>51265</v>
      </c>
      <c r="Y1760" s="153">
        <f>_xll.qlCalendarAdvance(Calendar,X1760,NDays&amp;"D")</f>
        <v>51265</v>
      </c>
      <c r="Z1760" s="154">
        <v>2.8617168237925265E-2</v>
      </c>
      <c r="AA1760" s="156">
        <v>2.8519710631086381E-2</v>
      </c>
    </row>
    <row r="1761" spans="19:27" x14ac:dyDescent="0.2">
      <c r="S1761" s="1"/>
      <c r="T1761" s="117"/>
      <c r="W1761" s="75" t="str">
        <f t="shared" si="38"/>
        <v>1w</v>
      </c>
      <c r="X1761" s="148">
        <f>_xll.qlCalendarAdvance(Calendar,X1760,W1761,"f",FALSE)</f>
        <v>51272</v>
      </c>
      <c r="Y1761" s="153">
        <f>_xll.qlCalendarAdvance(Calendar,X1761,NDays&amp;"D")</f>
        <v>51272</v>
      </c>
      <c r="Z1761" s="154">
        <v>2.8616433783037992E-2</v>
      </c>
      <c r="AA1761" s="156">
        <v>2.8519206908189654E-2</v>
      </c>
    </row>
    <row r="1762" spans="19:27" x14ac:dyDescent="0.2">
      <c r="S1762" s="1"/>
      <c r="T1762" s="117"/>
      <c r="W1762" s="75" t="str">
        <f t="shared" si="38"/>
        <v>1w</v>
      </c>
      <c r="X1762" s="148">
        <f>_xll.qlCalendarAdvance(Calendar,X1761,W1762,"f",FALSE)</f>
        <v>51279</v>
      </c>
      <c r="Y1762" s="153">
        <f>_xll.qlCalendarAdvance(Calendar,X1762,NDays&amp;"D")</f>
        <v>51279</v>
      </c>
      <c r="Z1762" s="154">
        <v>2.8615664383953514E-2</v>
      </c>
      <c r="AA1762" s="156">
        <v>2.8518668488488608E-2</v>
      </c>
    </row>
    <row r="1763" spans="19:27" x14ac:dyDescent="0.2">
      <c r="S1763" s="1"/>
      <c r="T1763" s="117"/>
      <c r="W1763" s="75" t="str">
        <f t="shared" si="38"/>
        <v>1w</v>
      </c>
      <c r="X1763" s="148">
        <f>_xll.qlCalendarAdvance(Calendar,X1762,W1763,"f",FALSE)</f>
        <v>51286</v>
      </c>
      <c r="Y1763" s="153">
        <f>_xll.qlCalendarAdvance(Calendar,X1763,NDays&amp;"D")</f>
        <v>51286</v>
      </c>
      <c r="Z1763" s="154">
        <v>2.8614860040689444E-2</v>
      </c>
      <c r="AA1763" s="156">
        <v>2.8518095371902197E-2</v>
      </c>
    </row>
    <row r="1764" spans="19:27" x14ac:dyDescent="0.2">
      <c r="S1764" s="1"/>
      <c r="T1764" s="117"/>
      <c r="W1764" s="75" t="str">
        <f t="shared" si="38"/>
        <v>1w</v>
      </c>
      <c r="X1764" s="148">
        <f>_xll.qlCalendarAdvance(Calendar,X1763,W1764,"f",FALSE)</f>
        <v>51293</v>
      </c>
      <c r="Y1764" s="153">
        <f>_xll.qlCalendarAdvance(Calendar,X1764,NDays&amp;"D")</f>
        <v>51293</v>
      </c>
      <c r="Z1764" s="154">
        <v>2.8614020753269565E-2</v>
      </c>
      <c r="AA1764" s="156">
        <v>2.8517487558592514E-2</v>
      </c>
    </row>
    <row r="1765" spans="19:27" x14ac:dyDescent="0.2">
      <c r="S1765" s="1"/>
      <c r="T1765" s="117"/>
      <c r="W1765" s="75" t="str">
        <f t="shared" si="38"/>
        <v>1w</v>
      </c>
      <c r="X1765" s="148">
        <f>_xll.qlCalendarAdvance(Calendar,X1764,W1765,"f",FALSE)</f>
        <v>51300</v>
      </c>
      <c r="Y1765" s="153">
        <f>_xll.qlCalendarAdvance(Calendar,X1765,NDays&amp;"D")</f>
        <v>51300</v>
      </c>
      <c r="Z1765" s="154">
        <v>2.8613146521713265E-2</v>
      </c>
      <c r="AA1765" s="156">
        <v>2.8516845048397466E-2</v>
      </c>
    </row>
    <row r="1766" spans="19:27" x14ac:dyDescent="0.2">
      <c r="S1766" s="1"/>
      <c r="T1766" s="117"/>
      <c r="W1766" s="75" t="str">
        <f t="shared" si="38"/>
        <v>1w</v>
      </c>
      <c r="X1766" s="148">
        <f>_xll.qlCalendarAdvance(Calendar,X1765,W1766,"f",FALSE)</f>
        <v>51307</v>
      </c>
      <c r="Y1766" s="153">
        <f>_xll.qlCalendarAdvance(Calendar,X1766,NDays&amp;"D")</f>
        <v>51307</v>
      </c>
      <c r="Z1766" s="154">
        <v>2.8612237346045205E-2</v>
      </c>
      <c r="AA1766" s="156">
        <v>2.8516167841479145E-2</v>
      </c>
    </row>
    <row r="1767" spans="19:27" x14ac:dyDescent="0.2">
      <c r="S1767" s="1"/>
      <c r="T1767" s="117"/>
      <c r="W1767" s="75" t="str">
        <f t="shared" si="38"/>
        <v>1w</v>
      </c>
      <c r="X1767" s="148">
        <f>_xll.qlCalendarAdvance(Calendar,X1766,W1767,"f",FALSE)</f>
        <v>51314</v>
      </c>
      <c r="Y1767" s="153">
        <f>_xll.qlCalendarAdvance(Calendar,X1767,NDays&amp;"D")</f>
        <v>51314</v>
      </c>
      <c r="Z1767" s="154">
        <v>2.861129322628829E-2</v>
      </c>
      <c r="AA1767" s="156">
        <v>2.851545593767546E-2</v>
      </c>
    </row>
    <row r="1768" spans="19:27" x14ac:dyDescent="0.2">
      <c r="S1768" s="1"/>
      <c r="T1768" s="117"/>
      <c r="W1768" s="75" t="str">
        <f t="shared" si="38"/>
        <v>1w</v>
      </c>
      <c r="X1768" s="148">
        <f>_xll.qlCalendarAdvance(Calendar,X1767,W1768,"f",FALSE)</f>
        <v>51321</v>
      </c>
      <c r="Y1768" s="153">
        <f>_xll.qlCalendarAdvance(Calendar,X1768,NDays&amp;"D")</f>
        <v>51321</v>
      </c>
      <c r="Z1768" s="154">
        <v>2.8610314162468949E-2</v>
      </c>
      <c r="AA1768" s="156">
        <v>2.8514709337148503E-2</v>
      </c>
    </row>
    <row r="1769" spans="19:27" x14ac:dyDescent="0.2">
      <c r="S1769" s="1"/>
      <c r="T1769" s="117"/>
      <c r="W1769" s="75" t="str">
        <f t="shared" si="38"/>
        <v>1w</v>
      </c>
      <c r="X1769" s="148">
        <f>_xll.qlCalendarAdvance(Calendar,X1768,W1769,"f",FALSE)</f>
        <v>51328</v>
      </c>
      <c r="Y1769" s="153">
        <f>_xll.qlCalendarAdvance(Calendar,X1769,NDays&amp;"D")</f>
        <v>51328</v>
      </c>
      <c r="Z1769" s="154">
        <v>2.8609300154610086E-2</v>
      </c>
      <c r="AA1769" s="156">
        <v>2.8513928039736181E-2</v>
      </c>
    </row>
    <row r="1770" spans="19:27" x14ac:dyDescent="0.2">
      <c r="S1770" s="1"/>
      <c r="T1770" s="117"/>
      <c r="W1770" s="75" t="str">
        <f t="shared" si="38"/>
        <v>1w</v>
      </c>
      <c r="X1770" s="148">
        <f>_xll.qlCalendarAdvance(Calendar,X1769,W1770,"f",FALSE)</f>
        <v>51335</v>
      </c>
      <c r="Y1770" s="153">
        <f>_xll.qlCalendarAdvance(Calendar,X1770,NDays&amp;"D")</f>
        <v>51335</v>
      </c>
      <c r="Z1770" s="154">
        <v>2.860825120274077E-2</v>
      </c>
      <c r="AA1770" s="156">
        <v>2.8513112045600586E-2</v>
      </c>
    </row>
    <row r="1771" spans="19:27" x14ac:dyDescent="0.2">
      <c r="S1771" s="1"/>
      <c r="T1771" s="117"/>
      <c r="W1771" s="75" t="str">
        <f t="shared" si="38"/>
        <v>1w</v>
      </c>
      <c r="X1771" s="148">
        <f>_xll.qlCalendarAdvance(Calendar,X1770,W1771,"f",FALSE)</f>
        <v>51342</v>
      </c>
      <c r="Y1771" s="153">
        <f>_xll.qlCalendarAdvance(Calendar,X1771,NDays&amp;"D")</f>
        <v>51342</v>
      </c>
      <c r="Z1771" s="154">
        <v>2.8607167306888316E-2</v>
      </c>
      <c r="AA1771" s="156">
        <v>2.8512261354579627E-2</v>
      </c>
    </row>
    <row r="1772" spans="19:27" x14ac:dyDescent="0.2">
      <c r="S1772" s="1"/>
      <c r="T1772" s="117"/>
      <c r="W1772" s="75" t="str">
        <f t="shared" si="38"/>
        <v>1w</v>
      </c>
      <c r="X1772" s="148">
        <f>_xll.qlCalendarAdvance(Calendar,X1771,W1772,"f",FALSE)</f>
        <v>51349</v>
      </c>
      <c r="Y1772" s="153">
        <f>_xll.qlCalendarAdvance(Calendar,X1772,NDays&amp;"D")</f>
        <v>51349</v>
      </c>
      <c r="Z1772" s="154">
        <v>2.8606048467080026E-2</v>
      </c>
      <c r="AA1772" s="156">
        <v>2.8511375966754349E-2</v>
      </c>
    </row>
    <row r="1773" spans="19:27" x14ac:dyDescent="0.2">
      <c r="S1773" s="1"/>
      <c r="T1773" s="117"/>
      <c r="W1773" s="75" t="str">
        <f t="shared" si="38"/>
        <v>1w</v>
      </c>
      <c r="X1773" s="148">
        <f>_xll.qlCalendarAdvance(Calendar,X1772,W1773,"f",FALSE)</f>
        <v>51356</v>
      </c>
      <c r="Y1773" s="153">
        <f>_xll.qlCalendarAdvance(Calendar,X1773,NDays&amp;"D")</f>
        <v>51356</v>
      </c>
      <c r="Z1773" s="154">
        <v>2.8604894683344977E-2</v>
      </c>
      <c r="AA1773" s="156">
        <v>2.8510455882205799E-2</v>
      </c>
    </row>
    <row r="1774" spans="19:27" x14ac:dyDescent="0.2">
      <c r="S1774" s="1"/>
      <c r="T1774" s="117"/>
      <c r="W1774" s="75" t="str">
        <f t="shared" si="38"/>
        <v>1w</v>
      </c>
      <c r="X1774" s="148">
        <f>_xll.qlCalendarAdvance(Calendar,X1773,W1774,"f",FALSE)</f>
        <v>51363</v>
      </c>
      <c r="Y1774" s="153">
        <f>_xll.qlCalendarAdvance(Calendar,X1774,NDays&amp;"D")</f>
        <v>51363</v>
      </c>
      <c r="Z1774" s="154">
        <v>2.8603705955714879E-2</v>
      </c>
      <c r="AA1774" s="156">
        <v>2.8509501100771883E-2</v>
      </c>
    </row>
    <row r="1775" spans="19:27" x14ac:dyDescent="0.2">
      <c r="S1775" s="1"/>
      <c r="T1775" s="117"/>
      <c r="W1775" s="75" t="str">
        <f t="shared" si="38"/>
        <v>1w</v>
      </c>
      <c r="X1775" s="148">
        <f>_xll.qlCalendarAdvance(Calendar,X1774,W1775,"f",FALSE)</f>
        <v>51370</v>
      </c>
      <c r="Y1775" s="153">
        <f>_xll.qlCalendarAdvance(Calendar,X1775,NDays&amp;"D")</f>
        <v>51370</v>
      </c>
      <c r="Z1775" s="154">
        <v>2.8602482284219684E-2</v>
      </c>
      <c r="AA1775" s="156">
        <v>2.8508511622614696E-2</v>
      </c>
    </row>
    <row r="1776" spans="19:27" x14ac:dyDescent="0.2">
      <c r="S1776" s="1"/>
      <c r="T1776" s="117"/>
      <c r="W1776" s="75" t="str">
        <f t="shared" si="38"/>
        <v>1w</v>
      </c>
      <c r="X1776" s="148">
        <f>_xll.qlCalendarAdvance(Calendar,X1775,W1776,"f",FALSE)</f>
        <v>51377</v>
      </c>
      <c r="Y1776" s="153">
        <f>_xll.qlCalendarAdvance(Calendar,X1776,NDays&amp;"D")</f>
        <v>51377</v>
      </c>
      <c r="Z1776" s="154">
        <v>2.8601223668891985E-2</v>
      </c>
      <c r="AA1776" s="156">
        <v>2.8507487447572144E-2</v>
      </c>
    </row>
    <row r="1777" spans="19:27" x14ac:dyDescent="0.2">
      <c r="S1777" s="1"/>
      <c r="T1777" s="117"/>
      <c r="W1777" s="75" t="str">
        <f t="shared" si="38"/>
        <v>1w</v>
      </c>
      <c r="X1777" s="148">
        <f>_xll.qlCalendarAdvance(Calendar,X1776,W1777,"f",FALSE)</f>
        <v>51384</v>
      </c>
      <c r="Y1777" s="153">
        <f>_xll.qlCalendarAdvance(Calendar,X1777,NDays&amp;"D")</f>
        <v>51384</v>
      </c>
      <c r="Z1777" s="154">
        <v>2.8598911319921486E-2</v>
      </c>
      <c r="AA1777" s="156">
        <v>2.8506428575887366E-2</v>
      </c>
    </row>
    <row r="1778" spans="19:27" x14ac:dyDescent="0.2">
      <c r="S1778" s="1"/>
      <c r="T1778" s="117"/>
      <c r="W1778" s="75" t="str">
        <f t="shared" si="38"/>
        <v>1w</v>
      </c>
      <c r="X1778" s="148">
        <f>_xll.qlCalendarAdvance(Calendar,X1777,W1778,"f",FALSE)</f>
        <v>51391</v>
      </c>
      <c r="Y1778" s="153">
        <f>_xll.qlCalendarAdvance(Calendar,X1778,NDays&amp;"D")</f>
        <v>51391</v>
      </c>
      <c r="Z1778" s="154">
        <v>2.8597585416530368E-2</v>
      </c>
      <c r="AA1778" s="156">
        <v>2.8505335007236177E-2</v>
      </c>
    </row>
    <row r="1779" spans="19:27" x14ac:dyDescent="0.2">
      <c r="S1779" s="1"/>
      <c r="T1779" s="117"/>
      <c r="W1779" s="75" t="str">
        <f t="shared" si="38"/>
        <v>1w</v>
      </c>
      <c r="X1779" s="148">
        <f>_xll.qlCalendarAdvance(Calendar,X1778,W1779,"f",FALSE)</f>
        <v>51398</v>
      </c>
      <c r="Y1779" s="153">
        <f>_xll.qlCalendarAdvance(Calendar,X1779,NDays&amp;"D")</f>
        <v>51398</v>
      </c>
      <c r="Z1779" s="154">
        <v>2.8596224572130013E-2</v>
      </c>
      <c r="AA1779" s="156">
        <v>2.8504206741861715E-2</v>
      </c>
    </row>
    <row r="1780" spans="19:27" x14ac:dyDescent="0.2">
      <c r="S1780" s="1"/>
      <c r="T1780" s="117"/>
      <c r="W1780" s="75" t="str">
        <f t="shared" si="38"/>
        <v>1w</v>
      </c>
      <c r="X1780" s="148">
        <f>_xll.qlCalendarAdvance(Calendar,X1779,W1780,"f",FALSE)</f>
        <v>51405</v>
      </c>
      <c r="Y1780" s="153">
        <f>_xll.qlCalendarAdvance(Calendar,X1780,NDays&amp;"D")</f>
        <v>51405</v>
      </c>
      <c r="Z1780" s="154">
        <v>2.8595839769932747E-2</v>
      </c>
      <c r="AA1780" s="156">
        <v>2.8503043779682935E-2</v>
      </c>
    </row>
    <row r="1781" spans="19:27" x14ac:dyDescent="0.2">
      <c r="S1781" s="1"/>
      <c r="T1781" s="117"/>
      <c r="W1781" s="75" t="str">
        <f t="shared" si="38"/>
        <v>1w</v>
      </c>
      <c r="X1781" s="148">
        <f>_xll.qlCalendarAdvance(Calendar,X1780,W1781,"f",FALSE)</f>
        <v>51412</v>
      </c>
      <c r="Y1781" s="153">
        <f>_xll.qlCalendarAdvance(Calendar,X1781,NDays&amp;"D")</f>
        <v>51412</v>
      </c>
      <c r="Z1781" s="154">
        <v>2.8594406435956132E-2</v>
      </c>
      <c r="AA1781" s="156">
        <v>2.8501846120699836E-2</v>
      </c>
    </row>
    <row r="1782" spans="19:27" x14ac:dyDescent="0.2">
      <c r="S1782" s="1"/>
      <c r="T1782" s="117"/>
      <c r="W1782" s="75" t="str">
        <f t="shared" si="38"/>
        <v>1w</v>
      </c>
      <c r="X1782" s="148">
        <f>_xll.qlCalendarAdvance(Calendar,X1781,W1782,"f",FALSE)</f>
        <v>51419</v>
      </c>
      <c r="Y1782" s="153">
        <f>_xll.qlCalendarAdvance(Calendar,X1782,NDays&amp;"D")</f>
        <v>51419</v>
      </c>
      <c r="Z1782" s="154">
        <v>2.8592938158360198E-2</v>
      </c>
      <c r="AA1782" s="156">
        <v>2.8500613764831373E-2</v>
      </c>
    </row>
    <row r="1783" spans="19:27" x14ac:dyDescent="0.2">
      <c r="S1783" s="1"/>
      <c r="T1783" s="117"/>
      <c r="W1783" s="75" t="str">
        <f t="shared" si="38"/>
        <v>1w</v>
      </c>
      <c r="X1783" s="148">
        <f>_xll.qlCalendarAdvance(Calendar,X1782,W1783,"f",FALSE)</f>
        <v>51426</v>
      </c>
      <c r="Y1783" s="153">
        <f>_xll.qlCalendarAdvance(Calendar,X1783,NDays&amp;"D")</f>
        <v>51426</v>
      </c>
      <c r="Z1783" s="154">
        <v>2.859143493718019E-2</v>
      </c>
      <c r="AA1783" s="156">
        <v>2.8499346712239637E-2</v>
      </c>
    </row>
    <row r="1784" spans="19:27" x14ac:dyDescent="0.2">
      <c r="S1784" s="1"/>
      <c r="T1784" s="117"/>
      <c r="W1784" s="75" t="str">
        <f t="shared" si="38"/>
        <v>1w</v>
      </c>
      <c r="X1784" s="148">
        <f>_xll.qlCalendarAdvance(Calendar,X1783,W1784,"f",FALSE)</f>
        <v>51433</v>
      </c>
      <c r="Y1784" s="153">
        <f>_xll.qlCalendarAdvance(Calendar,X1784,NDays&amp;"D")</f>
        <v>51433</v>
      </c>
      <c r="Z1784" s="154">
        <v>2.8589896772460151E-2</v>
      </c>
      <c r="AA1784" s="156">
        <v>2.8498044962924629E-2</v>
      </c>
    </row>
    <row r="1785" spans="19:27" x14ac:dyDescent="0.2">
      <c r="S1785" s="1"/>
      <c r="T1785" s="117"/>
      <c r="W1785" s="75" t="str">
        <f t="shared" si="38"/>
        <v>1w</v>
      </c>
      <c r="X1785" s="148">
        <f>_xll.qlCalendarAdvance(Calendar,X1784,W1785,"f",FALSE)</f>
        <v>51440</v>
      </c>
      <c r="Y1785" s="153">
        <f>_xll.qlCalendarAdvance(Calendar,X1785,NDays&amp;"D")</f>
        <v>51440</v>
      </c>
      <c r="Z1785" s="154">
        <v>2.8588323664236203E-2</v>
      </c>
      <c r="AA1785" s="156">
        <v>2.849670851664321E-2</v>
      </c>
    </row>
    <row r="1786" spans="19:27" x14ac:dyDescent="0.2">
      <c r="S1786" s="1"/>
      <c r="T1786" s="117"/>
      <c r="W1786" s="75" t="str">
        <f t="shared" si="38"/>
        <v>1w</v>
      </c>
      <c r="X1786" s="148">
        <f>_xll.qlCalendarAdvance(Calendar,X1785,W1786,"f",FALSE)</f>
        <v>51447</v>
      </c>
      <c r="Y1786" s="153">
        <f>_xll.qlCalendarAdvance(Calendar,X1786,NDays&amp;"D")</f>
        <v>51447</v>
      </c>
      <c r="Z1786" s="154">
        <v>2.8586715612551508E-2</v>
      </c>
      <c r="AA1786" s="156">
        <v>2.8495337373719565E-2</v>
      </c>
    </row>
    <row r="1787" spans="19:27" x14ac:dyDescent="0.2">
      <c r="S1787" s="1"/>
      <c r="T1787" s="117"/>
      <c r="W1787" s="75" t="str">
        <f t="shared" si="38"/>
        <v>1w</v>
      </c>
      <c r="X1787" s="148">
        <f>_xll.qlCalendarAdvance(Calendar,X1786,W1787,"f",FALSE)</f>
        <v>51454</v>
      </c>
      <c r="Y1787" s="153">
        <f>_xll.qlCalendarAdvance(Calendar,X1787,NDays&amp;"D")</f>
        <v>51454</v>
      </c>
      <c r="Z1787" s="154">
        <v>2.8585072617448349E-2</v>
      </c>
      <c r="AA1787" s="156">
        <v>2.8493931533910555E-2</v>
      </c>
    </row>
    <row r="1788" spans="19:27" x14ac:dyDescent="0.2">
      <c r="S1788" s="1"/>
      <c r="T1788" s="117"/>
      <c r="W1788" s="75" t="str">
        <f t="shared" si="38"/>
        <v>1w</v>
      </c>
      <c r="X1788" s="148">
        <f>_xll.qlCalendarAdvance(Calendar,X1787,W1788,"f",FALSE)</f>
        <v>51461</v>
      </c>
      <c r="Y1788" s="153">
        <f>_xll.qlCalendarAdvance(Calendar,X1788,NDays&amp;"D")</f>
        <v>51461</v>
      </c>
      <c r="Z1788" s="154">
        <v>2.8583394678968137E-2</v>
      </c>
      <c r="AA1788" s="156">
        <v>2.8492490997297226E-2</v>
      </c>
    </row>
    <row r="1789" spans="19:27" x14ac:dyDescent="0.2">
      <c r="S1789" s="1"/>
      <c r="T1789" s="117"/>
      <c r="W1789" s="75" t="str">
        <f t="shared" si="38"/>
        <v>1w</v>
      </c>
      <c r="X1789" s="148">
        <f>_xll.qlCalendarAdvance(Calendar,X1788,W1789,"f",FALSE)</f>
        <v>51468</v>
      </c>
      <c r="Y1789" s="153">
        <f>_xll.qlCalendarAdvance(Calendar,X1789,NDays&amp;"D")</f>
        <v>51468</v>
      </c>
      <c r="Z1789" s="154">
        <v>2.8581681797158438E-2</v>
      </c>
      <c r="AA1789" s="156">
        <v>2.8491015763960625E-2</v>
      </c>
    </row>
    <row r="1790" spans="19:27" x14ac:dyDescent="0.2">
      <c r="S1790" s="1"/>
      <c r="T1790" s="117"/>
      <c r="W1790" s="75" t="str">
        <f t="shared" si="38"/>
        <v>1w</v>
      </c>
      <c r="X1790" s="148">
        <f>_xll.qlCalendarAdvance(Calendar,X1789,W1790,"f",FALSE)</f>
        <v>51475</v>
      </c>
      <c r="Y1790" s="153">
        <f>_xll.qlCalendarAdvance(Calendar,X1790,NDays&amp;"D")</f>
        <v>51475</v>
      </c>
      <c r="Z1790" s="154">
        <v>2.8577964203462296E-2</v>
      </c>
      <c r="AA1790" s="156">
        <v>2.8489505833819706E-2</v>
      </c>
    </row>
    <row r="1791" spans="19:27" x14ac:dyDescent="0.2">
      <c r="S1791" s="1"/>
      <c r="T1791" s="117"/>
      <c r="W1791" s="75" t="str">
        <f t="shared" si="38"/>
        <v>1w</v>
      </c>
      <c r="X1791" s="148">
        <f>_xll.qlCalendarAdvance(Calendar,X1790,W1791,"f",FALSE)</f>
        <v>51482</v>
      </c>
      <c r="Y1791" s="153">
        <f>_xll.qlCalendarAdvance(Calendar,X1791,NDays&amp;"D")</f>
        <v>51482</v>
      </c>
      <c r="Z1791" s="154">
        <v>2.8576186704386084E-2</v>
      </c>
      <c r="AA1791" s="156">
        <v>2.8487961206793422E-2</v>
      </c>
    </row>
    <row r="1792" spans="19:27" x14ac:dyDescent="0.2">
      <c r="S1792" s="1"/>
      <c r="T1792" s="117"/>
      <c r="W1792" s="75" t="str">
        <f t="shared" si="38"/>
        <v>1w</v>
      </c>
      <c r="X1792" s="148">
        <f>_xll.qlCalendarAdvance(Calendar,X1791,W1792,"f",FALSE)</f>
        <v>51489</v>
      </c>
      <c r="Y1792" s="153">
        <f>_xll.qlCalendarAdvance(Calendar,X1792,NDays&amp;"D")</f>
        <v>51489</v>
      </c>
      <c r="Z1792" s="154">
        <v>2.8574374267542356E-2</v>
      </c>
      <c r="AA1792" s="156">
        <v>2.8486381882962819E-2</v>
      </c>
    </row>
    <row r="1793" spans="19:27" x14ac:dyDescent="0.2">
      <c r="S1793" s="1"/>
      <c r="T1793" s="117"/>
      <c r="W1793" s="75" t="str">
        <f t="shared" si="38"/>
        <v>1w</v>
      </c>
      <c r="X1793" s="148">
        <f>_xll.qlCalendarAdvance(Calendar,X1792,W1793,"f",FALSE)</f>
        <v>51497</v>
      </c>
      <c r="Y1793" s="153">
        <f>_xll.qlCalendarAdvance(Calendar,X1793,NDays&amp;"D")</f>
        <v>51497</v>
      </c>
      <c r="Z1793" s="154">
        <v>2.857226013027123E-2</v>
      </c>
      <c r="AA1793" s="156">
        <v>2.8484534455684996E-2</v>
      </c>
    </row>
    <row r="1794" spans="19:27" x14ac:dyDescent="0.2">
      <c r="S1794" s="1"/>
      <c r="T1794" s="117"/>
      <c r="W1794" s="75" t="str">
        <f t="shared" si="38"/>
        <v>1w</v>
      </c>
      <c r="X1794" s="148">
        <f>_xll.qlCalendarAdvance(Calendar,X1793,W1794,"f",FALSE)</f>
        <v>51504</v>
      </c>
      <c r="Y1794" s="153">
        <f>_xll.qlCalendarAdvance(Calendar,X1794,NDays&amp;"D")</f>
        <v>51504</v>
      </c>
      <c r="Z1794" s="154">
        <v>2.8570372826943625E-2</v>
      </c>
      <c r="AA1794" s="156">
        <v>2.8482880781617315E-2</v>
      </c>
    </row>
    <row r="1795" spans="19:27" x14ac:dyDescent="0.2">
      <c r="S1795" s="1"/>
      <c r="T1795" s="117"/>
      <c r="W1795" s="75" t="str">
        <f t="shared" si="38"/>
        <v>1w</v>
      </c>
      <c r="X1795" s="148">
        <f>_xll.qlCalendarAdvance(Calendar,X1794,W1795,"f",FALSE)</f>
        <v>51511</v>
      </c>
      <c r="Y1795" s="153">
        <f>_xll.qlCalendarAdvance(Calendar,X1795,NDays&amp;"D")</f>
        <v>51511</v>
      </c>
      <c r="Z1795" s="154">
        <v>2.8568450585997985E-2</v>
      </c>
      <c r="AA1795" s="156">
        <v>2.8481192410826361E-2</v>
      </c>
    </row>
    <row r="1796" spans="19:27" x14ac:dyDescent="0.2">
      <c r="S1796" s="1"/>
      <c r="T1796" s="117"/>
      <c r="W1796" s="75" t="str">
        <f t="shared" si="38"/>
        <v>1w</v>
      </c>
      <c r="X1796" s="148">
        <f>_xll.qlCalendarAdvance(Calendar,X1795,W1796,"f",FALSE)</f>
        <v>51518</v>
      </c>
      <c r="Y1796" s="153">
        <f>_xll.qlCalendarAdvance(Calendar,X1796,NDays&amp;"D")</f>
        <v>51518</v>
      </c>
      <c r="Z1796" s="154">
        <v>2.856649340748384E-2</v>
      </c>
      <c r="AA1796" s="156">
        <v>2.8479469343150043E-2</v>
      </c>
    </row>
    <row r="1797" spans="19:27" x14ac:dyDescent="0.2">
      <c r="S1797" s="1"/>
      <c r="T1797" s="117"/>
      <c r="W1797" s="75" t="str">
        <f t="shared" si="38"/>
        <v>1w</v>
      </c>
      <c r="X1797" s="148">
        <f>_xll.qlCalendarAdvance(Calendar,X1796,W1797,"f",FALSE)</f>
        <v>51525</v>
      </c>
      <c r="Y1797" s="153">
        <f>_xll.qlCalendarAdvance(Calendar,X1797,NDays&amp;"D")</f>
        <v>51525</v>
      </c>
      <c r="Z1797" s="154">
        <v>2.8564501291452521E-2</v>
      </c>
      <c r="AA1797" s="156">
        <v>2.8477711578750453E-2</v>
      </c>
    </row>
    <row r="1798" spans="19:27" x14ac:dyDescent="0.2">
      <c r="S1798" s="1"/>
      <c r="T1798" s="117"/>
      <c r="W1798" s="75" t="str">
        <f t="shared" si="38"/>
        <v>1w</v>
      </c>
      <c r="X1798" s="148">
        <f>_xll.qlCalendarAdvance(Calendar,X1797,W1798,"f",FALSE)</f>
        <v>51532</v>
      </c>
      <c r="Y1798" s="153">
        <f>_xll.qlCalendarAdvance(Calendar,X1798,NDays&amp;"D")</f>
        <v>51532</v>
      </c>
      <c r="Z1798" s="154">
        <v>2.8561510581009201E-2</v>
      </c>
      <c r="AA1798" s="156">
        <v>2.8475919117546544E-2</v>
      </c>
    </row>
    <row r="1799" spans="19:27" x14ac:dyDescent="0.2">
      <c r="S1799" s="1"/>
      <c r="T1799" s="117"/>
      <c r="W1799" s="75" t="str">
        <f t="shared" si="38"/>
        <v>1w</v>
      </c>
      <c r="X1799" s="148">
        <f>_xll.qlCalendarAdvance(Calendar,X1798,W1799,"f",FALSE)</f>
        <v>51539</v>
      </c>
      <c r="Y1799" s="153">
        <f>_xll.qlCalendarAdvance(Calendar,X1799,NDays&amp;"D")</f>
        <v>51539</v>
      </c>
      <c r="Z1799" s="154">
        <v>2.8559451246208064E-2</v>
      </c>
      <c r="AA1799" s="156">
        <v>2.8474091959538317E-2</v>
      </c>
    </row>
    <row r="1800" spans="19:27" x14ac:dyDescent="0.2">
      <c r="S1800" s="1"/>
      <c r="T1800" s="117"/>
      <c r="W1800" s="75" t="str">
        <f t="shared" si="38"/>
        <v>1w</v>
      </c>
      <c r="X1800" s="148">
        <f>_xll.qlCalendarAdvance(Calendar,X1799,W1800,"f",FALSE)</f>
        <v>51546</v>
      </c>
      <c r="Y1800" s="153">
        <f>_xll.qlCalendarAdvance(Calendar,X1800,NDays&amp;"D")</f>
        <v>51546</v>
      </c>
      <c r="Z1800" s="154">
        <v>2.8557356976752719E-2</v>
      </c>
      <c r="AA1800" s="156">
        <v>2.8472230104725771E-2</v>
      </c>
    </row>
    <row r="1801" spans="19:27" x14ac:dyDescent="0.2">
      <c r="S1801" s="1"/>
      <c r="T1801" s="117"/>
      <c r="W1801" s="75" t="str">
        <f t="shared" si="38"/>
        <v>1w</v>
      </c>
      <c r="X1801" s="148">
        <f>_xll.qlCalendarAdvance(Calendar,X1800,W1801,"f",FALSE)</f>
        <v>51553</v>
      </c>
      <c r="Y1801" s="153">
        <f>_xll.qlCalendarAdvance(Calendar,X1801,NDays&amp;"D")</f>
        <v>51553</v>
      </c>
      <c r="Z1801" s="154">
        <v>2.8555227772697804E-2</v>
      </c>
      <c r="AA1801" s="156">
        <v>2.8470333553108906E-2</v>
      </c>
    </row>
    <row r="1802" spans="19:27" x14ac:dyDescent="0.2">
      <c r="S1802" s="1"/>
      <c r="T1802" s="117"/>
      <c r="W1802" s="75" t="str">
        <f t="shared" si="38"/>
        <v>1w</v>
      </c>
      <c r="X1802" s="148">
        <f>_xll.qlCalendarAdvance(Calendar,X1801,W1802,"f",FALSE)</f>
        <v>51560</v>
      </c>
      <c r="Y1802" s="153">
        <f>_xll.qlCalendarAdvance(Calendar,X1802,NDays&amp;"D")</f>
        <v>51560</v>
      </c>
      <c r="Z1802" s="154">
        <v>2.8555922068137372E-2</v>
      </c>
      <c r="AA1802" s="156">
        <v>2.8468402304687723E-2</v>
      </c>
    </row>
    <row r="1803" spans="19:27" x14ac:dyDescent="0.2">
      <c r="S1803" s="1"/>
      <c r="T1803" s="117"/>
      <c r="W1803" s="75" t="str">
        <f t="shared" si="38"/>
        <v>1w</v>
      </c>
      <c r="X1803" s="148">
        <f>_xll.qlCalendarAdvance(Calendar,X1802,W1803,"f",FALSE)</f>
        <v>51567</v>
      </c>
      <c r="Y1803" s="153">
        <f>_xll.qlCalendarAdvance(Calendar,X1803,NDays&amp;"D")</f>
        <v>51567</v>
      </c>
      <c r="Z1803" s="154">
        <v>2.8553714993020021E-2</v>
      </c>
      <c r="AA1803" s="156">
        <v>2.8466436359543268E-2</v>
      </c>
    </row>
    <row r="1804" spans="19:27" x14ac:dyDescent="0.2">
      <c r="S1804" s="1"/>
      <c r="T1804" s="117"/>
      <c r="W1804" s="75" t="str">
        <f t="shared" si="38"/>
        <v>1w</v>
      </c>
      <c r="X1804" s="148">
        <f>_xll.qlCalendarAdvance(Calendar,X1803,W1804,"f",FALSE)</f>
        <v>51574</v>
      </c>
      <c r="Y1804" s="153">
        <f>_xll.qlCalendarAdvance(Calendar,X1804,NDays&amp;"D")</f>
        <v>51574</v>
      </c>
      <c r="Z1804" s="154">
        <v>2.8551472975349289E-2</v>
      </c>
      <c r="AA1804" s="156">
        <v>2.8464435717594494E-2</v>
      </c>
    </row>
    <row r="1805" spans="19:27" x14ac:dyDescent="0.2">
      <c r="S1805" s="1"/>
      <c r="T1805" s="117"/>
      <c r="W1805" s="75" t="str">
        <f t="shared" si="38"/>
        <v>1w</v>
      </c>
      <c r="X1805" s="148">
        <f>_xll.qlCalendarAdvance(Calendar,X1804,W1805,"f",FALSE)</f>
        <v>51581</v>
      </c>
      <c r="Y1805" s="153">
        <f>_xll.qlCalendarAdvance(Calendar,X1805,NDays&amp;"D")</f>
        <v>51581</v>
      </c>
      <c r="Z1805" s="154">
        <v>2.8549196015185078E-2</v>
      </c>
      <c r="AA1805" s="156">
        <v>2.8462400378841402E-2</v>
      </c>
    </row>
    <row r="1806" spans="19:27" x14ac:dyDescent="0.2">
      <c r="S1806" s="1"/>
      <c r="T1806" s="117"/>
      <c r="W1806" s="75" t="str">
        <f t="shared" si="38"/>
        <v>1w</v>
      </c>
      <c r="X1806" s="148">
        <f>_xll.qlCalendarAdvance(Calendar,X1805,W1806,"f",FALSE)</f>
        <v>51588</v>
      </c>
      <c r="Y1806" s="153">
        <f>_xll.qlCalendarAdvance(Calendar,X1806,NDays&amp;"D")</f>
        <v>51588</v>
      </c>
      <c r="Z1806" s="154">
        <v>2.8546884112585536E-2</v>
      </c>
      <c r="AA1806" s="156">
        <v>2.846033034328399E-2</v>
      </c>
    </row>
    <row r="1807" spans="19:27" x14ac:dyDescent="0.2">
      <c r="S1807" s="1"/>
      <c r="T1807" s="117"/>
      <c r="W1807" s="75" t="str">
        <f t="shared" si="38"/>
        <v>1w</v>
      </c>
      <c r="X1807" s="148">
        <f>_xll.qlCalendarAdvance(Calendar,X1806,W1807,"f",FALSE)</f>
        <v>51595</v>
      </c>
      <c r="Y1807" s="153">
        <f>_xll.qlCalendarAdvance(Calendar,X1807,NDays&amp;"D")</f>
        <v>51595</v>
      </c>
      <c r="Z1807" s="154">
        <v>2.8543598026949078E-2</v>
      </c>
      <c r="AA1807" s="156">
        <v>2.8458225610922261E-2</v>
      </c>
    </row>
    <row r="1808" spans="19:27" x14ac:dyDescent="0.2">
      <c r="S1808" s="1"/>
      <c r="T1808" s="117"/>
      <c r="W1808" s="75" t="str">
        <f t="shared" si="38"/>
        <v>1w</v>
      </c>
      <c r="X1808" s="148">
        <f>_xll.qlCalendarAdvance(Calendar,X1807,W1808,"f",FALSE)</f>
        <v>51602</v>
      </c>
      <c r="Y1808" s="153">
        <f>_xll.qlCalendarAdvance(Calendar,X1808,NDays&amp;"D")</f>
        <v>51602</v>
      </c>
      <c r="Z1808" s="154">
        <v>2.8541218920927817E-2</v>
      </c>
      <c r="AA1808" s="156">
        <v>2.8456086181837259E-2</v>
      </c>
    </row>
    <row r="1809" spans="19:27" x14ac:dyDescent="0.2">
      <c r="S1809" s="1"/>
      <c r="T1809" s="117"/>
      <c r="W1809" s="75" t="str">
        <f t="shared" si="38"/>
        <v>1w</v>
      </c>
      <c r="X1809" s="148">
        <f>_xll.qlCalendarAdvance(Calendar,X1808,W1809,"f",FALSE)</f>
        <v>51609</v>
      </c>
      <c r="Y1809" s="153">
        <f>_xll.qlCalendarAdvance(Calendar,X1809,NDays&amp;"D")</f>
        <v>51609</v>
      </c>
      <c r="Z1809" s="154">
        <v>2.8538804875359723E-2</v>
      </c>
      <c r="AA1809" s="156">
        <v>2.8457720247989204E-2</v>
      </c>
    </row>
    <row r="1810" spans="19:27" x14ac:dyDescent="0.2">
      <c r="S1810" s="1"/>
      <c r="T1810" s="117"/>
      <c r="W1810" s="75" t="str">
        <f t="shared" si="38"/>
        <v>1w</v>
      </c>
      <c r="X1810" s="148">
        <f>_xll.qlCalendarAdvance(Calendar,X1809,W1810,"f",FALSE)</f>
        <v>51616</v>
      </c>
      <c r="Y1810" s="153">
        <f>_xll.qlCalendarAdvance(Calendar,X1810,NDays&amp;"D")</f>
        <v>51616</v>
      </c>
      <c r="Z1810" s="154">
        <v>2.8536355890307133E-2</v>
      </c>
      <c r="AA1810" s="156">
        <v>2.8451703233173253E-2</v>
      </c>
    </row>
    <row r="1811" spans="19:27" x14ac:dyDescent="0.2">
      <c r="S1811" s="1"/>
      <c r="T1811" s="117"/>
      <c r="W1811" s="75" t="str">
        <f t="shared" si="38"/>
        <v>1w</v>
      </c>
      <c r="X1811" s="148">
        <f>_xll.qlCalendarAdvance(Calendar,X1810,W1811,"f",FALSE)</f>
        <v>51623</v>
      </c>
      <c r="Y1811" s="153">
        <f>_xll.qlCalendarAdvance(Calendar,X1811,NDays&amp;"D")</f>
        <v>51623</v>
      </c>
      <c r="Z1811" s="154">
        <v>2.8534800465224924E-2</v>
      </c>
      <c r="AA1811" s="156">
        <v>2.8449459713756342E-2</v>
      </c>
    </row>
    <row r="1812" spans="19:27" x14ac:dyDescent="0.2">
      <c r="S1812" s="1"/>
      <c r="T1812" s="117"/>
      <c r="W1812" s="75" t="str">
        <f t="shared" si="38"/>
        <v>1w</v>
      </c>
      <c r="X1812" s="148">
        <f>_xll.qlCalendarAdvance(Calendar,X1811,W1812,"f",FALSE)</f>
        <v>51630</v>
      </c>
      <c r="Y1812" s="153">
        <f>_xll.qlCalendarAdvance(Calendar,X1812,NDays&amp;"D")</f>
        <v>51630</v>
      </c>
      <c r="Z1812" s="154">
        <v>2.853227890932333E-2</v>
      </c>
      <c r="AA1812" s="156">
        <v>2.8447181497454066E-2</v>
      </c>
    </row>
    <row r="1813" spans="19:27" x14ac:dyDescent="0.2">
      <c r="S1813" s="1"/>
      <c r="T1813" s="117"/>
      <c r="W1813" s="75" t="str">
        <f t="shared" ref="W1813:W1876" si="39">W1812</f>
        <v>1w</v>
      </c>
      <c r="X1813" s="148">
        <f>_xll.qlCalendarAdvance(Calendar,X1812,W1813,"f",FALSE)</f>
        <v>51637</v>
      </c>
      <c r="Y1813" s="153">
        <f>_xll.qlCalendarAdvance(Calendar,X1813,NDays&amp;"D")</f>
        <v>51637</v>
      </c>
      <c r="Z1813" s="154">
        <v>2.852972241143216E-2</v>
      </c>
      <c r="AA1813" s="156">
        <v>2.8444868584428518E-2</v>
      </c>
    </row>
    <row r="1814" spans="19:27" x14ac:dyDescent="0.2">
      <c r="S1814" s="1"/>
      <c r="T1814" s="117"/>
      <c r="W1814" s="75" t="str">
        <f t="shared" si="39"/>
        <v>1w</v>
      </c>
      <c r="X1814" s="148">
        <f>_xll.qlCalendarAdvance(Calendar,X1813,W1814,"f",FALSE)</f>
        <v>51644</v>
      </c>
      <c r="Y1814" s="153">
        <f>_xll.qlCalendarAdvance(Calendar,X1814,NDays&amp;"D")</f>
        <v>51644</v>
      </c>
      <c r="Z1814" s="154">
        <v>2.8527130971616597E-2</v>
      </c>
      <c r="AA1814" s="156">
        <v>2.8442520974517604E-2</v>
      </c>
    </row>
    <row r="1815" spans="19:27" x14ac:dyDescent="0.2">
      <c r="S1815" s="1"/>
      <c r="T1815" s="117"/>
      <c r="W1815" s="75" t="str">
        <f t="shared" si="39"/>
        <v>1w</v>
      </c>
      <c r="X1815" s="148">
        <f>_xll.qlCalendarAdvance(Calendar,X1814,W1815,"f",FALSE)</f>
        <v>51651</v>
      </c>
      <c r="Y1815" s="153">
        <f>_xll.qlCalendarAdvance(Calendar,X1815,NDays&amp;"D")</f>
        <v>51651</v>
      </c>
      <c r="Z1815" s="154">
        <v>2.8524504589945359E-2</v>
      </c>
      <c r="AA1815" s="156">
        <v>2.8440138667964465E-2</v>
      </c>
    </row>
    <row r="1816" spans="19:27" x14ac:dyDescent="0.2">
      <c r="S1816" s="1"/>
      <c r="T1816" s="117"/>
      <c r="W1816" s="75" t="str">
        <f t="shared" si="39"/>
        <v>1w</v>
      </c>
      <c r="X1816" s="148">
        <f>_xll.qlCalendarAdvance(Calendar,X1815,W1816,"f",FALSE)</f>
        <v>51658</v>
      </c>
      <c r="Y1816" s="153">
        <f>_xll.qlCalendarAdvance(Calendar,X1816,NDays&amp;"D")</f>
        <v>51658</v>
      </c>
      <c r="Z1816" s="154">
        <v>2.8521843266488035E-2</v>
      </c>
      <c r="AA1816" s="156">
        <v>2.8437721664607007E-2</v>
      </c>
    </row>
    <row r="1817" spans="19:27" x14ac:dyDescent="0.2">
      <c r="S1817" s="1"/>
      <c r="T1817" s="117"/>
      <c r="W1817" s="75" t="str">
        <f t="shared" si="39"/>
        <v>1w</v>
      </c>
      <c r="X1817" s="148">
        <f>_xll.qlCalendarAdvance(Calendar,X1816,W1817,"f",FALSE)</f>
        <v>51665</v>
      </c>
      <c r="Y1817" s="153">
        <f>_xll.qlCalendarAdvance(Calendar,X1817,NDays&amp;"D")</f>
        <v>51665</v>
      </c>
      <c r="Z1817" s="154">
        <v>2.8519147001312462E-2</v>
      </c>
      <c r="AA1817" s="156">
        <v>2.8435269964364185E-2</v>
      </c>
    </row>
    <row r="1818" spans="19:27" x14ac:dyDescent="0.2">
      <c r="S1818" s="1"/>
      <c r="T1818" s="117"/>
      <c r="W1818" s="75" t="str">
        <f t="shared" si="39"/>
        <v>1w</v>
      </c>
      <c r="X1818" s="148">
        <f>_xll.qlCalendarAdvance(Calendar,X1817,W1818,"f",FALSE)</f>
        <v>51672</v>
      </c>
      <c r="Y1818" s="153">
        <f>_xll.qlCalendarAdvance(Calendar,X1818,NDays&amp;"D")</f>
        <v>51672</v>
      </c>
      <c r="Z1818" s="154">
        <v>2.8516415794492638E-2</v>
      </c>
      <c r="AA1818" s="156">
        <v>2.8432783567479136E-2</v>
      </c>
    </row>
    <row r="1819" spans="19:27" x14ac:dyDescent="0.2">
      <c r="S1819" s="1"/>
      <c r="T1819" s="117"/>
      <c r="W1819" s="75" t="str">
        <f t="shared" si="39"/>
        <v>1w</v>
      </c>
      <c r="X1819" s="148">
        <f>_xll.qlCalendarAdvance(Calendar,X1818,W1819,"f",FALSE)</f>
        <v>51679</v>
      </c>
      <c r="Y1819" s="153">
        <f>_xll.qlCalendarAdvance(Calendar,X1819,NDays&amp;"D")</f>
        <v>51679</v>
      </c>
      <c r="Z1819" s="154">
        <v>2.8513649646096394E-2</v>
      </c>
      <c r="AA1819" s="156">
        <v>2.8430262473708723E-2</v>
      </c>
    </row>
    <row r="1820" spans="19:27" x14ac:dyDescent="0.2">
      <c r="S1820" s="1"/>
      <c r="T1820" s="117"/>
      <c r="W1820" s="75" t="str">
        <f t="shared" si="39"/>
        <v>1w</v>
      </c>
      <c r="X1820" s="148">
        <f>_xll.qlCalendarAdvance(Calendar,X1819,W1820,"f",FALSE)</f>
        <v>51686</v>
      </c>
      <c r="Y1820" s="153">
        <f>_xll.qlCalendarAdvance(Calendar,X1820,NDays&amp;"D")</f>
        <v>51686</v>
      </c>
      <c r="Z1820" s="154">
        <v>2.8510848556199491E-2</v>
      </c>
      <c r="AA1820" s="156">
        <v>2.8427706683215037E-2</v>
      </c>
    </row>
    <row r="1821" spans="19:27" x14ac:dyDescent="0.2">
      <c r="S1821" s="1"/>
      <c r="T1821" s="117"/>
      <c r="W1821" s="75" t="str">
        <f t="shared" si="39"/>
        <v>1w</v>
      </c>
      <c r="X1821" s="148">
        <f>_xll.qlCalendarAdvance(Calendar,X1820,W1821,"f",FALSE)</f>
        <v>51693</v>
      </c>
      <c r="Y1821" s="153">
        <f>_xll.qlCalendarAdvance(Calendar,X1821,NDays&amp;"D")</f>
        <v>51693</v>
      </c>
      <c r="Z1821" s="154">
        <v>2.8508012524872405E-2</v>
      </c>
      <c r="AA1821" s="156">
        <v>2.8425116195835987E-2</v>
      </c>
    </row>
    <row r="1822" spans="19:27" x14ac:dyDescent="0.2">
      <c r="S1822" s="1"/>
      <c r="T1822" s="117"/>
      <c r="W1822" s="75" t="str">
        <f t="shared" si="39"/>
        <v>1w</v>
      </c>
      <c r="X1822" s="148">
        <f>_xll.qlCalendarAdvance(Calendar,X1821,W1822,"f",FALSE)</f>
        <v>51700</v>
      </c>
      <c r="Y1822" s="153">
        <f>_xll.qlCalendarAdvance(Calendar,X1822,NDays&amp;"D")</f>
        <v>51700</v>
      </c>
      <c r="Z1822" s="154">
        <v>2.8505141552192657E-2</v>
      </c>
      <c r="AA1822" s="156">
        <v>2.842249101181471E-2</v>
      </c>
    </row>
    <row r="1823" spans="19:27" x14ac:dyDescent="0.2">
      <c r="S1823" s="1"/>
      <c r="T1823" s="117"/>
      <c r="W1823" s="75" t="str">
        <f t="shared" si="39"/>
        <v>1w</v>
      </c>
      <c r="X1823" s="148">
        <f>_xll.qlCalendarAdvance(Calendar,X1822,W1823,"f",FALSE)</f>
        <v>51707</v>
      </c>
      <c r="Y1823" s="153">
        <f>_xll.qlCalendarAdvance(Calendar,X1823,NDays&amp;"D")</f>
        <v>51707</v>
      </c>
      <c r="Z1823" s="154">
        <v>2.8502235638233363E-2</v>
      </c>
      <c r="AA1823" s="156">
        <v>2.8419831130908069E-2</v>
      </c>
    </row>
    <row r="1824" spans="19:27" x14ac:dyDescent="0.2">
      <c r="S1824" s="1"/>
      <c r="T1824" s="117"/>
      <c r="W1824" s="75" t="str">
        <f t="shared" si="39"/>
        <v>1w</v>
      </c>
      <c r="X1824" s="148">
        <f>_xll.qlCalendarAdvance(Calendar,X1823,W1824,"f",FALSE)</f>
        <v>51714</v>
      </c>
      <c r="Y1824" s="153">
        <f>_xll.qlCalendarAdvance(Calendar,X1824,NDays&amp;"D")</f>
        <v>51714</v>
      </c>
      <c r="Z1824" s="154">
        <v>2.8499294783071168E-2</v>
      </c>
      <c r="AA1824" s="156">
        <v>2.8417136553278155E-2</v>
      </c>
    </row>
    <row r="1825" spans="19:27" x14ac:dyDescent="0.2">
      <c r="S1825" s="1"/>
      <c r="T1825" s="117"/>
      <c r="W1825" s="75" t="str">
        <f t="shared" si="39"/>
        <v>1w</v>
      </c>
      <c r="X1825" s="148">
        <f>_xll.qlCalendarAdvance(Calendar,X1824,W1825,"f",FALSE)</f>
        <v>51721</v>
      </c>
      <c r="Y1825" s="153">
        <f>_xll.qlCalendarAdvance(Calendar,X1825,NDays&amp;"D")</f>
        <v>51721</v>
      </c>
      <c r="Z1825" s="154">
        <v>2.8496318986784477E-2</v>
      </c>
      <c r="AA1825" s="156">
        <v>2.8414407278924969E-2</v>
      </c>
    </row>
    <row r="1826" spans="19:27" x14ac:dyDescent="0.2">
      <c r="S1826" s="1"/>
      <c r="T1826" s="117"/>
      <c r="W1826" s="75" t="str">
        <f t="shared" si="39"/>
        <v>1w</v>
      </c>
      <c r="X1826" s="148">
        <f>_xll.qlCalendarAdvance(Calendar,X1825,W1826,"f",FALSE)</f>
        <v>51728</v>
      </c>
      <c r="Y1826" s="153">
        <f>_xll.qlCalendarAdvance(Calendar,X1826,NDays&amp;"D")</f>
        <v>51728</v>
      </c>
      <c r="Z1826" s="154">
        <v>2.8493308249449928E-2</v>
      </c>
      <c r="AA1826" s="156">
        <v>2.8411643307686418E-2</v>
      </c>
    </row>
    <row r="1827" spans="19:27" x14ac:dyDescent="0.2">
      <c r="S1827" s="1"/>
      <c r="T1827" s="117"/>
      <c r="W1827" s="75" t="str">
        <f t="shared" si="39"/>
        <v>1w</v>
      </c>
      <c r="X1827" s="148">
        <f>_xll.qlCalendarAdvance(Calendar,X1826,W1827,"f",FALSE)</f>
        <v>51735</v>
      </c>
      <c r="Y1827" s="153">
        <f>_xll.qlCalendarAdvance(Calendar,X1827,NDays&amp;"D")</f>
        <v>51735</v>
      </c>
      <c r="Z1827" s="154">
        <v>2.8490262571146806E-2</v>
      </c>
      <c r="AA1827" s="156">
        <v>2.8408844639805642E-2</v>
      </c>
    </row>
    <row r="1828" spans="19:27" x14ac:dyDescent="0.2">
      <c r="S1828" s="1"/>
      <c r="T1828" s="117"/>
      <c r="W1828" s="75" t="str">
        <f t="shared" si="39"/>
        <v>1w</v>
      </c>
      <c r="X1828" s="148">
        <f>_xll.qlCalendarAdvance(Calendar,X1827,W1828,"f",FALSE)</f>
        <v>51742</v>
      </c>
      <c r="Y1828" s="153">
        <f>_xll.qlCalendarAdvance(Calendar,X1828,NDays&amp;"D")</f>
        <v>51742</v>
      </c>
      <c r="Z1828" s="154">
        <v>2.8487181951955275E-2</v>
      </c>
      <c r="AA1828" s="156">
        <v>2.84060112750395E-2</v>
      </c>
    </row>
    <row r="1829" spans="19:27" x14ac:dyDescent="0.2">
      <c r="S1829" s="1"/>
      <c r="T1829" s="117"/>
      <c r="W1829" s="75" t="str">
        <f t="shared" si="39"/>
        <v>1w</v>
      </c>
      <c r="X1829" s="148">
        <f>_xll.qlCalendarAdvance(Calendar,X1828,W1829,"f",FALSE)</f>
        <v>51749</v>
      </c>
      <c r="Y1829" s="153">
        <f>_xll.qlCalendarAdvance(Calendar,X1829,NDays&amp;"D")</f>
        <v>51749</v>
      </c>
      <c r="Z1829" s="154">
        <v>2.8483186762124021E-2</v>
      </c>
      <c r="AA1829" s="156">
        <v>2.8403143213550086E-2</v>
      </c>
    </row>
    <row r="1830" spans="19:27" x14ac:dyDescent="0.2">
      <c r="S1830" s="1"/>
      <c r="T1830" s="117"/>
      <c r="W1830" s="75" t="str">
        <f t="shared" si="39"/>
        <v>1w</v>
      </c>
      <c r="X1830" s="148">
        <f>_xll.qlCalendarAdvance(Calendar,X1829,W1830,"f",FALSE)</f>
        <v>51756</v>
      </c>
      <c r="Y1830" s="153">
        <f>_xll.qlCalendarAdvance(Calendar,X1830,NDays&amp;"D")</f>
        <v>51756</v>
      </c>
      <c r="Z1830" s="154">
        <v>2.8480039001924494E-2</v>
      </c>
      <c r="AA1830" s="156">
        <v>2.8400240455256354E-2</v>
      </c>
    </row>
    <row r="1831" spans="19:27" x14ac:dyDescent="0.2">
      <c r="S1831" s="1"/>
      <c r="T1831" s="117"/>
      <c r="W1831" s="75" t="str">
        <f t="shared" si="39"/>
        <v>1w</v>
      </c>
      <c r="X1831" s="148">
        <f>_xll.qlCalendarAdvance(Calendar,X1830,W1831,"f",FALSE)</f>
        <v>51763</v>
      </c>
      <c r="Y1831" s="153">
        <f>_xll.qlCalendarAdvance(Calendar,X1831,NDays&amp;"D")</f>
        <v>51763</v>
      </c>
      <c r="Z1831" s="154">
        <v>2.8476856303766101E-2</v>
      </c>
      <c r="AA1831" s="156">
        <v>2.8397303000239349E-2</v>
      </c>
    </row>
    <row r="1832" spans="19:27" x14ac:dyDescent="0.2">
      <c r="S1832" s="1"/>
      <c r="T1832" s="117"/>
      <c r="W1832" s="75" t="str">
        <f t="shared" si="39"/>
        <v>1w</v>
      </c>
      <c r="X1832" s="148">
        <f>_xll.qlCalendarAdvance(Calendar,X1831,W1832,"f",FALSE)</f>
        <v>51770</v>
      </c>
      <c r="Y1832" s="153">
        <f>_xll.qlCalendarAdvance(Calendar,X1832,NDays&amp;"D")</f>
        <v>51770</v>
      </c>
      <c r="Z1832" s="154">
        <v>2.84745100679357E-2</v>
      </c>
      <c r="AA1832" s="156">
        <v>2.8394330848418026E-2</v>
      </c>
    </row>
    <row r="1833" spans="19:27" x14ac:dyDescent="0.2">
      <c r="S1833" s="1"/>
      <c r="T1833" s="117"/>
      <c r="W1833" s="75" t="str">
        <f t="shared" si="39"/>
        <v>1w</v>
      </c>
      <c r="X1833" s="148">
        <f>_xll.qlCalendarAdvance(Calendar,X1832,W1833,"f",FALSE)</f>
        <v>51777</v>
      </c>
      <c r="Y1833" s="153">
        <f>_xll.qlCalendarAdvance(Calendar,X1833,NDays&amp;"D")</f>
        <v>51777</v>
      </c>
      <c r="Z1833" s="154">
        <v>2.8471254745532804E-2</v>
      </c>
      <c r="AA1833" s="156">
        <v>2.839132399987343E-2</v>
      </c>
    </row>
    <row r="1834" spans="19:27" x14ac:dyDescent="0.2">
      <c r="S1834" s="1"/>
      <c r="T1834" s="117"/>
      <c r="W1834" s="75" t="str">
        <f t="shared" si="39"/>
        <v>1w</v>
      </c>
      <c r="X1834" s="148">
        <f>_xll.qlCalendarAdvance(Calendar,X1833,W1834,"f",FALSE)</f>
        <v>51784</v>
      </c>
      <c r="Y1834" s="153">
        <f>_xll.qlCalendarAdvance(Calendar,X1834,NDays&amp;"D")</f>
        <v>51784</v>
      </c>
      <c r="Z1834" s="154">
        <v>2.846796448274011E-2</v>
      </c>
      <c r="AA1834" s="156">
        <v>2.838828245444347E-2</v>
      </c>
    </row>
    <row r="1835" spans="19:27" x14ac:dyDescent="0.2">
      <c r="S1835" s="1"/>
      <c r="T1835" s="117"/>
      <c r="W1835" s="75" t="str">
        <f t="shared" si="39"/>
        <v>1w</v>
      </c>
      <c r="X1835" s="148">
        <f>_xll.qlCalendarAdvance(Calendar,X1834,W1835,"f",FALSE)</f>
        <v>51791</v>
      </c>
      <c r="Y1835" s="153">
        <f>_xll.qlCalendarAdvance(Calendar,X1835,NDays&amp;"D")</f>
        <v>51791</v>
      </c>
      <c r="Z1835" s="154">
        <v>2.8464639279643073E-2</v>
      </c>
      <c r="AA1835" s="156">
        <v>2.8385206212371283E-2</v>
      </c>
    </row>
    <row r="1836" spans="19:27" x14ac:dyDescent="0.2">
      <c r="S1836" s="1"/>
      <c r="T1836" s="117"/>
      <c r="W1836" s="75" t="str">
        <f t="shared" si="39"/>
        <v>1w</v>
      </c>
      <c r="X1836" s="148">
        <f>_xll.qlCalendarAdvance(Calendar,X1835,W1836,"f",FALSE)</f>
        <v>51798</v>
      </c>
      <c r="Y1836" s="153">
        <f>_xll.qlCalendarAdvance(Calendar,X1836,NDays&amp;"D")</f>
        <v>51798</v>
      </c>
      <c r="Z1836" s="154">
        <v>2.8461279136330665E-2</v>
      </c>
      <c r="AA1836" s="156">
        <v>2.8382095273494778E-2</v>
      </c>
    </row>
    <row r="1837" spans="19:27" x14ac:dyDescent="0.2">
      <c r="S1837" s="1"/>
      <c r="T1837" s="117"/>
      <c r="W1837" s="75" t="str">
        <f t="shared" si="39"/>
        <v>1w</v>
      </c>
      <c r="X1837" s="148">
        <f>_xll.qlCalendarAdvance(Calendar,X1836,W1837,"f",FALSE)</f>
        <v>51805</v>
      </c>
      <c r="Y1837" s="153">
        <f>_xll.qlCalendarAdvance(Calendar,X1837,NDays&amp;"D")</f>
        <v>51805</v>
      </c>
      <c r="Z1837" s="154">
        <v>2.845788405288922E-2</v>
      </c>
      <c r="AA1837" s="156">
        <v>2.8378949637895001E-2</v>
      </c>
    </row>
    <row r="1838" spans="19:27" x14ac:dyDescent="0.2">
      <c r="S1838" s="1"/>
      <c r="T1838" s="117"/>
      <c r="W1838" s="75" t="str">
        <f t="shared" si="39"/>
        <v>1w</v>
      </c>
      <c r="X1838" s="148">
        <f>_xll.qlCalendarAdvance(Calendar,X1837,W1838,"f",FALSE)</f>
        <v>51812</v>
      </c>
      <c r="Y1838" s="153">
        <f>_xll.qlCalendarAdvance(Calendar,X1838,NDays&amp;"D")</f>
        <v>51812</v>
      </c>
      <c r="Z1838" s="154">
        <v>2.8454454029409468E-2</v>
      </c>
      <c r="AA1838" s="156">
        <v>2.8375769305409859E-2</v>
      </c>
    </row>
    <row r="1839" spans="19:27" x14ac:dyDescent="0.2">
      <c r="S1839" s="1"/>
      <c r="T1839" s="117"/>
      <c r="W1839" s="75" t="str">
        <f t="shared" si="39"/>
        <v>1w</v>
      </c>
      <c r="X1839" s="148">
        <f>_xll.qlCalendarAdvance(Calendar,X1838,W1839,"f",FALSE)</f>
        <v>51819</v>
      </c>
      <c r="Y1839" s="153">
        <f>_xll.qlCalendarAdvance(Calendar,X1839,NDays&amp;"D")</f>
        <v>51819</v>
      </c>
      <c r="Z1839" s="154">
        <v>2.8450989065979509E-2</v>
      </c>
      <c r="AA1839" s="156">
        <v>2.8372554276282491E-2</v>
      </c>
    </row>
    <row r="1840" spans="19:27" x14ac:dyDescent="0.2">
      <c r="S1840" s="1"/>
      <c r="T1840" s="117"/>
      <c r="W1840" s="75" t="str">
        <f t="shared" si="39"/>
        <v>1w</v>
      </c>
      <c r="X1840" s="148">
        <f>_xll.qlCalendarAdvance(Calendar,X1839,W1840,"f",FALSE)</f>
        <v>51826</v>
      </c>
      <c r="Y1840" s="153">
        <f>_xll.qlCalendarAdvance(Calendar,X1840,NDays&amp;"D")</f>
        <v>51826</v>
      </c>
      <c r="Z1840" s="154">
        <v>2.8447489162692723E-2</v>
      </c>
      <c r="AA1840" s="156">
        <v>2.8369304550269758E-2</v>
      </c>
    </row>
    <row r="1841" spans="19:27" x14ac:dyDescent="0.2">
      <c r="S1841" s="1"/>
      <c r="T1841" s="117"/>
      <c r="W1841" s="75" t="str">
        <f t="shared" si="39"/>
        <v>1w</v>
      </c>
      <c r="X1841" s="148">
        <f>_xll.qlCalendarAdvance(Calendar,X1840,W1841,"f",FALSE)</f>
        <v>51833</v>
      </c>
      <c r="Y1841" s="153">
        <f>_xll.qlCalendarAdvance(Calendar,X1841,NDays&amp;"D")</f>
        <v>51833</v>
      </c>
      <c r="Z1841" s="154">
        <v>2.8443954319639846E-2</v>
      </c>
      <c r="AA1841" s="156">
        <v>2.8366020127614799E-2</v>
      </c>
    </row>
    <row r="1842" spans="19:27" x14ac:dyDescent="0.2">
      <c r="S1842" s="1"/>
      <c r="T1842" s="117"/>
      <c r="W1842" s="75" t="str">
        <f t="shared" si="39"/>
        <v>1w</v>
      </c>
      <c r="X1842" s="148">
        <f>_xll.qlCalendarAdvance(Calendar,X1841,W1842,"f",FALSE)</f>
        <v>51840</v>
      </c>
      <c r="Y1842" s="153">
        <f>_xll.qlCalendarAdvance(Calendar,X1842,NDays&amp;"D")</f>
        <v>51840</v>
      </c>
      <c r="Z1842" s="154">
        <v>2.8438696727933029E-2</v>
      </c>
      <c r="AA1842" s="156">
        <v>2.8362701008155522E-2</v>
      </c>
    </row>
    <row r="1843" spans="19:27" x14ac:dyDescent="0.2">
      <c r="S1843" s="1"/>
      <c r="T1843" s="117"/>
      <c r="W1843" s="75" t="str">
        <f t="shared" si="39"/>
        <v>1w</v>
      </c>
      <c r="X1843" s="148">
        <f>_xll.qlCalendarAdvance(Calendar,X1842,W1843,"f",FALSE)</f>
        <v>51847</v>
      </c>
      <c r="Y1843" s="153">
        <f>_xll.qlCalendarAdvance(Calendar,X1843,NDays&amp;"D")</f>
        <v>51847</v>
      </c>
      <c r="Z1843" s="154">
        <v>2.8435097555883471E-2</v>
      </c>
      <c r="AA1843" s="156">
        <v>2.8359347191891926E-2</v>
      </c>
    </row>
    <row r="1844" spans="19:27" x14ac:dyDescent="0.2">
      <c r="S1844" s="1"/>
      <c r="T1844" s="117"/>
      <c r="W1844" s="75" t="str">
        <f t="shared" si="39"/>
        <v>1w</v>
      </c>
      <c r="X1844" s="148">
        <f>_xll.qlCalendarAdvance(Calendar,X1843,W1844,"f",FALSE)</f>
        <v>51854</v>
      </c>
      <c r="Y1844" s="153">
        <f>_xll.qlCalendarAdvance(Calendar,X1844,NDays&amp;"D")</f>
        <v>51854</v>
      </c>
      <c r="Z1844" s="154">
        <v>2.8431463449687364E-2</v>
      </c>
      <c r="AA1844" s="156">
        <v>2.8355958678905058E-2</v>
      </c>
    </row>
    <row r="1845" spans="19:27" x14ac:dyDescent="0.2">
      <c r="S1845" s="1"/>
      <c r="T1845" s="117"/>
      <c r="W1845" s="75" t="str">
        <f t="shared" si="39"/>
        <v>1w</v>
      </c>
      <c r="X1845" s="148">
        <f>_xll.qlCalendarAdvance(Calendar,X1844,W1845,"f",FALSE)</f>
        <v>51862</v>
      </c>
      <c r="Y1845" s="153">
        <f>_xll.qlCalendarAdvance(Calendar,X1845,NDays&amp;"D")</f>
        <v>51862</v>
      </c>
      <c r="Z1845" s="154">
        <v>2.8427267409078135E-2</v>
      </c>
      <c r="AA1845" s="156">
        <v>2.8353753077720038E-2</v>
      </c>
    </row>
    <row r="1846" spans="19:27" x14ac:dyDescent="0.2">
      <c r="S1846" s="1"/>
      <c r="T1846" s="117"/>
      <c r="W1846" s="75" t="str">
        <f t="shared" si="39"/>
        <v>1w</v>
      </c>
      <c r="X1846" s="148">
        <f>_xll.qlCalendarAdvance(Calendar,X1845,W1846,"f",FALSE)</f>
        <v>51869</v>
      </c>
      <c r="Y1846" s="153">
        <f>_xll.qlCalendarAdvance(Calendar,X1846,NDays&amp;"D")</f>
        <v>51869</v>
      </c>
      <c r="Z1846" s="154">
        <v>2.8423558444313671E-2</v>
      </c>
      <c r="AA1846" s="156">
        <v>2.8350284719180035E-2</v>
      </c>
    </row>
    <row r="1847" spans="19:27" x14ac:dyDescent="0.2">
      <c r="S1847" s="1"/>
      <c r="T1847" s="117"/>
      <c r="W1847" s="75" t="str">
        <f t="shared" si="39"/>
        <v>1w</v>
      </c>
      <c r="X1847" s="148">
        <f>_xll.qlCalendarAdvance(Calendar,X1846,W1847,"f",FALSE)</f>
        <v>51876</v>
      </c>
      <c r="Y1847" s="153">
        <f>_xll.qlCalendarAdvance(Calendar,X1847,NDays&amp;"D")</f>
        <v>51876</v>
      </c>
      <c r="Z1847" s="154">
        <v>2.8419814545699827E-2</v>
      </c>
      <c r="AA1847" s="156">
        <v>2.8346781658513679E-2</v>
      </c>
    </row>
    <row r="1848" spans="19:27" x14ac:dyDescent="0.2">
      <c r="S1848" s="1"/>
      <c r="T1848" s="117"/>
      <c r="W1848" s="75" t="str">
        <f t="shared" si="39"/>
        <v>1w</v>
      </c>
      <c r="X1848" s="148">
        <f>_xll.qlCalendarAdvance(Calendar,X1847,W1848,"f",FALSE)</f>
        <v>51883</v>
      </c>
      <c r="Y1848" s="153">
        <f>_xll.qlCalendarAdvance(Calendar,X1848,NDays&amp;"D")</f>
        <v>51883</v>
      </c>
      <c r="Z1848" s="154">
        <v>2.8416035713332954E-2</v>
      </c>
      <c r="AA1848" s="156">
        <v>2.8343243895774993E-2</v>
      </c>
    </row>
    <row r="1849" spans="19:27" x14ac:dyDescent="0.2">
      <c r="S1849" s="1"/>
      <c r="T1849" s="117"/>
      <c r="W1849" s="75" t="str">
        <f t="shared" si="39"/>
        <v>1w</v>
      </c>
      <c r="X1849" s="148">
        <f>_xll.qlCalendarAdvance(Calendar,X1848,W1849,"f",FALSE)</f>
        <v>51890</v>
      </c>
      <c r="Y1849" s="153">
        <f>_xll.qlCalendarAdvance(Calendar,X1849,NDays&amp;"D")</f>
        <v>51890</v>
      </c>
      <c r="Z1849" s="154">
        <v>2.8412221947308514E-2</v>
      </c>
      <c r="AA1849" s="156">
        <v>2.833967143096398E-2</v>
      </c>
    </row>
    <row r="1850" spans="19:27" x14ac:dyDescent="0.2">
      <c r="S1850" s="1"/>
      <c r="T1850" s="117"/>
      <c r="W1850" s="75" t="str">
        <f t="shared" si="39"/>
        <v>1w</v>
      </c>
      <c r="X1850" s="148">
        <f>_xll.qlCalendarAdvance(Calendar,X1849,W1850,"f",FALSE)</f>
        <v>51897</v>
      </c>
      <c r="Y1850" s="153">
        <f>_xll.qlCalendarAdvance(Calendar,X1850,NDays&amp;"D")</f>
        <v>51897</v>
      </c>
      <c r="Z1850" s="154">
        <v>2.8407551681883043E-2</v>
      </c>
      <c r="AA1850" s="156">
        <v>2.8336064264107657E-2</v>
      </c>
    </row>
    <row r="1851" spans="19:27" x14ac:dyDescent="0.2">
      <c r="S1851" s="1"/>
      <c r="T1851" s="117"/>
      <c r="W1851" s="75" t="str">
        <f t="shared" si="39"/>
        <v>1w</v>
      </c>
      <c r="X1851" s="148">
        <f>_xll.qlCalendarAdvance(Calendar,X1850,W1851,"f",FALSE)</f>
        <v>51904</v>
      </c>
      <c r="Y1851" s="153">
        <f>_xll.qlCalendarAdvance(Calendar,X1851,NDays&amp;"D")</f>
        <v>51904</v>
      </c>
      <c r="Z1851" s="154">
        <v>2.8403670845070509E-2</v>
      </c>
      <c r="AA1851" s="156">
        <v>2.8332422395179007E-2</v>
      </c>
    </row>
    <row r="1852" spans="19:27" x14ac:dyDescent="0.2">
      <c r="S1852" s="1"/>
      <c r="T1852" s="117"/>
      <c r="W1852" s="75" t="str">
        <f t="shared" si="39"/>
        <v>1w</v>
      </c>
      <c r="X1852" s="148">
        <f>_xll.qlCalendarAdvance(Calendar,X1851,W1852,"f",FALSE)</f>
        <v>51911</v>
      </c>
      <c r="Y1852" s="153">
        <f>_xll.qlCalendarAdvance(Calendar,X1852,NDays&amp;"D")</f>
        <v>51911</v>
      </c>
      <c r="Z1852" s="154">
        <v>2.8399755077557733E-2</v>
      </c>
      <c r="AA1852" s="156">
        <v>2.832874582417803E-2</v>
      </c>
    </row>
    <row r="1853" spans="19:27" x14ac:dyDescent="0.2">
      <c r="S1853" s="1"/>
      <c r="T1853" s="117"/>
      <c r="W1853" s="75" t="str">
        <f t="shared" si="39"/>
        <v>1w</v>
      </c>
      <c r="X1853" s="148">
        <f>_xll.qlCalendarAdvance(Calendar,X1852,W1853,"f",FALSE)</f>
        <v>51918</v>
      </c>
      <c r="Y1853" s="153">
        <f>_xll.qlCalendarAdvance(Calendar,X1853,NDays&amp;"D")</f>
        <v>51918</v>
      </c>
      <c r="Z1853" s="154">
        <v>2.8395804379444885E-2</v>
      </c>
      <c r="AA1853" s="156">
        <v>2.8325034551104727E-2</v>
      </c>
    </row>
    <row r="1854" spans="19:27" x14ac:dyDescent="0.2">
      <c r="S1854" s="1"/>
      <c r="T1854" s="117"/>
      <c r="W1854" s="75" t="str">
        <f t="shared" si="39"/>
        <v>1w</v>
      </c>
      <c r="X1854" s="148">
        <f>_xll.qlCalendarAdvance(Calendar,X1853,W1854,"f",FALSE)</f>
        <v>51925</v>
      </c>
      <c r="Y1854" s="153">
        <f>_xll.qlCalendarAdvance(Calendar,X1854,NDays&amp;"D")</f>
        <v>51925</v>
      </c>
      <c r="Z1854" s="154">
        <v>2.8393439254893276E-2</v>
      </c>
      <c r="AA1854" s="156">
        <v>2.8321288575959096E-2</v>
      </c>
    </row>
    <row r="1855" spans="19:27" x14ac:dyDescent="0.2">
      <c r="S1855" s="1"/>
      <c r="T1855" s="117"/>
      <c r="W1855" s="75" t="str">
        <f t="shared" si="39"/>
        <v>1w</v>
      </c>
      <c r="X1855" s="148">
        <f>_xll.qlCalendarAdvance(Calendar,X1854,W1855,"f",FALSE)</f>
        <v>51932</v>
      </c>
      <c r="Y1855" s="153">
        <f>_xll.qlCalendarAdvance(Calendar,X1855,NDays&amp;"D")</f>
        <v>51932</v>
      </c>
      <c r="Z1855" s="154">
        <v>2.839183371904477E-2</v>
      </c>
      <c r="AA1855" s="156">
        <v>2.8317507898822186E-2</v>
      </c>
    </row>
    <row r="1856" spans="19:27" x14ac:dyDescent="0.2">
      <c r="S1856" s="1"/>
      <c r="T1856" s="117"/>
      <c r="W1856" s="75" t="str">
        <f t="shared" si="39"/>
        <v>1w</v>
      </c>
      <c r="X1856" s="148">
        <f>_xll.qlCalendarAdvance(Calendar,X1855,W1856,"f",FALSE)</f>
        <v>51939</v>
      </c>
      <c r="Y1856" s="153">
        <f>_xll.qlCalendarAdvance(Calendar,X1856,NDays&amp;"D")</f>
        <v>51939</v>
      </c>
      <c r="Z1856" s="154">
        <v>2.8387764178092828E-2</v>
      </c>
      <c r="AA1856" s="156">
        <v>2.8313692519558918E-2</v>
      </c>
    </row>
    <row r="1857" spans="19:27" x14ac:dyDescent="0.2">
      <c r="S1857" s="1"/>
      <c r="T1857" s="117"/>
      <c r="W1857" s="75" t="str">
        <f t="shared" si="39"/>
        <v>1w</v>
      </c>
      <c r="X1857" s="148">
        <f>_xll.qlCalendarAdvance(Calendar,X1856,W1857,"f",FALSE)</f>
        <v>51946</v>
      </c>
      <c r="Y1857" s="153">
        <f>_xll.qlCalendarAdvance(Calendar,X1857,NDays&amp;"D")</f>
        <v>51946</v>
      </c>
      <c r="Z1857" s="154">
        <v>2.8383659693675661E-2</v>
      </c>
      <c r="AA1857" s="156">
        <v>2.830984243830437E-2</v>
      </c>
    </row>
    <row r="1858" spans="19:27" x14ac:dyDescent="0.2">
      <c r="S1858" s="1"/>
      <c r="T1858" s="117"/>
      <c r="W1858" s="75" t="str">
        <f t="shared" si="39"/>
        <v>1w</v>
      </c>
      <c r="X1858" s="148">
        <f>_xll.qlCalendarAdvance(Calendar,X1857,W1858,"f",FALSE)</f>
        <v>51953</v>
      </c>
      <c r="Y1858" s="153">
        <f>_xll.qlCalendarAdvance(Calendar,X1858,NDays&amp;"D")</f>
        <v>51953</v>
      </c>
      <c r="Z1858" s="154">
        <v>2.8379520265901903E-2</v>
      </c>
      <c r="AA1858" s="156">
        <v>2.8305957654977492E-2</v>
      </c>
    </row>
    <row r="1859" spans="19:27" x14ac:dyDescent="0.2">
      <c r="S1859" s="1"/>
      <c r="T1859" s="117"/>
      <c r="W1859" s="75" t="str">
        <f t="shared" si="39"/>
        <v>1w</v>
      </c>
      <c r="X1859" s="148">
        <f>_xll.qlCalendarAdvance(Calendar,X1858,W1859,"f",FALSE)</f>
        <v>51964</v>
      </c>
      <c r="Y1859" s="153">
        <f>_xll.qlCalendarAdvance(Calendar,X1859,NDays&amp;"D")</f>
        <v>51964</v>
      </c>
      <c r="Z1859" s="154">
        <v>2.8370562826125514E-2</v>
      </c>
      <c r="AA1859" s="156">
        <v>2.8298154013549626E-2</v>
      </c>
    </row>
    <row r="1860" spans="19:27" x14ac:dyDescent="0.2">
      <c r="S1860" s="1"/>
      <c r="T1860" s="117"/>
      <c r="W1860" s="75" t="str">
        <f t="shared" si="39"/>
        <v>1w</v>
      </c>
      <c r="X1860" s="148">
        <f>_xll.qlCalendarAdvance(Calendar,X1859,W1860,"f",FALSE)</f>
        <v>51971</v>
      </c>
      <c r="Y1860" s="153">
        <f>_xll.qlCalendarAdvance(Calendar,X1860,NDays&amp;"D")</f>
        <v>51971</v>
      </c>
      <c r="Z1860" s="154">
        <v>2.836634201308896E-2</v>
      </c>
      <c r="AA1860" s="156">
        <v>2.8294185569199826E-2</v>
      </c>
    </row>
    <row r="1861" spans="19:27" x14ac:dyDescent="0.2">
      <c r="S1861" s="1"/>
      <c r="T1861" s="117"/>
      <c r="W1861" s="75" t="str">
        <f t="shared" si="39"/>
        <v>1w</v>
      </c>
      <c r="X1861" s="148">
        <f>_xll.qlCalendarAdvance(Calendar,X1860,W1861,"f",FALSE)</f>
        <v>51978</v>
      </c>
      <c r="Y1861" s="153">
        <f>_xll.qlCalendarAdvance(Calendar,X1861,NDays&amp;"D")</f>
        <v>51978</v>
      </c>
      <c r="Z1861" s="154">
        <v>2.8362086265042379E-2</v>
      </c>
      <c r="AA1861" s="156">
        <v>2.8290182428045707E-2</v>
      </c>
    </row>
    <row r="1862" spans="19:27" x14ac:dyDescent="0.2">
      <c r="S1862" s="1"/>
      <c r="T1862" s="117"/>
      <c r="W1862" s="75" t="str">
        <f t="shared" si="39"/>
        <v>1w</v>
      </c>
      <c r="X1862" s="148">
        <f>_xll.qlCalendarAdvance(Calendar,X1861,W1862,"f",FALSE)</f>
        <v>51985</v>
      </c>
      <c r="Y1862" s="153">
        <f>_xll.qlCalendarAdvance(Calendar,X1862,NDays&amp;"D")</f>
        <v>51985</v>
      </c>
      <c r="Z1862" s="154">
        <v>2.8357795582097101E-2</v>
      </c>
      <c r="AA1862" s="156">
        <v>2.8286144590168316E-2</v>
      </c>
    </row>
    <row r="1863" spans="19:27" x14ac:dyDescent="0.2">
      <c r="S1863" s="1"/>
      <c r="T1863" s="117"/>
      <c r="W1863" s="75" t="str">
        <f t="shared" si="39"/>
        <v>1w</v>
      </c>
      <c r="X1863" s="148">
        <f>_xll.qlCalendarAdvance(Calendar,X1862,W1863,"f",FALSE)</f>
        <v>51992</v>
      </c>
      <c r="Y1863" s="153">
        <f>_xll.qlCalendarAdvance(Calendar,X1863,NDays&amp;"D")</f>
        <v>51992</v>
      </c>
      <c r="Z1863" s="154">
        <v>2.8354252895293364E-2</v>
      </c>
      <c r="AA1863" s="156">
        <v>2.8282072055648699E-2</v>
      </c>
    </row>
    <row r="1864" spans="19:27" x14ac:dyDescent="0.2">
      <c r="S1864" s="1"/>
      <c r="T1864" s="117"/>
      <c r="W1864" s="75" t="str">
        <f t="shared" si="39"/>
        <v>1w</v>
      </c>
      <c r="X1864" s="148">
        <f>_xll.qlCalendarAdvance(Calendar,X1863,W1864,"f",FALSE)</f>
        <v>51999</v>
      </c>
      <c r="Y1864" s="153">
        <f>_xll.qlCalendarAdvance(Calendar,X1864,NDays&amp;"D")</f>
        <v>51999</v>
      </c>
      <c r="Z1864" s="154">
        <v>2.8349889509844899E-2</v>
      </c>
      <c r="AA1864" s="156">
        <v>2.8277964824243718E-2</v>
      </c>
    </row>
    <row r="1865" spans="19:27" x14ac:dyDescent="0.2">
      <c r="S1865" s="1"/>
      <c r="T1865" s="117"/>
      <c r="W1865" s="75" t="str">
        <f t="shared" si="39"/>
        <v>1w</v>
      </c>
      <c r="X1865" s="148">
        <f>_xll.qlCalendarAdvance(Calendar,X1864,W1865,"f",FALSE)</f>
        <v>52006</v>
      </c>
      <c r="Y1865" s="153">
        <f>_xll.qlCalendarAdvance(Calendar,X1865,NDays&amp;"D")</f>
        <v>52006</v>
      </c>
      <c r="Z1865" s="154">
        <v>2.8345491187191228E-2</v>
      </c>
      <c r="AA1865" s="156">
        <v>2.8273822896277556E-2</v>
      </c>
    </row>
    <row r="1866" spans="19:27" x14ac:dyDescent="0.2">
      <c r="S1866" s="1"/>
      <c r="T1866" s="117"/>
      <c r="W1866" s="75" t="str">
        <f t="shared" si="39"/>
        <v>1w</v>
      </c>
      <c r="X1866" s="148">
        <f>_xll.qlCalendarAdvance(Calendar,X1865,W1866,"f",FALSE)</f>
        <v>52013</v>
      </c>
      <c r="Y1866" s="153">
        <f>_xll.qlCalendarAdvance(Calendar,X1866,NDays&amp;"D")</f>
        <v>52013</v>
      </c>
      <c r="Z1866" s="154">
        <v>2.834105792744511E-2</v>
      </c>
      <c r="AA1866" s="156">
        <v>2.8269646271344984E-2</v>
      </c>
    </row>
    <row r="1867" spans="19:27" x14ac:dyDescent="0.2">
      <c r="S1867" s="1"/>
      <c r="T1867" s="117"/>
      <c r="W1867" s="75" t="str">
        <f t="shared" si="39"/>
        <v>1w</v>
      </c>
      <c r="X1867" s="148">
        <f>_xll.qlCalendarAdvance(Calendar,X1866,W1867,"f",FALSE)</f>
        <v>52020</v>
      </c>
      <c r="Y1867" s="153">
        <f>_xll.qlCalendarAdvance(Calendar,X1867,NDays&amp;"D")</f>
        <v>52020</v>
      </c>
      <c r="Z1867" s="154">
        <v>2.8336589730726353E-2</v>
      </c>
      <c r="AA1867" s="156">
        <v>2.8265434949932278E-2</v>
      </c>
    </row>
    <row r="1868" spans="19:27" x14ac:dyDescent="0.2">
      <c r="S1868" s="1"/>
      <c r="T1868" s="117"/>
      <c r="W1868" s="75" t="str">
        <f t="shared" si="39"/>
        <v>1w</v>
      </c>
      <c r="X1868" s="148">
        <f>_xll.qlCalendarAdvance(Calendar,X1867,W1868,"f",FALSE)</f>
        <v>52027</v>
      </c>
      <c r="Y1868" s="153">
        <f>_xll.qlCalendarAdvance(Calendar,X1868,NDays&amp;"D")</f>
        <v>52027</v>
      </c>
      <c r="Z1868" s="154">
        <v>2.8332086597149479E-2</v>
      </c>
      <c r="AA1868" s="156">
        <v>2.8261188931553161E-2</v>
      </c>
    </row>
    <row r="1869" spans="19:27" x14ac:dyDescent="0.2">
      <c r="S1869" s="1"/>
      <c r="T1869" s="117"/>
      <c r="W1869" s="75" t="str">
        <f t="shared" si="39"/>
        <v>1w</v>
      </c>
      <c r="X1869" s="148">
        <f>_xll.qlCalendarAdvance(Calendar,X1868,W1869,"f",FALSE)</f>
        <v>52034</v>
      </c>
      <c r="Y1869" s="153">
        <f>_xll.qlCalendarAdvance(Calendar,X1869,NDays&amp;"D")</f>
        <v>52034</v>
      </c>
      <c r="Z1869" s="154">
        <v>2.8327548526833418E-2</v>
      </c>
      <c r="AA1869" s="156">
        <v>2.8256908216531818E-2</v>
      </c>
    </row>
    <row r="1870" spans="19:27" x14ac:dyDescent="0.2">
      <c r="S1870" s="1"/>
      <c r="T1870" s="117"/>
      <c r="W1870" s="75" t="str">
        <f t="shared" si="39"/>
        <v>1w</v>
      </c>
      <c r="X1870" s="148">
        <f>_xll.qlCalendarAdvance(Calendar,X1869,W1870,"f",FALSE)</f>
        <v>52041</v>
      </c>
      <c r="Y1870" s="153">
        <f>_xll.qlCalendarAdvance(Calendar,X1870,NDays&amp;"D")</f>
        <v>52041</v>
      </c>
      <c r="Z1870" s="154">
        <v>2.8322975519898853E-2</v>
      </c>
      <c r="AA1870" s="156">
        <v>2.8252592804787202E-2</v>
      </c>
    </row>
    <row r="1871" spans="19:27" x14ac:dyDescent="0.2">
      <c r="S1871" s="1"/>
      <c r="T1871" s="117"/>
      <c r="W1871" s="75" t="str">
        <f t="shared" si="39"/>
        <v>1w</v>
      </c>
      <c r="X1871" s="148">
        <f>_xll.qlCalendarAdvance(Calendar,X1870,W1871,"f",FALSE)</f>
        <v>52048</v>
      </c>
      <c r="Y1871" s="153">
        <f>_xll.qlCalendarAdvance(Calendar,X1871,NDays&amp;"D")</f>
        <v>52048</v>
      </c>
      <c r="Z1871" s="154">
        <v>2.8318367576462951E-2</v>
      </c>
      <c r="AA1871" s="156">
        <v>2.8248242696400361E-2</v>
      </c>
    </row>
    <row r="1872" spans="19:27" x14ac:dyDescent="0.2">
      <c r="S1872" s="1"/>
      <c r="T1872" s="117"/>
      <c r="W1872" s="75" t="str">
        <f t="shared" si="39"/>
        <v>1w</v>
      </c>
      <c r="X1872" s="148">
        <f>_xll.qlCalendarAdvance(Calendar,X1871,W1872,"f",FALSE)</f>
        <v>52055</v>
      </c>
      <c r="Y1872" s="153">
        <f>_xll.qlCalendarAdvance(Calendar,X1872,NDays&amp;"D")</f>
        <v>52055</v>
      </c>
      <c r="Z1872" s="154">
        <v>2.8313724696649046E-2</v>
      </c>
      <c r="AA1872" s="156">
        <v>2.8243857891209201E-2</v>
      </c>
    </row>
    <row r="1873" spans="19:27" x14ac:dyDescent="0.2">
      <c r="S1873" s="1"/>
      <c r="T1873" s="117"/>
      <c r="W1873" s="75" t="str">
        <f t="shared" si="39"/>
        <v>1w</v>
      </c>
      <c r="X1873" s="148">
        <f>_xll.qlCalendarAdvance(Calendar,X1872,W1873,"f",FALSE)</f>
        <v>52062</v>
      </c>
      <c r="Y1873" s="153">
        <f>_xll.qlCalendarAdvance(Calendar,X1873,NDays&amp;"D")</f>
        <v>52062</v>
      </c>
      <c r="Z1873" s="154">
        <v>2.8309046880576939E-2</v>
      </c>
      <c r="AA1873" s="156">
        <v>2.8239438389213722E-2</v>
      </c>
    </row>
    <row r="1874" spans="19:27" x14ac:dyDescent="0.2">
      <c r="S1874" s="1"/>
      <c r="T1874" s="117"/>
      <c r="W1874" s="75" t="str">
        <f t="shared" si="39"/>
        <v>1w</v>
      </c>
      <c r="X1874" s="148">
        <f>_xll.qlCalendarAdvance(Calendar,X1873,W1874,"f",FALSE)</f>
        <v>52069</v>
      </c>
      <c r="Y1874" s="153">
        <f>_xll.qlCalendarAdvance(Calendar,X1874,NDays&amp;"D")</f>
        <v>52069</v>
      </c>
      <c r="Z1874" s="154">
        <v>2.8304334128370849E-2</v>
      </c>
      <c r="AA1874" s="156">
        <v>2.8234984190657064E-2</v>
      </c>
    </row>
    <row r="1875" spans="19:27" x14ac:dyDescent="0.2">
      <c r="S1875" s="1"/>
      <c r="T1875" s="117"/>
      <c r="W1875" s="75" t="str">
        <f t="shared" si="39"/>
        <v>1w</v>
      </c>
      <c r="X1875" s="148">
        <f>_xll.qlCalendarAdvance(Calendar,X1874,W1875,"f",FALSE)</f>
        <v>52076</v>
      </c>
      <c r="Y1875" s="153">
        <f>_xll.qlCalendarAdvance(Calendar,X1875,NDays&amp;"D")</f>
        <v>52076</v>
      </c>
      <c r="Z1875" s="154">
        <v>2.8299586440154106E-2</v>
      </c>
      <c r="AA1875" s="156">
        <v>2.8230495295296087E-2</v>
      </c>
    </row>
    <row r="1876" spans="19:27" x14ac:dyDescent="0.2">
      <c r="S1876" s="1"/>
      <c r="T1876" s="117"/>
      <c r="W1876" s="75" t="str">
        <f t="shared" si="39"/>
        <v>1w</v>
      </c>
      <c r="X1876" s="148">
        <f>_xll.qlCalendarAdvance(Calendar,X1875,W1876,"f",FALSE)</f>
        <v>52083</v>
      </c>
      <c r="Y1876" s="153">
        <f>_xll.qlCalendarAdvance(Calendar,X1876,NDays&amp;"D")</f>
        <v>52083</v>
      </c>
      <c r="Z1876" s="154">
        <v>2.8294803816050037E-2</v>
      </c>
      <c r="AA1876" s="156">
        <v>2.8225971703211838E-2</v>
      </c>
    </row>
    <row r="1877" spans="19:27" x14ac:dyDescent="0.2">
      <c r="S1877" s="1"/>
      <c r="T1877" s="117"/>
      <c r="W1877" s="75" t="str">
        <f t="shared" ref="W1877:W1940" si="40">W1876</f>
        <v>1w</v>
      </c>
      <c r="X1877" s="148">
        <f>_xll.qlCalendarAdvance(Calendar,X1876,W1877,"f",FALSE)</f>
        <v>52090</v>
      </c>
      <c r="Y1877" s="153">
        <f>_xll.qlCalendarAdvance(Calendar,X1877,NDays&amp;"D")</f>
        <v>52090</v>
      </c>
      <c r="Z1877" s="154">
        <v>2.8289986256186381E-2</v>
      </c>
      <c r="AA1877" s="156">
        <v>2.8221413414404317E-2</v>
      </c>
    </row>
    <row r="1878" spans="19:27" x14ac:dyDescent="0.2">
      <c r="S1878" s="1"/>
      <c r="T1878" s="117"/>
      <c r="W1878" s="75" t="str">
        <f t="shared" si="40"/>
        <v>1w</v>
      </c>
      <c r="X1878" s="148">
        <f>_xll.qlCalendarAdvance(Calendar,X1877,W1878,"f",FALSE)</f>
        <v>52097</v>
      </c>
      <c r="Y1878" s="153">
        <f>_xll.qlCalendarAdvance(Calendar,X1878,NDays&amp;"D")</f>
        <v>52097</v>
      </c>
      <c r="Z1878" s="154">
        <v>2.8285133760686469E-2</v>
      </c>
      <c r="AA1878" s="156">
        <v>2.8216820428873524E-2</v>
      </c>
    </row>
    <row r="1879" spans="19:27" x14ac:dyDescent="0.2">
      <c r="S1879" s="1"/>
      <c r="T1879" s="117"/>
      <c r="W1879" s="75" t="str">
        <f t="shared" si="40"/>
        <v>1w</v>
      </c>
      <c r="X1879" s="148">
        <f>_xll.qlCalendarAdvance(Calendar,X1878,W1879,"f",FALSE)</f>
        <v>52104</v>
      </c>
      <c r="Y1879" s="153">
        <f>_xll.qlCalendarAdvance(Calendar,X1879,NDays&amp;"D")</f>
        <v>52104</v>
      </c>
      <c r="Z1879" s="154">
        <v>2.8280246329680681E-2</v>
      </c>
      <c r="AA1879" s="156">
        <v>2.8212192746619458E-2</v>
      </c>
    </row>
    <row r="1880" spans="19:27" x14ac:dyDescent="0.2">
      <c r="S1880" s="1"/>
      <c r="T1880" s="117"/>
      <c r="W1880" s="75" t="str">
        <f t="shared" si="40"/>
        <v>1w</v>
      </c>
      <c r="X1880" s="148">
        <f>_xll.qlCalendarAdvance(Calendar,X1879,W1880,"f",FALSE)</f>
        <v>52111</v>
      </c>
      <c r="Y1880" s="153">
        <f>_xll.qlCalendarAdvance(Calendar,X1880,NDays&amp;"D")</f>
        <v>52111</v>
      </c>
      <c r="Z1880" s="154">
        <v>2.8274589552627596E-2</v>
      </c>
      <c r="AA1880" s="156">
        <v>2.820753036764212E-2</v>
      </c>
    </row>
    <row r="1881" spans="19:27" x14ac:dyDescent="0.2">
      <c r="S1881" s="1"/>
      <c r="T1881" s="117"/>
      <c r="W1881" s="75" t="str">
        <f t="shared" si="40"/>
        <v>1w</v>
      </c>
      <c r="X1881" s="148">
        <f>_xll.qlCalendarAdvance(Calendar,X1880,W1881,"f",FALSE)</f>
        <v>52118</v>
      </c>
      <c r="Y1881" s="153">
        <f>_xll.qlCalendarAdvance(Calendar,X1881,NDays&amp;"D")</f>
        <v>52118</v>
      </c>
      <c r="Z1881" s="154">
        <v>2.8269635128784349E-2</v>
      </c>
      <c r="AA1881" s="156">
        <v>2.8202833292022556E-2</v>
      </c>
    </row>
    <row r="1882" spans="19:27" x14ac:dyDescent="0.2">
      <c r="S1882" s="1"/>
      <c r="T1882" s="117"/>
      <c r="W1882" s="75" t="str">
        <f t="shared" si="40"/>
        <v>1w</v>
      </c>
      <c r="X1882" s="148">
        <f>_xll.qlCalendarAdvance(Calendar,X1881,W1882,"f",FALSE)</f>
        <v>52125</v>
      </c>
      <c r="Y1882" s="153">
        <f>_xll.qlCalendarAdvance(Calendar,X1882,NDays&amp;"D")</f>
        <v>52125</v>
      </c>
      <c r="Z1882" s="154">
        <v>2.8264645772439947E-2</v>
      </c>
      <c r="AA1882" s="156">
        <v>2.8198101519598673E-2</v>
      </c>
    </row>
    <row r="1883" spans="19:27" x14ac:dyDescent="0.2">
      <c r="S1883" s="1"/>
      <c r="T1883" s="117"/>
      <c r="W1883" s="75" t="str">
        <f t="shared" si="40"/>
        <v>1w</v>
      </c>
      <c r="X1883" s="148">
        <f>_xll.qlCalendarAdvance(Calendar,X1882,W1883,"f",FALSE)</f>
        <v>52132</v>
      </c>
      <c r="Y1883" s="153">
        <f>_xll.qlCalendarAdvance(Calendar,X1883,NDays&amp;"D")</f>
        <v>52132</v>
      </c>
      <c r="Z1883" s="154">
        <v>2.8259621483725315E-2</v>
      </c>
      <c r="AA1883" s="156">
        <v>2.8193335050532564E-2</v>
      </c>
    </row>
    <row r="1884" spans="19:27" x14ac:dyDescent="0.2">
      <c r="S1884" s="1"/>
      <c r="T1884" s="117"/>
      <c r="W1884" s="75" t="str">
        <f t="shared" si="40"/>
        <v>1w</v>
      </c>
      <c r="X1884" s="148">
        <f>_xll.qlCalendarAdvance(Calendar,X1883,W1884,"f",FALSE)</f>
        <v>52139</v>
      </c>
      <c r="Y1884" s="153">
        <f>_xll.qlCalendarAdvance(Calendar,X1884,NDays&amp;"D")</f>
        <v>52139</v>
      </c>
      <c r="Z1884" s="154">
        <v>2.8255285146559891E-2</v>
      </c>
      <c r="AA1884" s="156">
        <v>2.8188533884662137E-2</v>
      </c>
    </row>
    <row r="1885" spans="19:27" x14ac:dyDescent="0.2">
      <c r="S1885" s="1"/>
      <c r="T1885" s="117"/>
      <c r="W1885" s="75" t="str">
        <f t="shared" si="40"/>
        <v>1w</v>
      </c>
      <c r="X1885" s="148">
        <f>_xll.qlCalendarAdvance(Calendar,X1884,W1885,"f",FALSE)</f>
        <v>52146</v>
      </c>
      <c r="Y1885" s="153">
        <f>_xll.qlCalendarAdvance(Calendar,X1885,NDays&amp;"D")</f>
        <v>52146</v>
      </c>
      <c r="Z1885" s="154">
        <v>2.825018810523389E-2</v>
      </c>
      <c r="AA1885" s="156">
        <v>2.8183698022068437E-2</v>
      </c>
    </row>
    <row r="1886" spans="19:27" x14ac:dyDescent="0.2">
      <c r="S1886" s="1"/>
      <c r="T1886" s="117"/>
      <c r="W1886" s="75" t="str">
        <f t="shared" si="40"/>
        <v>1w</v>
      </c>
      <c r="X1886" s="148">
        <f>_xll.qlCalendarAdvance(Calendar,X1885,W1886,"f",FALSE)</f>
        <v>52153</v>
      </c>
      <c r="Y1886" s="153">
        <f>_xll.qlCalendarAdvance(Calendar,X1886,NDays&amp;"D")</f>
        <v>52153</v>
      </c>
      <c r="Z1886" s="154">
        <v>2.8245056129319067E-2</v>
      </c>
      <c r="AA1886" s="156">
        <v>2.8178827462913558E-2</v>
      </c>
    </row>
    <row r="1887" spans="19:27" x14ac:dyDescent="0.2">
      <c r="S1887" s="1"/>
      <c r="T1887" s="117"/>
      <c r="W1887" s="75" t="str">
        <f t="shared" si="40"/>
        <v>1w</v>
      </c>
      <c r="X1887" s="148">
        <f>_xll.qlCalendarAdvance(Calendar,X1886,W1887,"f",FALSE)</f>
        <v>52160</v>
      </c>
      <c r="Y1887" s="153">
        <f>_xll.qlCalendarAdvance(Calendar,X1887,NDays&amp;"D")</f>
        <v>52160</v>
      </c>
      <c r="Z1887" s="154">
        <v>2.8239889218946684E-2</v>
      </c>
      <c r="AA1887" s="156">
        <v>2.8173922206873314E-2</v>
      </c>
    </row>
    <row r="1888" spans="19:27" x14ac:dyDescent="0.2">
      <c r="S1888" s="1"/>
      <c r="T1888" s="117"/>
      <c r="W1888" s="75" t="str">
        <f t="shared" si="40"/>
        <v>1w</v>
      </c>
      <c r="X1888" s="148">
        <f>_xll.qlCalendarAdvance(Calendar,X1887,W1888,"f",FALSE)</f>
        <v>52167</v>
      </c>
      <c r="Y1888" s="153">
        <f>_xll.qlCalendarAdvance(Calendar,X1888,NDays&amp;"D")</f>
        <v>52167</v>
      </c>
      <c r="Z1888" s="154">
        <v>2.8234687374255048E-2</v>
      </c>
      <c r="AA1888" s="156">
        <v>2.816898225427189E-2</v>
      </c>
    </row>
    <row r="1889" spans="19:27" x14ac:dyDescent="0.2">
      <c r="S1889" s="1"/>
      <c r="T1889" s="117"/>
      <c r="W1889" s="75" t="str">
        <f t="shared" si="40"/>
        <v>1w</v>
      </c>
      <c r="X1889" s="148">
        <f>_xll.qlCalendarAdvance(Calendar,X1888,W1889,"f",FALSE)</f>
        <v>52174</v>
      </c>
      <c r="Y1889" s="153">
        <f>_xll.qlCalendarAdvance(Calendar,X1889,NDays&amp;"D")</f>
        <v>52174</v>
      </c>
      <c r="Z1889" s="154">
        <v>2.8229450595378063E-2</v>
      </c>
      <c r="AA1889" s="156">
        <v>2.8164007604947194E-2</v>
      </c>
    </row>
    <row r="1890" spans="19:27" x14ac:dyDescent="0.2">
      <c r="S1890" s="1"/>
      <c r="T1890" s="117"/>
      <c r="W1890" s="75" t="str">
        <f t="shared" si="40"/>
        <v>1w</v>
      </c>
      <c r="X1890" s="148">
        <f>_xll.qlCalendarAdvance(Calendar,X1889,W1890,"f",FALSE)</f>
        <v>52181</v>
      </c>
      <c r="Y1890" s="153">
        <f>_xll.qlCalendarAdvance(Calendar,X1890,NDays&amp;"D")</f>
        <v>52181</v>
      </c>
      <c r="Z1890" s="154">
        <v>2.8224178882455792E-2</v>
      </c>
      <c r="AA1890" s="156">
        <v>2.8158998258899226E-2</v>
      </c>
    </row>
    <row r="1891" spans="19:27" x14ac:dyDescent="0.2">
      <c r="S1891" s="1"/>
      <c r="T1891" s="117"/>
      <c r="W1891" s="75" t="str">
        <f t="shared" si="40"/>
        <v>1w</v>
      </c>
      <c r="X1891" s="148">
        <f>_xll.qlCalendarAdvance(Calendar,X1890,W1891,"f",FALSE)</f>
        <v>52188</v>
      </c>
      <c r="Y1891" s="153">
        <f>_xll.qlCalendarAdvance(Calendar,X1891,NDays&amp;"D")</f>
        <v>52188</v>
      </c>
      <c r="Z1891" s="154">
        <v>2.8218872235624786E-2</v>
      </c>
      <c r="AA1891" s="156">
        <v>2.8153954216127985E-2</v>
      </c>
    </row>
    <row r="1892" spans="19:27" x14ac:dyDescent="0.2">
      <c r="S1892" s="1"/>
      <c r="T1892" s="117"/>
      <c r="W1892" s="75" t="str">
        <f t="shared" si="40"/>
        <v>1w</v>
      </c>
      <c r="X1892" s="148">
        <f>_xll.qlCalendarAdvance(Calendar,X1891,W1892,"f",FALSE)</f>
        <v>52195</v>
      </c>
      <c r="Y1892" s="153">
        <f>_xll.qlCalendarAdvance(Calendar,X1892,NDays&amp;"D")</f>
        <v>52195</v>
      </c>
      <c r="Z1892" s="154">
        <v>2.8213530655025992E-2</v>
      </c>
      <c r="AA1892" s="156">
        <v>2.8148875476714519E-2</v>
      </c>
    </row>
    <row r="1893" spans="19:27" x14ac:dyDescent="0.2">
      <c r="S1893" s="1"/>
      <c r="T1893" s="117"/>
      <c r="W1893" s="75" t="str">
        <f t="shared" si="40"/>
        <v>1w</v>
      </c>
      <c r="X1893" s="148">
        <f>_xll.qlCalendarAdvance(Calendar,X1892,W1893,"f",FALSE)</f>
        <v>52202</v>
      </c>
      <c r="Y1893" s="153">
        <f>_xll.qlCalendarAdvance(Calendar,X1893,NDays&amp;"D")</f>
        <v>52202</v>
      </c>
      <c r="Z1893" s="154">
        <v>2.8206760307901778E-2</v>
      </c>
      <c r="AA1893" s="156">
        <v>2.8143762040496734E-2</v>
      </c>
    </row>
    <row r="1894" spans="19:27" x14ac:dyDescent="0.2">
      <c r="S1894" s="1"/>
      <c r="T1894" s="117"/>
      <c r="W1894" s="75" t="str">
        <f t="shared" si="40"/>
        <v>1w</v>
      </c>
      <c r="X1894" s="148">
        <f>_xll.qlCalendarAdvance(Calendar,X1893,W1894,"f",FALSE)</f>
        <v>52209</v>
      </c>
      <c r="Y1894" s="153">
        <f>_xll.qlCalendarAdvance(Calendar,X1894,NDays&amp;"D")</f>
        <v>52209</v>
      </c>
      <c r="Z1894" s="154">
        <v>2.8201354683232632E-2</v>
      </c>
      <c r="AA1894" s="156">
        <v>2.8138613907636723E-2</v>
      </c>
    </row>
    <row r="1895" spans="19:27" x14ac:dyDescent="0.2">
      <c r="S1895" s="1"/>
      <c r="T1895" s="117"/>
      <c r="W1895" s="75" t="str">
        <f t="shared" si="40"/>
        <v>1w</v>
      </c>
      <c r="X1895" s="148">
        <f>_xll.qlCalendarAdvance(Calendar,X1894,W1895,"f",FALSE)</f>
        <v>52216</v>
      </c>
      <c r="Y1895" s="153">
        <f>_xll.qlCalendarAdvance(Calendar,X1895,NDays&amp;"D")</f>
        <v>52216</v>
      </c>
      <c r="Z1895" s="154">
        <v>2.8195914130416163E-2</v>
      </c>
      <c r="AA1895" s="156">
        <v>2.8133431078053439E-2</v>
      </c>
    </row>
    <row r="1896" spans="19:27" x14ac:dyDescent="0.2">
      <c r="S1896" s="1"/>
      <c r="T1896" s="117"/>
      <c r="W1896" s="75" t="str">
        <f t="shared" si="40"/>
        <v>1w</v>
      </c>
      <c r="X1896" s="148">
        <f>_xll.qlCalendarAdvance(Calendar,X1895,W1896,"f",FALSE)</f>
        <v>52223</v>
      </c>
      <c r="Y1896" s="153">
        <f>_xll.qlCalendarAdvance(Calendar,X1896,NDays&amp;"D")</f>
        <v>52223</v>
      </c>
      <c r="Z1896" s="154">
        <v>2.8190438649593749E-2</v>
      </c>
      <c r="AA1896" s="156">
        <v>2.8128213551908976E-2</v>
      </c>
    </row>
    <row r="1897" spans="19:27" x14ac:dyDescent="0.2">
      <c r="S1897" s="1"/>
      <c r="T1897" s="117"/>
      <c r="W1897" s="75" t="str">
        <f t="shared" si="40"/>
        <v>1w</v>
      </c>
      <c r="X1897" s="148">
        <f>_xll.qlCalendarAdvance(Calendar,X1896,W1897,"f",FALSE)</f>
        <v>52230</v>
      </c>
      <c r="Y1897" s="153">
        <f>_xll.qlCalendarAdvance(Calendar,X1897,NDays&amp;"D")</f>
        <v>52230</v>
      </c>
      <c r="Z1897" s="154">
        <v>2.8185613617432711E-2</v>
      </c>
      <c r="AA1897" s="156">
        <v>2.8122961328879148E-2</v>
      </c>
    </row>
    <row r="1898" spans="19:27" x14ac:dyDescent="0.2">
      <c r="S1898" s="1"/>
      <c r="T1898" s="117"/>
      <c r="W1898" s="75" t="str">
        <f t="shared" si="40"/>
        <v>1w</v>
      </c>
      <c r="X1898" s="148">
        <f>_xll.qlCalendarAdvance(Calendar,X1897,W1898,"f",FALSE)</f>
        <v>52237</v>
      </c>
      <c r="Y1898" s="153">
        <f>_xll.qlCalendarAdvance(Calendar,X1898,NDays&amp;"D")</f>
        <v>52237</v>
      </c>
      <c r="Z1898" s="154">
        <v>2.8179382904485802E-2</v>
      </c>
      <c r="AA1898" s="156">
        <v>2.8117674409207094E-2</v>
      </c>
    </row>
    <row r="1899" spans="19:27" x14ac:dyDescent="0.2">
      <c r="S1899" s="1"/>
      <c r="T1899" s="117"/>
      <c r="W1899" s="75" t="str">
        <f t="shared" si="40"/>
        <v>1w</v>
      </c>
      <c r="X1899" s="148">
        <f>_xll.qlCalendarAdvance(Calendar,X1898,W1899,"f",FALSE)</f>
        <v>52244</v>
      </c>
      <c r="Y1899" s="153">
        <f>_xll.qlCalendarAdvance(Calendar,X1899,NDays&amp;"D")</f>
        <v>52244</v>
      </c>
      <c r="Z1899" s="154">
        <v>2.8173802640485735E-2</v>
      </c>
      <c r="AA1899" s="156">
        <v>2.811235279297386E-2</v>
      </c>
    </row>
    <row r="1900" spans="19:27" x14ac:dyDescent="0.2">
      <c r="S1900" s="1"/>
      <c r="T1900" s="117"/>
      <c r="W1900" s="75" t="str">
        <f t="shared" si="40"/>
        <v>1w</v>
      </c>
      <c r="X1900" s="148">
        <f>_xll.qlCalendarAdvance(Calendar,X1899,W1900,"f",FALSE)</f>
        <v>52251</v>
      </c>
      <c r="Y1900" s="153">
        <f>_xll.qlCalendarAdvance(Calendar,X1900,NDays&amp;"D")</f>
        <v>52251</v>
      </c>
      <c r="Z1900" s="154">
        <v>2.8168187449045246E-2</v>
      </c>
      <c r="AA1900" s="156">
        <v>2.8106996479855262E-2</v>
      </c>
    </row>
    <row r="1901" spans="19:27" x14ac:dyDescent="0.2">
      <c r="S1901" s="1"/>
      <c r="T1901" s="117"/>
      <c r="W1901" s="75" t="str">
        <f t="shared" si="40"/>
        <v>1w</v>
      </c>
      <c r="X1901" s="148">
        <f>_xll.qlCalendarAdvance(Calendar,X1900,W1901,"f",FALSE)</f>
        <v>52258</v>
      </c>
      <c r="Y1901" s="153">
        <f>_xll.qlCalendarAdvance(Calendar,X1901,NDays&amp;"D")</f>
        <v>52258</v>
      </c>
      <c r="Z1901" s="154">
        <v>2.8162537330309319E-2</v>
      </c>
      <c r="AA1901" s="156">
        <v>2.810160547025653E-2</v>
      </c>
    </row>
    <row r="1902" spans="19:27" x14ac:dyDescent="0.2">
      <c r="S1902" s="1"/>
      <c r="T1902" s="117"/>
      <c r="W1902" s="75" t="str">
        <f t="shared" si="40"/>
        <v>1w</v>
      </c>
      <c r="X1902" s="148">
        <f>_xll.qlCalendarAdvance(Calendar,X1901,W1902,"f",FALSE)</f>
        <v>52265</v>
      </c>
      <c r="Y1902" s="153">
        <f>_xll.qlCalendarAdvance(Calendar,X1902,NDays&amp;"D")</f>
        <v>52265</v>
      </c>
      <c r="Z1902" s="154">
        <v>2.8157523026493322E-2</v>
      </c>
      <c r="AA1902" s="156">
        <v>2.8096179763772433E-2</v>
      </c>
    </row>
    <row r="1903" spans="19:27" x14ac:dyDescent="0.2">
      <c r="S1903" s="1"/>
      <c r="T1903" s="117"/>
      <c r="W1903" s="75" t="str">
        <f t="shared" si="40"/>
        <v>1w</v>
      </c>
      <c r="X1903" s="148">
        <f>_xll.qlCalendarAdvance(Calendar,X1902,W1903,"f",FALSE)</f>
        <v>52272</v>
      </c>
      <c r="Y1903" s="153">
        <f>_xll.qlCalendarAdvance(Calendar,X1903,NDays&amp;"D")</f>
        <v>52272</v>
      </c>
      <c r="Z1903" s="154">
        <v>2.8151132311528378E-2</v>
      </c>
      <c r="AA1903" s="156">
        <v>2.8090719360727157E-2</v>
      </c>
    </row>
    <row r="1904" spans="19:27" x14ac:dyDescent="0.2">
      <c r="S1904" s="1"/>
      <c r="T1904" s="117"/>
      <c r="W1904" s="75" t="str">
        <f t="shared" si="40"/>
        <v>1w</v>
      </c>
      <c r="X1904" s="148">
        <f>_xll.qlCalendarAdvance(Calendar,X1903,W1904,"f",FALSE)</f>
        <v>52279</v>
      </c>
      <c r="Y1904" s="153">
        <f>_xll.qlCalendarAdvance(Calendar,X1904,NDays&amp;"D")</f>
        <v>52279</v>
      </c>
      <c r="Z1904" s="154">
        <v>2.8145377411776931E-2</v>
      </c>
      <c r="AA1904" s="156">
        <v>2.8085224260958608E-2</v>
      </c>
    </row>
    <row r="1905" spans="19:27" x14ac:dyDescent="0.2">
      <c r="S1905" s="1"/>
      <c r="T1905" s="117"/>
      <c r="W1905" s="75" t="str">
        <f t="shared" si="40"/>
        <v>1w</v>
      </c>
      <c r="X1905" s="148">
        <f>_xll.qlCalendarAdvance(Calendar,X1904,W1905,"f",FALSE)</f>
        <v>52286</v>
      </c>
      <c r="Y1905" s="153">
        <f>_xll.qlCalendarAdvance(Calendar,X1905,NDays&amp;"D")</f>
        <v>52286</v>
      </c>
      <c r="Z1905" s="154">
        <v>2.8140249515667261E-2</v>
      </c>
      <c r="AA1905" s="156">
        <v>2.8079694464547833E-2</v>
      </c>
    </row>
    <row r="1906" spans="19:27" x14ac:dyDescent="0.2">
      <c r="S1906" s="1"/>
      <c r="T1906" s="117"/>
      <c r="W1906" s="75" t="str">
        <f t="shared" si="40"/>
        <v>1w</v>
      </c>
      <c r="X1906" s="148">
        <f>_xll.qlCalendarAdvance(Calendar,X1905,W1906,"f",FALSE)</f>
        <v>52293</v>
      </c>
      <c r="Y1906" s="153">
        <f>_xll.qlCalendarAdvance(Calendar,X1906,NDays&amp;"D")</f>
        <v>52293</v>
      </c>
      <c r="Z1906" s="154">
        <v>2.8135080561017965E-2</v>
      </c>
      <c r="AA1906" s="156">
        <v>2.8074129971413786E-2</v>
      </c>
    </row>
    <row r="1907" spans="19:27" x14ac:dyDescent="0.2">
      <c r="S1907" s="1"/>
      <c r="T1907" s="117"/>
      <c r="W1907" s="75" t="str">
        <f t="shared" si="40"/>
        <v>1w</v>
      </c>
      <c r="X1907" s="148">
        <f>_xll.qlCalendarAdvance(Calendar,X1906,W1907,"f",FALSE)</f>
        <v>52300</v>
      </c>
      <c r="Y1907" s="153">
        <f>_xll.qlCalendarAdvance(Calendar,X1907,NDays&amp;"D")</f>
        <v>52300</v>
      </c>
      <c r="Z1907" s="154">
        <v>2.8129214991210155E-2</v>
      </c>
      <c r="AA1907" s="156">
        <v>2.8068530781637513E-2</v>
      </c>
    </row>
    <row r="1908" spans="19:27" x14ac:dyDescent="0.2">
      <c r="S1908" s="1"/>
      <c r="T1908" s="117"/>
      <c r="W1908" s="75" t="str">
        <f t="shared" si="40"/>
        <v>1w</v>
      </c>
      <c r="X1908" s="148">
        <f>_xll.qlCalendarAdvance(Calendar,X1907,W1908,"f",FALSE)</f>
        <v>52307</v>
      </c>
      <c r="Y1908" s="153">
        <f>_xll.qlCalendarAdvance(Calendar,X1908,NDays&amp;"D")</f>
        <v>52307</v>
      </c>
      <c r="Z1908" s="154">
        <v>2.8123314489986666E-2</v>
      </c>
      <c r="AA1908" s="156">
        <v>2.806289689530006E-2</v>
      </c>
    </row>
    <row r="1909" spans="19:27" x14ac:dyDescent="0.2">
      <c r="S1909" s="1"/>
      <c r="T1909" s="117"/>
      <c r="W1909" s="75" t="str">
        <f t="shared" si="40"/>
        <v>1w</v>
      </c>
      <c r="X1909" s="148">
        <f>_xll.qlCalendarAdvance(Calendar,X1908,W1909,"f",FALSE)</f>
        <v>52314</v>
      </c>
      <c r="Y1909" s="153">
        <f>_xll.qlCalendarAdvance(Calendar,X1909,NDays&amp;"D")</f>
        <v>52314</v>
      </c>
      <c r="Z1909" s="154">
        <v>2.8117379057499014E-2</v>
      </c>
      <c r="AA1909" s="156">
        <v>2.8057228311996196E-2</v>
      </c>
    </row>
    <row r="1910" spans="19:27" x14ac:dyDescent="0.2">
      <c r="S1910" s="1"/>
      <c r="T1910" s="117"/>
      <c r="W1910" s="75" t="str">
        <f t="shared" si="40"/>
        <v>1w</v>
      </c>
      <c r="X1910" s="148">
        <f>_xll.qlCalendarAdvance(Calendar,X1909,W1910,"f",FALSE)</f>
        <v>52321</v>
      </c>
      <c r="Y1910" s="153">
        <f>_xll.qlCalendarAdvance(Calendar,X1910,NDays&amp;"D")</f>
        <v>52321</v>
      </c>
      <c r="Z1910" s="154">
        <v>2.8110761750131597E-2</v>
      </c>
      <c r="AA1910" s="156">
        <v>2.8051525032212199E-2</v>
      </c>
    </row>
    <row r="1911" spans="19:27" x14ac:dyDescent="0.2">
      <c r="S1911" s="1"/>
      <c r="T1911" s="117"/>
      <c r="W1911" s="75" t="str">
        <f t="shared" si="40"/>
        <v>1w</v>
      </c>
      <c r="X1911" s="148">
        <f>_xll.qlCalendarAdvance(Calendar,X1910,W1911,"f",FALSE)</f>
        <v>52328</v>
      </c>
      <c r="Y1911" s="153">
        <f>_xll.qlCalendarAdvance(Calendar,X1911,NDays&amp;"D")</f>
        <v>52328</v>
      </c>
      <c r="Z1911" s="154">
        <v>2.8104759411273428E-2</v>
      </c>
      <c r="AA1911" s="156">
        <v>2.8045787055785976E-2</v>
      </c>
    </row>
    <row r="1912" spans="19:27" x14ac:dyDescent="0.2">
      <c r="S1912" s="1"/>
      <c r="T1912" s="117"/>
      <c r="W1912" s="75" t="str">
        <f t="shared" si="40"/>
        <v>1w</v>
      </c>
      <c r="X1912" s="148">
        <f>_xll.qlCalendarAdvance(Calendar,X1911,W1912,"f",FALSE)</f>
        <v>52335</v>
      </c>
      <c r="Y1912" s="153">
        <f>_xll.qlCalendarAdvance(Calendar,X1912,NDays&amp;"D")</f>
        <v>52335</v>
      </c>
      <c r="Z1912" s="154">
        <v>2.8098722144193532E-2</v>
      </c>
      <c r="AA1912" s="156">
        <v>2.804001438263648E-2</v>
      </c>
    </row>
    <row r="1913" spans="19:27" x14ac:dyDescent="0.2">
      <c r="S1913" s="1"/>
      <c r="T1913" s="117"/>
      <c r="W1913" s="75" t="str">
        <f t="shared" si="40"/>
        <v>1w</v>
      </c>
      <c r="X1913" s="148">
        <f>_xll.qlCalendarAdvance(Calendar,X1912,W1913,"f",FALSE)</f>
        <v>52342</v>
      </c>
      <c r="Y1913" s="153">
        <f>_xll.qlCalendarAdvance(Calendar,X1913,NDays&amp;"D")</f>
        <v>52342</v>
      </c>
      <c r="Z1913" s="154">
        <v>2.8092649949047758E-2</v>
      </c>
      <c r="AA1913" s="156">
        <v>2.8034207012763712E-2</v>
      </c>
    </row>
    <row r="1914" spans="19:27" x14ac:dyDescent="0.2">
      <c r="S1914" s="1"/>
      <c r="T1914" s="117"/>
      <c r="W1914" s="75" t="str">
        <f t="shared" si="40"/>
        <v>1w</v>
      </c>
      <c r="X1914" s="148">
        <f>_xll.qlCalendarAdvance(Calendar,X1913,W1914,"f",FALSE)</f>
        <v>52349</v>
      </c>
      <c r="Y1914" s="153">
        <f>_xll.qlCalendarAdvance(Calendar,X1914,NDays&amp;"D")</f>
        <v>52349</v>
      </c>
      <c r="Z1914" s="154">
        <v>2.808654282599464E-2</v>
      </c>
      <c r="AA1914" s="156">
        <v>2.8028364946248718E-2</v>
      </c>
    </row>
    <row r="1915" spans="19:27" x14ac:dyDescent="0.2">
      <c r="S1915" s="1"/>
      <c r="T1915" s="117"/>
      <c r="W1915" s="75" t="str">
        <f t="shared" si="40"/>
        <v>1w</v>
      </c>
      <c r="X1915" s="148">
        <f>_xll.qlCalendarAdvance(Calendar,X1914,W1915,"f",FALSE)</f>
        <v>52356</v>
      </c>
      <c r="Y1915" s="153">
        <f>_xll.qlCalendarAdvance(Calendar,X1915,NDays&amp;"D")</f>
        <v>52356</v>
      </c>
      <c r="Z1915" s="154">
        <v>2.8081032914854469E-2</v>
      </c>
      <c r="AA1915" s="156">
        <v>2.8022488183091498E-2</v>
      </c>
    </row>
    <row r="1916" spans="19:27" x14ac:dyDescent="0.2">
      <c r="S1916" s="1"/>
      <c r="T1916" s="117"/>
      <c r="W1916" s="75" t="str">
        <f t="shared" si="40"/>
        <v>1w</v>
      </c>
      <c r="X1916" s="148">
        <f>_xll.qlCalendarAdvance(Calendar,X1915,W1916,"f",FALSE)</f>
        <v>52363</v>
      </c>
      <c r="Y1916" s="153">
        <f>_xll.qlCalendarAdvance(Calendar,X1916,NDays&amp;"D")</f>
        <v>52363</v>
      </c>
      <c r="Z1916" s="154">
        <v>2.8074852967941755E-2</v>
      </c>
      <c r="AA1916" s="156">
        <v>2.8016576723211006E-2</v>
      </c>
    </row>
    <row r="1917" spans="19:27" x14ac:dyDescent="0.2">
      <c r="S1917" s="1"/>
      <c r="T1917" s="117"/>
      <c r="W1917" s="75" t="str">
        <f t="shared" si="40"/>
        <v>1w</v>
      </c>
      <c r="X1917" s="148">
        <f>_xll.qlCalendarAdvance(Calendar,X1916,W1917,"f",FALSE)</f>
        <v>52370</v>
      </c>
      <c r="Y1917" s="153">
        <f>_xll.qlCalendarAdvance(Calendar,X1917,NDays&amp;"D")</f>
        <v>52370</v>
      </c>
      <c r="Z1917" s="154">
        <v>2.8068638091039599E-2</v>
      </c>
      <c r="AA1917" s="156">
        <v>2.8010630566769334E-2</v>
      </c>
    </row>
    <row r="1918" spans="19:27" x14ac:dyDescent="0.2">
      <c r="S1918" s="1"/>
      <c r="T1918" s="117"/>
      <c r="W1918" s="75" t="str">
        <f t="shared" si="40"/>
        <v>1w</v>
      </c>
      <c r="X1918" s="148">
        <f>_xll.qlCalendarAdvance(Calendar,X1917,W1918,"f",FALSE)</f>
        <v>52377</v>
      </c>
      <c r="Y1918" s="153">
        <f>_xll.qlCalendarAdvance(Calendar,X1918,NDays&amp;"D")</f>
        <v>52377</v>
      </c>
      <c r="Z1918" s="154">
        <v>2.8062388284308331E-2</v>
      </c>
      <c r="AA1918" s="156">
        <v>2.8004649713685437E-2</v>
      </c>
    </row>
    <row r="1919" spans="19:27" x14ac:dyDescent="0.2">
      <c r="S1919" s="1"/>
      <c r="T1919" s="117"/>
      <c r="W1919" s="75" t="str">
        <f t="shared" si="40"/>
        <v>1w</v>
      </c>
      <c r="X1919" s="148">
        <f>_xll.qlCalendarAdvance(Calendar,X1918,W1919,"f",FALSE)</f>
        <v>52384</v>
      </c>
      <c r="Y1919" s="153">
        <f>_xll.qlCalendarAdvance(Calendar,X1919,NDays&amp;"D")</f>
        <v>52384</v>
      </c>
      <c r="Z1919" s="154">
        <v>2.8056103547913561E-2</v>
      </c>
      <c r="AA1919" s="156">
        <v>2.7998634163959313E-2</v>
      </c>
    </row>
    <row r="1920" spans="19:27" x14ac:dyDescent="0.2">
      <c r="S1920" s="1"/>
      <c r="T1920" s="117"/>
      <c r="W1920" s="75" t="str">
        <f t="shared" si="40"/>
        <v>1w</v>
      </c>
      <c r="X1920" s="148">
        <f>_xll.qlCalendarAdvance(Calendar,X1919,W1920,"f",FALSE)</f>
        <v>52391</v>
      </c>
      <c r="Y1920" s="153">
        <f>_xll.qlCalendarAdvance(Calendar,X1920,NDays&amp;"D")</f>
        <v>52391</v>
      </c>
      <c r="Z1920" s="154">
        <v>2.8049783882018269E-2</v>
      </c>
      <c r="AA1920" s="156">
        <v>2.799258391742887E-2</v>
      </c>
    </row>
    <row r="1921" spans="19:27" x14ac:dyDescent="0.2">
      <c r="S1921" s="1"/>
      <c r="T1921" s="117"/>
      <c r="W1921" s="75" t="str">
        <f t="shared" si="40"/>
        <v>1w</v>
      </c>
      <c r="X1921" s="148">
        <f>_xll.qlCalendarAdvance(Calendar,X1920,W1921,"f",FALSE)</f>
        <v>52398</v>
      </c>
      <c r="Y1921" s="153">
        <f>_xll.qlCalendarAdvance(Calendar,X1921,NDays&amp;"D")</f>
        <v>52398</v>
      </c>
      <c r="Z1921" s="154">
        <v>2.8043429286791596E-2</v>
      </c>
      <c r="AA1921" s="156">
        <v>2.7986498974337248E-2</v>
      </c>
    </row>
    <row r="1922" spans="19:27" x14ac:dyDescent="0.2">
      <c r="S1922" s="1"/>
      <c r="T1922" s="117"/>
      <c r="W1922" s="75" t="str">
        <f t="shared" si="40"/>
        <v>1w</v>
      </c>
      <c r="X1922" s="148">
        <f>_xll.qlCalendarAdvance(Calendar,X1921,W1922,"f",FALSE)</f>
        <v>52405</v>
      </c>
      <c r="Y1922" s="153">
        <f>_xll.qlCalendarAdvance(Calendar,X1922,NDays&amp;"D")</f>
        <v>52405</v>
      </c>
      <c r="Z1922" s="154">
        <v>2.803703976239651E-2</v>
      </c>
      <c r="AA1922" s="156">
        <v>2.7980379334522354E-2</v>
      </c>
    </row>
    <row r="1923" spans="19:27" x14ac:dyDescent="0.2">
      <c r="S1923" s="1"/>
      <c r="T1923" s="117"/>
      <c r="W1923" s="75" t="str">
        <f t="shared" si="40"/>
        <v>1w</v>
      </c>
      <c r="X1923" s="148">
        <f>_xll.qlCalendarAdvance(Calendar,X1922,W1923,"f",FALSE)</f>
        <v>52412</v>
      </c>
      <c r="Y1923" s="153">
        <f>_xll.qlCalendarAdvance(Calendar,X1923,NDays&amp;"D")</f>
        <v>52412</v>
      </c>
      <c r="Z1923" s="154">
        <v>2.8030615309002152E-2</v>
      </c>
      <c r="AA1923" s="156">
        <v>2.797422499814628E-2</v>
      </c>
    </row>
    <row r="1924" spans="19:27" x14ac:dyDescent="0.2">
      <c r="S1924" s="1"/>
      <c r="T1924" s="117"/>
      <c r="W1924" s="75" t="str">
        <f t="shared" si="40"/>
        <v>1w</v>
      </c>
      <c r="X1924" s="148">
        <f>_xll.qlCalendarAdvance(Calendar,X1923,W1924,"f",FALSE)</f>
        <v>52419</v>
      </c>
      <c r="Y1924" s="153">
        <f>_xll.qlCalendarAdvance(Calendar,X1924,NDays&amp;"D")</f>
        <v>52419</v>
      </c>
      <c r="Z1924" s="154">
        <v>2.8024155926777667E-2</v>
      </c>
      <c r="AA1924" s="156">
        <v>2.7968035965046933E-2</v>
      </c>
    </row>
    <row r="1925" spans="19:27" x14ac:dyDescent="0.2">
      <c r="S1925" s="1"/>
      <c r="T1925" s="117"/>
      <c r="W1925" s="75" t="str">
        <f t="shared" si="40"/>
        <v>1w</v>
      </c>
      <c r="X1925" s="148">
        <f>_xll.qlCalendarAdvance(Calendar,X1924,W1925,"f",FALSE)</f>
        <v>52426</v>
      </c>
      <c r="Y1925" s="153">
        <f>_xll.qlCalendarAdvance(Calendar,X1925,NDays&amp;"D")</f>
        <v>52426</v>
      </c>
      <c r="Z1925" s="154">
        <v>2.8017661615893072E-2</v>
      </c>
      <c r="AA1925" s="156">
        <v>2.7961812235386407E-2</v>
      </c>
    </row>
    <row r="1926" spans="19:27" x14ac:dyDescent="0.2">
      <c r="S1926" s="1"/>
      <c r="T1926" s="117"/>
      <c r="W1926" s="75" t="str">
        <f t="shared" si="40"/>
        <v>1w</v>
      </c>
      <c r="X1926" s="148">
        <f>_xll.qlCalendarAdvance(Calendar,X1925,W1926,"f",FALSE)</f>
        <v>52433</v>
      </c>
      <c r="Y1926" s="153">
        <f>_xll.qlCalendarAdvance(Calendar,X1926,NDays&amp;"D")</f>
        <v>52433</v>
      </c>
      <c r="Z1926" s="154">
        <v>2.8011132376516628E-2</v>
      </c>
      <c r="AA1926" s="156">
        <v>2.7955553809002609E-2</v>
      </c>
    </row>
    <row r="1927" spans="19:27" x14ac:dyDescent="0.2">
      <c r="S1927" s="1"/>
      <c r="T1927" s="117"/>
      <c r="W1927" s="75" t="str">
        <f t="shared" si="40"/>
        <v>1w</v>
      </c>
      <c r="X1927" s="148">
        <f>_xll.qlCalendarAdvance(Calendar,X1926,W1927,"f",FALSE)</f>
        <v>52440</v>
      </c>
      <c r="Y1927" s="153">
        <f>_xll.qlCalendarAdvance(Calendar,X1927,NDays&amp;"D")</f>
        <v>52440</v>
      </c>
      <c r="Z1927" s="154">
        <v>2.8004568208820114E-2</v>
      </c>
      <c r="AA1927" s="156">
        <v>2.7949260686057631E-2</v>
      </c>
    </row>
    <row r="1928" spans="19:27" x14ac:dyDescent="0.2">
      <c r="S1928" s="1"/>
      <c r="T1928" s="117"/>
      <c r="W1928" s="75" t="str">
        <f t="shared" si="40"/>
        <v>1w</v>
      </c>
      <c r="X1928" s="148">
        <f>_xll.qlCalendarAdvance(Calendar,X1927,W1928,"f",FALSE)</f>
        <v>52447</v>
      </c>
      <c r="Y1928" s="153">
        <f>_xll.qlCalendarAdvance(Calendar,X1928,NDays&amp;"D")</f>
        <v>52447</v>
      </c>
      <c r="Z1928" s="154">
        <v>2.799796911297708E-2</v>
      </c>
      <c r="AA1928" s="156">
        <v>2.7942932866389381E-2</v>
      </c>
    </row>
    <row r="1929" spans="19:27" x14ac:dyDescent="0.2">
      <c r="S1929" s="1"/>
      <c r="T1929" s="117"/>
      <c r="W1929" s="75" t="str">
        <f t="shared" si="40"/>
        <v>1w</v>
      </c>
      <c r="X1929" s="148">
        <f>_xll.qlCalendarAdvance(Calendar,X1928,W1929,"f",FALSE)</f>
        <v>52454</v>
      </c>
      <c r="Y1929" s="153">
        <f>_xll.qlCalendarAdvance(Calendar,X1929,NDays&amp;"D")</f>
        <v>52454</v>
      </c>
      <c r="Z1929" s="154">
        <v>2.7991335089159304E-2</v>
      </c>
      <c r="AA1929" s="156">
        <v>2.7936570350078904E-2</v>
      </c>
    </row>
    <row r="1930" spans="19:27" x14ac:dyDescent="0.2">
      <c r="S1930" s="1"/>
      <c r="T1930" s="117"/>
      <c r="W1930" s="75" t="str">
        <f t="shared" si="40"/>
        <v>1w</v>
      </c>
      <c r="X1930" s="148">
        <f>_xll.qlCalendarAdvance(Calendar,X1929,W1930,"f",FALSE)</f>
        <v>52461</v>
      </c>
      <c r="Y1930" s="153">
        <f>_xll.qlCalendarAdvance(Calendar,X1930,NDays&amp;"D")</f>
        <v>52461</v>
      </c>
      <c r="Z1930" s="154">
        <v>2.7984666137542098E-2</v>
      </c>
      <c r="AA1930" s="156">
        <v>2.7930173137207248E-2</v>
      </c>
    </row>
    <row r="1931" spans="19:27" x14ac:dyDescent="0.2">
      <c r="S1931" s="1"/>
      <c r="T1931" s="117"/>
      <c r="W1931" s="75" t="str">
        <f t="shared" si="40"/>
        <v>1w</v>
      </c>
      <c r="X1931" s="148">
        <f>_xll.qlCalendarAdvance(Calendar,X1930,W1931,"f",FALSE)</f>
        <v>52468</v>
      </c>
      <c r="Y1931" s="153">
        <f>_xll.qlCalendarAdvance(Calendar,X1931,NDays&amp;"D")</f>
        <v>52468</v>
      </c>
      <c r="Z1931" s="154">
        <v>2.7977962258299002E-2</v>
      </c>
      <c r="AA1931" s="156">
        <v>2.792374122761232E-2</v>
      </c>
    </row>
    <row r="1932" spans="19:27" x14ac:dyDescent="0.2">
      <c r="S1932" s="1"/>
      <c r="T1932" s="117"/>
      <c r="W1932" s="75" t="str">
        <f t="shared" si="40"/>
        <v>1w</v>
      </c>
      <c r="X1932" s="148">
        <f>_xll.qlCalendarAdvance(Calendar,X1931,W1932,"f",FALSE)</f>
        <v>52475</v>
      </c>
      <c r="Y1932" s="153">
        <f>_xll.qlCalendarAdvance(Calendar,X1932,NDays&amp;"D")</f>
        <v>52475</v>
      </c>
      <c r="Z1932" s="154">
        <v>2.7970642123796682E-2</v>
      </c>
      <c r="AA1932" s="156">
        <v>2.7917274621456212E-2</v>
      </c>
    </row>
    <row r="1933" spans="19:27" x14ac:dyDescent="0.2">
      <c r="S1933" s="1"/>
      <c r="T1933" s="117"/>
      <c r="W1933" s="75" t="str">
        <f t="shared" si="40"/>
        <v>1w</v>
      </c>
      <c r="X1933" s="148">
        <f>_xll.qlCalendarAdvance(Calendar,X1932,W1933,"f",FALSE)</f>
        <v>52482</v>
      </c>
      <c r="Y1933" s="153">
        <f>_xll.qlCalendarAdvance(Calendar,X1933,NDays&amp;"D")</f>
        <v>52482</v>
      </c>
      <c r="Z1933" s="154">
        <v>2.7963871401632055E-2</v>
      </c>
      <c r="AA1933" s="156">
        <v>2.7910773318576831E-2</v>
      </c>
    </row>
    <row r="1934" spans="19:27" x14ac:dyDescent="0.2">
      <c r="S1934" s="1"/>
      <c r="T1934" s="117"/>
      <c r="W1934" s="75" t="str">
        <f t="shared" si="40"/>
        <v>1w</v>
      </c>
      <c r="X1934" s="148">
        <f>_xll.qlCalendarAdvance(Calendar,X1933,W1934,"f",FALSE)</f>
        <v>52489</v>
      </c>
      <c r="Y1934" s="153">
        <f>_xll.qlCalendarAdvance(Calendar,X1934,NDays&amp;"D")</f>
        <v>52489</v>
      </c>
      <c r="Z1934" s="154">
        <v>2.7957065754899906E-2</v>
      </c>
      <c r="AA1934" s="156">
        <v>2.7904237319136271E-2</v>
      </c>
    </row>
    <row r="1935" spans="19:27" x14ac:dyDescent="0.2">
      <c r="S1935" s="1"/>
      <c r="T1935" s="117"/>
      <c r="W1935" s="75" t="str">
        <f t="shared" si="40"/>
        <v>1w</v>
      </c>
      <c r="X1935" s="148">
        <f>_xll.qlCalendarAdvance(Calendar,X1934,W1935,"f",FALSE)</f>
        <v>52496</v>
      </c>
      <c r="Y1935" s="153">
        <f>_xll.qlCalendarAdvance(Calendar,X1935,NDays&amp;"D")</f>
        <v>52496</v>
      </c>
      <c r="Z1935" s="154">
        <v>2.7950225183777464E-2</v>
      </c>
      <c r="AA1935" s="156">
        <v>2.7897666623053485E-2</v>
      </c>
    </row>
    <row r="1936" spans="19:27" x14ac:dyDescent="0.2">
      <c r="S1936" s="1"/>
      <c r="T1936" s="117"/>
      <c r="W1936" s="75" t="str">
        <f t="shared" si="40"/>
        <v>1w</v>
      </c>
      <c r="X1936" s="148">
        <f>_xll.qlCalendarAdvance(Calendar,X1935,W1936,"f",FALSE)</f>
        <v>52503</v>
      </c>
      <c r="Y1936" s="153">
        <f>_xll.qlCalendarAdvance(Calendar,X1936,NDays&amp;"D")</f>
        <v>52503</v>
      </c>
      <c r="Z1936" s="154">
        <v>2.7943349688443749E-2</v>
      </c>
      <c r="AA1936" s="156">
        <v>2.7891061230328473E-2</v>
      </c>
    </row>
    <row r="1937" spans="19:27" x14ac:dyDescent="0.2">
      <c r="S1937" s="1"/>
      <c r="T1937" s="117"/>
      <c r="W1937" s="75" t="str">
        <f t="shared" si="40"/>
        <v>1w</v>
      </c>
      <c r="X1937" s="148">
        <f>_xll.qlCalendarAdvance(Calendar,X1936,W1937,"f",FALSE)</f>
        <v>52510</v>
      </c>
      <c r="Y1937" s="153">
        <f>_xll.qlCalendarAdvance(Calendar,X1937,NDays&amp;"D")</f>
        <v>52510</v>
      </c>
      <c r="Z1937" s="154">
        <v>2.7937005512621425E-2</v>
      </c>
      <c r="AA1937" s="156">
        <v>2.7884421140961235E-2</v>
      </c>
    </row>
    <row r="1938" spans="19:27" x14ac:dyDescent="0.2">
      <c r="S1938" s="1"/>
      <c r="T1938" s="117"/>
      <c r="W1938" s="75" t="str">
        <f t="shared" si="40"/>
        <v>1w</v>
      </c>
      <c r="X1938" s="148">
        <f>_xll.qlCalendarAdvance(Calendar,X1937,W1938,"f",FALSE)</f>
        <v>52517</v>
      </c>
      <c r="Y1938" s="153">
        <f>_xll.qlCalendarAdvance(Calendar,X1938,NDays&amp;"D")</f>
        <v>52517</v>
      </c>
      <c r="Z1938" s="154">
        <v>2.7930057144976171E-2</v>
      </c>
      <c r="AA1938" s="156">
        <v>2.7877746355032818E-2</v>
      </c>
    </row>
    <row r="1939" spans="19:27" x14ac:dyDescent="0.2">
      <c r="S1939" s="1"/>
      <c r="T1939" s="117"/>
      <c r="W1939" s="75" t="str">
        <f t="shared" si="40"/>
        <v>1w</v>
      </c>
      <c r="X1939" s="148">
        <f>_xll.qlCalendarAdvance(Calendar,X1938,W1939,"f",FALSE)</f>
        <v>52524</v>
      </c>
      <c r="Y1939" s="153">
        <f>_xll.qlCalendarAdvance(Calendar,X1939,NDays&amp;"D")</f>
        <v>52524</v>
      </c>
      <c r="Z1939" s="154">
        <v>2.79230738511392E-2</v>
      </c>
      <c r="AA1939" s="156">
        <v>2.787103687254322E-2</v>
      </c>
    </row>
    <row r="1940" spans="19:27" x14ac:dyDescent="0.2">
      <c r="S1940" s="1"/>
      <c r="T1940" s="117"/>
      <c r="W1940" s="75" t="str">
        <f t="shared" si="40"/>
        <v>1w</v>
      </c>
      <c r="X1940" s="148">
        <f>_xll.qlCalendarAdvance(Calendar,X1939,W1940,"f",FALSE)</f>
        <v>52531</v>
      </c>
      <c r="Y1940" s="153">
        <f>_xll.qlCalendarAdvance(Calendar,X1940,NDays&amp;"D")</f>
        <v>52531</v>
      </c>
      <c r="Z1940" s="154">
        <v>2.7916055631291098E-2</v>
      </c>
      <c r="AA1940" s="156">
        <v>2.7864292693249304E-2</v>
      </c>
    </row>
    <row r="1941" spans="19:27" x14ac:dyDescent="0.2">
      <c r="S1941" s="1"/>
      <c r="T1941" s="117"/>
      <c r="W1941" s="75" t="str">
        <f t="shared" ref="W1941:W2004" si="41">W1940</f>
        <v>1w</v>
      </c>
      <c r="X1941" s="148">
        <f>_xll.qlCalendarAdvance(Calendar,X1940,W1941,"f",FALSE)</f>
        <v>52538</v>
      </c>
      <c r="Y1941" s="153">
        <f>_xll.qlCalendarAdvance(Calendar,X1941,NDays&amp;"D")</f>
        <v>52538</v>
      </c>
      <c r="Z1941" s="154">
        <v>2.7909002485617743E-2</v>
      </c>
      <c r="AA1941" s="156">
        <v>2.7857513817394208E-2</v>
      </c>
    </row>
    <row r="1942" spans="19:27" x14ac:dyDescent="0.2">
      <c r="S1942" s="1"/>
      <c r="T1942" s="117"/>
      <c r="W1942" s="75" t="str">
        <f t="shared" si="41"/>
        <v>1w</v>
      </c>
      <c r="X1942" s="148">
        <f>_xll.qlCalendarAdvance(Calendar,X1941,W1942,"f",FALSE)</f>
        <v>52545</v>
      </c>
      <c r="Y1942" s="153">
        <f>_xll.qlCalendarAdvance(Calendar,X1942,NDays&amp;"D")</f>
        <v>52545</v>
      </c>
      <c r="Z1942" s="154">
        <v>2.7901914414305017E-2</v>
      </c>
      <c r="AA1942" s="156">
        <v>2.7850700244977933E-2</v>
      </c>
    </row>
    <row r="1943" spans="19:27" x14ac:dyDescent="0.2">
      <c r="S1943" s="1"/>
      <c r="T1943" s="117"/>
      <c r="W1943" s="75" t="str">
        <f t="shared" si="41"/>
        <v>1w</v>
      </c>
      <c r="X1943" s="148">
        <f>_xll.qlCalendarAdvance(Calendar,X1942,W1943,"f",FALSE)</f>
        <v>52552</v>
      </c>
      <c r="Y1943" s="153">
        <f>_xll.qlCalendarAdvance(Calendar,X1943,NDays&amp;"D")</f>
        <v>52552</v>
      </c>
      <c r="Z1943" s="154">
        <v>2.789479141753615E-2</v>
      </c>
      <c r="AA1943" s="156">
        <v>2.7843851975919431E-2</v>
      </c>
    </row>
    <row r="1944" spans="19:27" x14ac:dyDescent="0.2">
      <c r="S1944" s="1"/>
      <c r="T1944" s="117"/>
      <c r="W1944" s="75" t="str">
        <f t="shared" si="41"/>
        <v>1w</v>
      </c>
      <c r="X1944" s="148">
        <f>_xll.qlCalendarAdvance(Calendar,X1943,W1944,"f",FALSE)</f>
        <v>52559</v>
      </c>
      <c r="Y1944" s="153">
        <f>_xll.qlCalendarAdvance(Calendar,X1944,NDays&amp;"D")</f>
        <v>52559</v>
      </c>
      <c r="Z1944" s="154">
        <v>2.7887633495500549E-2</v>
      </c>
      <c r="AA1944" s="156">
        <v>2.783696901029975E-2</v>
      </c>
    </row>
    <row r="1945" spans="19:27" x14ac:dyDescent="0.2">
      <c r="S1945" s="1"/>
      <c r="T1945" s="117"/>
      <c r="W1945" s="75" t="str">
        <f t="shared" si="41"/>
        <v>1w</v>
      </c>
      <c r="X1945" s="148">
        <f>_xll.qlCalendarAdvance(Calendar,X1944,W1945,"f",FALSE)</f>
        <v>52566</v>
      </c>
      <c r="Y1945" s="153">
        <f>_xll.qlCalendarAdvance(Calendar,X1945,NDays&amp;"D")</f>
        <v>52566</v>
      </c>
      <c r="Z1945" s="154">
        <v>2.7879898670602934E-2</v>
      </c>
      <c r="AA1945" s="156">
        <v>2.7830051347956797E-2</v>
      </c>
    </row>
    <row r="1946" spans="19:27" x14ac:dyDescent="0.2">
      <c r="S1946" s="1"/>
      <c r="T1946" s="117"/>
      <c r="W1946" s="75" t="str">
        <f t="shared" si="41"/>
        <v>1w</v>
      </c>
      <c r="X1946" s="148">
        <f>_xll.qlCalendarAdvance(Calendar,X1945,W1946,"f",FALSE)</f>
        <v>52573</v>
      </c>
      <c r="Y1946" s="153">
        <f>_xll.qlCalendarAdvance(Calendar,X1946,NDays&amp;"D")</f>
        <v>52573</v>
      </c>
      <c r="Z1946" s="154">
        <v>2.7872673943103773E-2</v>
      </c>
      <c r="AA1946" s="156">
        <v>2.782309898913371E-2</v>
      </c>
    </row>
    <row r="1947" spans="19:27" x14ac:dyDescent="0.2">
      <c r="S1947" s="1"/>
      <c r="T1947" s="117"/>
      <c r="W1947" s="75" t="str">
        <f t="shared" si="41"/>
        <v>1w</v>
      </c>
      <c r="X1947" s="148">
        <f>_xll.qlCalendarAdvance(Calendar,X1946,W1947,"f",FALSE)</f>
        <v>52580</v>
      </c>
      <c r="Y1947" s="153">
        <f>_xll.qlCalendarAdvance(Calendar,X1947,NDays&amp;"D")</f>
        <v>52580</v>
      </c>
      <c r="Z1947" s="154">
        <v>2.7865414293404351E-2</v>
      </c>
      <c r="AA1947" s="156">
        <v>2.7816111933668397E-2</v>
      </c>
    </row>
    <row r="1948" spans="19:27" x14ac:dyDescent="0.2">
      <c r="S1948" s="1"/>
      <c r="T1948" s="117"/>
      <c r="W1948" s="75" t="str">
        <f t="shared" si="41"/>
        <v>1w</v>
      </c>
      <c r="X1948" s="148">
        <f>_xll.qlCalendarAdvance(Calendar,X1947,W1948,"f",FALSE)</f>
        <v>52587</v>
      </c>
      <c r="Y1948" s="153">
        <f>_xll.qlCalendarAdvance(Calendar,X1948,NDays&amp;"D")</f>
        <v>52587</v>
      </c>
      <c r="Z1948" s="154">
        <v>2.785811972169348E-2</v>
      </c>
      <c r="AA1948" s="156">
        <v>2.7809090181560858E-2</v>
      </c>
    </row>
    <row r="1949" spans="19:27" x14ac:dyDescent="0.2">
      <c r="S1949" s="1"/>
      <c r="T1949" s="117"/>
      <c r="W1949" s="75" t="str">
        <f t="shared" si="41"/>
        <v>1w</v>
      </c>
      <c r="X1949" s="148">
        <f>_xll.qlCalendarAdvance(Calendar,X1948,W1949,"f",FALSE)</f>
        <v>52594</v>
      </c>
      <c r="Y1949" s="153">
        <f>_xll.qlCalendarAdvance(Calendar,X1949,NDays&amp;"D")</f>
        <v>52594</v>
      </c>
      <c r="Z1949" s="154">
        <v>2.7850790228159082E-2</v>
      </c>
      <c r="AA1949" s="156">
        <v>2.7802033732811093E-2</v>
      </c>
    </row>
    <row r="1950" spans="19:27" x14ac:dyDescent="0.2">
      <c r="S1950" s="1"/>
      <c r="T1950" s="117"/>
      <c r="W1950" s="75" t="str">
        <f t="shared" si="41"/>
        <v>1w</v>
      </c>
      <c r="X1950" s="148">
        <f>_xll.qlCalendarAdvance(Calendar,X1949,W1950,"f",FALSE)</f>
        <v>52601</v>
      </c>
      <c r="Y1950" s="153">
        <f>_xll.qlCalendarAdvance(Calendar,X1950,NDays&amp;"D")</f>
        <v>52601</v>
      </c>
      <c r="Z1950" s="154">
        <v>2.784342581299264E-2</v>
      </c>
      <c r="AA1950" s="156">
        <v>2.7794942587581195E-2</v>
      </c>
    </row>
    <row r="1951" spans="19:27" x14ac:dyDescent="0.2">
      <c r="S1951" s="1"/>
      <c r="T1951" s="117"/>
      <c r="W1951" s="75" t="str">
        <f t="shared" si="41"/>
        <v>1w</v>
      </c>
      <c r="X1951" s="148">
        <f>_xll.qlCalendarAdvance(Calendar,X1950,W1951,"f",FALSE)</f>
        <v>52608</v>
      </c>
      <c r="Y1951" s="153">
        <f>_xll.qlCalendarAdvance(Calendar,X1951,NDays&amp;"D")</f>
        <v>52608</v>
      </c>
      <c r="Z1951" s="154">
        <v>2.7836026476383852E-2</v>
      </c>
      <c r="AA1951" s="156">
        <v>2.7787816745628025E-2</v>
      </c>
    </row>
    <row r="1952" spans="19:27" x14ac:dyDescent="0.2">
      <c r="S1952" s="1"/>
      <c r="T1952" s="117"/>
      <c r="W1952" s="75" t="str">
        <f t="shared" si="41"/>
        <v>1w</v>
      </c>
      <c r="X1952" s="148">
        <f>_xll.qlCalendarAdvance(Calendar,X1951,W1952,"f",FALSE)</f>
        <v>52615</v>
      </c>
      <c r="Y1952" s="153">
        <f>_xll.qlCalendarAdvance(Calendar,X1952,NDays&amp;"D")</f>
        <v>52615</v>
      </c>
      <c r="Z1952" s="154">
        <v>2.7828592218525988E-2</v>
      </c>
      <c r="AA1952" s="156">
        <v>2.7780656207113674E-2</v>
      </c>
    </row>
    <row r="1953" spans="19:27" x14ac:dyDescent="0.2">
      <c r="S1953" s="1"/>
      <c r="T1953" s="117"/>
      <c r="W1953" s="75" t="str">
        <f t="shared" si="41"/>
        <v>1w</v>
      </c>
      <c r="X1953" s="148">
        <f>_xll.qlCalendarAdvance(Calendar,X1952,W1953,"f",FALSE)</f>
        <v>52622</v>
      </c>
      <c r="Y1953" s="153">
        <f>_xll.qlCalendarAdvance(Calendar,X1953,NDays&amp;"D")</f>
        <v>52622</v>
      </c>
      <c r="Z1953" s="154">
        <v>2.7821123039611415E-2</v>
      </c>
      <c r="AA1953" s="156">
        <v>2.7773460972119191E-2</v>
      </c>
    </row>
    <row r="1954" spans="19:27" x14ac:dyDescent="0.2">
      <c r="S1954" s="1"/>
      <c r="T1954" s="117"/>
      <c r="W1954" s="75" t="str">
        <f t="shared" si="41"/>
        <v>1w</v>
      </c>
      <c r="X1954" s="148">
        <f>_xll.qlCalendarAdvance(Calendar,X1953,W1954,"f",FALSE)</f>
        <v>52629</v>
      </c>
      <c r="Y1954" s="153">
        <f>_xll.qlCalendarAdvance(Calendar,X1954,NDays&amp;"D")</f>
        <v>52629</v>
      </c>
      <c r="Z1954" s="154">
        <v>2.7813618939834292E-2</v>
      </c>
      <c r="AA1954" s="156">
        <v>2.7766231040320388E-2</v>
      </c>
    </row>
    <row r="1955" spans="19:27" x14ac:dyDescent="0.2">
      <c r="S1955" s="1"/>
      <c r="T1955" s="117"/>
      <c r="W1955" s="75" t="str">
        <f t="shared" si="41"/>
        <v>1w</v>
      </c>
      <c r="X1955" s="148">
        <f>_xll.qlCalendarAdvance(Calendar,X1954,W1955,"f",FALSE)</f>
        <v>52636</v>
      </c>
      <c r="Y1955" s="153">
        <f>_xll.qlCalendarAdvance(Calendar,X1955,NDays&amp;"D")</f>
        <v>52636</v>
      </c>
      <c r="Z1955" s="154">
        <v>2.7805568232151044E-2</v>
      </c>
      <c r="AA1955" s="156">
        <v>2.7758966412122499E-2</v>
      </c>
    </row>
    <row r="1956" spans="19:27" x14ac:dyDescent="0.2">
      <c r="S1956" s="1"/>
      <c r="T1956" s="117"/>
      <c r="W1956" s="75" t="str">
        <f t="shared" si="41"/>
        <v>1w</v>
      </c>
      <c r="X1956" s="148">
        <f>_xll.qlCalendarAdvance(Calendar,X1955,W1956,"f",FALSE)</f>
        <v>52643</v>
      </c>
      <c r="Y1956" s="153">
        <f>_xll.qlCalendarAdvance(Calendar,X1956,NDays&amp;"D")</f>
        <v>52643</v>
      </c>
      <c r="Z1956" s="154">
        <v>2.7797997360257665E-2</v>
      </c>
      <c r="AA1956" s="156">
        <v>2.7751667087282383E-2</v>
      </c>
    </row>
    <row r="1957" spans="19:27" x14ac:dyDescent="0.2">
      <c r="S1957" s="1"/>
      <c r="T1957" s="117"/>
      <c r="W1957" s="75" t="str">
        <f t="shared" si="41"/>
        <v>1w</v>
      </c>
      <c r="X1957" s="148">
        <f>_xll.qlCalendarAdvance(Calendar,X1956,W1957,"f",FALSE)</f>
        <v>52650</v>
      </c>
      <c r="Y1957" s="153">
        <f>_xll.qlCalendarAdvance(Calendar,X1957,NDays&amp;"D")</f>
        <v>52650</v>
      </c>
      <c r="Z1957" s="154">
        <v>2.7790391570567473E-2</v>
      </c>
      <c r="AA1957" s="156">
        <v>2.7744333065800042E-2</v>
      </c>
    </row>
    <row r="1958" spans="19:27" x14ac:dyDescent="0.2">
      <c r="S1958" s="1"/>
      <c r="T1958" s="117"/>
      <c r="W1958" s="75" t="str">
        <f t="shared" si="41"/>
        <v>1w</v>
      </c>
      <c r="X1958" s="148">
        <f>_xll.qlCalendarAdvance(Calendar,X1957,W1958,"f",FALSE)</f>
        <v>52657</v>
      </c>
      <c r="Y1958" s="153">
        <f>_xll.qlCalendarAdvance(Calendar,X1958,NDays&amp;"D")</f>
        <v>52657</v>
      </c>
      <c r="Z1958" s="154">
        <v>2.7783755540697497E-2</v>
      </c>
      <c r="AA1958" s="156">
        <v>2.7736964347756521E-2</v>
      </c>
    </row>
    <row r="1959" spans="19:27" x14ac:dyDescent="0.2">
      <c r="S1959" s="1"/>
      <c r="T1959" s="117"/>
      <c r="W1959" s="75" t="str">
        <f t="shared" si="41"/>
        <v>1w</v>
      </c>
      <c r="X1959" s="148">
        <f>_xll.qlCalendarAdvance(Calendar,X1958,W1959,"f",FALSE)</f>
        <v>52664</v>
      </c>
      <c r="Y1959" s="153">
        <f>_xll.qlCalendarAdvance(Calendar,X1959,NDays&amp;"D")</f>
        <v>52664</v>
      </c>
      <c r="Z1959" s="154">
        <v>2.7776073762690322E-2</v>
      </c>
      <c r="AA1959" s="156">
        <v>2.7729560933232866E-2</v>
      </c>
    </row>
    <row r="1960" spans="19:27" x14ac:dyDescent="0.2">
      <c r="S1960" s="1"/>
      <c r="T1960" s="117"/>
      <c r="W1960" s="75" t="str">
        <f t="shared" si="41"/>
        <v>1w</v>
      </c>
      <c r="X1960" s="148">
        <f>_xll.qlCalendarAdvance(Calendar,X1959,W1960,"f",FALSE)</f>
        <v>52671</v>
      </c>
      <c r="Y1960" s="153">
        <f>_xll.qlCalendarAdvance(Calendar,X1960,NDays&amp;"D")</f>
        <v>52671</v>
      </c>
      <c r="Z1960" s="154">
        <v>2.7768357062527883E-2</v>
      </c>
      <c r="AA1960" s="156">
        <v>2.7722122821985939E-2</v>
      </c>
    </row>
    <row r="1961" spans="19:27" x14ac:dyDescent="0.2">
      <c r="S1961" s="1"/>
      <c r="T1961" s="117"/>
      <c r="W1961" s="75" t="str">
        <f t="shared" si="41"/>
        <v>1w</v>
      </c>
      <c r="X1961" s="148">
        <f>_xll.qlCalendarAdvance(Calendar,X1960,W1961,"f",FALSE)</f>
        <v>52678</v>
      </c>
      <c r="Y1961" s="153">
        <f>_xll.qlCalendarAdvance(Calendar,X1961,NDays&amp;"D")</f>
        <v>52678</v>
      </c>
      <c r="Z1961" s="154">
        <v>2.7760605440415441E-2</v>
      </c>
      <c r="AA1961" s="156">
        <v>2.7714650014258879E-2</v>
      </c>
    </row>
    <row r="1962" spans="19:27" x14ac:dyDescent="0.2">
      <c r="S1962" s="1"/>
      <c r="T1962" s="117"/>
      <c r="W1962" s="75" t="str">
        <f t="shared" si="41"/>
        <v>1w</v>
      </c>
      <c r="X1962" s="148">
        <f>_xll.qlCalendarAdvance(Calendar,X1961,W1962,"f",FALSE)</f>
        <v>52685</v>
      </c>
      <c r="Y1962" s="153">
        <f>_xll.qlCalendarAdvance(Calendar,X1962,NDays&amp;"D")</f>
        <v>52685</v>
      </c>
      <c r="Z1962" s="154">
        <v>2.7752818896554725E-2</v>
      </c>
      <c r="AA1962" s="156">
        <v>2.7707142509889593E-2</v>
      </c>
    </row>
    <row r="1963" spans="19:27" x14ac:dyDescent="0.2">
      <c r="S1963" s="1"/>
      <c r="T1963" s="117"/>
      <c r="W1963" s="75" t="str">
        <f t="shared" si="41"/>
        <v>1w</v>
      </c>
      <c r="X1963" s="148">
        <f>_xll.qlCalendarAdvance(Calendar,X1962,W1963,"f",FALSE)</f>
        <v>52692</v>
      </c>
      <c r="Y1963" s="153">
        <f>_xll.qlCalendarAdvance(Calendar,X1963,NDays&amp;"D")</f>
        <v>52692</v>
      </c>
      <c r="Z1963" s="154">
        <v>2.7744510635434119E-2</v>
      </c>
      <c r="AA1963" s="156">
        <v>2.7699600308959127E-2</v>
      </c>
    </row>
    <row r="1964" spans="19:27" x14ac:dyDescent="0.2">
      <c r="S1964" s="1"/>
      <c r="T1964" s="117"/>
      <c r="W1964" s="75" t="str">
        <f t="shared" si="41"/>
        <v>1w</v>
      </c>
      <c r="X1964" s="148">
        <f>_xll.qlCalendarAdvance(Calendar,X1963,W1964,"f",FALSE)</f>
        <v>52699</v>
      </c>
      <c r="Y1964" s="153">
        <f>_xll.qlCalendarAdvance(Calendar,X1964,NDays&amp;"D")</f>
        <v>52699</v>
      </c>
      <c r="Z1964" s="154">
        <v>2.7736657337886345E-2</v>
      </c>
      <c r="AA1964" s="156">
        <v>2.7692023411548528E-2</v>
      </c>
    </row>
    <row r="1965" spans="19:27" x14ac:dyDescent="0.2">
      <c r="S1965" s="1"/>
      <c r="T1965" s="117"/>
      <c r="W1965" s="75" t="str">
        <f t="shared" si="41"/>
        <v>1w</v>
      </c>
      <c r="X1965" s="148">
        <f>_xll.qlCalendarAdvance(Calendar,X1964,W1965,"f",FALSE)</f>
        <v>52706</v>
      </c>
      <c r="Y1965" s="153">
        <f>_xll.qlCalendarAdvance(Calendar,X1965,NDays&amp;"D")</f>
        <v>52706</v>
      </c>
      <c r="Z1965" s="154">
        <v>2.7728769121666941E-2</v>
      </c>
      <c r="AA1965" s="156">
        <v>2.7684411817414656E-2</v>
      </c>
    </row>
    <row r="1966" spans="19:27" x14ac:dyDescent="0.2">
      <c r="S1966" s="1"/>
      <c r="T1966" s="117"/>
      <c r="W1966" s="75" t="str">
        <f t="shared" si="41"/>
        <v>1w</v>
      </c>
      <c r="X1966" s="148">
        <f>_xll.qlCalendarAdvance(Calendar,X1965,W1966,"f",FALSE)</f>
        <v>52713</v>
      </c>
      <c r="Y1966" s="153">
        <f>_xll.qlCalendarAdvance(Calendar,X1966,NDays&amp;"D")</f>
        <v>52713</v>
      </c>
      <c r="Z1966" s="154">
        <v>2.7720845986981643E-2</v>
      </c>
      <c r="AA1966" s="156">
        <v>2.7676765526962743E-2</v>
      </c>
    </row>
    <row r="1967" spans="19:27" x14ac:dyDescent="0.2">
      <c r="S1967" s="1"/>
      <c r="T1967" s="117"/>
      <c r="W1967" s="75" t="str">
        <f t="shared" si="41"/>
        <v>1w</v>
      </c>
      <c r="X1967" s="148">
        <f>_xll.qlCalendarAdvance(Calendar,X1966,W1967,"f",FALSE)</f>
        <v>52720</v>
      </c>
      <c r="Y1967" s="153">
        <f>_xll.qlCalendarAdvance(Calendar,X1967,NDays&amp;"D")</f>
        <v>52720</v>
      </c>
      <c r="Z1967" s="154">
        <v>2.7713362358212895E-2</v>
      </c>
      <c r="AA1967" s="156">
        <v>2.7669084539625466E-2</v>
      </c>
    </row>
    <row r="1968" spans="19:27" x14ac:dyDescent="0.2">
      <c r="S1968" s="1"/>
      <c r="T1968" s="117"/>
      <c r="W1968" s="75" t="str">
        <f t="shared" si="41"/>
        <v>1w</v>
      </c>
      <c r="X1968" s="148">
        <f>_xll.qlCalendarAdvance(Calendar,X1967,W1968,"f",FALSE)</f>
        <v>52727</v>
      </c>
      <c r="Y1968" s="153">
        <f>_xll.qlCalendarAdvance(Calendar,X1968,NDays&amp;"D")</f>
        <v>52727</v>
      </c>
      <c r="Z1968" s="154">
        <v>2.7705366288185318E-2</v>
      </c>
      <c r="AA1968" s="156">
        <v>2.7661368855889101E-2</v>
      </c>
    </row>
    <row r="1969" spans="19:27" x14ac:dyDescent="0.2">
      <c r="S1969" s="1"/>
      <c r="T1969" s="117"/>
      <c r="W1969" s="75" t="str">
        <f t="shared" si="41"/>
        <v>1w</v>
      </c>
      <c r="X1969" s="148">
        <f>_xll.qlCalendarAdvance(Calendar,X1968,W1969,"f",FALSE)</f>
        <v>52734</v>
      </c>
      <c r="Y1969" s="153">
        <f>_xll.qlCalendarAdvance(Calendar,X1969,NDays&amp;"D")</f>
        <v>52734</v>
      </c>
      <c r="Z1969" s="154">
        <v>2.7697335297859494E-2</v>
      </c>
      <c r="AA1969" s="156">
        <v>2.7653618475591557E-2</v>
      </c>
    </row>
    <row r="1970" spans="19:27" x14ac:dyDescent="0.2">
      <c r="S1970" s="1"/>
      <c r="T1970" s="117"/>
      <c r="W1970" s="75" t="str">
        <f t="shared" si="41"/>
        <v>1w</v>
      </c>
      <c r="X1970" s="148">
        <f>_xll.qlCalendarAdvance(Calendar,X1969,W1970,"f",FALSE)</f>
        <v>52741</v>
      </c>
      <c r="Y1970" s="153">
        <f>_xll.qlCalendarAdvance(Calendar,X1970,NDays&amp;"D")</f>
        <v>52741</v>
      </c>
      <c r="Z1970" s="154">
        <v>2.7689269387445082E-2</v>
      </c>
      <c r="AA1970" s="156">
        <v>2.7645833398732833E-2</v>
      </c>
    </row>
    <row r="1971" spans="19:27" x14ac:dyDescent="0.2">
      <c r="S1971" s="1"/>
      <c r="T1971" s="117"/>
      <c r="W1971" s="75" t="str">
        <f t="shared" si="41"/>
        <v>1w</v>
      </c>
      <c r="X1971" s="148">
        <f>_xll.qlCalendarAdvance(Calendar,X1970,W1971,"f",FALSE)</f>
        <v>52748</v>
      </c>
      <c r="Y1971" s="153">
        <f>_xll.qlCalendarAdvance(Calendar,X1971,NDays&amp;"D")</f>
        <v>52748</v>
      </c>
      <c r="Z1971" s="154">
        <v>2.7681168557154395E-2</v>
      </c>
      <c r="AA1971" s="156">
        <v>2.7638013625312929E-2</v>
      </c>
    </row>
    <row r="1972" spans="19:27" x14ac:dyDescent="0.2">
      <c r="S1972" s="1"/>
      <c r="T1972" s="117"/>
      <c r="W1972" s="75" t="str">
        <f t="shared" si="41"/>
        <v>1w</v>
      </c>
      <c r="X1972" s="148">
        <f>_xll.qlCalendarAdvance(Calendar,X1971,W1972,"f",FALSE)</f>
        <v>52755</v>
      </c>
      <c r="Y1972" s="153">
        <f>_xll.qlCalendarAdvance(Calendar,X1972,NDays&amp;"D")</f>
        <v>52755</v>
      </c>
      <c r="Z1972" s="154">
        <v>2.7673032807197975E-2</v>
      </c>
      <c r="AA1972" s="156">
        <v>2.7630159155331846E-2</v>
      </c>
    </row>
    <row r="1973" spans="19:27" x14ac:dyDescent="0.2">
      <c r="S1973" s="1"/>
      <c r="T1973" s="117"/>
      <c r="W1973" s="75" t="str">
        <f t="shared" si="41"/>
        <v>1w</v>
      </c>
      <c r="X1973" s="148">
        <f>_xll.qlCalendarAdvance(Calendar,X1972,W1973,"f",FALSE)</f>
        <v>52762</v>
      </c>
      <c r="Y1973" s="153">
        <f>_xll.qlCalendarAdvance(Calendar,X1973,NDays&amp;"D")</f>
        <v>52762</v>
      </c>
      <c r="Z1973" s="154">
        <v>2.7664862137792529E-2</v>
      </c>
      <c r="AA1973" s="156">
        <v>2.7622269988870629E-2</v>
      </c>
    </row>
    <row r="1974" spans="19:27" x14ac:dyDescent="0.2">
      <c r="S1974" s="1"/>
      <c r="T1974" s="117"/>
      <c r="W1974" s="75" t="str">
        <f t="shared" si="41"/>
        <v>1w</v>
      </c>
      <c r="X1974" s="148">
        <f>_xll.qlCalendarAdvance(Calendar,X1973,W1974,"f",FALSE)</f>
        <v>52769</v>
      </c>
      <c r="Y1974" s="153">
        <f>_xll.qlCalendarAdvance(Calendar,X1974,NDays&amp;"D")</f>
        <v>52769</v>
      </c>
      <c r="Z1974" s="154">
        <v>2.7656656549148607E-2</v>
      </c>
      <c r="AA1974" s="156">
        <v>2.761434612568614E-2</v>
      </c>
    </row>
    <row r="1975" spans="19:27" x14ac:dyDescent="0.2">
      <c r="S1975" s="1"/>
      <c r="T1975" s="117"/>
      <c r="W1975" s="75" t="str">
        <f t="shared" si="41"/>
        <v>1w</v>
      </c>
      <c r="X1975" s="148">
        <f>_xll.qlCalendarAdvance(Calendar,X1974,W1975,"f",FALSE)</f>
        <v>52776</v>
      </c>
      <c r="Y1975" s="153">
        <f>_xll.qlCalendarAdvance(Calendar,X1975,NDays&amp;"D")</f>
        <v>52776</v>
      </c>
      <c r="Z1975" s="154">
        <v>2.7648416041485557E-2</v>
      </c>
      <c r="AA1975" s="156">
        <v>2.760638756618361E-2</v>
      </c>
    </row>
    <row r="1976" spans="19:27" x14ac:dyDescent="0.2">
      <c r="S1976" s="1"/>
      <c r="T1976" s="117"/>
      <c r="W1976" s="75" t="str">
        <f t="shared" si="41"/>
        <v>1w</v>
      </c>
      <c r="X1976" s="148">
        <f>_xll.qlCalendarAdvance(Calendar,X1975,W1976,"f",FALSE)</f>
        <v>52783</v>
      </c>
      <c r="Y1976" s="153">
        <f>_xll.qlCalendarAdvance(Calendar,X1976,NDays&amp;"D")</f>
        <v>52783</v>
      </c>
      <c r="Z1976" s="154">
        <v>2.7640140615014807E-2</v>
      </c>
      <c r="AA1976" s="156">
        <v>2.7598394309957808E-2</v>
      </c>
    </row>
    <row r="1977" spans="19:27" x14ac:dyDescent="0.2">
      <c r="S1977" s="1"/>
      <c r="T1977" s="117"/>
      <c r="W1977" s="75" t="str">
        <f t="shared" si="41"/>
        <v>1w</v>
      </c>
      <c r="X1977" s="148">
        <f>_xll.qlCalendarAdvance(Calendar,X1976,W1977,"f",FALSE)</f>
        <v>52790</v>
      </c>
      <c r="Y1977" s="153">
        <f>_xll.qlCalendarAdvance(Calendar,X1977,NDays&amp;"D")</f>
        <v>52790</v>
      </c>
      <c r="Z1977" s="154">
        <v>2.763183053853956E-2</v>
      </c>
      <c r="AA1977" s="156">
        <v>2.7590366357332918E-2</v>
      </c>
    </row>
    <row r="1978" spans="19:27" x14ac:dyDescent="0.2">
      <c r="S1978" s="1"/>
      <c r="T1978" s="117"/>
      <c r="W1978" s="75" t="str">
        <f t="shared" si="41"/>
        <v>1w</v>
      </c>
      <c r="X1978" s="148">
        <f>_xll.qlCalendarAdvance(Calendar,X1977,W1978,"f",FALSE)</f>
        <v>52797</v>
      </c>
      <c r="Y1978" s="153">
        <f>_xll.qlCalendarAdvance(Calendar,X1978,NDays&amp;"D")</f>
        <v>52797</v>
      </c>
      <c r="Z1978" s="154">
        <v>2.7623488719381955E-2</v>
      </c>
      <c r="AA1978" s="156">
        <v>2.7582303707984757E-2</v>
      </c>
    </row>
    <row r="1979" spans="19:27" x14ac:dyDescent="0.2">
      <c r="S1979" s="1"/>
      <c r="T1979" s="117"/>
      <c r="W1979" s="75" t="str">
        <f t="shared" si="41"/>
        <v>1w</v>
      </c>
      <c r="X1979" s="148">
        <f>_xll.qlCalendarAdvance(Calendar,X1978,W1979,"f",FALSE)</f>
        <v>52804</v>
      </c>
      <c r="Y1979" s="153">
        <f>_xll.qlCalendarAdvance(Calendar,X1979,NDays&amp;"D")</f>
        <v>52804</v>
      </c>
      <c r="Z1979" s="154">
        <v>2.7615119562450517E-2</v>
      </c>
      <c r="AA1979" s="156">
        <v>2.7574206362156461E-2</v>
      </c>
    </row>
    <row r="1980" spans="19:27" x14ac:dyDescent="0.2">
      <c r="S1980" s="1"/>
      <c r="T1980" s="117"/>
      <c r="W1980" s="75" t="str">
        <f t="shared" si="41"/>
        <v>1w</v>
      </c>
      <c r="X1980" s="148">
        <f>_xll.qlCalendarAdvance(Calendar,X1979,W1980,"f",FALSE)</f>
        <v>52811</v>
      </c>
      <c r="Y1980" s="153">
        <f>_xll.qlCalendarAdvance(Calendar,X1980,NDays&amp;"D")</f>
        <v>52811</v>
      </c>
      <c r="Z1980" s="154">
        <v>2.7606727489797707E-2</v>
      </c>
      <c r="AA1980" s="156">
        <v>2.7566074319848033E-2</v>
      </c>
    </row>
    <row r="1981" spans="19:27" x14ac:dyDescent="0.2">
      <c r="S1981" s="1"/>
      <c r="T1981" s="117"/>
      <c r="W1981" s="75" t="str">
        <f t="shared" si="41"/>
        <v>1w</v>
      </c>
      <c r="X1981" s="148">
        <f>_xll.qlCalendarAdvance(Calendar,X1980,W1981,"f",FALSE)</f>
        <v>52818</v>
      </c>
      <c r="Y1981" s="153">
        <f>_xll.qlCalendarAdvance(Calendar,X1981,NDays&amp;"D")</f>
        <v>52818</v>
      </c>
      <c r="Z1981" s="154">
        <v>2.7598316923446029E-2</v>
      </c>
      <c r="AA1981" s="156">
        <v>2.7557907581059471E-2</v>
      </c>
    </row>
    <row r="1982" spans="19:27" x14ac:dyDescent="0.2">
      <c r="S1982" s="1"/>
      <c r="T1982" s="117"/>
      <c r="W1982" s="75" t="str">
        <f t="shared" si="41"/>
        <v>1w</v>
      </c>
      <c r="X1982" s="148">
        <f>_xll.qlCalendarAdvance(Calendar,X1981,W1982,"f",FALSE)</f>
        <v>52825</v>
      </c>
      <c r="Y1982" s="153">
        <f>_xll.qlCalendarAdvance(Calendar,X1982,NDays&amp;"D")</f>
        <v>52825</v>
      </c>
      <c r="Z1982" s="154">
        <v>2.7589892285378351E-2</v>
      </c>
      <c r="AA1982" s="156">
        <v>2.7549706145709729E-2</v>
      </c>
    </row>
    <row r="1983" spans="19:27" x14ac:dyDescent="0.2">
      <c r="S1983" s="1"/>
      <c r="T1983" s="117"/>
      <c r="W1983" s="75" t="str">
        <f t="shared" si="41"/>
        <v>1w</v>
      </c>
      <c r="X1983" s="148">
        <f>_xll.qlCalendarAdvance(Calendar,X1982,W1983,"f",FALSE)</f>
        <v>52832</v>
      </c>
      <c r="Y1983" s="153">
        <f>_xll.qlCalendarAdvance(Calendar,X1983,NDays&amp;"D")</f>
        <v>52832</v>
      </c>
      <c r="Z1983" s="154">
        <v>2.7581457997538771E-2</v>
      </c>
      <c r="AA1983" s="156">
        <v>2.7541470013717761E-2</v>
      </c>
    </row>
    <row r="1984" spans="19:27" x14ac:dyDescent="0.2">
      <c r="S1984" s="1"/>
      <c r="T1984" s="117"/>
      <c r="W1984" s="75" t="str">
        <f t="shared" si="41"/>
        <v>1w</v>
      </c>
      <c r="X1984" s="148">
        <f>_xll.qlCalendarAdvance(Calendar,X1983,W1984,"f",FALSE)</f>
        <v>52839</v>
      </c>
      <c r="Y1984" s="153">
        <f>_xll.qlCalendarAdvance(Calendar,X1984,NDays&amp;"D")</f>
        <v>52839</v>
      </c>
      <c r="Z1984" s="154">
        <v>2.7573018481836156E-2</v>
      </c>
      <c r="AA1984" s="156">
        <v>2.7533199185326707E-2</v>
      </c>
    </row>
    <row r="1985" spans="19:27" x14ac:dyDescent="0.2">
      <c r="S1985" s="1"/>
      <c r="T1985" s="117"/>
      <c r="W1985" s="75" t="str">
        <f t="shared" si="41"/>
        <v>1w</v>
      </c>
      <c r="X1985" s="148">
        <f>_xll.qlCalendarAdvance(Calendar,X1984,W1985,"f",FALSE)</f>
        <v>52846</v>
      </c>
      <c r="Y1985" s="153">
        <f>_xll.qlCalendarAdvance(Calendar,X1985,NDays&amp;"D")</f>
        <v>52846</v>
      </c>
      <c r="Z1985" s="154">
        <v>2.7564141362448457E-2</v>
      </c>
      <c r="AA1985" s="156">
        <v>2.7524893660374472E-2</v>
      </c>
    </row>
    <row r="1986" spans="19:27" x14ac:dyDescent="0.2">
      <c r="S1986" s="1"/>
      <c r="T1986" s="117"/>
      <c r="W1986" s="75" t="str">
        <f t="shared" si="41"/>
        <v>1w</v>
      </c>
      <c r="X1986" s="148">
        <f>_xll.qlCalendarAdvance(Calendar,X1985,W1986,"f",FALSE)</f>
        <v>52853</v>
      </c>
      <c r="Y1986" s="153">
        <f>_xll.qlCalendarAdvance(Calendar,X1986,NDays&amp;"D")</f>
        <v>52853</v>
      </c>
      <c r="Z1986" s="154">
        <v>2.7555704011503427E-2</v>
      </c>
      <c r="AA1986" s="156">
        <v>2.7516553438942104E-2</v>
      </c>
    </row>
    <row r="1987" spans="19:27" x14ac:dyDescent="0.2">
      <c r="S1987" s="1"/>
      <c r="T1987" s="117"/>
      <c r="W1987" s="75" t="str">
        <f t="shared" si="41"/>
        <v>1w</v>
      </c>
      <c r="X1987" s="148">
        <f>_xll.qlCalendarAdvance(Calendar,X1986,W1987,"f",FALSE)</f>
        <v>52860</v>
      </c>
      <c r="Y1987" s="153">
        <f>_xll.qlCalendarAdvance(Calendar,X1987,NDays&amp;"D")</f>
        <v>52860</v>
      </c>
      <c r="Z1987" s="154">
        <v>2.7547274530818445E-2</v>
      </c>
      <c r="AA1987" s="156">
        <v>2.750817852086751E-2</v>
      </c>
    </row>
    <row r="1988" spans="19:27" x14ac:dyDescent="0.2">
      <c r="S1988" s="1"/>
      <c r="T1988" s="117"/>
      <c r="W1988" s="75" t="str">
        <f t="shared" si="41"/>
        <v>1w</v>
      </c>
      <c r="X1988" s="148">
        <f>_xll.qlCalendarAdvance(Calendar,X1987,W1988,"f",FALSE)</f>
        <v>52867</v>
      </c>
      <c r="Y1988" s="153">
        <f>_xll.qlCalendarAdvance(Calendar,X1988,NDays&amp;"D")</f>
        <v>52867</v>
      </c>
      <c r="Z1988" s="154">
        <v>2.7539296577268006E-2</v>
      </c>
      <c r="AA1988" s="156">
        <v>2.7499768906312783E-2</v>
      </c>
    </row>
    <row r="1989" spans="19:27" x14ac:dyDescent="0.2">
      <c r="S1989" s="1"/>
      <c r="T1989" s="117"/>
      <c r="W1989" s="75" t="str">
        <f t="shared" si="41"/>
        <v>1w</v>
      </c>
      <c r="X1989" s="148">
        <f>_xll.qlCalendarAdvance(Calendar,X1988,W1989,"f",FALSE)</f>
        <v>52874</v>
      </c>
      <c r="Y1989" s="153">
        <f>_xll.qlCalendarAdvance(Calendar,X1989,NDays&amp;"D")</f>
        <v>52874</v>
      </c>
      <c r="Z1989" s="154">
        <v>2.7530897249575016E-2</v>
      </c>
      <c r="AA1989" s="156">
        <v>2.7491324595277922E-2</v>
      </c>
    </row>
    <row r="1990" spans="19:27" x14ac:dyDescent="0.2">
      <c r="S1990" s="1"/>
      <c r="T1990" s="117"/>
      <c r="W1990" s="75" t="str">
        <f t="shared" si="41"/>
        <v>1w</v>
      </c>
      <c r="X1990" s="148">
        <f>_xll.qlCalendarAdvance(Calendar,X1989,W1990,"f",FALSE)</f>
        <v>52881</v>
      </c>
      <c r="Y1990" s="153">
        <f>_xll.qlCalendarAdvance(Calendar,X1990,NDays&amp;"D")</f>
        <v>52881</v>
      </c>
      <c r="Z1990" s="154">
        <v>2.7522519087178159E-2</v>
      </c>
      <c r="AA1990" s="156">
        <v>2.7482857563485563E-2</v>
      </c>
    </row>
    <row r="1991" spans="19:27" x14ac:dyDescent="0.2">
      <c r="S1991" s="1"/>
      <c r="T1991" s="117"/>
      <c r="W1991" s="75" t="str">
        <f t="shared" si="41"/>
        <v>1w</v>
      </c>
      <c r="X1991" s="148">
        <f>_xll.qlCalendarAdvance(Calendar,X1990,W1991,"f",FALSE)</f>
        <v>52888</v>
      </c>
      <c r="Y1991" s="153">
        <f>_xll.qlCalendarAdvance(Calendar,X1991,NDays&amp;"D")</f>
        <v>52888</v>
      </c>
      <c r="Z1991" s="154">
        <v>2.7514164064490813E-2</v>
      </c>
      <c r="AA1991" s="156">
        <v>2.7474409823949886E-2</v>
      </c>
    </row>
    <row r="1992" spans="19:27" x14ac:dyDescent="0.2">
      <c r="S1992" s="1"/>
      <c r="T1992" s="117"/>
      <c r="W1992" s="75" t="str">
        <f t="shared" si="41"/>
        <v>1w</v>
      </c>
      <c r="X1992" s="148">
        <f>_xll.qlCalendarAdvance(Calendar,X1991,W1992,"f",FALSE)</f>
        <v>52895</v>
      </c>
      <c r="Y1992" s="153">
        <f>_xll.qlCalendarAdvance(Calendar,X1992,NDays&amp;"D")</f>
        <v>52895</v>
      </c>
      <c r="Z1992" s="154">
        <v>2.7505832239379135E-2</v>
      </c>
      <c r="AA1992" s="156">
        <v>2.7465985106825963E-2</v>
      </c>
    </row>
    <row r="1993" spans="19:27" x14ac:dyDescent="0.2">
      <c r="S1993" s="1"/>
      <c r="T1993" s="117"/>
      <c r="W1993" s="75" t="str">
        <f t="shared" si="41"/>
        <v>1w</v>
      </c>
      <c r="X1993" s="148">
        <f>_xll.qlCalendarAdvance(Calendar,X1992,W1993,"f",FALSE)</f>
        <v>52902</v>
      </c>
      <c r="Y1993" s="153">
        <f>_xll.qlCalendarAdvance(Calendar,X1993,NDays&amp;"D")</f>
        <v>52902</v>
      </c>
      <c r="Z1993" s="154">
        <v>2.7497523611700419E-2</v>
      </c>
      <c r="AA1993" s="156">
        <v>2.7457583412113795E-2</v>
      </c>
    </row>
    <row r="1994" spans="19:27" x14ac:dyDescent="0.2">
      <c r="S1994" s="1"/>
      <c r="T1994" s="117"/>
      <c r="W1994" s="75" t="str">
        <f t="shared" si="41"/>
        <v>1w</v>
      </c>
      <c r="X1994" s="148">
        <f>_xll.qlCalendarAdvance(Calendar,X1993,W1994,"f",FALSE)</f>
        <v>52909</v>
      </c>
      <c r="Y1994" s="153">
        <f>_xll.qlCalendarAdvance(Calendar,X1994,NDays&amp;"D")</f>
        <v>52909</v>
      </c>
      <c r="Z1994" s="154">
        <v>2.7489238181306667E-2</v>
      </c>
      <c r="AA1994" s="156">
        <v>2.7449204739894428E-2</v>
      </c>
    </row>
    <row r="1995" spans="19:27" x14ac:dyDescent="0.2">
      <c r="S1995" s="1"/>
      <c r="T1995" s="117"/>
      <c r="W1995" s="75" t="str">
        <f t="shared" si="41"/>
        <v>1w</v>
      </c>
      <c r="X1995" s="148">
        <f>_xll.qlCalendarAdvance(Calendar,X1994,W1995,"f",FALSE)</f>
        <v>52916</v>
      </c>
      <c r="Y1995" s="153">
        <f>_xll.qlCalendarAdvance(Calendar,X1995,NDays&amp;"D")</f>
        <v>52916</v>
      </c>
      <c r="Z1995" s="154">
        <v>2.7480975948056926E-2</v>
      </c>
      <c r="AA1995" s="156">
        <v>2.7440849090086816E-2</v>
      </c>
    </row>
    <row r="1996" spans="19:27" x14ac:dyDescent="0.2">
      <c r="S1996" s="1"/>
      <c r="T1996" s="117"/>
      <c r="W1996" s="75" t="str">
        <f t="shared" si="41"/>
        <v>1w</v>
      </c>
      <c r="X1996" s="148">
        <f>_xll.qlCalendarAdvance(Calendar,X1995,W1996,"f",FALSE)</f>
        <v>52923</v>
      </c>
      <c r="Y1996" s="153">
        <f>_xll.qlCalendarAdvance(Calendar,X1996,NDays&amp;"D")</f>
        <v>52923</v>
      </c>
      <c r="Z1996" s="154">
        <v>2.7472736911804078E-2</v>
      </c>
      <c r="AA1996" s="156">
        <v>2.7432516462609913E-2</v>
      </c>
    </row>
    <row r="1997" spans="19:27" x14ac:dyDescent="0.2">
      <c r="S1997" s="1"/>
      <c r="T1997" s="117"/>
      <c r="W1997" s="75" t="str">
        <f t="shared" si="41"/>
        <v>1w</v>
      </c>
      <c r="X1997" s="148">
        <f>_xll.qlCalendarAdvance(Calendar,X1996,W1997,"f",FALSE)</f>
        <v>52930</v>
      </c>
      <c r="Y1997" s="153">
        <f>_xll.qlCalendarAdvance(Calendar,X1997,NDays&amp;"D")</f>
        <v>52930</v>
      </c>
      <c r="Z1997" s="154">
        <v>2.7464072612389468E-2</v>
      </c>
      <c r="AA1997" s="156">
        <v>2.742420685762581E-2</v>
      </c>
    </row>
    <row r="1998" spans="19:27" x14ac:dyDescent="0.2">
      <c r="S1998" s="1"/>
      <c r="T1998" s="117"/>
      <c r="W1998" s="75" t="str">
        <f t="shared" si="41"/>
        <v>1w</v>
      </c>
      <c r="X1998" s="148">
        <f>_xll.qlCalendarAdvance(Calendar,X1997,W1998,"f",FALSE)</f>
        <v>52937</v>
      </c>
      <c r="Y1998" s="153">
        <f>_xll.qlCalendarAdvance(Calendar,X1998,NDays&amp;"D")</f>
        <v>52937</v>
      </c>
      <c r="Z1998" s="154">
        <v>2.7455429546797805E-2</v>
      </c>
      <c r="AA1998" s="156">
        <v>2.7415920275053463E-2</v>
      </c>
    </row>
    <row r="1999" spans="19:27" x14ac:dyDescent="0.2">
      <c r="S1999" s="1"/>
      <c r="T1999" s="117"/>
      <c r="W1999" s="75" t="str">
        <f t="shared" si="41"/>
        <v>1w</v>
      </c>
      <c r="X1999" s="148">
        <f>_xll.qlCalendarAdvance(Calendar,X1998,W1999,"f",FALSE)</f>
        <v>52944</v>
      </c>
      <c r="Y1999" s="153">
        <f>_xll.qlCalendarAdvance(Calendar,X1999,NDays&amp;"D")</f>
        <v>52944</v>
      </c>
      <c r="Z1999" s="154">
        <v>2.7447258012009128E-2</v>
      </c>
      <c r="AA1999" s="156">
        <v>2.740765671489287E-2</v>
      </c>
    </row>
    <row r="2000" spans="19:27" x14ac:dyDescent="0.2">
      <c r="S2000" s="1"/>
      <c r="T2000" s="117"/>
      <c r="W2000" s="75" t="str">
        <f t="shared" si="41"/>
        <v>1w</v>
      </c>
      <c r="X2000" s="148">
        <f>_xll.qlCalendarAdvance(Calendar,X1999,W2000,"f",FALSE)</f>
        <v>52951</v>
      </c>
      <c r="Y2000" s="153">
        <f>_xll.qlCalendarAdvance(Calendar,X2000,NDays&amp;"D")</f>
        <v>52951</v>
      </c>
      <c r="Z2000" s="154">
        <v>2.7439109669828494E-2</v>
      </c>
      <c r="AA2000" s="156">
        <v>2.7399416177144031E-2</v>
      </c>
    </row>
    <row r="2001" spans="19:27" x14ac:dyDescent="0.2">
      <c r="S2001" s="1"/>
      <c r="T2001" s="117"/>
      <c r="W2001" s="75" t="str">
        <f t="shared" si="41"/>
        <v>1w</v>
      </c>
      <c r="X2001" s="148">
        <f>_xll.qlCalendarAdvance(Calendar,X2000,W2001,"f",FALSE)</f>
        <v>52959</v>
      </c>
      <c r="Y2001" s="153">
        <f>_xll.qlCalendarAdvance(Calendar,X2001,NDays&amp;"D")</f>
        <v>52959</v>
      </c>
      <c r="Z2001" s="154">
        <v>2.74298256776992E-2</v>
      </c>
      <c r="AA2001" s="156">
        <v>2.7390026610368823E-2</v>
      </c>
    </row>
    <row r="2002" spans="19:27" x14ac:dyDescent="0.2">
      <c r="S2002" s="1"/>
      <c r="T2002" s="117"/>
      <c r="W2002" s="75" t="str">
        <f t="shared" si="41"/>
        <v>1w</v>
      </c>
      <c r="X2002" s="148">
        <f>_xll.qlCalendarAdvance(Calendar,X2001,W2002,"f",FALSE)</f>
        <v>52966</v>
      </c>
      <c r="Y2002" s="153">
        <f>_xll.qlCalendarAdvance(Calendar,X2002,NDays&amp;"D")</f>
        <v>52966</v>
      </c>
      <c r="Z2002" s="154">
        <v>2.7421727033496879E-2</v>
      </c>
      <c r="AA2002" s="156">
        <v>2.7381835406463662E-2</v>
      </c>
    </row>
    <row r="2003" spans="19:27" x14ac:dyDescent="0.2">
      <c r="S2003" s="1"/>
      <c r="T2003" s="117"/>
      <c r="W2003" s="75" t="str">
        <f t="shared" si="41"/>
        <v>1w</v>
      </c>
      <c r="X2003" s="148">
        <f>_xll.qlCalendarAdvance(Calendar,X2002,W2003,"f",FALSE)</f>
        <v>52973</v>
      </c>
      <c r="Y2003" s="153">
        <f>_xll.qlCalendarAdvance(Calendar,X2003,NDays&amp;"D")</f>
        <v>52973</v>
      </c>
      <c r="Z2003" s="154">
        <v>2.7413651581469457E-2</v>
      </c>
      <c r="AA2003" s="156">
        <v>2.7373667224889209E-2</v>
      </c>
    </row>
    <row r="2004" spans="19:27" x14ac:dyDescent="0.2">
      <c r="S2004" s="1"/>
      <c r="T2004" s="117"/>
      <c r="W2004" s="75" t="str">
        <f t="shared" si="41"/>
        <v>1w</v>
      </c>
      <c r="X2004" s="148">
        <f>_xll.qlCalendarAdvance(Calendar,X2003,W2004,"f",FALSE)</f>
        <v>52980</v>
      </c>
      <c r="Y2004" s="153">
        <f>_xll.qlCalendarAdvance(Calendar,X2004,NDays&amp;"D")</f>
        <v>52980</v>
      </c>
      <c r="Z2004" s="154">
        <v>2.740559932147825E-2</v>
      </c>
      <c r="AA2004" s="156">
        <v>2.7365522065726511E-2</v>
      </c>
    </row>
    <row r="2005" spans="19:27" x14ac:dyDescent="0.2">
      <c r="S2005" s="1"/>
      <c r="T2005" s="117"/>
      <c r="W2005" s="75" t="str">
        <f t="shared" ref="W2005:W2068" si="42">W2004</f>
        <v>1w</v>
      </c>
      <c r="X2005" s="148">
        <f>_xll.qlCalendarAdvance(Calendar,X2004,W2005,"f",FALSE)</f>
        <v>52987</v>
      </c>
      <c r="Y2005" s="153">
        <f>_xll.qlCalendarAdvance(Calendar,X2005,NDays&amp;"D")</f>
        <v>52987</v>
      </c>
      <c r="Z2005" s="154">
        <v>2.7397570253385482E-2</v>
      </c>
      <c r="AA2005" s="156">
        <v>2.7357399928975568E-2</v>
      </c>
    </row>
    <row r="2006" spans="19:27" x14ac:dyDescent="0.2">
      <c r="S2006" s="1"/>
      <c r="T2006" s="117"/>
      <c r="W2006" s="75" t="str">
        <f t="shared" si="42"/>
        <v>1w</v>
      </c>
      <c r="X2006" s="148">
        <f>_xll.qlCalendarAdvance(Calendar,X2005,W2006,"f",FALSE)</f>
        <v>52994</v>
      </c>
      <c r="Y2006" s="153">
        <f>_xll.qlCalendarAdvance(Calendar,X2006,NDays&amp;"D")</f>
        <v>52994</v>
      </c>
      <c r="Z2006" s="154">
        <v>2.7389564377053373E-2</v>
      </c>
      <c r="AA2006" s="156">
        <v>2.7349300814555333E-2</v>
      </c>
    </row>
    <row r="2007" spans="19:27" x14ac:dyDescent="0.2">
      <c r="S2007" s="1"/>
      <c r="T2007" s="117"/>
      <c r="W2007" s="75" t="str">
        <f t="shared" si="42"/>
        <v>1w</v>
      </c>
      <c r="X2007" s="148">
        <f>_xll.qlCalendarAdvance(Calendar,X2006,W2007,"f",FALSE)</f>
        <v>53001</v>
      </c>
      <c r="Y2007" s="153">
        <f>_xll.qlCalendarAdvance(Calendar,X2007,NDays&amp;"D")</f>
        <v>53001</v>
      </c>
      <c r="Z2007" s="154">
        <v>2.7381122818095738E-2</v>
      </c>
      <c r="AA2007" s="156">
        <v>2.7341224722708946E-2</v>
      </c>
    </row>
    <row r="2008" spans="19:27" x14ac:dyDescent="0.2">
      <c r="S2008" s="1"/>
      <c r="T2008" s="117"/>
      <c r="W2008" s="75" t="str">
        <f t="shared" si="42"/>
        <v>1w</v>
      </c>
      <c r="X2008" s="148">
        <f>_xll.qlCalendarAdvance(Calendar,X2007,W2008,"f",FALSE)</f>
        <v>53008</v>
      </c>
      <c r="Y2008" s="153">
        <f>_xll.qlCalendarAdvance(Calendar,X2008,NDays&amp;"D")</f>
        <v>53008</v>
      </c>
      <c r="Z2008" s="154">
        <v>2.7373162263481465E-2</v>
      </c>
      <c r="AA2008" s="156">
        <v>2.733317165311222E-2</v>
      </c>
    </row>
    <row r="2009" spans="19:27" x14ac:dyDescent="0.2">
      <c r="S2009" s="1"/>
      <c r="T2009" s="117"/>
      <c r="W2009" s="75" t="str">
        <f t="shared" si="42"/>
        <v>1w</v>
      </c>
      <c r="X2009" s="148">
        <f>_xll.qlCalendarAdvance(Calendar,X2008,W2009,"f",FALSE)</f>
        <v>53015</v>
      </c>
      <c r="Y2009" s="153">
        <f>_xll.qlCalendarAdvance(Calendar,X2009,NDays&amp;"D")</f>
        <v>53015</v>
      </c>
      <c r="Z2009" s="154">
        <v>2.736522489832717E-2</v>
      </c>
      <c r="AA2009" s="156">
        <v>2.7325141606008296E-2</v>
      </c>
    </row>
    <row r="2010" spans="19:27" x14ac:dyDescent="0.2">
      <c r="S2010" s="1"/>
      <c r="T2010" s="117"/>
      <c r="W2010" s="75" t="str">
        <f t="shared" si="42"/>
        <v>1w</v>
      </c>
      <c r="X2010" s="148">
        <f>_xll.qlCalendarAdvance(Calendar,X2009,W2010,"f",FALSE)</f>
        <v>53022</v>
      </c>
      <c r="Y2010" s="153">
        <f>_xll.qlCalendarAdvance(Calendar,X2010,NDays&amp;"D")</f>
        <v>53022</v>
      </c>
      <c r="Z2010" s="154">
        <v>2.7358697289668825E-2</v>
      </c>
      <c r="AA2010" s="156">
        <v>2.7317134581235081E-2</v>
      </c>
    </row>
    <row r="2011" spans="19:27" x14ac:dyDescent="0.2">
      <c r="S2011" s="1"/>
      <c r="T2011" s="117"/>
      <c r="W2011" s="75" t="str">
        <f t="shared" si="42"/>
        <v>1w</v>
      </c>
      <c r="X2011" s="148">
        <f>_xll.qlCalendarAdvance(Calendar,X2010,W2011,"f",FALSE)</f>
        <v>53029</v>
      </c>
      <c r="Y2011" s="153">
        <f>_xll.qlCalendarAdvance(Calendar,X2011,NDays&amp;"D")</f>
        <v>53029</v>
      </c>
      <c r="Z2011" s="154">
        <v>2.7350809504949794E-2</v>
      </c>
      <c r="AA2011" s="156">
        <v>2.730915057887362E-2</v>
      </c>
    </row>
    <row r="2012" spans="19:27" x14ac:dyDescent="0.2">
      <c r="S2012" s="1"/>
      <c r="T2012" s="117"/>
      <c r="W2012" s="75" t="str">
        <f t="shared" si="42"/>
        <v>1w</v>
      </c>
      <c r="X2012" s="148">
        <f>_xll.qlCalendarAdvance(Calendar,X2011,W2012,"f",FALSE)</f>
        <v>53036</v>
      </c>
      <c r="Y2012" s="153">
        <f>_xll.qlCalendarAdvance(Calendar,X2012,NDays&amp;"D")</f>
        <v>53036</v>
      </c>
      <c r="Z2012" s="154">
        <v>2.7342944914962766E-2</v>
      </c>
      <c r="AA2012" s="156">
        <v>2.7301189598923914E-2</v>
      </c>
    </row>
    <row r="2013" spans="19:27" x14ac:dyDescent="0.2">
      <c r="S2013" s="1"/>
      <c r="T2013" s="117"/>
      <c r="W2013" s="75" t="str">
        <f t="shared" si="42"/>
        <v>1w</v>
      </c>
      <c r="X2013" s="148">
        <f>_xll.qlCalendarAdvance(Calendar,X2012,W2013,"f",FALSE)</f>
        <v>53043</v>
      </c>
      <c r="Y2013" s="153">
        <f>_xll.qlCalendarAdvance(Calendar,X2013,NDays&amp;"D")</f>
        <v>53043</v>
      </c>
      <c r="Z2013" s="154">
        <v>2.7335103519571195E-2</v>
      </c>
      <c r="AA2013" s="156">
        <v>2.7293251641385963E-2</v>
      </c>
    </row>
    <row r="2014" spans="19:27" x14ac:dyDescent="0.2">
      <c r="S2014" s="1"/>
      <c r="T2014" s="117"/>
      <c r="W2014" s="75" t="str">
        <f t="shared" si="42"/>
        <v>1w</v>
      </c>
      <c r="X2014" s="148">
        <f>_xll.qlCalendarAdvance(Calendar,X2013,W2014,"f",FALSE)</f>
        <v>53050</v>
      </c>
      <c r="Y2014" s="153">
        <f>_xll.qlCalendarAdvance(Calendar,X2014,NDays&amp;"D")</f>
        <v>53050</v>
      </c>
      <c r="Z2014" s="154">
        <v>2.7327285318638542E-2</v>
      </c>
      <c r="AA2014" s="156">
        <v>2.7285336706259766E-2</v>
      </c>
    </row>
    <row r="2015" spans="19:27" x14ac:dyDescent="0.2">
      <c r="S2015" s="1"/>
      <c r="T2015" s="117"/>
      <c r="W2015" s="75" t="str">
        <f t="shared" si="42"/>
        <v>1w</v>
      </c>
      <c r="X2015" s="148">
        <f>_xll.qlCalendarAdvance(Calendar,X2014,W2015,"f",FALSE)</f>
        <v>53057</v>
      </c>
      <c r="Y2015" s="153">
        <f>_xll.qlCalendarAdvance(Calendar,X2015,NDays&amp;"D")</f>
        <v>53057</v>
      </c>
      <c r="Z2015" s="154">
        <v>2.7319022641469234E-2</v>
      </c>
      <c r="AA2015" s="156">
        <v>2.7277444793545325E-2</v>
      </c>
    </row>
    <row r="2016" spans="19:27" x14ac:dyDescent="0.2">
      <c r="S2016" s="1"/>
      <c r="T2016" s="117"/>
      <c r="W2016" s="75" t="str">
        <f t="shared" si="42"/>
        <v>1w</v>
      </c>
      <c r="X2016" s="148">
        <f>_xll.qlCalendarAdvance(Calendar,X2015,W2016,"f",FALSE)</f>
        <v>53064</v>
      </c>
      <c r="Y2016" s="153">
        <f>_xll.qlCalendarAdvance(Calendar,X2016,NDays&amp;"D")</f>
        <v>53064</v>
      </c>
      <c r="Z2016" s="154">
        <v>2.7311249752070561E-2</v>
      </c>
      <c r="AA2016" s="156">
        <v>2.7269575903161591E-2</v>
      </c>
    </row>
    <row r="2017" spans="19:27" x14ac:dyDescent="0.2">
      <c r="S2017" s="1"/>
      <c r="T2017" s="117"/>
      <c r="W2017" s="75" t="str">
        <f t="shared" si="42"/>
        <v>1w</v>
      </c>
      <c r="X2017" s="148">
        <f>_xll.qlCalendarAdvance(Calendar,X2016,W2017,"f",FALSE)</f>
        <v>53071</v>
      </c>
      <c r="Y2017" s="153">
        <f>_xll.qlCalendarAdvance(Calendar,X2017,NDays&amp;"D")</f>
        <v>53071</v>
      </c>
      <c r="Z2017" s="154">
        <v>2.7303500054839978E-2</v>
      </c>
      <c r="AA2017" s="156">
        <v>2.7261730035189613E-2</v>
      </c>
    </row>
    <row r="2018" spans="19:27" x14ac:dyDescent="0.2">
      <c r="S2018" s="1"/>
      <c r="T2018" s="117"/>
      <c r="W2018" s="75" t="str">
        <f t="shared" si="42"/>
        <v>1w</v>
      </c>
      <c r="X2018" s="148">
        <f>_xll.qlCalendarAdvance(Calendar,X2017,W2018,"f",FALSE)</f>
        <v>53078</v>
      </c>
      <c r="Y2018" s="153">
        <f>_xll.qlCalendarAdvance(Calendar,X2018,NDays&amp;"D")</f>
        <v>53078</v>
      </c>
      <c r="Z2018" s="154">
        <v>2.7295773549643888E-2</v>
      </c>
      <c r="AA2018" s="156">
        <v>2.7253907189629389E-2</v>
      </c>
    </row>
    <row r="2019" spans="19:27" x14ac:dyDescent="0.2">
      <c r="S2019" s="1"/>
      <c r="T2019" s="117"/>
      <c r="W2019" s="75" t="str">
        <f t="shared" si="42"/>
        <v>1w</v>
      </c>
      <c r="X2019" s="148">
        <f>_xll.qlCalendarAdvance(Calendar,X2018,W2019,"f",FALSE)</f>
        <v>53085</v>
      </c>
      <c r="Y2019" s="153">
        <f>_xll.qlCalendarAdvance(Calendar,X2019,NDays&amp;"D")</f>
        <v>53085</v>
      </c>
      <c r="Z2019" s="154">
        <v>2.7288542226101033E-2</v>
      </c>
      <c r="AA2019" s="156">
        <v>2.7246107366399874E-2</v>
      </c>
    </row>
    <row r="2020" spans="19:27" x14ac:dyDescent="0.2">
      <c r="S2020" s="1"/>
      <c r="T2020" s="117"/>
      <c r="W2020" s="75" t="str">
        <f t="shared" si="42"/>
        <v>1w</v>
      </c>
      <c r="X2020" s="148">
        <f>_xll.qlCalendarAdvance(Calendar,X2019,W2020,"f",FALSE)</f>
        <v>53092</v>
      </c>
      <c r="Y2020" s="153">
        <f>_xll.qlCalendarAdvance(Calendar,X2020,NDays&amp;"D")</f>
        <v>53092</v>
      </c>
      <c r="Z2020" s="154">
        <v>2.7280863189075549E-2</v>
      </c>
      <c r="AA2020" s="156">
        <v>2.7238330565582114E-2</v>
      </c>
    </row>
    <row r="2021" spans="19:27" x14ac:dyDescent="0.2">
      <c r="S2021" s="1"/>
      <c r="T2021" s="117"/>
      <c r="W2021" s="75" t="str">
        <f t="shared" si="42"/>
        <v>1w</v>
      </c>
      <c r="X2021" s="148">
        <f>_xll.qlCalendarAdvance(Calendar,X2020,W2021,"f",FALSE)</f>
        <v>53099</v>
      </c>
      <c r="Y2021" s="153">
        <f>_xll.qlCalendarAdvance(Calendar,X2021,NDays&amp;"D")</f>
        <v>53099</v>
      </c>
      <c r="Z2021" s="154">
        <v>2.7273207345562857E-2</v>
      </c>
      <c r="AA2021" s="156">
        <v>2.7230576787176108E-2</v>
      </c>
    </row>
    <row r="2022" spans="19:27" x14ac:dyDescent="0.2">
      <c r="S2022" s="1"/>
      <c r="T2022" s="117"/>
      <c r="W2022" s="75" t="str">
        <f t="shared" si="42"/>
        <v>1w</v>
      </c>
      <c r="X2022" s="148">
        <f>_xll.qlCalendarAdvance(Calendar,X2021,W2022,"f",FALSE)</f>
        <v>53106</v>
      </c>
      <c r="Y2022" s="153">
        <f>_xll.qlCalendarAdvance(Calendar,X2022,NDays&amp;"D")</f>
        <v>53106</v>
      </c>
      <c r="Z2022" s="154">
        <v>2.726557469543257E-2</v>
      </c>
      <c r="AA2022" s="156">
        <v>2.7222846031100811E-2</v>
      </c>
    </row>
    <row r="2023" spans="19:27" x14ac:dyDescent="0.2">
      <c r="S2023" s="1"/>
      <c r="T2023" s="117"/>
      <c r="W2023" s="75" t="str">
        <f t="shared" si="42"/>
        <v>1w</v>
      </c>
      <c r="X2023" s="148">
        <f>_xll.qlCalendarAdvance(Calendar,X2022,W2023,"f",FALSE)</f>
        <v>53113</v>
      </c>
      <c r="Y2023" s="153">
        <f>_xll.qlCalendarAdvance(Calendar,X2023,NDays&amp;"D")</f>
        <v>53113</v>
      </c>
      <c r="Z2023" s="154">
        <v>2.7257965238550789E-2</v>
      </c>
      <c r="AA2023" s="156">
        <v>2.7215138297518315E-2</v>
      </c>
    </row>
    <row r="2024" spans="19:27" x14ac:dyDescent="0.2">
      <c r="S2024" s="1"/>
      <c r="T2024" s="117"/>
      <c r="W2024" s="75" t="str">
        <f t="shared" si="42"/>
        <v>1w</v>
      </c>
      <c r="X2024" s="148">
        <f>_xll.qlCalendarAdvance(Calendar,X2023,W2024,"f",FALSE)</f>
        <v>53120</v>
      </c>
      <c r="Y2024" s="153">
        <f>_xll.qlCalendarAdvance(Calendar,X2024,NDays&amp;"D")</f>
        <v>53120</v>
      </c>
      <c r="Z2024" s="154">
        <v>2.7250378974782729E-2</v>
      </c>
      <c r="AA2024" s="156">
        <v>2.7207453586266528E-2</v>
      </c>
    </row>
    <row r="2025" spans="19:27" x14ac:dyDescent="0.2">
      <c r="S2025" s="1"/>
      <c r="T2025" s="117"/>
      <c r="W2025" s="75" t="str">
        <f t="shared" si="42"/>
        <v>1w</v>
      </c>
      <c r="X2025" s="148">
        <f>_xll.qlCalendarAdvance(Calendar,X2024,W2025,"f",FALSE)</f>
        <v>53127</v>
      </c>
      <c r="Y2025" s="153">
        <f>_xll.qlCalendarAdvance(Calendar,X2025,NDays&amp;"D")</f>
        <v>53127</v>
      </c>
      <c r="Z2025" s="154">
        <v>2.7242815903999774E-2</v>
      </c>
      <c r="AA2025" s="156">
        <v>2.7199791897345449E-2</v>
      </c>
    </row>
    <row r="2026" spans="19:27" x14ac:dyDescent="0.2">
      <c r="S2026" s="1"/>
      <c r="T2026" s="117"/>
      <c r="W2026" s="75" t="str">
        <f t="shared" si="42"/>
        <v>1w</v>
      </c>
      <c r="X2026" s="148">
        <f>_xll.qlCalendarAdvance(Calendar,X2025,W2026,"f",FALSE)</f>
        <v>53134</v>
      </c>
      <c r="Y2026" s="153">
        <f>_xll.qlCalendarAdvance(Calendar,X2026,NDays&amp;"D")</f>
        <v>53134</v>
      </c>
      <c r="Z2026" s="154">
        <v>2.7235276026067141E-2</v>
      </c>
      <c r="AA2026" s="156">
        <v>2.7192153230755078E-2</v>
      </c>
    </row>
    <row r="2027" spans="19:27" x14ac:dyDescent="0.2">
      <c r="S2027" s="1"/>
      <c r="T2027" s="117"/>
      <c r="W2027" s="75" t="str">
        <f t="shared" si="42"/>
        <v>1w</v>
      </c>
      <c r="X2027" s="148">
        <f>_xll.qlCalendarAdvance(Calendar,X2026,W2027,"f",FALSE)</f>
        <v>53141</v>
      </c>
      <c r="Y2027" s="153">
        <f>_xll.qlCalendarAdvance(Calendar,X2027,NDays&amp;"D")</f>
        <v>53141</v>
      </c>
      <c r="Z2027" s="154">
        <v>2.7227759340856212E-2</v>
      </c>
      <c r="AA2027" s="156">
        <v>2.7184537586657509E-2</v>
      </c>
    </row>
    <row r="2028" spans="19:27" x14ac:dyDescent="0.2">
      <c r="S2028" s="1"/>
      <c r="T2028" s="117"/>
      <c r="W2028" s="75" t="str">
        <f t="shared" si="42"/>
        <v>1w</v>
      </c>
      <c r="X2028" s="148">
        <f>_xll.qlCalendarAdvance(Calendar,X2027,W2028,"f",FALSE)</f>
        <v>53148</v>
      </c>
      <c r="Y2028" s="153">
        <f>_xll.qlCalendarAdvance(Calendar,X2028,NDays&amp;"D")</f>
        <v>53148</v>
      </c>
      <c r="Z2028" s="154">
        <v>2.7220265848233966E-2</v>
      </c>
      <c r="AA2028" s="156">
        <v>2.7176944964890648E-2</v>
      </c>
    </row>
    <row r="2029" spans="19:27" x14ac:dyDescent="0.2">
      <c r="S2029" s="1"/>
      <c r="T2029" s="117"/>
      <c r="W2029" s="75" t="str">
        <f t="shared" si="42"/>
        <v>1w</v>
      </c>
      <c r="X2029" s="148">
        <f>_xll.qlCalendarAdvance(Calendar,X2028,W2029,"f",FALSE)</f>
        <v>53155</v>
      </c>
      <c r="Y2029" s="153">
        <f>_xll.qlCalendarAdvance(Calendar,X2029,NDays&amp;"D")</f>
        <v>53155</v>
      </c>
      <c r="Z2029" s="154">
        <v>2.7212795548072669E-2</v>
      </c>
      <c r="AA2029" s="156">
        <v>2.7169375365535542E-2</v>
      </c>
    </row>
    <row r="2030" spans="19:27" x14ac:dyDescent="0.2">
      <c r="S2030" s="1"/>
      <c r="T2030" s="117"/>
      <c r="W2030" s="75" t="str">
        <f t="shared" si="42"/>
        <v>1w</v>
      </c>
      <c r="X2030" s="148">
        <f>_xll.qlCalendarAdvance(Calendar,X2029,W2030,"f",FALSE)</f>
        <v>53162</v>
      </c>
      <c r="Y2030" s="153">
        <f>_xll.qlCalendarAdvance(Calendar,X2030,NDays&amp;"D")</f>
        <v>53162</v>
      </c>
      <c r="Z2030" s="154">
        <v>2.7205348440239294E-2</v>
      </c>
      <c r="AA2030" s="156">
        <v>2.7161828788511144E-2</v>
      </c>
    </row>
    <row r="2031" spans="19:27" x14ac:dyDescent="0.2">
      <c r="S2031" s="1"/>
      <c r="T2031" s="117"/>
      <c r="W2031" s="75" t="str">
        <f t="shared" si="42"/>
        <v>1w</v>
      </c>
      <c r="X2031" s="148">
        <f>_xll.qlCalendarAdvance(Calendar,X2030,W2031,"f",FALSE)</f>
        <v>53169</v>
      </c>
      <c r="Y2031" s="153">
        <f>_xll.qlCalendarAdvance(Calendar,X2031,NDays&amp;"D")</f>
        <v>53169</v>
      </c>
      <c r="Z2031" s="154">
        <v>2.7197924524605229E-2</v>
      </c>
      <c r="AA2031" s="156">
        <v>2.7154305233817455E-2</v>
      </c>
    </row>
    <row r="2032" spans="19:27" x14ac:dyDescent="0.2">
      <c r="S2032" s="1"/>
      <c r="T2032" s="117"/>
      <c r="W2032" s="75" t="str">
        <f t="shared" si="42"/>
        <v>1w</v>
      </c>
      <c r="X2032" s="148">
        <f>_xll.qlCalendarAdvance(Calendar,X2031,W2032,"f",FALSE)</f>
        <v>53176</v>
      </c>
      <c r="Y2032" s="153">
        <f>_xll.qlCalendarAdvance(Calendar,X2032,NDays&amp;"D")</f>
        <v>53176</v>
      </c>
      <c r="Z2032" s="154">
        <v>2.7190523801041856E-2</v>
      </c>
      <c r="AA2032" s="156">
        <v>2.7146804701535521E-2</v>
      </c>
    </row>
    <row r="2033" spans="19:27" x14ac:dyDescent="0.2">
      <c r="S2033" s="1"/>
      <c r="T2033" s="117"/>
      <c r="W2033" s="75" t="str">
        <f t="shared" si="42"/>
        <v>1w</v>
      </c>
      <c r="X2033" s="148">
        <f>_xll.qlCalendarAdvance(Calendar,X2032,W2033,"f",FALSE)</f>
        <v>53183</v>
      </c>
      <c r="Y2033" s="153">
        <f>_xll.qlCalendarAdvance(Calendar,X2033,NDays&amp;"D")</f>
        <v>53183</v>
      </c>
      <c r="Z2033" s="154">
        <v>2.7183146269419672E-2</v>
      </c>
      <c r="AA2033" s="156">
        <v>2.7139327191584295E-2</v>
      </c>
    </row>
    <row r="2034" spans="19:27" x14ac:dyDescent="0.2">
      <c r="S2034" s="1"/>
      <c r="T2034" s="117"/>
      <c r="W2034" s="75" t="str">
        <f t="shared" si="42"/>
        <v>1w</v>
      </c>
      <c r="X2034" s="148">
        <f>_xll.qlCalendarAdvance(Calendar,X2033,W2034,"f",FALSE)</f>
        <v>53190</v>
      </c>
      <c r="Y2034" s="153">
        <f>_xll.qlCalendarAdvance(Calendar,X2034,NDays&amp;"D")</f>
        <v>53190</v>
      </c>
      <c r="Z2034" s="154">
        <v>2.7175791929610071E-2</v>
      </c>
      <c r="AA2034" s="156">
        <v>2.713187270412587E-2</v>
      </c>
    </row>
    <row r="2035" spans="19:27" x14ac:dyDescent="0.2">
      <c r="S2035" s="1"/>
      <c r="T2035" s="117"/>
      <c r="W2035" s="75" t="str">
        <f t="shared" si="42"/>
        <v>1w</v>
      </c>
      <c r="X2035" s="148">
        <f>_xll.qlCalendarAdvance(Calendar,X2034,W2035,"f",FALSE)</f>
        <v>53197</v>
      </c>
      <c r="Y2035" s="153">
        <f>_xll.qlCalendarAdvance(Calendar,X2035,NDays&amp;"D")</f>
        <v>53197</v>
      </c>
      <c r="Z2035" s="154">
        <v>2.7168460781485309E-2</v>
      </c>
      <c r="AA2035" s="156">
        <v>2.7124441238917107E-2</v>
      </c>
    </row>
    <row r="2036" spans="19:27" x14ac:dyDescent="0.2">
      <c r="S2036" s="1"/>
      <c r="T2036" s="117"/>
      <c r="W2036" s="75" t="str">
        <f t="shared" si="42"/>
        <v>1w</v>
      </c>
      <c r="X2036" s="148">
        <f>_xll.qlCalendarAdvance(Calendar,X2035,W2036,"f",FALSE)</f>
        <v>53204</v>
      </c>
      <c r="Y2036" s="153">
        <f>_xll.qlCalendarAdvance(Calendar,X2036,NDays&amp;"D")</f>
        <v>53204</v>
      </c>
      <c r="Z2036" s="154">
        <v>2.7161152824919411E-2</v>
      </c>
      <c r="AA2036" s="156">
        <v>2.71170327961201E-2</v>
      </c>
    </row>
    <row r="2037" spans="19:27" x14ac:dyDescent="0.2">
      <c r="S2037" s="1"/>
      <c r="T2037" s="117"/>
      <c r="W2037" s="75" t="str">
        <f t="shared" si="42"/>
        <v>1w</v>
      </c>
      <c r="X2037" s="148">
        <f>_xll.qlCalendarAdvance(Calendar,X2036,W2037,"f",FALSE)</f>
        <v>53211</v>
      </c>
      <c r="Y2037" s="153">
        <f>_xll.qlCalendarAdvance(Calendar,X2037,NDays&amp;"D")</f>
        <v>53211</v>
      </c>
      <c r="Z2037" s="154">
        <v>2.7153376262815852E-2</v>
      </c>
      <c r="AA2037" s="156">
        <v>2.7109647375572754E-2</v>
      </c>
    </row>
    <row r="2038" spans="19:27" x14ac:dyDescent="0.2">
      <c r="S2038" s="1"/>
      <c r="T2038" s="117"/>
      <c r="W2038" s="75" t="str">
        <f t="shared" si="42"/>
        <v>1w</v>
      </c>
      <c r="X2038" s="148">
        <f>_xll.qlCalendarAdvance(Calendar,X2037,W2038,"f",FALSE)</f>
        <v>53218</v>
      </c>
      <c r="Y2038" s="153">
        <f>_xll.qlCalendarAdvance(Calendar,X2038,NDays&amp;"D")</f>
        <v>53218</v>
      </c>
      <c r="Z2038" s="154">
        <v>2.7146113570891098E-2</v>
      </c>
      <c r="AA2038" s="156">
        <v>2.710228497751821E-2</v>
      </c>
    </row>
    <row r="2039" spans="19:27" x14ac:dyDescent="0.2">
      <c r="S2039" s="1"/>
      <c r="T2039" s="117"/>
      <c r="W2039" s="75" t="str">
        <f t="shared" si="42"/>
        <v>1w</v>
      </c>
      <c r="X2039" s="148">
        <f>_xll.qlCalendarAdvance(Calendar,X2038,W2039,"f",FALSE)</f>
        <v>53225</v>
      </c>
      <c r="Y2039" s="153">
        <f>_xll.qlCalendarAdvance(Calendar,X2039,NDays&amp;"D")</f>
        <v>53225</v>
      </c>
      <c r="Z2039" s="154">
        <v>2.7138874068289791E-2</v>
      </c>
      <c r="AA2039" s="156">
        <v>2.7094945601794374E-2</v>
      </c>
    </row>
    <row r="2040" spans="19:27" x14ac:dyDescent="0.2">
      <c r="S2040" s="1"/>
      <c r="T2040" s="117"/>
      <c r="W2040" s="75" t="str">
        <f t="shared" si="42"/>
        <v>1w</v>
      </c>
      <c r="X2040" s="148">
        <f>_xll.qlCalendarAdvance(Calendar,X2039,W2040,"f",FALSE)</f>
        <v>53232</v>
      </c>
      <c r="Y2040" s="153">
        <f>_xll.qlCalendarAdvance(Calendar,X2040,NDays&amp;"D")</f>
        <v>53232</v>
      </c>
      <c r="Z2040" s="154">
        <v>2.7131657754887253E-2</v>
      </c>
      <c r="AA2040" s="156">
        <v>2.7087629248482292E-2</v>
      </c>
    </row>
    <row r="2041" spans="19:27" x14ac:dyDescent="0.2">
      <c r="S2041" s="1"/>
      <c r="T2041" s="117"/>
      <c r="W2041" s="75" t="str">
        <f t="shared" si="42"/>
        <v>1w</v>
      </c>
      <c r="X2041" s="148">
        <f>_xll.qlCalendarAdvance(Calendar,X2040,W2041,"f",FALSE)</f>
        <v>53239</v>
      </c>
      <c r="Y2041" s="153">
        <f>_xll.qlCalendarAdvance(Calendar,X2041,NDays&amp;"D")</f>
        <v>53239</v>
      </c>
      <c r="Z2041" s="154">
        <v>2.7124960911002166E-2</v>
      </c>
      <c r="AA2041" s="156">
        <v>2.7080335917419873E-2</v>
      </c>
    </row>
    <row r="2042" spans="19:27" x14ac:dyDescent="0.2">
      <c r="S2042" s="1"/>
      <c r="T2042" s="117"/>
      <c r="W2042" s="75" t="str">
        <f t="shared" si="42"/>
        <v>1w</v>
      </c>
      <c r="X2042" s="148">
        <f>_xll.qlCalendarAdvance(Calendar,X2041,W2042,"f",FALSE)</f>
        <v>53246</v>
      </c>
      <c r="Y2042" s="153">
        <f>_xll.qlCalendarAdvance(Calendar,X2042,NDays&amp;"D")</f>
        <v>53246</v>
      </c>
      <c r="Z2042" s="154">
        <v>2.7117792101120228E-2</v>
      </c>
      <c r="AA2042" s="156">
        <v>2.7073065608688163E-2</v>
      </c>
    </row>
    <row r="2043" spans="19:27" x14ac:dyDescent="0.2">
      <c r="S2043" s="1"/>
      <c r="T2043" s="117"/>
      <c r="W2043" s="75" t="str">
        <f t="shared" si="42"/>
        <v>1w</v>
      </c>
      <c r="X2043" s="148">
        <f>_xll.qlCalendarAdvance(Calendar,X2042,W2043,"f",FALSE)</f>
        <v>53253</v>
      </c>
      <c r="Y2043" s="153">
        <f>_xll.qlCalendarAdvance(Calendar,X2043,NDays&amp;"D")</f>
        <v>53253</v>
      </c>
      <c r="Z2043" s="154">
        <v>2.7110646481914458E-2</v>
      </c>
      <c r="AA2043" s="156">
        <v>2.7065818322449253E-2</v>
      </c>
    </row>
    <row r="2044" spans="19:27" x14ac:dyDescent="0.2">
      <c r="S2044" s="1"/>
      <c r="T2044" s="117"/>
      <c r="W2044" s="75" t="str">
        <f t="shared" si="42"/>
        <v>1w</v>
      </c>
      <c r="X2044" s="148">
        <f>_xll.qlCalendarAdvance(Calendar,X2043,W2044,"f",FALSE)</f>
        <v>53260</v>
      </c>
      <c r="Y2044" s="153">
        <f>_xll.qlCalendarAdvance(Calendar,X2044,NDays&amp;"D")</f>
        <v>53260</v>
      </c>
      <c r="Z2044" s="154">
        <v>2.7103524053257996E-2</v>
      </c>
      <c r="AA2044" s="156">
        <v>2.7058594058541052E-2</v>
      </c>
    </row>
    <row r="2045" spans="19:27" x14ac:dyDescent="0.2">
      <c r="S2045" s="1"/>
      <c r="T2045" s="117"/>
      <c r="W2045" s="75" t="str">
        <f t="shared" si="42"/>
        <v>1w</v>
      </c>
      <c r="X2045" s="148">
        <f>_xll.qlCalendarAdvance(Calendar,X2044,W2045,"f",FALSE)</f>
        <v>53267</v>
      </c>
      <c r="Y2045" s="153">
        <f>_xll.qlCalendarAdvance(Calendar,X2045,NDays&amp;"D")</f>
        <v>53267</v>
      </c>
      <c r="Z2045" s="154">
        <v>2.70964248150284E-2</v>
      </c>
      <c r="AA2045" s="156">
        <v>2.7051392816882514E-2</v>
      </c>
    </row>
    <row r="2046" spans="19:27" x14ac:dyDescent="0.2">
      <c r="S2046" s="1"/>
      <c r="T2046" s="117"/>
      <c r="W2046" s="75" t="str">
        <f t="shared" si="42"/>
        <v>1w</v>
      </c>
      <c r="X2046" s="148">
        <f>_xll.qlCalendarAdvance(Calendar,X2045,W2046,"f",FALSE)</f>
        <v>53274</v>
      </c>
      <c r="Y2046" s="153">
        <f>_xll.qlCalendarAdvance(Calendar,X2046,NDays&amp;"D")</f>
        <v>53274</v>
      </c>
      <c r="Z2046" s="154">
        <v>2.7089348767101448E-2</v>
      </c>
      <c r="AA2046" s="156">
        <v>2.7044214597554683E-2</v>
      </c>
    </row>
    <row r="2047" spans="19:27" x14ac:dyDescent="0.2">
      <c r="S2047" s="1"/>
      <c r="T2047" s="117"/>
      <c r="W2047" s="75" t="str">
        <f t="shared" si="42"/>
        <v>1w</v>
      </c>
      <c r="X2047" s="148">
        <f>_xll.qlCalendarAdvance(Calendar,X2046,W2047,"f",FALSE)</f>
        <v>53281</v>
      </c>
      <c r="Y2047" s="153">
        <f>_xll.qlCalendarAdvance(Calendar,X2047,NDays&amp;"D")</f>
        <v>53281</v>
      </c>
      <c r="Z2047" s="154">
        <v>2.7082295909356461E-2</v>
      </c>
      <c r="AA2047" s="156">
        <v>2.7037059400719654E-2</v>
      </c>
    </row>
    <row r="2048" spans="19:27" x14ac:dyDescent="0.2">
      <c r="S2048" s="1"/>
      <c r="T2048" s="117"/>
      <c r="W2048" s="75" t="str">
        <f t="shared" si="42"/>
        <v>1w</v>
      </c>
      <c r="X2048" s="148">
        <f>_xll.qlCalendarAdvance(Calendar,X2047,W2048,"f",FALSE)</f>
        <v>53288</v>
      </c>
      <c r="Y2048" s="153">
        <f>_xll.qlCalendarAdvance(Calendar,X2048,NDays&amp;"D")</f>
        <v>53288</v>
      </c>
      <c r="Z2048" s="154">
        <v>2.7075266241666576E-2</v>
      </c>
      <c r="AA2048" s="156">
        <v>2.7029927226134287E-2</v>
      </c>
    </row>
    <row r="2049" spans="19:27" x14ac:dyDescent="0.2">
      <c r="S2049" s="1"/>
      <c r="T2049" s="117"/>
      <c r="W2049" s="75" t="str">
        <f t="shared" si="42"/>
        <v>1w</v>
      </c>
      <c r="X2049" s="148">
        <f>_xll.qlCalendarAdvance(Calendar,X2048,W2049,"f",FALSE)</f>
        <v>53295</v>
      </c>
      <c r="Y2049" s="153">
        <f>_xll.qlCalendarAdvance(Calendar,X2049,NDays&amp;"D")</f>
        <v>53295</v>
      </c>
      <c r="Z2049" s="154">
        <v>2.7067754427848468E-2</v>
      </c>
      <c r="AA2049" s="156">
        <v>2.7022818073960675E-2</v>
      </c>
    </row>
    <row r="2050" spans="19:27" x14ac:dyDescent="0.2">
      <c r="S2050" s="1"/>
      <c r="T2050" s="117"/>
      <c r="W2050" s="75" t="str">
        <f t="shared" si="42"/>
        <v>1w</v>
      </c>
      <c r="X2050" s="148">
        <f>_xll.qlCalendarAdvance(Calendar,X2049,W2050,"f",FALSE)</f>
        <v>53302</v>
      </c>
      <c r="Y2050" s="153">
        <f>_xll.qlCalendarAdvance(Calendar,X2050,NDays&amp;"D")</f>
        <v>53302</v>
      </c>
      <c r="Z2050" s="154">
        <v>2.706026365734112E-2</v>
      </c>
      <c r="AA2050" s="156">
        <v>2.7015731944036725E-2</v>
      </c>
    </row>
    <row r="2051" spans="19:27" x14ac:dyDescent="0.2">
      <c r="S2051" s="1"/>
      <c r="T2051" s="117"/>
      <c r="W2051" s="75" t="str">
        <f t="shared" si="42"/>
        <v>1w</v>
      </c>
      <c r="X2051" s="148">
        <f>_xll.qlCalendarAdvance(Calendar,X2050,W2051,"f",FALSE)</f>
        <v>53309</v>
      </c>
      <c r="Y2051" s="153">
        <f>_xll.qlCalendarAdvance(Calendar,X2051,NDays&amp;"D")</f>
        <v>53309</v>
      </c>
      <c r="Z2051" s="154">
        <v>2.705330127516338E-2</v>
      </c>
      <c r="AA2051" s="156">
        <v>2.700866883652453E-2</v>
      </c>
    </row>
    <row r="2052" spans="19:27" x14ac:dyDescent="0.2">
      <c r="S2052" s="1"/>
      <c r="T2052" s="117"/>
      <c r="W2052" s="75" t="str">
        <f t="shared" si="42"/>
        <v>1w</v>
      </c>
      <c r="X2052" s="148">
        <f>_xll.qlCalendarAdvance(Calendar,X2051,W2052,"f",FALSE)</f>
        <v>53316</v>
      </c>
      <c r="Y2052" s="153">
        <f>_xll.qlCalendarAdvance(Calendar,X2052,NDays&amp;"D")</f>
        <v>53316</v>
      </c>
      <c r="Z2052" s="154">
        <v>2.7046362078882152E-2</v>
      </c>
      <c r="AA2052" s="156">
        <v>2.7001628751343043E-2</v>
      </c>
    </row>
    <row r="2053" spans="19:27" x14ac:dyDescent="0.2">
      <c r="S2053" s="1"/>
      <c r="T2053" s="117"/>
      <c r="W2053" s="75" t="str">
        <f t="shared" si="42"/>
        <v>1w</v>
      </c>
      <c r="X2053" s="148">
        <f>_xll.qlCalendarAdvance(Calendar,X2052,W2053,"f",FALSE)</f>
        <v>53323</v>
      </c>
      <c r="Y2053" s="153">
        <f>_xll.qlCalendarAdvance(Calendar,X2053,NDays&amp;"D")</f>
        <v>53323</v>
      </c>
      <c r="Z2053" s="154">
        <v>2.703944606838217E-2</v>
      </c>
      <c r="AA2053" s="156">
        <v>2.6994611688411219E-2</v>
      </c>
    </row>
    <row r="2054" spans="19:27" x14ac:dyDescent="0.2">
      <c r="S2054" s="1"/>
      <c r="T2054" s="117"/>
      <c r="W2054" s="75" t="str">
        <f t="shared" si="42"/>
        <v>1w</v>
      </c>
      <c r="X2054" s="148">
        <f>_xll.qlCalendarAdvance(Calendar,X2053,W2054,"f",FALSE)</f>
        <v>53330</v>
      </c>
      <c r="Y2054" s="153">
        <f>_xll.qlCalendarAdvance(Calendar,X2054,NDays&amp;"D")</f>
        <v>53330</v>
      </c>
      <c r="Z2054" s="154">
        <v>2.7032553243544564E-2</v>
      </c>
      <c r="AA2054" s="156">
        <v>2.6987617647972195E-2</v>
      </c>
    </row>
    <row r="2055" spans="19:27" x14ac:dyDescent="0.2">
      <c r="S2055" s="1"/>
      <c r="T2055" s="117"/>
      <c r="W2055" s="75" t="str">
        <f t="shared" si="42"/>
        <v>1w</v>
      </c>
      <c r="X2055" s="148">
        <f>_xll.qlCalendarAdvance(Calendar,X2054,W2055,"f",FALSE)</f>
        <v>53337</v>
      </c>
      <c r="Y2055" s="153">
        <f>_xll.qlCalendarAdvance(Calendar,X2055,NDays&amp;"D")</f>
        <v>53337</v>
      </c>
      <c r="Z2055" s="154">
        <v>2.7025683604251369E-2</v>
      </c>
      <c r="AA2055" s="156">
        <v>2.6980646629782834E-2</v>
      </c>
    </row>
    <row r="2056" spans="19:27" x14ac:dyDescent="0.2">
      <c r="S2056" s="1"/>
      <c r="T2056" s="117"/>
      <c r="W2056" s="75" t="str">
        <f t="shared" si="42"/>
        <v>1w</v>
      </c>
      <c r="X2056" s="148">
        <f>_xll.qlCalendarAdvance(Calendar,X2055,W2056,"f",FALSE)</f>
        <v>53344</v>
      </c>
      <c r="Y2056" s="153">
        <f>_xll.qlCalendarAdvance(Calendar,X2056,NDays&amp;"D")</f>
        <v>53344</v>
      </c>
      <c r="Z2056" s="154">
        <v>2.7018837150386419E-2</v>
      </c>
      <c r="AA2056" s="156">
        <v>2.6973698633924181E-2</v>
      </c>
    </row>
    <row r="2057" spans="19:27" x14ac:dyDescent="0.2">
      <c r="S2057" s="1"/>
      <c r="T2057" s="117"/>
      <c r="W2057" s="75" t="str">
        <f t="shared" si="42"/>
        <v>1w</v>
      </c>
      <c r="X2057" s="148">
        <f>_xll.qlCalendarAdvance(Calendar,X2056,W2057,"f",FALSE)</f>
        <v>53351</v>
      </c>
      <c r="Y2057" s="153">
        <f>_xll.qlCalendarAdvance(Calendar,X2057,NDays&amp;"D")</f>
        <v>53351</v>
      </c>
      <c r="Z2057" s="154">
        <v>2.7012013881832646E-2</v>
      </c>
      <c r="AA2057" s="156">
        <v>2.6966773660396237E-2</v>
      </c>
    </row>
    <row r="2058" spans="19:27" x14ac:dyDescent="0.2">
      <c r="S2058" s="1"/>
      <c r="T2058" s="117"/>
      <c r="W2058" s="75" t="str">
        <f t="shared" si="42"/>
        <v>1w</v>
      </c>
      <c r="X2058" s="148">
        <f>_xll.qlCalendarAdvance(Calendar,X2057,W2058,"f",FALSE)</f>
        <v>53358</v>
      </c>
      <c r="Y2058" s="153">
        <f>_xll.qlCalendarAdvance(Calendar,X2058,NDays&amp;"D")</f>
        <v>53358</v>
      </c>
      <c r="Z2058" s="154">
        <v>2.700469840574769E-2</v>
      </c>
      <c r="AA2058" s="156">
        <v>2.6959871709280048E-2</v>
      </c>
    </row>
    <row r="2059" spans="19:27" x14ac:dyDescent="0.2">
      <c r="S2059" s="1"/>
      <c r="T2059" s="117"/>
      <c r="W2059" s="75" t="str">
        <f t="shared" si="42"/>
        <v>1w</v>
      </c>
      <c r="X2059" s="148">
        <f>_xll.qlCalendarAdvance(Calendar,X2058,W2059,"f",FALSE)</f>
        <v>53365</v>
      </c>
      <c r="Y2059" s="153">
        <f>_xll.qlCalendarAdvance(Calendar,X2059,NDays&amp;"D")</f>
        <v>53365</v>
      </c>
      <c r="Z2059" s="154">
        <v>2.6998436900194867E-2</v>
      </c>
      <c r="AA2059" s="156">
        <v>2.6952992780413521E-2</v>
      </c>
    </row>
    <row r="2060" spans="19:27" x14ac:dyDescent="0.2">
      <c r="S2060" s="1"/>
      <c r="T2060" s="117"/>
      <c r="W2060" s="75" t="str">
        <f t="shared" si="42"/>
        <v>1w</v>
      </c>
      <c r="X2060" s="148">
        <f>_xll.qlCalendarAdvance(Calendar,X2059,W2060,"f",FALSE)</f>
        <v>53372</v>
      </c>
      <c r="Y2060" s="153">
        <f>_xll.qlCalendarAdvance(Calendar,X2060,NDays&amp;"D")</f>
        <v>53372</v>
      </c>
      <c r="Z2060" s="154">
        <v>2.69911654797718E-2</v>
      </c>
      <c r="AA2060" s="156">
        <v>2.6946136873958748E-2</v>
      </c>
    </row>
    <row r="2061" spans="19:27" x14ac:dyDescent="0.2">
      <c r="S2061" s="1"/>
      <c r="T2061" s="117"/>
      <c r="W2061" s="75" t="str">
        <f t="shared" si="42"/>
        <v>1w</v>
      </c>
      <c r="X2061" s="148">
        <f>_xll.qlCalendarAdvance(Calendar,X2060,W2061,"f",FALSE)</f>
        <v>53379</v>
      </c>
      <c r="Y2061" s="153">
        <f>_xll.qlCalendarAdvance(Calendar,X2061,NDays&amp;"D")</f>
        <v>53379</v>
      </c>
      <c r="Z2061" s="154">
        <v>2.6984433791378035E-2</v>
      </c>
      <c r="AA2061" s="156">
        <v>2.6939303989753638E-2</v>
      </c>
    </row>
    <row r="2062" spans="19:27" x14ac:dyDescent="0.2">
      <c r="S2062" s="1"/>
      <c r="T2062" s="117"/>
      <c r="W2062" s="75" t="str">
        <f t="shared" si="42"/>
        <v>1w</v>
      </c>
      <c r="X2062" s="148">
        <f>_xll.qlCalendarAdvance(Calendar,X2061,W2062,"f",FALSE)</f>
        <v>53386</v>
      </c>
      <c r="Y2062" s="153">
        <f>_xll.qlCalendarAdvance(Calendar,X2062,NDays&amp;"D")</f>
        <v>53386</v>
      </c>
      <c r="Z2062" s="154">
        <v>2.6979285782204356E-2</v>
      </c>
      <c r="AA2062" s="156">
        <v>2.6932494127960283E-2</v>
      </c>
    </row>
    <row r="2063" spans="19:27" x14ac:dyDescent="0.2">
      <c r="S2063" s="1"/>
      <c r="T2063" s="117"/>
      <c r="W2063" s="75" t="str">
        <f t="shared" si="42"/>
        <v>1w</v>
      </c>
      <c r="X2063" s="148">
        <f>_xll.qlCalendarAdvance(Calendar,X2062,W2063,"f",FALSE)</f>
        <v>53393</v>
      </c>
      <c r="Y2063" s="153">
        <f>_xll.qlCalendarAdvance(Calendar,X2063,NDays&amp;"D")</f>
        <v>53393</v>
      </c>
      <c r="Z2063" s="154">
        <v>2.6972603950910414E-2</v>
      </c>
      <c r="AA2063" s="156">
        <v>2.6925707288497636E-2</v>
      </c>
    </row>
    <row r="2064" spans="19:27" x14ac:dyDescent="0.2">
      <c r="S2064" s="1"/>
      <c r="T2064" s="117"/>
      <c r="W2064" s="75" t="str">
        <f t="shared" si="42"/>
        <v>1w</v>
      </c>
      <c r="X2064" s="148">
        <f>_xll.qlCalendarAdvance(Calendar,X2063,W2064,"f",FALSE)</f>
        <v>53400</v>
      </c>
      <c r="Y2064" s="153">
        <f>_xll.qlCalendarAdvance(Calendar,X2064,NDays&amp;"D")</f>
        <v>53400</v>
      </c>
      <c r="Z2064" s="154">
        <v>2.6965945307763469E-2</v>
      </c>
      <c r="AA2064" s="156">
        <v>2.6918943471203605E-2</v>
      </c>
    </row>
    <row r="2065" spans="19:27" x14ac:dyDescent="0.2">
      <c r="S2065" s="1"/>
      <c r="T2065" s="117"/>
      <c r="W2065" s="75" t="str">
        <f t="shared" si="42"/>
        <v>1w</v>
      </c>
      <c r="X2065" s="148">
        <f>_xll.qlCalendarAdvance(Calendar,X2064,W2065,"f",FALSE)</f>
        <v>53407</v>
      </c>
      <c r="Y2065" s="153">
        <f>_xll.qlCalendarAdvance(Calendar,X2065,NDays&amp;"D")</f>
        <v>53407</v>
      </c>
      <c r="Z2065" s="154">
        <v>2.6959309852648994E-2</v>
      </c>
      <c r="AA2065" s="156">
        <v>2.6912202676402375E-2</v>
      </c>
    </row>
    <row r="2066" spans="19:27" x14ac:dyDescent="0.2">
      <c r="S2066" s="1"/>
      <c r="T2066" s="117"/>
      <c r="W2066" s="75" t="str">
        <f t="shared" si="42"/>
        <v>1w</v>
      </c>
      <c r="X2066" s="148">
        <f>_xll.qlCalendarAdvance(Calendar,X2065,W2066,"f",FALSE)</f>
        <v>53414</v>
      </c>
      <c r="Y2066" s="153">
        <f>_xll.qlCalendarAdvance(Calendar,X2066,NDays&amp;"D")</f>
        <v>53414</v>
      </c>
      <c r="Z2066" s="154">
        <v>2.6952697585448947E-2</v>
      </c>
      <c r="AA2066" s="156">
        <v>2.6905484903850807E-2</v>
      </c>
    </row>
    <row r="2067" spans="19:27" x14ac:dyDescent="0.2">
      <c r="S2067" s="1"/>
      <c r="T2067" s="117"/>
      <c r="W2067" s="75" t="str">
        <f t="shared" si="42"/>
        <v>1w</v>
      </c>
      <c r="X2067" s="148">
        <f>_xll.qlCalendarAdvance(Calendar,X2066,W2067,"f",FALSE)</f>
        <v>53421</v>
      </c>
      <c r="Y2067" s="153">
        <f>_xll.qlCalendarAdvance(Calendar,X2067,NDays&amp;"D")</f>
        <v>53421</v>
      </c>
      <c r="Z2067" s="154">
        <v>2.6945582365652736E-2</v>
      </c>
      <c r="AA2067" s="156">
        <v>2.6898790153629948E-2</v>
      </c>
    </row>
    <row r="2068" spans="19:27" x14ac:dyDescent="0.2">
      <c r="S2068" s="1"/>
      <c r="T2068" s="117"/>
      <c r="W2068" s="75" t="str">
        <f t="shared" si="42"/>
        <v>1w</v>
      </c>
      <c r="X2068" s="148">
        <f>_xll.qlCalendarAdvance(Calendar,X2067,W2068,"f",FALSE)</f>
        <v>53428</v>
      </c>
      <c r="Y2068" s="153">
        <f>_xll.qlCalendarAdvance(Calendar,X2068,NDays&amp;"D")</f>
        <v>53428</v>
      </c>
      <c r="Z2068" s="154">
        <v>2.6939015300827186E-2</v>
      </c>
      <c r="AA2068" s="156">
        <v>2.6892118425739797E-2</v>
      </c>
    </row>
    <row r="2069" spans="19:27" x14ac:dyDescent="0.2">
      <c r="S2069" s="1"/>
      <c r="T2069" s="117"/>
      <c r="W2069" s="75" t="str">
        <f t="shared" ref="W2069:W2132" si="43">W2068</f>
        <v>1w</v>
      </c>
      <c r="X2069" s="148">
        <f>_xll.qlCalendarAdvance(Calendar,X2068,W2069,"f",FALSE)</f>
        <v>53435</v>
      </c>
      <c r="Y2069" s="153">
        <f>_xll.qlCalendarAdvance(Calendar,X2069,NDays&amp;"D")</f>
        <v>53435</v>
      </c>
      <c r="Z2069" s="154">
        <v>2.6932471421760834E-2</v>
      </c>
      <c r="AA2069" s="156">
        <v>2.6885469720099309E-2</v>
      </c>
    </row>
    <row r="2070" spans="19:27" x14ac:dyDescent="0.2">
      <c r="S2070" s="1"/>
      <c r="T2070" s="117"/>
      <c r="W2070" s="75" t="str">
        <f t="shared" si="43"/>
        <v>1w</v>
      </c>
      <c r="X2070" s="148">
        <f>_xll.qlCalendarAdvance(Calendar,X2069,W2070,"f",FALSE)</f>
        <v>53442</v>
      </c>
      <c r="Y2070" s="153">
        <f>_xll.qlCalendarAdvance(Calendar,X2070,NDays&amp;"D")</f>
        <v>53442</v>
      </c>
      <c r="Z2070" s="154">
        <v>2.6925950728337901E-2</v>
      </c>
      <c r="AA2070" s="156">
        <v>2.6878844036870575E-2</v>
      </c>
    </row>
    <row r="2071" spans="19:27" x14ac:dyDescent="0.2">
      <c r="S2071" s="1"/>
      <c r="T2071" s="117"/>
      <c r="W2071" s="75" t="str">
        <f t="shared" si="43"/>
        <v>1w</v>
      </c>
      <c r="X2071" s="148">
        <f>_xll.qlCalendarAdvance(Calendar,X2070,W2071,"f",FALSE)</f>
        <v>53449</v>
      </c>
      <c r="Y2071" s="153">
        <f>_xll.qlCalendarAdvance(Calendar,X2071,NDays&amp;"D")</f>
        <v>53449</v>
      </c>
      <c r="Z2071" s="154">
        <v>2.6919984064173584E-2</v>
      </c>
      <c r="AA2071" s="156">
        <v>2.6872241375891504E-2</v>
      </c>
    </row>
    <row r="2072" spans="19:27" x14ac:dyDescent="0.2">
      <c r="S2072" s="1"/>
      <c r="T2072" s="117"/>
      <c r="W2072" s="75" t="str">
        <f t="shared" si="43"/>
        <v>1w</v>
      </c>
      <c r="X2072" s="148">
        <f>_xll.qlCalendarAdvance(Calendar,X2071,W2072,"f",FALSE)</f>
        <v>53456</v>
      </c>
      <c r="Y2072" s="153">
        <f>_xll.qlCalendarAdvance(Calendar,X2072,NDays&amp;"D")</f>
        <v>53456</v>
      </c>
      <c r="Z2072" s="154">
        <v>2.6913510922066588E-2</v>
      </c>
      <c r="AA2072" s="156">
        <v>2.6865661737243141E-2</v>
      </c>
    </row>
    <row r="2073" spans="19:27" x14ac:dyDescent="0.2">
      <c r="S2073" s="1"/>
      <c r="T2073" s="117"/>
      <c r="W2073" s="75" t="str">
        <f t="shared" si="43"/>
        <v>1w</v>
      </c>
      <c r="X2073" s="148">
        <f>_xll.qlCalendarAdvance(Calendar,X2072,W2073,"f",FALSE)</f>
        <v>53463</v>
      </c>
      <c r="Y2073" s="153">
        <f>_xll.qlCalendarAdvance(Calendar,X2073,NDays&amp;"D")</f>
        <v>53463</v>
      </c>
      <c r="Z2073" s="154">
        <v>2.6907060967076773E-2</v>
      </c>
      <c r="AA2073" s="156">
        <v>2.6859105121006532E-2</v>
      </c>
    </row>
    <row r="2074" spans="19:27" x14ac:dyDescent="0.2">
      <c r="S2074" s="1"/>
      <c r="T2074" s="117"/>
      <c r="W2074" s="75" t="str">
        <f t="shared" si="43"/>
        <v>1w</v>
      </c>
      <c r="X2074" s="148">
        <f>_xll.qlCalendarAdvance(Calendar,X2073,W2074,"f",FALSE)</f>
        <v>53470</v>
      </c>
      <c r="Y2074" s="153">
        <f>_xll.qlCalendarAdvance(Calendar,X2074,NDays&amp;"D")</f>
        <v>53470</v>
      </c>
      <c r="Z2074" s="154">
        <v>2.6900634199094015E-2</v>
      </c>
      <c r="AA2074" s="156">
        <v>2.685257152693854E-2</v>
      </c>
    </row>
    <row r="2075" spans="19:27" x14ac:dyDescent="0.2">
      <c r="S2075" s="1"/>
      <c r="T2075" s="117"/>
      <c r="W2075" s="75" t="str">
        <f t="shared" si="43"/>
        <v>1w</v>
      </c>
      <c r="X2075" s="148">
        <f>_xll.qlCalendarAdvance(Calendar,X2074,W2075,"f",FALSE)</f>
        <v>53477</v>
      </c>
      <c r="Y2075" s="153">
        <f>_xll.qlCalendarAdvance(Calendar,X2075,NDays&amp;"D")</f>
        <v>53477</v>
      </c>
      <c r="Z2075" s="154">
        <v>2.689423061800468E-2</v>
      </c>
      <c r="AA2075" s="156">
        <v>2.6846060955282303E-2</v>
      </c>
    </row>
    <row r="2076" spans="19:27" x14ac:dyDescent="0.2">
      <c r="S2076" s="1"/>
      <c r="T2076" s="117"/>
      <c r="W2076" s="75" t="str">
        <f t="shared" si="43"/>
        <v>1w</v>
      </c>
      <c r="X2076" s="148">
        <f>_xll.qlCalendarAdvance(Calendar,X2075,W2076,"f",FALSE)</f>
        <v>53484</v>
      </c>
      <c r="Y2076" s="153">
        <f>_xll.qlCalendarAdvance(Calendar,X2076,NDays&amp;"D")</f>
        <v>53484</v>
      </c>
      <c r="Z2076" s="154">
        <v>2.6887850223699526E-2</v>
      </c>
      <c r="AA2076" s="156">
        <v>2.6839573405956774E-2</v>
      </c>
    </row>
    <row r="2077" spans="19:27" x14ac:dyDescent="0.2">
      <c r="S2077" s="1"/>
      <c r="T2077" s="117"/>
      <c r="W2077" s="75" t="str">
        <f t="shared" si="43"/>
        <v>1w</v>
      </c>
      <c r="X2077" s="148">
        <f>_xll.qlCalendarAdvance(Calendar,X2076,W2077,"f",FALSE)</f>
        <v>53491</v>
      </c>
      <c r="Y2077" s="153">
        <f>_xll.qlCalendarAdvance(Calendar,X2077,NDays&amp;"D")</f>
        <v>53491</v>
      </c>
      <c r="Z2077" s="154">
        <v>2.6881493016064035E-2</v>
      </c>
      <c r="AA2077" s="156">
        <v>2.6833108878799861E-2</v>
      </c>
    </row>
    <row r="2078" spans="19:27" x14ac:dyDescent="0.2">
      <c r="S2078" s="1"/>
      <c r="T2078" s="117"/>
      <c r="W2078" s="75" t="str">
        <f t="shared" si="43"/>
        <v>1w</v>
      </c>
      <c r="X2078" s="148">
        <f>_xll.qlCalendarAdvance(Calendar,X2077,W2078,"f",FALSE)</f>
        <v>53498</v>
      </c>
      <c r="Y2078" s="153">
        <f>_xll.qlCalendarAdvance(Calendar,X2078,NDays&amp;"D")</f>
        <v>53498</v>
      </c>
      <c r="Z2078" s="154">
        <v>2.6875158994991613E-2</v>
      </c>
      <c r="AA2078" s="156">
        <v>2.6826667374054702E-2</v>
      </c>
    </row>
    <row r="2079" spans="19:27" x14ac:dyDescent="0.2">
      <c r="S2079" s="1"/>
      <c r="T2079" s="117"/>
      <c r="W2079" s="75" t="str">
        <f t="shared" si="43"/>
        <v>1w</v>
      </c>
      <c r="X2079" s="148">
        <f>_xll.qlCalendarAdvance(Calendar,X2078,W2079,"f",FALSE)</f>
        <v>53505</v>
      </c>
      <c r="Y2079" s="153">
        <f>_xll.qlCalendarAdvance(Calendar,X2079,NDays&amp;"D")</f>
        <v>53505</v>
      </c>
      <c r="Z2079" s="154">
        <v>2.6868848160369496E-2</v>
      </c>
      <c r="AA2079" s="156">
        <v>2.6820248891640253E-2</v>
      </c>
    </row>
    <row r="2080" spans="19:27" x14ac:dyDescent="0.2">
      <c r="S2080" s="1"/>
      <c r="T2080" s="117"/>
      <c r="W2080" s="75" t="str">
        <f t="shared" si="43"/>
        <v>1w</v>
      </c>
      <c r="X2080" s="148">
        <f>_xll.qlCalendarAdvance(Calendar,X2079,W2080,"f",FALSE)</f>
        <v>53512</v>
      </c>
      <c r="Y2080" s="153">
        <f>_xll.qlCalendarAdvance(Calendar,X2080,NDays&amp;"D")</f>
        <v>53512</v>
      </c>
      <c r="Z2080" s="154">
        <v>2.6862560512087571E-2</v>
      </c>
      <c r="AA2080" s="156">
        <v>2.6813853431394419E-2</v>
      </c>
    </row>
    <row r="2081" spans="19:27" x14ac:dyDescent="0.2">
      <c r="S2081" s="1"/>
      <c r="T2081" s="117"/>
      <c r="W2081" s="75" t="str">
        <f t="shared" si="43"/>
        <v>1w</v>
      </c>
      <c r="X2081" s="148">
        <f>_xll.qlCalendarAdvance(Calendar,X2080,W2081,"f",FALSE)</f>
        <v>53519</v>
      </c>
      <c r="Y2081" s="153">
        <f>_xll.qlCalendarAdvance(Calendar,X2081,NDays&amp;"D")</f>
        <v>53519</v>
      </c>
      <c r="Z2081" s="154">
        <v>2.6856296050037483E-2</v>
      </c>
      <c r="AA2081" s="156">
        <v>2.680748099356034E-2</v>
      </c>
    </row>
    <row r="2082" spans="19:27" x14ac:dyDescent="0.2">
      <c r="S2082" s="1"/>
      <c r="T2082" s="117"/>
      <c r="W2082" s="75" t="str">
        <f t="shared" si="43"/>
        <v>1w</v>
      </c>
      <c r="X2082" s="148">
        <f>_xll.qlCalendarAdvance(Calendar,X2081,W2082,"f",FALSE)</f>
        <v>53526</v>
      </c>
      <c r="Y2082" s="153">
        <f>_xll.qlCalendarAdvance(Calendar,X2082,NDays&amp;"D")</f>
        <v>53526</v>
      </c>
      <c r="Z2082" s="154">
        <v>2.6850054774109993E-2</v>
      </c>
      <c r="AA2082" s="156">
        <v>2.6801131578056969E-2</v>
      </c>
    </row>
    <row r="2083" spans="19:27" x14ac:dyDescent="0.2">
      <c r="S2083" s="1"/>
      <c r="T2083" s="117"/>
      <c r="W2083" s="75" t="str">
        <f t="shared" si="43"/>
        <v>1w</v>
      </c>
      <c r="X2083" s="148">
        <f>_xll.qlCalendarAdvance(Calendar,X2082,W2083,"f",FALSE)</f>
        <v>53533</v>
      </c>
      <c r="Y2083" s="153">
        <f>_xll.qlCalendarAdvance(Calendar,X2083,NDays&amp;"D")</f>
        <v>53533</v>
      </c>
      <c r="Z2083" s="154">
        <v>2.6843836684195866E-2</v>
      </c>
      <c r="AA2083" s="156">
        <v>2.6794805184884307E-2</v>
      </c>
    </row>
    <row r="2084" spans="19:27" x14ac:dyDescent="0.2">
      <c r="S2084" s="1"/>
      <c r="T2084" s="117"/>
      <c r="W2084" s="75" t="str">
        <f t="shared" si="43"/>
        <v>1w</v>
      </c>
      <c r="X2084" s="148">
        <f>_xll.qlCalendarAdvance(Calendar,X2083,W2084,"f",FALSE)</f>
        <v>53540</v>
      </c>
      <c r="Y2084" s="153">
        <f>_xll.qlCalendarAdvance(Calendar,X2084,NDays&amp;"D")</f>
        <v>53540</v>
      </c>
      <c r="Z2084" s="154">
        <v>2.6837641780186747E-2</v>
      </c>
      <c r="AA2084" s="156">
        <v>2.6788501813880261E-2</v>
      </c>
    </row>
    <row r="2085" spans="19:27" x14ac:dyDescent="0.2">
      <c r="S2085" s="1"/>
      <c r="T2085" s="117"/>
      <c r="W2085" s="75" t="str">
        <f t="shared" si="43"/>
        <v>1w</v>
      </c>
      <c r="X2085" s="148">
        <f>_xll.qlCalendarAdvance(Calendar,X2084,W2085,"f",FALSE)</f>
        <v>53547</v>
      </c>
      <c r="Y2085" s="153">
        <f>_xll.qlCalendarAdvance(Calendar,X2085,NDays&amp;"D")</f>
        <v>53547</v>
      </c>
      <c r="Z2085" s="154">
        <v>2.6831470061976923E-2</v>
      </c>
      <c r="AA2085" s="156">
        <v>2.678222146528797E-2</v>
      </c>
    </row>
    <row r="2086" spans="19:27" x14ac:dyDescent="0.2">
      <c r="S2086" s="1"/>
      <c r="T2086" s="117"/>
      <c r="W2086" s="75" t="str">
        <f t="shared" si="43"/>
        <v>1w</v>
      </c>
      <c r="X2086" s="148">
        <f>_xll.qlCalendarAdvance(Calendar,X2085,W2086,"f",FALSE)</f>
        <v>53554</v>
      </c>
      <c r="Y2086" s="153">
        <f>_xll.qlCalendarAdvance(Calendar,X2086,NDays&amp;"D")</f>
        <v>53554</v>
      </c>
      <c r="Z2086" s="154">
        <v>2.6825321529456277E-2</v>
      </c>
      <c r="AA2086" s="156">
        <v>2.6775964138945341E-2</v>
      </c>
    </row>
    <row r="2087" spans="19:27" x14ac:dyDescent="0.2">
      <c r="S2087" s="1"/>
      <c r="T2087" s="117"/>
      <c r="W2087" s="75" t="str">
        <f t="shared" si="43"/>
        <v>1w</v>
      </c>
      <c r="X2087" s="148">
        <f>_xll.qlCalendarAdvance(Calendar,X2086,W2087,"f",FALSE)</f>
        <v>53561</v>
      </c>
      <c r="Y2087" s="153">
        <f>_xll.qlCalendarAdvance(Calendar,X2087,NDays&amp;"D")</f>
        <v>53561</v>
      </c>
      <c r="Z2087" s="154">
        <v>2.6819196182518216E-2</v>
      </c>
      <c r="AA2087" s="156">
        <v>2.6769729834852374E-2</v>
      </c>
    </row>
    <row r="2088" spans="19:27" x14ac:dyDescent="0.2">
      <c r="S2088" s="1"/>
      <c r="T2088" s="117"/>
      <c r="W2088" s="75" t="str">
        <f t="shared" si="43"/>
        <v>1w</v>
      </c>
      <c r="X2088" s="148">
        <f>_xll.qlCalendarAdvance(Calendar,X2087,W2088,"f",FALSE)</f>
        <v>53568</v>
      </c>
      <c r="Y2088" s="153">
        <f>_xll.qlCalendarAdvance(Calendar,X2088,NDays&amp;"D")</f>
        <v>53568</v>
      </c>
      <c r="Z2088" s="154">
        <v>2.6813094021057023E-2</v>
      </c>
      <c r="AA2088" s="156">
        <v>2.6763518553171162E-2</v>
      </c>
    </row>
    <row r="2089" spans="19:27" x14ac:dyDescent="0.2">
      <c r="S2089" s="1"/>
      <c r="T2089" s="117"/>
      <c r="W2089" s="75" t="str">
        <f t="shared" si="43"/>
        <v>1w</v>
      </c>
      <c r="X2089" s="148">
        <f>_xll.qlCalendarAdvance(Calendar,X2088,W2089,"f",FALSE)</f>
        <v>53575</v>
      </c>
      <c r="Y2089" s="153">
        <f>_xll.qlCalendarAdvance(Calendar,X2089,NDays&amp;"D")</f>
        <v>53575</v>
      </c>
      <c r="Z2089" s="154">
        <v>2.6806462678822945E-2</v>
      </c>
      <c r="AA2089" s="156">
        <v>2.6757330293658566E-2</v>
      </c>
    </row>
    <row r="2090" spans="19:27" x14ac:dyDescent="0.2">
      <c r="S2090" s="1"/>
      <c r="T2090" s="117"/>
      <c r="W2090" s="75" t="str">
        <f t="shared" si="43"/>
        <v>1w</v>
      </c>
      <c r="X2090" s="148">
        <f>_xll.qlCalendarAdvance(Calendar,X2089,W2090,"f",FALSE)</f>
        <v>53582</v>
      </c>
      <c r="Y2090" s="153">
        <f>_xll.qlCalendarAdvance(Calendar,X2090,NDays&amp;"D")</f>
        <v>53582</v>
      </c>
      <c r="Z2090" s="154">
        <v>2.6800405675242309E-2</v>
      </c>
      <c r="AA2090" s="156">
        <v>2.6751165056557724E-2</v>
      </c>
    </row>
    <row r="2091" spans="19:27" x14ac:dyDescent="0.2">
      <c r="S2091" s="1"/>
      <c r="T2091" s="117"/>
      <c r="W2091" s="75" t="str">
        <f t="shared" si="43"/>
        <v>1w</v>
      </c>
      <c r="X2091" s="148">
        <f>_xll.qlCalendarAdvance(Calendar,X2090,W2091,"f",FALSE)</f>
        <v>53589</v>
      </c>
      <c r="Y2091" s="153">
        <f>_xll.qlCalendarAdvance(Calendar,X2091,NDays&amp;"D")</f>
        <v>53589</v>
      </c>
      <c r="Z2091" s="154">
        <v>2.679437185503045E-2</v>
      </c>
      <c r="AA2091" s="156">
        <v>2.6745022841625499E-2</v>
      </c>
    </row>
    <row r="2092" spans="19:27" x14ac:dyDescent="0.2">
      <c r="S2092" s="1"/>
      <c r="T2092" s="117"/>
      <c r="W2092" s="75" t="str">
        <f t="shared" si="43"/>
        <v>1w</v>
      </c>
      <c r="X2092" s="148">
        <f>_xll.qlCalendarAdvance(Calendar,X2091,W2092,"f",FALSE)</f>
        <v>53596</v>
      </c>
      <c r="Y2092" s="153">
        <f>_xll.qlCalendarAdvance(Calendar,X2092,NDays&amp;"D")</f>
        <v>53596</v>
      </c>
      <c r="Z2092" s="154">
        <v>2.67889172278588E-2</v>
      </c>
      <c r="AA2092" s="156">
        <v>2.6738903649105028E-2</v>
      </c>
    </row>
    <row r="2093" spans="19:27" x14ac:dyDescent="0.2">
      <c r="S2093" s="1"/>
      <c r="T2093" s="117"/>
      <c r="W2093" s="75" t="str">
        <f t="shared" si="43"/>
        <v>1w</v>
      </c>
      <c r="X2093" s="148">
        <f>_xll.qlCalendarAdvance(Calendar,X2092,W2093,"f",FALSE)</f>
        <v>53603</v>
      </c>
      <c r="Y2093" s="153">
        <f>_xll.qlCalendarAdvance(Calendar,X2093,NDays&amp;"D")</f>
        <v>53603</v>
      </c>
      <c r="Z2093" s="154">
        <v>2.6782930992195402E-2</v>
      </c>
      <c r="AA2093" s="156">
        <v>2.673280747883422E-2</v>
      </c>
    </row>
    <row r="2094" spans="19:27" x14ac:dyDescent="0.2">
      <c r="S2094" s="1"/>
      <c r="T2094" s="117"/>
      <c r="W2094" s="75" t="str">
        <f t="shared" si="43"/>
        <v>1w</v>
      </c>
      <c r="X2094" s="148">
        <f>_xll.qlCalendarAdvance(Calendar,X2093,W2094,"f",FALSE)</f>
        <v>53610</v>
      </c>
      <c r="Y2094" s="153">
        <f>_xll.qlCalendarAdvance(Calendar,X2094,NDays&amp;"D")</f>
        <v>53610</v>
      </c>
      <c r="Z2094" s="154">
        <v>2.6776967941375476E-2</v>
      </c>
      <c r="AA2094" s="156">
        <v>2.6726734330813073E-2</v>
      </c>
    </row>
    <row r="2095" spans="19:27" x14ac:dyDescent="0.2">
      <c r="S2095" s="1"/>
      <c r="T2095" s="117"/>
      <c r="W2095" s="75" t="str">
        <f t="shared" si="43"/>
        <v>1w</v>
      </c>
      <c r="X2095" s="148">
        <f>_xll.qlCalendarAdvance(Calendar,X2094,W2095,"f",FALSE)</f>
        <v>53617</v>
      </c>
      <c r="Y2095" s="153">
        <f>_xll.qlCalendarAdvance(Calendar,X2095,NDays&amp;"D")</f>
        <v>53617</v>
      </c>
      <c r="Z2095" s="154">
        <v>2.6771028075297725E-2</v>
      </c>
      <c r="AA2095" s="156">
        <v>2.6720684205122636E-2</v>
      </c>
    </row>
    <row r="2096" spans="19:27" x14ac:dyDescent="0.2">
      <c r="S2096" s="1"/>
      <c r="T2096" s="117"/>
      <c r="W2096" s="75" t="str">
        <f t="shared" si="43"/>
        <v>1w</v>
      </c>
      <c r="X2096" s="148">
        <f>_xll.qlCalendarAdvance(Calendar,X2095,W2096,"f",FALSE)</f>
        <v>53624</v>
      </c>
      <c r="Y2096" s="153">
        <f>_xll.qlCalendarAdvance(Calendar,X2096,NDays&amp;"D")</f>
        <v>53624</v>
      </c>
      <c r="Z2096" s="154">
        <v>2.676511139385819E-2</v>
      </c>
      <c r="AA2096" s="156">
        <v>2.6714657101762906E-2</v>
      </c>
    </row>
    <row r="2097" spans="19:27" x14ac:dyDescent="0.2">
      <c r="S2097" s="1"/>
      <c r="T2097" s="117"/>
      <c r="W2097" s="75" t="str">
        <f t="shared" si="43"/>
        <v>1w</v>
      </c>
      <c r="X2097" s="148">
        <f>_xll.qlCalendarAdvance(Calendar,X2096,W2097,"f",FALSE)</f>
        <v>53631</v>
      </c>
      <c r="Y2097" s="153">
        <f>_xll.qlCalendarAdvance(Calendar,X2097,NDays&amp;"D")</f>
        <v>53631</v>
      </c>
      <c r="Z2097" s="154">
        <v>2.6759217896953805E-2</v>
      </c>
      <c r="AA2097" s="156">
        <v>2.6708653020490747E-2</v>
      </c>
    </row>
    <row r="2098" spans="19:27" x14ac:dyDescent="0.2">
      <c r="S2098" s="1"/>
      <c r="T2098" s="117"/>
      <c r="W2098" s="75" t="str">
        <f t="shared" si="43"/>
        <v>1w</v>
      </c>
      <c r="X2098" s="148">
        <f>_xll.qlCalendarAdvance(Calendar,X2097,W2098,"f",FALSE)</f>
        <v>53638</v>
      </c>
      <c r="Y2098" s="153">
        <f>_xll.qlCalendarAdvance(Calendar,X2098,NDays&amp;"D")</f>
        <v>53638</v>
      </c>
      <c r="Z2098" s="154">
        <v>2.6753347584480617E-2</v>
      </c>
      <c r="AA2098" s="156">
        <v>2.6702671961630342E-2</v>
      </c>
    </row>
    <row r="2099" spans="19:27" x14ac:dyDescent="0.2">
      <c r="S2099" s="1"/>
      <c r="T2099" s="117"/>
      <c r="W2099" s="75" t="str">
        <f t="shared" si="43"/>
        <v>1w</v>
      </c>
      <c r="X2099" s="148">
        <f>_xll.qlCalendarAdvance(Calendar,X2098,W2099,"f",FALSE)</f>
        <v>53645</v>
      </c>
      <c r="Y2099" s="153">
        <f>_xll.qlCalendarAdvance(Calendar,X2099,NDays&amp;"D")</f>
        <v>53645</v>
      </c>
      <c r="Z2099" s="154">
        <v>2.67475004563382E-2</v>
      </c>
      <c r="AA2099" s="156">
        <v>2.6696713925181692E-2</v>
      </c>
    </row>
    <row r="2100" spans="19:27" x14ac:dyDescent="0.2">
      <c r="S2100" s="1"/>
      <c r="T2100" s="117"/>
      <c r="W2100" s="75" t="str">
        <f t="shared" si="43"/>
        <v>1w</v>
      </c>
      <c r="X2100" s="148">
        <f>_xll.qlCalendarAdvance(Calendar,X2099,W2100,"f",FALSE)</f>
        <v>53652</v>
      </c>
      <c r="Y2100" s="153">
        <f>_xll.qlCalendarAdvance(Calendar,X2100,NDays&amp;"D")</f>
        <v>53652</v>
      </c>
      <c r="Z2100" s="154">
        <v>2.6741676512424369E-2</v>
      </c>
      <c r="AA2100" s="156">
        <v>2.6690778910901658E-2</v>
      </c>
    </row>
    <row r="2101" spans="19:27" x14ac:dyDescent="0.2">
      <c r="S2101" s="1"/>
      <c r="T2101" s="117"/>
      <c r="W2101" s="75" t="str">
        <f t="shared" si="43"/>
        <v>1w</v>
      </c>
      <c r="X2101" s="148">
        <f>_xll.qlCalendarAdvance(Calendar,X2100,W2101,"f",FALSE)</f>
        <v>53659</v>
      </c>
      <c r="Y2101" s="153">
        <f>_xll.qlCalendarAdvance(Calendar,X2101,NDays&amp;"D")</f>
        <v>53659</v>
      </c>
      <c r="Z2101" s="154">
        <v>2.6735875752636931E-2</v>
      </c>
      <c r="AA2101" s="156">
        <v>2.6684866918871286E-2</v>
      </c>
    </row>
    <row r="2102" spans="19:27" x14ac:dyDescent="0.2">
      <c r="S2102" s="1"/>
      <c r="T2102" s="117"/>
      <c r="W2102" s="75" t="str">
        <f t="shared" si="43"/>
        <v>1w</v>
      </c>
      <c r="X2102" s="148">
        <f>_xll.qlCalendarAdvance(Calendar,X2101,W2102,"f",FALSE)</f>
        <v>53666</v>
      </c>
      <c r="Y2102" s="153">
        <f>_xll.qlCalendarAdvance(Calendar,X2102,NDays&amp;"D")</f>
        <v>53666</v>
      </c>
      <c r="Z2102" s="154">
        <v>2.6728961780205035E-2</v>
      </c>
      <c r="AA2102" s="156">
        <v>2.6678977949171623E-2</v>
      </c>
    </row>
    <row r="2103" spans="19:27" x14ac:dyDescent="0.2">
      <c r="S2103" s="1"/>
      <c r="T2103" s="117"/>
      <c r="W2103" s="75" t="str">
        <f t="shared" si="43"/>
        <v>1w</v>
      </c>
      <c r="X2103" s="148">
        <f>_xll.qlCalendarAdvance(Calendar,X2102,W2103,"f",FALSE)</f>
        <v>53673</v>
      </c>
      <c r="Y2103" s="153">
        <f>_xll.qlCalendarAdvance(Calendar,X2103,NDays&amp;"D")</f>
        <v>53673</v>
      </c>
      <c r="Z2103" s="154">
        <v>2.672320491675173E-2</v>
      </c>
      <c r="AA2103" s="156">
        <v>2.6673112001721622E-2</v>
      </c>
    </row>
    <row r="2104" spans="19:27" x14ac:dyDescent="0.2">
      <c r="S2104" s="1"/>
      <c r="T2104" s="117"/>
      <c r="W2104" s="75" t="str">
        <f t="shared" si="43"/>
        <v>1w</v>
      </c>
      <c r="X2104" s="148">
        <f>_xll.qlCalendarAdvance(Calendar,X2103,W2104,"f",FALSE)</f>
        <v>53680</v>
      </c>
      <c r="Y2104" s="153">
        <f>_xll.qlCalendarAdvance(Calendar,X2104,NDays&amp;"D")</f>
        <v>53680</v>
      </c>
      <c r="Z2104" s="154">
        <v>2.6717471233574833E-2</v>
      </c>
      <c r="AA2104" s="156">
        <v>2.6667269076602329E-2</v>
      </c>
    </row>
    <row r="2105" spans="19:27" x14ac:dyDescent="0.2">
      <c r="S2105" s="1"/>
      <c r="T2105" s="117"/>
      <c r="W2105" s="75" t="str">
        <f t="shared" si="43"/>
        <v>1w</v>
      </c>
      <c r="X2105" s="148">
        <f>_xll.qlCalendarAdvance(Calendar,X2104,W2105,"f",FALSE)</f>
        <v>53688</v>
      </c>
      <c r="Y2105" s="153">
        <f>_xll.qlCalendarAdvance(Calendar,X2105,NDays&amp;"D")</f>
        <v>53688</v>
      </c>
      <c r="Z2105" s="154">
        <v>2.6710946836686511E-2</v>
      </c>
      <c r="AA2105" s="156">
        <v>2.6660619638384508E-2</v>
      </c>
    </row>
    <row r="2106" spans="19:27" x14ac:dyDescent="0.2">
      <c r="S2106" s="1"/>
      <c r="T2106" s="117"/>
      <c r="W2106" s="75" t="str">
        <f t="shared" si="43"/>
        <v>1w</v>
      </c>
      <c r="X2106" s="148">
        <f>_xll.qlCalendarAdvance(Calendar,X2105,W2106,"f",FALSE)</f>
        <v>53695</v>
      </c>
      <c r="Y2106" s="153">
        <f>_xll.qlCalendarAdvance(Calendar,X2106,NDays&amp;"D")</f>
        <v>53695</v>
      </c>
      <c r="Z2106" s="154">
        <v>2.6705262825202816E-2</v>
      </c>
      <c r="AA2106" s="156">
        <v>2.6654826046622615E-2</v>
      </c>
    </row>
    <row r="2107" spans="19:27" x14ac:dyDescent="0.2">
      <c r="S2107" s="1"/>
      <c r="T2107" s="117"/>
      <c r="W2107" s="75" t="str">
        <f t="shared" si="43"/>
        <v>1w</v>
      </c>
      <c r="X2107" s="148">
        <f>_xll.qlCalendarAdvance(Calendar,X2106,W2107,"f",FALSE)</f>
        <v>53702</v>
      </c>
      <c r="Y2107" s="153">
        <f>_xll.qlCalendarAdvance(Calendar,X2107,NDays&amp;"D")</f>
        <v>53702</v>
      </c>
      <c r="Z2107" s="154">
        <v>2.6699601993688447E-2</v>
      </c>
      <c r="AA2107" s="156">
        <v>2.6649055477272476E-2</v>
      </c>
    </row>
    <row r="2108" spans="19:27" x14ac:dyDescent="0.2">
      <c r="S2108" s="1"/>
      <c r="T2108" s="117"/>
      <c r="W2108" s="75" t="str">
        <f t="shared" si="43"/>
        <v>1w</v>
      </c>
      <c r="X2108" s="148">
        <f>_xll.qlCalendarAdvance(Calendar,X2107,W2108,"f",FALSE)</f>
        <v>53709</v>
      </c>
      <c r="Y2108" s="153">
        <f>_xll.qlCalendarAdvance(Calendar,X2108,NDays&amp;"D")</f>
        <v>53709</v>
      </c>
      <c r="Z2108" s="154">
        <v>2.6693964342048848E-2</v>
      </c>
      <c r="AA2108" s="156">
        <v>2.6643307930172E-2</v>
      </c>
    </row>
    <row r="2109" spans="19:27" x14ac:dyDescent="0.2">
      <c r="S2109" s="1"/>
      <c r="T2109" s="117"/>
      <c r="W2109" s="75" t="str">
        <f t="shared" si="43"/>
        <v>1w</v>
      </c>
      <c r="X2109" s="148">
        <f>_xll.qlCalendarAdvance(Calendar,X2108,W2109,"f",FALSE)</f>
        <v>53716</v>
      </c>
      <c r="Y2109" s="153">
        <f>_xll.qlCalendarAdvance(Calendar,X2109,NDays&amp;"D")</f>
        <v>53716</v>
      </c>
      <c r="Z2109" s="154">
        <v>2.668834987018677E-2</v>
      </c>
      <c r="AA2109" s="156">
        <v>2.6637583405159093E-2</v>
      </c>
    </row>
    <row r="2110" spans="19:27" x14ac:dyDescent="0.2">
      <c r="S2110" s="1"/>
      <c r="T2110" s="117"/>
      <c r="W2110" s="75" t="str">
        <f t="shared" si="43"/>
        <v>1w</v>
      </c>
      <c r="X2110" s="148">
        <f>_xll.qlCalendarAdvance(Calendar,X2109,W2110,"f",FALSE)</f>
        <v>53723</v>
      </c>
      <c r="Y2110" s="153">
        <f>_xll.qlCalendarAdvance(Calendar,X2110,NDays&amp;"D")</f>
        <v>53723</v>
      </c>
      <c r="Z2110" s="154">
        <v>2.6682180486244159E-2</v>
      </c>
      <c r="AA2110" s="156">
        <v>2.6631881902557941E-2</v>
      </c>
    </row>
    <row r="2111" spans="19:27" x14ac:dyDescent="0.2">
      <c r="S2111" s="1"/>
      <c r="T2111" s="117"/>
      <c r="W2111" s="75" t="str">
        <f t="shared" si="43"/>
        <v>1w</v>
      </c>
      <c r="X2111" s="148">
        <f>_xll.qlCalendarAdvance(Calendar,X2110,W2111,"f",FALSE)</f>
        <v>53730</v>
      </c>
      <c r="Y2111" s="153">
        <f>_xll.qlCalendarAdvance(Calendar,X2111,NDays&amp;"D")</f>
        <v>53730</v>
      </c>
      <c r="Z2111" s="154">
        <v>2.667661112376123E-2</v>
      </c>
      <c r="AA2111" s="156">
        <v>2.6626203422287498E-2</v>
      </c>
    </row>
    <row r="2112" spans="19:27" x14ac:dyDescent="0.2">
      <c r="S2112" s="1"/>
      <c r="T2112" s="117"/>
      <c r="W2112" s="75" t="str">
        <f t="shared" si="43"/>
        <v>1w</v>
      </c>
      <c r="X2112" s="148">
        <f>_xll.qlCalendarAdvance(Calendar,X2111,W2112,"f",FALSE)</f>
        <v>53737</v>
      </c>
      <c r="Y2112" s="153">
        <f>_xll.qlCalendarAdvance(Calendar,X2112,NDays&amp;"D")</f>
        <v>53737</v>
      </c>
      <c r="Z2112" s="154">
        <v>2.6671064939004781E-2</v>
      </c>
      <c r="AA2112" s="156">
        <v>2.662054796418567E-2</v>
      </c>
    </row>
    <row r="2113" spans="19:27" x14ac:dyDescent="0.2">
      <c r="S2113" s="1"/>
      <c r="T2113" s="117"/>
      <c r="W2113" s="75" t="str">
        <f t="shared" si="43"/>
        <v>1w</v>
      </c>
      <c r="X2113" s="148">
        <f>_xll.qlCalendarAdvance(Calendar,X2112,W2113,"f",FALSE)</f>
        <v>53744</v>
      </c>
      <c r="Y2113" s="153">
        <f>_xll.qlCalendarAdvance(Calendar,X2113,NDays&amp;"D")</f>
        <v>53744</v>
      </c>
      <c r="Z2113" s="154">
        <v>2.6665541931881927E-2</v>
      </c>
      <c r="AA2113" s="156">
        <v>2.6614915528333505E-2</v>
      </c>
    </row>
    <row r="2114" spans="19:27" x14ac:dyDescent="0.2">
      <c r="S2114" s="1"/>
      <c r="T2114" s="117"/>
      <c r="W2114" s="75" t="str">
        <f t="shared" si="43"/>
        <v>1w</v>
      </c>
      <c r="X2114" s="148">
        <f>_xll.qlCalendarAdvance(Calendar,X2113,W2114,"f",FALSE)</f>
        <v>53751</v>
      </c>
      <c r="Y2114" s="153">
        <f>_xll.qlCalendarAdvance(Calendar,X2114,NDays&amp;"D")</f>
        <v>53751</v>
      </c>
      <c r="Z2114" s="154">
        <v>2.6661791852998745E-2</v>
      </c>
      <c r="AA2114" s="156">
        <v>2.6609306114731002E-2</v>
      </c>
    </row>
    <row r="2115" spans="19:27" x14ac:dyDescent="0.2">
      <c r="S2115" s="1"/>
      <c r="T2115" s="117"/>
      <c r="W2115" s="75" t="str">
        <f t="shared" si="43"/>
        <v>1w</v>
      </c>
      <c r="X2115" s="148">
        <f>_xll.qlCalendarAdvance(Calendar,X2114,W2115,"f",FALSE)</f>
        <v>53758</v>
      </c>
      <c r="Y2115" s="153">
        <f>_xll.qlCalendarAdvance(Calendar,X2115,NDays&amp;"D")</f>
        <v>53758</v>
      </c>
      <c r="Z2115" s="154">
        <v>2.6656318972381691E-2</v>
      </c>
      <c r="AA2115" s="156">
        <v>2.6603719723540253E-2</v>
      </c>
    </row>
    <row r="2116" spans="19:27" x14ac:dyDescent="0.2">
      <c r="S2116" s="1"/>
      <c r="T2116" s="117"/>
      <c r="W2116" s="75" t="str">
        <f t="shared" si="43"/>
        <v>1w</v>
      </c>
      <c r="X2116" s="148">
        <f>_xll.qlCalendarAdvance(Calendar,X2115,W2116,"f",FALSE)</f>
        <v>53765</v>
      </c>
      <c r="Y2116" s="153">
        <f>_xll.qlCalendarAdvance(Calendar,X2116,NDays&amp;"D")</f>
        <v>53765</v>
      </c>
      <c r="Z2116" s="154">
        <v>2.665086927440577E-2</v>
      </c>
      <c r="AA2116" s="156">
        <v>2.6598156354518121E-2</v>
      </c>
    </row>
    <row r="2117" spans="19:27" x14ac:dyDescent="0.2">
      <c r="S2117" s="1"/>
      <c r="T2117" s="117"/>
      <c r="W2117" s="75" t="str">
        <f t="shared" si="43"/>
        <v>1w</v>
      </c>
      <c r="X2117" s="148">
        <f>_xll.qlCalendarAdvance(Calendar,X2116,W2117,"f",FALSE)</f>
        <v>53772</v>
      </c>
      <c r="Y2117" s="153">
        <f>_xll.qlCalendarAdvance(Calendar,X2117,NDays&amp;"D")</f>
        <v>53772</v>
      </c>
      <c r="Z2117" s="154">
        <v>2.6645442758974961E-2</v>
      </c>
      <c r="AA2117" s="156">
        <v>2.6592616007745651E-2</v>
      </c>
    </row>
    <row r="2118" spans="19:27" x14ac:dyDescent="0.2">
      <c r="S2118" s="1"/>
      <c r="T2118" s="117"/>
      <c r="W2118" s="75" t="str">
        <f t="shared" si="43"/>
        <v>1w</v>
      </c>
      <c r="X2118" s="148">
        <f>_xll.qlCalendarAdvance(Calendar,X2117,W2118,"f",FALSE)</f>
        <v>53779</v>
      </c>
      <c r="Y2118" s="153">
        <f>_xll.qlCalendarAdvance(Calendar,X2118,NDays&amp;"D")</f>
        <v>53779</v>
      </c>
      <c r="Z2118" s="154">
        <v>2.6640039425996763E-2</v>
      </c>
      <c r="AA2118" s="156">
        <v>2.6587098683303889E-2</v>
      </c>
    </row>
    <row r="2119" spans="19:27" x14ac:dyDescent="0.2">
      <c r="S2119" s="1"/>
      <c r="T2119" s="117"/>
      <c r="W2119" s="75" t="str">
        <f t="shared" si="43"/>
        <v>1w</v>
      </c>
      <c r="X2119" s="148">
        <f>_xll.qlCalendarAdvance(Calendar,X2118,W2119,"f",FALSE)</f>
        <v>53786</v>
      </c>
      <c r="Y2119" s="153">
        <f>_xll.qlCalendarAdvance(Calendar,X2119,NDays&amp;"D")</f>
        <v>53786</v>
      </c>
      <c r="Z2119" s="154">
        <v>2.6634069572236418E-2</v>
      </c>
      <c r="AA2119" s="156">
        <v>2.6581604381030743E-2</v>
      </c>
    </row>
    <row r="2120" spans="19:27" x14ac:dyDescent="0.2">
      <c r="S2120" s="1"/>
      <c r="T2120" s="117"/>
      <c r="W2120" s="75" t="str">
        <f t="shared" si="43"/>
        <v>1w</v>
      </c>
      <c r="X2120" s="148">
        <f>_xll.qlCalendarAdvance(Calendar,X2119,W2120,"f",FALSE)</f>
        <v>53793</v>
      </c>
      <c r="Y2120" s="153">
        <f>_xll.qlCalendarAdvance(Calendar,X2120,NDays&amp;"D")</f>
        <v>53793</v>
      </c>
      <c r="Z2120" s="154">
        <v>2.6628711337684172E-2</v>
      </c>
      <c r="AA2120" s="156">
        <v>2.6578444491367703E-2</v>
      </c>
    </row>
    <row r="2121" spans="19:27" x14ac:dyDescent="0.2">
      <c r="S2121" s="1"/>
      <c r="T2121" s="117"/>
      <c r="W2121" s="75" t="str">
        <f t="shared" si="43"/>
        <v>1w</v>
      </c>
      <c r="X2121" s="148">
        <f>_xll.qlCalendarAdvance(Calendar,X2120,W2121,"f",FALSE)</f>
        <v>53800</v>
      </c>
      <c r="Y2121" s="153">
        <f>_xll.qlCalendarAdvance(Calendar,X2121,NDays&amp;"D")</f>
        <v>53800</v>
      </c>
      <c r="Z2121" s="154">
        <v>2.6623376283545632E-2</v>
      </c>
      <c r="AA2121" s="156">
        <v>2.6570684843395531E-2</v>
      </c>
    </row>
    <row r="2122" spans="19:27" x14ac:dyDescent="0.2">
      <c r="S2122" s="1"/>
      <c r="T2122" s="117"/>
      <c r="W2122" s="75" t="str">
        <f t="shared" si="43"/>
        <v>1w</v>
      </c>
      <c r="X2122" s="148">
        <f>_xll.qlCalendarAdvance(Calendar,X2121,W2122,"f",FALSE)</f>
        <v>53807</v>
      </c>
      <c r="Y2122" s="153">
        <f>_xll.qlCalendarAdvance(Calendar,X2122,NDays&amp;"D")</f>
        <v>53807</v>
      </c>
      <c r="Z2122" s="154">
        <v>2.6618064409729955E-2</v>
      </c>
      <c r="AA2122" s="156">
        <v>2.6565259607952418E-2</v>
      </c>
    </row>
    <row r="2123" spans="19:27" x14ac:dyDescent="0.2">
      <c r="S2123" s="1"/>
      <c r="T2123" s="117"/>
      <c r="W2123" s="75" t="str">
        <f t="shared" si="43"/>
        <v>1w</v>
      </c>
      <c r="X2123" s="148">
        <f>_xll.qlCalendarAdvance(Calendar,X2122,W2123,"f",FALSE)</f>
        <v>53814</v>
      </c>
      <c r="Y2123" s="153">
        <f>_xll.qlCalendarAdvance(Calendar,X2123,NDays&amp;"D")</f>
        <v>53814</v>
      </c>
      <c r="Z2123" s="154">
        <v>2.6613370494600243E-2</v>
      </c>
      <c r="AA2123" s="156">
        <v>2.6559857394840014E-2</v>
      </c>
    </row>
    <row r="2124" spans="19:27" x14ac:dyDescent="0.2">
      <c r="S2124" s="1"/>
      <c r="T2124" s="117"/>
      <c r="W2124" s="75" t="str">
        <f t="shared" si="43"/>
        <v>1w</v>
      </c>
      <c r="X2124" s="148">
        <f>_xll.qlCalendarAdvance(Calendar,X2123,W2124,"f",FALSE)</f>
        <v>53821</v>
      </c>
      <c r="Y2124" s="153">
        <f>_xll.qlCalendarAdvance(Calendar,X2124,NDays&amp;"D")</f>
        <v>53821</v>
      </c>
      <c r="Z2124" s="154">
        <v>2.6608106254368821E-2</v>
      </c>
      <c r="AA2124" s="156">
        <v>2.6554478203815179E-2</v>
      </c>
    </row>
    <row r="2125" spans="19:27" x14ac:dyDescent="0.2">
      <c r="S2125" s="1"/>
      <c r="T2125" s="117"/>
      <c r="W2125" s="75" t="str">
        <f t="shared" si="43"/>
        <v>1w</v>
      </c>
      <c r="X2125" s="148">
        <f>_xll.qlCalendarAdvance(Calendar,X2124,W2125,"f",FALSE)</f>
        <v>53828</v>
      </c>
      <c r="Y2125" s="153">
        <f>_xll.qlCalendarAdvance(Calendar,X2125,NDays&amp;"D")</f>
        <v>53828</v>
      </c>
      <c r="Z2125" s="154">
        <v>2.660286519594076E-2</v>
      </c>
      <c r="AA2125" s="156">
        <v>2.65491220352021E-2</v>
      </c>
    </row>
    <row r="2126" spans="19:27" x14ac:dyDescent="0.2">
      <c r="S2126" s="1"/>
      <c r="T2126" s="117"/>
      <c r="W2126" s="75" t="str">
        <f t="shared" si="43"/>
        <v>1w</v>
      </c>
      <c r="X2126" s="148">
        <f>_xll.qlCalendarAdvance(Calendar,X2125,W2126,"f",FALSE)</f>
        <v>53835</v>
      </c>
      <c r="Y2126" s="153">
        <f>_xll.qlCalendarAdvance(Calendar,X2126,NDays&amp;"D")</f>
        <v>53835</v>
      </c>
      <c r="Z2126" s="154">
        <v>2.65976473192218E-2</v>
      </c>
      <c r="AA2126" s="156">
        <v>2.6543788888757636E-2</v>
      </c>
    </row>
    <row r="2127" spans="19:27" x14ac:dyDescent="0.2">
      <c r="S2127" s="1"/>
      <c r="T2127" s="117"/>
      <c r="W2127" s="75" t="str">
        <f t="shared" si="43"/>
        <v>1w</v>
      </c>
      <c r="X2127" s="148">
        <f>_xll.qlCalendarAdvance(Calendar,X2126,W2127,"f",FALSE)</f>
        <v>53842</v>
      </c>
      <c r="Y2127" s="153">
        <f>_xll.qlCalendarAdvance(Calendar,X2127,NDays&amp;"D")</f>
        <v>53842</v>
      </c>
      <c r="Z2127" s="154">
        <v>2.6592452624122968E-2</v>
      </c>
      <c r="AA2127" s="156">
        <v>2.6538478764562834E-2</v>
      </c>
    </row>
    <row r="2128" spans="19:27" x14ac:dyDescent="0.2">
      <c r="S2128" s="1"/>
      <c r="T2128" s="117"/>
      <c r="W2128" s="75" t="str">
        <f t="shared" si="43"/>
        <v>1w</v>
      </c>
      <c r="X2128" s="148">
        <f>_xll.qlCalendarAdvance(Calendar,X2127,W2128,"f",FALSE)</f>
        <v>53849</v>
      </c>
      <c r="Y2128" s="153">
        <f>_xll.qlCalendarAdvance(Calendar,X2128,NDays&amp;"D")</f>
        <v>53849</v>
      </c>
      <c r="Z2128" s="154">
        <v>2.658728111055176E-2</v>
      </c>
      <c r="AA2128" s="156">
        <v>2.6533191662617694E-2</v>
      </c>
    </row>
    <row r="2129" spans="19:27" x14ac:dyDescent="0.2">
      <c r="S2129" s="1"/>
      <c r="T2129" s="117"/>
      <c r="W2129" s="75" t="str">
        <f t="shared" si="43"/>
        <v>1w</v>
      </c>
      <c r="X2129" s="148">
        <f>_xll.qlCalendarAdvance(Calendar,X2128,W2129,"f",FALSE)</f>
        <v>53856</v>
      </c>
      <c r="Y2129" s="153">
        <f>_xll.qlCalendarAdvance(Calendar,X2129,NDays&amp;"D")</f>
        <v>53856</v>
      </c>
      <c r="Z2129" s="154">
        <v>2.6582132778420968E-2</v>
      </c>
      <c r="AA2129" s="156">
        <v>2.652792758308431E-2</v>
      </c>
    </row>
    <row r="2130" spans="19:27" x14ac:dyDescent="0.2">
      <c r="S2130" s="1"/>
      <c r="T2130" s="117"/>
      <c r="W2130" s="75" t="str">
        <f t="shared" si="43"/>
        <v>1w</v>
      </c>
      <c r="X2130" s="148">
        <f>_xll.qlCalendarAdvance(Calendar,X2129,W2130,"f",FALSE)</f>
        <v>53863</v>
      </c>
      <c r="Y2130" s="153">
        <f>_xll.qlCalendarAdvance(Calendar,X2130,NDays&amp;"D")</f>
        <v>53863</v>
      </c>
      <c r="Z2130" s="154">
        <v>2.6577007627639853E-2</v>
      </c>
      <c r="AA2130" s="156">
        <v>2.6522686525638495E-2</v>
      </c>
    </row>
    <row r="2131" spans="19:27" x14ac:dyDescent="0.2">
      <c r="S2131" s="1"/>
      <c r="T2131" s="117"/>
      <c r="W2131" s="75" t="str">
        <f t="shared" si="43"/>
        <v>1w</v>
      </c>
      <c r="X2131" s="148">
        <f>_xll.qlCalendarAdvance(Calendar,X2130,W2131,"f",FALSE)</f>
        <v>53870</v>
      </c>
      <c r="Y2131" s="153">
        <f>_xll.qlCalendarAdvance(Calendar,X2131,NDays&amp;"D")</f>
        <v>53870</v>
      </c>
      <c r="Z2131" s="154">
        <v>2.6571905658117682E-2</v>
      </c>
      <c r="AA2131" s="156">
        <v>2.6517468490361296E-2</v>
      </c>
    </row>
    <row r="2132" spans="19:27" x14ac:dyDescent="0.2">
      <c r="S2132" s="1"/>
      <c r="T2132" s="117"/>
      <c r="W2132" s="75" t="str">
        <f t="shared" si="43"/>
        <v>1w</v>
      </c>
      <c r="X2132" s="148">
        <f>_xll.qlCalendarAdvance(Calendar,X2131,W2132,"f",FALSE)</f>
        <v>53877</v>
      </c>
      <c r="Y2132" s="153">
        <f>_xll.qlCalendarAdvance(Calendar,X2132,NDays&amp;"D")</f>
        <v>53877</v>
      </c>
      <c r="Z2132" s="154">
        <v>2.6566826869768117E-2</v>
      </c>
      <c r="AA2132" s="156">
        <v>2.6512273477495851E-2</v>
      </c>
    </row>
    <row r="2133" spans="19:27" x14ac:dyDescent="0.2">
      <c r="S2133" s="1"/>
      <c r="T2133" s="117"/>
      <c r="W2133" s="75" t="str">
        <f t="shared" ref="W2133:W2196" si="44">W2132</f>
        <v>1w</v>
      </c>
      <c r="X2133" s="148">
        <f>_xll.qlCalendarAdvance(Calendar,X2132,W2133,"f",FALSE)</f>
        <v>53884</v>
      </c>
      <c r="Y2133" s="153">
        <f>_xll.qlCalendarAdvance(Calendar,X2133,NDays&amp;"D")</f>
        <v>53884</v>
      </c>
      <c r="Z2133" s="154">
        <v>2.6561771262500429E-2</v>
      </c>
      <c r="AA2133" s="156">
        <v>2.6507101486961115E-2</v>
      </c>
    </row>
    <row r="2134" spans="19:27" x14ac:dyDescent="0.2">
      <c r="S2134" s="1"/>
      <c r="T2134" s="117"/>
      <c r="W2134" s="75" t="str">
        <f t="shared" si="44"/>
        <v>1w</v>
      </c>
      <c r="X2134" s="148">
        <f>_xll.qlCalendarAdvance(Calendar,X2133,W2134,"f",FALSE)</f>
        <v>53891</v>
      </c>
      <c r="Y2134" s="153">
        <f>_xll.qlCalendarAdvance(Calendar,X2134,NDays&amp;"D")</f>
        <v>53891</v>
      </c>
      <c r="Z2134" s="154">
        <v>2.6556738836229159E-2</v>
      </c>
      <c r="AA2134" s="156">
        <v>2.6501952518513949E-2</v>
      </c>
    </row>
    <row r="2135" spans="19:27" x14ac:dyDescent="0.2">
      <c r="S2135" s="1"/>
      <c r="T2135" s="117"/>
      <c r="W2135" s="75" t="str">
        <f t="shared" si="44"/>
        <v>1w</v>
      </c>
      <c r="X2135" s="148">
        <f>_xll.qlCalendarAdvance(Calendar,X2134,W2135,"f",FALSE)</f>
        <v>53898</v>
      </c>
      <c r="Y2135" s="153">
        <f>_xll.qlCalendarAdvance(Calendar,X2135,NDays&amp;"D")</f>
        <v>53898</v>
      </c>
      <c r="Z2135" s="154">
        <v>2.6551729590863576E-2</v>
      </c>
      <c r="AA2135" s="156">
        <v>2.6496826572235399E-2</v>
      </c>
    </row>
    <row r="2136" spans="19:27" x14ac:dyDescent="0.2">
      <c r="S2136" s="1"/>
      <c r="T2136" s="117"/>
      <c r="W2136" s="75" t="str">
        <f t="shared" si="44"/>
        <v>1w</v>
      </c>
      <c r="X2136" s="148">
        <f>_xll.qlCalendarAdvance(Calendar,X2135,W2136,"f",FALSE)</f>
        <v>53905</v>
      </c>
      <c r="Y2136" s="153">
        <f>_xll.qlCalendarAdvance(Calendar,X2136,NDays&amp;"D")</f>
        <v>53905</v>
      </c>
      <c r="Z2136" s="154">
        <v>2.6546743526318226E-2</v>
      </c>
      <c r="AA2136" s="156">
        <v>2.6491723648368604E-2</v>
      </c>
    </row>
    <row r="2137" spans="19:27" x14ac:dyDescent="0.2">
      <c r="S2137" s="1"/>
      <c r="T2137" s="117"/>
      <c r="W2137" s="75" t="str">
        <f t="shared" si="44"/>
        <v>1w</v>
      </c>
      <c r="X2137" s="148">
        <f>_xll.qlCalendarAdvance(Calendar,X2136,W2137,"f",FALSE)</f>
        <v>53912</v>
      </c>
      <c r="Y2137" s="153">
        <f>_xll.qlCalendarAdvance(Calendar,X2137,NDays&amp;"D")</f>
        <v>53912</v>
      </c>
      <c r="Z2137" s="154">
        <v>2.6541780642506781E-2</v>
      </c>
      <c r="AA2137" s="156">
        <v>2.648664374675147E-2</v>
      </c>
    </row>
    <row r="2138" spans="19:27" x14ac:dyDescent="0.2">
      <c r="S2138" s="1"/>
      <c r="T2138" s="117"/>
      <c r="W2138" s="75" t="str">
        <f t="shared" si="44"/>
        <v>1w</v>
      </c>
      <c r="X2138" s="148">
        <f>_xll.qlCalendarAdvance(Calendar,X2137,W2138,"f",FALSE)</f>
        <v>53919</v>
      </c>
      <c r="Y2138" s="153">
        <f>_xll.qlCalendarAdvance(Calendar,X2138,NDays&amp;"D")</f>
        <v>53919</v>
      </c>
      <c r="Z2138" s="154">
        <v>2.6536840939341142E-2</v>
      </c>
      <c r="AA2138" s="156">
        <v>2.6481586867221907E-2</v>
      </c>
    </row>
    <row r="2139" spans="19:27" x14ac:dyDescent="0.2">
      <c r="S2139" s="1"/>
      <c r="T2139" s="117"/>
      <c r="W2139" s="75" t="str">
        <f t="shared" si="44"/>
        <v>1w</v>
      </c>
      <c r="X2139" s="148">
        <f>_xll.qlCalendarAdvance(Calendar,X2138,W2139,"f",FALSE)</f>
        <v>53926</v>
      </c>
      <c r="Y2139" s="153">
        <f>_xll.qlCalendarAdvance(Calendar,X2139,NDays&amp;"D")</f>
        <v>53926</v>
      </c>
      <c r="Z2139" s="154">
        <v>2.6531924416737625E-2</v>
      </c>
      <c r="AA2139" s="156">
        <v>2.6476553009942005E-2</v>
      </c>
    </row>
    <row r="2140" spans="19:27" x14ac:dyDescent="0.2">
      <c r="S2140" s="1"/>
      <c r="T2140" s="117"/>
      <c r="W2140" s="75" t="str">
        <f t="shared" si="44"/>
        <v>1w</v>
      </c>
      <c r="X2140" s="148">
        <f>_xll.qlCalendarAdvance(Calendar,X2139,W2140,"f",FALSE)</f>
        <v>53933</v>
      </c>
      <c r="Y2140" s="153">
        <f>_xll.qlCalendarAdvance(Calendar,X2140,NDays&amp;"D")</f>
        <v>53933</v>
      </c>
      <c r="Z2140" s="154">
        <v>2.6527031074609013E-2</v>
      </c>
      <c r="AA2140" s="156">
        <v>2.6471542175073859E-2</v>
      </c>
    </row>
    <row r="2141" spans="19:27" x14ac:dyDescent="0.2">
      <c r="S2141" s="1"/>
      <c r="T2141" s="117"/>
      <c r="W2141" s="75" t="str">
        <f t="shared" si="44"/>
        <v>1w</v>
      </c>
      <c r="X2141" s="148">
        <f>_xll.qlCalendarAdvance(Calendar,X2140,W2141,"f",FALSE)</f>
        <v>53940</v>
      </c>
      <c r="Y2141" s="153">
        <f>_xll.qlCalendarAdvance(Calendar,X2141,NDays&amp;"D")</f>
        <v>53940</v>
      </c>
      <c r="Z2141" s="154">
        <v>2.6521542949118227E-2</v>
      </c>
      <c r="AA2141" s="156">
        <v>2.6466554362374328E-2</v>
      </c>
    </row>
    <row r="2142" spans="19:27" x14ac:dyDescent="0.2">
      <c r="S2142" s="1"/>
      <c r="T2142" s="117"/>
      <c r="W2142" s="75" t="str">
        <f t="shared" si="44"/>
        <v>1w</v>
      </c>
      <c r="X2142" s="148">
        <f>_xll.qlCalendarAdvance(Calendar,X2141,W2142,"f",FALSE)</f>
        <v>53947</v>
      </c>
      <c r="Y2142" s="153">
        <f>_xll.qlCalendarAdvance(Calendar,X2142,NDays&amp;"D")</f>
        <v>53947</v>
      </c>
      <c r="Z2142" s="154">
        <v>2.6516694663061266E-2</v>
      </c>
      <c r="AA2142" s="156">
        <v>2.6461589571843414E-2</v>
      </c>
    </row>
    <row r="2143" spans="19:27" x14ac:dyDescent="0.2">
      <c r="S2143" s="1"/>
      <c r="T2143" s="117"/>
      <c r="W2143" s="75" t="str">
        <f t="shared" si="44"/>
        <v>1w</v>
      </c>
      <c r="X2143" s="148">
        <f>_xll.qlCalendarAdvance(Calendar,X2142,W2143,"f",FALSE)</f>
        <v>53954</v>
      </c>
      <c r="Y2143" s="153">
        <f>_xll.qlCalendarAdvance(Calendar,X2143,NDays&amp;"D")</f>
        <v>53954</v>
      </c>
      <c r="Z2143" s="154">
        <v>2.6511869555489825E-2</v>
      </c>
      <c r="AA2143" s="156">
        <v>2.6456647803643207E-2</v>
      </c>
    </row>
    <row r="2144" spans="19:27" x14ac:dyDescent="0.2">
      <c r="S2144" s="1"/>
      <c r="T2144" s="117"/>
      <c r="W2144" s="75" t="str">
        <f t="shared" si="44"/>
        <v>1w</v>
      </c>
      <c r="X2144" s="148">
        <f>_xll.qlCalendarAdvance(Calendar,X2143,W2144,"f",FALSE)</f>
        <v>53961</v>
      </c>
      <c r="Y2144" s="153">
        <f>_xll.qlCalendarAdvance(Calendar,X2144,NDays&amp;"D")</f>
        <v>53961</v>
      </c>
      <c r="Z2144" s="154">
        <v>2.6507689509150473E-2</v>
      </c>
      <c r="AA2144" s="156">
        <v>2.6451729057611617E-2</v>
      </c>
    </row>
    <row r="2145" spans="19:27" x14ac:dyDescent="0.2">
      <c r="S2145" s="1"/>
      <c r="T2145" s="117"/>
      <c r="W2145" s="75" t="str">
        <f t="shared" si="44"/>
        <v>1w</v>
      </c>
      <c r="X2145" s="148">
        <f>_xll.qlCalendarAdvance(Calendar,X2144,W2145,"f",FALSE)</f>
        <v>53968</v>
      </c>
      <c r="Y2145" s="153">
        <f>_xll.qlCalendarAdvance(Calendar,X2145,NDays&amp;"D")</f>
        <v>53968</v>
      </c>
      <c r="Z2145" s="154">
        <v>2.6502912068129606E-2</v>
      </c>
      <c r="AA2145" s="156">
        <v>2.6446833333910735E-2</v>
      </c>
    </row>
    <row r="2146" spans="19:27" x14ac:dyDescent="0.2">
      <c r="S2146" s="1"/>
      <c r="T2146" s="117"/>
      <c r="W2146" s="75" t="str">
        <f t="shared" si="44"/>
        <v>1w</v>
      </c>
      <c r="X2146" s="148">
        <f>_xll.qlCalendarAdvance(Calendar,X2145,W2146,"f",FALSE)</f>
        <v>53975</v>
      </c>
      <c r="Y2146" s="153">
        <f>_xll.qlCalendarAdvance(Calendar,X2146,NDays&amp;"D")</f>
        <v>53975</v>
      </c>
      <c r="Z2146" s="154">
        <v>2.6498157807077108E-2</v>
      </c>
      <c r="AA2146" s="156">
        <v>2.6441960632297423E-2</v>
      </c>
    </row>
    <row r="2147" spans="19:27" x14ac:dyDescent="0.2">
      <c r="S2147" s="1"/>
      <c r="T2147" s="117"/>
      <c r="W2147" s="75" t="str">
        <f t="shared" si="44"/>
        <v>1w</v>
      </c>
      <c r="X2147" s="148">
        <f>_xll.qlCalendarAdvance(Calendar,X2146,W2147,"f",FALSE)</f>
        <v>53982</v>
      </c>
      <c r="Y2147" s="153">
        <f>_xll.qlCalendarAdvance(Calendar,X2147,NDays&amp;"D")</f>
        <v>53982</v>
      </c>
      <c r="Z2147" s="154">
        <v>2.6493426725913691E-2</v>
      </c>
      <c r="AA2147" s="156">
        <v>2.6437110953095866E-2</v>
      </c>
    </row>
    <row r="2148" spans="19:27" x14ac:dyDescent="0.2">
      <c r="S2148" s="1"/>
      <c r="T2148" s="117"/>
      <c r="W2148" s="75" t="str">
        <f t="shared" si="44"/>
        <v>1w</v>
      </c>
      <c r="X2148" s="148">
        <f>_xll.qlCalendarAdvance(Calendar,X2147,W2148,"f",FALSE)</f>
        <v>53989</v>
      </c>
      <c r="Y2148" s="153">
        <f>_xll.qlCalendarAdvance(Calendar,X2148,NDays&amp;"D")</f>
        <v>53989</v>
      </c>
      <c r="Z2148" s="154">
        <v>2.6488718824554787E-2</v>
      </c>
      <c r="AA2148" s="156">
        <v>2.6432284295981878E-2</v>
      </c>
    </row>
    <row r="2149" spans="19:27" x14ac:dyDescent="0.2">
      <c r="S2149" s="1"/>
      <c r="T2149" s="117"/>
      <c r="W2149" s="75" t="str">
        <f t="shared" si="44"/>
        <v>1w</v>
      </c>
      <c r="X2149" s="148">
        <f>_xll.qlCalendarAdvance(Calendar,X2148,W2149,"f",FALSE)</f>
        <v>53996</v>
      </c>
      <c r="Y2149" s="153">
        <f>_xll.qlCalendarAdvance(Calendar,X2149,NDays&amp;"D")</f>
        <v>53996</v>
      </c>
      <c r="Z2149" s="154">
        <v>2.648403410291935E-2</v>
      </c>
      <c r="AA2149" s="156">
        <v>2.6427480661117553E-2</v>
      </c>
    </row>
    <row r="2150" spans="19:27" x14ac:dyDescent="0.2">
      <c r="S2150" s="1"/>
      <c r="T2150" s="117"/>
      <c r="W2150" s="75" t="str">
        <f t="shared" si="44"/>
        <v>1w</v>
      </c>
      <c r="X2150" s="148">
        <f>_xll.qlCalendarAdvance(Calendar,X2149,W2150,"f",FALSE)</f>
        <v>54003</v>
      </c>
      <c r="Y2150" s="153">
        <f>_xll.qlCalendarAdvance(Calendar,X2150,NDays&amp;"D")</f>
        <v>54003</v>
      </c>
      <c r="Z2150" s="154">
        <v>2.6479372560925456E-2</v>
      </c>
      <c r="AA2150" s="156">
        <v>2.642270004850289E-2</v>
      </c>
    </row>
    <row r="2151" spans="19:27" x14ac:dyDescent="0.2">
      <c r="S2151" s="1"/>
      <c r="T2151" s="117"/>
      <c r="W2151" s="75" t="str">
        <f t="shared" si="44"/>
        <v>1w</v>
      </c>
      <c r="X2151" s="148">
        <f>_xll.qlCalendarAdvance(Calendar,X2150,W2151,"f",FALSE)</f>
        <v>54010</v>
      </c>
      <c r="Y2151" s="153">
        <f>_xll.qlCalendarAdvance(Calendar,X2151,NDays&amp;"D")</f>
        <v>54010</v>
      </c>
      <c r="Z2151" s="154">
        <v>2.6474734198491171E-2</v>
      </c>
      <c r="AA2151" s="156">
        <v>2.6417942458218935E-2</v>
      </c>
    </row>
    <row r="2152" spans="19:27" x14ac:dyDescent="0.2">
      <c r="S2152" s="1"/>
      <c r="T2152" s="117"/>
      <c r="W2152" s="75" t="str">
        <f t="shared" si="44"/>
        <v>1w</v>
      </c>
      <c r="X2152" s="148">
        <f>_xll.qlCalendarAdvance(Calendar,X2151,W2152,"f",FALSE)</f>
        <v>54017</v>
      </c>
      <c r="Y2152" s="153">
        <f>_xll.qlCalendarAdvance(Calendar,X2152,NDays&amp;"D")</f>
        <v>54017</v>
      </c>
      <c r="Z2152" s="154">
        <v>2.6470119015538095E-2</v>
      </c>
      <c r="AA2152" s="156">
        <v>2.6413207890103596E-2</v>
      </c>
    </row>
    <row r="2153" spans="19:27" x14ac:dyDescent="0.2">
      <c r="S2153" s="1"/>
      <c r="T2153" s="117"/>
      <c r="W2153" s="75" t="str">
        <f t="shared" si="44"/>
        <v>1w</v>
      </c>
      <c r="X2153" s="148">
        <f>_xll.qlCalendarAdvance(Calendar,X2152,W2153,"f",FALSE)</f>
        <v>54024</v>
      </c>
      <c r="Y2153" s="153">
        <f>_xll.qlCalendarAdvance(Calendar,X2153,NDays&amp;"D")</f>
        <v>54024</v>
      </c>
      <c r="Z2153" s="154">
        <v>2.646552701198342E-2</v>
      </c>
      <c r="AA2153" s="156">
        <v>2.6408496344156873E-2</v>
      </c>
    </row>
    <row r="2154" spans="19:27" x14ac:dyDescent="0.2">
      <c r="S2154" s="1"/>
      <c r="T2154" s="117"/>
      <c r="W2154" s="75" t="str">
        <f t="shared" si="44"/>
        <v>1w</v>
      </c>
      <c r="X2154" s="148">
        <f>_xll.qlCalendarAdvance(Calendar,X2153,W2154,"f",FALSE)</f>
        <v>54031</v>
      </c>
      <c r="Y2154" s="153">
        <f>_xll.qlCalendarAdvance(Calendar,X2154,NDays&amp;"D")</f>
        <v>54031</v>
      </c>
      <c r="Z2154" s="154">
        <v>2.646032312873485E-2</v>
      </c>
      <c r="AA2154" s="156">
        <v>2.6403807820459813E-2</v>
      </c>
    </row>
    <row r="2155" spans="19:27" x14ac:dyDescent="0.2">
      <c r="S2155" s="1"/>
      <c r="T2155" s="117"/>
      <c r="W2155" s="75" t="str">
        <f t="shared" si="44"/>
        <v>1w</v>
      </c>
      <c r="X2155" s="148">
        <f>_xll.qlCalendarAdvance(Calendar,X2154,W2155,"f",FALSE)</f>
        <v>54038</v>
      </c>
      <c r="Y2155" s="153">
        <f>_xll.qlCalendarAdvance(Calendar,X2155,NDays&amp;"D")</f>
        <v>54038</v>
      </c>
      <c r="Z2155" s="154">
        <v>2.6455776156617233E-2</v>
      </c>
      <c r="AA2155" s="156">
        <v>2.639914231909346E-2</v>
      </c>
    </row>
    <row r="2156" spans="19:27" x14ac:dyDescent="0.2">
      <c r="S2156" s="1"/>
      <c r="T2156" s="117"/>
      <c r="W2156" s="75" t="str">
        <f t="shared" si="44"/>
        <v>1w</v>
      </c>
      <c r="X2156" s="148">
        <f>_xll.qlCalendarAdvance(Calendar,X2155,W2156,"f",FALSE)</f>
        <v>54045</v>
      </c>
      <c r="Y2156" s="153">
        <f>_xll.qlCalendarAdvance(Calendar,X2156,NDays&amp;"D")</f>
        <v>54045</v>
      </c>
      <c r="Z2156" s="154">
        <v>2.6451252361933315E-2</v>
      </c>
      <c r="AA2156" s="156">
        <v>2.6394499839814678E-2</v>
      </c>
    </row>
    <row r="2157" spans="19:27" x14ac:dyDescent="0.2">
      <c r="S2157" s="1"/>
      <c r="T2157" s="117"/>
      <c r="W2157" s="75" t="str">
        <f t="shared" si="44"/>
        <v>1w</v>
      </c>
      <c r="X2157" s="148">
        <f>_xll.qlCalendarAdvance(Calendar,X2156,W2157,"f",FALSE)</f>
        <v>54053</v>
      </c>
      <c r="Y2157" s="153">
        <f>_xll.qlCalendarAdvance(Calendar,X2157,NDays&amp;"D")</f>
        <v>54053</v>
      </c>
      <c r="Z2157" s="154">
        <v>2.6446110691301174E-2</v>
      </c>
      <c r="AA2157" s="156">
        <v>2.6390472794735425E-2</v>
      </c>
    </row>
    <row r="2158" spans="19:27" x14ac:dyDescent="0.2">
      <c r="S2158" s="1"/>
      <c r="T2158" s="117"/>
      <c r="W2158" s="75" t="str">
        <f t="shared" si="44"/>
        <v>1w</v>
      </c>
      <c r="X2158" s="148">
        <f>_xll.qlCalendarAdvance(Calendar,X2157,W2158,"f",FALSE)</f>
        <v>54060</v>
      </c>
      <c r="Y2158" s="153">
        <f>_xll.qlCalendarAdvance(Calendar,X2158,NDays&amp;"D")</f>
        <v>54060</v>
      </c>
      <c r="Z2158" s="154">
        <v>2.6444199784939875E-2</v>
      </c>
      <c r="AA2158" s="156">
        <v>2.6385882274065169E-2</v>
      </c>
    </row>
    <row r="2159" spans="19:27" x14ac:dyDescent="0.2">
      <c r="S2159" s="1"/>
      <c r="T2159" s="117"/>
      <c r="W2159" s="75" t="str">
        <f t="shared" si="44"/>
        <v>1w</v>
      </c>
      <c r="X2159" s="148">
        <f>_xll.qlCalendarAdvance(Calendar,X2158,W2159,"f",FALSE)</f>
        <v>54067</v>
      </c>
      <c r="Y2159" s="153">
        <f>_xll.qlCalendarAdvance(Calendar,X2159,NDays&amp;"D")</f>
        <v>54067</v>
      </c>
      <c r="Z2159" s="154">
        <v>2.643718561047163E-2</v>
      </c>
      <c r="AA2159" s="156">
        <v>2.6381314779129566E-2</v>
      </c>
    </row>
    <row r="2160" spans="19:27" x14ac:dyDescent="0.2">
      <c r="S2160" s="1"/>
      <c r="T2160" s="117"/>
      <c r="W2160" s="75" t="str">
        <f t="shared" si="44"/>
        <v>1w</v>
      </c>
      <c r="X2160" s="148">
        <f>_xll.qlCalendarAdvance(Calendar,X2159,W2160,"f",FALSE)</f>
        <v>54074</v>
      </c>
      <c r="Y2160" s="153">
        <f>_xll.qlCalendarAdvance(Calendar,X2160,NDays&amp;"D")</f>
        <v>54074</v>
      </c>
      <c r="Z2160" s="154">
        <v>2.6432757835768771E-2</v>
      </c>
      <c r="AA2160" s="156">
        <v>2.6376770309820555E-2</v>
      </c>
    </row>
    <row r="2161" spans="19:27" x14ac:dyDescent="0.2">
      <c r="S2161" s="1"/>
      <c r="T2161" s="117"/>
      <c r="W2161" s="75" t="str">
        <f t="shared" si="44"/>
        <v>1w</v>
      </c>
      <c r="X2161" s="148">
        <f>_xll.qlCalendarAdvance(Calendar,X2160,W2161,"f",FALSE)</f>
        <v>54081</v>
      </c>
      <c r="Y2161" s="153">
        <f>_xll.qlCalendarAdvance(Calendar,X2161,NDays&amp;"D")</f>
        <v>54081</v>
      </c>
      <c r="Z2161" s="154">
        <v>2.6428353238105957E-2</v>
      </c>
      <c r="AA2161" s="156">
        <v>2.6372248866165147E-2</v>
      </c>
    </row>
    <row r="2162" spans="19:27" x14ac:dyDescent="0.2">
      <c r="S2162" s="1"/>
      <c r="T2162" s="117"/>
      <c r="W2162" s="75" t="str">
        <f t="shared" si="44"/>
        <v>1w</v>
      </c>
      <c r="X2162" s="148">
        <f>_xll.qlCalendarAdvance(Calendar,X2161,W2162,"f",FALSE)</f>
        <v>54088</v>
      </c>
      <c r="Y2162" s="153">
        <f>_xll.qlCalendarAdvance(Calendar,X2162,NDays&amp;"D")</f>
        <v>54088</v>
      </c>
      <c r="Z2162" s="154">
        <v>2.6423326060768436E-2</v>
      </c>
      <c r="AA2162" s="156">
        <v>2.6367750448190362E-2</v>
      </c>
    </row>
    <row r="2163" spans="19:27" x14ac:dyDescent="0.2">
      <c r="S2163" s="1"/>
      <c r="T2163" s="117"/>
      <c r="W2163" s="75" t="str">
        <f t="shared" si="44"/>
        <v>1w</v>
      </c>
      <c r="X2163" s="148">
        <f>_xll.qlCalendarAdvance(Calendar,X2162,W2163,"f",FALSE)</f>
        <v>54095</v>
      </c>
      <c r="Y2163" s="153">
        <f>_xll.qlCalendarAdvance(Calendar,X2163,NDays&amp;"D")</f>
        <v>54095</v>
      </c>
      <c r="Z2163" s="154">
        <v>2.6418966476035307E-2</v>
      </c>
      <c r="AA2163" s="156">
        <v>2.6363275055869183E-2</v>
      </c>
    </row>
    <row r="2164" spans="19:27" x14ac:dyDescent="0.2">
      <c r="S2164" s="1"/>
      <c r="T2164" s="117"/>
      <c r="W2164" s="75" t="str">
        <f t="shared" si="44"/>
        <v>1w</v>
      </c>
      <c r="X2164" s="148">
        <f>_xll.qlCalendarAdvance(Calendar,X2163,W2164,"f",FALSE)</f>
        <v>54102</v>
      </c>
      <c r="Y2164" s="153">
        <f>_xll.qlCalendarAdvance(Calendar,X2164,NDays&amp;"D")</f>
        <v>54102</v>
      </c>
      <c r="Z2164" s="154">
        <v>2.6414630066397021E-2</v>
      </c>
      <c r="AA2164" s="156">
        <v>2.6358822689174593E-2</v>
      </c>
    </row>
    <row r="2165" spans="19:27" x14ac:dyDescent="0.2">
      <c r="S2165" s="1"/>
      <c r="T2165" s="117"/>
      <c r="W2165" s="75" t="str">
        <f t="shared" si="44"/>
        <v>1w</v>
      </c>
      <c r="X2165" s="148">
        <f>_xll.qlCalendarAdvance(Calendar,X2164,W2165,"f",FALSE)</f>
        <v>54109</v>
      </c>
      <c r="Y2165" s="153">
        <f>_xll.qlCalendarAdvance(Calendar,X2165,NDays&amp;"D")</f>
        <v>54109</v>
      </c>
      <c r="Z2165" s="154">
        <v>2.6410316831779735E-2</v>
      </c>
      <c r="AA2165" s="156">
        <v>2.6354393348133612E-2</v>
      </c>
    </row>
    <row r="2166" spans="19:27" x14ac:dyDescent="0.2">
      <c r="S2166" s="1"/>
      <c r="T2166" s="117"/>
      <c r="W2166" s="75" t="str">
        <f t="shared" si="44"/>
        <v>1w</v>
      </c>
      <c r="X2166" s="148">
        <f>_xll.qlCalendarAdvance(Calendar,X2165,W2166,"f",FALSE)</f>
        <v>54116</v>
      </c>
      <c r="Y2166" s="153">
        <f>_xll.qlCalendarAdvance(Calendar,X2166,NDays&amp;"D")</f>
        <v>54116</v>
      </c>
      <c r="Z2166" s="154">
        <v>2.6406677902742051E-2</v>
      </c>
      <c r="AA2166" s="156">
        <v>2.6349987032773251E-2</v>
      </c>
    </row>
    <row r="2167" spans="19:27" x14ac:dyDescent="0.2">
      <c r="S2167" s="1"/>
      <c r="T2167" s="117"/>
      <c r="W2167" s="75" t="str">
        <f t="shared" si="44"/>
        <v>1w</v>
      </c>
      <c r="X2167" s="148">
        <f>_xll.qlCalendarAdvance(Calendar,X2166,W2167,"f",FALSE)</f>
        <v>54123</v>
      </c>
      <c r="Y2167" s="153">
        <f>_xll.qlCalendarAdvance(Calendar,X2167,NDays&amp;"D")</f>
        <v>54123</v>
      </c>
      <c r="Z2167" s="154">
        <v>2.6404370762219367E-2</v>
      </c>
      <c r="AA2167" s="156">
        <v>2.6345603743066496E-2</v>
      </c>
    </row>
    <row r="2168" spans="19:27" x14ac:dyDescent="0.2">
      <c r="S2168" s="1"/>
      <c r="T2168" s="117"/>
      <c r="W2168" s="75" t="str">
        <f t="shared" si="44"/>
        <v>1w</v>
      </c>
      <c r="X2168" s="148">
        <f>_xll.qlCalendarAdvance(Calendar,X2167,W2168,"f",FALSE)</f>
        <v>54130</v>
      </c>
      <c r="Y2168" s="153">
        <f>_xll.qlCalendarAdvance(Calendar,X2168,NDays&amp;"D")</f>
        <v>54130</v>
      </c>
      <c r="Z2168" s="154">
        <v>2.6400132451584693E-2</v>
      </c>
      <c r="AA2168" s="156">
        <v>2.634124347898633E-2</v>
      </c>
    </row>
    <row r="2169" spans="19:27" x14ac:dyDescent="0.2">
      <c r="S2169" s="1"/>
      <c r="T2169" s="117"/>
      <c r="W2169" s="75" t="str">
        <f t="shared" si="44"/>
        <v>1w</v>
      </c>
      <c r="X2169" s="148">
        <f>_xll.qlCalendarAdvance(Calendar,X2168,W2169,"f",FALSE)</f>
        <v>54137</v>
      </c>
      <c r="Y2169" s="153">
        <f>_xll.qlCalendarAdvance(Calendar,X2169,NDays&amp;"D")</f>
        <v>54137</v>
      </c>
      <c r="Z2169" s="154">
        <v>2.6395917322536669E-2</v>
      </c>
      <c r="AA2169" s="156">
        <v>2.633690624055977E-2</v>
      </c>
    </row>
    <row r="2170" spans="19:27" x14ac:dyDescent="0.2">
      <c r="S2170" s="1"/>
      <c r="T2170" s="117"/>
      <c r="W2170" s="75" t="str">
        <f t="shared" si="44"/>
        <v>1w</v>
      </c>
      <c r="X2170" s="148">
        <f>_xll.qlCalendarAdvance(Calendar,X2169,W2170,"f",FALSE)</f>
        <v>54144</v>
      </c>
      <c r="Y2170" s="153">
        <f>_xll.qlCalendarAdvance(Calendar,X2170,NDays&amp;"D")</f>
        <v>54144</v>
      </c>
      <c r="Z2170" s="154">
        <v>2.6391725375001146E-2</v>
      </c>
      <c r="AA2170" s="156">
        <v>2.6332592027732787E-2</v>
      </c>
    </row>
    <row r="2171" spans="19:27" x14ac:dyDescent="0.2">
      <c r="S2171" s="1"/>
      <c r="T2171" s="117"/>
      <c r="W2171" s="75" t="str">
        <f t="shared" si="44"/>
        <v>1w</v>
      </c>
      <c r="X2171" s="148">
        <f>_xll.qlCalendarAdvance(Calendar,X2170,W2171,"f",FALSE)</f>
        <v>54155</v>
      </c>
      <c r="Y2171" s="153">
        <f>_xll.qlCalendarAdvance(Calendar,X2171,NDays&amp;"D")</f>
        <v>54155</v>
      </c>
      <c r="Z2171" s="154">
        <v>2.6383207912748379E-2</v>
      </c>
      <c r="AA2171" s="156">
        <v>2.6324570023229521E-2</v>
      </c>
    </row>
    <row r="2172" spans="19:27" x14ac:dyDescent="0.2">
      <c r="S2172" s="1"/>
      <c r="T2172" s="117"/>
      <c r="W2172" s="75" t="str">
        <f t="shared" si="44"/>
        <v>1w</v>
      </c>
      <c r="X2172" s="148">
        <f>_xll.qlCalendarAdvance(Calendar,X2171,W2172,"f",FALSE)</f>
        <v>54162</v>
      </c>
      <c r="Y2172" s="153">
        <f>_xll.qlCalendarAdvance(Calendar,X2172,NDays&amp;"D")</f>
        <v>54162</v>
      </c>
      <c r="Z2172" s="154">
        <v>2.6379071501129635E-2</v>
      </c>
      <c r="AA2172" s="156">
        <v>2.6320312343992569E-2</v>
      </c>
    </row>
    <row r="2173" spans="19:27" x14ac:dyDescent="0.2">
      <c r="S2173" s="1"/>
      <c r="T2173" s="117"/>
      <c r="W2173" s="75" t="str">
        <f t="shared" si="44"/>
        <v>1w</v>
      </c>
      <c r="X2173" s="148">
        <f>_xll.qlCalendarAdvance(Calendar,X2172,W2173,"f",FALSE)</f>
        <v>54169</v>
      </c>
      <c r="Y2173" s="153">
        <f>_xll.qlCalendarAdvance(Calendar,X2173,NDays&amp;"D")</f>
        <v>54169</v>
      </c>
      <c r="Z2173" s="154">
        <v>2.6374958265625578E-2</v>
      </c>
      <c r="AA2173" s="156">
        <v>2.6316077686843187E-2</v>
      </c>
    </row>
    <row r="2174" spans="19:27" x14ac:dyDescent="0.2">
      <c r="S2174" s="1"/>
      <c r="T2174" s="117"/>
      <c r="W2174" s="75" t="str">
        <f t="shared" si="44"/>
        <v>1w</v>
      </c>
      <c r="X2174" s="148">
        <f>_xll.qlCalendarAdvance(Calendar,X2173,W2174,"f",FALSE)</f>
        <v>54176</v>
      </c>
      <c r="Y2174" s="153">
        <f>_xll.qlCalendarAdvance(Calendar,X2174,NDays&amp;"D")</f>
        <v>54176</v>
      </c>
      <c r="Z2174" s="154">
        <v>2.6370868206164074E-2</v>
      </c>
      <c r="AA2174" s="156">
        <v>2.6311866051943467E-2</v>
      </c>
    </row>
    <row r="2175" spans="19:27" x14ac:dyDescent="0.2">
      <c r="S2175" s="1"/>
      <c r="T2175" s="117"/>
      <c r="W2175" s="75" t="str">
        <f t="shared" si="44"/>
        <v>1w</v>
      </c>
      <c r="X2175" s="148">
        <f>_xll.qlCalendarAdvance(Calendar,X2174,W2175,"f",FALSE)</f>
        <v>54183</v>
      </c>
      <c r="Y2175" s="153">
        <f>_xll.qlCalendarAdvance(Calendar,X2175,NDays&amp;"D")</f>
        <v>54183</v>
      </c>
      <c r="Z2175" s="154">
        <v>2.6367465585948852E-2</v>
      </c>
      <c r="AA2175" s="156">
        <v>2.6307677439293409E-2</v>
      </c>
    </row>
    <row r="2176" spans="19:27" x14ac:dyDescent="0.2">
      <c r="S2176" s="1"/>
      <c r="T2176" s="117"/>
      <c r="W2176" s="75" t="str">
        <f t="shared" si="44"/>
        <v>1w</v>
      </c>
      <c r="X2176" s="148">
        <f>_xll.qlCalendarAdvance(Calendar,X2175,W2176,"f",FALSE)</f>
        <v>54190</v>
      </c>
      <c r="Y2176" s="153">
        <f>_xll.qlCalendarAdvance(Calendar,X2176,NDays&amp;"D")</f>
        <v>54190</v>
      </c>
      <c r="Z2176" s="154">
        <v>2.6363423242763331E-2</v>
      </c>
      <c r="AA2176" s="156">
        <v>2.6303511848893013E-2</v>
      </c>
    </row>
    <row r="2177" spans="19:27" x14ac:dyDescent="0.2">
      <c r="S2177" s="1"/>
      <c r="T2177" s="117"/>
      <c r="W2177" s="75" t="str">
        <f t="shared" si="44"/>
        <v>1w</v>
      </c>
      <c r="X2177" s="148">
        <f>_xll.qlCalendarAdvance(Calendar,X2176,W2177,"f",FALSE)</f>
        <v>54197</v>
      </c>
      <c r="Y2177" s="153">
        <f>_xll.qlCalendarAdvance(Calendar,X2177,NDays&amp;"D")</f>
        <v>54197</v>
      </c>
      <c r="Z2177" s="154">
        <v>2.6359404077120074E-2</v>
      </c>
      <c r="AA2177" s="156">
        <v>2.6299369280661233E-2</v>
      </c>
    </row>
    <row r="2178" spans="19:27" x14ac:dyDescent="0.2">
      <c r="S2178" s="1"/>
      <c r="T2178" s="117"/>
      <c r="W2178" s="75" t="str">
        <f t="shared" si="44"/>
        <v>1w</v>
      </c>
      <c r="X2178" s="148">
        <f>_xll.qlCalendarAdvance(Calendar,X2177,W2178,"f",FALSE)</f>
        <v>54204</v>
      </c>
      <c r="Y2178" s="153">
        <f>_xll.qlCalendarAdvance(Calendar,X2178,NDays&amp;"D")</f>
        <v>54204</v>
      </c>
      <c r="Z2178" s="154">
        <v>2.6355408088946843E-2</v>
      </c>
      <c r="AA2178" s="156">
        <v>2.6295249734517023E-2</v>
      </c>
    </row>
    <row r="2179" spans="19:27" x14ac:dyDescent="0.2">
      <c r="S2179" s="1"/>
      <c r="T2179" s="117"/>
      <c r="W2179" s="75" t="str">
        <f t="shared" si="44"/>
        <v>1w</v>
      </c>
      <c r="X2179" s="148">
        <f>_xll.qlCalendarAdvance(Calendar,X2178,W2179,"f",FALSE)</f>
        <v>54211</v>
      </c>
      <c r="Y2179" s="153">
        <f>_xll.qlCalendarAdvance(Calendar,X2179,NDays&amp;"D")</f>
        <v>54211</v>
      </c>
      <c r="Z2179" s="154">
        <v>2.6351435278178452E-2</v>
      </c>
      <c r="AA2179" s="156">
        <v>2.6291153210865614E-2</v>
      </c>
    </row>
    <row r="2180" spans="19:27" x14ac:dyDescent="0.2">
      <c r="S2180" s="1"/>
      <c r="T2180" s="117"/>
      <c r="W2180" s="75" t="str">
        <f t="shared" si="44"/>
        <v>1w</v>
      </c>
      <c r="X2180" s="148">
        <f>_xll.qlCalendarAdvance(Calendar,X2179,W2180,"f",FALSE)</f>
        <v>54218</v>
      </c>
      <c r="Y2180" s="153">
        <f>_xll.qlCalendarAdvance(Calendar,X2180,NDays&amp;"D")</f>
        <v>54218</v>
      </c>
      <c r="Z2180" s="154">
        <v>2.6347485644741781E-2</v>
      </c>
      <c r="AA2180" s="156">
        <v>2.6287079709220729E-2</v>
      </c>
    </row>
    <row r="2181" spans="19:27" x14ac:dyDescent="0.2">
      <c r="S2181" s="1"/>
      <c r="T2181" s="117"/>
      <c r="W2181" s="75" t="str">
        <f t="shared" si="44"/>
        <v>1w</v>
      </c>
      <c r="X2181" s="148">
        <f>_xll.qlCalendarAdvance(Calendar,X2180,W2181,"f",FALSE)</f>
        <v>54225</v>
      </c>
      <c r="Y2181" s="153">
        <f>_xll.qlCalendarAdvance(Calendar,X2181,NDays&amp;"D")</f>
        <v>54225</v>
      </c>
      <c r="Z2181" s="154">
        <v>2.6343559188570759E-2</v>
      </c>
      <c r="AA2181" s="156">
        <v>2.6283029229744459E-2</v>
      </c>
    </row>
    <row r="2182" spans="19:27" x14ac:dyDescent="0.2">
      <c r="S2182" s="1"/>
      <c r="T2182" s="117"/>
      <c r="W2182" s="75" t="str">
        <f t="shared" si="44"/>
        <v>1w</v>
      </c>
      <c r="X2182" s="148">
        <f>_xll.qlCalendarAdvance(Calendar,X2181,W2182,"f",FALSE)</f>
        <v>54232</v>
      </c>
      <c r="Y2182" s="153">
        <f>_xll.qlCalendarAdvance(Calendar,X2182,NDays&amp;"D")</f>
        <v>54232</v>
      </c>
      <c r="Z2182" s="154">
        <v>2.6339655909594913E-2</v>
      </c>
      <c r="AA2182" s="156">
        <v>2.6279001772517852E-2</v>
      </c>
    </row>
    <row r="2183" spans="19:27" x14ac:dyDescent="0.2">
      <c r="S2183" s="1"/>
      <c r="T2183" s="117"/>
      <c r="W2183" s="75" t="str">
        <f t="shared" si="44"/>
        <v>1w</v>
      </c>
      <c r="X2183" s="148">
        <f>_xll.qlCalendarAdvance(Calendar,X2182,W2183,"f",FALSE)</f>
        <v>54239</v>
      </c>
      <c r="Y2183" s="153">
        <f>_xll.qlCalendarAdvance(Calendar,X2183,NDays&amp;"D")</f>
        <v>54239</v>
      </c>
      <c r="Z2183" s="154">
        <v>2.6335775807747291E-2</v>
      </c>
      <c r="AA2183" s="156">
        <v>2.6274997337621953E-2</v>
      </c>
    </row>
    <row r="2184" spans="19:27" x14ac:dyDescent="0.2">
      <c r="S2184" s="1"/>
      <c r="T2184" s="117"/>
      <c r="W2184" s="75" t="str">
        <f t="shared" si="44"/>
        <v>1w</v>
      </c>
      <c r="X2184" s="148">
        <f>_xll.qlCalendarAdvance(Calendar,X2183,W2184,"f",FALSE)</f>
        <v>54246</v>
      </c>
      <c r="Y2184" s="153">
        <f>_xll.qlCalendarAdvance(Calendar,X2184,NDays&amp;"D")</f>
        <v>54246</v>
      </c>
      <c r="Z2184" s="154">
        <v>2.6331918882960943E-2</v>
      </c>
      <c r="AA2184" s="156">
        <v>2.6271015924813623E-2</v>
      </c>
    </row>
    <row r="2185" spans="19:27" x14ac:dyDescent="0.2">
      <c r="S2185" s="1"/>
      <c r="T2185" s="117"/>
      <c r="W2185" s="75" t="str">
        <f t="shared" si="44"/>
        <v>1w</v>
      </c>
      <c r="X2185" s="148">
        <f>_xll.qlCalendarAdvance(Calendar,X2184,W2185,"f",FALSE)</f>
        <v>54253</v>
      </c>
      <c r="Y2185" s="153">
        <f>_xll.qlCalendarAdvance(Calendar,X2185,NDays&amp;"D")</f>
        <v>54253</v>
      </c>
      <c r="Z2185" s="154">
        <v>2.6328085135168034E-2</v>
      </c>
      <c r="AA2185" s="156">
        <v>2.626705753417391E-2</v>
      </c>
    </row>
    <row r="2186" spans="19:27" x14ac:dyDescent="0.2">
      <c r="S2186" s="1"/>
      <c r="T2186" s="117"/>
      <c r="W2186" s="75" t="str">
        <f t="shared" si="44"/>
        <v>1w</v>
      </c>
      <c r="X2186" s="148">
        <f>_xll.qlCalendarAdvance(Calendar,X2185,W2186,"f",FALSE)</f>
        <v>54260</v>
      </c>
      <c r="Y2186" s="153">
        <f>_xll.qlCalendarAdvance(Calendar,X2186,NDays&amp;"D")</f>
        <v>54260</v>
      </c>
      <c r="Z2186" s="154">
        <v>2.6324274564301614E-2</v>
      </c>
      <c r="AA2186" s="156">
        <v>2.6263122165702812E-2</v>
      </c>
    </row>
    <row r="2187" spans="19:27" x14ac:dyDescent="0.2">
      <c r="S2187" s="1"/>
      <c r="T2187" s="117"/>
      <c r="W2187" s="75" t="str">
        <f t="shared" si="44"/>
        <v>1w</v>
      </c>
      <c r="X2187" s="148">
        <f>_xll.qlCalendarAdvance(Calendar,X2186,W2187,"f",FALSE)</f>
        <v>54267</v>
      </c>
      <c r="Y2187" s="153">
        <f>_xll.qlCalendarAdvance(Calendar,X2187,NDays&amp;"D")</f>
        <v>54267</v>
      </c>
      <c r="Z2187" s="154">
        <v>2.6320487170295614E-2</v>
      </c>
      <c r="AA2187" s="156">
        <v>2.6259209819562424E-2</v>
      </c>
    </row>
    <row r="2188" spans="19:27" x14ac:dyDescent="0.2">
      <c r="S2188" s="1"/>
      <c r="T2188" s="117"/>
      <c r="W2188" s="75" t="str">
        <f t="shared" si="44"/>
        <v>1w</v>
      </c>
      <c r="X2188" s="148">
        <f>_xll.qlCalendarAdvance(Calendar,X2187,W2188,"f",FALSE)</f>
        <v>54274</v>
      </c>
      <c r="Y2188" s="153">
        <f>_xll.qlCalendarAdvance(Calendar,X2188,NDays&amp;"D")</f>
        <v>54274</v>
      </c>
      <c r="Z2188" s="154">
        <v>2.6316722953084844E-2</v>
      </c>
      <c r="AA2188" s="156">
        <v>2.6255320495590651E-2</v>
      </c>
    </row>
    <row r="2189" spans="19:27" x14ac:dyDescent="0.2">
      <c r="S2189" s="1"/>
      <c r="T2189" s="117"/>
      <c r="W2189" s="75" t="str">
        <f t="shared" si="44"/>
        <v>1w</v>
      </c>
      <c r="X2189" s="148">
        <f>_xll.qlCalendarAdvance(Calendar,X2188,W2189,"f",FALSE)</f>
        <v>54281</v>
      </c>
      <c r="Y2189" s="153">
        <f>_xll.qlCalendarAdvance(Calendar,X2189,NDays&amp;"D")</f>
        <v>54281</v>
      </c>
      <c r="Z2189" s="154">
        <v>2.6312981912601469E-2</v>
      </c>
      <c r="AA2189" s="156">
        <v>2.6251454193706447E-2</v>
      </c>
    </row>
    <row r="2190" spans="19:27" x14ac:dyDescent="0.2">
      <c r="S2190" s="1"/>
      <c r="T2190" s="117"/>
      <c r="W2190" s="75" t="str">
        <f t="shared" si="44"/>
        <v>1w</v>
      </c>
      <c r="X2190" s="148">
        <f>_xll.qlCalendarAdvance(Calendar,X2189,W2190,"f",FALSE)</f>
        <v>54288</v>
      </c>
      <c r="Y2190" s="153">
        <f>_xll.qlCalendarAdvance(Calendar,X2190,NDays&amp;"D")</f>
        <v>54288</v>
      </c>
      <c r="Z2190" s="154">
        <v>2.6309264048782945E-2</v>
      </c>
      <c r="AA2190" s="156">
        <v>2.6247610914152952E-2</v>
      </c>
    </row>
    <row r="2191" spans="19:27" x14ac:dyDescent="0.2">
      <c r="S2191" s="1"/>
      <c r="T2191" s="117"/>
      <c r="W2191" s="75" t="str">
        <f t="shared" si="44"/>
        <v>1w</v>
      </c>
      <c r="X2191" s="148">
        <f>_xll.qlCalendarAdvance(Calendar,X2190,W2191,"f",FALSE)</f>
        <v>54295</v>
      </c>
      <c r="Y2191" s="153">
        <f>_xll.qlCalendarAdvance(Calendar,X2191,NDays&amp;"D")</f>
        <v>54295</v>
      </c>
      <c r="Z2191" s="154">
        <v>2.6305569361563204E-2</v>
      </c>
      <c r="AA2191" s="156">
        <v>2.6243790656768073E-2</v>
      </c>
    </row>
    <row r="2192" spans="19:27" x14ac:dyDescent="0.2">
      <c r="S2192" s="1"/>
      <c r="T2192" s="117"/>
      <c r="W2192" s="75" t="str">
        <f t="shared" si="44"/>
        <v>1w</v>
      </c>
      <c r="X2192" s="148">
        <f>_xll.qlCalendarAdvance(Calendar,X2191,W2192,"f",FALSE)</f>
        <v>54302</v>
      </c>
      <c r="Y2192" s="153">
        <f>_xll.qlCalendarAdvance(Calendar,X2192,NDays&amp;"D")</f>
        <v>54302</v>
      </c>
      <c r="Z2192" s="154">
        <v>2.6301210161096197E-2</v>
      </c>
      <c r="AA2192" s="156">
        <v>2.6239993421470764E-2</v>
      </c>
    </row>
    <row r="2193" spans="19:27" x14ac:dyDescent="0.2">
      <c r="S2193" s="1"/>
      <c r="T2193" s="117"/>
      <c r="W2193" s="75" t="str">
        <f t="shared" si="44"/>
        <v>1w</v>
      </c>
      <c r="X2193" s="148">
        <f>_xll.qlCalendarAdvance(Calendar,X2192,W2193,"f",FALSE)</f>
        <v>54309</v>
      </c>
      <c r="Y2193" s="153">
        <f>_xll.qlCalendarAdvance(Calendar,X2193,NDays&amp;"D")</f>
        <v>54309</v>
      </c>
      <c r="Z2193" s="154">
        <v>2.6297560433551446E-2</v>
      </c>
      <c r="AA2193" s="156">
        <v>2.6236219208423117E-2</v>
      </c>
    </row>
    <row r="2194" spans="19:27" x14ac:dyDescent="0.2">
      <c r="S2194" s="1"/>
      <c r="T2194" s="117"/>
      <c r="W2194" s="75" t="str">
        <f t="shared" si="44"/>
        <v>1w</v>
      </c>
      <c r="X2194" s="148">
        <f>_xll.qlCalendarAdvance(Calendar,X2193,W2194,"f",FALSE)</f>
        <v>54316</v>
      </c>
      <c r="Y2194" s="153">
        <f>_xll.qlCalendarAdvance(Calendar,X2194,NDays&amp;"D")</f>
        <v>54316</v>
      </c>
      <c r="Z2194" s="154">
        <v>2.6293933880717768E-2</v>
      </c>
      <c r="AA2194" s="156">
        <v>2.6232468017706179E-2</v>
      </c>
    </row>
    <row r="2195" spans="19:27" x14ac:dyDescent="0.2">
      <c r="S2195" s="1"/>
      <c r="T2195" s="117"/>
      <c r="W2195" s="75" t="str">
        <f t="shared" si="44"/>
        <v>1w</v>
      </c>
      <c r="X2195" s="148">
        <f>_xll.qlCalendarAdvance(Calendar,X2194,W2195,"f",FALSE)</f>
        <v>54323</v>
      </c>
      <c r="Y2195" s="153">
        <f>_xll.qlCalendarAdvance(Calendar,X2195,NDays&amp;"D")</f>
        <v>54323</v>
      </c>
      <c r="Z2195" s="154">
        <v>2.6290330502533713E-2</v>
      </c>
      <c r="AA2195" s="156">
        <v>2.6228739849157856E-2</v>
      </c>
    </row>
    <row r="2196" spans="19:27" x14ac:dyDescent="0.2">
      <c r="S2196" s="1"/>
      <c r="T2196" s="117"/>
      <c r="W2196" s="75" t="str">
        <f t="shared" si="44"/>
        <v>1w</v>
      </c>
      <c r="X2196" s="148">
        <f>_xll.qlCalendarAdvance(Calendar,X2195,W2196,"f",FALSE)</f>
        <v>54330</v>
      </c>
      <c r="Y2196" s="153">
        <f>_xll.qlCalendarAdvance(Calendar,X2196,NDays&amp;"D")</f>
        <v>54330</v>
      </c>
      <c r="Z2196" s="154">
        <v>2.6286750298935159E-2</v>
      </c>
      <c r="AA2196" s="156">
        <v>2.6225034702616057E-2</v>
      </c>
    </row>
    <row r="2197" spans="19:27" x14ac:dyDescent="0.2">
      <c r="S2197" s="1"/>
      <c r="T2197" s="117"/>
      <c r="W2197" s="75" t="str">
        <f t="shared" ref="W2197:W2260" si="45">W2196</f>
        <v>1w</v>
      </c>
      <c r="X2197" s="148">
        <f>_xll.qlCalendarAdvance(Calendar,X2196,W2197,"f",FALSE)</f>
        <v>54337</v>
      </c>
      <c r="Y2197" s="153">
        <f>_xll.qlCalendarAdvance(Calendar,X2197,NDays&amp;"D")</f>
        <v>54337</v>
      </c>
      <c r="Z2197" s="154">
        <v>2.6283887943255733E-2</v>
      </c>
      <c r="AA2197" s="156">
        <v>2.6221352578404966E-2</v>
      </c>
    </row>
    <row r="2198" spans="19:27" x14ac:dyDescent="0.2">
      <c r="S2198" s="1"/>
      <c r="T2198" s="117"/>
      <c r="W2198" s="75" t="str">
        <f t="shared" si="45"/>
        <v>1w</v>
      </c>
      <c r="X2198" s="148">
        <f>_xll.qlCalendarAdvance(Calendar,X2197,W2198,"f",FALSE)</f>
        <v>54344</v>
      </c>
      <c r="Y2198" s="153">
        <f>_xll.qlCalendarAdvance(Calendar,X2198,NDays&amp;"D")</f>
        <v>54344</v>
      </c>
      <c r="Z2198" s="154">
        <v>2.628035549045148E-2</v>
      </c>
      <c r="AA2198" s="156">
        <v>2.6217693476443538E-2</v>
      </c>
    </row>
    <row r="2199" spans="19:27" x14ac:dyDescent="0.2">
      <c r="S2199" s="1"/>
      <c r="T2199" s="117"/>
      <c r="W2199" s="75" t="str">
        <f t="shared" si="45"/>
        <v>1w</v>
      </c>
      <c r="X2199" s="148">
        <f>_xll.qlCalendarAdvance(Calendar,X2198,W2199,"f",FALSE)</f>
        <v>54351</v>
      </c>
      <c r="Y2199" s="153">
        <f>_xll.qlCalendarAdvance(Calendar,X2199,NDays&amp;"D")</f>
        <v>54351</v>
      </c>
      <c r="Z2199" s="154">
        <v>2.6276846213744754E-2</v>
      </c>
      <c r="AA2199" s="156">
        <v>2.6214057396569679E-2</v>
      </c>
    </row>
    <row r="2200" spans="19:27" x14ac:dyDescent="0.2">
      <c r="S2200" s="1"/>
      <c r="T2200" s="117"/>
      <c r="W2200" s="75" t="str">
        <f t="shared" si="45"/>
        <v>1w</v>
      </c>
      <c r="X2200" s="148">
        <f>_xll.qlCalendarAdvance(Calendar,X2199,W2200,"f",FALSE)</f>
        <v>54358</v>
      </c>
      <c r="Y2200" s="153">
        <f>_xll.qlCalendarAdvance(Calendar,X2200,NDays&amp;"D")</f>
        <v>54358</v>
      </c>
      <c r="Z2200" s="154">
        <v>2.6273360113070368E-2</v>
      </c>
      <c r="AA2200" s="156">
        <v>2.6210444338864436E-2</v>
      </c>
    </row>
    <row r="2201" spans="19:27" x14ac:dyDescent="0.2">
      <c r="S2201" s="1"/>
      <c r="T2201" s="117"/>
      <c r="W2201" s="75" t="str">
        <f t="shared" si="45"/>
        <v>1w</v>
      </c>
      <c r="X2201" s="148">
        <f>_xll.qlCalendarAdvance(Calendar,X2200,W2201,"f",FALSE)</f>
        <v>54365</v>
      </c>
      <c r="Y2201" s="153">
        <f>_xll.qlCalendarAdvance(Calendar,X2201,NDays&amp;"D")</f>
        <v>54365</v>
      </c>
      <c r="Z2201" s="154">
        <v>2.6269897188371936E-2</v>
      </c>
      <c r="AA2201" s="156">
        <v>2.6206854303408855E-2</v>
      </c>
    </row>
    <row r="2202" spans="19:27" x14ac:dyDescent="0.2">
      <c r="S2202" s="1"/>
      <c r="T2202" s="117"/>
      <c r="W2202" s="75" t="str">
        <f t="shared" si="45"/>
        <v>1w</v>
      </c>
      <c r="X2202" s="148">
        <f>_xll.qlCalendarAdvance(Calendar,X2201,W2202,"f",FALSE)</f>
        <v>54372</v>
      </c>
      <c r="Y2202" s="153">
        <f>_xll.qlCalendarAdvance(Calendar,X2202,NDays&amp;"D")</f>
        <v>54372</v>
      </c>
      <c r="Z2202" s="154">
        <v>2.6266457439586915E-2</v>
      </c>
      <c r="AA2202" s="156">
        <v>2.6203287290202937E-2</v>
      </c>
    </row>
    <row r="2203" spans="19:27" x14ac:dyDescent="0.2">
      <c r="S2203" s="1"/>
      <c r="T2203" s="117"/>
      <c r="W2203" s="75" t="str">
        <f t="shared" si="45"/>
        <v>1w</v>
      </c>
      <c r="X2203" s="148">
        <f>_xll.qlCalendarAdvance(Calendar,X2202,W2203,"f",FALSE)</f>
        <v>54379</v>
      </c>
      <c r="Y2203" s="153">
        <f>_xll.qlCalendarAdvance(Calendar,X2203,NDays&amp;"D")</f>
        <v>54379</v>
      </c>
      <c r="Z2203" s="154">
        <v>2.6263040866656283E-2</v>
      </c>
      <c r="AA2203" s="156">
        <v>2.6199743299084588E-2</v>
      </c>
    </row>
    <row r="2204" spans="19:27" x14ac:dyDescent="0.2">
      <c r="S2204" s="1"/>
      <c r="T2204" s="117"/>
      <c r="W2204" s="75" t="str">
        <f t="shared" si="45"/>
        <v>1w</v>
      </c>
      <c r="X2204" s="148">
        <f>_xll.qlCalendarAdvance(Calendar,X2203,W2204,"f",FALSE)</f>
        <v>54386</v>
      </c>
      <c r="Y2204" s="153">
        <f>_xll.qlCalendarAdvance(Calendar,X2204,NDays&amp;"D")</f>
        <v>54386</v>
      </c>
      <c r="Z2204" s="154">
        <v>2.625964746951925E-2</v>
      </c>
      <c r="AA2204" s="156">
        <v>2.6196222330134855E-2</v>
      </c>
    </row>
    <row r="2205" spans="19:27" x14ac:dyDescent="0.2">
      <c r="S2205" s="1"/>
      <c r="T2205" s="117"/>
      <c r="W2205" s="75" t="str">
        <f t="shared" si="45"/>
        <v>1w</v>
      </c>
      <c r="X2205" s="148">
        <f>_xll.qlCalendarAdvance(Calendar,X2204,W2205,"f",FALSE)</f>
        <v>54393</v>
      </c>
      <c r="Y2205" s="153">
        <f>_xll.qlCalendarAdvance(Calendar,X2205,NDays&amp;"D")</f>
        <v>54393</v>
      </c>
      <c r="Z2205" s="154">
        <v>2.6254865546558231E-2</v>
      </c>
      <c r="AA2205" s="156">
        <v>2.6192724383434784E-2</v>
      </c>
    </row>
    <row r="2206" spans="19:27" x14ac:dyDescent="0.2">
      <c r="S2206" s="1"/>
      <c r="T2206" s="117"/>
      <c r="W2206" s="75" t="str">
        <f t="shared" si="45"/>
        <v>1w</v>
      </c>
      <c r="X2206" s="148">
        <f>_xll.qlCalendarAdvance(Calendar,X2205,W2206,"f",FALSE)</f>
        <v>54400</v>
      </c>
      <c r="Y2206" s="153">
        <f>_xll.qlCalendarAdvance(Calendar,X2206,NDays&amp;"D")</f>
        <v>54400</v>
      </c>
      <c r="Z2206" s="154">
        <v>2.6251515670404599E-2</v>
      </c>
      <c r="AA2206" s="156">
        <v>2.6189249458984376E-2</v>
      </c>
    </row>
    <row r="2207" spans="19:27" x14ac:dyDescent="0.2">
      <c r="S2207" s="1"/>
      <c r="T2207" s="117"/>
      <c r="W2207" s="75" t="str">
        <f t="shared" si="45"/>
        <v>1w</v>
      </c>
      <c r="X2207" s="148">
        <f>_xll.qlCalendarAdvance(Calendar,X2206,W2207,"f",FALSE)</f>
        <v>54407</v>
      </c>
      <c r="Y2207" s="153">
        <f>_xll.qlCalendarAdvance(Calendar,X2207,NDays&amp;"D")</f>
        <v>54407</v>
      </c>
      <c r="Z2207" s="154">
        <v>2.6248188966492985E-2</v>
      </c>
      <c r="AA2207" s="156">
        <v>2.6185797556540491E-2</v>
      </c>
    </row>
    <row r="2208" spans="19:27" x14ac:dyDescent="0.2">
      <c r="S2208" s="1"/>
      <c r="T2208" s="117"/>
      <c r="W2208" s="75" t="str">
        <f t="shared" si="45"/>
        <v>1w</v>
      </c>
      <c r="X2208" s="148">
        <f>_xll.qlCalendarAdvance(Calendar,X2207,W2208,"f",FALSE)</f>
        <v>54414</v>
      </c>
      <c r="Y2208" s="153">
        <f>_xll.qlCalendarAdvance(Calendar,X2208,NDays&amp;"D")</f>
        <v>54414</v>
      </c>
      <c r="Z2208" s="154">
        <v>2.6244885434769355E-2</v>
      </c>
      <c r="AA2208" s="156">
        <v>2.6182368676427314E-2</v>
      </c>
    </row>
    <row r="2209" spans="19:27" x14ac:dyDescent="0.2">
      <c r="S2209" s="1"/>
      <c r="T2209" s="117"/>
      <c r="W2209" s="75" t="str">
        <f t="shared" si="45"/>
        <v>1w</v>
      </c>
      <c r="X2209" s="148">
        <f>_xll.qlCalendarAdvance(Calendar,X2208,W2209,"f",FALSE)</f>
        <v>54421</v>
      </c>
      <c r="Y2209" s="153">
        <f>_xll.qlCalendarAdvance(Calendar,X2209,NDays&amp;"D")</f>
        <v>54421</v>
      </c>
      <c r="Z2209" s="154">
        <v>2.6241605075175173E-2</v>
      </c>
      <c r="AA2209" s="156">
        <v>2.6178962818482754E-2</v>
      </c>
    </row>
    <row r="2210" spans="19:27" x14ac:dyDescent="0.2">
      <c r="S2210" s="1"/>
      <c r="T2210" s="117"/>
      <c r="W2210" s="75" t="str">
        <f t="shared" si="45"/>
        <v>1w</v>
      </c>
      <c r="X2210" s="148">
        <f>_xll.qlCalendarAdvance(Calendar,X2209,W2210,"f",FALSE)</f>
        <v>54428</v>
      </c>
      <c r="Y2210" s="153">
        <f>_xll.qlCalendarAdvance(Calendar,X2210,NDays&amp;"D")</f>
        <v>54428</v>
      </c>
      <c r="Z2210" s="154">
        <v>2.6238347887656409E-2</v>
      </c>
      <c r="AA2210" s="156">
        <v>2.6175579982706809E-2</v>
      </c>
    </row>
    <row r="2211" spans="19:27" x14ac:dyDescent="0.2">
      <c r="S2211" s="1"/>
      <c r="T2211" s="117"/>
      <c r="W2211" s="75" t="str">
        <f t="shared" si="45"/>
        <v>1w</v>
      </c>
      <c r="X2211" s="148">
        <f>_xll.qlCalendarAdvance(Calendar,X2210,W2211,"f",FALSE)</f>
        <v>54435</v>
      </c>
      <c r="Y2211" s="153">
        <f>_xll.qlCalendarAdvance(Calendar,X2211,NDays&amp;"D")</f>
        <v>54435</v>
      </c>
      <c r="Z2211" s="154">
        <v>2.6235113872156331E-2</v>
      </c>
      <c r="AA2211" s="156">
        <v>2.617222016909948E-2</v>
      </c>
    </row>
    <row r="2212" spans="19:27" x14ac:dyDescent="0.2">
      <c r="S2212" s="1"/>
      <c r="T2212" s="117"/>
      <c r="W2212" s="75" t="str">
        <f t="shared" si="45"/>
        <v>1w</v>
      </c>
      <c r="X2212" s="148">
        <f>_xll.qlCalendarAdvance(Calendar,X2211,W2212,"f",FALSE)</f>
        <v>54442</v>
      </c>
      <c r="Y2212" s="153">
        <f>_xll.qlCalendarAdvance(Calendar,X2212,NDays&amp;"D")</f>
        <v>54442</v>
      </c>
      <c r="Z2212" s="154">
        <v>2.623261873613476E-2</v>
      </c>
      <c r="AA2212" s="156">
        <v>2.6168883377741814E-2</v>
      </c>
    </row>
    <row r="2213" spans="19:27" x14ac:dyDescent="0.2">
      <c r="S2213" s="1"/>
      <c r="T2213" s="117"/>
      <c r="W2213" s="75" t="str">
        <f t="shared" si="45"/>
        <v>1w</v>
      </c>
      <c r="X2213" s="148">
        <f>_xll.qlCalendarAdvance(Calendar,X2212,W2213,"f",FALSE)</f>
        <v>54449</v>
      </c>
      <c r="Y2213" s="153">
        <f>_xll.qlCalendarAdvance(Calendar,X2213,NDays&amp;"D")</f>
        <v>54449</v>
      </c>
      <c r="Z2213" s="154">
        <v>2.6228715356993414E-2</v>
      </c>
      <c r="AA2213" s="156">
        <v>2.6165569608471717E-2</v>
      </c>
    </row>
    <row r="2214" spans="19:27" x14ac:dyDescent="0.2">
      <c r="S2214" s="1"/>
      <c r="T2214" s="117"/>
      <c r="W2214" s="75" t="str">
        <f t="shared" si="45"/>
        <v>1w</v>
      </c>
      <c r="X2214" s="148">
        <f>_xll.qlCalendarAdvance(Calendar,X2213,W2214,"f",FALSE)</f>
        <v>54456</v>
      </c>
      <c r="Y2214" s="153">
        <f>_xll.qlCalendarAdvance(Calendar,X2214,NDays&amp;"D")</f>
        <v>54456</v>
      </c>
      <c r="Z2214" s="154">
        <v>2.6226269420225688E-2</v>
      </c>
      <c r="AA2214" s="156">
        <v>2.6162278861370236E-2</v>
      </c>
    </row>
    <row r="2215" spans="19:27" x14ac:dyDescent="0.2">
      <c r="S2215" s="1"/>
      <c r="T2215" s="117"/>
      <c r="W2215" s="75" t="str">
        <f t="shared" si="45"/>
        <v>1w</v>
      </c>
      <c r="X2215" s="148">
        <f>_xll.qlCalendarAdvance(Calendar,X2214,W2215,"f",FALSE)</f>
        <v>54463</v>
      </c>
      <c r="Y2215" s="153">
        <f>_xll.qlCalendarAdvance(Calendar,X2215,NDays&amp;"D")</f>
        <v>54463</v>
      </c>
      <c r="Z2215" s="154">
        <v>2.6222409529250566E-2</v>
      </c>
      <c r="AA2215" s="156">
        <v>2.6159011136518417E-2</v>
      </c>
    </row>
    <row r="2216" spans="19:27" x14ac:dyDescent="0.2">
      <c r="S2216" s="1"/>
      <c r="T2216" s="117"/>
      <c r="W2216" s="75" t="str">
        <f t="shared" si="45"/>
        <v>1w</v>
      </c>
      <c r="X2216" s="148">
        <f>_xll.qlCalendarAdvance(Calendar,X2215,W2216,"f",FALSE)</f>
        <v>54470</v>
      </c>
      <c r="Y2216" s="153">
        <f>_xll.qlCalendarAdvance(Calendar,X2216,NDays&amp;"D")</f>
        <v>54470</v>
      </c>
      <c r="Z2216" s="154">
        <v>2.6219291373028957E-2</v>
      </c>
      <c r="AA2216" s="156">
        <v>2.6155766433916261E-2</v>
      </c>
    </row>
    <row r="2217" spans="19:27" x14ac:dyDescent="0.2">
      <c r="S2217" s="1"/>
      <c r="T2217" s="117"/>
      <c r="W2217" s="75" t="str">
        <f t="shared" si="45"/>
        <v>1w</v>
      </c>
      <c r="X2217" s="148">
        <f>_xll.qlCalendarAdvance(Calendar,X2216,W2217,"f",FALSE)</f>
        <v>54477</v>
      </c>
      <c r="Y2217" s="153">
        <f>_xll.qlCalendarAdvance(Calendar,X2217,NDays&amp;"D")</f>
        <v>54477</v>
      </c>
      <c r="Z2217" s="154">
        <v>2.6216196388500049E-2</v>
      </c>
      <c r="AA2217" s="156">
        <v>2.6152544753401674E-2</v>
      </c>
    </row>
    <row r="2218" spans="19:27" x14ac:dyDescent="0.2">
      <c r="S2218" s="1"/>
      <c r="T2218" s="117"/>
      <c r="W2218" s="75" t="str">
        <f t="shared" si="45"/>
        <v>1w</v>
      </c>
      <c r="X2218" s="148">
        <f>_xll.qlCalendarAdvance(Calendar,X2217,W2218,"f",FALSE)</f>
        <v>54484</v>
      </c>
      <c r="Y2218" s="153">
        <f>_xll.qlCalendarAdvance(Calendar,X2218,NDays&amp;"D")</f>
        <v>54484</v>
      </c>
      <c r="Z2218" s="154">
        <v>2.6214573335679784E-2</v>
      </c>
      <c r="AA2218" s="156">
        <v>2.6149346094893611E-2</v>
      </c>
    </row>
    <row r="2219" spans="19:27" x14ac:dyDescent="0.2">
      <c r="S2219" s="1"/>
      <c r="T2219" s="117"/>
      <c r="W2219" s="75" t="str">
        <f t="shared" si="45"/>
        <v>1w</v>
      </c>
      <c r="X2219" s="148">
        <f>_xll.qlCalendarAdvance(Calendar,X2218,W2219,"f",FALSE)</f>
        <v>54491</v>
      </c>
      <c r="Y2219" s="153">
        <f>_xll.qlCalendarAdvance(Calendar,X2219,NDays&amp;"D")</f>
        <v>54491</v>
      </c>
      <c r="Z2219" s="154">
        <v>2.6211527568598389E-2</v>
      </c>
      <c r="AA2219" s="156">
        <v>2.6146170458878348E-2</v>
      </c>
    </row>
    <row r="2220" spans="19:27" x14ac:dyDescent="0.2">
      <c r="S2220" s="1"/>
      <c r="T2220" s="117"/>
      <c r="W2220" s="75" t="str">
        <f t="shared" si="45"/>
        <v>1w</v>
      </c>
      <c r="X2220" s="148">
        <f>_xll.qlCalendarAdvance(Calendar,X2219,W2220,"f",FALSE)</f>
        <v>54498</v>
      </c>
      <c r="Y2220" s="153">
        <f>_xll.qlCalendarAdvance(Calendar,X2220,NDays&amp;"D")</f>
        <v>54498</v>
      </c>
      <c r="Z2220" s="154">
        <v>2.6208504976413801E-2</v>
      </c>
      <c r="AA2220" s="156">
        <v>2.6143017844950656E-2</v>
      </c>
    </row>
    <row r="2221" spans="19:27" x14ac:dyDescent="0.2">
      <c r="S2221" s="1"/>
      <c r="T2221" s="117"/>
      <c r="W2221" s="75" t="str">
        <f t="shared" si="45"/>
        <v>1w</v>
      </c>
      <c r="X2221" s="148">
        <f>_xll.qlCalendarAdvance(Calendar,X2220,W2221,"f",FALSE)</f>
        <v>54505</v>
      </c>
      <c r="Y2221" s="153">
        <f>_xll.qlCalendarAdvance(Calendar,X2221,NDays&amp;"D")</f>
        <v>54505</v>
      </c>
      <c r="Z2221" s="154">
        <v>2.6205505559074048E-2</v>
      </c>
      <c r="AA2221" s="156">
        <v>2.6139888253029486E-2</v>
      </c>
    </row>
    <row r="2222" spans="19:27" x14ac:dyDescent="0.2">
      <c r="S2222" s="1"/>
      <c r="T2222" s="117"/>
      <c r="W2222" s="75" t="str">
        <f t="shared" si="45"/>
        <v>1w</v>
      </c>
      <c r="X2222" s="148">
        <f>_xll.qlCalendarAdvance(Calendar,X2221,W2222,"f",FALSE)</f>
        <v>54512</v>
      </c>
      <c r="Y2222" s="153">
        <f>_xll.qlCalendarAdvance(Calendar,X2222,NDays&amp;"D")</f>
        <v>54512</v>
      </c>
      <c r="Z2222" s="154">
        <v>2.6202529316528035E-2</v>
      </c>
      <c r="AA2222" s="156">
        <v>2.6136781683439025E-2</v>
      </c>
    </row>
    <row r="2223" spans="19:27" x14ac:dyDescent="0.2">
      <c r="S2223" s="1"/>
      <c r="T2223" s="117"/>
      <c r="W2223" s="75" t="str">
        <f t="shared" si="45"/>
        <v>1w</v>
      </c>
      <c r="X2223" s="148">
        <f>_xll.qlCalendarAdvance(Calendar,X2222,W2223,"f",FALSE)</f>
        <v>54519</v>
      </c>
      <c r="Y2223" s="153">
        <f>_xll.qlCalendarAdvance(Calendar,X2223,NDays&amp;"D")</f>
        <v>54519</v>
      </c>
      <c r="Z2223" s="154">
        <v>2.6198844579936986E-2</v>
      </c>
      <c r="AA2223" s="156">
        <v>2.6133698136098227E-2</v>
      </c>
    </row>
    <row r="2224" spans="19:27" x14ac:dyDescent="0.2">
      <c r="S2224" s="1"/>
      <c r="T2224" s="117"/>
      <c r="W2224" s="75" t="str">
        <f t="shared" si="45"/>
        <v>1w</v>
      </c>
      <c r="X2224" s="148">
        <f>_xll.qlCalendarAdvance(Calendar,X2223,W2224,"f",FALSE)</f>
        <v>54526</v>
      </c>
      <c r="Y2224" s="153">
        <f>_xll.qlCalendarAdvance(Calendar,X2224,NDays&amp;"D")</f>
        <v>54526</v>
      </c>
      <c r="Z2224" s="154">
        <v>2.6195913241207593E-2</v>
      </c>
      <c r="AA2224" s="156">
        <v>2.6130637610844998E-2</v>
      </c>
    </row>
    <row r="2225" spans="19:27" x14ac:dyDescent="0.2">
      <c r="S2225" s="1"/>
      <c r="T2225" s="117"/>
      <c r="W2225" s="75" t="str">
        <f t="shared" si="45"/>
        <v>1w</v>
      </c>
      <c r="X2225" s="148">
        <f>_xll.qlCalendarAdvance(Calendar,X2224,W2225,"f",FALSE)</f>
        <v>54533</v>
      </c>
      <c r="Y2225" s="153">
        <f>_xll.qlCalendarAdvance(Calendar,X2225,NDays&amp;"D")</f>
        <v>54533</v>
      </c>
      <c r="Z2225" s="154">
        <v>2.6193005075438321E-2</v>
      </c>
      <c r="AA2225" s="156">
        <v>2.6127600107679338E-2</v>
      </c>
    </row>
    <row r="2226" spans="19:27" x14ac:dyDescent="0.2">
      <c r="S2226" s="1"/>
      <c r="T2226" s="117"/>
      <c r="W2226" s="75" t="str">
        <f t="shared" si="45"/>
        <v>1w</v>
      </c>
      <c r="X2226" s="148">
        <f>_xll.qlCalendarAdvance(Calendar,X2225,W2226,"f",FALSE)</f>
        <v>54540</v>
      </c>
      <c r="Y2226" s="153">
        <f>_xll.qlCalendarAdvance(Calendar,X2226,NDays&amp;"D")</f>
        <v>54540</v>
      </c>
      <c r="Z2226" s="154">
        <v>2.6190120082581963E-2</v>
      </c>
      <c r="AA2226" s="156">
        <v>2.6124585626844388E-2</v>
      </c>
    </row>
    <row r="2227" spans="19:27" x14ac:dyDescent="0.2">
      <c r="S2227" s="1"/>
      <c r="T2227" s="117"/>
      <c r="W2227" s="75" t="str">
        <f t="shared" si="45"/>
        <v>1w</v>
      </c>
      <c r="X2227" s="148">
        <f>_xll.qlCalendarAdvance(Calendar,X2226,W2227,"f",FALSE)</f>
        <v>54547</v>
      </c>
      <c r="Y2227" s="153">
        <f>_xll.qlCalendarAdvance(Calendar,X2227,NDays&amp;"D")</f>
        <v>54547</v>
      </c>
      <c r="Z2227" s="154">
        <v>2.6187995723890189E-2</v>
      </c>
      <c r="AA2227" s="156">
        <v>2.612159416801596E-2</v>
      </c>
    </row>
    <row r="2228" spans="19:27" x14ac:dyDescent="0.2">
      <c r="S2228" s="1"/>
      <c r="T2228" s="117"/>
      <c r="W2228" s="75" t="str">
        <f t="shared" si="45"/>
        <v>1w</v>
      </c>
      <c r="X2228" s="148">
        <f>_xll.qlCalendarAdvance(Calendar,X2227,W2228,"f",FALSE)</f>
        <v>54554</v>
      </c>
      <c r="Y2228" s="153">
        <f>_xll.qlCalendarAdvance(Calendar,X2228,NDays&amp;"D")</f>
        <v>54554</v>
      </c>
      <c r="Z2228" s="154">
        <v>2.6185158529028339E-2</v>
      </c>
      <c r="AA2228" s="156">
        <v>2.6118625731518241E-2</v>
      </c>
    </row>
    <row r="2229" spans="19:27" x14ac:dyDescent="0.2">
      <c r="S2229" s="1"/>
      <c r="T2229" s="117"/>
      <c r="W2229" s="75" t="str">
        <f t="shared" si="45"/>
        <v>1w</v>
      </c>
      <c r="X2229" s="148">
        <f>_xll.qlCalendarAdvance(Calendar,X2228,W2229,"f",FALSE)</f>
        <v>54561</v>
      </c>
      <c r="Y2229" s="153">
        <f>_xll.qlCalendarAdvance(Calendar,X2229,NDays&amp;"D")</f>
        <v>54561</v>
      </c>
      <c r="Z2229" s="154">
        <v>2.6182344508603447E-2</v>
      </c>
      <c r="AA2229" s="156">
        <v>2.6115680317108092E-2</v>
      </c>
    </row>
    <row r="2230" spans="19:27" x14ac:dyDescent="0.2">
      <c r="S2230" s="1"/>
      <c r="T2230" s="117"/>
      <c r="W2230" s="75" t="str">
        <f t="shared" si="45"/>
        <v>1w</v>
      </c>
      <c r="X2230" s="148">
        <f>_xll.qlCalendarAdvance(Calendar,X2229,W2230,"f",FALSE)</f>
        <v>54568</v>
      </c>
      <c r="Y2230" s="153">
        <f>_xll.qlCalendarAdvance(Calendar,X2230,NDays&amp;"D")</f>
        <v>54568</v>
      </c>
      <c r="Z2230" s="154">
        <v>2.6179553662568824E-2</v>
      </c>
      <c r="AA2230" s="156">
        <v>2.6112757924947605E-2</v>
      </c>
    </row>
    <row r="2231" spans="19:27" x14ac:dyDescent="0.2">
      <c r="S2231" s="1"/>
      <c r="T2231" s="117"/>
      <c r="W2231" s="75" t="str">
        <f t="shared" si="45"/>
        <v>1w</v>
      </c>
      <c r="X2231" s="148">
        <f>_xll.qlCalendarAdvance(Calendar,X2230,W2231,"f",FALSE)</f>
        <v>54575</v>
      </c>
      <c r="Y2231" s="153">
        <f>_xll.qlCalendarAdvance(Calendar,X2231,NDays&amp;"D")</f>
        <v>54575</v>
      </c>
      <c r="Z2231" s="154">
        <v>2.617678599087778E-2</v>
      </c>
      <c r="AA2231" s="156">
        <v>2.6109858554955734E-2</v>
      </c>
    </row>
    <row r="2232" spans="19:27" x14ac:dyDescent="0.2">
      <c r="S2232" s="1"/>
      <c r="T2232" s="117"/>
      <c r="W2232" s="75" t="str">
        <f t="shared" si="45"/>
        <v>1w</v>
      </c>
      <c r="X2232" s="148">
        <f>_xll.qlCalendarAdvance(Calendar,X2231,W2232,"f",FALSE)</f>
        <v>54582</v>
      </c>
      <c r="Y2232" s="153">
        <f>_xll.qlCalendarAdvance(Calendar,X2232,NDays&amp;"D")</f>
        <v>54582</v>
      </c>
      <c r="Z2232" s="154">
        <v>2.6174041493476581E-2</v>
      </c>
      <c r="AA2232" s="156">
        <v>2.6106982206970386E-2</v>
      </c>
    </row>
    <row r="2233" spans="19:27" x14ac:dyDescent="0.2">
      <c r="S2233" s="1"/>
      <c r="T2233" s="117"/>
      <c r="W2233" s="75" t="str">
        <f t="shared" si="45"/>
        <v>1w</v>
      </c>
      <c r="X2233" s="148">
        <f>_xll.qlCalendarAdvance(Calendar,X2232,W2233,"f",FALSE)</f>
        <v>54589</v>
      </c>
      <c r="Y2233" s="153">
        <f>_xll.qlCalendarAdvance(Calendar,X2233,NDays&amp;"D")</f>
        <v>54589</v>
      </c>
      <c r="Z2233" s="154">
        <v>2.6171320170320294E-2</v>
      </c>
      <c r="AA2233" s="156">
        <v>2.6104128881153654E-2</v>
      </c>
    </row>
    <row r="2234" spans="19:27" x14ac:dyDescent="0.2">
      <c r="S2234" s="1"/>
      <c r="T2234" s="117"/>
      <c r="W2234" s="75" t="str">
        <f t="shared" si="45"/>
        <v>1w</v>
      </c>
      <c r="X2234" s="148">
        <f>_xll.qlCalendarAdvance(Calendar,X2233,W2234,"f",FALSE)</f>
        <v>54596</v>
      </c>
      <c r="Y2234" s="153">
        <f>_xll.qlCalendarAdvance(Calendar,X2234,NDays&amp;"D")</f>
        <v>54596</v>
      </c>
      <c r="Z2234" s="154">
        <v>2.6168622021363993E-2</v>
      </c>
      <c r="AA2234" s="156">
        <v>2.6101298577829724E-2</v>
      </c>
    </row>
    <row r="2235" spans="19:27" x14ac:dyDescent="0.2">
      <c r="S2235" s="1"/>
      <c r="T2235" s="117"/>
      <c r="W2235" s="75" t="str">
        <f t="shared" si="45"/>
        <v>1w</v>
      </c>
      <c r="X2235" s="148">
        <f>_xll.qlCalendarAdvance(Calendar,X2234,W2235,"f",FALSE)</f>
        <v>54603</v>
      </c>
      <c r="Y2235" s="153">
        <f>_xll.qlCalendarAdvance(Calendar,X2235,NDays&amp;"D")</f>
        <v>54603</v>
      </c>
      <c r="Z2235" s="154">
        <v>2.6165947046557465E-2</v>
      </c>
      <c r="AA2235" s="156">
        <v>2.6098491296350224E-2</v>
      </c>
    </row>
    <row r="2236" spans="19:27" x14ac:dyDescent="0.2">
      <c r="S2236" s="1"/>
      <c r="T2236" s="117"/>
      <c r="W2236" s="75" t="str">
        <f t="shared" si="45"/>
        <v>1w</v>
      </c>
      <c r="X2236" s="148">
        <f>_xll.qlCalendarAdvance(Calendar,X2235,W2236,"f",FALSE)</f>
        <v>54610</v>
      </c>
      <c r="Y2236" s="153">
        <f>_xll.qlCalendarAdvance(Calendar,X2236,NDays&amp;"D")</f>
        <v>54610</v>
      </c>
      <c r="Z2236" s="154">
        <v>2.6163295245854902E-2</v>
      </c>
      <c r="AA2236" s="156">
        <v>2.6095707037120386E-2</v>
      </c>
    </row>
    <row r="2237" spans="19:27" x14ac:dyDescent="0.2">
      <c r="S2237" s="1"/>
      <c r="T2237" s="117"/>
      <c r="W2237" s="75" t="str">
        <f t="shared" si="45"/>
        <v>1w</v>
      </c>
      <c r="X2237" s="148">
        <f>_xll.qlCalendarAdvance(Calendar,X2236,W2237,"f",FALSE)</f>
        <v>54617</v>
      </c>
      <c r="Y2237" s="153">
        <f>_xll.qlCalendarAdvance(Calendar,X2237,NDays&amp;"D")</f>
        <v>54617</v>
      </c>
      <c r="Z2237" s="154">
        <v>2.6160666619211376E-2</v>
      </c>
      <c r="AA2237" s="156">
        <v>2.6092945800221257E-2</v>
      </c>
    </row>
    <row r="2238" spans="19:27" x14ac:dyDescent="0.2">
      <c r="S2238" s="1"/>
      <c r="T2238" s="117"/>
      <c r="W2238" s="75" t="str">
        <f t="shared" si="45"/>
        <v>1w</v>
      </c>
      <c r="X2238" s="148">
        <f>_xll.qlCalendarAdvance(Calendar,X2237,W2238,"f",FALSE)</f>
        <v>54624</v>
      </c>
      <c r="Y2238" s="153">
        <f>_xll.qlCalendarAdvance(Calendar,X2238,NDays&amp;"D")</f>
        <v>54624</v>
      </c>
      <c r="Z2238" s="154">
        <v>2.6158061166579313E-2</v>
      </c>
      <c r="AA2238" s="156">
        <v>2.6090207585247605E-2</v>
      </c>
    </row>
    <row r="2239" spans="19:27" x14ac:dyDescent="0.2">
      <c r="S2239" s="1"/>
      <c r="T2239" s="117"/>
      <c r="W2239" s="75" t="str">
        <f t="shared" si="45"/>
        <v>1w</v>
      </c>
      <c r="X2239" s="148">
        <f>_xll.qlCalendarAdvance(Calendar,X2238,W2239,"f",FALSE)</f>
        <v>54631</v>
      </c>
      <c r="Y2239" s="153">
        <f>_xll.qlCalendarAdvance(Calendar,X2239,NDays&amp;"D")</f>
        <v>54631</v>
      </c>
      <c r="Z2239" s="154">
        <v>2.6155478887914672E-2</v>
      </c>
      <c r="AA2239" s="156">
        <v>2.6087492392604661E-2</v>
      </c>
    </row>
    <row r="2240" spans="19:27" x14ac:dyDescent="0.2">
      <c r="S2240" s="1"/>
      <c r="T2240" s="117"/>
      <c r="W2240" s="75" t="str">
        <f t="shared" si="45"/>
        <v>1w</v>
      </c>
      <c r="X2240" s="148">
        <f>_xll.qlCalendarAdvance(Calendar,X2239,W2240,"f",FALSE)</f>
        <v>54638</v>
      </c>
      <c r="Y2240" s="153">
        <f>_xll.qlCalendarAdvance(Calendar,X2240,NDays&amp;"D")</f>
        <v>54638</v>
      </c>
      <c r="Z2240" s="154">
        <v>2.615291978317252E-2</v>
      </c>
      <c r="AA2240" s="156">
        <v>2.6084800222049287E-2</v>
      </c>
    </row>
    <row r="2241" spans="19:27" x14ac:dyDescent="0.2">
      <c r="S2241" s="1"/>
      <c r="T2241" s="117"/>
      <c r="W2241" s="75" t="str">
        <f t="shared" si="45"/>
        <v>1w</v>
      </c>
      <c r="X2241" s="148">
        <f>_xll.qlCalendarAdvance(Calendar,X2240,W2241,"f",FALSE)</f>
        <v>54645</v>
      </c>
      <c r="Y2241" s="153">
        <f>_xll.qlCalendarAdvance(Calendar,X2241,NDays&amp;"D")</f>
        <v>54645</v>
      </c>
      <c r="Z2241" s="154">
        <v>2.6150383852307054E-2</v>
      </c>
      <c r="AA2241" s="156">
        <v>2.6082131073743575E-2</v>
      </c>
    </row>
    <row r="2242" spans="19:27" x14ac:dyDescent="0.2">
      <c r="S2242" s="1"/>
      <c r="T2242" s="117"/>
      <c r="W2242" s="75" t="str">
        <f t="shared" si="45"/>
        <v>1w</v>
      </c>
      <c r="X2242" s="148">
        <f>_xll.qlCalendarAdvance(Calendar,X2241,W2242,"f",FALSE)</f>
        <v>54652</v>
      </c>
      <c r="Y2242" s="153">
        <f>_xll.qlCalendarAdvance(Calendar,X2242,NDays&amp;"D")</f>
        <v>54652</v>
      </c>
      <c r="Z2242" s="154">
        <v>2.6147871095275981E-2</v>
      </c>
      <c r="AA2242" s="156">
        <v>2.6079484947606479E-2</v>
      </c>
    </row>
    <row r="2243" spans="19:27" x14ac:dyDescent="0.2">
      <c r="S2243" s="1"/>
      <c r="T2243" s="117"/>
      <c r="W2243" s="75" t="str">
        <f t="shared" si="45"/>
        <v>1w</v>
      </c>
      <c r="X2243" s="148">
        <f>_xll.qlCalendarAdvance(Calendar,X2242,W2243,"f",FALSE)</f>
        <v>54659</v>
      </c>
      <c r="Y2243" s="153">
        <f>_xll.qlCalendarAdvance(Calendar,X2243,NDays&amp;"D")</f>
        <v>54659</v>
      </c>
      <c r="Z2243" s="154">
        <v>2.6145381512033501E-2</v>
      </c>
      <c r="AA2243" s="156">
        <v>2.6076861843475907E-2</v>
      </c>
    </row>
    <row r="2244" spans="19:27" x14ac:dyDescent="0.2">
      <c r="S2244" s="1"/>
      <c r="T2244" s="117"/>
      <c r="W2244" s="75" t="str">
        <f t="shared" si="45"/>
        <v>1w</v>
      </c>
      <c r="X2244" s="148">
        <f>_xll.qlCalendarAdvance(Calendar,X2243,W2244,"f",FALSE)</f>
        <v>54666</v>
      </c>
      <c r="Y2244" s="153">
        <f>_xll.qlCalendarAdvance(Calendar,X2244,NDays&amp;"D")</f>
        <v>54666</v>
      </c>
      <c r="Z2244" s="154">
        <v>2.614215272427441E-2</v>
      </c>
      <c r="AA2244" s="156">
        <v>2.6074261761757089E-2</v>
      </c>
    </row>
    <row r="2245" spans="19:27" x14ac:dyDescent="0.2">
      <c r="S2245" s="1"/>
      <c r="T2245" s="117"/>
      <c r="W2245" s="75" t="str">
        <f t="shared" si="45"/>
        <v>1w</v>
      </c>
      <c r="X2245" s="148">
        <f>_xll.qlCalendarAdvance(Calendar,X2244,W2245,"f",FALSE)</f>
        <v>54673</v>
      </c>
      <c r="Y2245" s="153">
        <f>_xll.qlCalendarAdvance(Calendar,X2245,NDays&amp;"D")</f>
        <v>54673</v>
      </c>
      <c r="Z2245" s="154">
        <v>2.6139708007748636E-2</v>
      </c>
      <c r="AA2245" s="156">
        <v>2.6071684702125841E-2</v>
      </c>
    </row>
    <row r="2246" spans="19:27" x14ac:dyDescent="0.2">
      <c r="S2246" s="1"/>
      <c r="T2246" s="117"/>
      <c r="W2246" s="75" t="str">
        <f t="shared" si="45"/>
        <v>1w</v>
      </c>
      <c r="X2246" s="148">
        <f>_xll.qlCalendarAdvance(Calendar,X2245,W2246,"f",FALSE)</f>
        <v>54680</v>
      </c>
      <c r="Y2246" s="153">
        <f>_xll.qlCalendarAdvance(Calendar,X2246,NDays&amp;"D")</f>
        <v>54680</v>
      </c>
      <c r="Z2246" s="154">
        <v>2.613728646321577E-2</v>
      </c>
      <c r="AA2246" s="156">
        <v>2.6069130664582163E-2</v>
      </c>
    </row>
    <row r="2247" spans="19:27" x14ac:dyDescent="0.2">
      <c r="S2247" s="1"/>
      <c r="T2247" s="117"/>
      <c r="W2247" s="75" t="str">
        <f t="shared" si="45"/>
        <v>1w</v>
      </c>
      <c r="X2247" s="148">
        <f>_xll.qlCalendarAdvance(Calendar,X2246,W2247,"f",FALSE)</f>
        <v>54687</v>
      </c>
      <c r="Y2247" s="153">
        <f>_xll.qlCalendarAdvance(Calendar,X2247,NDays&amp;"D")</f>
        <v>54687</v>
      </c>
      <c r="Z2247" s="154">
        <v>2.613488809063217E-2</v>
      </c>
      <c r="AA2247" s="156">
        <v>2.6066599649045008E-2</v>
      </c>
    </row>
    <row r="2248" spans="19:27" x14ac:dyDescent="0.2">
      <c r="S2248" s="1"/>
      <c r="T2248" s="117"/>
      <c r="W2248" s="75" t="str">
        <f t="shared" si="45"/>
        <v>1w</v>
      </c>
      <c r="X2248" s="148">
        <f>_xll.qlCalendarAdvance(Calendar,X2247,W2248,"f",FALSE)</f>
        <v>54694</v>
      </c>
      <c r="Y2248" s="153">
        <f>_xll.qlCalendarAdvance(Calendar,X2248,NDays&amp;"D")</f>
        <v>54694</v>
      </c>
      <c r="Z2248" s="154">
        <v>2.6133281201164656E-2</v>
      </c>
      <c r="AA2248" s="156">
        <v>2.6064091655919608E-2</v>
      </c>
    </row>
    <row r="2249" spans="19:27" x14ac:dyDescent="0.2">
      <c r="S2249" s="1"/>
      <c r="T2249" s="117"/>
      <c r="W2249" s="75" t="str">
        <f t="shared" si="45"/>
        <v>1w</v>
      </c>
      <c r="X2249" s="148">
        <f>_xll.qlCalendarAdvance(Calendar,X2248,W2249,"f",FALSE)</f>
        <v>54701</v>
      </c>
      <c r="Y2249" s="153">
        <f>_xll.qlCalendarAdvance(Calendar,X2249,NDays&amp;"D")</f>
        <v>54701</v>
      </c>
      <c r="Z2249" s="154">
        <v>2.6130930659763955E-2</v>
      </c>
      <c r="AA2249" s="156">
        <v>2.6061606684881777E-2</v>
      </c>
    </row>
    <row r="2250" spans="19:27" x14ac:dyDescent="0.2">
      <c r="S2250" s="1"/>
      <c r="T2250" s="117"/>
      <c r="W2250" s="75" t="str">
        <f t="shared" si="45"/>
        <v>1w</v>
      </c>
      <c r="X2250" s="148">
        <f>_xll.qlCalendarAdvance(Calendar,X2249,W2250,"f",FALSE)</f>
        <v>54708</v>
      </c>
      <c r="Y2250" s="153">
        <f>_xll.qlCalendarAdvance(Calendar,X2250,NDays&amp;"D")</f>
        <v>54708</v>
      </c>
      <c r="Z2250" s="154">
        <v>2.6128603291858492E-2</v>
      </c>
      <c r="AA2250" s="156">
        <v>2.6059144736012563E-2</v>
      </c>
    </row>
    <row r="2251" spans="19:27" x14ac:dyDescent="0.2">
      <c r="S2251" s="1"/>
      <c r="T2251" s="117"/>
      <c r="W2251" s="75" t="str">
        <f t="shared" si="45"/>
        <v>1w</v>
      </c>
      <c r="X2251" s="148">
        <f>_xll.qlCalendarAdvance(Calendar,X2250,W2251,"f",FALSE)</f>
        <v>54715</v>
      </c>
      <c r="Y2251" s="153">
        <f>_xll.qlCalendarAdvance(Calendar,X2251,NDays&amp;"D")</f>
        <v>54715</v>
      </c>
      <c r="Z2251" s="154">
        <v>2.6126299097407744E-2</v>
      </c>
      <c r="AA2251" s="156">
        <v>2.6056705809230918E-2</v>
      </c>
    </row>
    <row r="2252" spans="19:27" x14ac:dyDescent="0.2">
      <c r="S2252" s="1"/>
      <c r="T2252" s="117"/>
      <c r="W2252" s="75" t="str">
        <f t="shared" si="45"/>
        <v>1w</v>
      </c>
      <c r="X2252" s="148">
        <f>_xll.qlCalendarAdvance(Calendar,X2251,W2252,"f",FALSE)</f>
        <v>54722</v>
      </c>
      <c r="Y2252" s="153">
        <f>_xll.qlCalendarAdvance(Calendar,X2252,NDays&amp;"D")</f>
        <v>54722</v>
      </c>
      <c r="Z2252" s="154">
        <v>2.6124018076370305E-2</v>
      </c>
      <c r="AA2252" s="156">
        <v>2.6054289904698935E-2</v>
      </c>
    </row>
    <row r="2253" spans="19:27" x14ac:dyDescent="0.2">
      <c r="S2253" s="1"/>
      <c r="T2253" s="117"/>
      <c r="W2253" s="75" t="str">
        <f t="shared" si="45"/>
        <v>1w</v>
      </c>
      <c r="X2253" s="148">
        <f>_xll.qlCalendarAdvance(Calendar,X2252,W2253,"f",FALSE)</f>
        <v>54729</v>
      </c>
      <c r="Y2253" s="153">
        <f>_xll.qlCalendarAdvance(Calendar,X2253,NDays&amp;"D")</f>
        <v>54729</v>
      </c>
      <c r="Z2253" s="154">
        <v>2.6121760228708293E-2</v>
      </c>
      <c r="AA2253" s="156">
        <v>2.6051897022416615E-2</v>
      </c>
    </row>
    <row r="2254" spans="19:27" x14ac:dyDescent="0.2">
      <c r="S2254" s="1"/>
      <c r="T2254" s="117"/>
      <c r="W2254" s="75" t="str">
        <f t="shared" si="45"/>
        <v>1w</v>
      </c>
      <c r="X2254" s="148">
        <f>_xll.qlCalendarAdvance(Calendar,X2253,W2254,"f",FALSE)</f>
        <v>54736</v>
      </c>
      <c r="Y2254" s="153">
        <f>_xll.qlCalendarAdvance(Calendar,X2254,NDays&amp;"D")</f>
        <v>54736</v>
      </c>
      <c r="Z2254" s="154">
        <v>2.6119525554380307E-2</v>
      </c>
      <c r="AA2254" s="156">
        <v>2.6049527162059771E-2</v>
      </c>
    </row>
    <row r="2255" spans="19:27" x14ac:dyDescent="0.2">
      <c r="S2255" s="1"/>
      <c r="T2255" s="117"/>
      <c r="W2255" s="75" t="str">
        <f t="shared" si="45"/>
        <v>1w</v>
      </c>
      <c r="X2255" s="148">
        <f>_xll.qlCalendarAdvance(Calendar,X2254,W2255,"f",FALSE)</f>
        <v>54743</v>
      </c>
      <c r="Y2255" s="153">
        <f>_xll.qlCalendarAdvance(Calendar,X2255,NDays&amp;"D")</f>
        <v>54743</v>
      </c>
      <c r="Z2255" s="154">
        <v>2.6117314053347582E-2</v>
      </c>
      <c r="AA2255" s="156">
        <v>2.6047180324033636E-2</v>
      </c>
    </row>
    <row r="2256" spans="19:27" x14ac:dyDescent="0.2">
      <c r="S2256" s="1"/>
      <c r="T2256" s="117"/>
      <c r="W2256" s="75" t="str">
        <f t="shared" si="45"/>
        <v>1w</v>
      </c>
      <c r="X2256" s="148">
        <f>_xll.qlCalendarAdvance(Calendar,X2255,W2256,"f",FALSE)</f>
        <v>54750</v>
      </c>
      <c r="Y2256" s="153">
        <f>_xll.qlCalendarAdvance(Calendar,X2256,NDays&amp;"D")</f>
        <v>54750</v>
      </c>
      <c r="Z2256" s="154">
        <v>2.6115125725574003E-2</v>
      </c>
      <c r="AA2256" s="156">
        <v>2.6044856508176117E-2</v>
      </c>
    </row>
    <row r="2257" spans="19:27" x14ac:dyDescent="0.2">
      <c r="S2257" s="1"/>
      <c r="T2257" s="117"/>
      <c r="W2257" s="75" t="str">
        <f t="shared" si="45"/>
        <v>1w</v>
      </c>
      <c r="X2257" s="148">
        <f>_xll.qlCalendarAdvance(Calendar,X2256,W2257,"f",FALSE)</f>
        <v>54757</v>
      </c>
      <c r="Y2257" s="153">
        <f>_xll.qlCalendarAdvance(Calendar,X2257,NDays&amp;"D")</f>
        <v>54757</v>
      </c>
      <c r="Z2257" s="154">
        <v>2.6111397236058549E-2</v>
      </c>
      <c r="AA2257" s="156">
        <v>2.6042555714406168E-2</v>
      </c>
    </row>
    <row r="2258" spans="19:27" x14ac:dyDescent="0.2">
      <c r="S2258" s="1"/>
      <c r="T2258" s="117"/>
      <c r="W2258" s="75" t="str">
        <f t="shared" si="45"/>
        <v>1w</v>
      </c>
      <c r="X2258" s="148">
        <f>_xll.qlCalendarAdvance(Calendar,X2257,W2258,"f",FALSE)</f>
        <v>54764</v>
      </c>
      <c r="Y2258" s="153">
        <f>_xll.qlCalendarAdvance(Calendar,X2258,NDays&amp;"D")</f>
        <v>54764</v>
      </c>
      <c r="Z2258" s="154">
        <v>2.6109252250159577E-2</v>
      </c>
      <c r="AA2258" s="156">
        <v>2.6040277942804835E-2</v>
      </c>
    </row>
    <row r="2259" spans="19:27" x14ac:dyDescent="0.2">
      <c r="S2259" s="1"/>
      <c r="T2259" s="117"/>
      <c r="W2259" s="75" t="str">
        <f t="shared" si="45"/>
        <v>1w</v>
      </c>
      <c r="X2259" s="148">
        <f>_xll.qlCalendarAdvance(Calendar,X2258,W2259,"f",FALSE)</f>
        <v>54771</v>
      </c>
      <c r="Y2259" s="153">
        <f>_xll.qlCalendarAdvance(Calendar,X2259,NDays&amp;"D")</f>
        <v>54771</v>
      </c>
      <c r="Z2259" s="154">
        <v>2.6107130434081135E-2</v>
      </c>
      <c r="AA2259" s="156">
        <v>2.6038023193453164E-2</v>
      </c>
    </row>
    <row r="2260" spans="19:27" x14ac:dyDescent="0.2">
      <c r="S2260" s="1"/>
      <c r="T2260" s="117"/>
      <c r="W2260" s="75" t="str">
        <f t="shared" si="45"/>
        <v>1w</v>
      </c>
      <c r="X2260" s="148">
        <f>_xll.qlCalendarAdvance(Calendar,X2259,W2260,"f",FALSE)</f>
        <v>54778</v>
      </c>
      <c r="Y2260" s="153">
        <f>_xll.qlCalendarAdvance(Calendar,X2260,NDays&amp;"D")</f>
        <v>54778</v>
      </c>
      <c r="Z2260" s="154">
        <v>2.6105031787788103E-2</v>
      </c>
      <c r="AA2260" s="156">
        <v>2.6035791466108016E-2</v>
      </c>
    </row>
    <row r="2261" spans="19:27" x14ac:dyDescent="0.2">
      <c r="S2261" s="1"/>
      <c r="T2261" s="117"/>
      <c r="W2261" s="75" t="str">
        <f t="shared" ref="W2261:W2324" si="46">W2260</f>
        <v>1w</v>
      </c>
      <c r="X2261" s="148">
        <f>_xll.qlCalendarAdvance(Calendar,X2260,W2261,"f",FALSE)</f>
        <v>54786</v>
      </c>
      <c r="Y2261" s="153">
        <f>_xll.qlCalendarAdvance(Calendar,X2261,NDays&amp;"D")</f>
        <v>54786</v>
      </c>
      <c r="Z2261" s="154">
        <v>2.6102661705999314E-2</v>
      </c>
      <c r="AA2261" s="156">
        <v>2.6033269111014334E-2</v>
      </c>
    </row>
    <row r="2262" spans="19:27" x14ac:dyDescent="0.2">
      <c r="S2262" s="1"/>
      <c r="T2262" s="117"/>
      <c r="W2262" s="75" t="str">
        <f t="shared" si="46"/>
        <v>1w</v>
      </c>
      <c r="X2262" s="148">
        <f>_xll.qlCalendarAdvance(Calendar,X2261,W2262,"f",FALSE)</f>
        <v>54793</v>
      </c>
      <c r="Y2262" s="153">
        <f>_xll.qlCalendarAdvance(Calendar,X2262,NDays&amp;"D")</f>
        <v>54793</v>
      </c>
      <c r="Z2262" s="154">
        <v>2.6100612709125264E-2</v>
      </c>
      <c r="AA2262" s="156">
        <v>2.6031086717026586E-2</v>
      </c>
    </row>
    <row r="2263" spans="19:27" x14ac:dyDescent="0.2">
      <c r="S2263" s="1"/>
      <c r="T2263" s="117"/>
      <c r="W2263" s="75" t="str">
        <f t="shared" si="46"/>
        <v>1w</v>
      </c>
      <c r="X2263" s="148">
        <f>_xll.qlCalendarAdvance(Calendar,X2262,W2263,"f",FALSE)</f>
        <v>54800</v>
      </c>
      <c r="Y2263" s="153">
        <f>_xll.qlCalendarAdvance(Calendar,X2263,NDays&amp;"D")</f>
        <v>54800</v>
      </c>
      <c r="Z2263" s="154">
        <v>2.6098586881924065E-2</v>
      </c>
      <c r="AA2263" s="156">
        <v>2.6028927345045361E-2</v>
      </c>
    </row>
    <row r="2264" spans="19:27" x14ac:dyDescent="0.2">
      <c r="S2264" s="1"/>
      <c r="T2264" s="117"/>
      <c r="W2264" s="75" t="str">
        <f t="shared" si="46"/>
        <v>1w</v>
      </c>
      <c r="X2264" s="148">
        <f>_xll.qlCalendarAdvance(Calendar,X2263,W2264,"f",FALSE)</f>
        <v>54807</v>
      </c>
      <c r="Y2264" s="153">
        <f>_xll.qlCalendarAdvance(Calendar,X2264,NDays&amp;"D")</f>
        <v>54807</v>
      </c>
      <c r="Z2264" s="154">
        <v>2.609658422436149E-2</v>
      </c>
      <c r="AA2264" s="156">
        <v>2.6026790995313798E-2</v>
      </c>
    </row>
    <row r="2265" spans="19:27" x14ac:dyDescent="0.2">
      <c r="S2265" s="1"/>
      <c r="T2265" s="117"/>
      <c r="W2265" s="75" t="str">
        <f t="shared" si="46"/>
        <v>1w</v>
      </c>
      <c r="X2265" s="148">
        <f>_xll.qlCalendarAdvance(Calendar,X2264,W2265,"f",FALSE)</f>
        <v>54814</v>
      </c>
      <c r="Y2265" s="153">
        <f>_xll.qlCalendarAdvance(Calendar,X2265,NDays&amp;"D")</f>
        <v>54814</v>
      </c>
      <c r="Z2265" s="154">
        <v>2.6094604736404226E-2</v>
      </c>
      <c r="AA2265" s="156">
        <v>2.6024677667669804E-2</v>
      </c>
    </row>
    <row r="2266" spans="19:27" x14ac:dyDescent="0.2">
      <c r="S2266" s="1"/>
      <c r="T2266" s="117"/>
      <c r="W2266" s="75" t="str">
        <f t="shared" si="46"/>
        <v>1w</v>
      </c>
      <c r="X2266" s="148">
        <f>_xll.qlCalendarAdvance(Calendar,X2265,W2266,"f",FALSE)</f>
        <v>54821</v>
      </c>
      <c r="Y2266" s="153">
        <f>_xll.qlCalendarAdvance(Calendar,X2266,NDays&amp;"D")</f>
        <v>54821</v>
      </c>
      <c r="Z2266" s="154">
        <v>2.609264841801805E-2</v>
      </c>
      <c r="AA2266" s="156">
        <v>2.6022587362194427E-2</v>
      </c>
    </row>
    <row r="2267" spans="19:27" x14ac:dyDescent="0.2">
      <c r="S2267" s="1"/>
      <c r="T2267" s="117"/>
      <c r="W2267" s="75" t="str">
        <f t="shared" si="46"/>
        <v>1w</v>
      </c>
      <c r="X2267" s="148">
        <f>_xll.qlCalendarAdvance(Calendar,X2266,W2267,"f",FALSE)</f>
        <v>54828</v>
      </c>
      <c r="Y2267" s="153">
        <f>_xll.qlCalendarAdvance(Calendar,X2267,NDays&amp;"D")</f>
        <v>54828</v>
      </c>
      <c r="Z2267" s="154">
        <v>2.608991856162534E-2</v>
      </c>
      <c r="AA2267" s="156">
        <v>2.6020520078806619E-2</v>
      </c>
    </row>
    <row r="2268" spans="19:27" x14ac:dyDescent="0.2">
      <c r="S2268" s="1"/>
      <c r="T2268" s="117"/>
      <c r="W2268" s="75" t="str">
        <f t="shared" si="46"/>
        <v>1w</v>
      </c>
      <c r="X2268" s="148">
        <f>_xll.qlCalendarAdvance(Calendar,X2267,W2268,"f",FALSE)</f>
        <v>54835</v>
      </c>
      <c r="Y2268" s="153">
        <f>_xll.qlCalendarAdvance(Calendar,X2268,NDays&amp;"D")</f>
        <v>54835</v>
      </c>
      <c r="Z2268" s="154">
        <v>2.6088007063520758E-2</v>
      </c>
      <c r="AA2268" s="156">
        <v>2.601847581774952E-2</v>
      </c>
    </row>
    <row r="2269" spans="19:27" x14ac:dyDescent="0.2">
      <c r="S2269" s="1"/>
      <c r="T2269" s="117"/>
      <c r="W2269" s="75" t="str">
        <f t="shared" si="46"/>
        <v>1w</v>
      </c>
      <c r="X2269" s="148">
        <f>_xll.qlCalendarAdvance(Calendar,X2268,W2269,"f",FALSE)</f>
        <v>54842</v>
      </c>
      <c r="Y2269" s="153">
        <f>_xll.qlCalendarAdvance(Calendar,X2269,NDays&amp;"D")</f>
        <v>54842</v>
      </c>
      <c r="Z2269" s="154">
        <v>2.608611873322951E-2</v>
      </c>
      <c r="AA2269" s="156">
        <v>2.6016454578779991E-2</v>
      </c>
    </row>
    <row r="2270" spans="19:27" x14ac:dyDescent="0.2">
      <c r="S2270" s="1"/>
      <c r="T2270" s="117"/>
      <c r="W2270" s="75" t="str">
        <f t="shared" si="46"/>
        <v>1w</v>
      </c>
      <c r="X2270" s="148">
        <f>_xll.qlCalendarAdvance(Calendar,X2269,W2270,"f",FALSE)</f>
        <v>54849</v>
      </c>
      <c r="Y2270" s="153">
        <f>_xll.qlCalendarAdvance(Calendar,X2270,NDays&amp;"D")</f>
        <v>54849</v>
      </c>
      <c r="Z2270" s="154">
        <v>2.6086657927569749E-2</v>
      </c>
      <c r="AA2270" s="156">
        <v>2.6014456361898031E-2</v>
      </c>
    </row>
    <row r="2271" spans="19:27" x14ac:dyDescent="0.2">
      <c r="S2271" s="1"/>
      <c r="T2271" s="117"/>
      <c r="W2271" s="75" t="str">
        <f t="shared" si="46"/>
        <v>1w</v>
      </c>
      <c r="X2271" s="148">
        <f>_xll.qlCalendarAdvance(Calendar,X2270,W2271,"f",FALSE)</f>
        <v>54856</v>
      </c>
      <c r="Y2271" s="153">
        <f>_xll.qlCalendarAdvance(Calendar,X2271,NDays&amp;"D")</f>
        <v>54856</v>
      </c>
      <c r="Z2271" s="154">
        <v>2.6084820504702087E-2</v>
      </c>
      <c r="AA2271" s="156">
        <v>2.6012481167265733E-2</v>
      </c>
    </row>
    <row r="2272" spans="19:27" x14ac:dyDescent="0.2">
      <c r="S2272" s="1"/>
      <c r="T2272" s="117"/>
      <c r="W2272" s="75" t="str">
        <f t="shared" si="46"/>
        <v>1w</v>
      </c>
      <c r="X2272" s="148">
        <f>_xll.qlCalendarAdvance(Calendar,X2271,W2272,"f",FALSE)</f>
        <v>54863</v>
      </c>
      <c r="Y2272" s="153">
        <f>_xll.qlCalendarAdvance(Calendar,X2272,NDays&amp;"D")</f>
        <v>54863</v>
      </c>
      <c r="Z2272" s="154">
        <v>2.6083006254528012E-2</v>
      </c>
      <c r="AA2272" s="156">
        <v>2.6010528994721005E-2</v>
      </c>
    </row>
    <row r="2273" spans="19:27" x14ac:dyDescent="0.2">
      <c r="S2273" s="1"/>
      <c r="T2273" s="117"/>
      <c r="W2273" s="75" t="str">
        <f t="shared" si="46"/>
        <v>1w</v>
      </c>
      <c r="X2273" s="148">
        <f>_xll.qlCalendarAdvance(Calendar,X2272,W2273,"f",FALSE)</f>
        <v>54870</v>
      </c>
      <c r="Y2273" s="153">
        <f>_xll.qlCalendarAdvance(Calendar,X2273,NDays&amp;"D")</f>
        <v>54870</v>
      </c>
      <c r="Z2273" s="154">
        <v>2.6081215177014921E-2</v>
      </c>
      <c r="AA2273" s="156">
        <v>2.6008599844263847E-2</v>
      </c>
    </row>
    <row r="2274" spans="19:27" x14ac:dyDescent="0.2">
      <c r="S2274" s="1"/>
      <c r="T2274" s="117"/>
      <c r="W2274" s="75" t="str">
        <f t="shared" si="46"/>
        <v>1w</v>
      </c>
      <c r="X2274" s="148">
        <f>_xll.qlCalendarAdvance(Calendar,X2273,W2274,"f",FALSE)</f>
        <v>54877</v>
      </c>
      <c r="Y2274" s="153">
        <f>_xll.qlCalendarAdvance(Calendar,X2274,NDays&amp;"D")</f>
        <v>54877</v>
      </c>
      <c r="Z2274" s="154">
        <v>2.6079447272129342E-2</v>
      </c>
      <c r="AA2274" s="156">
        <v>2.600669371605635E-2</v>
      </c>
    </row>
    <row r="2275" spans="19:27" x14ac:dyDescent="0.2">
      <c r="S2275" s="1"/>
      <c r="T2275" s="117"/>
      <c r="W2275" s="75" t="str">
        <f t="shared" si="46"/>
        <v>1w</v>
      </c>
      <c r="X2275" s="148">
        <f>_xll.qlCalendarAdvance(Calendar,X2274,W2275,"f",FALSE)</f>
        <v>54884</v>
      </c>
      <c r="Y2275" s="153">
        <f>_xll.qlCalendarAdvance(Calendar,X2275,NDays&amp;"D")</f>
        <v>54884</v>
      </c>
      <c r="Z2275" s="154">
        <v>2.6076893266544852E-2</v>
      </c>
      <c r="AA2275" s="156">
        <v>2.600481061001747E-2</v>
      </c>
    </row>
    <row r="2276" spans="19:27" x14ac:dyDescent="0.2">
      <c r="S2276" s="1"/>
      <c r="T2276" s="117"/>
      <c r="W2276" s="75" t="str">
        <f t="shared" si="46"/>
        <v>1w</v>
      </c>
      <c r="X2276" s="148">
        <f>_xll.qlCalendarAdvance(Calendar,X2275,W2276,"f",FALSE)</f>
        <v>54891</v>
      </c>
      <c r="Y2276" s="153">
        <f>_xll.qlCalendarAdvance(Calendar,X2276,NDays&amp;"D")</f>
        <v>54891</v>
      </c>
      <c r="Z2276" s="154">
        <v>2.607517017435159E-2</v>
      </c>
      <c r="AA2276" s="156">
        <v>2.6002950526147206E-2</v>
      </c>
    </row>
    <row r="2277" spans="19:27" x14ac:dyDescent="0.2">
      <c r="S2277" s="1"/>
      <c r="T2277" s="117"/>
      <c r="W2277" s="75" t="str">
        <f t="shared" si="46"/>
        <v>1w</v>
      </c>
      <c r="X2277" s="148">
        <f>_xll.qlCalendarAdvance(Calendar,X2276,W2277,"f",FALSE)</f>
        <v>54898</v>
      </c>
      <c r="Y2277" s="153">
        <f>_xll.qlCalendarAdvance(Calendar,X2277,NDays&amp;"D")</f>
        <v>54898</v>
      </c>
      <c r="Z2277" s="154">
        <v>2.6073470253040631E-2</v>
      </c>
      <c r="AA2277" s="156">
        <v>2.6001113464283465E-2</v>
      </c>
    </row>
    <row r="2278" spans="19:27" x14ac:dyDescent="0.2">
      <c r="S2278" s="1"/>
      <c r="T2278" s="117"/>
      <c r="W2278" s="75" t="str">
        <f t="shared" si="46"/>
        <v>1w</v>
      </c>
      <c r="X2278" s="148">
        <f>_xll.qlCalendarAdvance(Calendar,X2277,W2278,"f",FALSE)</f>
        <v>54905</v>
      </c>
      <c r="Y2278" s="153">
        <f>_xll.qlCalendarAdvance(Calendar,X2278,NDays&amp;"D")</f>
        <v>54905</v>
      </c>
      <c r="Z2278" s="154">
        <v>2.6071793502582593E-2</v>
      </c>
      <c r="AA2278" s="156">
        <v>2.5999299424750433E-2</v>
      </c>
    </row>
    <row r="2279" spans="19:27" x14ac:dyDescent="0.2">
      <c r="S2279" s="1"/>
      <c r="T2279" s="117"/>
      <c r="W2279" s="75" t="str">
        <f t="shared" si="46"/>
        <v>1w</v>
      </c>
      <c r="X2279" s="148">
        <f>_xll.qlCalendarAdvance(Calendar,X2278,W2279,"f",FALSE)</f>
        <v>54912</v>
      </c>
      <c r="Y2279" s="153">
        <f>_xll.qlCalendarAdvance(Calendar,X2279,NDays&amp;"D")</f>
        <v>54912</v>
      </c>
      <c r="Z2279" s="154">
        <v>2.6070955336083446E-2</v>
      </c>
      <c r="AA2279" s="156">
        <v>2.5997508407223924E-2</v>
      </c>
    </row>
    <row r="2280" spans="19:27" x14ac:dyDescent="0.2">
      <c r="S2280" s="1"/>
      <c r="T2280" s="117"/>
      <c r="W2280" s="75" t="str">
        <f t="shared" si="46"/>
        <v>1w</v>
      </c>
      <c r="X2280" s="148">
        <f>_xll.qlCalendarAdvance(Calendar,X2279,W2280,"f",FALSE)</f>
        <v>54919</v>
      </c>
      <c r="Y2280" s="153">
        <f>_xll.qlCalendarAdvance(Calendar,X2280,NDays&amp;"D")</f>
        <v>54919</v>
      </c>
      <c r="Z2280" s="154">
        <v>2.6069326466342763E-2</v>
      </c>
      <c r="AA2280" s="156">
        <v>2.5995740412028123E-2</v>
      </c>
    </row>
    <row r="2281" spans="19:27" x14ac:dyDescent="0.2">
      <c r="S2281" s="1"/>
      <c r="T2281" s="117"/>
      <c r="W2281" s="75" t="str">
        <f t="shared" si="46"/>
        <v>1w</v>
      </c>
      <c r="X2281" s="148">
        <f>_xll.qlCalendarAdvance(Calendar,X2280,W2281,"f",FALSE)</f>
        <v>54926</v>
      </c>
      <c r="Y2281" s="153">
        <f>_xll.qlCalendarAdvance(Calendar,X2281,NDays&amp;"D")</f>
        <v>54926</v>
      </c>
      <c r="Z2281" s="154">
        <v>2.6067720769024333E-2</v>
      </c>
      <c r="AA2281" s="156">
        <v>2.59939954387578E-2</v>
      </c>
    </row>
    <row r="2282" spans="19:27" x14ac:dyDescent="0.2">
      <c r="S2282" s="1"/>
      <c r="T2282" s="117"/>
      <c r="W2282" s="75" t="str">
        <f t="shared" si="46"/>
        <v>1w</v>
      </c>
      <c r="X2282" s="148">
        <f>_xll.qlCalendarAdvance(Calendar,X2281,W2282,"f",FALSE)</f>
        <v>54933</v>
      </c>
      <c r="Y2282" s="153">
        <f>_xll.qlCalendarAdvance(Calendar,X2282,NDays&amp;"D")</f>
        <v>54933</v>
      </c>
      <c r="Z2282" s="154">
        <v>2.6066138244099969E-2</v>
      </c>
      <c r="AA2282" s="156">
        <v>2.5992273487737139E-2</v>
      </c>
    </row>
    <row r="2283" spans="19:27" x14ac:dyDescent="0.2">
      <c r="S2283" s="1"/>
      <c r="T2283" s="117"/>
      <c r="W2283" s="75" t="str">
        <f t="shared" si="46"/>
        <v>1w</v>
      </c>
      <c r="X2283" s="148">
        <f>_xll.qlCalendarAdvance(Calendar,X2282,W2283,"f",FALSE)</f>
        <v>54940</v>
      </c>
      <c r="Y2283" s="153">
        <f>_xll.qlCalendarAdvance(Calendar,X2283,NDays&amp;"D")</f>
        <v>54940</v>
      </c>
      <c r="Z2283" s="154">
        <v>2.6064578891542359E-2</v>
      </c>
      <c r="AA2283" s="156">
        <v>2.5990574558885093E-2</v>
      </c>
    </row>
    <row r="2284" spans="19:27" x14ac:dyDescent="0.2">
      <c r="S2284" s="1"/>
      <c r="T2284" s="117"/>
      <c r="W2284" s="75" t="str">
        <f t="shared" si="46"/>
        <v>1w</v>
      </c>
      <c r="X2284" s="148">
        <f>_xll.qlCalendarAdvance(Calendar,X2283,W2284,"f",FALSE)</f>
        <v>54947</v>
      </c>
      <c r="Y2284" s="153">
        <f>_xll.qlCalendarAdvance(Calendar,X2284,NDays&amp;"D")</f>
        <v>54947</v>
      </c>
      <c r="Z2284" s="154">
        <v>2.6063042711324196E-2</v>
      </c>
      <c r="AA2284" s="156">
        <v>2.5988898652039572E-2</v>
      </c>
    </row>
    <row r="2285" spans="19:27" x14ac:dyDescent="0.2">
      <c r="S2285" s="1"/>
      <c r="T2285" s="117"/>
      <c r="W2285" s="75" t="str">
        <f t="shared" si="46"/>
        <v>1w</v>
      </c>
      <c r="X2285" s="148">
        <f>_xll.qlCalendarAdvance(Calendar,X2284,W2285,"f",FALSE)</f>
        <v>54954</v>
      </c>
      <c r="Y2285" s="153">
        <f>_xll.qlCalendarAdvance(Calendar,X2285,NDays&amp;"D")</f>
        <v>54954</v>
      </c>
      <c r="Z2285" s="154">
        <v>2.6061529703419049E-2</v>
      </c>
      <c r="AA2285" s="156">
        <v>2.5987245767524758E-2</v>
      </c>
    </row>
    <row r="2286" spans="19:27" x14ac:dyDescent="0.2">
      <c r="S2286" s="1"/>
      <c r="T2286" s="117"/>
      <c r="W2286" s="75" t="str">
        <f t="shared" si="46"/>
        <v>1w</v>
      </c>
      <c r="X2286" s="148">
        <f>_xll.qlCalendarAdvance(Calendar,X2285,W2286,"f",FALSE)</f>
        <v>54961</v>
      </c>
      <c r="Y2286" s="153">
        <f>_xll.qlCalendarAdvance(Calendar,X2286,NDays&amp;"D")</f>
        <v>54961</v>
      </c>
      <c r="Z2286" s="154">
        <v>2.6060039867801373E-2</v>
      </c>
      <c r="AA2286" s="156">
        <v>2.5985615905097514E-2</v>
      </c>
    </row>
    <row r="2287" spans="19:27" x14ac:dyDescent="0.2">
      <c r="S2287" s="1"/>
      <c r="T2287" s="117"/>
      <c r="W2287" s="75" t="str">
        <f t="shared" si="46"/>
        <v>1w</v>
      </c>
      <c r="X2287" s="148">
        <f>_xll.qlCalendarAdvance(Calendar,X2286,W2287,"f",FALSE)</f>
        <v>54968</v>
      </c>
      <c r="Y2287" s="153">
        <f>_xll.qlCalendarAdvance(Calendar,X2287,NDays&amp;"D")</f>
        <v>54968</v>
      </c>
      <c r="Z2287" s="154">
        <v>2.605857320444474E-2</v>
      </c>
      <c r="AA2287" s="156">
        <v>2.5984009064919933E-2</v>
      </c>
    </row>
    <row r="2288" spans="19:27" x14ac:dyDescent="0.2">
      <c r="S2288" s="1"/>
      <c r="T2288" s="117"/>
      <c r="W2288" s="75" t="str">
        <f t="shared" si="46"/>
        <v>1w</v>
      </c>
      <c r="X2288" s="148">
        <f>_xll.qlCalendarAdvance(Calendar,X2287,W2288,"f",FALSE)</f>
        <v>54975</v>
      </c>
      <c r="Y2288" s="153">
        <f>_xll.qlCalendarAdvance(Calendar,X2288,NDays&amp;"D")</f>
        <v>54975</v>
      </c>
      <c r="Z2288" s="154">
        <v>2.6057129713321841E-2</v>
      </c>
      <c r="AA2288" s="156">
        <v>2.5982425246667828E-2</v>
      </c>
    </row>
    <row r="2289" spans="19:27" x14ac:dyDescent="0.2">
      <c r="S2289" s="1"/>
      <c r="T2289" s="117"/>
      <c r="W2289" s="75" t="str">
        <f t="shared" si="46"/>
        <v>1w</v>
      </c>
      <c r="X2289" s="148">
        <f>_xll.qlCalendarAdvance(Calendar,X2288,W2289,"f",FALSE)</f>
        <v>54982</v>
      </c>
      <c r="Y2289" s="153">
        <f>_xll.qlCalendarAdvance(Calendar,X2289,NDays&amp;"D")</f>
        <v>54982</v>
      </c>
      <c r="Z2289" s="154">
        <v>2.6055709394409769E-2</v>
      </c>
      <c r="AA2289" s="156">
        <v>2.5980864450827479E-2</v>
      </c>
    </row>
    <row r="2290" spans="19:27" x14ac:dyDescent="0.2">
      <c r="S2290" s="1"/>
      <c r="T2290" s="117"/>
      <c r="W2290" s="75" t="str">
        <f t="shared" si="46"/>
        <v>1w</v>
      </c>
      <c r="X2290" s="148">
        <f>_xll.qlCalendarAdvance(Calendar,X2289,W2290,"f",FALSE)</f>
        <v>54989</v>
      </c>
      <c r="Y2290" s="153">
        <f>_xll.qlCalendarAdvance(Calendar,X2290,NDays&amp;"D")</f>
        <v>54989</v>
      </c>
      <c r="Z2290" s="154">
        <v>2.6054312247682978E-2</v>
      </c>
      <c r="AA2290" s="156">
        <v>2.5979326676912606E-2</v>
      </c>
    </row>
    <row r="2291" spans="19:27" x14ac:dyDescent="0.2">
      <c r="S2291" s="1"/>
      <c r="T2291" s="117"/>
      <c r="W2291" s="75" t="str">
        <f t="shared" si="46"/>
        <v>1w</v>
      </c>
      <c r="X2291" s="148">
        <f>_xll.qlCalendarAdvance(Calendar,X2290,W2291,"f",FALSE)</f>
        <v>54996</v>
      </c>
      <c r="Y2291" s="153">
        <f>_xll.qlCalendarAdvance(Calendar,X2291,NDays&amp;"D")</f>
        <v>54996</v>
      </c>
      <c r="Z2291" s="154">
        <v>2.6052938273117686E-2</v>
      </c>
      <c r="AA2291" s="156">
        <v>2.5977811925247396E-2</v>
      </c>
    </row>
    <row r="2292" spans="19:27" x14ac:dyDescent="0.2">
      <c r="S2292" s="1"/>
      <c r="T2292" s="117"/>
      <c r="W2292" s="75" t="str">
        <f t="shared" si="46"/>
        <v>1w</v>
      </c>
      <c r="X2292" s="148">
        <f>_xll.qlCalendarAdvance(Calendar,X2291,W2292,"f",FALSE)</f>
        <v>55003</v>
      </c>
      <c r="Y2292" s="153">
        <f>_xll.qlCalendarAdvance(Calendar,X2292,NDays&amp;"D")</f>
        <v>55003</v>
      </c>
      <c r="Z2292" s="154">
        <v>2.605158747068834E-2</v>
      </c>
      <c r="AA2292" s="156">
        <v>2.5976320195669755E-2</v>
      </c>
    </row>
    <row r="2293" spans="19:27" x14ac:dyDescent="0.2">
      <c r="S2293" s="1"/>
      <c r="T2293" s="117"/>
      <c r="W2293" s="75" t="str">
        <f t="shared" si="46"/>
        <v>1w</v>
      </c>
      <c r="X2293" s="148">
        <f>_xll.qlCalendarAdvance(Calendar,X2292,W2293,"f",FALSE)</f>
        <v>55010</v>
      </c>
      <c r="Y2293" s="153">
        <f>_xll.qlCalendarAdvance(Calendar,X2293,NDays&amp;"D")</f>
        <v>55010</v>
      </c>
      <c r="Z2293" s="154">
        <v>2.6050259840372923E-2</v>
      </c>
      <c r="AA2293" s="156">
        <v>2.5974851488341777E-2</v>
      </c>
    </row>
    <row r="2294" spans="19:27" x14ac:dyDescent="0.2">
      <c r="S2294" s="1"/>
      <c r="T2294" s="117"/>
      <c r="W2294" s="75" t="str">
        <f t="shared" si="46"/>
        <v>1w</v>
      </c>
      <c r="X2294" s="148">
        <f>_xll.qlCalendarAdvance(Calendar,X2293,W2294,"f",FALSE)</f>
        <v>55017</v>
      </c>
      <c r="Y2294" s="153">
        <f>_xll.qlCalendarAdvance(Calendar,X2294,NDays&amp;"D")</f>
        <v>55017</v>
      </c>
      <c r="Z2294" s="154">
        <v>2.6048955382149405E-2</v>
      </c>
      <c r="AA2294" s="156">
        <v>2.5973405803101368E-2</v>
      </c>
    </row>
    <row r="2295" spans="19:27" x14ac:dyDescent="0.2">
      <c r="S2295" s="1"/>
      <c r="T2295" s="117"/>
      <c r="W2295" s="75" t="str">
        <f t="shared" si="46"/>
        <v>1w</v>
      </c>
      <c r="X2295" s="148">
        <f>_xll.qlCalendarAdvance(Calendar,X2294,W2295,"f",FALSE)</f>
        <v>55024</v>
      </c>
      <c r="Y2295" s="153">
        <f>_xll.qlCalendarAdvance(Calendar,X2295,NDays&amp;"D")</f>
        <v>55024</v>
      </c>
      <c r="Z2295" s="154">
        <v>2.6047674095991364E-2</v>
      </c>
      <c r="AA2295" s="156">
        <v>2.5971983139948529E-2</v>
      </c>
    </row>
    <row r="2296" spans="19:27" x14ac:dyDescent="0.2">
      <c r="S2296" s="1"/>
      <c r="T2296" s="117"/>
      <c r="W2296" s="75" t="str">
        <f t="shared" si="46"/>
        <v>1w</v>
      </c>
      <c r="X2296" s="148">
        <f>_xll.qlCalendarAdvance(Calendar,X2295,W2296,"f",FALSE)</f>
        <v>55031</v>
      </c>
      <c r="Y2296" s="153">
        <f>_xll.qlCalendarAdvance(Calendar,X2296,NDays&amp;"D")</f>
        <v>55031</v>
      </c>
      <c r="Z2296" s="154">
        <v>2.6045574179234036E-2</v>
      </c>
      <c r="AA2296" s="156">
        <v>2.5970583498964306E-2</v>
      </c>
    </row>
    <row r="2297" spans="19:27" x14ac:dyDescent="0.2">
      <c r="S2297" s="1"/>
      <c r="T2297" s="117"/>
      <c r="W2297" s="75" t="str">
        <f t="shared" si="46"/>
        <v>1w</v>
      </c>
      <c r="X2297" s="148">
        <f>_xll.qlCalendarAdvance(Calendar,X2296,W2297,"f",FALSE)</f>
        <v>55038</v>
      </c>
      <c r="Y2297" s="153">
        <f>_xll.qlCalendarAdvance(Calendar,X2297,NDays&amp;"D")</f>
        <v>55038</v>
      </c>
      <c r="Z2297" s="154">
        <v>2.6044337669954756E-2</v>
      </c>
      <c r="AA2297" s="156">
        <v>2.5969206880148699E-2</v>
      </c>
    </row>
    <row r="2298" spans="19:27" x14ac:dyDescent="0.2">
      <c r="S2298" s="1"/>
      <c r="T2298" s="117"/>
      <c r="W2298" s="75" t="str">
        <f t="shared" si="46"/>
        <v>1w</v>
      </c>
      <c r="X2298" s="148">
        <f>_xll.qlCalendarAdvance(Calendar,X2297,W2298,"f",FALSE)</f>
        <v>55045</v>
      </c>
      <c r="Y2298" s="153">
        <f>_xll.qlCalendarAdvance(Calendar,X2298,NDays&amp;"D")</f>
        <v>55045</v>
      </c>
      <c r="Z2298" s="154">
        <v>2.6043124331025194E-2</v>
      </c>
      <c r="AA2298" s="156">
        <v>2.5967853283501707E-2</v>
      </c>
    </row>
    <row r="2299" spans="19:27" x14ac:dyDescent="0.2">
      <c r="S2299" s="1"/>
      <c r="T2299" s="117"/>
      <c r="W2299" s="75" t="str">
        <f t="shared" si="46"/>
        <v>1w</v>
      </c>
      <c r="X2299" s="148">
        <f>_xll.qlCalendarAdvance(Calendar,X2298,W2299,"f",FALSE)</f>
        <v>55052</v>
      </c>
      <c r="Y2299" s="153">
        <f>_xll.qlCalendarAdvance(Calendar,X2299,NDays&amp;"D")</f>
        <v>55052</v>
      </c>
      <c r="Z2299" s="154">
        <v>2.6041934162426648E-2</v>
      </c>
      <c r="AA2299" s="156">
        <v>2.5966522708942286E-2</v>
      </c>
    </row>
    <row r="2300" spans="19:27" x14ac:dyDescent="0.2">
      <c r="S2300" s="1"/>
      <c r="T2300" s="117"/>
      <c r="W2300" s="75" t="str">
        <f t="shared" si="46"/>
        <v>1w</v>
      </c>
      <c r="X2300" s="148">
        <f>_xll.qlCalendarAdvance(Calendar,X2299,W2300,"f",FALSE)</f>
        <v>55059</v>
      </c>
      <c r="Y2300" s="153">
        <f>_xll.qlCalendarAdvance(Calendar,X2300,NDays&amp;"D")</f>
        <v>55059</v>
      </c>
      <c r="Z2300" s="154">
        <v>2.6040767164138633E-2</v>
      </c>
      <c r="AA2300" s="156">
        <v>2.5965215156632526E-2</v>
      </c>
    </row>
    <row r="2301" spans="19:27" x14ac:dyDescent="0.2">
      <c r="S2301" s="1"/>
      <c r="T2301" s="117"/>
      <c r="W2301" s="75" t="str">
        <f t="shared" si="46"/>
        <v>1w</v>
      </c>
      <c r="X2301" s="148">
        <f>_xll.qlCalendarAdvance(Calendar,X2300,W2301,"f",FALSE)</f>
        <v>55066</v>
      </c>
      <c r="Y2301" s="153">
        <f>_xll.qlCalendarAdvance(Calendar,X2301,NDays&amp;"D")</f>
        <v>55066</v>
      </c>
      <c r="Z2301" s="154">
        <v>2.6040472991251708E-2</v>
      </c>
      <c r="AA2301" s="156">
        <v>2.5963930626410336E-2</v>
      </c>
    </row>
    <row r="2302" spans="19:27" x14ac:dyDescent="0.2">
      <c r="S2302" s="1"/>
      <c r="T2302" s="117"/>
      <c r="W2302" s="75" t="str">
        <f t="shared" si="46"/>
        <v>1w</v>
      </c>
      <c r="X2302" s="148">
        <f>_xll.qlCalendarAdvance(Calendar,X2301,W2302,"f",FALSE)</f>
        <v>55073</v>
      </c>
      <c r="Y2302" s="153">
        <f>_xll.qlCalendarAdvance(Calendar,X2302,NDays&amp;"D")</f>
        <v>55073</v>
      </c>
      <c r="Z2302" s="154">
        <v>2.6039353908967042E-2</v>
      </c>
      <c r="AA2302" s="156">
        <v>2.5962669118275716E-2</v>
      </c>
    </row>
    <row r="2303" spans="19:27" x14ac:dyDescent="0.2">
      <c r="S2303" s="1"/>
      <c r="T2303" s="117"/>
      <c r="W2303" s="75" t="str">
        <f t="shared" si="46"/>
        <v>1w</v>
      </c>
      <c r="X2303" s="148">
        <f>_xll.qlCalendarAdvance(Calendar,X2302,W2303,"f",FALSE)</f>
        <v>55080</v>
      </c>
      <c r="Y2303" s="153">
        <f>_xll.qlCalendarAdvance(Calendar,X2303,NDays&amp;"D")</f>
        <v>55080</v>
      </c>
      <c r="Z2303" s="154">
        <v>2.6038257998582233E-2</v>
      </c>
      <c r="AA2303" s="156">
        <v>2.5961430632309712E-2</v>
      </c>
    </row>
    <row r="2304" spans="19:27" x14ac:dyDescent="0.2">
      <c r="S2304" s="1"/>
      <c r="T2304" s="117"/>
      <c r="W2304" s="75" t="str">
        <f t="shared" si="46"/>
        <v>1w</v>
      </c>
      <c r="X2304" s="148">
        <f>_xll.qlCalendarAdvance(Calendar,X2303,W2304,"f",FALSE)</f>
        <v>55087</v>
      </c>
      <c r="Y2304" s="153">
        <f>_xll.qlCalendarAdvance(Calendar,X2304,NDays&amp;"D")</f>
        <v>55087</v>
      </c>
      <c r="Z2304" s="154">
        <v>2.6037185260080545E-2</v>
      </c>
      <c r="AA2304" s="156">
        <v>2.596021516859337E-2</v>
      </c>
    </row>
    <row r="2305" spans="19:27" x14ac:dyDescent="0.2">
      <c r="S2305" s="1"/>
      <c r="T2305" s="117"/>
      <c r="W2305" s="75" t="str">
        <f t="shared" si="46"/>
        <v>1w</v>
      </c>
      <c r="X2305" s="148">
        <f>_xll.qlCalendarAdvance(Calendar,X2304,W2305,"f",FALSE)</f>
        <v>55094</v>
      </c>
      <c r="Y2305" s="153">
        <f>_xll.qlCalendarAdvance(Calendar,X2305,NDays&amp;"D")</f>
        <v>55094</v>
      </c>
      <c r="Z2305" s="154">
        <v>2.6036135693440834E-2</v>
      </c>
      <c r="AA2305" s="156">
        <v>2.5959022726883552E-2</v>
      </c>
    </row>
    <row r="2306" spans="19:27" x14ac:dyDescent="0.2">
      <c r="S2306" s="1"/>
      <c r="T2306" s="117"/>
      <c r="W2306" s="75" t="str">
        <f t="shared" si="46"/>
        <v>1w</v>
      </c>
      <c r="X2306" s="148">
        <f>_xll.qlCalendarAdvance(Calendar,X2305,W2306,"f",FALSE)</f>
        <v>55101</v>
      </c>
      <c r="Y2306" s="153">
        <f>_xll.qlCalendarAdvance(Calendar,X2306,NDays&amp;"D")</f>
        <v>55101</v>
      </c>
      <c r="Z2306" s="154">
        <v>2.6035109298644603E-2</v>
      </c>
      <c r="AA2306" s="156">
        <v>2.5957853307342349E-2</v>
      </c>
    </row>
    <row r="2307" spans="19:27" x14ac:dyDescent="0.2">
      <c r="S2307" s="1"/>
      <c r="T2307" s="117"/>
      <c r="W2307" s="75" t="str">
        <f t="shared" si="46"/>
        <v>1w</v>
      </c>
      <c r="X2307" s="148">
        <f>_xll.qlCalendarAdvance(Calendar,X2306,W2307,"f",FALSE)</f>
        <v>55108</v>
      </c>
      <c r="Y2307" s="153">
        <f>_xll.qlCalendarAdvance(Calendar,X2307,NDays&amp;"D")</f>
        <v>55108</v>
      </c>
      <c r="Z2307" s="154">
        <v>2.6034106075676872E-2</v>
      </c>
      <c r="AA2307" s="156">
        <v>2.5956706910050809E-2</v>
      </c>
    </row>
    <row r="2308" spans="19:27" x14ac:dyDescent="0.2">
      <c r="S2308" s="1"/>
      <c r="T2308" s="117"/>
      <c r="W2308" s="75" t="str">
        <f t="shared" si="46"/>
        <v>1w</v>
      </c>
      <c r="X2308" s="148">
        <f>_xll.qlCalendarAdvance(Calendar,X2307,W2308,"f",FALSE)</f>
        <v>55115</v>
      </c>
      <c r="Y2308" s="153">
        <f>_xll.qlCalendarAdvance(Calendar,X2308,NDays&amp;"D")</f>
        <v>55115</v>
      </c>
      <c r="Z2308" s="154">
        <v>2.6033126024517381E-2</v>
      </c>
      <c r="AA2308" s="156">
        <v>2.5955583534765791E-2</v>
      </c>
    </row>
    <row r="2309" spans="19:27" x14ac:dyDescent="0.2">
      <c r="S2309" s="1"/>
      <c r="T2309" s="117"/>
      <c r="W2309" s="75" t="str">
        <f t="shared" si="46"/>
        <v>1w</v>
      </c>
      <c r="X2309" s="148">
        <f>_xll.qlCalendarAdvance(Calendar,X2308,W2309,"f",FALSE)</f>
        <v>55122</v>
      </c>
      <c r="Y2309" s="153">
        <f>_xll.qlCalendarAdvance(Calendar,X2309,NDays&amp;"D")</f>
        <v>55122</v>
      </c>
      <c r="Z2309" s="154">
        <v>2.6030444727907796E-2</v>
      </c>
      <c r="AA2309" s="156">
        <v>2.5954483181730437E-2</v>
      </c>
    </row>
    <row r="2310" spans="19:27" x14ac:dyDescent="0.2">
      <c r="S2310" s="1"/>
      <c r="T2310" s="117"/>
      <c r="W2310" s="75" t="str">
        <f t="shared" si="46"/>
        <v>1w</v>
      </c>
      <c r="X2310" s="148">
        <f>_xll.qlCalendarAdvance(Calendar,X2309,W2310,"f",FALSE)</f>
        <v>55129</v>
      </c>
      <c r="Y2310" s="153">
        <f>_xll.qlCalendarAdvance(Calendar,X2310,NDays&amp;"D")</f>
        <v>55129</v>
      </c>
      <c r="Z2310" s="154">
        <v>2.6029507843274798E-2</v>
      </c>
      <c r="AA2310" s="156">
        <v>2.5953405850701605E-2</v>
      </c>
    </row>
    <row r="2311" spans="19:27" x14ac:dyDescent="0.2">
      <c r="S2311" s="1"/>
      <c r="T2311" s="117"/>
      <c r="W2311" s="75" t="str">
        <f t="shared" si="46"/>
        <v>1w</v>
      </c>
      <c r="X2311" s="148">
        <f>_xll.qlCalendarAdvance(Calendar,X2310,W2311,"f",FALSE)</f>
        <v>55136</v>
      </c>
      <c r="Y2311" s="153">
        <f>_xll.qlCalendarAdvance(Calendar,X2311,NDays&amp;"D")</f>
        <v>55136</v>
      </c>
      <c r="Z2311" s="154">
        <v>2.6028594127105259E-2</v>
      </c>
      <c r="AA2311" s="156">
        <v>2.5952351541922436E-2</v>
      </c>
    </row>
    <row r="2312" spans="19:27" x14ac:dyDescent="0.2">
      <c r="S2312" s="1"/>
      <c r="T2312" s="117"/>
      <c r="W2312" s="75" t="str">
        <f t="shared" si="46"/>
        <v>1w</v>
      </c>
      <c r="X2312" s="148">
        <f>_xll.qlCalendarAdvance(Calendar,X2311,W2312,"f",FALSE)</f>
        <v>55143</v>
      </c>
      <c r="Y2312" s="153">
        <f>_xll.qlCalendarAdvance(Calendar,X2312,NDays&amp;"D")</f>
        <v>55143</v>
      </c>
      <c r="Z2312" s="154">
        <v>2.6027703579383863E-2</v>
      </c>
      <c r="AA2312" s="156">
        <v>2.5951320255311883E-2</v>
      </c>
    </row>
    <row r="2313" spans="19:27" x14ac:dyDescent="0.2">
      <c r="S2313" s="1"/>
      <c r="T2313" s="117"/>
      <c r="W2313" s="75" t="str">
        <f t="shared" si="46"/>
        <v>1w</v>
      </c>
      <c r="X2313" s="148">
        <f>_xll.qlCalendarAdvance(Calendar,X2312,W2313,"f",FALSE)</f>
        <v>55150</v>
      </c>
      <c r="Y2313" s="153">
        <f>_xll.qlCalendarAdvance(Calendar,X2313,NDays&amp;"D")</f>
        <v>55150</v>
      </c>
      <c r="Z2313" s="154">
        <v>2.6026836200093509E-2</v>
      </c>
      <c r="AA2313" s="156">
        <v>2.5950311990626806E-2</v>
      </c>
    </row>
    <row r="2314" spans="19:27" x14ac:dyDescent="0.2">
      <c r="S2314" s="1"/>
      <c r="T2314" s="117"/>
      <c r="W2314" s="75" t="str">
        <f t="shared" si="46"/>
        <v>1w</v>
      </c>
      <c r="X2314" s="148">
        <f>_xll.qlCalendarAdvance(Calendar,X2313,W2314,"f",FALSE)</f>
        <v>55157</v>
      </c>
      <c r="Y2314" s="153">
        <f>_xll.qlCalendarAdvance(Calendar,X2314,NDays&amp;"D")</f>
        <v>55157</v>
      </c>
      <c r="Z2314" s="154">
        <v>2.6025991989220683E-2</v>
      </c>
      <c r="AA2314" s="156">
        <v>2.5949326748272439E-2</v>
      </c>
    </row>
    <row r="2315" spans="19:27" x14ac:dyDescent="0.2">
      <c r="S2315" s="1"/>
      <c r="T2315" s="117"/>
      <c r="W2315" s="75" t="str">
        <f t="shared" si="46"/>
        <v>1w</v>
      </c>
      <c r="X2315" s="148">
        <f>_xll.qlCalendarAdvance(Calendar,X2314,W2315,"f",FALSE)</f>
        <v>55164</v>
      </c>
      <c r="Y2315" s="153">
        <f>_xll.qlCalendarAdvance(Calendar,X2315,NDays&amp;"D")</f>
        <v>55164</v>
      </c>
      <c r="Z2315" s="154">
        <v>2.602517094675098E-2</v>
      </c>
      <c r="AA2315" s="156">
        <v>2.5948364528167733E-2</v>
      </c>
    </row>
    <row r="2316" spans="19:27" x14ac:dyDescent="0.2">
      <c r="S2316" s="1"/>
      <c r="T2316" s="117"/>
      <c r="W2316" s="75" t="str">
        <f t="shared" si="46"/>
        <v>1w</v>
      </c>
      <c r="X2316" s="148">
        <f>_xll.qlCalendarAdvance(Calendar,X2315,W2316,"f",FALSE)</f>
        <v>55171</v>
      </c>
      <c r="Y2316" s="153">
        <f>_xll.qlCalendarAdvance(Calendar,X2316,NDays&amp;"D")</f>
        <v>55171</v>
      </c>
      <c r="Z2316" s="154">
        <v>2.6024373072669992E-2</v>
      </c>
      <c r="AA2316" s="156">
        <v>2.5947425329988505E-2</v>
      </c>
    </row>
    <row r="2317" spans="19:27" x14ac:dyDescent="0.2">
      <c r="S2317" s="1"/>
      <c r="T2317" s="117"/>
      <c r="W2317" s="75" t="str">
        <f t="shared" si="46"/>
        <v>1w</v>
      </c>
      <c r="X2317" s="148">
        <f>_xll.qlCalendarAdvance(Calendar,X2316,W2317,"f",FALSE)</f>
        <v>55178</v>
      </c>
      <c r="Y2317" s="153">
        <f>_xll.qlCalendarAdvance(Calendar,X2317,NDays&amp;"D")</f>
        <v>55178</v>
      </c>
      <c r="Z2317" s="154">
        <v>2.6023598366964208E-2</v>
      </c>
      <c r="AA2317" s="156">
        <v>2.5946509153977892E-2</v>
      </c>
    </row>
    <row r="2318" spans="19:27" x14ac:dyDescent="0.2">
      <c r="S2318" s="1"/>
      <c r="T2318" s="117"/>
      <c r="W2318" s="75" t="str">
        <f t="shared" si="46"/>
        <v>1w</v>
      </c>
      <c r="X2318" s="148">
        <f>_xll.qlCalendarAdvance(Calendar,X2317,W2318,"f",FALSE)</f>
        <v>55185</v>
      </c>
      <c r="Y2318" s="153">
        <f>_xll.qlCalendarAdvance(Calendar,X2318,NDays&amp;"D")</f>
        <v>55185</v>
      </c>
      <c r="Z2318" s="154">
        <v>2.6022846829621023E-2</v>
      </c>
      <c r="AA2318" s="156">
        <v>2.5945616000216942E-2</v>
      </c>
    </row>
    <row r="2319" spans="19:27" x14ac:dyDescent="0.2">
      <c r="S2319" s="1"/>
      <c r="T2319" s="117"/>
      <c r="W2319" s="75" t="str">
        <f t="shared" si="46"/>
        <v>1w</v>
      </c>
      <c r="X2319" s="148">
        <f>_xll.qlCalendarAdvance(Calendar,X2318,W2319,"f",FALSE)</f>
        <v>55192</v>
      </c>
      <c r="Y2319" s="153">
        <f>_xll.qlCalendarAdvance(Calendar,X2319,NDays&amp;"D")</f>
        <v>55192</v>
      </c>
      <c r="Z2319" s="154">
        <v>2.6021240584730508E-2</v>
      </c>
      <c r="AA2319" s="156">
        <v>2.5944745868543562E-2</v>
      </c>
    </row>
    <row r="2320" spans="19:27" x14ac:dyDescent="0.2">
      <c r="S2320" s="1"/>
      <c r="T2320" s="117"/>
      <c r="W2320" s="75" t="str">
        <f t="shared" si="46"/>
        <v>1w</v>
      </c>
      <c r="X2320" s="148">
        <f>_xll.qlCalendarAdvance(Calendar,X2319,W2320,"f",FALSE)</f>
        <v>55199</v>
      </c>
      <c r="Y2320" s="153">
        <f>_xll.qlCalendarAdvance(Calendar,X2320,NDays&amp;"D")</f>
        <v>55199</v>
      </c>
      <c r="Z2320" s="154">
        <v>2.6020533779422681E-2</v>
      </c>
      <c r="AA2320" s="156">
        <v>2.5943898758957751E-2</v>
      </c>
    </row>
    <row r="2321" spans="19:27" x14ac:dyDescent="0.2">
      <c r="S2321" s="1"/>
      <c r="T2321" s="117"/>
      <c r="W2321" s="75" t="str">
        <f t="shared" si="46"/>
        <v>1w</v>
      </c>
      <c r="X2321" s="148">
        <f>_xll.qlCalendarAdvance(Calendar,X2320,W2321,"f",FALSE)</f>
        <v>55206</v>
      </c>
      <c r="Y2321" s="153">
        <f>_xll.qlCalendarAdvance(Calendar,X2321,NDays&amp;"D")</f>
        <v>55206</v>
      </c>
      <c r="Z2321" s="154">
        <v>2.601985014079445E-2</v>
      </c>
      <c r="AA2321" s="156">
        <v>2.5943074671540556E-2</v>
      </c>
    </row>
    <row r="2322" spans="19:27" x14ac:dyDescent="0.2">
      <c r="S2322" s="1"/>
      <c r="T2322" s="117"/>
      <c r="W2322" s="75" t="str">
        <f t="shared" si="46"/>
        <v>1w</v>
      </c>
      <c r="X2322" s="148">
        <f>_xll.qlCalendarAdvance(Calendar,X2321,W2322,"f",FALSE)</f>
        <v>55213</v>
      </c>
      <c r="Y2322" s="153">
        <f>_xll.qlCalendarAdvance(Calendar,X2322,NDays&amp;"D")</f>
        <v>55213</v>
      </c>
      <c r="Z2322" s="154">
        <v>2.6021838339442559E-2</v>
      </c>
      <c r="AA2322" s="156">
        <v>2.5942273606373023E-2</v>
      </c>
    </row>
    <row r="2323" spans="19:27" x14ac:dyDescent="0.2">
      <c r="S2323" s="1"/>
      <c r="T2323" s="117"/>
      <c r="W2323" s="75" t="str">
        <f t="shared" si="46"/>
        <v>1w</v>
      </c>
      <c r="X2323" s="148">
        <f>_xll.qlCalendarAdvance(Calendar,X2322,W2323,"f",FALSE)</f>
        <v>55220</v>
      </c>
      <c r="Y2323" s="153">
        <f>_xll.qlCalendarAdvance(Calendar,X2323,NDays&amp;"D")</f>
        <v>55220</v>
      </c>
      <c r="Z2323" s="154">
        <v>2.6021205863601633E-2</v>
      </c>
      <c r="AA2323" s="156">
        <v>2.594149556329306E-2</v>
      </c>
    </row>
    <row r="2324" spans="19:27" x14ac:dyDescent="0.2">
      <c r="S2324" s="1"/>
      <c r="T2324" s="117"/>
      <c r="W2324" s="75" t="str">
        <f t="shared" si="46"/>
        <v>1w</v>
      </c>
      <c r="X2324" s="148">
        <f>_xll.qlCalendarAdvance(Calendar,X2323,W2324,"f",FALSE)</f>
        <v>55227</v>
      </c>
      <c r="Y2324" s="153">
        <f>_xll.qlCalendarAdvance(Calendar,X2324,NDays&amp;"D")</f>
        <v>55227</v>
      </c>
      <c r="Z2324" s="154">
        <v>2.6020596559343426E-2</v>
      </c>
      <c r="AA2324" s="156">
        <v>2.594074054221962E-2</v>
      </c>
    </row>
    <row r="2325" spans="19:27" x14ac:dyDescent="0.2">
      <c r="S2325" s="1"/>
      <c r="T2325" s="117"/>
      <c r="W2325" s="75" t="str">
        <f t="shared" ref="W2325:W2388" si="47">W2324</f>
        <v>1w</v>
      </c>
      <c r="X2325" s="148">
        <f>_xll.qlCalendarAdvance(Calendar,X2324,W2325,"f",FALSE)</f>
        <v>55234</v>
      </c>
      <c r="Y2325" s="153">
        <f>_xll.qlCalendarAdvance(Calendar,X2325,NDays&amp;"D")</f>
        <v>55234</v>
      </c>
      <c r="Z2325" s="154">
        <v>2.602001042666089E-2</v>
      </c>
      <c r="AA2325" s="156">
        <v>2.5940008543476889E-2</v>
      </c>
    </row>
    <row r="2326" spans="19:27" x14ac:dyDescent="0.2">
      <c r="S2326" s="1"/>
      <c r="T2326" s="117"/>
      <c r="W2326" s="75" t="str">
        <f t="shared" si="47"/>
        <v>1w</v>
      </c>
      <c r="X2326" s="148">
        <f>_xll.qlCalendarAdvance(Calendar,X2325,W2326,"f",FALSE)</f>
        <v>55241</v>
      </c>
      <c r="Y2326" s="153">
        <f>_xll.qlCalendarAdvance(Calendar,X2326,NDays&amp;"D")</f>
        <v>55241</v>
      </c>
      <c r="Z2326" s="154">
        <v>2.6019447465541697E-2</v>
      </c>
      <c r="AA2326" s="156">
        <v>2.5939299566740681E-2</v>
      </c>
    </row>
    <row r="2327" spans="19:27" x14ac:dyDescent="0.2">
      <c r="S2327" s="1"/>
      <c r="T2327" s="117"/>
      <c r="W2327" s="75" t="str">
        <f t="shared" si="47"/>
        <v>1w</v>
      </c>
      <c r="X2327" s="148">
        <f>_xll.qlCalendarAdvance(Calendar,X2326,W2327,"f",FALSE)</f>
        <v>55248</v>
      </c>
      <c r="Y2327" s="153">
        <f>_xll.qlCalendarAdvance(Calendar,X2327,NDays&amp;"D")</f>
        <v>55248</v>
      </c>
      <c r="Z2327" s="154">
        <v>2.601801652360812E-2</v>
      </c>
      <c r="AA2327" s="156">
        <v>2.5938613612254136E-2</v>
      </c>
    </row>
    <row r="2328" spans="19:27" x14ac:dyDescent="0.2">
      <c r="S2328" s="1"/>
      <c r="T2328" s="117"/>
      <c r="W2328" s="75" t="str">
        <f t="shared" si="47"/>
        <v>1w</v>
      </c>
      <c r="X2328" s="148">
        <f>_xll.qlCalendarAdvance(Calendar,X2327,W2328,"f",FALSE)</f>
        <v>55255</v>
      </c>
      <c r="Y2328" s="153">
        <f>_xll.qlCalendarAdvance(Calendar,X2328,NDays&amp;"D")</f>
        <v>55255</v>
      </c>
      <c r="Z2328" s="154">
        <v>2.6017498287300565E-2</v>
      </c>
      <c r="AA2328" s="156">
        <v>2.5937950679774113E-2</v>
      </c>
    </row>
    <row r="2329" spans="19:27" x14ac:dyDescent="0.2">
      <c r="S2329" s="1"/>
      <c r="T2329" s="117"/>
      <c r="W2329" s="75" t="str">
        <f t="shared" si="47"/>
        <v>1w</v>
      </c>
      <c r="X2329" s="148">
        <f>_xll.qlCalendarAdvance(Calendar,X2328,W2329,"f",FALSE)</f>
        <v>55262</v>
      </c>
      <c r="Y2329" s="153">
        <f>_xll.qlCalendarAdvance(Calendar,X2329,NDays&amp;"D")</f>
        <v>55262</v>
      </c>
      <c r="Z2329" s="154">
        <v>2.6017003220883166E-2</v>
      </c>
      <c r="AA2329" s="156">
        <v>2.5937310769462707E-2</v>
      </c>
    </row>
    <row r="2330" spans="19:27" x14ac:dyDescent="0.2">
      <c r="S2330" s="1"/>
      <c r="T2330" s="117"/>
      <c r="W2330" s="75" t="str">
        <f t="shared" si="47"/>
        <v>1w</v>
      </c>
      <c r="X2330" s="148">
        <f>_xll.qlCalendarAdvance(Calendar,X2329,W2330,"f",FALSE)</f>
        <v>55269</v>
      </c>
      <c r="Y2330" s="153">
        <f>_xll.qlCalendarAdvance(Calendar,X2330,NDays&amp;"D")</f>
        <v>55269</v>
      </c>
      <c r="Z2330" s="154">
        <v>2.6016531324347024E-2</v>
      </c>
      <c r="AA2330" s="156">
        <v>2.5936693881400963E-2</v>
      </c>
    </row>
    <row r="2331" spans="19:27" x14ac:dyDescent="0.2">
      <c r="S2331" s="1"/>
      <c r="T2331" s="117"/>
      <c r="W2331" s="75" t="str">
        <f t="shared" si="47"/>
        <v>1w</v>
      </c>
      <c r="X2331" s="148">
        <f>_xll.qlCalendarAdvance(Calendar,X2330,W2331,"f",FALSE)</f>
        <v>55276</v>
      </c>
      <c r="Y2331" s="153">
        <f>_xll.qlCalendarAdvance(Calendar,X2331,NDays&amp;"D")</f>
        <v>55276</v>
      </c>
      <c r="Z2331" s="154">
        <v>2.6016980233076914E-2</v>
      </c>
      <c r="AA2331" s="156">
        <v>2.5936100015345742E-2</v>
      </c>
    </row>
    <row r="2332" spans="19:27" x14ac:dyDescent="0.2">
      <c r="S2332" s="1"/>
      <c r="T2332" s="117"/>
      <c r="W2332" s="75" t="str">
        <f t="shared" si="47"/>
        <v>1w</v>
      </c>
      <c r="X2332" s="148">
        <f>_xll.qlCalendarAdvance(Calendar,X2331,W2332,"f",FALSE)</f>
        <v>55283</v>
      </c>
      <c r="Y2332" s="153">
        <f>_xll.qlCalendarAdvance(Calendar,X2332,NDays&amp;"D")</f>
        <v>55283</v>
      </c>
      <c r="Z2332" s="154">
        <v>2.6016556301149237E-2</v>
      </c>
      <c r="AA2332" s="156">
        <v>2.5935529171378091E-2</v>
      </c>
    </row>
    <row r="2333" spans="19:27" x14ac:dyDescent="0.2">
      <c r="S2333" s="1"/>
      <c r="T2333" s="117"/>
      <c r="W2333" s="75" t="str">
        <f t="shared" si="47"/>
        <v>1w</v>
      </c>
      <c r="X2333" s="148">
        <f>_xll.qlCalendarAdvance(Calendar,X2332,W2333,"f",FALSE)</f>
        <v>55290</v>
      </c>
      <c r="Y2333" s="153">
        <f>_xll.qlCalendarAdvance(Calendar,X2333,NDays&amp;"D")</f>
        <v>55290</v>
      </c>
      <c r="Z2333" s="154">
        <v>2.6016155540726754E-2</v>
      </c>
      <c r="AA2333" s="156">
        <v>2.5934981349822195E-2</v>
      </c>
    </row>
    <row r="2334" spans="19:27" x14ac:dyDescent="0.2">
      <c r="S2334" s="1"/>
      <c r="T2334" s="117"/>
      <c r="W2334" s="75" t="str">
        <f t="shared" si="47"/>
        <v>1w</v>
      </c>
      <c r="X2334" s="148">
        <f>_xll.qlCalendarAdvance(Calendar,X2333,W2334,"f",FALSE)</f>
        <v>55297</v>
      </c>
      <c r="Y2334" s="153">
        <f>_xll.qlCalendarAdvance(Calendar,X2334,NDays&amp;"D")</f>
        <v>55297</v>
      </c>
      <c r="Z2334" s="154">
        <v>2.6015777951800663E-2</v>
      </c>
      <c r="AA2334" s="156">
        <v>2.5934456550191776E-2</v>
      </c>
    </row>
    <row r="2335" spans="19:27" x14ac:dyDescent="0.2">
      <c r="S2335" s="1"/>
      <c r="T2335" s="117"/>
      <c r="W2335" s="75" t="str">
        <f t="shared" si="47"/>
        <v>1w</v>
      </c>
      <c r="X2335" s="148">
        <f>_xll.qlCalendarAdvance(Calendar,X2334,W2335,"f",FALSE)</f>
        <v>55304</v>
      </c>
      <c r="Y2335" s="153">
        <f>_xll.qlCalendarAdvance(Calendar,X2335,NDays&amp;"D")</f>
        <v>55304</v>
      </c>
      <c r="Z2335" s="154">
        <v>2.6015423534363032E-2</v>
      </c>
      <c r="AA2335" s="156">
        <v>2.5933954772648926E-2</v>
      </c>
    </row>
    <row r="2336" spans="19:27" x14ac:dyDescent="0.2">
      <c r="S2336" s="1"/>
      <c r="T2336" s="117"/>
      <c r="W2336" s="75" t="str">
        <f t="shared" si="47"/>
        <v>1w</v>
      </c>
      <c r="X2336" s="148">
        <f>_xll.qlCalendarAdvance(Calendar,X2335,W2336,"f",FALSE)</f>
        <v>55311</v>
      </c>
      <c r="Y2336" s="153">
        <f>_xll.qlCalendarAdvance(Calendar,X2336,NDays&amp;"D")</f>
        <v>55311</v>
      </c>
      <c r="Z2336" s="154">
        <v>2.6015092288410334E-2</v>
      </c>
      <c r="AA2336" s="156">
        <v>2.5933476017436785E-2</v>
      </c>
    </row>
    <row r="2337" spans="19:27" x14ac:dyDescent="0.2">
      <c r="S2337" s="1"/>
      <c r="T2337" s="117"/>
      <c r="W2337" s="75" t="str">
        <f t="shared" si="47"/>
        <v>1w</v>
      </c>
      <c r="X2337" s="148">
        <f>_xll.qlCalendarAdvance(Calendar,X2336,W2337,"f",FALSE)</f>
        <v>55318</v>
      </c>
      <c r="Y2337" s="153">
        <f>_xll.qlCalendarAdvance(Calendar,X2337,NDays&amp;"D")</f>
        <v>55318</v>
      </c>
      <c r="Z2337" s="154">
        <v>2.6014784213937291E-2</v>
      </c>
      <c r="AA2337" s="156">
        <v>2.5933020284312214E-2</v>
      </c>
    </row>
    <row r="2338" spans="19:27" x14ac:dyDescent="0.2">
      <c r="S2338" s="1"/>
      <c r="T2338" s="117"/>
      <c r="W2338" s="75" t="str">
        <f t="shared" si="47"/>
        <v>1w</v>
      </c>
      <c r="X2338" s="148">
        <f>_xll.qlCalendarAdvance(Calendar,X2337,W2338,"f",FALSE)</f>
        <v>55325</v>
      </c>
      <c r="Y2338" s="153">
        <f>_xll.qlCalendarAdvance(Calendar,X2338,NDays&amp;"D")</f>
        <v>55325</v>
      </c>
      <c r="Z2338" s="154">
        <v>2.6014499310935087E-2</v>
      </c>
      <c r="AA2338" s="156">
        <v>2.5932587573113119E-2</v>
      </c>
    </row>
    <row r="2339" spans="19:27" x14ac:dyDescent="0.2">
      <c r="S2339" s="1"/>
      <c r="T2339" s="117"/>
      <c r="W2339" s="75" t="str">
        <f t="shared" si="47"/>
        <v>1w</v>
      </c>
      <c r="X2339" s="148">
        <f>_xll.qlCalendarAdvance(Calendar,X2338,W2339,"f",FALSE)</f>
        <v>55332</v>
      </c>
      <c r="Y2339" s="153">
        <f>_xll.qlCalendarAdvance(Calendar,X2339,NDays&amp;"D")</f>
        <v>55332</v>
      </c>
      <c r="Z2339" s="154">
        <v>2.601423757940196E-2</v>
      </c>
      <c r="AA2339" s="156">
        <v>2.5932177884244734E-2</v>
      </c>
    </row>
    <row r="2340" spans="19:27" x14ac:dyDescent="0.2">
      <c r="S2340" s="1"/>
      <c r="T2340" s="117"/>
      <c r="W2340" s="75" t="str">
        <f t="shared" si="47"/>
        <v>1w</v>
      </c>
      <c r="X2340" s="148">
        <f>_xll.qlCalendarAdvance(Calendar,X2339,W2340,"f",FALSE)</f>
        <v>55339</v>
      </c>
      <c r="Y2340" s="153">
        <f>_xll.qlCalendarAdvance(Calendar,X2340,NDays&amp;"D")</f>
        <v>55339</v>
      </c>
      <c r="Z2340" s="154">
        <v>2.6013999019332629E-2</v>
      </c>
      <c r="AA2340" s="156">
        <v>2.593179121762601E-2</v>
      </c>
    </row>
    <row r="2341" spans="19:27" x14ac:dyDescent="0.2">
      <c r="S2341" s="1"/>
      <c r="T2341" s="117"/>
      <c r="W2341" s="75" t="str">
        <f t="shared" si="47"/>
        <v>1w</v>
      </c>
      <c r="X2341" s="148">
        <f>_xll.qlCalendarAdvance(Calendar,X2340,W2341,"f",FALSE)</f>
        <v>55346</v>
      </c>
      <c r="Y2341" s="153">
        <f>_xll.qlCalendarAdvance(Calendar,X2341,NDays&amp;"D")</f>
        <v>55346</v>
      </c>
      <c r="Z2341" s="154">
        <v>2.6013783630722685E-2</v>
      </c>
      <c r="AA2341" s="156">
        <v>2.5931427572932764E-2</v>
      </c>
    </row>
    <row r="2342" spans="19:27" x14ac:dyDescent="0.2">
      <c r="S2342" s="1"/>
      <c r="T2342" s="117"/>
      <c r="W2342" s="75" t="str">
        <f t="shared" si="47"/>
        <v>1w</v>
      </c>
      <c r="X2342" s="148">
        <f>_xll.qlCalendarAdvance(Calendar,X2341,W2342,"f",FALSE)</f>
        <v>55353</v>
      </c>
      <c r="Y2342" s="153">
        <f>_xll.qlCalendarAdvance(Calendar,X2342,NDays&amp;"D")</f>
        <v>55353</v>
      </c>
      <c r="Z2342" s="154">
        <v>2.6013591413565965E-2</v>
      </c>
      <c r="AA2342" s="156">
        <v>2.5931086950408133E-2</v>
      </c>
    </row>
    <row r="2343" spans="19:27" x14ac:dyDescent="0.2">
      <c r="S2343" s="1"/>
      <c r="T2343" s="117"/>
      <c r="W2343" s="75" t="str">
        <f t="shared" si="47"/>
        <v>1w</v>
      </c>
      <c r="X2343" s="148">
        <f>_xll.qlCalendarAdvance(Calendar,X2342,W2343,"f",FALSE)</f>
        <v>55360</v>
      </c>
      <c r="Y2343" s="153">
        <f>_xll.qlCalendarAdvance(Calendar,X2343,NDays&amp;"D")</f>
        <v>55360</v>
      </c>
      <c r="Z2343" s="154">
        <v>2.6013422367862468E-2</v>
      </c>
      <c r="AA2343" s="156">
        <v>2.5930769350133165E-2</v>
      </c>
    </row>
    <row r="2344" spans="19:27" x14ac:dyDescent="0.2">
      <c r="S2344" s="1"/>
      <c r="T2344" s="117"/>
      <c r="W2344" s="75" t="str">
        <f t="shared" si="47"/>
        <v>1w</v>
      </c>
      <c r="X2344" s="148">
        <f>_xll.qlCalendarAdvance(Calendar,X2343,W2344,"f",FALSE)</f>
        <v>55367</v>
      </c>
      <c r="Y2344" s="153">
        <f>_xll.qlCalendarAdvance(Calendar,X2344,NDays&amp;"D")</f>
        <v>55367</v>
      </c>
      <c r="Z2344" s="154">
        <v>2.6013276493609547E-2</v>
      </c>
      <c r="AA2344" s="156">
        <v>2.5930474771945766E-2</v>
      </c>
    </row>
    <row r="2345" spans="19:27" x14ac:dyDescent="0.2">
      <c r="S2345" s="1"/>
      <c r="T2345" s="117"/>
      <c r="W2345" s="75" t="str">
        <f t="shared" si="47"/>
        <v>1w</v>
      </c>
      <c r="X2345" s="148">
        <f>_xll.qlCalendarAdvance(Calendar,X2344,W2345,"f",FALSE)</f>
        <v>55374</v>
      </c>
      <c r="Y2345" s="153">
        <f>_xll.qlCalendarAdvance(Calendar,X2345,NDays&amp;"D")</f>
        <v>55374</v>
      </c>
      <c r="Z2345" s="154">
        <v>2.6013153790802806E-2</v>
      </c>
      <c r="AA2345" s="156">
        <v>2.5930203215764891E-2</v>
      </c>
    </row>
    <row r="2346" spans="19:27" x14ac:dyDescent="0.2">
      <c r="S2346" s="1"/>
      <c r="T2346" s="117"/>
      <c r="W2346" s="75" t="str">
        <f t="shared" si="47"/>
        <v>1w</v>
      </c>
      <c r="X2346" s="148">
        <f>_xll.qlCalendarAdvance(Calendar,X2345,W2346,"f",FALSE)</f>
        <v>55381</v>
      </c>
      <c r="Y2346" s="153">
        <f>_xll.qlCalendarAdvance(Calendar,X2346,NDays&amp;"D")</f>
        <v>55381</v>
      </c>
      <c r="Z2346" s="154">
        <v>2.6013054259439592E-2</v>
      </c>
      <c r="AA2346" s="156">
        <v>2.5929954681833678E-2</v>
      </c>
    </row>
    <row r="2347" spans="19:27" x14ac:dyDescent="0.2">
      <c r="S2347" s="1"/>
      <c r="T2347" s="117"/>
      <c r="W2347" s="75" t="str">
        <f t="shared" si="47"/>
        <v>1w</v>
      </c>
      <c r="X2347" s="148">
        <f>_xll.qlCalendarAdvance(Calendar,X2346,W2347,"f",FALSE)</f>
        <v>55388</v>
      </c>
      <c r="Y2347" s="153">
        <f>_xll.qlCalendarAdvance(Calendar,X2347,NDays&amp;"D")</f>
        <v>55388</v>
      </c>
      <c r="Z2347" s="154">
        <v>2.6012977899519913E-2</v>
      </c>
      <c r="AA2347" s="156">
        <v>2.5929729170071081E-2</v>
      </c>
    </row>
    <row r="2348" spans="19:27" x14ac:dyDescent="0.2">
      <c r="S2348" s="1"/>
      <c r="T2348" s="117"/>
      <c r="W2348" s="75" t="str">
        <f t="shared" si="47"/>
        <v>1w</v>
      </c>
      <c r="X2348" s="148">
        <f>_xll.qlCalendarAdvance(Calendar,X2347,W2348,"f",FALSE)</f>
        <v>55395</v>
      </c>
      <c r="Y2348" s="153">
        <f>_xll.qlCalendarAdvance(Calendar,X2348,NDays&amp;"D")</f>
        <v>55395</v>
      </c>
      <c r="Z2348" s="154">
        <v>2.6012924711041122E-2</v>
      </c>
      <c r="AA2348" s="156">
        <v>2.59295266804771E-2</v>
      </c>
    </row>
    <row r="2349" spans="19:27" x14ac:dyDescent="0.2">
      <c r="S2349" s="1"/>
      <c r="T2349" s="117"/>
      <c r="W2349" s="75" t="str">
        <f t="shared" si="47"/>
        <v>1w</v>
      </c>
      <c r="X2349" s="148">
        <f>_xll.qlCalendarAdvance(Calendar,X2348,W2349,"f",FALSE)</f>
        <v>55402</v>
      </c>
      <c r="Y2349" s="153">
        <f>_xll.qlCalendarAdvance(Calendar,X2349,NDays&amp;"D")</f>
        <v>55402</v>
      </c>
      <c r="Z2349" s="154">
        <v>2.6011967559076653E-2</v>
      </c>
      <c r="AA2349" s="156">
        <v>2.5929347212889642E-2</v>
      </c>
    </row>
    <row r="2350" spans="19:27" x14ac:dyDescent="0.2">
      <c r="S2350" s="1"/>
      <c r="T2350" s="117"/>
      <c r="W2350" s="75" t="str">
        <f t="shared" si="47"/>
        <v>1w</v>
      </c>
      <c r="X2350" s="148">
        <f>_xll.qlCalendarAdvance(Calendar,X2349,W2350,"f",FALSE)</f>
        <v>55409</v>
      </c>
      <c r="Y2350" s="153">
        <f>_xll.qlCalendarAdvance(Calendar,X2350,NDays&amp;"D")</f>
        <v>55409</v>
      </c>
      <c r="Z2350" s="154">
        <v>2.6011959058980128E-2</v>
      </c>
      <c r="AA2350" s="156">
        <v>2.5929190767551846E-2</v>
      </c>
    </row>
    <row r="2351" spans="19:27" x14ac:dyDescent="0.2">
      <c r="S2351" s="1"/>
      <c r="T2351" s="117"/>
      <c r="W2351" s="75" t="str">
        <f t="shared" si="47"/>
        <v>1w</v>
      </c>
      <c r="X2351" s="148">
        <f>_xll.qlCalendarAdvance(Calendar,X2350,W2351,"f",FALSE)</f>
        <v>55416</v>
      </c>
      <c r="Y2351" s="153">
        <f>_xll.qlCalendarAdvance(Calendar,X2351,NDays&amp;"D")</f>
        <v>55416</v>
      </c>
      <c r="Z2351" s="154">
        <v>2.6011973728678466E-2</v>
      </c>
      <c r="AA2351" s="156">
        <v>2.592905734430162E-2</v>
      </c>
    </row>
    <row r="2352" spans="19:27" x14ac:dyDescent="0.2">
      <c r="S2352" s="1"/>
      <c r="T2352" s="117"/>
      <c r="W2352" s="75" t="str">
        <f t="shared" si="47"/>
        <v>1w</v>
      </c>
      <c r="X2352" s="148">
        <f>_xll.qlCalendarAdvance(Calendar,X2351,W2352,"f",FALSE)</f>
        <v>55423</v>
      </c>
      <c r="Y2352" s="153">
        <f>_xll.qlCalendarAdvance(Calendar,X2352,NDays&amp;"D")</f>
        <v>55423</v>
      </c>
      <c r="Z2352" s="154">
        <v>2.6012011568169884E-2</v>
      </c>
      <c r="AA2352" s="156">
        <v>2.5928946943301057E-2</v>
      </c>
    </row>
    <row r="2353" spans="19:27" x14ac:dyDescent="0.2">
      <c r="S2353" s="1"/>
      <c r="T2353" s="117"/>
      <c r="W2353" s="75" t="str">
        <f t="shared" si="47"/>
        <v>1w</v>
      </c>
      <c r="X2353" s="148">
        <f>_xll.qlCalendarAdvance(Calendar,X2352,W2353,"f",FALSE)</f>
        <v>55430</v>
      </c>
      <c r="Y2353" s="153">
        <f>_xll.qlCalendarAdvance(Calendar,X2353,NDays&amp;"D")</f>
        <v>55430</v>
      </c>
      <c r="Z2353" s="154">
        <v>2.6013006340254344E-2</v>
      </c>
      <c r="AA2353" s="156">
        <v>2.5928859564144924E-2</v>
      </c>
    </row>
    <row r="2354" spans="19:27" x14ac:dyDescent="0.2">
      <c r="S2354" s="1"/>
      <c r="T2354" s="117"/>
      <c r="W2354" s="75" t="str">
        <f t="shared" si="47"/>
        <v>1w</v>
      </c>
      <c r="X2354" s="148">
        <f>_xll.qlCalendarAdvance(Calendar,X2353,W2354,"f",FALSE)</f>
        <v>55437</v>
      </c>
      <c r="Y2354" s="153">
        <f>_xll.qlCalendarAdvance(Calendar,X2354,NDays&amp;"D")</f>
        <v>55437</v>
      </c>
      <c r="Z2354" s="154">
        <v>2.6013092180419126E-2</v>
      </c>
      <c r="AA2354" s="156">
        <v>2.5928795207481592E-2</v>
      </c>
    </row>
    <row r="2355" spans="19:27" x14ac:dyDescent="0.2">
      <c r="S2355" s="1"/>
      <c r="T2355" s="117"/>
      <c r="W2355" s="75" t="str">
        <f t="shared" si="47"/>
        <v>1w</v>
      </c>
      <c r="X2355" s="148">
        <f>_xll.qlCalendarAdvance(Calendar,X2354,W2355,"f",FALSE)</f>
        <v>55444</v>
      </c>
      <c r="Y2355" s="153">
        <f>_xll.qlCalendarAdvance(Calendar,X2355,NDays&amp;"D")</f>
        <v>55444</v>
      </c>
      <c r="Z2355" s="154">
        <v>2.6013201192029201E-2</v>
      </c>
      <c r="AA2355" s="156">
        <v>2.5928753872743737E-2</v>
      </c>
    </row>
    <row r="2356" spans="19:27" x14ac:dyDescent="0.2">
      <c r="S2356" s="1"/>
      <c r="T2356" s="117"/>
      <c r="W2356" s="75" t="str">
        <f t="shared" si="47"/>
        <v>1w</v>
      </c>
      <c r="X2356" s="148">
        <f>_xll.qlCalendarAdvance(Calendar,X2355,W2356,"f",FALSE)</f>
        <v>55451</v>
      </c>
      <c r="Y2356" s="153">
        <f>_xll.qlCalendarAdvance(Calendar,X2356,NDays&amp;"D")</f>
        <v>55451</v>
      </c>
      <c r="Z2356" s="154">
        <v>2.6013333375083693E-2</v>
      </c>
      <c r="AA2356" s="156">
        <v>2.5928735560174498E-2</v>
      </c>
    </row>
    <row r="2357" spans="19:27" x14ac:dyDescent="0.2">
      <c r="S2357" s="1"/>
      <c r="T2357" s="117"/>
      <c r="W2357" s="75" t="str">
        <f t="shared" si="47"/>
        <v>1w</v>
      </c>
      <c r="X2357" s="148">
        <f>_xll.qlCalendarAdvance(Calendar,X2356,W2357,"f",FALSE)</f>
        <v>55458</v>
      </c>
      <c r="Y2357" s="153">
        <f>_xll.qlCalendarAdvance(Calendar,X2357,NDays&amp;"D")</f>
        <v>55458</v>
      </c>
      <c r="Z2357" s="154">
        <v>2.6013488729584356E-2</v>
      </c>
      <c r="AA2357" s="156">
        <v>2.5928740269692829E-2</v>
      </c>
    </row>
    <row r="2358" spans="19:27" x14ac:dyDescent="0.2">
      <c r="S2358" s="1"/>
      <c r="T2358" s="117"/>
      <c r="W2358" s="75" t="str">
        <f t="shared" si="47"/>
        <v>1w</v>
      </c>
      <c r="X2358" s="148">
        <f>_xll.qlCalendarAdvance(Calendar,X2357,W2358,"f",FALSE)</f>
        <v>55465</v>
      </c>
      <c r="Y2358" s="153">
        <f>_xll.qlCalendarAdvance(Calendar,X2358,NDays&amp;"D")</f>
        <v>55465</v>
      </c>
      <c r="Z2358" s="154">
        <v>2.60136672555356E-2</v>
      </c>
      <c r="AA2358" s="156">
        <v>2.5928768001379776E-2</v>
      </c>
    </row>
    <row r="2359" spans="19:27" x14ac:dyDescent="0.2">
      <c r="S2359" s="1"/>
      <c r="T2359" s="117"/>
      <c r="W2359" s="75" t="str">
        <f t="shared" si="47"/>
        <v>1w</v>
      </c>
      <c r="X2359" s="148">
        <f>_xll.qlCalendarAdvance(Calendar,X2358,W2359,"f",FALSE)</f>
        <v>55472</v>
      </c>
      <c r="Y2359" s="153">
        <f>_xll.qlCalendarAdvance(Calendar,X2359,NDays&amp;"D")</f>
        <v>55472</v>
      </c>
      <c r="Z2359" s="154">
        <v>2.6013868952941829E-2</v>
      </c>
      <c r="AA2359" s="156">
        <v>2.5928818755316385E-2</v>
      </c>
    </row>
    <row r="2360" spans="19:27" x14ac:dyDescent="0.2">
      <c r="S2360" s="1"/>
      <c r="T2360" s="117"/>
      <c r="W2360" s="75" t="str">
        <f t="shared" si="47"/>
        <v>1w</v>
      </c>
      <c r="X2360" s="148">
        <f>_xll.qlCalendarAdvance(Calendar,X2359,W2360,"f",FALSE)</f>
        <v>55479</v>
      </c>
      <c r="Y2360" s="153">
        <f>_xll.qlCalendarAdvance(Calendar,X2360,NDays&amp;"D")</f>
        <v>55479</v>
      </c>
      <c r="Z2360" s="154">
        <v>2.6014093821803926E-2</v>
      </c>
      <c r="AA2360" s="156">
        <v>2.5928892531259518E-2</v>
      </c>
    </row>
    <row r="2361" spans="19:27" x14ac:dyDescent="0.2">
      <c r="S2361" s="1"/>
      <c r="T2361" s="117"/>
      <c r="W2361" s="75" t="str">
        <f t="shared" si="47"/>
        <v>1w</v>
      </c>
      <c r="X2361" s="148">
        <f>_xll.qlCalendarAdvance(Calendar,X2360,W2361,"f",FALSE)</f>
        <v>55486</v>
      </c>
      <c r="Y2361" s="153">
        <f>_xll.qlCalendarAdvance(Calendar,X2361,NDays&amp;"D")</f>
        <v>55486</v>
      </c>
      <c r="Z2361" s="154">
        <v>2.6014341862127168E-2</v>
      </c>
      <c r="AA2361" s="156">
        <v>2.592898932929022E-2</v>
      </c>
    </row>
    <row r="2362" spans="19:27" x14ac:dyDescent="0.2">
      <c r="S2362" s="1"/>
      <c r="T2362" s="117"/>
      <c r="W2362" s="75" t="str">
        <f t="shared" si="47"/>
        <v>1w</v>
      </c>
      <c r="X2362" s="148">
        <f>_xll.qlCalendarAdvance(Calendar,X2361,W2362,"f",FALSE)</f>
        <v>55493</v>
      </c>
      <c r="Y2362" s="153">
        <f>_xll.qlCalendarAdvance(Calendar,X2362,NDays&amp;"D")</f>
        <v>55493</v>
      </c>
      <c r="Z2362" s="154">
        <v>2.6013664302104271E-2</v>
      </c>
      <c r="AA2362" s="156">
        <v>2.592910914965163E-2</v>
      </c>
    </row>
    <row r="2363" spans="19:27" x14ac:dyDescent="0.2">
      <c r="S2363" s="1"/>
      <c r="T2363" s="117"/>
      <c r="W2363" s="75" t="str">
        <f t="shared" si="47"/>
        <v>1w</v>
      </c>
      <c r="X2363" s="148">
        <f>_xll.qlCalendarAdvance(Calendar,X2362,W2363,"f",FALSE)</f>
        <v>55500</v>
      </c>
      <c r="Y2363" s="153">
        <f>_xll.qlCalendarAdvance(Calendar,X2363,NDays&amp;"D")</f>
        <v>55500</v>
      </c>
      <c r="Z2363" s="154">
        <v>2.6013957009462962E-2</v>
      </c>
      <c r="AA2363" s="156">
        <v>2.5929251992019564E-2</v>
      </c>
    </row>
    <row r="2364" spans="19:27" x14ac:dyDescent="0.2">
      <c r="S2364" s="1"/>
      <c r="T2364" s="117"/>
      <c r="W2364" s="75" t="str">
        <f t="shared" si="47"/>
        <v>1w</v>
      </c>
      <c r="X2364" s="148">
        <f>_xll.qlCalendarAdvance(Calendar,X2363,W2364,"f",FALSE)</f>
        <v>55507</v>
      </c>
      <c r="Y2364" s="153">
        <f>_xll.qlCalendarAdvance(Calendar,X2364,NDays&amp;"D")</f>
        <v>55507</v>
      </c>
      <c r="Z2364" s="154">
        <v>2.6014272886649471E-2</v>
      </c>
      <c r="AA2364" s="156">
        <v>2.5929417856556114E-2</v>
      </c>
    </row>
    <row r="2365" spans="19:27" x14ac:dyDescent="0.2">
      <c r="S2365" s="1"/>
      <c r="T2365" s="117"/>
      <c r="W2365" s="75" t="str">
        <f t="shared" si="47"/>
        <v>1w</v>
      </c>
      <c r="X2365" s="148">
        <f>_xll.qlCalendarAdvance(Calendar,X2364,W2365,"f",FALSE)</f>
        <v>55514</v>
      </c>
      <c r="Y2365" s="153">
        <f>_xll.qlCalendarAdvance(Calendar,X2365,NDays&amp;"D")</f>
        <v>55514</v>
      </c>
      <c r="Z2365" s="154">
        <v>2.6014611933670027E-2</v>
      </c>
      <c r="AA2365" s="156">
        <v>2.592960674326128E-2</v>
      </c>
    </row>
    <row r="2366" spans="19:27" x14ac:dyDescent="0.2">
      <c r="S2366" s="1"/>
      <c r="T2366" s="117"/>
      <c r="W2366" s="75" t="str">
        <f t="shared" si="47"/>
        <v>1w</v>
      </c>
      <c r="X2366" s="148">
        <f>_xll.qlCalendarAdvance(Calendar,X2365,W2366,"f",FALSE)</f>
        <v>55521</v>
      </c>
      <c r="Y2366" s="153">
        <f>_xll.qlCalendarAdvance(Calendar,X2366,NDays&amp;"D")</f>
        <v>55521</v>
      </c>
      <c r="Z2366" s="154">
        <v>2.6014974150529977E-2</v>
      </c>
      <c r="AA2366" s="156">
        <v>2.5929818652135062E-2</v>
      </c>
    </row>
    <row r="2367" spans="19:27" x14ac:dyDescent="0.2">
      <c r="S2367" s="1"/>
      <c r="T2367" s="117"/>
      <c r="W2367" s="75" t="str">
        <f t="shared" si="47"/>
        <v>1w</v>
      </c>
      <c r="X2367" s="148">
        <f>_xll.qlCalendarAdvance(Calendar,X2366,W2367,"f",FALSE)</f>
        <v>55528</v>
      </c>
      <c r="Y2367" s="153">
        <f>_xll.qlCalendarAdvance(Calendar,X2367,NDays&amp;"D")</f>
        <v>55528</v>
      </c>
      <c r="Z2367" s="154">
        <v>2.6015359537235553E-2</v>
      </c>
      <c r="AA2367" s="156">
        <v>2.5930053583015367E-2</v>
      </c>
    </row>
    <row r="2368" spans="19:27" x14ac:dyDescent="0.2">
      <c r="S2368" s="1"/>
      <c r="T2368" s="117"/>
      <c r="W2368" s="75" t="str">
        <f t="shared" si="47"/>
        <v>1w</v>
      </c>
      <c r="X2368" s="148">
        <f>_xll.qlCalendarAdvance(Calendar,X2367,W2368,"f",FALSE)</f>
        <v>55535</v>
      </c>
      <c r="Y2368" s="153">
        <f>_xll.qlCalendarAdvance(Calendar,X2368,NDays&amp;"D")</f>
        <v>55535</v>
      </c>
      <c r="Z2368" s="154">
        <v>2.6015768093793881E-2</v>
      </c>
      <c r="AA2368" s="156">
        <v>2.5930311536145334E-2</v>
      </c>
    </row>
    <row r="2369" spans="19:27" x14ac:dyDescent="0.2">
      <c r="S2369" s="1"/>
      <c r="T2369" s="117"/>
      <c r="W2369" s="75" t="str">
        <f t="shared" si="47"/>
        <v>1w</v>
      </c>
      <c r="X2369" s="148">
        <f>_xll.qlCalendarAdvance(Calendar,X2368,W2369,"f",FALSE)</f>
        <v>55542</v>
      </c>
      <c r="Y2369" s="153">
        <f>_xll.qlCalendarAdvance(Calendar,X2369,NDays&amp;"D")</f>
        <v>55542</v>
      </c>
      <c r="Z2369" s="154">
        <v>2.6016199820212978E-2</v>
      </c>
      <c r="AA2369" s="156">
        <v>2.5930592511524964E-2</v>
      </c>
    </row>
    <row r="2370" spans="19:27" x14ac:dyDescent="0.2">
      <c r="S2370" s="1"/>
      <c r="T2370" s="117"/>
      <c r="W2370" s="75" t="str">
        <f t="shared" si="47"/>
        <v>1w</v>
      </c>
      <c r="X2370" s="148">
        <f>_xll.qlCalendarAdvance(Calendar,X2369,W2370,"f",FALSE)</f>
        <v>55549</v>
      </c>
      <c r="Y2370" s="153">
        <f>_xll.qlCalendarAdvance(Calendar,X2370,NDays&amp;"D")</f>
        <v>55549</v>
      </c>
      <c r="Z2370" s="154">
        <v>2.6015692698079018E-2</v>
      </c>
      <c r="AA2370" s="156">
        <v>2.593089650883007E-2</v>
      </c>
    </row>
    <row r="2371" spans="19:27" x14ac:dyDescent="0.2">
      <c r="S2371" s="1"/>
      <c r="T2371" s="117"/>
      <c r="W2371" s="75" t="str">
        <f t="shared" si="47"/>
        <v>1w</v>
      </c>
      <c r="X2371" s="148">
        <f>_xll.qlCalendarAdvance(Calendar,X2370,W2371,"f",FALSE)</f>
        <v>55556</v>
      </c>
      <c r="Y2371" s="153">
        <f>_xll.qlCalendarAdvance(Calendar,X2371,NDays&amp;"D")</f>
        <v>55556</v>
      </c>
      <c r="Z2371" s="154">
        <v>2.6016169075400487E-2</v>
      </c>
      <c r="AA2371" s="156">
        <v>2.5931223528222747E-2</v>
      </c>
    </row>
    <row r="2372" spans="19:27" x14ac:dyDescent="0.2">
      <c r="S2372" s="1"/>
      <c r="T2372" s="117"/>
      <c r="W2372" s="75" t="str">
        <f t="shared" si="47"/>
        <v>1w</v>
      </c>
      <c r="X2372" s="148">
        <f>_xll.qlCalendarAdvance(Calendar,X2371,W2372,"f",FALSE)</f>
        <v>55563</v>
      </c>
      <c r="Y2372" s="153">
        <f>_xll.qlCalendarAdvance(Calendar,X2372,NDays&amp;"D")</f>
        <v>55563</v>
      </c>
      <c r="Z2372" s="154">
        <v>2.601666862095578E-2</v>
      </c>
      <c r="AA2372" s="156">
        <v>2.5931573569865085E-2</v>
      </c>
    </row>
    <row r="2373" spans="19:27" x14ac:dyDescent="0.2">
      <c r="S2373" s="1"/>
      <c r="T2373" s="117"/>
      <c r="W2373" s="75" t="str">
        <f t="shared" si="47"/>
        <v>1w</v>
      </c>
      <c r="X2373" s="148">
        <f>_xll.qlCalendarAdvance(Calendar,X2372,W2373,"f",FALSE)</f>
        <v>55570</v>
      </c>
      <c r="Y2373" s="153">
        <f>_xll.qlCalendarAdvance(Calendar,X2373,NDays&amp;"D")</f>
        <v>55570</v>
      </c>
      <c r="Z2373" s="154">
        <v>2.6017191334756603E-2</v>
      </c>
      <c r="AA2373" s="156">
        <v>2.5931946633757086E-2</v>
      </c>
    </row>
    <row r="2374" spans="19:27" x14ac:dyDescent="0.2">
      <c r="S2374" s="1"/>
      <c r="T2374" s="117"/>
      <c r="W2374" s="75" t="str">
        <f t="shared" si="47"/>
        <v>1w</v>
      </c>
      <c r="X2374" s="148">
        <f>_xll.qlCalendarAdvance(Calendar,X2373,W2374,"f",FALSE)</f>
        <v>55577</v>
      </c>
      <c r="Y2374" s="153">
        <f>_xll.qlCalendarAdvance(Calendar,X2374,NDays&amp;"D")</f>
        <v>55577</v>
      </c>
      <c r="Z2374" s="154">
        <v>2.6017737216810163E-2</v>
      </c>
      <c r="AA2374" s="156">
        <v>2.593234271965561E-2</v>
      </c>
    </row>
    <row r="2375" spans="19:27" x14ac:dyDescent="0.2">
      <c r="S2375" s="1"/>
      <c r="T2375" s="117"/>
      <c r="W2375" s="75" t="str">
        <f t="shared" si="47"/>
        <v>1w</v>
      </c>
      <c r="X2375" s="148">
        <f>_xll.qlCalendarAdvance(Calendar,X2374,W2375,"f",FALSE)</f>
        <v>55584</v>
      </c>
      <c r="Y2375" s="153">
        <f>_xll.qlCalendarAdvance(Calendar,X2375,NDays&amp;"D")</f>
        <v>55584</v>
      </c>
      <c r="Z2375" s="154">
        <v>2.6020247433201634E-2</v>
      </c>
      <c r="AA2375" s="156">
        <v>2.5932761827641704E-2</v>
      </c>
    </row>
    <row r="2376" spans="19:27" x14ac:dyDescent="0.2">
      <c r="S2376" s="1"/>
      <c r="T2376" s="117"/>
      <c r="W2376" s="75" t="str">
        <f t="shared" si="47"/>
        <v>1w</v>
      </c>
      <c r="X2376" s="148">
        <f>_xll.qlCalendarAdvance(Calendar,X2375,W2376,"f",FALSE)</f>
        <v>55591</v>
      </c>
      <c r="Y2376" s="153">
        <f>_xll.qlCalendarAdvance(Calendar,X2376,NDays&amp;"D")</f>
        <v>55591</v>
      </c>
      <c r="Z2376" s="154">
        <v>2.6020843046182129E-2</v>
      </c>
      <c r="AA2376" s="156">
        <v>2.593320395787746E-2</v>
      </c>
    </row>
    <row r="2377" spans="19:27" x14ac:dyDescent="0.2">
      <c r="S2377" s="1"/>
      <c r="T2377" s="117"/>
      <c r="W2377" s="75" t="str">
        <f t="shared" si="47"/>
        <v>1w</v>
      </c>
      <c r="X2377" s="148">
        <f>_xll.qlCalendarAdvance(Calendar,X2376,W2377,"f",FALSE)</f>
        <v>55598</v>
      </c>
      <c r="Y2377" s="153">
        <f>_xll.qlCalendarAdvance(Calendar,X2377,NDays&amp;"D")</f>
        <v>55598</v>
      </c>
      <c r="Z2377" s="154">
        <v>2.6021461830742703E-2</v>
      </c>
      <c r="AA2377" s="156">
        <v>2.5933669110200785E-2</v>
      </c>
    </row>
    <row r="2378" spans="19:27" x14ac:dyDescent="0.2">
      <c r="S2378" s="1"/>
      <c r="T2378" s="117"/>
      <c r="W2378" s="75" t="str">
        <f t="shared" si="47"/>
        <v>1w</v>
      </c>
      <c r="X2378" s="148">
        <f>_xll.qlCalendarAdvance(Calendar,X2377,W2378,"f",FALSE)</f>
        <v>55605</v>
      </c>
      <c r="Y2378" s="153">
        <f>_xll.qlCalendarAdvance(Calendar,X2378,NDays&amp;"D")</f>
        <v>55605</v>
      </c>
      <c r="Z2378" s="154">
        <v>2.6022103786890398E-2</v>
      </c>
      <c r="AA2378" s="156">
        <v>2.5934157284611681E-2</v>
      </c>
    </row>
    <row r="2379" spans="19:27" x14ac:dyDescent="0.2">
      <c r="S2379" s="1"/>
      <c r="T2379" s="117"/>
      <c r="W2379" s="75" t="str">
        <f t="shared" si="47"/>
        <v>1w</v>
      </c>
      <c r="X2379" s="148">
        <f>_xll.qlCalendarAdvance(Calendar,X2378,W2379,"f",FALSE)</f>
        <v>55612</v>
      </c>
      <c r="Y2379" s="153">
        <f>_xll.qlCalendarAdvance(Calendar,X2379,NDays&amp;"D")</f>
        <v>55612</v>
      </c>
      <c r="Z2379" s="154">
        <v>2.602179142849799E-2</v>
      </c>
      <c r="AA2379" s="156">
        <v>2.5934668481191192E-2</v>
      </c>
    </row>
    <row r="2380" spans="19:27" x14ac:dyDescent="0.2">
      <c r="S2380" s="1"/>
      <c r="T2380" s="117"/>
      <c r="W2380" s="75" t="str">
        <f t="shared" si="47"/>
        <v>1w</v>
      </c>
      <c r="X2380" s="148">
        <f>_xll.qlCalendarAdvance(Calendar,X2379,W2380,"f",FALSE)</f>
        <v>55619</v>
      </c>
      <c r="Y2380" s="153">
        <f>_xll.qlCalendarAdvance(Calendar,X2380,NDays&amp;"D")</f>
        <v>55619</v>
      </c>
      <c r="Z2380" s="154">
        <v>2.6022478023949289E-2</v>
      </c>
      <c r="AA2380" s="156">
        <v>2.5935202700020366E-2</v>
      </c>
    </row>
    <row r="2381" spans="19:27" x14ac:dyDescent="0.2">
      <c r="S2381" s="1"/>
      <c r="T2381" s="117"/>
      <c r="W2381" s="75" t="str">
        <f t="shared" si="47"/>
        <v>1w</v>
      </c>
      <c r="X2381" s="148">
        <f>_xll.qlCalendarAdvance(Calendar,X2380,W2381,"f",FALSE)</f>
        <v>55626</v>
      </c>
      <c r="Y2381" s="153">
        <f>_xll.qlCalendarAdvance(Calendar,X2381,NDays&amp;"D")</f>
        <v>55626</v>
      </c>
      <c r="Z2381" s="154">
        <v>2.6023187789376248E-2</v>
      </c>
      <c r="AA2381" s="156">
        <v>2.5935759940937109E-2</v>
      </c>
    </row>
    <row r="2382" spans="19:27" x14ac:dyDescent="0.2">
      <c r="S2382" s="1"/>
      <c r="T2382" s="117"/>
      <c r="W2382" s="75" t="str">
        <f t="shared" si="47"/>
        <v>1w</v>
      </c>
      <c r="X2382" s="148">
        <f>_xll.qlCalendarAdvance(Calendar,X2381,W2382,"f",FALSE)</f>
        <v>55633</v>
      </c>
      <c r="Y2382" s="153">
        <f>_xll.qlCalendarAdvance(Calendar,X2382,NDays&amp;"D")</f>
        <v>55633</v>
      </c>
      <c r="Z2382" s="154">
        <v>2.6023920724788659E-2</v>
      </c>
      <c r="AA2382" s="156">
        <v>2.5936340203941421E-2</v>
      </c>
    </row>
    <row r="2383" spans="19:27" x14ac:dyDescent="0.2">
      <c r="S2383" s="1"/>
      <c r="T2383" s="117"/>
      <c r="W2383" s="75" t="str">
        <f t="shared" si="47"/>
        <v>1w</v>
      </c>
      <c r="X2383" s="148">
        <f>_xll.qlCalendarAdvance(Calendar,X2382,W2383,"f",FALSE)</f>
        <v>55640</v>
      </c>
      <c r="Y2383" s="153">
        <f>_xll.qlCalendarAdvance(Calendar,X2383,NDays&amp;"D")</f>
        <v>55640</v>
      </c>
      <c r="Z2383" s="154">
        <v>2.6025661141875343E-2</v>
      </c>
      <c r="AA2383" s="156">
        <v>2.593694348911435E-2</v>
      </c>
    </row>
    <row r="2384" spans="19:27" x14ac:dyDescent="0.2">
      <c r="S2384" s="1"/>
      <c r="T2384" s="117"/>
      <c r="W2384" s="75" t="str">
        <f t="shared" si="47"/>
        <v>1w</v>
      </c>
      <c r="X2384" s="148">
        <f>_xll.qlCalendarAdvance(Calendar,X2383,W2384,"f",FALSE)</f>
        <v>55647</v>
      </c>
      <c r="Y2384" s="153">
        <f>_xll.qlCalendarAdvance(Calendar,X2384,NDays&amp;"D")</f>
        <v>55647</v>
      </c>
      <c r="Z2384" s="154">
        <v>2.6026442127808309E-2</v>
      </c>
      <c r="AA2384" s="156">
        <v>2.5937569796455895E-2</v>
      </c>
    </row>
    <row r="2385" spans="19:27" x14ac:dyDescent="0.2">
      <c r="S2385" s="1"/>
      <c r="T2385" s="117"/>
      <c r="W2385" s="75" t="str">
        <f t="shared" si="47"/>
        <v>1w</v>
      </c>
      <c r="X2385" s="148">
        <f>_xll.qlCalendarAdvance(Calendar,X2384,W2385,"f",FALSE)</f>
        <v>55654</v>
      </c>
      <c r="Y2385" s="153">
        <f>_xll.qlCalendarAdvance(Calendar,X2385,NDays&amp;"D")</f>
        <v>55654</v>
      </c>
      <c r="Z2385" s="154">
        <v>2.6027246285415612E-2</v>
      </c>
      <c r="AA2385" s="156">
        <v>2.5938219125803963E-2</v>
      </c>
    </row>
    <row r="2386" spans="19:27" x14ac:dyDescent="0.2">
      <c r="S2386" s="1"/>
      <c r="T2386" s="117"/>
      <c r="W2386" s="75" t="str">
        <f t="shared" si="47"/>
        <v>1w</v>
      </c>
      <c r="X2386" s="148">
        <f>_xll.qlCalendarAdvance(Calendar,X2385,W2386,"f",FALSE)</f>
        <v>55661</v>
      </c>
      <c r="Y2386" s="153">
        <f>_xll.qlCalendarAdvance(Calendar,X2386,NDays&amp;"D")</f>
        <v>55661</v>
      </c>
      <c r="Z2386" s="154">
        <v>2.6028073614713109E-2</v>
      </c>
      <c r="AA2386" s="156">
        <v>2.5938891477320647E-2</v>
      </c>
    </row>
    <row r="2387" spans="19:27" x14ac:dyDescent="0.2">
      <c r="S2387" s="1"/>
      <c r="T2387" s="117"/>
      <c r="W2387" s="75" t="str">
        <f t="shared" si="47"/>
        <v>1w</v>
      </c>
      <c r="X2387" s="148">
        <f>_xll.qlCalendarAdvance(Calendar,X2386,W2387,"f",FALSE)</f>
        <v>55668</v>
      </c>
      <c r="Y2387" s="153">
        <f>_xll.qlCalendarAdvance(Calendar,X2387,NDays&amp;"D")</f>
        <v>55668</v>
      </c>
      <c r="Z2387" s="154">
        <v>2.6028924115715776E-2</v>
      </c>
      <c r="AA2387" s="156">
        <v>2.5939586851086993E-2</v>
      </c>
    </row>
    <row r="2388" spans="19:27" x14ac:dyDescent="0.2">
      <c r="S2388" s="1"/>
      <c r="T2388" s="117"/>
      <c r="W2388" s="75" t="str">
        <f t="shared" si="47"/>
        <v>1w</v>
      </c>
      <c r="X2388" s="148">
        <f>_xll.qlCalendarAdvance(Calendar,X2387,W2388,"f",FALSE)</f>
        <v>55675</v>
      </c>
      <c r="Y2388" s="153">
        <f>_xll.qlCalendarAdvance(Calendar,X2388,NDays&amp;"D")</f>
        <v>55675</v>
      </c>
      <c r="Z2388" s="154">
        <v>2.602979778843683E-2</v>
      </c>
      <c r="AA2388" s="156">
        <v>2.5940305246940909E-2</v>
      </c>
    </row>
    <row r="2389" spans="19:27" x14ac:dyDescent="0.2">
      <c r="S2389" s="1"/>
      <c r="T2389" s="117"/>
      <c r="W2389" s="75" t="str">
        <f t="shared" ref="W2389:W2452" si="48">W2388</f>
        <v>1w</v>
      </c>
      <c r="X2389" s="148">
        <f>_xll.qlCalendarAdvance(Calendar,X2388,W2389,"f",FALSE)</f>
        <v>55682</v>
      </c>
      <c r="Y2389" s="153">
        <f>_xll.qlCalendarAdvance(Calendar,X2389,NDays&amp;"D")</f>
        <v>55682</v>
      </c>
      <c r="Z2389" s="154">
        <v>2.6030694632892124E-2</v>
      </c>
      <c r="AA2389" s="156">
        <v>2.5941046664963441E-2</v>
      </c>
    </row>
    <row r="2390" spans="19:27" x14ac:dyDescent="0.2">
      <c r="S2390" s="1"/>
      <c r="T2390" s="117"/>
      <c r="W2390" s="75" t="str">
        <f t="shared" si="48"/>
        <v>1w</v>
      </c>
      <c r="X2390" s="148">
        <f>_xll.qlCalendarAdvance(Calendar,X2389,W2390,"f",FALSE)</f>
        <v>55689</v>
      </c>
      <c r="Y2390" s="153">
        <f>_xll.qlCalendarAdvance(Calendar,X2390,NDays&amp;"D")</f>
        <v>55689</v>
      </c>
      <c r="Z2390" s="154">
        <v>2.6031614649098398E-2</v>
      </c>
      <c r="AA2390" s="156">
        <v>2.5941811105154589E-2</v>
      </c>
    </row>
    <row r="2391" spans="19:27" x14ac:dyDescent="0.2">
      <c r="S2391" s="1"/>
      <c r="T2391" s="117"/>
      <c r="W2391" s="75" t="str">
        <f t="shared" si="48"/>
        <v>1w</v>
      </c>
      <c r="X2391" s="148">
        <f>_xll.qlCalendarAdvance(Calendar,X2390,W2391,"f",FALSE)</f>
        <v>55696</v>
      </c>
      <c r="Y2391" s="153">
        <f>_xll.qlCalendarAdvance(Calendar,X2391,NDays&amp;"D")</f>
        <v>55696</v>
      </c>
      <c r="Z2391" s="154">
        <v>2.6032557837067986E-2</v>
      </c>
      <c r="AA2391" s="156">
        <v>2.594259856735226E-2</v>
      </c>
    </row>
    <row r="2392" spans="19:27" x14ac:dyDescent="0.2">
      <c r="S2392" s="1"/>
      <c r="T2392" s="117"/>
      <c r="W2392" s="75" t="str">
        <f t="shared" si="48"/>
        <v>1w</v>
      </c>
      <c r="X2392" s="148">
        <f>_xll.qlCalendarAdvance(Calendar,X2391,W2392,"f",FALSE)</f>
        <v>55703</v>
      </c>
      <c r="Y2392" s="153">
        <f>_xll.qlCalendarAdvance(Calendar,X2392,NDays&amp;"D")</f>
        <v>55703</v>
      </c>
      <c r="Z2392" s="154">
        <v>2.6033524196822908E-2</v>
      </c>
      <c r="AA2392" s="156">
        <v>2.5943409051880639E-2</v>
      </c>
    </row>
    <row r="2393" spans="19:27" x14ac:dyDescent="0.2">
      <c r="S2393" s="1"/>
      <c r="T2393" s="117"/>
      <c r="W2393" s="75" t="str">
        <f t="shared" si="48"/>
        <v>1w</v>
      </c>
      <c r="X2393" s="148">
        <f>_xll.qlCalendarAdvance(Calendar,X2392,W2393,"f",FALSE)</f>
        <v>55710</v>
      </c>
      <c r="Y2393" s="153">
        <f>_xll.qlCalendarAdvance(Calendar,X2393,NDays&amp;"D")</f>
        <v>55710</v>
      </c>
      <c r="Z2393" s="154">
        <v>2.6034513728374616E-2</v>
      </c>
      <c r="AA2393" s="156">
        <v>2.5944242558334496E-2</v>
      </c>
    </row>
    <row r="2394" spans="19:27" x14ac:dyDescent="0.2">
      <c r="S2394" s="1"/>
      <c r="T2394" s="117"/>
      <c r="W2394" s="75" t="str">
        <f t="shared" si="48"/>
        <v>1w</v>
      </c>
      <c r="X2394" s="148">
        <f>_xll.qlCalendarAdvance(Calendar,X2393,W2394,"f",FALSE)</f>
        <v>55717</v>
      </c>
      <c r="Y2394" s="153">
        <f>_xll.qlCalendarAdvance(Calendar,X2394,NDays&amp;"D")</f>
        <v>55717</v>
      </c>
      <c r="Z2394" s="154">
        <v>2.6035526431744258E-2</v>
      </c>
      <c r="AA2394" s="156">
        <v>2.5945099087038015E-2</v>
      </c>
    </row>
    <row r="2395" spans="19:27" x14ac:dyDescent="0.2">
      <c r="S2395" s="1"/>
      <c r="T2395" s="117"/>
      <c r="W2395" s="75" t="str">
        <f t="shared" si="48"/>
        <v>1w</v>
      </c>
      <c r="X2395" s="148">
        <f>_xll.qlCalendarAdvance(Calendar,X2394,W2395,"f",FALSE)</f>
        <v>55724</v>
      </c>
      <c r="Y2395" s="153">
        <f>_xll.qlCalendarAdvance(Calendar,X2395,NDays&amp;"D")</f>
        <v>55724</v>
      </c>
      <c r="Z2395" s="154">
        <v>2.6036562306946807E-2</v>
      </c>
      <c r="AA2395" s="156">
        <v>2.594597863791015E-2</v>
      </c>
    </row>
    <row r="2396" spans="19:27" x14ac:dyDescent="0.2">
      <c r="S2396" s="1"/>
      <c r="T2396" s="117"/>
      <c r="W2396" s="75" t="str">
        <f t="shared" si="48"/>
        <v>1w</v>
      </c>
      <c r="X2396" s="148">
        <f>_xll.qlCalendarAdvance(Calendar,X2395,W2396,"f",FALSE)</f>
        <v>55731</v>
      </c>
      <c r="Y2396" s="153">
        <f>_xll.qlCalendarAdvance(Calendar,X2396,NDays&amp;"D")</f>
        <v>55731</v>
      </c>
      <c r="Z2396" s="154">
        <v>2.6037621354001641E-2</v>
      </c>
      <c r="AA2396" s="156">
        <v>2.5946881210788808E-2</v>
      </c>
    </row>
    <row r="2397" spans="19:27" x14ac:dyDescent="0.2">
      <c r="S2397" s="1"/>
      <c r="T2397" s="117"/>
      <c r="W2397" s="75" t="str">
        <f t="shared" si="48"/>
        <v>1w</v>
      </c>
      <c r="X2397" s="148">
        <f>_xll.qlCalendarAdvance(Calendar,X2396,W2397,"f",FALSE)</f>
        <v>55738</v>
      </c>
      <c r="Y2397" s="153">
        <f>_xll.qlCalendarAdvance(Calendar,X2397,NDays&amp;"D")</f>
        <v>55738</v>
      </c>
      <c r="Z2397" s="154">
        <v>2.6038703572927265E-2</v>
      </c>
      <c r="AA2397" s="156">
        <v>2.5947806805998175E-2</v>
      </c>
    </row>
    <row r="2398" spans="19:27" x14ac:dyDescent="0.2">
      <c r="S2398" s="1"/>
      <c r="T2398" s="117"/>
      <c r="W2398" s="75" t="str">
        <f t="shared" si="48"/>
        <v>1w</v>
      </c>
      <c r="X2398" s="148">
        <f>_xll.qlCalendarAdvance(Calendar,X2397,W2398,"f",FALSE)</f>
        <v>55745</v>
      </c>
      <c r="Y2398" s="153">
        <f>_xll.qlCalendarAdvance(Calendar,X2398,NDays&amp;"D")</f>
        <v>55745</v>
      </c>
      <c r="Z2398" s="154">
        <v>2.603980896374217E-2</v>
      </c>
      <c r="AA2398" s="156">
        <v>2.5948755423295111E-2</v>
      </c>
    </row>
    <row r="2399" spans="19:27" x14ac:dyDescent="0.2">
      <c r="S2399" s="1"/>
      <c r="T2399" s="117"/>
      <c r="W2399" s="75" t="str">
        <f t="shared" si="48"/>
        <v>1w</v>
      </c>
      <c r="X2399" s="148">
        <f>_xll.qlCalendarAdvance(Calendar,X2398,W2399,"f",FALSE)</f>
        <v>55752</v>
      </c>
      <c r="Y2399" s="153">
        <f>_xll.qlCalendarAdvance(Calendar,X2399,NDays&amp;"D")</f>
        <v>55752</v>
      </c>
      <c r="Z2399" s="154">
        <v>2.6040937526466627E-2</v>
      </c>
      <c r="AA2399" s="156">
        <v>2.5949727062679617E-2</v>
      </c>
    </row>
    <row r="2400" spans="19:27" x14ac:dyDescent="0.2">
      <c r="S2400" s="1"/>
      <c r="T2400" s="117"/>
      <c r="W2400" s="75" t="str">
        <f t="shared" si="48"/>
        <v>1w</v>
      </c>
      <c r="X2400" s="148">
        <f>_xll.qlCalendarAdvance(Calendar,X2399,W2400,"f",FALSE)</f>
        <v>55759</v>
      </c>
      <c r="Y2400" s="153">
        <f>_xll.qlCalendarAdvance(Calendar,X2400,NDays&amp;"D")</f>
        <v>55759</v>
      </c>
      <c r="Z2400" s="154">
        <v>2.6042089261115609E-2</v>
      </c>
      <c r="AA2400" s="156">
        <v>2.5950721724151693E-2</v>
      </c>
    </row>
    <row r="2401" spans="19:27" x14ac:dyDescent="0.2">
      <c r="S2401" s="1"/>
      <c r="T2401" s="117"/>
      <c r="W2401" s="75" t="str">
        <f t="shared" si="48"/>
        <v>1w</v>
      </c>
      <c r="X2401" s="148">
        <f>_xll.qlCalendarAdvance(Calendar,X2400,W2401,"f",FALSE)</f>
        <v>55766</v>
      </c>
      <c r="Y2401" s="153">
        <f>_xll.qlCalendarAdvance(Calendar,X2401,NDays&amp;"D")</f>
        <v>55766</v>
      </c>
      <c r="Z2401" s="154">
        <v>2.6042248814399125E-2</v>
      </c>
      <c r="AA2401" s="156">
        <v>2.5951739407792385E-2</v>
      </c>
    </row>
    <row r="2402" spans="19:27" x14ac:dyDescent="0.2">
      <c r="S2402" s="1"/>
      <c r="T2402" s="117"/>
      <c r="W2402" s="75" t="str">
        <f t="shared" si="48"/>
        <v>1w</v>
      </c>
      <c r="X2402" s="148">
        <f>_xll.qlCalendarAdvance(Calendar,X2401,W2402,"f",FALSE)</f>
        <v>55773</v>
      </c>
      <c r="Y2402" s="153">
        <f>_xll.qlCalendarAdvance(Calendar,X2402,NDays&amp;"D")</f>
        <v>55773</v>
      </c>
      <c r="Z2402" s="154">
        <v>2.6043445152740201E-2</v>
      </c>
      <c r="AA2402" s="156">
        <v>2.5952780113763785E-2</v>
      </c>
    </row>
    <row r="2403" spans="19:27" x14ac:dyDescent="0.2">
      <c r="S2403" s="1"/>
      <c r="T2403" s="117"/>
      <c r="W2403" s="75" t="str">
        <f t="shared" si="48"/>
        <v>1w</v>
      </c>
      <c r="X2403" s="148">
        <f>_xll.qlCalendarAdvance(Calendar,X2402,W2403,"f",FALSE)</f>
        <v>55780</v>
      </c>
      <c r="Y2403" s="153">
        <f>_xll.qlCalendarAdvance(Calendar,X2403,NDays&amp;"D")</f>
        <v>55780</v>
      </c>
      <c r="Z2403" s="154">
        <v>2.6044664661414967E-2</v>
      </c>
      <c r="AA2403" s="156">
        <v>2.5953843841660662E-2</v>
      </c>
    </row>
    <row r="2404" spans="19:27" x14ac:dyDescent="0.2">
      <c r="S2404" s="1"/>
      <c r="T2404" s="117"/>
      <c r="W2404" s="75" t="str">
        <f t="shared" si="48"/>
        <v>1w</v>
      </c>
      <c r="X2404" s="148">
        <f>_xll.qlCalendarAdvance(Calendar,X2403,W2404,"f",FALSE)</f>
        <v>55787</v>
      </c>
      <c r="Y2404" s="153">
        <f>_xll.qlCalendarAdvance(Calendar,X2404,NDays&amp;"D")</f>
        <v>55787</v>
      </c>
      <c r="Z2404" s="154">
        <v>2.6047948713283246E-2</v>
      </c>
      <c r="AA2404" s="156">
        <v>2.5954930591726155E-2</v>
      </c>
    </row>
    <row r="2405" spans="19:27" x14ac:dyDescent="0.2">
      <c r="S2405" s="1"/>
      <c r="T2405" s="117"/>
      <c r="W2405" s="75" t="str">
        <f t="shared" si="48"/>
        <v>1w</v>
      </c>
      <c r="X2405" s="148">
        <f>_xll.qlCalendarAdvance(Calendar,X2404,W2405,"f",FALSE)</f>
        <v>55794</v>
      </c>
      <c r="Y2405" s="153">
        <f>_xll.qlCalendarAdvance(Calendar,X2405,NDays&amp;"D")</f>
        <v>55794</v>
      </c>
      <c r="Z2405" s="154">
        <v>2.6048195514012405E-2</v>
      </c>
      <c r="AA2405" s="156">
        <v>2.5956040363960264E-2</v>
      </c>
    </row>
    <row r="2406" spans="19:27" x14ac:dyDescent="0.2">
      <c r="S2406" s="1"/>
      <c r="T2406" s="117"/>
      <c r="W2406" s="75" t="str">
        <f t="shared" si="48"/>
        <v>1w</v>
      </c>
      <c r="X2406" s="148">
        <f>_xll.qlCalendarAdvance(Calendar,X2405,W2406,"f",FALSE)</f>
        <v>55801</v>
      </c>
      <c r="Y2406" s="153">
        <f>_xll.qlCalendarAdvance(Calendar,X2406,NDays&amp;"D")</f>
        <v>55801</v>
      </c>
      <c r="Z2406" s="154">
        <v>2.6049486280669262E-2</v>
      </c>
      <c r="AA2406" s="156">
        <v>2.5957173158444036E-2</v>
      </c>
    </row>
    <row r="2407" spans="19:27" x14ac:dyDescent="0.2">
      <c r="S2407" s="1"/>
      <c r="T2407" s="117"/>
      <c r="W2407" s="75" t="str">
        <f t="shared" si="48"/>
        <v>1w</v>
      </c>
      <c r="X2407" s="148">
        <f>_xll.qlCalendarAdvance(Calendar,X2406,W2407,"f",FALSE)</f>
        <v>55808</v>
      </c>
      <c r="Y2407" s="153">
        <f>_xll.qlCalendarAdvance(Calendar,X2407,NDays&amp;"D")</f>
        <v>55808</v>
      </c>
      <c r="Z2407" s="154">
        <v>2.6050800219401281E-2</v>
      </c>
      <c r="AA2407" s="156">
        <v>2.595832897493433E-2</v>
      </c>
    </row>
    <row r="2408" spans="19:27" x14ac:dyDescent="0.2">
      <c r="S2408" s="1"/>
      <c r="T2408" s="117"/>
      <c r="W2408" s="75" t="str">
        <f t="shared" si="48"/>
        <v>1w</v>
      </c>
      <c r="X2408" s="148">
        <f>_xll.qlCalendarAdvance(Calendar,X2407,W2408,"f",FALSE)</f>
        <v>55815</v>
      </c>
      <c r="Y2408" s="153">
        <f>_xll.qlCalendarAdvance(Calendar,X2408,NDays&amp;"D")</f>
        <v>55815</v>
      </c>
      <c r="Z2408" s="154">
        <v>2.6052137330233132E-2</v>
      </c>
      <c r="AA2408" s="156">
        <v>2.5959507813593241E-2</v>
      </c>
    </row>
    <row r="2409" spans="19:27" x14ac:dyDescent="0.2">
      <c r="S2409" s="1"/>
      <c r="T2409" s="117"/>
      <c r="W2409" s="75" t="str">
        <f t="shared" si="48"/>
        <v>1w</v>
      </c>
      <c r="X2409" s="148">
        <f>_xll.qlCalendarAdvance(Calendar,X2408,W2409,"f",FALSE)</f>
        <v>55822</v>
      </c>
      <c r="Y2409" s="153">
        <f>_xll.qlCalendarAdvance(Calendar,X2409,NDays&amp;"D")</f>
        <v>55822</v>
      </c>
      <c r="Z2409" s="154">
        <v>2.6053497613188599E-2</v>
      </c>
      <c r="AA2409" s="156">
        <v>2.5960709674501814E-2</v>
      </c>
    </row>
    <row r="2410" spans="19:27" x14ac:dyDescent="0.2">
      <c r="S2410" s="1"/>
      <c r="T2410" s="117"/>
      <c r="W2410" s="75" t="str">
        <f t="shared" si="48"/>
        <v>1w</v>
      </c>
      <c r="X2410" s="148">
        <f>_xll.qlCalendarAdvance(Calendar,X2409,W2410,"f",FALSE)</f>
        <v>55829</v>
      </c>
      <c r="Y2410" s="153">
        <f>_xll.qlCalendarAdvance(Calendar,X2410,NDays&amp;"D")</f>
        <v>55829</v>
      </c>
      <c r="Z2410" s="154">
        <v>2.6054881068291468E-2</v>
      </c>
      <c r="AA2410" s="156">
        <v>2.5961934557335864E-2</v>
      </c>
    </row>
    <row r="2411" spans="19:27" x14ac:dyDescent="0.2">
      <c r="S2411" s="1"/>
      <c r="T2411" s="117"/>
      <c r="W2411" s="75" t="str">
        <f t="shared" si="48"/>
        <v>1w</v>
      </c>
      <c r="X2411" s="148">
        <f>_xll.qlCalendarAdvance(Calendar,X2410,W2411,"f",FALSE)</f>
        <v>55836</v>
      </c>
      <c r="Y2411" s="153">
        <f>_xll.qlCalendarAdvance(Calendar,X2411,NDays&amp;"D")</f>
        <v>55836</v>
      </c>
      <c r="Z2411" s="154">
        <v>2.6056287695564641E-2</v>
      </c>
      <c r="AA2411" s="156">
        <v>2.5963182462500622E-2</v>
      </c>
    </row>
    <row r="2412" spans="19:27" x14ac:dyDescent="0.2">
      <c r="S2412" s="1"/>
      <c r="T2412" s="117"/>
      <c r="W2412" s="75" t="str">
        <f t="shared" si="48"/>
        <v>1w</v>
      </c>
      <c r="X2412" s="148">
        <f>_xll.qlCalendarAdvance(Calendar,X2411,W2412,"f",FALSE)</f>
        <v>55843</v>
      </c>
      <c r="Y2412" s="153">
        <f>_xll.qlCalendarAdvance(Calendar,X2412,NDays&amp;"D")</f>
        <v>55843</v>
      </c>
      <c r="Z2412" s="154">
        <v>2.6057717495031905E-2</v>
      </c>
      <c r="AA2412" s="156">
        <v>2.5964453389752951E-2</v>
      </c>
    </row>
    <row r="2413" spans="19:27" x14ac:dyDescent="0.2">
      <c r="S2413" s="1"/>
      <c r="T2413" s="117"/>
      <c r="W2413" s="75" t="str">
        <f t="shared" si="48"/>
        <v>1w</v>
      </c>
      <c r="X2413" s="148">
        <f>_xll.qlCalendarAdvance(Calendar,X2412,W2413,"f",FALSE)</f>
        <v>55850</v>
      </c>
      <c r="Y2413" s="153">
        <f>_xll.qlCalendarAdvance(Calendar,X2413,NDays&amp;"D")</f>
        <v>55850</v>
      </c>
      <c r="Z2413" s="154">
        <v>2.6059170466721453E-2</v>
      </c>
      <c r="AA2413" s="156">
        <v>2.5965747339092848E-2</v>
      </c>
    </row>
    <row r="2414" spans="19:27" x14ac:dyDescent="0.2">
      <c r="S2414" s="1"/>
      <c r="T2414" s="117"/>
      <c r="W2414" s="75" t="str">
        <f t="shared" si="48"/>
        <v>1w</v>
      </c>
      <c r="X2414" s="148">
        <f>_xll.qlCalendarAdvance(Calendar,X2413,W2414,"f",FALSE)</f>
        <v>55857</v>
      </c>
      <c r="Y2414" s="153">
        <f>_xll.qlCalendarAdvance(Calendar,X2414,NDays&amp;"D")</f>
        <v>55857</v>
      </c>
      <c r="Z2414" s="154">
        <v>2.6058570617289792E-2</v>
      </c>
      <c r="AA2414" s="156">
        <v>2.5967064310682408E-2</v>
      </c>
    </row>
    <row r="2415" spans="19:27" x14ac:dyDescent="0.2">
      <c r="S2415" s="1"/>
      <c r="T2415" s="117"/>
      <c r="W2415" s="75" t="str">
        <f t="shared" si="48"/>
        <v>1w</v>
      </c>
      <c r="X2415" s="148">
        <f>_xll.qlCalendarAdvance(Calendar,X2414,W2415,"f",FALSE)</f>
        <v>55864</v>
      </c>
      <c r="Y2415" s="153">
        <f>_xll.qlCalendarAdvance(Calendar,X2415,NDays&amp;"D")</f>
        <v>55864</v>
      </c>
      <c r="Z2415" s="154">
        <v>2.6060066410248793E-2</v>
      </c>
      <c r="AA2415" s="156">
        <v>2.5968404304359538E-2</v>
      </c>
    </row>
    <row r="2416" spans="19:27" x14ac:dyDescent="0.2">
      <c r="S2416" s="1"/>
      <c r="T2416" s="117"/>
      <c r="W2416" s="75" t="str">
        <f t="shared" si="48"/>
        <v>1w</v>
      </c>
      <c r="X2416" s="148">
        <f>_xll.qlCalendarAdvance(Calendar,X2415,W2416,"f",FALSE)</f>
        <v>55871</v>
      </c>
      <c r="Y2416" s="153">
        <f>_xll.qlCalendarAdvance(Calendar,X2416,NDays&amp;"D")</f>
        <v>55871</v>
      </c>
      <c r="Z2416" s="154">
        <v>2.6061585372192646E-2</v>
      </c>
      <c r="AA2416" s="156">
        <v>2.5969767320205284E-2</v>
      </c>
    </row>
    <row r="2417" spans="19:27" x14ac:dyDescent="0.2">
      <c r="S2417" s="1"/>
      <c r="T2417" s="117"/>
      <c r="W2417" s="75" t="str">
        <f t="shared" si="48"/>
        <v>1w</v>
      </c>
      <c r="X2417" s="148">
        <f>_xll.qlCalendarAdvance(Calendar,X2416,W2417,"f",FALSE)</f>
        <v>55880</v>
      </c>
      <c r="Y2417" s="153">
        <f>_xll.qlCalendarAdvance(Calendar,X2417,NDays&amp;"D")</f>
        <v>55880</v>
      </c>
      <c r="Z2417" s="154">
        <v>2.6063572367522735E-2</v>
      </c>
      <c r="AA2417" s="156">
        <v>2.5973602655467259E-2</v>
      </c>
    </row>
    <row r="2418" spans="19:27" x14ac:dyDescent="0.2">
      <c r="S2418" s="1"/>
      <c r="T2418" s="117"/>
      <c r="W2418" s="75" t="str">
        <f t="shared" si="48"/>
        <v>1w</v>
      </c>
      <c r="X2418" s="148">
        <f>_xll.qlCalendarAdvance(Calendar,X2417,W2418,"f",FALSE)</f>
        <v>55887</v>
      </c>
      <c r="Y2418" s="153">
        <f>_xll.qlCalendarAdvance(Calendar,X2418,NDays&amp;"D")</f>
        <v>55887</v>
      </c>
      <c r="Z2418" s="154">
        <v>2.6065144287239779E-2</v>
      </c>
      <c r="AA2418" s="156">
        <v>2.5975021784191792E-2</v>
      </c>
    </row>
    <row r="2419" spans="19:27" x14ac:dyDescent="0.2">
      <c r="S2419" s="1"/>
      <c r="T2419" s="117"/>
      <c r="W2419" s="75" t="str">
        <f t="shared" si="48"/>
        <v>1w</v>
      </c>
      <c r="X2419" s="148">
        <f>_xll.qlCalendarAdvance(Calendar,X2418,W2419,"f",FALSE)</f>
        <v>55894</v>
      </c>
      <c r="Y2419" s="153">
        <f>_xll.qlCalendarAdvance(Calendar,X2419,NDays&amp;"D")</f>
        <v>55894</v>
      </c>
      <c r="Z2419" s="154">
        <v>2.6066739376025428E-2</v>
      </c>
      <c r="AA2419" s="156">
        <v>2.597646393829978E-2</v>
      </c>
    </row>
    <row r="2420" spans="19:27" x14ac:dyDescent="0.2">
      <c r="S2420" s="1"/>
      <c r="T2420" s="117"/>
      <c r="W2420" s="75" t="str">
        <f t="shared" si="48"/>
        <v>1w</v>
      </c>
      <c r="X2420" s="148">
        <f>_xll.qlCalendarAdvance(Calendar,X2419,W2420,"f",FALSE)</f>
        <v>55901</v>
      </c>
      <c r="Y2420" s="153">
        <f>_xll.qlCalendarAdvance(Calendar,X2420,NDays&amp;"D")</f>
        <v>55901</v>
      </c>
      <c r="Z2420" s="154">
        <v>2.6068357633908495E-2</v>
      </c>
      <c r="AA2420" s="156">
        <v>2.5977929117872261E-2</v>
      </c>
    </row>
    <row r="2421" spans="19:27" x14ac:dyDescent="0.2">
      <c r="S2421" s="1"/>
      <c r="T2421" s="117"/>
      <c r="W2421" s="75" t="str">
        <f t="shared" si="48"/>
        <v>1w</v>
      </c>
      <c r="X2421" s="148">
        <f>_xll.qlCalendarAdvance(Calendar,X2420,W2421,"f",FALSE)</f>
        <v>55908</v>
      </c>
      <c r="Y2421" s="153">
        <f>_xll.qlCalendarAdvance(Calendar,X2421,NDays&amp;"D")</f>
        <v>55908</v>
      </c>
      <c r="Z2421" s="154">
        <v>2.6069999060915092E-2</v>
      </c>
      <c r="AA2421" s="156">
        <v>2.5979417322882229E-2</v>
      </c>
    </row>
    <row r="2422" spans="19:27" x14ac:dyDescent="0.2">
      <c r="S2422" s="1"/>
      <c r="T2422" s="117"/>
      <c r="W2422" s="75" t="str">
        <f t="shared" si="48"/>
        <v>1w</v>
      </c>
      <c r="X2422" s="148">
        <f>_xll.qlCalendarAdvance(Calendar,X2421,W2422,"f",FALSE)</f>
        <v>55915</v>
      </c>
      <c r="Y2422" s="153">
        <f>_xll.qlCalendarAdvance(Calendar,X2422,NDays&amp;"D")</f>
        <v>55915</v>
      </c>
      <c r="Z2422" s="154">
        <v>2.6070611343007675E-2</v>
      </c>
      <c r="AA2422" s="156">
        <v>2.5980928553329678E-2</v>
      </c>
    </row>
    <row r="2423" spans="19:27" x14ac:dyDescent="0.2">
      <c r="S2423" s="1"/>
      <c r="T2423" s="117"/>
      <c r="W2423" s="75" t="str">
        <f t="shared" si="48"/>
        <v>1w</v>
      </c>
      <c r="X2423" s="148">
        <f>_xll.qlCalendarAdvance(Calendar,X2422,W2423,"f",FALSE)</f>
        <v>55922</v>
      </c>
      <c r="Y2423" s="153">
        <f>_xll.qlCalendarAdvance(Calendar,X2423,NDays&amp;"D")</f>
        <v>55922</v>
      </c>
      <c r="Z2423" s="154">
        <v>2.607229733335371E-2</v>
      </c>
      <c r="AA2423" s="156">
        <v>2.5982462809187593E-2</v>
      </c>
    </row>
    <row r="2424" spans="19:27" x14ac:dyDescent="0.2">
      <c r="S2424" s="1"/>
      <c r="T2424" s="117"/>
      <c r="W2424" s="75" t="str">
        <f t="shared" si="48"/>
        <v>1w</v>
      </c>
      <c r="X2424" s="148">
        <f>_xll.qlCalendarAdvance(Calendar,X2423,W2424,"f",FALSE)</f>
        <v>55929</v>
      </c>
      <c r="Y2424" s="153">
        <f>_xll.qlCalendarAdvance(Calendar,X2424,NDays&amp;"D")</f>
        <v>55929</v>
      </c>
      <c r="Z2424" s="154">
        <v>2.6074006491247179E-2</v>
      </c>
      <c r="AA2424" s="156">
        <v>2.5984020090482989E-2</v>
      </c>
    </row>
    <row r="2425" spans="19:27" x14ac:dyDescent="0.2">
      <c r="S2425" s="1"/>
      <c r="T2425" s="117"/>
      <c r="W2425" s="75" t="str">
        <f t="shared" si="48"/>
        <v>1w</v>
      </c>
      <c r="X2425" s="148">
        <f>_xll.qlCalendarAdvance(Calendar,X2424,W2425,"f",FALSE)</f>
        <v>55936</v>
      </c>
      <c r="Y2425" s="153">
        <f>_xll.qlCalendarAdvance(Calendar,X2425,NDays&amp;"D")</f>
        <v>55936</v>
      </c>
      <c r="Z2425" s="154">
        <v>2.607573881671995E-2</v>
      </c>
      <c r="AA2425" s="156">
        <v>2.5985600397242885E-2</v>
      </c>
    </row>
    <row r="2426" spans="19:27" x14ac:dyDescent="0.2">
      <c r="S2426" s="1"/>
      <c r="T2426" s="117"/>
      <c r="W2426" s="75" t="str">
        <f t="shared" si="48"/>
        <v>1w</v>
      </c>
      <c r="X2426" s="148">
        <f>_xll.qlCalendarAdvance(Calendar,X2425,W2426,"f",FALSE)</f>
        <v>55943</v>
      </c>
      <c r="Y2426" s="153">
        <f>_xll.qlCalendarAdvance(Calendar,X2426,NDays&amp;"D")</f>
        <v>55943</v>
      </c>
      <c r="Z2426" s="154">
        <v>2.6079613378090529E-2</v>
      </c>
      <c r="AA2426" s="156">
        <v>2.5987203729413249E-2</v>
      </c>
    </row>
    <row r="2427" spans="19:27" x14ac:dyDescent="0.2">
      <c r="S2427" s="1"/>
      <c r="T2427" s="117"/>
      <c r="W2427" s="75" t="str">
        <f t="shared" si="48"/>
        <v>1w</v>
      </c>
      <c r="X2427" s="148">
        <f>_xll.qlCalendarAdvance(Calendar,X2426,W2427,"f",FALSE)</f>
        <v>55950</v>
      </c>
      <c r="Y2427" s="153">
        <f>_xll.qlCalendarAdvance(Calendar,X2427,NDays&amp;"D")</f>
        <v>55950</v>
      </c>
      <c r="Z2427" s="154">
        <v>2.6084581204345834E-2</v>
      </c>
      <c r="AA2427" s="156">
        <v>2.5988830087075126E-2</v>
      </c>
    </row>
    <row r="2428" spans="19:27" x14ac:dyDescent="0.2">
      <c r="S2428" s="1"/>
      <c r="T2428" s="117"/>
      <c r="W2428" s="75" t="str">
        <f t="shared" si="48"/>
        <v>1w</v>
      </c>
      <c r="X2428" s="148">
        <f>_xll.qlCalendarAdvance(Calendar,X2427,W2428,"f",FALSE)</f>
        <v>55957</v>
      </c>
      <c r="Y2428" s="153">
        <f>_xll.qlCalendarAdvance(Calendar,X2428,NDays&amp;"D")</f>
        <v>55957</v>
      </c>
      <c r="Z2428" s="154">
        <v>2.6086391951678063E-2</v>
      </c>
      <c r="AA2428" s="156">
        <v>2.5990479470120457E-2</v>
      </c>
    </row>
    <row r="2429" spans="19:27" x14ac:dyDescent="0.2">
      <c r="S2429" s="1"/>
      <c r="T2429" s="117"/>
      <c r="W2429" s="75" t="str">
        <f t="shared" si="48"/>
        <v>1w</v>
      </c>
      <c r="X2429" s="148">
        <f>_xll.qlCalendarAdvance(Calendar,X2428,W2429,"f",FALSE)</f>
        <v>55964</v>
      </c>
      <c r="Y2429" s="153">
        <f>_xll.qlCalendarAdvance(Calendar,X2429,NDays&amp;"D")</f>
        <v>55964</v>
      </c>
      <c r="Z2429" s="154">
        <v>2.6088225875017683E-2</v>
      </c>
      <c r="AA2429" s="156">
        <v>2.5992151878630281E-2</v>
      </c>
    </row>
    <row r="2430" spans="19:27" x14ac:dyDescent="0.2">
      <c r="S2430" s="1"/>
      <c r="T2430" s="117"/>
      <c r="W2430" s="75" t="str">
        <f t="shared" si="48"/>
        <v>1w</v>
      </c>
      <c r="X2430" s="148">
        <f>_xll.qlCalendarAdvance(Calendar,X2429,W2430,"f",FALSE)</f>
        <v>55971</v>
      </c>
      <c r="Y2430" s="153">
        <f>_xll.qlCalendarAdvance(Calendar,X2430,NDays&amp;"D")</f>
        <v>55971</v>
      </c>
      <c r="Z2430" s="154">
        <v>2.6090082974396595E-2</v>
      </c>
      <c r="AA2430" s="156">
        <v>2.5993847312604606E-2</v>
      </c>
    </row>
    <row r="2431" spans="19:27" x14ac:dyDescent="0.2">
      <c r="S2431" s="1"/>
      <c r="T2431" s="117"/>
      <c r="W2431" s="75" t="str">
        <f t="shared" si="48"/>
        <v>1w</v>
      </c>
      <c r="X2431" s="148">
        <f>_xll.qlCalendarAdvance(Calendar,X2430,W2431,"f",FALSE)</f>
        <v>55982</v>
      </c>
      <c r="Y2431" s="153">
        <f>_xll.qlCalendarAdvance(Calendar,X2431,NDays&amp;"D")</f>
        <v>55982</v>
      </c>
      <c r="Z2431" s="154">
        <v>2.6089837989050759E-2</v>
      </c>
      <c r="AA2431" s="156">
        <v>2.5994457837290597E-2</v>
      </c>
    </row>
    <row r="2432" spans="19:27" x14ac:dyDescent="0.2">
      <c r="S2432" s="1"/>
      <c r="T2432" s="117"/>
      <c r="W2432" s="75" t="str">
        <f t="shared" si="48"/>
        <v>1w</v>
      </c>
      <c r="X2432" s="148">
        <f>_xll.qlCalendarAdvance(Calendar,X2431,W2432,"f",FALSE)</f>
        <v>55989</v>
      </c>
      <c r="Y2432" s="153">
        <f>_xll.qlCalendarAdvance(Calendar,X2432,NDays&amp;"D")</f>
        <v>55989</v>
      </c>
      <c r="Z2432" s="154">
        <v>2.6091749309201454E-2</v>
      </c>
      <c r="AA2432" s="156">
        <v>2.5996208940820553E-2</v>
      </c>
    </row>
    <row r="2433" spans="19:27" x14ac:dyDescent="0.2">
      <c r="S2433" s="1"/>
      <c r="T2433" s="117"/>
      <c r="W2433" s="75" t="str">
        <f t="shared" si="48"/>
        <v>1w</v>
      </c>
      <c r="X2433" s="148">
        <f>_xll.qlCalendarAdvance(Calendar,X2432,W2433,"f",FALSE)</f>
        <v>55996</v>
      </c>
      <c r="Y2433" s="153">
        <f>_xll.qlCalendarAdvance(Calendar,X2433,NDays&amp;"D")</f>
        <v>55996</v>
      </c>
      <c r="Z2433" s="154">
        <v>2.6093683800520347E-2</v>
      </c>
      <c r="AA2433" s="156">
        <v>2.599798306643808E-2</v>
      </c>
    </row>
    <row r="2434" spans="19:27" x14ac:dyDescent="0.2">
      <c r="S2434" s="1"/>
      <c r="T2434" s="117"/>
      <c r="W2434" s="75" t="str">
        <f t="shared" si="48"/>
        <v>1w</v>
      </c>
      <c r="X2434" s="148">
        <f>_xll.qlCalendarAdvance(Calendar,X2433,W2434,"f",FALSE)</f>
        <v>56003</v>
      </c>
      <c r="Y2434" s="153">
        <f>_xll.qlCalendarAdvance(Calendar,X2434,NDays&amp;"D")</f>
        <v>56003</v>
      </c>
      <c r="Z2434" s="154">
        <v>2.6095641463038603E-2</v>
      </c>
      <c r="AA2434" s="156">
        <v>2.5999780214062129E-2</v>
      </c>
    </row>
    <row r="2435" spans="19:27" x14ac:dyDescent="0.2">
      <c r="S2435" s="1"/>
      <c r="T2435" s="117"/>
      <c r="W2435" s="75" t="str">
        <f t="shared" si="48"/>
        <v>1w</v>
      </c>
      <c r="X2435" s="148">
        <f>_xll.qlCalendarAdvance(Calendar,X2434,W2435,"f",FALSE)</f>
        <v>56010</v>
      </c>
      <c r="Y2435" s="153">
        <f>_xll.qlCalendarAdvance(Calendar,X2435,NDays&amp;"D")</f>
        <v>56010</v>
      </c>
      <c r="Z2435" s="154">
        <v>2.6098699287094414E-2</v>
      </c>
      <c r="AA2435" s="156">
        <v>2.6001600384097934E-2</v>
      </c>
    </row>
    <row r="2436" spans="19:27" x14ac:dyDescent="0.2">
      <c r="S2436" s="1"/>
      <c r="T2436" s="117"/>
      <c r="W2436" s="75" t="str">
        <f t="shared" si="48"/>
        <v>1w</v>
      </c>
      <c r="X2436" s="148">
        <f>_xll.qlCalendarAdvance(Calendar,X2435,W2436,"f",FALSE)</f>
        <v>56017</v>
      </c>
      <c r="Y2436" s="153">
        <f>_xll.qlCalendarAdvance(Calendar,X2436,NDays&amp;"D")</f>
        <v>56017</v>
      </c>
      <c r="Z2436" s="154">
        <v>2.6100705090163729E-2</v>
      </c>
      <c r="AA2436" s="156">
        <v>2.6003443576140262E-2</v>
      </c>
    </row>
    <row r="2437" spans="19:27" x14ac:dyDescent="0.2">
      <c r="S2437" s="1"/>
      <c r="T2437" s="117"/>
      <c r="W2437" s="75" t="str">
        <f t="shared" si="48"/>
        <v>1w</v>
      </c>
      <c r="X2437" s="148">
        <f>_xll.qlCalendarAdvance(Calendar,X2436,W2437,"f",FALSE)</f>
        <v>56024</v>
      </c>
      <c r="Y2437" s="153">
        <f>_xll.qlCalendarAdvance(Calendar,X2437,NDays&amp;"D")</f>
        <v>56024</v>
      </c>
      <c r="Z2437" s="154">
        <v>2.61027340662006E-2</v>
      </c>
      <c r="AA2437" s="156">
        <v>2.6005309790189113E-2</v>
      </c>
    </row>
    <row r="2438" spans="19:27" x14ac:dyDescent="0.2">
      <c r="S2438" s="1"/>
      <c r="T2438" s="117"/>
      <c r="W2438" s="75" t="str">
        <f t="shared" si="48"/>
        <v>1w</v>
      </c>
      <c r="X2438" s="148">
        <f>_xll.qlCalendarAdvance(Calendar,X2437,W2438,"f",FALSE)</f>
        <v>56031</v>
      </c>
      <c r="Y2438" s="153">
        <f>_xll.qlCalendarAdvance(Calendar,X2438,NDays&amp;"D")</f>
        <v>56031</v>
      </c>
      <c r="Z2438" s="154">
        <v>2.6104786215243782E-2</v>
      </c>
      <c r="AA2438" s="156">
        <v>2.6007199026649719E-2</v>
      </c>
    </row>
    <row r="2439" spans="19:27" x14ac:dyDescent="0.2">
      <c r="S2439" s="1"/>
      <c r="T2439" s="117"/>
      <c r="W2439" s="75" t="str">
        <f t="shared" si="48"/>
        <v>1w</v>
      </c>
      <c r="X2439" s="148">
        <f>_xll.qlCalendarAdvance(Calendar,X2438,W2439,"f",FALSE)</f>
        <v>56038</v>
      </c>
      <c r="Y2439" s="153">
        <f>_xll.qlCalendarAdvance(Calendar,X2439,NDays&amp;"D")</f>
        <v>56038</v>
      </c>
      <c r="Z2439" s="154">
        <v>2.6106861537324118E-2</v>
      </c>
      <c r="AA2439" s="156">
        <v>2.6009111285197895E-2</v>
      </c>
    </row>
    <row r="2440" spans="19:27" x14ac:dyDescent="0.2">
      <c r="S2440" s="1"/>
      <c r="T2440" s="117"/>
      <c r="W2440" s="75" t="str">
        <f t="shared" si="48"/>
        <v>1w</v>
      </c>
      <c r="X2440" s="148">
        <f>_xll.qlCalendarAdvance(Calendar,X2439,W2440,"f",FALSE)</f>
        <v>56045</v>
      </c>
      <c r="Y2440" s="153">
        <f>_xll.qlCalendarAdvance(Calendar,X2440,NDays&amp;"D")</f>
        <v>56045</v>
      </c>
      <c r="Z2440" s="154">
        <v>2.6108960032482122E-2</v>
      </c>
      <c r="AA2440" s="156">
        <v>2.601104656583364E-2</v>
      </c>
    </row>
    <row r="2441" spans="19:27" x14ac:dyDescent="0.2">
      <c r="S2441" s="1"/>
      <c r="T2441" s="117"/>
      <c r="W2441" s="75" t="str">
        <f t="shared" si="48"/>
        <v>1w</v>
      </c>
      <c r="X2441" s="148">
        <f>_xll.qlCalendarAdvance(Calendar,X2440,W2441,"f",FALSE)</f>
        <v>56052</v>
      </c>
      <c r="Y2441" s="153">
        <f>_xll.qlCalendarAdvance(Calendar,X2441,NDays&amp;"D")</f>
        <v>56052</v>
      </c>
      <c r="Z2441" s="154">
        <v>2.6111081700750393E-2</v>
      </c>
      <c r="AA2441" s="156">
        <v>2.6013004868638001E-2</v>
      </c>
    </row>
    <row r="2442" spans="19:27" x14ac:dyDescent="0.2">
      <c r="S2442" s="1"/>
      <c r="T2442" s="117"/>
      <c r="W2442" s="75" t="str">
        <f t="shared" si="48"/>
        <v>1w</v>
      </c>
      <c r="X2442" s="148">
        <f>_xll.qlCalendarAdvance(Calendar,X2441,W2442,"f",FALSE)</f>
        <v>56059</v>
      </c>
      <c r="Y2442" s="153">
        <f>_xll.qlCalendarAdvance(Calendar,X2442,NDays&amp;"D")</f>
        <v>56059</v>
      </c>
      <c r="Z2442" s="154">
        <v>2.6113226542168574E-2</v>
      </c>
      <c r="AA2442" s="156">
        <v>2.6014986193610978E-2</v>
      </c>
    </row>
    <row r="2443" spans="19:27" x14ac:dyDescent="0.2">
      <c r="S2443" s="1"/>
      <c r="T2443" s="117"/>
      <c r="W2443" s="75" t="str">
        <f t="shared" si="48"/>
        <v>1w</v>
      </c>
      <c r="X2443" s="148">
        <f>_xll.qlCalendarAdvance(Calendar,X2442,W2443,"f",FALSE)</f>
        <v>56066</v>
      </c>
      <c r="Y2443" s="153">
        <f>_xll.qlCalendarAdvance(Calendar,X2443,NDays&amp;"D")</f>
        <v>56066</v>
      </c>
      <c r="Z2443" s="154">
        <v>2.6115394556772781E-2</v>
      </c>
      <c r="AA2443" s="156">
        <v>2.6016990540752571E-2</v>
      </c>
    </row>
    <row r="2444" spans="19:27" x14ac:dyDescent="0.2">
      <c r="S2444" s="1"/>
      <c r="T2444" s="117"/>
      <c r="W2444" s="75" t="str">
        <f t="shared" si="48"/>
        <v>1w</v>
      </c>
      <c r="X2444" s="148">
        <f>_xll.qlCalendarAdvance(Calendar,X2443,W2444,"f",FALSE)</f>
        <v>56073</v>
      </c>
      <c r="Y2444" s="153">
        <f>_xll.qlCalendarAdvance(Calendar,X2444,NDays&amp;"D")</f>
        <v>56073</v>
      </c>
      <c r="Z2444" s="154">
        <v>2.6117585744602656E-2</v>
      </c>
      <c r="AA2444" s="156">
        <v>2.6019017909981734E-2</v>
      </c>
    </row>
    <row r="2445" spans="19:27" x14ac:dyDescent="0.2">
      <c r="S2445" s="1"/>
      <c r="T2445" s="117"/>
      <c r="W2445" s="75" t="str">
        <f t="shared" si="48"/>
        <v>1w</v>
      </c>
      <c r="X2445" s="148">
        <f>_xll.qlCalendarAdvance(Calendar,X2444,W2445,"f",FALSE)</f>
        <v>56080</v>
      </c>
      <c r="Y2445" s="153">
        <f>_xll.qlCalendarAdvance(Calendar,X2445,NDays&amp;"D")</f>
        <v>56080</v>
      </c>
      <c r="Z2445" s="154">
        <v>2.611980010569432E-2</v>
      </c>
      <c r="AA2445" s="156">
        <v>2.6021068301460559E-2</v>
      </c>
    </row>
    <row r="2446" spans="19:27" x14ac:dyDescent="0.2">
      <c r="S2446" s="1"/>
      <c r="T2446" s="117"/>
      <c r="W2446" s="75" t="str">
        <f t="shared" si="48"/>
        <v>1w</v>
      </c>
      <c r="X2446" s="148">
        <f>_xll.qlCalendarAdvance(Calendar,X2445,W2446,"f",FALSE)</f>
        <v>56087</v>
      </c>
      <c r="Y2446" s="153">
        <f>_xll.qlCalendarAdvance(Calendar,X2446,NDays&amp;"D")</f>
        <v>56087</v>
      </c>
      <c r="Z2446" s="154">
        <v>2.6122037640087414E-2</v>
      </c>
      <c r="AA2446" s="156">
        <v>2.6023141715026954E-2</v>
      </c>
    </row>
    <row r="2447" spans="19:27" x14ac:dyDescent="0.2">
      <c r="S2447" s="1"/>
      <c r="T2447" s="117"/>
      <c r="W2447" s="75" t="str">
        <f t="shared" si="48"/>
        <v>1w</v>
      </c>
      <c r="X2447" s="148">
        <f>_xll.qlCalendarAdvance(Calendar,X2446,W2447,"f",FALSE)</f>
        <v>56094</v>
      </c>
      <c r="Y2447" s="153">
        <f>_xll.qlCalendarAdvance(Calendar,X2447,NDays&amp;"D")</f>
        <v>56094</v>
      </c>
      <c r="Z2447" s="154">
        <v>2.6124298347819819E-2</v>
      </c>
      <c r="AA2447" s="156">
        <v>2.6025238150843011E-2</v>
      </c>
    </row>
    <row r="2448" spans="19:27" x14ac:dyDescent="0.2">
      <c r="S2448" s="1"/>
      <c r="T2448" s="117"/>
      <c r="W2448" s="75" t="str">
        <f t="shared" si="48"/>
        <v>1w</v>
      </c>
      <c r="X2448" s="148">
        <f>_xll.qlCalendarAdvance(Calendar,X2447,W2448,"f",FALSE)</f>
        <v>56101</v>
      </c>
      <c r="Y2448" s="153">
        <f>_xll.qlCalendarAdvance(Calendar,X2448,NDays&amp;"D")</f>
        <v>56101</v>
      </c>
      <c r="Z2448" s="154">
        <v>2.6126582228931175E-2</v>
      </c>
      <c r="AA2448" s="156">
        <v>2.6027357608665591E-2</v>
      </c>
    </row>
    <row r="2449" spans="19:27" x14ac:dyDescent="0.2">
      <c r="S2449" s="1"/>
      <c r="T2449" s="117"/>
      <c r="W2449" s="75" t="str">
        <f t="shared" si="48"/>
        <v>1w</v>
      </c>
      <c r="X2449" s="148">
        <f>_xll.qlCalendarAdvance(Calendar,X2448,W2449,"f",FALSE)</f>
        <v>56108</v>
      </c>
      <c r="Y2449" s="153">
        <f>_xll.qlCalendarAdvance(Calendar,X2449,NDays&amp;"D")</f>
        <v>56108</v>
      </c>
      <c r="Z2449" s="154">
        <v>2.6128889283461128E-2</v>
      </c>
      <c r="AA2449" s="156">
        <v>2.6029500088737834E-2</v>
      </c>
    </row>
    <row r="2450" spans="19:27" x14ac:dyDescent="0.2">
      <c r="S2450" s="1"/>
      <c r="T2450" s="117"/>
      <c r="W2450" s="75" t="str">
        <f t="shared" si="48"/>
        <v>1w</v>
      </c>
      <c r="X2450" s="148">
        <f>_xll.qlCalendarAdvance(Calendar,X2449,W2450,"f",FALSE)</f>
        <v>56115</v>
      </c>
      <c r="Y2450" s="153">
        <f>_xll.qlCalendarAdvance(Calendar,X2450,NDays&amp;"D")</f>
        <v>56115</v>
      </c>
      <c r="Z2450" s="154">
        <v>2.6131219511452839E-2</v>
      </c>
      <c r="AA2450" s="156">
        <v>2.6031665590978692E-2</v>
      </c>
    </row>
    <row r="2451" spans="19:27" x14ac:dyDescent="0.2">
      <c r="S2451" s="1"/>
      <c r="T2451" s="117"/>
      <c r="W2451" s="75" t="str">
        <f t="shared" si="48"/>
        <v>1w</v>
      </c>
      <c r="X2451" s="148">
        <f>_xll.qlCalendarAdvance(Calendar,X2450,W2451,"f",FALSE)</f>
        <v>56122</v>
      </c>
      <c r="Y2451" s="153">
        <f>_xll.qlCalendarAdvance(Calendar,X2451,NDays&amp;"D")</f>
        <v>56122</v>
      </c>
      <c r="Z2451" s="154">
        <v>2.6133572912942431E-2</v>
      </c>
      <c r="AA2451" s="156">
        <v>2.6033854115388166E-2</v>
      </c>
    </row>
    <row r="2452" spans="19:27" x14ac:dyDescent="0.2">
      <c r="S2452" s="1"/>
      <c r="T2452" s="117"/>
      <c r="W2452" s="75" t="str">
        <f t="shared" si="48"/>
        <v>1w</v>
      </c>
      <c r="X2452" s="148">
        <f>_xll.qlCalendarAdvance(Calendar,X2451,W2452,"f",FALSE)</f>
        <v>56129</v>
      </c>
      <c r="Y2452" s="153">
        <f>_xll.qlCalendarAdvance(Calendar,X2452,NDays&amp;"D")</f>
        <v>56129</v>
      </c>
      <c r="Z2452" s="154">
        <v>2.6134841704134461E-2</v>
      </c>
      <c r="AA2452" s="156">
        <v>2.6036065661804164E-2</v>
      </c>
    </row>
    <row r="2453" spans="19:27" x14ac:dyDescent="0.2">
      <c r="S2453" s="1"/>
      <c r="T2453" s="117"/>
      <c r="W2453" s="75" t="str">
        <f t="shared" ref="W2453:W2516" si="49">W2452</f>
        <v>1w</v>
      </c>
      <c r="X2453" s="148">
        <f>_xll.qlCalendarAdvance(Calendar,X2452,W2453,"f",FALSE)</f>
        <v>56136</v>
      </c>
      <c r="Y2453" s="153">
        <f>_xll.qlCalendarAdvance(Calendar,X2453,NDays&amp;"D")</f>
        <v>56136</v>
      </c>
      <c r="Z2453" s="154">
        <v>2.6137239626334081E-2</v>
      </c>
      <c r="AA2453" s="156">
        <v>2.603830023055087E-2</v>
      </c>
    </row>
    <row r="2454" spans="19:27" x14ac:dyDescent="0.2">
      <c r="S2454" s="1"/>
      <c r="T2454" s="117"/>
      <c r="W2454" s="75" t="str">
        <f t="shared" si="49"/>
        <v>1w</v>
      </c>
      <c r="X2454" s="148">
        <f>_xll.qlCalendarAdvance(Calendar,X2453,W2454,"f",FALSE)</f>
        <v>56143</v>
      </c>
      <c r="Y2454" s="153">
        <f>_xll.qlCalendarAdvance(Calendar,X2454,NDays&amp;"D")</f>
        <v>56143</v>
      </c>
      <c r="Z2454" s="154">
        <v>2.613966072048475E-2</v>
      </c>
      <c r="AA2454" s="156">
        <v>2.6040557821385146E-2</v>
      </c>
    </row>
    <row r="2455" spans="19:27" x14ac:dyDescent="0.2">
      <c r="S2455" s="1"/>
      <c r="T2455" s="117"/>
      <c r="W2455" s="75" t="str">
        <f t="shared" si="49"/>
        <v>1w</v>
      </c>
      <c r="X2455" s="148">
        <f>_xll.qlCalendarAdvance(Calendar,X2454,W2455,"f",FALSE)</f>
        <v>56150</v>
      </c>
      <c r="Y2455" s="153">
        <f>_xll.qlCalendarAdvance(Calendar,X2455,NDays&amp;"D")</f>
        <v>56150</v>
      </c>
      <c r="Z2455" s="154">
        <v>2.6142104986627439E-2</v>
      </c>
      <c r="AA2455" s="156">
        <v>2.6042838434388038E-2</v>
      </c>
    </row>
    <row r="2456" spans="19:27" x14ac:dyDescent="0.2">
      <c r="S2456" s="1"/>
      <c r="T2456" s="117"/>
      <c r="W2456" s="75" t="str">
        <f t="shared" si="49"/>
        <v>1w</v>
      </c>
      <c r="X2456" s="148">
        <f>_xll.qlCalendarAdvance(Calendar,X2455,W2456,"f",FALSE)</f>
        <v>56157</v>
      </c>
      <c r="Y2456" s="153">
        <f>_xll.qlCalendarAdvance(Calendar,X2456,NDays&amp;"D")</f>
        <v>56157</v>
      </c>
      <c r="Z2456" s="154">
        <v>2.6145687524335024E-2</v>
      </c>
      <c r="AA2456" s="156">
        <v>2.60451420694785E-2</v>
      </c>
    </row>
    <row r="2457" spans="19:27" x14ac:dyDescent="0.2">
      <c r="S2457" s="1"/>
      <c r="T2457" s="117"/>
      <c r="W2457" s="75" t="str">
        <f t="shared" si="49"/>
        <v>1w</v>
      </c>
      <c r="X2457" s="148">
        <f>_xll.qlCalendarAdvance(Calendar,X2456,W2457,"f",FALSE)</f>
        <v>56164</v>
      </c>
      <c r="Y2457" s="153">
        <f>_xll.qlCalendarAdvance(Calendar,X2457,NDays&amp;"D")</f>
        <v>56164</v>
      </c>
      <c r="Z2457" s="154">
        <v>2.6148179967698113E-2</v>
      </c>
      <c r="AA2457" s="156">
        <v>2.604746872689967E-2</v>
      </c>
    </row>
    <row r="2458" spans="19:27" x14ac:dyDescent="0.2">
      <c r="S2458" s="1"/>
      <c r="T2458" s="117"/>
      <c r="W2458" s="75" t="str">
        <f t="shared" si="49"/>
        <v>1w</v>
      </c>
      <c r="X2458" s="148">
        <f>_xll.qlCalendarAdvance(Calendar,X2457,W2458,"f",FALSE)</f>
        <v>56171</v>
      </c>
      <c r="Y2458" s="153">
        <f>_xll.qlCalendarAdvance(Calendar,X2458,NDays&amp;"D")</f>
        <v>56171</v>
      </c>
      <c r="Z2458" s="154">
        <v>2.6150695584856838E-2</v>
      </c>
      <c r="AA2458" s="156">
        <v>2.6049818406408409E-2</v>
      </c>
    </row>
    <row r="2459" spans="19:27" x14ac:dyDescent="0.2">
      <c r="S2459" s="1"/>
      <c r="T2459" s="117"/>
      <c r="W2459" s="75" t="str">
        <f t="shared" si="49"/>
        <v>1w</v>
      </c>
      <c r="X2459" s="148">
        <f>_xll.qlCalendarAdvance(Calendar,X2458,W2459,"f",FALSE)</f>
        <v>56178</v>
      </c>
      <c r="Y2459" s="153">
        <f>_xll.qlCalendarAdvance(Calendar,X2459,NDays&amp;"D")</f>
        <v>56178</v>
      </c>
      <c r="Z2459" s="154">
        <v>2.6153234375851722E-2</v>
      </c>
      <c r="AA2459" s="156">
        <v>2.6052191108004719E-2</v>
      </c>
    </row>
    <row r="2460" spans="19:27" x14ac:dyDescent="0.2">
      <c r="S2460" s="1"/>
      <c r="T2460" s="117"/>
      <c r="W2460" s="75" t="str">
        <f t="shared" si="49"/>
        <v>1w</v>
      </c>
      <c r="X2460" s="148">
        <f>_xll.qlCalendarAdvance(Calendar,X2459,W2460,"f",FALSE)</f>
        <v>56185</v>
      </c>
      <c r="Y2460" s="153">
        <f>_xll.qlCalendarAdvance(Calendar,X2460,NDays&amp;"D")</f>
        <v>56185</v>
      </c>
      <c r="Z2460" s="154">
        <v>2.6155796340732101E-2</v>
      </c>
      <c r="AA2460" s="156">
        <v>2.605458683185069E-2</v>
      </c>
    </row>
    <row r="2461" spans="19:27" x14ac:dyDescent="0.2">
      <c r="S2461" s="1"/>
      <c r="T2461" s="117"/>
      <c r="W2461" s="75" t="str">
        <f t="shared" si="49"/>
        <v>1w</v>
      </c>
      <c r="X2461" s="148">
        <f>_xll.qlCalendarAdvance(Calendar,X2460,W2461,"f",FALSE)</f>
        <v>56192</v>
      </c>
      <c r="Y2461" s="153">
        <f>_xll.qlCalendarAdvance(Calendar,X2461,NDays&amp;"D")</f>
        <v>56192</v>
      </c>
      <c r="Z2461" s="154">
        <v>2.6158381479539371E-2</v>
      </c>
      <c r="AA2461" s="156">
        <v>2.6057005577784231E-2</v>
      </c>
    </row>
    <row r="2462" spans="19:27" x14ac:dyDescent="0.2">
      <c r="S2462" s="1"/>
      <c r="T2462" s="117"/>
      <c r="W2462" s="75" t="str">
        <f t="shared" si="49"/>
        <v>1w</v>
      </c>
      <c r="X2462" s="148">
        <f>_xll.qlCalendarAdvance(Calendar,X2461,W2462,"f",FALSE)</f>
        <v>56199</v>
      </c>
      <c r="Y2462" s="153">
        <f>_xll.qlCalendarAdvance(Calendar,X2462,NDays&amp;"D")</f>
        <v>56199</v>
      </c>
      <c r="Z2462" s="154">
        <v>2.6160989792319348E-2</v>
      </c>
      <c r="AA2462" s="156">
        <v>2.6059447345886388E-2</v>
      </c>
    </row>
    <row r="2463" spans="19:27" x14ac:dyDescent="0.2">
      <c r="S2463" s="1"/>
      <c r="T2463" s="117"/>
      <c r="W2463" s="75" t="str">
        <f t="shared" si="49"/>
        <v>1w</v>
      </c>
      <c r="X2463" s="148">
        <f>_xll.qlCalendarAdvance(Calendar,X2462,W2463,"f",FALSE)</f>
        <v>56206</v>
      </c>
      <c r="Y2463" s="153">
        <f>_xll.qlCalendarAdvance(Calendar,X2463,NDays&amp;"D")</f>
        <v>56206</v>
      </c>
      <c r="Z2463" s="154">
        <v>2.6163621279116075E-2</v>
      </c>
      <c r="AA2463" s="156">
        <v>2.6061912136076115E-2</v>
      </c>
    </row>
    <row r="2464" spans="19:27" x14ac:dyDescent="0.2">
      <c r="S2464" s="1"/>
      <c r="T2464" s="117"/>
      <c r="W2464" s="75" t="str">
        <f t="shared" si="49"/>
        <v>1w</v>
      </c>
      <c r="X2464" s="148">
        <f>_xll.qlCalendarAdvance(Calendar,X2463,W2464,"f",FALSE)</f>
        <v>56213</v>
      </c>
      <c r="Y2464" s="153">
        <f>_xll.qlCalendarAdvance(Calendar,X2464,NDays&amp;"D")</f>
        <v>56213</v>
      </c>
      <c r="Z2464" s="154">
        <v>2.6166275939978008E-2</v>
      </c>
      <c r="AA2464" s="156">
        <v>2.6064399948596551E-2</v>
      </c>
    </row>
    <row r="2465" spans="19:27" x14ac:dyDescent="0.2">
      <c r="S2465" s="1"/>
      <c r="T2465" s="117"/>
      <c r="W2465" s="75" t="str">
        <f t="shared" si="49"/>
        <v>1w</v>
      </c>
      <c r="X2465" s="148">
        <f>_xll.qlCalendarAdvance(Calendar,X2464,W2465,"f",FALSE)</f>
        <v>56220</v>
      </c>
      <c r="Y2465" s="153">
        <f>_xll.qlCalendarAdvance(Calendar,X2465,NDays&amp;"D")</f>
        <v>56220</v>
      </c>
      <c r="Z2465" s="154">
        <v>2.6166690689481509E-2</v>
      </c>
      <c r="AA2465" s="156">
        <v>2.6066910783204555E-2</v>
      </c>
    </row>
    <row r="2466" spans="19:27" x14ac:dyDescent="0.2">
      <c r="S2466" s="1"/>
      <c r="T2466" s="117"/>
      <c r="W2466" s="75" t="str">
        <f t="shared" si="49"/>
        <v>1w</v>
      </c>
      <c r="X2466" s="148">
        <f>_xll.qlCalendarAdvance(Calendar,X2465,W2466,"f",FALSE)</f>
        <v>56227</v>
      </c>
      <c r="Y2466" s="153">
        <f>_xll.qlCalendarAdvance(Calendar,X2466,NDays&amp;"D")</f>
        <v>56227</v>
      </c>
      <c r="Z2466" s="154">
        <v>2.6169388002465724E-2</v>
      </c>
      <c r="AA2466" s="156">
        <v>2.6069444639981176E-2</v>
      </c>
    </row>
    <row r="2467" spans="19:27" x14ac:dyDescent="0.2">
      <c r="S2467" s="1"/>
      <c r="T2467" s="117"/>
      <c r="W2467" s="75" t="str">
        <f t="shared" si="49"/>
        <v>1w</v>
      </c>
      <c r="X2467" s="148">
        <f>_xll.qlCalendarAdvance(Calendar,X2466,W2467,"f",FALSE)</f>
        <v>56234</v>
      </c>
      <c r="Y2467" s="153">
        <f>_xll.qlCalendarAdvance(Calendar,X2467,NDays&amp;"D")</f>
        <v>56234</v>
      </c>
      <c r="Z2467" s="154">
        <v>2.6172108486293453E-2</v>
      </c>
      <c r="AA2467" s="156">
        <v>2.6072001518845367E-2</v>
      </c>
    </row>
    <row r="2468" spans="19:27" x14ac:dyDescent="0.2">
      <c r="S2468" s="1"/>
      <c r="T2468" s="117"/>
      <c r="W2468" s="75" t="str">
        <f t="shared" si="49"/>
        <v>1w</v>
      </c>
      <c r="X2468" s="148">
        <f>_xll.qlCalendarAdvance(Calendar,X2467,W2468,"f",FALSE)</f>
        <v>56241</v>
      </c>
      <c r="Y2468" s="153">
        <f>_xll.qlCalendarAdvance(Calendar,X2468,NDays&amp;"D")</f>
        <v>56241</v>
      </c>
      <c r="Z2468" s="154">
        <v>2.6174852141012426E-2</v>
      </c>
      <c r="AA2468" s="156">
        <v>2.607458141995922E-2</v>
      </c>
    </row>
    <row r="2469" spans="19:27" x14ac:dyDescent="0.2">
      <c r="S2469" s="1"/>
      <c r="T2469" s="117"/>
      <c r="W2469" s="75" t="str">
        <f t="shared" si="49"/>
        <v>1w</v>
      </c>
      <c r="X2469" s="148">
        <f>_xll.qlCalendarAdvance(Calendar,X2468,W2469,"f",FALSE)</f>
        <v>56248</v>
      </c>
      <c r="Y2469" s="153">
        <f>_xll.qlCalendarAdvance(Calendar,X2469,NDays&amp;"D")</f>
        <v>56248</v>
      </c>
      <c r="Z2469" s="154">
        <v>2.6178757796166671E-2</v>
      </c>
      <c r="AA2469" s="156">
        <v>2.6077184343403781E-2</v>
      </c>
    </row>
    <row r="2470" spans="19:27" x14ac:dyDescent="0.2">
      <c r="S2470" s="1"/>
      <c r="T2470" s="117"/>
      <c r="W2470" s="75" t="str">
        <f t="shared" si="49"/>
        <v>1w</v>
      </c>
      <c r="X2470" s="148">
        <f>_xll.qlCalendarAdvance(Calendar,X2469,W2470,"f",FALSE)</f>
        <v>56255</v>
      </c>
      <c r="Y2470" s="153">
        <f>_xll.qlCalendarAdvance(Calendar,X2470,NDays&amp;"D")</f>
        <v>56255</v>
      </c>
      <c r="Z2470" s="154">
        <v>2.6180408963311409E-2</v>
      </c>
      <c r="AA2470" s="156">
        <v>2.6079810288611727E-2</v>
      </c>
    </row>
    <row r="2471" spans="19:27" x14ac:dyDescent="0.2">
      <c r="S2471" s="1"/>
      <c r="T2471" s="117"/>
      <c r="W2471" s="75" t="str">
        <f t="shared" si="49"/>
        <v>1w</v>
      </c>
      <c r="X2471" s="148">
        <f>_xll.qlCalendarAdvance(Calendar,X2470,W2471,"f",FALSE)</f>
        <v>56262</v>
      </c>
      <c r="Y2471" s="153">
        <f>_xll.qlCalendarAdvance(Calendar,X2471,NDays&amp;"D")</f>
        <v>56262</v>
      </c>
      <c r="Z2471" s="154">
        <v>2.618322213098687E-2</v>
      </c>
      <c r="AA2471" s="156">
        <v>2.608245925639352E-2</v>
      </c>
    </row>
    <row r="2472" spans="19:27" x14ac:dyDescent="0.2">
      <c r="S2472" s="1"/>
      <c r="T2472" s="117"/>
      <c r="W2472" s="75" t="str">
        <f t="shared" si="49"/>
        <v>1w</v>
      </c>
      <c r="X2472" s="148">
        <f>_xll.qlCalendarAdvance(Calendar,X2471,W2472,"f",FALSE)</f>
        <v>56269</v>
      </c>
      <c r="Y2472" s="153">
        <f>_xll.qlCalendarAdvance(Calendar,X2472,NDays&amp;"D")</f>
        <v>56269</v>
      </c>
      <c r="Z2472" s="154">
        <v>2.6186058469740883E-2</v>
      </c>
      <c r="AA2472" s="156">
        <v>2.6085131246019744E-2</v>
      </c>
    </row>
    <row r="2473" spans="19:27" x14ac:dyDescent="0.2">
      <c r="S2473" s="1"/>
      <c r="T2473" s="117"/>
      <c r="W2473" s="75" t="str">
        <f t="shared" si="49"/>
        <v>1w</v>
      </c>
      <c r="X2473" s="148">
        <f>_xll.qlCalendarAdvance(Calendar,X2472,W2473,"f",FALSE)</f>
        <v>56276</v>
      </c>
      <c r="Y2473" s="153">
        <f>_xll.qlCalendarAdvance(Calendar,X2473,NDays&amp;"D")</f>
        <v>56276</v>
      </c>
      <c r="Z2473" s="154">
        <v>2.6188917979623874E-2</v>
      </c>
      <c r="AA2473" s="156">
        <v>2.608782625789563E-2</v>
      </c>
    </row>
    <row r="2474" spans="19:27" x14ac:dyDescent="0.2">
      <c r="S2474" s="1"/>
      <c r="T2474" s="117"/>
      <c r="W2474" s="75" t="str">
        <f t="shared" si="49"/>
        <v>1w</v>
      </c>
      <c r="X2474" s="148">
        <f>_xll.qlCalendarAdvance(Calendar,X2473,W2474,"f",FALSE)</f>
        <v>56283</v>
      </c>
      <c r="Y2474" s="153">
        <f>_xll.qlCalendarAdvance(Calendar,X2474,NDays&amp;"D")</f>
        <v>56283</v>
      </c>
      <c r="Z2474" s="154">
        <v>2.6192948780333649E-2</v>
      </c>
      <c r="AA2474" s="156">
        <v>2.6090544292021178E-2</v>
      </c>
    </row>
    <row r="2475" spans="19:27" x14ac:dyDescent="0.2">
      <c r="S2475" s="1"/>
      <c r="T2475" s="117"/>
      <c r="W2475" s="75" t="str">
        <f t="shared" si="49"/>
        <v>1w</v>
      </c>
      <c r="X2475" s="148">
        <f>_xll.qlCalendarAdvance(Calendar,X2474,W2475,"f",FALSE)</f>
        <v>56290</v>
      </c>
      <c r="Y2475" s="153">
        <f>_xll.qlCalendarAdvance(Calendar,X2475,NDays&amp;"D")</f>
        <v>56290</v>
      </c>
      <c r="Z2475" s="154">
        <v>2.6194706512971302E-2</v>
      </c>
      <c r="AA2475" s="156">
        <v>2.6093285348315343E-2</v>
      </c>
    </row>
    <row r="2476" spans="19:27" x14ac:dyDescent="0.2">
      <c r="S2476" s="1"/>
      <c r="T2476" s="117"/>
      <c r="W2476" s="75" t="str">
        <f t="shared" si="49"/>
        <v>1w</v>
      </c>
      <c r="X2476" s="148">
        <f>_xll.qlCalendarAdvance(Calendar,X2475,W2476,"f",FALSE)</f>
        <v>56297</v>
      </c>
      <c r="Y2476" s="153">
        <f>_xll.qlCalendarAdvance(Calendar,X2476,NDays&amp;"D")</f>
        <v>56297</v>
      </c>
      <c r="Z2476" s="154">
        <v>2.6197635536534796E-2</v>
      </c>
      <c r="AA2476" s="156">
        <v>2.6096049426778123E-2</v>
      </c>
    </row>
    <row r="2477" spans="19:27" x14ac:dyDescent="0.2">
      <c r="S2477" s="1"/>
      <c r="T2477" s="117"/>
      <c r="W2477" s="75" t="str">
        <f t="shared" si="49"/>
        <v>1w</v>
      </c>
      <c r="X2477" s="148">
        <f>_xll.qlCalendarAdvance(Calendar,X2476,W2477,"f",FALSE)</f>
        <v>56304</v>
      </c>
      <c r="Y2477" s="153">
        <f>_xll.qlCalendarAdvance(Calendar,X2477,NDays&amp;"D")</f>
        <v>56304</v>
      </c>
      <c r="Z2477" s="154">
        <v>2.620174144536544E-2</v>
      </c>
      <c r="AA2477" s="156">
        <v>2.6098836527328473E-2</v>
      </c>
    </row>
    <row r="2478" spans="19:27" x14ac:dyDescent="0.2">
      <c r="S2478" s="1"/>
      <c r="T2478" s="117"/>
      <c r="W2478" s="75" t="str">
        <f t="shared" si="49"/>
        <v>1w</v>
      </c>
      <c r="X2478" s="148">
        <f>_xll.qlCalendarAdvance(Calendar,X2477,W2478,"f",FALSE)</f>
        <v>56311</v>
      </c>
      <c r="Y2478" s="153">
        <f>_xll.qlCalendarAdvance(Calendar,X2478,NDays&amp;"D")</f>
        <v>56311</v>
      </c>
      <c r="Z2478" s="154">
        <v>2.6205874495351205E-2</v>
      </c>
      <c r="AA2478" s="156">
        <v>2.6101646650209531E-2</v>
      </c>
    </row>
    <row r="2479" spans="19:27" x14ac:dyDescent="0.2">
      <c r="S2479" s="1"/>
      <c r="T2479" s="117"/>
      <c r="W2479" s="75" t="str">
        <f t="shared" si="49"/>
        <v>1w</v>
      </c>
      <c r="X2479" s="148">
        <f>_xll.qlCalendarAdvance(Calendar,X2478,W2479,"f",FALSE)</f>
        <v>56318</v>
      </c>
      <c r="Y2479" s="153">
        <f>_xll.qlCalendarAdvance(Calendar,X2479,NDays&amp;"D")</f>
        <v>56318</v>
      </c>
      <c r="Z2479" s="154">
        <v>2.6208876772940183E-2</v>
      </c>
      <c r="AA2479" s="156">
        <v>2.6104479795097113E-2</v>
      </c>
    </row>
    <row r="2480" spans="19:27" x14ac:dyDescent="0.2">
      <c r="S2480" s="1"/>
      <c r="T2480" s="117"/>
      <c r="W2480" s="75" t="str">
        <f t="shared" si="49"/>
        <v>1w</v>
      </c>
      <c r="X2480" s="148">
        <f>_xll.qlCalendarAdvance(Calendar,X2479,W2480,"f",FALSE)</f>
        <v>56325</v>
      </c>
      <c r="Y2480" s="153">
        <f>_xll.qlCalendarAdvance(Calendar,X2480,NDays&amp;"D")</f>
        <v>56325</v>
      </c>
      <c r="Z2480" s="154">
        <v>2.6211902225382801E-2</v>
      </c>
      <c r="AA2480" s="156">
        <v>2.6107335962315403E-2</v>
      </c>
    </row>
    <row r="2481" spans="19:27" x14ac:dyDescent="0.2">
      <c r="S2481" s="1"/>
      <c r="T2481" s="117"/>
      <c r="W2481" s="75" t="str">
        <f t="shared" si="49"/>
        <v>1w</v>
      </c>
      <c r="X2481" s="148">
        <f>_xll.qlCalendarAdvance(Calendar,X2480,W2481,"f",FALSE)</f>
        <v>56332</v>
      </c>
      <c r="Y2481" s="153">
        <f>_xll.qlCalendarAdvance(Calendar,X2481,NDays&amp;"D")</f>
        <v>56332</v>
      </c>
      <c r="Z2481" s="154">
        <v>2.6214950852726633E-2</v>
      </c>
      <c r="AA2481" s="156">
        <v>2.6110215151459171E-2</v>
      </c>
    </row>
    <row r="2482" spans="19:27" x14ac:dyDescent="0.2">
      <c r="S2482" s="1"/>
      <c r="T2482" s="117"/>
      <c r="W2482" s="75" t="str">
        <f t="shared" si="49"/>
        <v>1w</v>
      </c>
      <c r="X2482" s="148">
        <f>_xll.qlCalendarAdvance(Calendar,X2481,W2482,"f",FALSE)</f>
        <v>56339</v>
      </c>
      <c r="Y2482" s="153">
        <f>_xll.qlCalendarAdvance(Calendar,X2482,NDays&amp;"D")</f>
        <v>56339</v>
      </c>
      <c r="Z2482" s="154">
        <v>2.6216859349013077E-2</v>
      </c>
      <c r="AA2482" s="156">
        <v>2.6113117363014693E-2</v>
      </c>
    </row>
    <row r="2483" spans="19:27" x14ac:dyDescent="0.2">
      <c r="S2483" s="1"/>
      <c r="T2483" s="117"/>
      <c r="W2483" s="75" t="str">
        <f t="shared" si="49"/>
        <v>1w</v>
      </c>
      <c r="X2483" s="148">
        <f>_xll.qlCalendarAdvance(Calendar,X2482,W2483,"f",FALSE)</f>
        <v>56346</v>
      </c>
      <c r="Y2483" s="153">
        <f>_xll.qlCalendarAdvance(Calendar,X2483,NDays&amp;"D")</f>
        <v>56346</v>
      </c>
      <c r="Z2483" s="154">
        <v>2.6219952449498977E-2</v>
      </c>
      <c r="AA2483" s="156">
        <v>2.6116042596576738E-2</v>
      </c>
    </row>
    <row r="2484" spans="19:27" x14ac:dyDescent="0.2">
      <c r="S2484" s="1"/>
      <c r="T2484" s="117"/>
      <c r="W2484" s="75" t="str">
        <f t="shared" si="49"/>
        <v>1w</v>
      </c>
      <c r="X2484" s="148">
        <f>_xll.qlCalendarAdvance(Calendar,X2483,W2484,"f",FALSE)</f>
        <v>56353</v>
      </c>
      <c r="Y2484" s="153">
        <f>_xll.qlCalendarAdvance(Calendar,X2484,NDays&amp;"D")</f>
        <v>56353</v>
      </c>
      <c r="Z2484" s="154">
        <v>2.6223068723358244E-2</v>
      </c>
      <c r="AA2484" s="156">
        <v>2.61189908523074E-2</v>
      </c>
    </row>
    <row r="2485" spans="19:27" x14ac:dyDescent="0.2">
      <c r="S2485" s="1"/>
      <c r="T2485" s="117"/>
      <c r="W2485" s="75" t="str">
        <f t="shared" si="49"/>
        <v>1w</v>
      </c>
      <c r="X2485" s="148">
        <f>_xll.qlCalendarAdvance(Calendar,X2484,W2485,"f",FALSE)</f>
        <v>56360</v>
      </c>
      <c r="Y2485" s="153">
        <f>_xll.qlCalendarAdvance(Calendar,X2485,NDays&amp;"D")</f>
        <v>56360</v>
      </c>
      <c r="Z2485" s="154">
        <v>2.6226208170647875E-2</v>
      </c>
      <c r="AA2485" s="156">
        <v>2.6121962130287724E-2</v>
      </c>
    </row>
    <row r="2486" spans="19:27" x14ac:dyDescent="0.2">
      <c r="S2486" s="1"/>
      <c r="T2486" s="117"/>
      <c r="W2486" s="75" t="str">
        <f t="shared" si="49"/>
        <v>1w</v>
      </c>
      <c r="X2486" s="148">
        <f>_xll.qlCalendarAdvance(Calendar,X2485,W2486,"f",FALSE)</f>
        <v>56367</v>
      </c>
      <c r="Y2486" s="153">
        <f>_xll.qlCalendarAdvance(Calendar,X2486,NDays&amp;"D")</f>
        <v>56367</v>
      </c>
      <c r="Z2486" s="154">
        <v>2.6229370791420417E-2</v>
      </c>
      <c r="AA2486" s="156">
        <v>2.6124956430598756E-2</v>
      </c>
    </row>
    <row r="2487" spans="19:27" x14ac:dyDescent="0.2">
      <c r="S2487" s="1"/>
      <c r="T2487" s="117"/>
      <c r="W2487" s="75" t="str">
        <f t="shared" si="49"/>
        <v>1w</v>
      </c>
      <c r="X2487" s="148">
        <f>_xll.qlCalendarAdvance(Calendar,X2486,W2487,"f",FALSE)</f>
        <v>56374</v>
      </c>
      <c r="Y2487" s="153">
        <f>_xll.qlCalendarAdvance(Calendar,X2487,NDays&amp;"D")</f>
        <v>56374</v>
      </c>
      <c r="Z2487" s="154">
        <v>2.6233729292792215E-2</v>
      </c>
      <c r="AA2487" s="156">
        <v>2.6127973752835265E-2</v>
      </c>
    </row>
    <row r="2488" spans="19:27" x14ac:dyDescent="0.2">
      <c r="S2488" s="1"/>
      <c r="T2488" s="117"/>
      <c r="W2488" s="75" t="str">
        <f t="shared" si="49"/>
        <v>1w</v>
      </c>
      <c r="X2488" s="148">
        <f>_xll.qlCalendarAdvance(Calendar,X2487,W2488,"f",FALSE)</f>
        <v>56381</v>
      </c>
      <c r="Y2488" s="153">
        <f>_xll.qlCalendarAdvance(Calendar,X2488,NDays&amp;"D")</f>
        <v>56381</v>
      </c>
      <c r="Z2488" s="154">
        <v>2.623694014597561E-2</v>
      </c>
      <c r="AA2488" s="156">
        <v>2.6131014097321437E-2</v>
      </c>
    </row>
    <row r="2489" spans="19:27" x14ac:dyDescent="0.2">
      <c r="S2489" s="1"/>
      <c r="T2489" s="117"/>
      <c r="W2489" s="75" t="str">
        <f t="shared" si="49"/>
        <v>1w</v>
      </c>
      <c r="X2489" s="148">
        <f>_xll.qlCalendarAdvance(Calendar,X2488,W2489,"f",FALSE)</f>
        <v>56388</v>
      </c>
      <c r="Y2489" s="153">
        <f>_xll.qlCalendarAdvance(Calendar,X2489,NDays&amp;"D")</f>
        <v>56388</v>
      </c>
      <c r="Z2489" s="154">
        <v>2.6240174174498924E-2</v>
      </c>
      <c r="AA2489" s="156">
        <v>2.6134077463976224E-2</v>
      </c>
    </row>
    <row r="2490" spans="19:27" x14ac:dyDescent="0.2">
      <c r="S2490" s="1"/>
      <c r="T2490" s="117"/>
      <c r="W2490" s="75" t="str">
        <f t="shared" si="49"/>
        <v>1w</v>
      </c>
      <c r="X2490" s="148">
        <f>_xll.qlCalendarAdvance(Calendar,X2489,W2490,"f",FALSE)</f>
        <v>56395</v>
      </c>
      <c r="Y2490" s="153">
        <f>_xll.qlCalendarAdvance(Calendar,X2490,NDays&amp;"D")</f>
        <v>56395</v>
      </c>
      <c r="Z2490" s="154">
        <v>2.62434313784203E-2</v>
      </c>
      <c r="AA2490" s="156">
        <v>2.6137163852880674E-2</v>
      </c>
    </row>
    <row r="2491" spans="19:27" x14ac:dyDescent="0.2">
      <c r="S2491" s="1"/>
      <c r="T2491" s="117"/>
      <c r="W2491" s="75" t="str">
        <f t="shared" si="49"/>
        <v>1w</v>
      </c>
      <c r="X2491" s="148">
        <f>_xll.qlCalendarAdvance(Calendar,X2490,W2491,"f",FALSE)</f>
        <v>56402</v>
      </c>
      <c r="Y2491" s="153">
        <f>_xll.qlCalendarAdvance(Calendar,X2491,NDays&amp;"D")</f>
        <v>56402</v>
      </c>
      <c r="Z2491" s="154">
        <v>2.6246711757794354E-2</v>
      </c>
      <c r="AA2491" s="156">
        <v>2.6140273263872693E-2</v>
      </c>
    </row>
    <row r="2492" spans="19:27" x14ac:dyDescent="0.2">
      <c r="S2492" s="1"/>
      <c r="T2492" s="117"/>
      <c r="W2492" s="75" t="str">
        <f t="shared" si="49"/>
        <v>1w</v>
      </c>
      <c r="X2492" s="148">
        <f>_xll.qlCalendarAdvance(Calendar,X2491,W2492,"f",FALSE)</f>
        <v>56409</v>
      </c>
      <c r="Y2492" s="153">
        <f>_xll.qlCalendarAdvance(Calendar,X2492,NDays&amp;"D")</f>
        <v>56409</v>
      </c>
      <c r="Z2492" s="154">
        <v>2.625001531267835E-2</v>
      </c>
      <c r="AA2492" s="156">
        <v>2.6143405697033328E-2</v>
      </c>
    </row>
    <row r="2493" spans="19:27" x14ac:dyDescent="0.2">
      <c r="S2493" s="1"/>
      <c r="T2493" s="117"/>
      <c r="W2493" s="75" t="str">
        <f t="shared" si="49"/>
        <v>1w</v>
      </c>
      <c r="X2493" s="148">
        <f>_xll.qlCalendarAdvance(Calendar,X2492,W2493,"f",FALSE)</f>
        <v>56416</v>
      </c>
      <c r="Y2493" s="153">
        <f>_xll.qlCalendarAdvance(Calendar,X2493,NDays&amp;"D")</f>
        <v>56416</v>
      </c>
      <c r="Z2493" s="154">
        <v>2.6253342043129551E-2</v>
      </c>
      <c r="AA2493" s="156">
        <v>2.6146561152443626E-2</v>
      </c>
    </row>
    <row r="2494" spans="19:27" x14ac:dyDescent="0.2">
      <c r="S2494" s="1"/>
      <c r="T2494" s="117"/>
      <c r="W2494" s="75" t="str">
        <f t="shared" si="49"/>
        <v>1w</v>
      </c>
      <c r="X2494" s="148">
        <f>_xll.qlCalendarAdvance(Calendar,X2493,W2494,"f",FALSE)</f>
        <v>56423</v>
      </c>
      <c r="Y2494" s="153">
        <f>_xll.qlCalendarAdvance(Calendar,X2494,NDays&amp;"D")</f>
        <v>56423</v>
      </c>
      <c r="Z2494" s="154">
        <v>2.6256691949206972E-2</v>
      </c>
      <c r="AA2494" s="156">
        <v>2.6149739629941493E-2</v>
      </c>
    </row>
    <row r="2495" spans="19:27" x14ac:dyDescent="0.2">
      <c r="S2495" s="1"/>
      <c r="T2495" s="117"/>
      <c r="W2495" s="75" t="str">
        <f t="shared" si="49"/>
        <v>1w</v>
      </c>
      <c r="X2495" s="148">
        <f>_xll.qlCalendarAdvance(Calendar,X2494,W2495,"f",FALSE)</f>
        <v>56430</v>
      </c>
      <c r="Y2495" s="153">
        <f>_xll.qlCalendarAdvance(Calendar,X2495,NDays&amp;"D")</f>
        <v>56430</v>
      </c>
      <c r="Z2495" s="154">
        <v>2.6260065030967884E-2</v>
      </c>
      <c r="AA2495" s="156">
        <v>2.6152941129689022E-2</v>
      </c>
    </row>
    <row r="2496" spans="19:27" x14ac:dyDescent="0.2">
      <c r="S2496" s="1"/>
      <c r="T2496" s="117"/>
      <c r="W2496" s="75" t="str">
        <f t="shared" si="49"/>
        <v>1w</v>
      </c>
      <c r="X2496" s="148">
        <f>_xll.qlCalendarAdvance(Calendar,X2495,W2496,"f",FALSE)</f>
        <v>56437</v>
      </c>
      <c r="Y2496" s="153">
        <f>_xll.qlCalendarAdvance(Calendar,X2496,NDays&amp;"D")</f>
        <v>56437</v>
      </c>
      <c r="Z2496" s="154">
        <v>2.6263461288472182E-2</v>
      </c>
      <c r="AA2496" s="156">
        <v>2.6156165651686214E-2</v>
      </c>
    </row>
    <row r="2497" spans="19:27" x14ac:dyDescent="0.2">
      <c r="S2497" s="1"/>
      <c r="T2497" s="117"/>
      <c r="W2497" s="75" t="str">
        <f t="shared" si="49"/>
        <v>1w</v>
      </c>
      <c r="X2497" s="148">
        <f>_xll.qlCalendarAdvance(Calendar,X2496,W2497,"f",FALSE)</f>
        <v>56444</v>
      </c>
      <c r="Y2497" s="153">
        <f>_xll.qlCalendarAdvance(Calendar,X2497,NDays&amp;"D")</f>
        <v>56444</v>
      </c>
      <c r="Z2497" s="154">
        <v>2.6266880440724488E-2</v>
      </c>
      <c r="AA2497" s="156">
        <v>2.6159413195770975E-2</v>
      </c>
    </row>
    <row r="2498" spans="19:27" x14ac:dyDescent="0.2">
      <c r="S2498" s="1"/>
      <c r="T2498" s="117"/>
      <c r="W2498" s="75" t="str">
        <f t="shared" si="49"/>
        <v>1w</v>
      </c>
      <c r="X2498" s="148">
        <f>_xll.qlCalendarAdvance(Calendar,X2497,W2498,"f",FALSE)</f>
        <v>56451</v>
      </c>
      <c r="Y2498" s="153">
        <f>_xll.qlCalendarAdvance(Calendar,X2498,NDays&amp;"D")</f>
        <v>56451</v>
      </c>
      <c r="Z2498" s="154">
        <v>2.6270321082512666E-2</v>
      </c>
      <c r="AA2498" s="156">
        <v>2.6162683762105399E-2</v>
      </c>
    </row>
    <row r="2499" spans="19:27" x14ac:dyDescent="0.2">
      <c r="S2499" s="1"/>
      <c r="T2499" s="117"/>
      <c r="W2499" s="75" t="str">
        <f t="shared" si="49"/>
        <v>1w</v>
      </c>
      <c r="X2499" s="148">
        <f>_xll.qlCalendarAdvance(Calendar,X2498,W2499,"f",FALSE)</f>
        <v>56458</v>
      </c>
      <c r="Y2499" s="153">
        <f>_xll.qlCalendarAdvance(Calendar,X2499,NDays&amp;"D")</f>
        <v>56458</v>
      </c>
      <c r="Z2499" s="154">
        <v>2.6273781527564016E-2</v>
      </c>
      <c r="AA2499" s="156">
        <v>2.6165977350527392E-2</v>
      </c>
    </row>
    <row r="2500" spans="19:27" x14ac:dyDescent="0.2">
      <c r="S2500" s="1"/>
      <c r="T2500" s="117"/>
      <c r="W2500" s="75" t="str">
        <f t="shared" si="49"/>
        <v>1w</v>
      </c>
      <c r="X2500" s="148">
        <f>_xll.qlCalendarAdvance(Calendar,X2499,W2500,"f",FALSE)</f>
        <v>56465</v>
      </c>
      <c r="Y2500" s="153">
        <f>_xll.qlCalendarAdvance(Calendar,X2500,NDays&amp;"D")</f>
        <v>56465</v>
      </c>
      <c r="Z2500" s="154">
        <v>2.6277260089605837E-2</v>
      </c>
      <c r="AA2500" s="156">
        <v>2.6169293961199047E-2</v>
      </c>
    </row>
    <row r="2501" spans="19:27" x14ac:dyDescent="0.2">
      <c r="S2501" s="1"/>
      <c r="T2501" s="117"/>
      <c r="W2501" s="75" t="str">
        <f t="shared" si="49"/>
        <v>1w</v>
      </c>
      <c r="X2501" s="148">
        <f>_xll.qlCalendarAdvance(Calendar,X2500,W2501,"f",FALSE)</f>
        <v>56472</v>
      </c>
      <c r="Y2501" s="153">
        <f>_xll.qlCalendarAdvance(Calendar,X2501,NDays&amp;"D")</f>
        <v>56472</v>
      </c>
      <c r="Z2501" s="154">
        <v>2.628075508235397E-2</v>
      </c>
      <c r="AA2501" s="156">
        <v>2.6172633593958272E-2</v>
      </c>
    </row>
    <row r="2502" spans="19:27" x14ac:dyDescent="0.2">
      <c r="S2502" s="1"/>
      <c r="T2502" s="117"/>
      <c r="W2502" s="75" t="str">
        <f t="shared" si="49"/>
        <v>1w</v>
      </c>
      <c r="X2502" s="148">
        <f>_xll.qlCalendarAdvance(Calendar,X2501,W2502,"f",FALSE)</f>
        <v>56479</v>
      </c>
      <c r="Y2502" s="153">
        <f>_xll.qlCalendarAdvance(Calendar,X2502,NDays&amp;"D")</f>
        <v>56479</v>
      </c>
      <c r="Z2502" s="154">
        <v>2.6284264819519856E-2</v>
      </c>
      <c r="AA2502" s="156">
        <v>2.6175996248886113E-2</v>
      </c>
    </row>
    <row r="2503" spans="19:27" x14ac:dyDescent="0.2">
      <c r="S2503" s="1"/>
      <c r="T2503" s="117"/>
      <c r="W2503" s="75" t="str">
        <f t="shared" si="49"/>
        <v>1w</v>
      </c>
      <c r="X2503" s="148">
        <f>_xll.qlCalendarAdvance(Calendar,X2502,W2503,"f",FALSE)</f>
        <v>56486</v>
      </c>
      <c r="Y2503" s="153">
        <f>_xll.qlCalendarAdvance(Calendar,X2503,NDays&amp;"D")</f>
        <v>56486</v>
      </c>
      <c r="Z2503" s="154">
        <v>2.628778761481405E-2</v>
      </c>
      <c r="AA2503" s="156">
        <v>2.6179381926225709E-2</v>
      </c>
    </row>
    <row r="2504" spans="19:27" x14ac:dyDescent="0.2">
      <c r="S2504" s="1"/>
      <c r="T2504" s="117"/>
      <c r="W2504" s="75" t="str">
        <f t="shared" si="49"/>
        <v>1w</v>
      </c>
      <c r="X2504" s="148">
        <f>_xll.qlCalendarAdvance(Calendar,X2503,W2504,"f",FALSE)</f>
        <v>56493</v>
      </c>
      <c r="Y2504" s="153">
        <f>_xll.qlCalendarAdvance(Calendar,X2504,NDays&amp;"D")</f>
        <v>56493</v>
      </c>
      <c r="Z2504" s="154">
        <v>2.6290122878338113E-2</v>
      </c>
      <c r="AA2504" s="156">
        <v>2.6182790625571828E-2</v>
      </c>
    </row>
    <row r="2505" spans="19:27" x14ac:dyDescent="0.2">
      <c r="S2505" s="1"/>
      <c r="T2505" s="117"/>
      <c r="W2505" s="75" t="str">
        <f t="shared" si="49"/>
        <v>1w</v>
      </c>
      <c r="X2505" s="148">
        <f>_xll.qlCalendarAdvance(Calendar,X2504,W2505,"f",FALSE)</f>
        <v>56500</v>
      </c>
      <c r="Y2505" s="153">
        <f>_xll.qlCalendarAdvance(Calendar,X2505,NDays&amp;"D")</f>
        <v>56500</v>
      </c>
      <c r="Z2505" s="154">
        <v>2.6293666203711138E-2</v>
      </c>
      <c r="AA2505" s="156">
        <v>2.6186222347167609E-2</v>
      </c>
    </row>
    <row r="2506" spans="19:27" x14ac:dyDescent="0.2">
      <c r="S2506" s="1"/>
      <c r="T2506" s="117"/>
      <c r="W2506" s="75" t="str">
        <f t="shared" si="49"/>
        <v>1w</v>
      </c>
      <c r="X2506" s="148">
        <f>_xll.qlCalendarAdvance(Calendar,X2505,W2506,"f",FALSE)</f>
        <v>56507</v>
      </c>
      <c r="Y2506" s="153">
        <f>_xll.qlCalendarAdvance(Calendar,X2506,NDays&amp;"D")</f>
        <v>56507</v>
      </c>
      <c r="Z2506" s="154">
        <v>2.6297217604448305E-2</v>
      </c>
      <c r="AA2506" s="156">
        <v>2.6189677090769914E-2</v>
      </c>
    </row>
    <row r="2507" spans="19:27" x14ac:dyDescent="0.2">
      <c r="S2507" s="1"/>
      <c r="T2507" s="117"/>
      <c r="W2507" s="75" t="str">
        <f t="shared" si="49"/>
        <v>1w</v>
      </c>
      <c r="X2507" s="148">
        <f>_xll.qlCalendarAdvance(Calendar,X2506,W2507,"f",FALSE)</f>
        <v>56514</v>
      </c>
      <c r="Y2507" s="153">
        <f>_xll.qlCalendarAdvance(Calendar,X2507,NDays&amp;"D")</f>
        <v>56514</v>
      </c>
      <c r="Z2507" s="154">
        <v>2.6300775375831042E-2</v>
      </c>
      <c r="AA2507" s="156">
        <v>2.619315485686502E-2</v>
      </c>
    </row>
    <row r="2508" spans="19:27" x14ac:dyDescent="0.2">
      <c r="S2508" s="1"/>
      <c r="T2508" s="117"/>
      <c r="W2508" s="75" t="str">
        <f t="shared" si="49"/>
        <v>1w</v>
      </c>
      <c r="X2508" s="148">
        <f>_xll.qlCalendarAdvance(Calendar,X2507,W2508,"f",FALSE)</f>
        <v>56521</v>
      </c>
      <c r="Y2508" s="153">
        <f>_xll.qlCalendarAdvance(Calendar,X2508,NDays&amp;"D")</f>
        <v>56521</v>
      </c>
      <c r="Z2508" s="154">
        <v>2.6304337813120308E-2</v>
      </c>
      <c r="AA2508" s="156">
        <v>2.6196655644885602E-2</v>
      </c>
    </row>
    <row r="2509" spans="19:27" x14ac:dyDescent="0.2">
      <c r="S2509" s="1"/>
      <c r="T2509" s="117"/>
      <c r="W2509" s="75" t="str">
        <f t="shared" si="49"/>
        <v>1w</v>
      </c>
      <c r="X2509" s="148">
        <f>_xll.qlCalendarAdvance(Calendar,X2508,W2509,"f",FALSE)</f>
        <v>56528</v>
      </c>
      <c r="Y2509" s="153">
        <f>_xll.qlCalendarAdvance(Calendar,X2509,NDays&amp;"D")</f>
        <v>56528</v>
      </c>
      <c r="Z2509" s="154">
        <v>2.630910417403785E-2</v>
      </c>
      <c r="AA2509" s="156">
        <v>2.6200179455236894E-2</v>
      </c>
    </row>
    <row r="2510" spans="19:27" x14ac:dyDescent="0.2">
      <c r="S2510" s="1"/>
      <c r="T2510" s="117"/>
      <c r="W2510" s="75" t="str">
        <f t="shared" si="49"/>
        <v>1w</v>
      </c>
      <c r="X2510" s="148">
        <f>_xll.qlCalendarAdvance(Calendar,X2509,W2510,"f",FALSE)</f>
        <v>56535</v>
      </c>
      <c r="Y2510" s="153">
        <f>_xll.qlCalendarAdvance(Calendar,X2510,NDays&amp;"D")</f>
        <v>56535</v>
      </c>
      <c r="Z2510" s="154">
        <v>2.6312671336491372E-2</v>
      </c>
      <c r="AA2510" s="156">
        <v>2.6203716776165287E-2</v>
      </c>
    </row>
    <row r="2511" spans="19:27" x14ac:dyDescent="0.2">
      <c r="S2511" s="1"/>
      <c r="T2511" s="117"/>
      <c r="W2511" s="75" t="str">
        <f t="shared" si="49"/>
        <v>1w</v>
      </c>
      <c r="X2511" s="148">
        <f>_xll.qlCalendarAdvance(Calendar,X2510,W2511,"f",FALSE)</f>
        <v>56542</v>
      </c>
      <c r="Y2511" s="153">
        <f>_xll.qlCalendarAdvance(Calendar,X2511,NDays&amp;"D")</f>
        <v>56542</v>
      </c>
      <c r="Z2511" s="154">
        <v>2.6316239512768683E-2</v>
      </c>
      <c r="AA2511" s="156">
        <v>2.6207255175333399E-2</v>
      </c>
    </row>
    <row r="2512" spans="19:27" x14ac:dyDescent="0.2">
      <c r="S2512" s="1"/>
      <c r="T2512" s="117"/>
      <c r="W2512" s="75" t="str">
        <f t="shared" si="49"/>
        <v>1w</v>
      </c>
      <c r="X2512" s="148">
        <f>_xll.qlCalendarAdvance(Calendar,X2511,W2512,"f",FALSE)</f>
        <v>56549</v>
      </c>
      <c r="Y2512" s="153">
        <f>_xll.qlCalendarAdvance(Calendar,X2512,NDays&amp;"D")</f>
        <v>56549</v>
      </c>
      <c r="Z2512" s="154">
        <v>2.6319808702054026E-2</v>
      </c>
      <c r="AA2512" s="156">
        <v>2.6210794577530283E-2</v>
      </c>
    </row>
    <row r="2513" spans="19:27" x14ac:dyDescent="0.2">
      <c r="S2513" s="1"/>
      <c r="T2513" s="117"/>
      <c r="W2513" s="75" t="str">
        <f t="shared" si="49"/>
        <v>1w</v>
      </c>
      <c r="X2513" s="148">
        <f>_xll.qlCalendarAdvance(Calendar,X2512,W2513,"f",FALSE)</f>
        <v>56556</v>
      </c>
      <c r="Y2513" s="153">
        <f>_xll.qlCalendarAdvance(Calendar,X2513,NDays&amp;"D")</f>
        <v>56556</v>
      </c>
      <c r="Z2513" s="154">
        <v>2.6323378904346523E-2</v>
      </c>
      <c r="AA2513" s="156">
        <v>2.6214334983242216E-2</v>
      </c>
    </row>
    <row r="2514" spans="19:27" x14ac:dyDescent="0.2">
      <c r="S2514" s="1"/>
      <c r="T2514" s="117"/>
      <c r="W2514" s="75" t="str">
        <f t="shared" si="49"/>
        <v>1w</v>
      </c>
      <c r="X2514" s="148">
        <f>_xll.qlCalendarAdvance(Calendar,X2513,W2514,"f",FALSE)</f>
        <v>56563</v>
      </c>
      <c r="Y2514" s="153">
        <f>_xll.qlCalendarAdvance(Calendar,X2514,NDays&amp;"D")</f>
        <v>56563</v>
      </c>
      <c r="Z2514" s="154">
        <v>2.6326950119650579E-2</v>
      </c>
      <c r="AA2514" s="156">
        <v>2.6217876392063966E-2</v>
      </c>
    </row>
    <row r="2515" spans="19:27" x14ac:dyDescent="0.2">
      <c r="S2515" s="1"/>
      <c r="T2515" s="117"/>
      <c r="W2515" s="75" t="str">
        <f t="shared" si="49"/>
        <v>1w</v>
      </c>
      <c r="X2515" s="148">
        <f>_xll.qlCalendarAdvance(Calendar,X2514,W2515,"f",FALSE)</f>
        <v>56570</v>
      </c>
      <c r="Y2515" s="153">
        <f>_xll.qlCalendarAdvance(Calendar,X2515,NDays&amp;"D")</f>
        <v>56570</v>
      </c>
      <c r="Z2515" s="154">
        <v>2.6330522347969721E-2</v>
      </c>
      <c r="AA2515" s="156">
        <v>2.6221418804238672E-2</v>
      </c>
    </row>
    <row r="2516" spans="19:27" x14ac:dyDescent="0.2">
      <c r="S2516" s="1"/>
      <c r="T2516" s="117"/>
      <c r="W2516" s="75" t="str">
        <f t="shared" si="49"/>
        <v>1w</v>
      </c>
      <c r="X2516" s="148">
        <f>_xll.qlCalendarAdvance(Calendar,X2515,W2516,"f",FALSE)</f>
        <v>56577</v>
      </c>
      <c r="Y2516" s="153">
        <f>_xll.qlCalendarAdvance(Calendar,X2516,NDays&amp;"D")</f>
        <v>56577</v>
      </c>
      <c r="Z2516" s="154">
        <v>2.6334095589309228E-2</v>
      </c>
      <c r="AA2516" s="156">
        <v>2.6224962219766335E-2</v>
      </c>
    </row>
    <row r="2517" spans="19:27" x14ac:dyDescent="0.2">
      <c r="S2517" s="1"/>
      <c r="T2517" s="117"/>
      <c r="W2517" s="75" t="str">
        <f t="shared" ref="W2517:W2580" si="50">W2516</f>
        <v>1w</v>
      </c>
      <c r="X2517" s="148">
        <f>_xll.qlCalendarAdvance(Calendar,X2516,W2517,"f",FALSE)</f>
        <v>56584</v>
      </c>
      <c r="Y2517" s="153">
        <f>_xll.qlCalendarAdvance(Calendar,X2517,NDays&amp;"D")</f>
        <v>56584</v>
      </c>
      <c r="Z2517" s="154">
        <v>2.6335262743754528E-2</v>
      </c>
      <c r="AA2517" s="156">
        <v>2.6228506638403815E-2</v>
      </c>
    </row>
    <row r="2518" spans="19:27" x14ac:dyDescent="0.2">
      <c r="S2518" s="1"/>
      <c r="T2518" s="117"/>
      <c r="W2518" s="75" t="str">
        <f t="shared" si="50"/>
        <v>1w</v>
      </c>
      <c r="X2518" s="148">
        <f>_xll.qlCalendarAdvance(Calendar,X2517,W2518,"f",FALSE)</f>
        <v>56591</v>
      </c>
      <c r="Y2518" s="153">
        <f>_xll.qlCalendarAdvance(Calendar,X2518,NDays&amp;"D")</f>
        <v>56591</v>
      </c>
      <c r="Z2518" s="154">
        <v>2.6338837352186537E-2</v>
      </c>
      <c r="AA2518" s="156">
        <v>2.6232052060475297E-2</v>
      </c>
    </row>
    <row r="2519" spans="19:27" x14ac:dyDescent="0.2">
      <c r="S2519" s="1"/>
      <c r="T2519" s="117"/>
      <c r="W2519" s="75" t="str">
        <f t="shared" si="50"/>
        <v>1w</v>
      </c>
      <c r="X2519" s="148">
        <f>_xll.qlCalendarAdvance(Calendar,X2518,W2519,"f",FALSE)</f>
        <v>56598</v>
      </c>
      <c r="Y2519" s="153">
        <f>_xll.qlCalendarAdvance(Calendar,X2519,NDays&amp;"D")</f>
        <v>56598</v>
      </c>
      <c r="Z2519" s="154">
        <v>2.6342412973427803E-2</v>
      </c>
      <c r="AA2519" s="156">
        <v>2.6235598485737643E-2</v>
      </c>
    </row>
    <row r="2520" spans="19:27" x14ac:dyDescent="0.2">
      <c r="S2520" s="1"/>
      <c r="T2520" s="117"/>
      <c r="W2520" s="75" t="str">
        <f t="shared" si="50"/>
        <v>1w</v>
      </c>
      <c r="X2520" s="148">
        <f>_xll.qlCalendarAdvance(Calendar,X2519,W2520,"f",FALSE)</f>
        <v>56605</v>
      </c>
      <c r="Y2520" s="153">
        <f>_xll.qlCalendarAdvance(Calendar,X2520,NDays&amp;"D")</f>
        <v>56605</v>
      </c>
      <c r="Z2520" s="154">
        <v>2.6345989607481024E-2</v>
      </c>
      <c r="AA2520" s="156">
        <v>2.6239145914190853E-2</v>
      </c>
    </row>
    <row r="2521" spans="19:27" x14ac:dyDescent="0.2">
      <c r="S2521" s="1"/>
      <c r="T2521" s="117"/>
      <c r="W2521" s="75" t="str">
        <f t="shared" si="50"/>
        <v>1w</v>
      </c>
      <c r="X2521" s="148">
        <f>_xll.qlCalendarAdvance(Calendar,X2520,W2521,"f",FALSE)</f>
        <v>56612</v>
      </c>
      <c r="Y2521" s="153">
        <f>_xll.qlCalendarAdvance(Calendar,X2521,NDays&amp;"D")</f>
        <v>56612</v>
      </c>
      <c r="Z2521" s="154">
        <v>2.634956725435161E-2</v>
      </c>
      <c r="AA2521" s="156">
        <v>2.6242694345915973E-2</v>
      </c>
    </row>
    <row r="2522" spans="19:27" x14ac:dyDescent="0.2">
      <c r="S2522" s="1"/>
      <c r="T2522" s="117"/>
      <c r="W2522" s="75" t="str">
        <f t="shared" si="50"/>
        <v>1w</v>
      </c>
      <c r="X2522" s="148">
        <f>_xll.qlCalendarAdvance(Calendar,X2521,W2522,"f",FALSE)</f>
        <v>56619</v>
      </c>
      <c r="Y2522" s="153">
        <f>_xll.qlCalendarAdvance(Calendar,X2522,NDays&amp;"D")</f>
        <v>56619</v>
      </c>
      <c r="Z2522" s="154">
        <v>2.6353145914038652E-2</v>
      </c>
      <c r="AA2522" s="156">
        <v>2.6246243781156142E-2</v>
      </c>
    </row>
    <row r="2523" spans="19:27" x14ac:dyDescent="0.2">
      <c r="S2523" s="1"/>
      <c r="T2523" s="117"/>
      <c r="W2523" s="75" t="str">
        <f t="shared" si="50"/>
        <v>1w</v>
      </c>
      <c r="X2523" s="148">
        <f>_xll.qlCalendarAdvance(Calendar,X2522,W2523,"f",FALSE)</f>
        <v>56626</v>
      </c>
      <c r="Y2523" s="153">
        <f>_xll.qlCalendarAdvance(Calendar,X2523,NDays&amp;"D")</f>
        <v>56626</v>
      </c>
      <c r="Z2523" s="154">
        <v>2.6356725586545757E-2</v>
      </c>
      <c r="AA2523" s="156">
        <v>2.6249794219425082E-2</v>
      </c>
    </row>
    <row r="2524" spans="19:27" x14ac:dyDescent="0.2">
      <c r="S2524" s="1"/>
      <c r="T2524" s="117"/>
      <c r="W2524" s="75" t="str">
        <f t="shared" si="50"/>
        <v>1w</v>
      </c>
      <c r="X2524" s="148">
        <f>_xll.qlCalendarAdvance(Calendar,X2523,W2524,"f",FALSE)</f>
        <v>56633</v>
      </c>
      <c r="Y2524" s="153">
        <f>_xll.qlCalendarAdvance(Calendar,X2524,NDays&amp;"D")</f>
        <v>56633</v>
      </c>
      <c r="Z2524" s="154">
        <v>2.6361512085739912E-2</v>
      </c>
      <c r="AA2524" s="156">
        <v>2.6253345660884886E-2</v>
      </c>
    </row>
    <row r="2525" spans="19:27" x14ac:dyDescent="0.2">
      <c r="S2525" s="1"/>
      <c r="T2525" s="117"/>
      <c r="W2525" s="75" t="str">
        <f t="shared" si="50"/>
        <v>1w</v>
      </c>
      <c r="X2525" s="148">
        <f>_xll.qlCalendarAdvance(Calendar,X2524,W2525,"f",FALSE)</f>
        <v>56640</v>
      </c>
      <c r="Y2525" s="153">
        <f>_xll.qlCalendarAdvance(Calendar,X2525,NDays&amp;"D")</f>
        <v>56640</v>
      </c>
      <c r="Z2525" s="154">
        <v>2.6363887970031863E-2</v>
      </c>
      <c r="AA2525" s="156">
        <v>2.6256898105859738E-2</v>
      </c>
    </row>
    <row r="2526" spans="19:27" x14ac:dyDescent="0.2">
      <c r="S2526" s="1"/>
      <c r="T2526" s="117"/>
      <c r="W2526" s="75" t="str">
        <f t="shared" si="50"/>
        <v>1w</v>
      </c>
      <c r="X2526" s="148">
        <f>_xll.qlCalendarAdvance(Calendar,X2525,W2526,"f",FALSE)</f>
        <v>56647</v>
      </c>
      <c r="Y2526" s="153">
        <f>_xll.qlCalendarAdvance(Calendar,X2526,NDays&amp;"D")</f>
        <v>56647</v>
      </c>
      <c r="Z2526" s="154">
        <v>2.6368677155414667E-2</v>
      </c>
      <c r="AA2526" s="156">
        <v>2.6260451554025455E-2</v>
      </c>
    </row>
    <row r="2527" spans="19:27" x14ac:dyDescent="0.2">
      <c r="S2527" s="1"/>
      <c r="T2527" s="117"/>
      <c r="W2527" s="75" t="str">
        <f t="shared" si="50"/>
        <v>1w</v>
      </c>
      <c r="X2527" s="148">
        <f>_xll.qlCalendarAdvance(Calendar,X2526,W2527,"f",FALSE)</f>
        <v>56654</v>
      </c>
      <c r="Y2527" s="153">
        <f>_xll.qlCalendarAdvance(Calendar,X2527,NDays&amp;"D")</f>
        <v>56654</v>
      </c>
      <c r="Z2527" s="154">
        <v>2.6371054404831538E-2</v>
      </c>
      <c r="AA2527" s="156">
        <v>2.6264006005382035E-2</v>
      </c>
    </row>
    <row r="2528" spans="19:27" x14ac:dyDescent="0.2">
      <c r="S2528" s="1"/>
      <c r="T2528" s="117"/>
      <c r="W2528" s="75" t="str">
        <f t="shared" si="50"/>
        <v>1w</v>
      </c>
      <c r="X2528" s="148">
        <f>_xll.qlCalendarAdvance(Calendar,X2527,W2528,"f",FALSE)</f>
        <v>56661</v>
      </c>
      <c r="Y2528" s="153">
        <f>_xll.qlCalendarAdvance(Calendar,X2528,NDays&amp;"D")</f>
        <v>56661</v>
      </c>
      <c r="Z2528" s="154">
        <v>2.637463914148128E-2</v>
      </c>
      <c r="AA2528" s="156">
        <v>2.6267561460010524E-2</v>
      </c>
    </row>
    <row r="2529" spans="19:27" x14ac:dyDescent="0.2">
      <c r="S2529" s="1"/>
      <c r="T2529" s="117"/>
      <c r="W2529" s="75" t="str">
        <f t="shared" si="50"/>
        <v>1w</v>
      </c>
      <c r="X2529" s="148">
        <f>_xll.qlCalendarAdvance(Calendar,X2528,W2529,"f",FALSE)</f>
        <v>56668</v>
      </c>
      <c r="Y2529" s="153">
        <f>_xll.qlCalendarAdvance(Calendar,X2529,NDays&amp;"D")</f>
        <v>56668</v>
      </c>
      <c r="Z2529" s="154">
        <v>2.6378224890967295E-2</v>
      </c>
      <c r="AA2529" s="156">
        <v>2.6271117918073017E-2</v>
      </c>
    </row>
    <row r="2530" spans="19:27" x14ac:dyDescent="0.2">
      <c r="S2530" s="1"/>
      <c r="T2530" s="117"/>
      <c r="W2530" s="75" t="str">
        <f t="shared" si="50"/>
        <v>1w</v>
      </c>
      <c r="X2530" s="148">
        <f>_xll.qlCalendarAdvance(Calendar,X2529,W2530,"f",FALSE)</f>
        <v>56675</v>
      </c>
      <c r="Y2530" s="153">
        <f>_xll.qlCalendarAdvance(Calendar,X2530,NDays&amp;"D")</f>
        <v>56675</v>
      </c>
      <c r="Z2530" s="154">
        <v>2.6384227336370858E-2</v>
      </c>
      <c r="AA2530" s="156">
        <v>2.6274675379326373E-2</v>
      </c>
    </row>
    <row r="2531" spans="19:27" x14ac:dyDescent="0.2">
      <c r="S2531" s="1"/>
      <c r="T2531" s="117"/>
      <c r="W2531" s="75" t="str">
        <f t="shared" si="50"/>
        <v>1w</v>
      </c>
      <c r="X2531" s="148">
        <f>_xll.qlCalendarAdvance(Calendar,X2530,W2531,"f",FALSE)</f>
        <v>56682</v>
      </c>
      <c r="Y2531" s="153">
        <f>_xll.qlCalendarAdvance(Calendar,X2531,NDays&amp;"D")</f>
        <v>56682</v>
      </c>
      <c r="Z2531" s="154">
        <v>2.6387815773292501E-2</v>
      </c>
      <c r="AA2531" s="156">
        <v>2.6278233843608501E-2</v>
      </c>
    </row>
    <row r="2532" spans="19:27" x14ac:dyDescent="0.2">
      <c r="S2532" s="1"/>
      <c r="T2532" s="117"/>
      <c r="W2532" s="75" t="str">
        <f t="shared" si="50"/>
        <v>1w</v>
      </c>
      <c r="X2532" s="148">
        <f>_xll.qlCalendarAdvance(Calendar,X2531,W2532,"f",FALSE)</f>
        <v>56689</v>
      </c>
      <c r="Y2532" s="153">
        <f>_xll.qlCalendarAdvance(Calendar,X2532,NDays&amp;"D")</f>
        <v>56689</v>
      </c>
      <c r="Z2532" s="154">
        <v>2.6391405223277677E-2</v>
      </c>
      <c r="AA2532" s="156">
        <v>2.6281793311486723E-2</v>
      </c>
    </row>
    <row r="2533" spans="19:27" x14ac:dyDescent="0.2">
      <c r="S2533" s="1"/>
      <c r="T2533" s="117"/>
      <c r="W2533" s="75" t="str">
        <f t="shared" si="50"/>
        <v>1w</v>
      </c>
      <c r="X2533" s="148">
        <f>_xll.qlCalendarAdvance(Calendar,X2532,W2533,"f",FALSE)</f>
        <v>56696</v>
      </c>
      <c r="Y2533" s="153">
        <f>_xll.qlCalendarAdvance(Calendar,X2533,NDays&amp;"D")</f>
        <v>56696</v>
      </c>
      <c r="Z2533" s="154">
        <v>2.6394995686325508E-2</v>
      </c>
      <c r="AA2533" s="156">
        <v>2.6285353782555809E-2</v>
      </c>
    </row>
    <row r="2534" spans="19:27" x14ac:dyDescent="0.2">
      <c r="S2534" s="1"/>
      <c r="T2534" s="117"/>
      <c r="W2534" s="75" t="str">
        <f t="shared" si="50"/>
        <v>1w</v>
      </c>
      <c r="X2534" s="148">
        <f>_xll.qlCalendarAdvance(Calendar,X2533,W2534,"f",FALSE)</f>
        <v>56703</v>
      </c>
      <c r="Y2534" s="153">
        <f>_xll.qlCalendarAdvance(Calendar,X2534,NDays&amp;"D")</f>
        <v>56703</v>
      </c>
      <c r="Z2534" s="154">
        <v>2.6398587162438633E-2</v>
      </c>
      <c r="AA2534" s="156">
        <v>2.6288915256734713E-2</v>
      </c>
    </row>
    <row r="2535" spans="19:27" x14ac:dyDescent="0.2">
      <c r="S2535" s="1"/>
      <c r="T2535" s="117"/>
      <c r="W2535" s="75" t="str">
        <f t="shared" si="50"/>
        <v>1w</v>
      </c>
      <c r="X2535" s="148">
        <f>_xll.qlCalendarAdvance(Calendar,X2534,W2535,"f",FALSE)</f>
        <v>56710</v>
      </c>
      <c r="Y2535" s="153">
        <f>_xll.qlCalendarAdvance(Calendar,X2535,NDays&amp;"D")</f>
        <v>56710</v>
      </c>
      <c r="Z2535" s="154">
        <v>2.6400970109746284E-2</v>
      </c>
      <c r="AA2535" s="156">
        <v>2.6292477734347619E-2</v>
      </c>
    </row>
    <row r="2536" spans="19:27" x14ac:dyDescent="0.2">
      <c r="S2536" s="1"/>
      <c r="T2536" s="117"/>
      <c r="W2536" s="75" t="str">
        <f t="shared" si="50"/>
        <v>1w</v>
      </c>
      <c r="X2536" s="148">
        <f>_xll.qlCalendarAdvance(Calendar,X2535,W2536,"f",FALSE)</f>
        <v>56717</v>
      </c>
      <c r="Y2536" s="153">
        <f>_xll.qlCalendarAdvance(Calendar,X2536,NDays&amp;"D")</f>
        <v>56717</v>
      </c>
      <c r="Z2536" s="154">
        <v>2.6404563280564518E-2</v>
      </c>
      <c r="AA2536" s="156">
        <v>2.6296041215232435E-2</v>
      </c>
    </row>
    <row r="2537" spans="19:27" x14ac:dyDescent="0.2">
      <c r="S2537" s="1"/>
      <c r="T2537" s="117"/>
      <c r="W2537" s="75" t="str">
        <f t="shared" si="50"/>
        <v>1w</v>
      </c>
      <c r="X2537" s="148">
        <f>_xll.qlCalendarAdvance(Calendar,X2536,W2537,"f",FALSE)</f>
        <v>56724</v>
      </c>
      <c r="Y2537" s="153">
        <f>_xll.qlCalendarAdvance(Calendar,X2537,NDays&amp;"D")</f>
        <v>56724</v>
      </c>
      <c r="Z2537" s="154">
        <v>2.6408157464349043E-2</v>
      </c>
      <c r="AA2537" s="156">
        <v>2.6299605699308115E-2</v>
      </c>
    </row>
    <row r="2538" spans="19:27" x14ac:dyDescent="0.2">
      <c r="S2538" s="1"/>
      <c r="T2538" s="117"/>
      <c r="W2538" s="75" t="str">
        <f t="shared" si="50"/>
        <v>1w</v>
      </c>
      <c r="X2538" s="148">
        <f>_xll.qlCalendarAdvance(Calendar,X2537,W2538,"f",FALSE)</f>
        <v>56731</v>
      </c>
      <c r="Y2538" s="153">
        <f>_xll.qlCalendarAdvance(Calendar,X2538,NDays&amp;"D")</f>
        <v>56731</v>
      </c>
      <c r="Z2538" s="154">
        <v>2.6411752661101642E-2</v>
      </c>
      <c r="AA2538" s="156">
        <v>2.6303171186655705E-2</v>
      </c>
    </row>
    <row r="2539" spans="19:27" x14ac:dyDescent="0.2">
      <c r="S2539" s="1"/>
      <c r="T2539" s="117"/>
      <c r="W2539" s="75" t="str">
        <f t="shared" si="50"/>
        <v>1w</v>
      </c>
      <c r="X2539" s="148">
        <f>_xll.qlCalendarAdvance(Calendar,X2538,W2539,"f",FALSE)</f>
        <v>56738</v>
      </c>
      <c r="Y2539" s="153">
        <f>_xll.qlCalendarAdvance(Calendar,X2539,NDays&amp;"D")</f>
        <v>56738</v>
      </c>
      <c r="Z2539" s="154">
        <v>2.6416559739099982E-2</v>
      </c>
      <c r="AA2539" s="156">
        <v>2.6306737677356251E-2</v>
      </c>
    </row>
    <row r="2540" spans="19:27" x14ac:dyDescent="0.2">
      <c r="S2540" s="1"/>
      <c r="T2540" s="117"/>
      <c r="W2540" s="75" t="str">
        <f t="shared" si="50"/>
        <v>1w</v>
      </c>
      <c r="X2540" s="148">
        <f>_xll.qlCalendarAdvance(Calendar,X2539,W2540,"f",FALSE)</f>
        <v>56745</v>
      </c>
      <c r="Y2540" s="153">
        <f>_xll.qlCalendarAdvance(Calendar,X2540,NDays&amp;"D")</f>
        <v>56745</v>
      </c>
      <c r="Z2540" s="154">
        <v>2.6420157293670074E-2</v>
      </c>
      <c r="AA2540" s="156">
        <v>2.6310305171328707E-2</v>
      </c>
    </row>
    <row r="2541" spans="19:27" x14ac:dyDescent="0.2">
      <c r="S2541" s="1"/>
      <c r="T2541" s="117"/>
      <c r="W2541" s="75" t="str">
        <f t="shared" si="50"/>
        <v>1w</v>
      </c>
      <c r="X2541" s="148">
        <f>_xll.qlCalendarAdvance(Calendar,X2540,W2541,"f",FALSE)</f>
        <v>56752</v>
      </c>
      <c r="Y2541" s="153">
        <f>_xll.qlCalendarAdvance(Calendar,X2541,NDays&amp;"D")</f>
        <v>56752</v>
      </c>
      <c r="Z2541" s="154">
        <v>2.6423755861324841E-2</v>
      </c>
      <c r="AA2541" s="156">
        <v>2.6313873668573073E-2</v>
      </c>
    </row>
    <row r="2542" spans="19:27" x14ac:dyDescent="0.2">
      <c r="S2542" s="1"/>
      <c r="T2542" s="117"/>
      <c r="W2542" s="75" t="str">
        <f t="shared" si="50"/>
        <v>1w</v>
      </c>
      <c r="X2542" s="148">
        <f>_xll.qlCalendarAdvance(Calendar,X2541,W2542,"f",FALSE)</f>
        <v>56759</v>
      </c>
      <c r="Y2542" s="153">
        <f>_xll.qlCalendarAdvance(Calendar,X2542,NDays&amp;"D")</f>
        <v>56759</v>
      </c>
      <c r="Z2542" s="154">
        <v>2.6427355442067809E-2</v>
      </c>
      <c r="AA2542" s="156">
        <v>2.6317443168927257E-2</v>
      </c>
    </row>
    <row r="2543" spans="19:27" x14ac:dyDescent="0.2">
      <c r="S2543" s="1"/>
      <c r="T2543" s="117"/>
      <c r="W2543" s="75" t="str">
        <f t="shared" si="50"/>
        <v>1w</v>
      </c>
      <c r="X2543" s="148">
        <f>_xll.qlCalendarAdvance(Calendar,X2542,W2543,"f",FALSE)</f>
        <v>56766</v>
      </c>
      <c r="Y2543" s="153">
        <f>_xll.qlCalendarAdvance(Calendar,X2543,NDays&amp;"D")</f>
        <v>56766</v>
      </c>
      <c r="Z2543" s="154">
        <v>2.6430956035901617E-2</v>
      </c>
      <c r="AA2543" s="156">
        <v>2.6321013672715443E-2</v>
      </c>
    </row>
    <row r="2544" spans="19:27" x14ac:dyDescent="0.2">
      <c r="S2544" s="1"/>
      <c r="T2544" s="117"/>
      <c r="W2544" s="75" t="str">
        <f t="shared" si="50"/>
        <v>1w</v>
      </c>
      <c r="X2544" s="148">
        <f>_xll.qlCalendarAdvance(Calendar,X2543,W2544,"f",FALSE)</f>
        <v>56773</v>
      </c>
      <c r="Y2544" s="153">
        <f>_xll.qlCalendarAdvance(Calendar,X2544,NDays&amp;"D")</f>
        <v>56773</v>
      </c>
      <c r="Z2544" s="154">
        <v>2.6434557642828035E-2</v>
      </c>
      <c r="AA2544" s="156">
        <v>2.6324585179694493E-2</v>
      </c>
    </row>
    <row r="2545" spans="19:27" x14ac:dyDescent="0.2">
      <c r="S2545" s="1"/>
      <c r="T2545" s="117"/>
      <c r="W2545" s="75" t="str">
        <f t="shared" si="50"/>
        <v>1w</v>
      </c>
      <c r="X2545" s="148">
        <f>_xll.qlCalendarAdvance(Calendar,X2544,W2545,"f",FALSE)</f>
        <v>56780</v>
      </c>
      <c r="Y2545" s="153">
        <f>_xll.qlCalendarAdvance(Calendar,X2545,NDays&amp;"D")</f>
        <v>56780</v>
      </c>
      <c r="Z2545" s="154">
        <v>2.6438160262854102E-2</v>
      </c>
      <c r="AA2545" s="156">
        <v>2.6328157690107545E-2</v>
      </c>
    </row>
    <row r="2546" spans="19:27" x14ac:dyDescent="0.2">
      <c r="S2546" s="1"/>
      <c r="T2546" s="117"/>
      <c r="W2546" s="75" t="str">
        <f t="shared" si="50"/>
        <v>1w</v>
      </c>
      <c r="X2546" s="148">
        <f>_xll.qlCalendarAdvance(Calendar,X2545,W2546,"f",FALSE)</f>
        <v>56787</v>
      </c>
      <c r="Y2546" s="153">
        <f>_xll.qlCalendarAdvance(Calendar,X2546,NDays&amp;"D")</f>
        <v>56787</v>
      </c>
      <c r="Z2546" s="154">
        <v>2.6441763895975419E-2</v>
      </c>
      <c r="AA2546" s="156">
        <v>2.6331731203549369E-2</v>
      </c>
    </row>
    <row r="2547" spans="19:27" x14ac:dyDescent="0.2">
      <c r="S2547" s="1"/>
      <c r="T2547" s="117"/>
      <c r="W2547" s="75" t="str">
        <f t="shared" si="50"/>
        <v>1w</v>
      </c>
      <c r="X2547" s="148">
        <f>_xll.qlCalendarAdvance(Calendar,X2546,W2547,"f",FALSE)</f>
        <v>56794</v>
      </c>
      <c r="Y2547" s="153">
        <f>_xll.qlCalendarAdvance(Calendar,X2547,NDays&amp;"D")</f>
        <v>56794</v>
      </c>
      <c r="Z2547" s="154">
        <v>2.6445368542200792E-2</v>
      </c>
      <c r="AA2547" s="156">
        <v>2.6335305720425195E-2</v>
      </c>
    </row>
    <row r="2548" spans="19:27" x14ac:dyDescent="0.2">
      <c r="S2548" s="1"/>
      <c r="T2548" s="117"/>
      <c r="W2548" s="75" t="str">
        <f t="shared" si="50"/>
        <v>1w</v>
      </c>
      <c r="X2548" s="148">
        <f>_xll.qlCalendarAdvance(Calendar,X2547,W2548,"f",FALSE)</f>
        <v>56801</v>
      </c>
      <c r="Y2548" s="153">
        <f>_xll.qlCalendarAdvance(Calendar,X2548,NDays&amp;"D")</f>
        <v>56801</v>
      </c>
      <c r="Z2548" s="154">
        <v>2.6448974201529338E-2</v>
      </c>
      <c r="AA2548" s="156">
        <v>2.6338881240572931E-2</v>
      </c>
    </row>
    <row r="2549" spans="19:27" x14ac:dyDescent="0.2">
      <c r="S2549" s="1"/>
      <c r="T2549" s="117"/>
      <c r="W2549" s="75" t="str">
        <f t="shared" si="50"/>
        <v>1w</v>
      </c>
      <c r="X2549" s="148">
        <f>_xll.qlCalendarAdvance(Calendar,X2548,W2549,"f",FALSE)</f>
        <v>56808</v>
      </c>
      <c r="Y2549" s="153">
        <f>_xll.qlCalendarAdvance(Calendar,X2549,NDays&amp;"D")</f>
        <v>56808</v>
      </c>
      <c r="Z2549" s="154">
        <v>2.6452580873966351E-2</v>
      </c>
      <c r="AA2549" s="156">
        <v>2.6342457763749438E-2</v>
      </c>
    </row>
    <row r="2550" spans="19:27" x14ac:dyDescent="0.2">
      <c r="S2550" s="1"/>
      <c r="T2550" s="117"/>
      <c r="W2550" s="75" t="str">
        <f t="shared" si="50"/>
        <v>1w</v>
      </c>
      <c r="X2550" s="148">
        <f>_xll.qlCalendarAdvance(Calendar,X2549,W2550,"f",FALSE)</f>
        <v>56815</v>
      </c>
      <c r="Y2550" s="153">
        <f>_xll.qlCalendarAdvance(Calendar,X2550,NDays&amp;"D")</f>
        <v>56815</v>
      </c>
      <c r="Z2550" s="154">
        <v>2.6456188559512702E-2</v>
      </c>
      <c r="AA2550" s="156">
        <v>2.6346035290440994E-2</v>
      </c>
    </row>
    <row r="2551" spans="19:27" x14ac:dyDescent="0.2">
      <c r="S2551" s="1"/>
      <c r="T2551" s="117"/>
      <c r="W2551" s="75" t="str">
        <f t="shared" si="50"/>
        <v>1w</v>
      </c>
      <c r="X2551" s="148">
        <f>_xll.qlCalendarAdvance(Calendar,X2550,W2551,"f",FALSE)</f>
        <v>56822</v>
      </c>
      <c r="Y2551" s="153">
        <f>_xll.qlCalendarAdvance(Calendar,X2551,NDays&amp;"D")</f>
        <v>56822</v>
      </c>
      <c r="Z2551" s="154">
        <v>2.6459797258171925E-2</v>
      </c>
      <c r="AA2551" s="156">
        <v>2.6349613820404461E-2</v>
      </c>
    </row>
    <row r="2552" spans="19:27" x14ac:dyDescent="0.2">
      <c r="S2552" s="1"/>
      <c r="T2552" s="117"/>
      <c r="W2552" s="75" t="str">
        <f t="shared" si="50"/>
        <v>1w</v>
      </c>
      <c r="X2552" s="148">
        <f>_xll.qlCalendarAdvance(Calendar,X2551,W2552,"f",FALSE)</f>
        <v>56829</v>
      </c>
      <c r="Y2552" s="153">
        <f>_xll.qlCalendarAdvance(Calendar,X2552,NDays&amp;"D")</f>
        <v>56829</v>
      </c>
      <c r="Z2552" s="154">
        <v>2.6463406969948415E-2</v>
      </c>
      <c r="AA2552" s="156">
        <v>2.635319335355879E-2</v>
      </c>
    </row>
    <row r="2553" spans="19:27" x14ac:dyDescent="0.2">
      <c r="S2553" s="1"/>
      <c r="T2553" s="117"/>
      <c r="W2553" s="75" t="str">
        <f t="shared" si="50"/>
        <v>1w</v>
      </c>
      <c r="X2553" s="148">
        <f>_xll.qlCalendarAdvance(Calendar,X2552,W2553,"f",FALSE)</f>
        <v>56836</v>
      </c>
      <c r="Y2553" s="153">
        <f>_xll.qlCalendarAdvance(Calendar,X2553,NDays&amp;"D")</f>
        <v>56836</v>
      </c>
      <c r="Z2553" s="154">
        <v>2.6467017694840417E-2</v>
      </c>
      <c r="AA2553" s="156">
        <v>2.635677388998503E-2</v>
      </c>
    </row>
    <row r="2554" spans="19:27" x14ac:dyDescent="0.2">
      <c r="S2554" s="1"/>
      <c r="T2554" s="117"/>
      <c r="W2554" s="75" t="str">
        <f t="shared" si="50"/>
        <v>1w</v>
      </c>
      <c r="X2554" s="148">
        <f>_xll.qlCalendarAdvance(Calendar,X2553,W2554,"f",FALSE)</f>
        <v>56843</v>
      </c>
      <c r="Y2554" s="153">
        <f>_xll.qlCalendarAdvance(Calendar,X2554,NDays&amp;"D")</f>
        <v>56843</v>
      </c>
      <c r="Z2554" s="154">
        <v>2.6470629432854973E-2</v>
      </c>
      <c r="AA2554" s="156">
        <v>2.6360355429764226E-2</v>
      </c>
    </row>
    <row r="2555" spans="19:27" x14ac:dyDescent="0.2">
      <c r="S2555" s="1"/>
      <c r="T2555" s="117"/>
      <c r="W2555" s="75" t="str">
        <f t="shared" si="50"/>
        <v>1w</v>
      </c>
      <c r="X2555" s="148">
        <f>_xll.qlCalendarAdvance(Calendar,X2554,W2555,"f",FALSE)</f>
        <v>56850</v>
      </c>
      <c r="Y2555" s="153">
        <f>_xll.qlCalendarAdvance(Calendar,X2555,NDays&amp;"D")</f>
        <v>56850</v>
      </c>
      <c r="Z2555" s="154">
        <v>2.6474242183992087E-2</v>
      </c>
      <c r="AA2555" s="156">
        <v>2.6363937972734286E-2</v>
      </c>
    </row>
    <row r="2556" spans="19:27" x14ac:dyDescent="0.2">
      <c r="S2556" s="1"/>
      <c r="T2556" s="117"/>
      <c r="W2556" s="75" t="str">
        <f t="shared" si="50"/>
        <v>1w</v>
      </c>
      <c r="X2556" s="148">
        <f>_xll.qlCalendarAdvance(Calendar,X2555,W2556,"f",FALSE)</f>
        <v>56857</v>
      </c>
      <c r="Y2556" s="153">
        <f>_xll.qlCalendarAdvance(Calendar,X2556,NDays&amp;"D")</f>
        <v>56857</v>
      </c>
      <c r="Z2556" s="154">
        <v>2.6476639423402313E-2</v>
      </c>
      <c r="AA2556" s="156">
        <v>2.6367521518895209E-2</v>
      </c>
    </row>
    <row r="2557" spans="19:27" x14ac:dyDescent="0.2">
      <c r="S2557" s="1"/>
      <c r="T2557" s="117"/>
      <c r="W2557" s="75" t="str">
        <f t="shared" si="50"/>
        <v>1w</v>
      </c>
      <c r="X2557" s="148">
        <f>_xll.qlCalendarAdvance(Calendar,X2556,W2557,"f",FALSE)</f>
        <v>56864</v>
      </c>
      <c r="Y2557" s="153">
        <f>_xll.qlCalendarAdvance(Calendar,X2557,NDays&amp;"D")</f>
        <v>56864</v>
      </c>
      <c r="Z2557" s="154">
        <v>2.6480253867076441E-2</v>
      </c>
      <c r="AA2557" s="156">
        <v>2.6371106068409089E-2</v>
      </c>
    </row>
    <row r="2558" spans="19:27" x14ac:dyDescent="0.2">
      <c r="S2558" s="1"/>
      <c r="T2558" s="117"/>
      <c r="W2558" s="75" t="str">
        <f t="shared" si="50"/>
        <v>1w</v>
      </c>
      <c r="X2558" s="148">
        <f>_xll.qlCalendarAdvance(Calendar,X2557,W2558,"f",FALSE)</f>
        <v>56871</v>
      </c>
      <c r="Y2558" s="153">
        <f>_xll.qlCalendarAdvance(Calendar,X2558,NDays&amp;"D")</f>
        <v>56871</v>
      </c>
      <c r="Z2558" s="154">
        <v>2.648386932377297E-2</v>
      </c>
      <c r="AA2558" s="156">
        <v>2.6374691621356972E-2</v>
      </c>
    </row>
    <row r="2559" spans="19:27" x14ac:dyDescent="0.2">
      <c r="S2559" s="1"/>
      <c r="T2559" s="117"/>
      <c r="W2559" s="75" t="str">
        <f t="shared" si="50"/>
        <v>1w</v>
      </c>
      <c r="X2559" s="148">
        <f>_xll.qlCalendarAdvance(Calendar,X2558,W2559,"f",FALSE)</f>
        <v>56878</v>
      </c>
      <c r="Y2559" s="153">
        <f>_xll.qlCalendarAdvance(Calendar,X2559,NDays&amp;"D")</f>
        <v>56878</v>
      </c>
      <c r="Z2559" s="154">
        <v>2.6487485793497245E-2</v>
      </c>
      <c r="AA2559" s="156">
        <v>2.6378278177414671E-2</v>
      </c>
    </row>
    <row r="2560" spans="19:27" x14ac:dyDescent="0.2">
      <c r="S2560" s="1"/>
      <c r="T2560" s="117"/>
      <c r="W2560" s="75" t="str">
        <f t="shared" si="50"/>
        <v>1w</v>
      </c>
      <c r="X2560" s="148">
        <f>_xll.qlCalendarAdvance(Calendar,X2559,W2560,"f",FALSE)</f>
        <v>56885</v>
      </c>
      <c r="Y2560" s="153">
        <f>_xll.qlCalendarAdvance(Calendar,X2560,NDays&amp;"D")</f>
        <v>56885</v>
      </c>
      <c r="Z2560" s="154">
        <v>2.6492321136634061E-2</v>
      </c>
      <c r="AA2560" s="156">
        <v>2.6381865736663235E-2</v>
      </c>
    </row>
    <row r="2561" spans="19:27" x14ac:dyDescent="0.2">
      <c r="S2561" s="1"/>
      <c r="T2561" s="117"/>
      <c r="W2561" s="75" t="str">
        <f t="shared" si="50"/>
        <v>1w</v>
      </c>
      <c r="X2561" s="148">
        <f>_xll.qlCalendarAdvance(Calendar,X2560,W2561,"f",FALSE)</f>
        <v>56892</v>
      </c>
      <c r="Y2561" s="153">
        <f>_xll.qlCalendarAdvance(Calendar,X2561,NDays&amp;"D")</f>
        <v>56892</v>
      </c>
      <c r="Z2561" s="154">
        <v>2.6495939966571704E-2</v>
      </c>
      <c r="AA2561" s="156">
        <v>2.6385454299264754E-2</v>
      </c>
    </row>
    <row r="2562" spans="19:27" x14ac:dyDescent="0.2">
      <c r="S2562" s="1"/>
      <c r="T2562" s="117"/>
      <c r="W2562" s="75" t="str">
        <f t="shared" si="50"/>
        <v>1w</v>
      </c>
      <c r="X2562" s="148">
        <f>_xll.qlCalendarAdvance(Calendar,X2561,W2562,"f",FALSE)</f>
        <v>56899</v>
      </c>
      <c r="Y2562" s="153">
        <f>_xll.qlCalendarAdvance(Calendar,X2562,NDays&amp;"D")</f>
        <v>56899</v>
      </c>
      <c r="Z2562" s="154">
        <v>2.6499559809653048E-2</v>
      </c>
      <c r="AA2562" s="156">
        <v>2.6389043865219231E-2</v>
      </c>
    </row>
    <row r="2563" spans="19:27" x14ac:dyDescent="0.2">
      <c r="S2563" s="1"/>
      <c r="T2563" s="117"/>
      <c r="W2563" s="75" t="str">
        <f t="shared" si="50"/>
        <v>1w</v>
      </c>
      <c r="X2563" s="148">
        <f>_xll.qlCalendarAdvance(Calendar,X2562,W2563,"f",FALSE)</f>
        <v>56906</v>
      </c>
      <c r="Y2563" s="153">
        <f>_xll.qlCalendarAdvance(Calendar,X2563,NDays&amp;"D")</f>
        <v>56906</v>
      </c>
      <c r="Z2563" s="154">
        <v>2.6503180665880737E-2</v>
      </c>
      <c r="AA2563" s="156">
        <v>2.6392634434445617E-2</v>
      </c>
    </row>
    <row r="2564" spans="19:27" x14ac:dyDescent="0.2">
      <c r="S2564" s="1"/>
      <c r="T2564" s="117"/>
      <c r="W2564" s="75" t="str">
        <f t="shared" si="50"/>
        <v>1w</v>
      </c>
      <c r="X2564" s="148">
        <f>_xll.qlCalendarAdvance(Calendar,X2563,W2564,"f",FALSE)</f>
        <v>56913</v>
      </c>
      <c r="Y2564" s="153">
        <f>_xll.qlCalendarAdvance(Calendar,X2564,NDays&amp;"D")</f>
        <v>56913</v>
      </c>
      <c r="Z2564" s="154">
        <v>2.6506802535255645E-2</v>
      </c>
      <c r="AA2564" s="156">
        <v>2.6396226006862866E-2</v>
      </c>
    </row>
    <row r="2565" spans="19:27" x14ac:dyDescent="0.2">
      <c r="S2565" s="1"/>
      <c r="T2565" s="117"/>
      <c r="W2565" s="75" t="str">
        <f t="shared" si="50"/>
        <v>1w</v>
      </c>
      <c r="X2565" s="148">
        <f>_xll.qlCalendarAdvance(Calendar,X2564,W2565,"f",FALSE)</f>
        <v>56920</v>
      </c>
      <c r="Y2565" s="153">
        <f>_xll.qlCalendarAdvance(Calendar,X2565,NDays&amp;"D")</f>
        <v>56920</v>
      </c>
      <c r="Z2565" s="154">
        <v>2.6510425417782185E-2</v>
      </c>
      <c r="AA2565" s="156">
        <v>2.6399818582552026E-2</v>
      </c>
    </row>
    <row r="2566" spans="19:27" x14ac:dyDescent="0.2">
      <c r="S2566" s="1"/>
      <c r="T2566" s="117"/>
      <c r="W2566" s="75" t="str">
        <f t="shared" si="50"/>
        <v>1w</v>
      </c>
      <c r="X2566" s="148">
        <f>_xll.qlCalendarAdvance(Calendar,X2565,W2566,"f",FALSE)</f>
        <v>56927</v>
      </c>
      <c r="Y2566" s="153">
        <f>_xll.qlCalendarAdvance(Calendar,X2566,NDays&amp;"D")</f>
        <v>56927</v>
      </c>
      <c r="Z2566" s="154">
        <v>2.6514049313462112E-2</v>
      </c>
      <c r="AA2566" s="156">
        <v>2.6403412161513096E-2</v>
      </c>
    </row>
    <row r="2567" spans="19:27" x14ac:dyDescent="0.2">
      <c r="S2567" s="1"/>
      <c r="T2567" s="117"/>
      <c r="W2567" s="75" t="str">
        <f t="shared" si="50"/>
        <v>1w</v>
      </c>
      <c r="X2567" s="148">
        <f>_xll.qlCalendarAdvance(Calendar,X2566,W2567,"f",FALSE)</f>
        <v>56934</v>
      </c>
      <c r="Y2567" s="153">
        <f>_xll.qlCalendarAdvance(Calendar,X2567,NDays&amp;"D")</f>
        <v>56934</v>
      </c>
      <c r="Z2567" s="154">
        <v>2.6517674222299833E-2</v>
      </c>
      <c r="AA2567" s="156">
        <v>2.6407006743746075E-2</v>
      </c>
    </row>
    <row r="2568" spans="19:27" x14ac:dyDescent="0.2">
      <c r="S2568" s="1"/>
      <c r="T2568" s="117"/>
      <c r="W2568" s="75" t="str">
        <f t="shared" si="50"/>
        <v>1w</v>
      </c>
      <c r="X2568" s="148">
        <f>_xll.qlCalendarAdvance(Calendar,X2567,W2568,"f",FALSE)</f>
        <v>56941</v>
      </c>
      <c r="Y2568" s="153">
        <f>_xll.qlCalendarAdvance(Calendar,X2568,NDays&amp;"D")</f>
        <v>56941</v>
      </c>
      <c r="Z2568" s="154">
        <v>2.6521300144296229E-2</v>
      </c>
      <c r="AA2568" s="156">
        <v>2.6410602329169919E-2</v>
      </c>
    </row>
    <row r="2569" spans="19:27" x14ac:dyDescent="0.2">
      <c r="S2569" s="1"/>
      <c r="T2569" s="117"/>
      <c r="W2569" s="75" t="str">
        <f t="shared" si="50"/>
        <v>1w</v>
      </c>
      <c r="X2569" s="148">
        <f>_xll.qlCalendarAdvance(Calendar,X2568,W2569,"f",FALSE)</f>
        <v>56948</v>
      </c>
      <c r="Y2569" s="153">
        <f>_xll.qlCalendarAdvance(Calendar,X2569,NDays&amp;"D")</f>
        <v>56948</v>
      </c>
      <c r="Z2569" s="154">
        <v>2.652370620773619E-2</v>
      </c>
      <c r="AA2569" s="156">
        <v>2.6414198918108811E-2</v>
      </c>
    </row>
    <row r="2570" spans="19:27" x14ac:dyDescent="0.2">
      <c r="S2570" s="1"/>
      <c r="T2570" s="117"/>
      <c r="W2570" s="75" t="str">
        <f t="shared" si="50"/>
        <v>1w</v>
      </c>
      <c r="X2570" s="148">
        <f>_xll.qlCalendarAdvance(Calendar,X2569,W2570,"f",FALSE)</f>
        <v>56955</v>
      </c>
      <c r="Y2570" s="153">
        <f>_xll.qlCalendarAdvance(Calendar,X2570,NDays&amp;"D")</f>
        <v>56955</v>
      </c>
      <c r="Z2570" s="154">
        <v>2.6527333820920623E-2</v>
      </c>
      <c r="AA2570" s="156">
        <v>2.6417796510157521E-2</v>
      </c>
    </row>
    <row r="2571" spans="19:27" x14ac:dyDescent="0.2">
      <c r="S2571" s="1"/>
      <c r="T2571" s="117"/>
      <c r="W2571" s="75" t="str">
        <f t="shared" si="50"/>
        <v>1w</v>
      </c>
      <c r="X2571" s="148">
        <f>_xll.qlCalendarAdvance(Calendar,X2570,W2571,"f",FALSE)</f>
        <v>56962</v>
      </c>
      <c r="Y2571" s="153">
        <f>_xll.qlCalendarAdvance(Calendar,X2571,NDays&amp;"D")</f>
        <v>56962</v>
      </c>
      <c r="Z2571" s="154">
        <v>2.6530962447163083E-2</v>
      </c>
      <c r="AA2571" s="156">
        <v>2.642139510547814E-2</v>
      </c>
    </row>
    <row r="2572" spans="19:27" x14ac:dyDescent="0.2">
      <c r="S2572" s="1"/>
      <c r="T2572" s="117"/>
      <c r="W2572" s="75" t="str">
        <f t="shared" si="50"/>
        <v>1w</v>
      </c>
      <c r="X2572" s="148">
        <f>_xll.qlCalendarAdvance(Calendar,X2571,W2572,"f",FALSE)</f>
        <v>56969</v>
      </c>
      <c r="Y2572" s="153">
        <f>_xll.qlCalendarAdvance(Calendar,X2572,NDays&amp;"D")</f>
        <v>56969</v>
      </c>
      <c r="Z2572" s="154">
        <v>2.6534592086468911E-2</v>
      </c>
      <c r="AA2572" s="156">
        <v>2.642499470407067E-2</v>
      </c>
    </row>
    <row r="2573" spans="19:27" x14ac:dyDescent="0.2">
      <c r="S2573" s="1"/>
      <c r="T2573" s="117"/>
      <c r="W2573" s="75" t="str">
        <f t="shared" si="50"/>
        <v>1w</v>
      </c>
      <c r="X2573" s="148">
        <f>_xll.qlCalendarAdvance(Calendar,X2572,W2573,"f",FALSE)</f>
        <v>56977</v>
      </c>
      <c r="Y2573" s="153">
        <f>_xll.qlCalendarAdvance(Calendar,X2573,NDays&amp;"D")</f>
        <v>56977</v>
      </c>
      <c r="Z2573" s="154">
        <v>2.6538741486158497E-2</v>
      </c>
      <c r="AA2573" s="156">
        <v>2.6429109759440461E-2</v>
      </c>
    </row>
    <row r="2574" spans="19:27" x14ac:dyDescent="0.2">
      <c r="S2574" s="1"/>
      <c r="T2574" s="117"/>
      <c r="W2574" s="75" t="str">
        <f t="shared" si="50"/>
        <v>1w</v>
      </c>
      <c r="X2574" s="148">
        <f>_xll.qlCalendarAdvance(Calendar,X2573,W2574,"f",FALSE)</f>
        <v>56984</v>
      </c>
      <c r="Y2574" s="153">
        <f>_xll.qlCalendarAdvance(Calendar,X2574,NDays&amp;"D")</f>
        <v>56984</v>
      </c>
      <c r="Z2574" s="154">
        <v>2.6542373296316566E-2</v>
      </c>
      <c r="AA2574" s="156">
        <v>2.6432711508028728E-2</v>
      </c>
    </row>
    <row r="2575" spans="19:27" x14ac:dyDescent="0.2">
      <c r="S2575" s="1"/>
      <c r="T2575" s="117"/>
      <c r="W2575" s="75" t="str">
        <f t="shared" si="50"/>
        <v>1w</v>
      </c>
      <c r="X2575" s="148">
        <f>_xll.qlCalendarAdvance(Calendar,X2574,W2575,"f",FALSE)</f>
        <v>56991</v>
      </c>
      <c r="Y2575" s="153">
        <f>_xll.qlCalendarAdvance(Calendar,X2575,NDays&amp;"D")</f>
        <v>56991</v>
      </c>
      <c r="Z2575" s="154">
        <v>2.6546006119546019E-2</v>
      </c>
      <c r="AA2575" s="156">
        <v>2.6436314259807858E-2</v>
      </c>
    </row>
    <row r="2576" spans="19:27" x14ac:dyDescent="0.2">
      <c r="S2576" s="1"/>
      <c r="T2576" s="117"/>
      <c r="W2576" s="75" t="str">
        <f t="shared" si="50"/>
        <v>1w</v>
      </c>
      <c r="X2576" s="148">
        <f>_xll.qlCalendarAdvance(Calendar,X2575,W2576,"f",FALSE)</f>
        <v>56998</v>
      </c>
      <c r="Y2576" s="153">
        <f>_xll.qlCalendarAdvance(Calendar,X2576,NDays&amp;"D")</f>
        <v>56998</v>
      </c>
      <c r="Z2576" s="154">
        <v>2.6549639955845077E-2</v>
      </c>
      <c r="AA2576" s="156">
        <v>2.6439918014696806E-2</v>
      </c>
    </row>
    <row r="2577" spans="19:27" x14ac:dyDescent="0.2">
      <c r="S2577" s="1"/>
      <c r="T2577" s="117"/>
      <c r="W2577" s="75" t="str">
        <f t="shared" si="50"/>
        <v>1w</v>
      </c>
      <c r="X2577" s="148">
        <f>_xll.qlCalendarAdvance(Calendar,X2576,W2577,"f",FALSE)</f>
        <v>57005</v>
      </c>
      <c r="Y2577" s="153">
        <f>_xll.qlCalendarAdvance(Calendar,X2577,NDays&amp;"D")</f>
        <v>57005</v>
      </c>
      <c r="Z2577" s="154">
        <v>2.6553274805220864E-2</v>
      </c>
      <c r="AA2577" s="156">
        <v>2.6443522773100803E-2</v>
      </c>
    </row>
    <row r="2578" spans="19:27" x14ac:dyDescent="0.2">
      <c r="S2578" s="1"/>
      <c r="T2578" s="117"/>
      <c r="W2578" s="75" t="str">
        <f t="shared" si="50"/>
        <v>1w</v>
      </c>
      <c r="X2578" s="148">
        <f>_xll.qlCalendarAdvance(Calendar,X2577,W2578,"f",FALSE)</f>
        <v>57012</v>
      </c>
      <c r="Y2578" s="153">
        <f>_xll.qlCalendarAdvance(Calendar,X2578,NDays&amp;"D")</f>
        <v>57012</v>
      </c>
      <c r="Z2578" s="154">
        <v>2.6555686818962306E-2</v>
      </c>
      <c r="AA2578" s="156">
        <v>2.6447128534614617E-2</v>
      </c>
    </row>
    <row r="2579" spans="19:27" x14ac:dyDescent="0.2">
      <c r="S2579" s="1"/>
      <c r="T2579" s="117"/>
      <c r="W2579" s="75" t="str">
        <f t="shared" si="50"/>
        <v>1w</v>
      </c>
      <c r="X2579" s="148">
        <f>_xll.qlCalendarAdvance(Calendar,X2578,W2579,"f",FALSE)</f>
        <v>57019</v>
      </c>
      <c r="Y2579" s="153">
        <f>_xll.qlCalendarAdvance(Calendar,X2579,NDays&amp;"D")</f>
        <v>57019</v>
      </c>
      <c r="Z2579" s="154">
        <v>2.6559323358390188E-2</v>
      </c>
      <c r="AA2579" s="156">
        <v>2.6450735299481387E-2</v>
      </c>
    </row>
    <row r="2580" spans="19:27" x14ac:dyDescent="0.2">
      <c r="S2580" s="1"/>
      <c r="T2580" s="117"/>
      <c r="W2580" s="75" t="str">
        <f t="shared" si="50"/>
        <v>1w</v>
      </c>
      <c r="X2580" s="148">
        <f>_xll.qlCalendarAdvance(Calendar,X2579,W2580,"f",FALSE)</f>
        <v>57026</v>
      </c>
      <c r="Y2580" s="153">
        <f>_xll.qlCalendarAdvance(Calendar,X2580,NDays&amp;"D")</f>
        <v>57026</v>
      </c>
      <c r="Z2580" s="154">
        <v>2.656296091079122E-2</v>
      </c>
      <c r="AA2580" s="156">
        <v>2.6454343067539021E-2</v>
      </c>
    </row>
    <row r="2581" spans="19:27" x14ac:dyDescent="0.2">
      <c r="S2581" s="1"/>
      <c r="T2581" s="117"/>
      <c r="W2581" s="75" t="str">
        <f t="shared" ref="W2581:W2644" si="51">W2580</f>
        <v>1w</v>
      </c>
      <c r="X2581" s="148">
        <f>_xll.qlCalendarAdvance(Calendar,X2580,W2581,"f",FALSE)</f>
        <v>57033</v>
      </c>
      <c r="Y2581" s="153">
        <f>_xll.qlCalendarAdvance(Calendar,X2581,NDays&amp;"D")</f>
        <v>57033</v>
      </c>
      <c r="Z2581" s="154">
        <v>2.6566599476169007E-2</v>
      </c>
      <c r="AA2581" s="156">
        <v>2.6457951838868565E-2</v>
      </c>
    </row>
    <row r="2582" spans="19:27" x14ac:dyDescent="0.2">
      <c r="S2582" s="1"/>
      <c r="T2582" s="117"/>
      <c r="W2582" s="75" t="str">
        <f t="shared" si="51"/>
        <v>1w</v>
      </c>
      <c r="X2582" s="148">
        <f>_xll.qlCalendarAdvance(Calendar,X2581,W2582,"f",FALSE)</f>
        <v>57040</v>
      </c>
      <c r="Y2582" s="153">
        <f>_xll.qlCalendarAdvance(Calendar,X2582,NDays&amp;"D")</f>
        <v>57040</v>
      </c>
      <c r="Z2582" s="154">
        <v>2.6572689533464196E-2</v>
      </c>
      <c r="AA2582" s="156">
        <v>2.6461561613551066E-2</v>
      </c>
    </row>
    <row r="2583" spans="19:27" x14ac:dyDescent="0.2">
      <c r="S2583" s="1"/>
      <c r="T2583" s="117"/>
      <c r="W2583" s="75" t="str">
        <f t="shared" si="51"/>
        <v>1w</v>
      </c>
      <c r="X2583" s="148">
        <f>_xll.qlCalendarAdvance(Calendar,X2582,W2583,"f",FALSE)</f>
        <v>57047</v>
      </c>
      <c r="Y2583" s="153">
        <f>_xll.qlCalendarAdvance(Calendar,X2583,NDays&amp;"D")</f>
        <v>57047</v>
      </c>
      <c r="Z2583" s="154">
        <v>2.6576330797926782E-2</v>
      </c>
      <c r="AA2583" s="156">
        <v>2.6465172391505476E-2</v>
      </c>
    </row>
    <row r="2584" spans="19:27" x14ac:dyDescent="0.2">
      <c r="S2584" s="1"/>
      <c r="T2584" s="117"/>
      <c r="W2584" s="75" t="str">
        <f t="shared" si="51"/>
        <v>1w</v>
      </c>
      <c r="X2584" s="148">
        <f>_xll.qlCalendarAdvance(Calendar,X2583,W2584,"f",FALSE)</f>
        <v>57054</v>
      </c>
      <c r="Y2584" s="153">
        <f>_xll.qlCalendarAdvance(Calendar,X2584,NDays&amp;"D")</f>
        <v>57054</v>
      </c>
      <c r="Z2584" s="154">
        <v>2.6579973075592969E-2</v>
      </c>
      <c r="AA2584" s="156">
        <v>2.6468784172569704E-2</v>
      </c>
    </row>
    <row r="2585" spans="19:27" x14ac:dyDescent="0.2">
      <c r="S2585" s="1"/>
      <c r="T2585" s="117"/>
      <c r="W2585" s="75" t="str">
        <f t="shared" si="51"/>
        <v>1w</v>
      </c>
      <c r="X2585" s="148">
        <f>_xll.qlCalendarAdvance(Calendar,X2584,W2585,"f",FALSE)</f>
        <v>57061</v>
      </c>
      <c r="Y2585" s="153">
        <f>_xll.qlCalendarAdvance(Calendar,X2585,NDays&amp;"D")</f>
        <v>57061</v>
      </c>
      <c r="Z2585" s="154">
        <v>2.6583616366467163E-2</v>
      </c>
      <c r="AA2585" s="156">
        <v>2.647239695714898E-2</v>
      </c>
    </row>
    <row r="2586" spans="19:27" x14ac:dyDescent="0.2">
      <c r="S2586" s="1"/>
      <c r="T2586" s="117"/>
      <c r="W2586" s="75" t="str">
        <f t="shared" si="51"/>
        <v>1w</v>
      </c>
      <c r="X2586" s="148">
        <f>_xll.qlCalendarAdvance(Calendar,X2585,W2586,"f",FALSE)</f>
        <v>57068</v>
      </c>
      <c r="Y2586" s="153">
        <f>_xll.qlCalendarAdvance(Calendar,X2586,NDays&amp;"D")</f>
        <v>57068</v>
      </c>
      <c r="Z2586" s="154">
        <v>2.6587260670551126E-2</v>
      </c>
      <c r="AA2586" s="156">
        <v>2.6476010744838074E-2</v>
      </c>
    </row>
    <row r="2587" spans="19:27" x14ac:dyDescent="0.2">
      <c r="S2587" s="1"/>
      <c r="T2587" s="117"/>
      <c r="W2587" s="75" t="str">
        <f t="shared" si="51"/>
        <v>1w</v>
      </c>
      <c r="X2587" s="148">
        <f>_xll.qlCalendarAdvance(Calendar,X2586,W2587,"f",FALSE)</f>
        <v>57075</v>
      </c>
      <c r="Y2587" s="153">
        <f>_xll.qlCalendarAdvance(Calendar,X2587,NDays&amp;"D")</f>
        <v>57075</v>
      </c>
      <c r="Z2587" s="154">
        <v>2.6589679018705573E-2</v>
      </c>
      <c r="AA2587" s="156">
        <v>2.6479625535799078E-2</v>
      </c>
    </row>
    <row r="2588" spans="19:27" x14ac:dyDescent="0.2">
      <c r="S2588" s="1"/>
      <c r="T2588" s="117"/>
      <c r="W2588" s="75" t="str">
        <f t="shared" si="51"/>
        <v>1w</v>
      </c>
      <c r="X2588" s="148">
        <f>_xll.qlCalendarAdvance(Calendar,X2587,W2588,"f",FALSE)</f>
        <v>57082</v>
      </c>
      <c r="Y2588" s="153">
        <f>_xll.qlCalendarAdvance(Calendar,X2588,NDays&amp;"D")</f>
        <v>57082</v>
      </c>
      <c r="Z2588" s="154">
        <v>2.6593325012086579E-2</v>
      </c>
      <c r="AA2588" s="156">
        <v>2.6483241330194085E-2</v>
      </c>
    </row>
    <row r="2589" spans="19:27" x14ac:dyDescent="0.2">
      <c r="S2589" s="1"/>
      <c r="T2589" s="117"/>
      <c r="W2589" s="75" t="str">
        <f t="shared" si="51"/>
        <v>1w</v>
      </c>
      <c r="X2589" s="148">
        <f>_xll.qlCalendarAdvance(Calendar,X2588,W2589,"f",FALSE)</f>
        <v>57089</v>
      </c>
      <c r="Y2589" s="153">
        <f>_xll.qlCalendarAdvance(Calendar,X2589,NDays&amp;"D")</f>
        <v>57089</v>
      </c>
      <c r="Z2589" s="154">
        <v>2.6596972018577265E-2</v>
      </c>
      <c r="AA2589" s="156">
        <v>2.6486858127779955E-2</v>
      </c>
    </row>
    <row r="2590" spans="19:27" x14ac:dyDescent="0.2">
      <c r="S2590" s="1"/>
      <c r="T2590" s="117"/>
      <c r="W2590" s="75" t="str">
        <f t="shared" si="51"/>
        <v>1w</v>
      </c>
      <c r="X2590" s="148">
        <f>_xll.qlCalendarAdvance(Calendar,X2589,W2590,"f",FALSE)</f>
        <v>57096</v>
      </c>
      <c r="Y2590" s="153">
        <f>_xll.qlCalendarAdvance(Calendar,X2590,NDays&amp;"D")</f>
        <v>57096</v>
      </c>
      <c r="Z2590" s="154">
        <v>2.6600620038176741E-2</v>
      </c>
      <c r="AA2590" s="156">
        <v>2.6490475928475643E-2</v>
      </c>
    </row>
    <row r="2591" spans="19:27" x14ac:dyDescent="0.2">
      <c r="S2591" s="1"/>
      <c r="T2591" s="117"/>
      <c r="W2591" s="75" t="str">
        <f t="shared" si="51"/>
        <v>1w</v>
      </c>
      <c r="X2591" s="148">
        <f>_xll.qlCalendarAdvance(Calendar,X2590,W2591,"f",FALSE)</f>
        <v>57103</v>
      </c>
      <c r="Y2591" s="153">
        <f>_xll.qlCalendarAdvance(Calendar,X2591,NDays&amp;"D")</f>
        <v>57103</v>
      </c>
      <c r="Z2591" s="154">
        <v>2.6605497389205587E-2</v>
      </c>
      <c r="AA2591" s="156">
        <v>2.6494094732605333E-2</v>
      </c>
    </row>
    <row r="2592" spans="19:27" x14ac:dyDescent="0.2">
      <c r="S2592" s="1"/>
      <c r="T2592" s="117"/>
      <c r="W2592" s="75" t="str">
        <f t="shared" si="51"/>
        <v>1w</v>
      </c>
      <c r="X2592" s="148">
        <f>_xll.qlCalendarAdvance(Calendar,X2591,W2592,"f",FALSE)</f>
        <v>57110</v>
      </c>
      <c r="Y2592" s="153">
        <f>_xll.qlCalendarAdvance(Calendar,X2592,NDays&amp;"D")</f>
        <v>57110</v>
      </c>
      <c r="Z2592" s="154">
        <v>2.6609147772603668E-2</v>
      </c>
      <c r="AA2592" s="156">
        <v>2.6497714539925887E-2</v>
      </c>
    </row>
    <row r="2593" spans="19:27" x14ac:dyDescent="0.2">
      <c r="S2593" s="1"/>
      <c r="T2593" s="117"/>
      <c r="W2593" s="75" t="str">
        <f t="shared" si="51"/>
        <v>1w</v>
      </c>
      <c r="X2593" s="148">
        <f>_xll.qlCalendarAdvance(Calendar,X2592,W2593,"f",FALSE)</f>
        <v>57117</v>
      </c>
      <c r="Y2593" s="153">
        <f>_xll.qlCalendarAdvance(Calendar,X2593,NDays&amp;"D")</f>
        <v>57117</v>
      </c>
      <c r="Z2593" s="154">
        <v>2.6612799169231781E-2</v>
      </c>
      <c r="AA2593" s="156">
        <v>2.6501335350599398E-2</v>
      </c>
    </row>
    <row r="2594" spans="19:27" x14ac:dyDescent="0.2">
      <c r="S2594" s="1"/>
      <c r="T2594" s="117"/>
      <c r="W2594" s="75" t="str">
        <f t="shared" si="51"/>
        <v>1w</v>
      </c>
      <c r="X2594" s="148">
        <f>_xll.qlCalendarAdvance(Calendar,X2593,W2594,"f",FALSE)</f>
        <v>57124</v>
      </c>
      <c r="Y2594" s="153">
        <f>_xll.qlCalendarAdvance(Calendar,X2594,NDays&amp;"D")</f>
        <v>57124</v>
      </c>
      <c r="Z2594" s="154">
        <v>2.6616451579090806E-2</v>
      </c>
      <c r="AA2594" s="156">
        <v>2.6504957164463772E-2</v>
      </c>
    </row>
    <row r="2595" spans="19:27" x14ac:dyDescent="0.2">
      <c r="S2595" s="1"/>
      <c r="T2595" s="117"/>
      <c r="W2595" s="75" t="str">
        <f t="shared" si="51"/>
        <v>1w</v>
      </c>
      <c r="X2595" s="148">
        <f>_xll.qlCalendarAdvance(Calendar,X2594,W2595,"f",FALSE)</f>
        <v>57131</v>
      </c>
      <c r="Y2595" s="153">
        <f>_xll.qlCalendarAdvance(Calendar,X2595,NDays&amp;"D")</f>
        <v>57131</v>
      </c>
      <c r="Z2595" s="154">
        <v>2.6620105002184265E-2</v>
      </c>
      <c r="AA2595" s="156">
        <v>2.6508579981762148E-2</v>
      </c>
    </row>
    <row r="2596" spans="19:27" x14ac:dyDescent="0.2">
      <c r="S2596" s="1"/>
      <c r="T2596" s="117"/>
      <c r="W2596" s="75" t="str">
        <f t="shared" si="51"/>
        <v>1w</v>
      </c>
      <c r="X2596" s="148">
        <f>_xll.qlCalendarAdvance(Calendar,X2595,W2596,"f",FALSE)</f>
        <v>57138</v>
      </c>
      <c r="Y2596" s="153">
        <f>_xll.qlCalendarAdvance(Calendar,X2596,NDays&amp;"D")</f>
        <v>57138</v>
      </c>
      <c r="Z2596" s="154">
        <v>2.6623759438514805E-2</v>
      </c>
      <c r="AA2596" s="156">
        <v>2.6512203802170342E-2</v>
      </c>
    </row>
    <row r="2597" spans="19:27" x14ac:dyDescent="0.2">
      <c r="S2597" s="1"/>
      <c r="T2597" s="117"/>
      <c r="W2597" s="75" t="str">
        <f t="shared" si="51"/>
        <v>1w</v>
      </c>
      <c r="X2597" s="148">
        <f>_xll.qlCalendarAdvance(Calendar,X2596,W2597,"f",FALSE)</f>
        <v>57145</v>
      </c>
      <c r="Y2597" s="153">
        <f>_xll.qlCalendarAdvance(Calendar,X2597,NDays&amp;"D")</f>
        <v>57145</v>
      </c>
      <c r="Z2597" s="154">
        <v>2.6627414888086828E-2</v>
      </c>
      <c r="AA2597" s="156">
        <v>2.6515828625931492E-2</v>
      </c>
    </row>
    <row r="2598" spans="19:27" x14ac:dyDescent="0.2">
      <c r="S2598" s="1"/>
      <c r="T2598" s="117"/>
      <c r="W2598" s="75" t="str">
        <f t="shared" si="51"/>
        <v>1w</v>
      </c>
      <c r="X2598" s="148">
        <f>_xll.qlCalendarAdvance(Calendar,X2597,W2598,"f",FALSE)</f>
        <v>57152</v>
      </c>
      <c r="Y2598" s="153">
        <f>_xll.qlCalendarAdvance(Calendar,X2598,NDays&amp;"D")</f>
        <v>57152</v>
      </c>
      <c r="Z2598" s="154">
        <v>2.6631071350899455E-2</v>
      </c>
      <c r="AA2598" s="156">
        <v>2.651945445280246E-2</v>
      </c>
    </row>
    <row r="2599" spans="19:27" x14ac:dyDescent="0.2">
      <c r="S2599" s="1"/>
      <c r="T2599" s="117"/>
      <c r="W2599" s="75" t="str">
        <f t="shared" si="51"/>
        <v>1w</v>
      </c>
      <c r="X2599" s="148">
        <f>_xll.qlCalendarAdvance(Calendar,X2598,W2599,"f",FALSE)</f>
        <v>57159</v>
      </c>
      <c r="Y2599" s="153">
        <f>_xll.qlCalendarAdvance(Calendar,X2599,NDays&amp;"D")</f>
        <v>57159</v>
      </c>
      <c r="Z2599" s="154">
        <v>2.663472882695973E-2</v>
      </c>
      <c r="AA2599" s="156">
        <v>2.6523081283269523E-2</v>
      </c>
    </row>
    <row r="2600" spans="19:27" x14ac:dyDescent="0.2">
      <c r="S2600" s="1"/>
      <c r="T2600" s="117"/>
      <c r="W2600" s="75" t="str">
        <f t="shared" si="51"/>
        <v>1w</v>
      </c>
      <c r="X2600" s="148">
        <f>_xll.qlCalendarAdvance(Calendar,X2599,W2600,"f",FALSE)</f>
        <v>57166</v>
      </c>
      <c r="Y2600" s="153">
        <f>_xll.qlCalendarAdvance(Calendar,X2600,NDays&amp;"D")</f>
        <v>57166</v>
      </c>
      <c r="Z2600" s="154">
        <v>2.6638387316265891E-2</v>
      </c>
      <c r="AA2600" s="156">
        <v>2.6526709116684311E-2</v>
      </c>
    </row>
    <row r="2601" spans="19:27" x14ac:dyDescent="0.2">
      <c r="S2601" s="1"/>
      <c r="T2601" s="117"/>
      <c r="W2601" s="75" t="str">
        <f t="shared" si="51"/>
        <v>1w</v>
      </c>
      <c r="X2601" s="148">
        <f>_xll.qlCalendarAdvance(Calendar,X2600,W2601,"f",FALSE)</f>
        <v>57173</v>
      </c>
      <c r="Y2601" s="153">
        <f>_xll.qlCalendarAdvance(Calendar,X2601,NDays&amp;"D")</f>
        <v>57173</v>
      </c>
      <c r="Z2601" s="154">
        <v>2.6642046818825874E-2</v>
      </c>
      <c r="AA2601" s="156">
        <v>2.6530337953533101E-2</v>
      </c>
    </row>
    <row r="2602" spans="19:27" x14ac:dyDescent="0.2">
      <c r="S2602" s="1"/>
      <c r="T2602" s="117"/>
      <c r="W2602" s="75" t="str">
        <f t="shared" si="51"/>
        <v>1w</v>
      </c>
      <c r="X2602" s="148">
        <f>_xll.qlCalendarAdvance(Calendar,X2601,W2602,"f",FALSE)</f>
        <v>57180</v>
      </c>
      <c r="Y2602" s="153">
        <f>_xll.qlCalendarAdvance(Calendar,X2602,NDays&amp;"D")</f>
        <v>57180</v>
      </c>
      <c r="Z2602" s="154">
        <v>2.664570733463879E-2</v>
      </c>
      <c r="AA2602" s="156">
        <v>2.6533967793572755E-2</v>
      </c>
    </row>
    <row r="2603" spans="19:27" x14ac:dyDescent="0.2">
      <c r="S2603" s="1"/>
      <c r="T2603" s="117"/>
      <c r="W2603" s="75" t="str">
        <f t="shared" si="51"/>
        <v>1w</v>
      </c>
      <c r="X2603" s="148">
        <f>_xll.qlCalendarAdvance(Calendar,X2602,W2603,"f",FALSE)</f>
        <v>57187</v>
      </c>
      <c r="Y2603" s="153">
        <f>_xll.qlCalendarAdvance(Calendar,X2603,NDays&amp;"D")</f>
        <v>57187</v>
      </c>
      <c r="Z2603" s="154">
        <v>2.6649368863707282E-2</v>
      </c>
      <c r="AA2603" s="156">
        <v>2.6537598636965365E-2</v>
      </c>
    </row>
    <row r="2604" spans="19:27" x14ac:dyDescent="0.2">
      <c r="S2604" s="1"/>
      <c r="T2604" s="117"/>
      <c r="W2604" s="75" t="str">
        <f t="shared" si="51"/>
        <v>1w</v>
      </c>
      <c r="X2604" s="148">
        <f>_xll.qlCalendarAdvance(Calendar,X2603,W2604,"f",FALSE)</f>
        <v>57194</v>
      </c>
      <c r="Y2604" s="153">
        <f>_xll.qlCalendarAdvance(Calendar,X2604,NDays&amp;"D")</f>
        <v>57194</v>
      </c>
      <c r="Z2604" s="154">
        <v>2.6653031406036642E-2</v>
      </c>
      <c r="AA2604" s="156">
        <v>2.6541230483629885E-2</v>
      </c>
    </row>
    <row r="2605" spans="19:27" x14ac:dyDescent="0.2">
      <c r="S2605" s="1"/>
      <c r="T2605" s="117"/>
      <c r="W2605" s="75" t="str">
        <f t="shared" si="51"/>
        <v>1w</v>
      </c>
      <c r="X2605" s="148">
        <f>_xll.qlCalendarAdvance(Calendar,X2604,W2605,"f",FALSE)</f>
        <v>57201</v>
      </c>
      <c r="Y2605" s="153">
        <f>_xll.qlCalendarAdvance(Calendar,X2605,NDays&amp;"D")</f>
        <v>57201</v>
      </c>
      <c r="Z2605" s="154">
        <v>2.6656694961627748E-2</v>
      </c>
      <c r="AA2605" s="156">
        <v>2.6544863333404223E-2</v>
      </c>
    </row>
    <row r="2606" spans="19:27" x14ac:dyDescent="0.2">
      <c r="S2606" s="1"/>
      <c r="T2606" s="117"/>
      <c r="W2606" s="75" t="str">
        <f t="shared" si="51"/>
        <v>1w</v>
      </c>
      <c r="X2606" s="148">
        <f>_xll.qlCalendarAdvance(Calendar,X2605,W2606,"f",FALSE)</f>
        <v>57208</v>
      </c>
      <c r="Y2606" s="153">
        <f>_xll.qlCalendarAdvance(Calendar,X2606,NDays&amp;"D")</f>
        <v>57208</v>
      </c>
      <c r="Z2606" s="154">
        <v>2.6660359530483239E-2</v>
      </c>
      <c r="AA2606" s="156">
        <v>2.6548497186693609E-2</v>
      </c>
    </row>
    <row r="2607" spans="19:27" x14ac:dyDescent="0.2">
      <c r="S2607" s="1"/>
      <c r="T2607" s="117"/>
      <c r="W2607" s="75" t="str">
        <f t="shared" si="51"/>
        <v>1w</v>
      </c>
      <c r="X2607" s="148">
        <f>_xll.qlCalendarAdvance(Calendar,X2606,W2607,"f",FALSE)</f>
        <v>57215</v>
      </c>
      <c r="Y2607" s="153">
        <f>_xll.qlCalendarAdvance(Calendar,X2607,NDays&amp;"D")</f>
        <v>57215</v>
      </c>
      <c r="Z2607" s="154">
        <v>2.6664025112608403E-2</v>
      </c>
      <c r="AA2607" s="156">
        <v>2.6552132043173859E-2</v>
      </c>
    </row>
    <row r="2608" spans="19:27" x14ac:dyDescent="0.2">
      <c r="S2608" s="1"/>
      <c r="T2608" s="117"/>
      <c r="W2608" s="75" t="str">
        <f t="shared" si="51"/>
        <v>1w</v>
      </c>
      <c r="X2608" s="148">
        <f>_xll.qlCalendarAdvance(Calendar,X2607,W2608,"f",FALSE)</f>
        <v>57222</v>
      </c>
      <c r="Y2608" s="153">
        <f>_xll.qlCalendarAdvance(Calendar,X2608,NDays&amp;"D")</f>
        <v>57222</v>
      </c>
      <c r="Z2608" s="154">
        <v>2.6667691708003243E-2</v>
      </c>
      <c r="AA2608" s="156">
        <v>2.6555767902844973E-2</v>
      </c>
    </row>
    <row r="2609" spans="19:27" x14ac:dyDescent="0.2">
      <c r="S2609" s="1"/>
      <c r="T2609" s="117"/>
      <c r="W2609" s="75" t="str">
        <f t="shared" si="51"/>
        <v>1w</v>
      </c>
      <c r="X2609" s="148">
        <f>_xll.qlCalendarAdvance(Calendar,X2608,W2609,"f",FALSE)</f>
        <v>57229</v>
      </c>
      <c r="Y2609" s="153">
        <f>_xll.qlCalendarAdvance(Calendar,X2609,NDays&amp;"D")</f>
        <v>57229</v>
      </c>
      <c r="Z2609" s="154">
        <v>2.6670124905246662E-2</v>
      </c>
      <c r="AA2609" s="156">
        <v>2.6559404765869044E-2</v>
      </c>
    </row>
    <row r="2610" spans="19:27" x14ac:dyDescent="0.2">
      <c r="S2610" s="1"/>
      <c r="T2610" s="117"/>
      <c r="W2610" s="75" t="str">
        <f t="shared" si="51"/>
        <v>1w</v>
      </c>
      <c r="X2610" s="148">
        <f>_xll.qlCalendarAdvance(Calendar,X2609,W2610,"f",FALSE)</f>
        <v>57236</v>
      </c>
      <c r="Y2610" s="153">
        <f>_xll.qlCalendarAdvance(Calendar,X2610,NDays&amp;"D")</f>
        <v>57236</v>
      </c>
      <c r="Z2610" s="154">
        <v>2.6673793187637379E-2</v>
      </c>
      <c r="AA2610" s="156">
        <v>2.6563042632165024E-2</v>
      </c>
    </row>
    <row r="2611" spans="19:27" x14ac:dyDescent="0.2">
      <c r="S2611" s="1"/>
      <c r="T2611" s="117"/>
      <c r="W2611" s="75" t="str">
        <f t="shared" si="51"/>
        <v>1w</v>
      </c>
      <c r="X2611" s="148">
        <f>_xll.qlCalendarAdvance(Calendar,X2610,W2611,"f",FALSE)</f>
        <v>57243</v>
      </c>
      <c r="Y2611" s="153">
        <f>_xll.qlCalendarAdvance(Calendar,X2611,NDays&amp;"D")</f>
        <v>57243</v>
      </c>
      <c r="Z2611" s="154">
        <v>2.6677462483194775E-2</v>
      </c>
      <c r="AA2611" s="156">
        <v>2.6566681501732914E-2</v>
      </c>
    </row>
    <row r="2612" spans="19:27" x14ac:dyDescent="0.2">
      <c r="S2612" s="1"/>
      <c r="T2612" s="117"/>
      <c r="W2612" s="75" t="str">
        <f t="shared" si="51"/>
        <v>1w</v>
      </c>
      <c r="X2612" s="148">
        <f>_xll.qlCalendarAdvance(Calendar,X2611,W2612,"f",FALSE)</f>
        <v>57250</v>
      </c>
      <c r="Y2612" s="153">
        <f>_xll.qlCalendarAdvance(Calendar,X2612,NDays&amp;"D")</f>
        <v>57250</v>
      </c>
      <c r="Z2612" s="154">
        <v>2.6681132791922413E-2</v>
      </c>
      <c r="AA2612" s="156">
        <v>2.6570321374410621E-2</v>
      </c>
    </row>
    <row r="2613" spans="19:27" x14ac:dyDescent="0.2">
      <c r="S2613" s="1"/>
      <c r="T2613" s="117"/>
      <c r="W2613" s="75" t="str">
        <f t="shared" si="51"/>
        <v>1w</v>
      </c>
      <c r="X2613" s="148">
        <f>_xll.qlCalendarAdvance(Calendar,X2612,W2613,"f",FALSE)</f>
        <v>57257</v>
      </c>
      <c r="Y2613" s="153">
        <f>_xll.qlCalendarAdvance(Calendar,X2613,NDays&amp;"D")</f>
        <v>57257</v>
      </c>
      <c r="Z2613" s="154">
        <v>2.6686039884132654E-2</v>
      </c>
      <c r="AA2613" s="156">
        <v>2.6573962250522332E-2</v>
      </c>
    </row>
    <row r="2614" spans="19:27" x14ac:dyDescent="0.2">
      <c r="S2614" s="1"/>
      <c r="T2614" s="117"/>
      <c r="W2614" s="75" t="str">
        <f t="shared" si="51"/>
        <v>1w</v>
      </c>
      <c r="X2614" s="148">
        <f>_xll.qlCalendarAdvance(Calendar,X2613,W2614,"f",FALSE)</f>
        <v>57264</v>
      </c>
      <c r="Y2614" s="153">
        <f>_xll.qlCalendarAdvance(Calendar,X2614,NDays&amp;"D")</f>
        <v>57264</v>
      </c>
      <c r="Z2614" s="154">
        <v>2.6689712559209842E-2</v>
      </c>
      <c r="AA2614" s="156">
        <v>2.6577604129905952E-2</v>
      </c>
    </row>
    <row r="2615" spans="19:27" x14ac:dyDescent="0.2">
      <c r="S2615" s="1"/>
      <c r="T2615" s="117"/>
      <c r="W2615" s="75" t="str">
        <f t="shared" si="51"/>
        <v>1w</v>
      </c>
      <c r="X2615" s="148">
        <f>_xll.qlCalendarAdvance(Calendar,X2614,W2615,"f",FALSE)</f>
        <v>57271</v>
      </c>
      <c r="Y2615" s="153">
        <f>_xll.qlCalendarAdvance(Calendar,X2615,NDays&amp;"D")</f>
        <v>57271</v>
      </c>
      <c r="Z2615" s="154">
        <v>2.6693386247576965E-2</v>
      </c>
      <c r="AA2615" s="156">
        <v>2.6581247012642528E-2</v>
      </c>
    </row>
    <row r="2616" spans="19:27" x14ac:dyDescent="0.2">
      <c r="S2616" s="1"/>
      <c r="T2616" s="117"/>
      <c r="W2616" s="75" t="str">
        <f t="shared" si="51"/>
        <v>1w</v>
      </c>
      <c r="X2616" s="148">
        <f>_xll.qlCalendarAdvance(Calendar,X2615,W2616,"f",FALSE)</f>
        <v>57278</v>
      </c>
      <c r="Y2616" s="153">
        <f>_xll.qlCalendarAdvance(Calendar,X2616,NDays&amp;"D")</f>
        <v>57278</v>
      </c>
      <c r="Z2616" s="154">
        <v>2.6697060949235785E-2</v>
      </c>
      <c r="AA2616" s="156">
        <v>2.6584890898407876E-2</v>
      </c>
    </row>
    <row r="2617" spans="19:27" x14ac:dyDescent="0.2">
      <c r="S2617" s="1"/>
      <c r="T2617" s="117"/>
      <c r="W2617" s="75" t="str">
        <f t="shared" si="51"/>
        <v>1w</v>
      </c>
      <c r="X2617" s="148">
        <f>_xll.qlCalendarAdvance(Calendar,X2616,W2617,"f",FALSE)</f>
        <v>57285</v>
      </c>
      <c r="Y2617" s="153">
        <f>_xll.qlCalendarAdvance(Calendar,X2617,NDays&amp;"D")</f>
        <v>57285</v>
      </c>
      <c r="Z2617" s="154">
        <v>2.6700736664192468E-2</v>
      </c>
      <c r="AA2617" s="156">
        <v>2.6588535787688272E-2</v>
      </c>
    </row>
    <row r="2618" spans="19:27" x14ac:dyDescent="0.2">
      <c r="S2618" s="1"/>
      <c r="T2618" s="117"/>
      <c r="W2618" s="75" t="str">
        <f t="shared" si="51"/>
        <v>1w</v>
      </c>
      <c r="X2618" s="148">
        <f>_xll.qlCalendarAdvance(Calendar,X2617,W2618,"f",FALSE)</f>
        <v>57292</v>
      </c>
      <c r="Y2618" s="153">
        <f>_xll.qlCalendarAdvance(Calendar,X2618,NDays&amp;"D")</f>
        <v>57292</v>
      </c>
      <c r="Z2618" s="154">
        <v>2.6704413392447016E-2</v>
      </c>
      <c r="AA2618" s="156">
        <v>2.6592181680240579E-2</v>
      </c>
    </row>
    <row r="2619" spans="19:27" x14ac:dyDescent="0.2">
      <c r="S2619" s="1"/>
      <c r="T2619" s="117"/>
      <c r="W2619" s="75" t="str">
        <f t="shared" si="51"/>
        <v>1w</v>
      </c>
      <c r="X2619" s="148">
        <f>_xll.qlCalendarAdvance(Calendar,X2618,W2619,"f",FALSE)</f>
        <v>57299</v>
      </c>
      <c r="Y2619" s="153">
        <f>_xll.qlCalendarAdvance(Calendar,X2619,NDays&amp;"D")</f>
        <v>57299</v>
      </c>
      <c r="Z2619" s="154">
        <v>2.6708091134002066E-2</v>
      </c>
      <c r="AA2619" s="156">
        <v>2.659582857574061E-2</v>
      </c>
    </row>
    <row r="2620" spans="19:27" x14ac:dyDescent="0.2">
      <c r="S2620" s="1"/>
      <c r="T2620" s="117"/>
      <c r="W2620" s="75" t="str">
        <f t="shared" si="51"/>
        <v>1w</v>
      </c>
      <c r="X2620" s="148">
        <f>_xll.qlCalendarAdvance(Calendar,X2619,W2620,"f",FALSE)</f>
        <v>57306</v>
      </c>
      <c r="Y2620" s="153">
        <f>_xll.qlCalendarAdvance(Calendar,X2620,NDays&amp;"D")</f>
        <v>57306</v>
      </c>
      <c r="Z2620" s="154">
        <v>2.6711769888861151E-2</v>
      </c>
      <c r="AA2620" s="156">
        <v>2.6599476474836736E-2</v>
      </c>
    </row>
    <row r="2621" spans="19:27" x14ac:dyDescent="0.2">
      <c r="S2621" s="1"/>
      <c r="T2621" s="117"/>
      <c r="W2621" s="75" t="str">
        <f t="shared" si="51"/>
        <v>1w</v>
      </c>
      <c r="X2621" s="148">
        <f>_xll.qlCalendarAdvance(Calendar,X2620,W2621,"f",FALSE)</f>
        <v>57313</v>
      </c>
      <c r="Y2621" s="153">
        <f>_xll.qlCalendarAdvance(Calendar,X2621,NDays&amp;"D")</f>
        <v>57313</v>
      </c>
      <c r="Z2621" s="154">
        <v>2.6714211163635333E-2</v>
      </c>
      <c r="AA2621" s="156">
        <v>2.6603125377204773E-2</v>
      </c>
    </row>
    <row r="2622" spans="19:27" x14ac:dyDescent="0.2">
      <c r="S2622" s="1"/>
      <c r="T2622" s="117"/>
      <c r="W2622" s="75" t="str">
        <f t="shared" si="51"/>
        <v>1w</v>
      </c>
      <c r="X2622" s="148">
        <f>_xll.qlCalendarAdvance(Calendar,X2621,W2622,"f",FALSE)</f>
        <v>57320</v>
      </c>
      <c r="Y2622" s="153">
        <f>_xll.qlCalendarAdvance(Calendar,X2622,NDays&amp;"D")</f>
        <v>57320</v>
      </c>
      <c r="Z2622" s="154">
        <v>2.6716652862705723E-2</v>
      </c>
      <c r="AA2622" s="156">
        <v>2.6606775282763673E-2</v>
      </c>
    </row>
    <row r="2623" spans="19:27" x14ac:dyDescent="0.2">
      <c r="S2623" s="1"/>
      <c r="T2623" s="117"/>
      <c r="W2623" s="75" t="str">
        <f t="shared" si="51"/>
        <v>1w</v>
      </c>
      <c r="X2623" s="148">
        <f>_xll.qlCalendarAdvance(Calendar,X2622,W2623,"f",FALSE)</f>
        <v>57327</v>
      </c>
      <c r="Y2623" s="153">
        <f>_xll.qlCalendarAdvance(Calendar,X2623,NDays&amp;"D")</f>
        <v>57327</v>
      </c>
      <c r="Z2623" s="154">
        <v>2.6720333975536675E-2</v>
      </c>
      <c r="AA2623" s="156">
        <v>2.661042619143239E-2</v>
      </c>
    </row>
    <row r="2624" spans="19:27" x14ac:dyDescent="0.2">
      <c r="S2624" s="1"/>
      <c r="T2624" s="117"/>
      <c r="W2624" s="75" t="str">
        <f t="shared" si="51"/>
        <v>1w</v>
      </c>
      <c r="X2624" s="148">
        <f>_xll.qlCalendarAdvance(Calendar,X2623,W2624,"f",FALSE)</f>
        <v>57334</v>
      </c>
      <c r="Y2624" s="153">
        <f>_xll.qlCalendarAdvance(Calendar,X2624,NDays&amp;"D")</f>
        <v>57334</v>
      </c>
      <c r="Z2624" s="154">
        <v>2.6724016101463244E-2</v>
      </c>
      <c r="AA2624" s="156">
        <v>2.6614078103697203E-2</v>
      </c>
    </row>
    <row r="2625" spans="19:27" x14ac:dyDescent="0.2">
      <c r="S2625" s="1"/>
      <c r="T2625" s="117"/>
      <c r="W2625" s="75" t="str">
        <f t="shared" si="51"/>
        <v>1w</v>
      </c>
      <c r="X2625" s="148">
        <f>_xll.qlCalendarAdvance(Calendar,X2624,W2625,"f",FALSE)</f>
        <v>57341</v>
      </c>
      <c r="Y2625" s="153">
        <f>_xll.qlCalendarAdvance(Calendar,X2625,NDays&amp;"D")</f>
        <v>57341</v>
      </c>
      <c r="Z2625" s="154">
        <v>2.6727699240485434E-2</v>
      </c>
      <c r="AA2625" s="156">
        <v>2.6617731018990787E-2</v>
      </c>
    </row>
    <row r="2626" spans="19:27" x14ac:dyDescent="0.2">
      <c r="S2626" s="1"/>
      <c r="T2626" s="117"/>
      <c r="W2626" s="75" t="str">
        <f t="shared" si="51"/>
        <v>1w</v>
      </c>
      <c r="X2626" s="148">
        <f>_xll.qlCalendarAdvance(Calendar,X2625,W2626,"f",FALSE)</f>
        <v>57348</v>
      </c>
      <c r="Y2626" s="153">
        <f>_xll.qlCalendarAdvance(Calendar,X2626,NDays&amp;"D")</f>
        <v>57348</v>
      </c>
      <c r="Z2626" s="154">
        <v>2.6731383392605047E-2</v>
      </c>
      <c r="AA2626" s="156">
        <v>2.6621384937556281E-2</v>
      </c>
    </row>
    <row r="2627" spans="19:27" x14ac:dyDescent="0.2">
      <c r="S2627" s="1"/>
      <c r="T2627" s="117"/>
      <c r="W2627" s="75" t="str">
        <f t="shared" si="51"/>
        <v>1w</v>
      </c>
      <c r="X2627" s="148">
        <f>_xll.qlCalendarAdvance(Calendar,X2626,W2627,"f",FALSE)</f>
        <v>57355</v>
      </c>
      <c r="Y2627" s="153">
        <f>_xll.qlCalendarAdvance(Calendar,X2627,NDays&amp;"D")</f>
        <v>57355</v>
      </c>
      <c r="Z2627" s="154">
        <v>2.6735068557826581E-2</v>
      </c>
      <c r="AA2627" s="156">
        <v>2.6625039859474731E-2</v>
      </c>
    </row>
    <row r="2628" spans="19:27" x14ac:dyDescent="0.2">
      <c r="S2628" s="1"/>
      <c r="T2628" s="117"/>
      <c r="W2628" s="75" t="str">
        <f t="shared" si="51"/>
        <v>1w</v>
      </c>
      <c r="X2628" s="148">
        <f>_xll.qlCalendarAdvance(Calendar,X2627,W2628,"f",FALSE)</f>
        <v>57362</v>
      </c>
      <c r="Y2628" s="153">
        <f>_xll.qlCalendarAdvance(Calendar,X2628,NDays&amp;"D")</f>
        <v>57362</v>
      </c>
      <c r="Z2628" s="154">
        <v>2.6738754736152739E-2</v>
      </c>
      <c r="AA2628" s="156">
        <v>2.6628695784746137E-2</v>
      </c>
    </row>
    <row r="2629" spans="19:27" x14ac:dyDescent="0.2">
      <c r="S2629" s="1"/>
      <c r="T2629" s="117"/>
      <c r="W2629" s="75" t="str">
        <f t="shared" si="51"/>
        <v>1w</v>
      </c>
      <c r="X2629" s="148">
        <f>_xll.qlCalendarAdvance(Calendar,X2628,W2629,"f",FALSE)</f>
        <v>57369</v>
      </c>
      <c r="Y2629" s="153">
        <f>_xll.qlCalendarAdvance(Calendar,X2629,NDays&amp;"D")</f>
        <v>57369</v>
      </c>
      <c r="Z2629" s="154">
        <v>2.6742441927584425E-2</v>
      </c>
      <c r="AA2629" s="156">
        <v>2.6632352713127361E-2</v>
      </c>
    </row>
    <row r="2630" spans="19:27" x14ac:dyDescent="0.2">
      <c r="S2630" s="1"/>
      <c r="T2630" s="117"/>
      <c r="W2630" s="75" t="str">
        <f t="shared" si="51"/>
        <v>1w</v>
      </c>
      <c r="X2630" s="148">
        <f>_xll.qlCalendarAdvance(Calendar,X2629,W2630,"f",FALSE)</f>
        <v>57376</v>
      </c>
      <c r="Y2630" s="153">
        <f>_xll.qlCalendarAdvance(Calendar,X2630,NDays&amp;"D")</f>
        <v>57376</v>
      </c>
      <c r="Z2630" s="154">
        <v>2.6744888752845981E-2</v>
      </c>
      <c r="AA2630" s="156">
        <v>2.6636010644861541E-2</v>
      </c>
    </row>
    <row r="2631" spans="19:27" x14ac:dyDescent="0.2">
      <c r="S2631" s="1"/>
      <c r="T2631" s="117"/>
      <c r="W2631" s="75" t="str">
        <f t="shared" si="51"/>
        <v>1w</v>
      </c>
      <c r="X2631" s="148">
        <f>_xll.qlCalendarAdvance(Calendar,X2630,W2631,"f",FALSE)</f>
        <v>57383</v>
      </c>
      <c r="Y2631" s="153">
        <f>_xll.qlCalendarAdvance(Calendar,X2631,NDays&amp;"D")</f>
        <v>57383</v>
      </c>
      <c r="Z2631" s="154">
        <v>2.6749819349782378E-2</v>
      </c>
      <c r="AA2631" s="156">
        <v>2.6639669579867631E-2</v>
      </c>
    </row>
    <row r="2632" spans="19:27" x14ac:dyDescent="0.2">
      <c r="S2632" s="1"/>
      <c r="T2632" s="117"/>
      <c r="W2632" s="75" t="str">
        <f t="shared" si="51"/>
        <v>1w</v>
      </c>
      <c r="X2632" s="148">
        <f>_xll.qlCalendarAdvance(Calendar,X2631,W2632,"f",FALSE)</f>
        <v>57390</v>
      </c>
      <c r="Y2632" s="153">
        <f>_xll.qlCalendarAdvance(Calendar,X2632,NDays&amp;"D")</f>
        <v>57390</v>
      </c>
      <c r="Z2632" s="154">
        <v>2.6752267517533082E-2</v>
      </c>
      <c r="AA2632" s="156">
        <v>2.6643329518226677E-2</v>
      </c>
    </row>
    <row r="2633" spans="19:27" x14ac:dyDescent="0.2">
      <c r="S2633" s="1"/>
      <c r="T2633" s="117"/>
      <c r="W2633" s="75" t="str">
        <f t="shared" si="51"/>
        <v>1w</v>
      </c>
      <c r="X2633" s="148">
        <f>_xll.qlCalendarAdvance(Calendar,X2632,W2633,"f",FALSE)</f>
        <v>57397</v>
      </c>
      <c r="Y2633" s="153">
        <f>_xll.qlCalendarAdvance(Calendar,X2633,NDays&amp;"D")</f>
        <v>57397</v>
      </c>
      <c r="Z2633" s="154">
        <v>2.6755958419383299E-2</v>
      </c>
      <c r="AA2633" s="156">
        <v>2.6646990459695541E-2</v>
      </c>
    </row>
    <row r="2634" spans="19:27" x14ac:dyDescent="0.2">
      <c r="S2634" s="1"/>
      <c r="T2634" s="117"/>
      <c r="W2634" s="75" t="str">
        <f t="shared" si="51"/>
        <v>1w</v>
      </c>
      <c r="X2634" s="148">
        <f>_xll.qlCalendarAdvance(Calendar,X2633,W2634,"f",FALSE)</f>
        <v>57404</v>
      </c>
      <c r="Y2634" s="153">
        <f>_xll.qlCalendarAdvance(Calendar,X2634,NDays&amp;"D")</f>
        <v>57404</v>
      </c>
      <c r="Z2634" s="154">
        <v>2.6763378855385708E-2</v>
      </c>
      <c r="AA2634" s="156">
        <v>2.6650652404517361E-2</v>
      </c>
    </row>
    <row r="2635" spans="19:27" x14ac:dyDescent="0.2">
      <c r="S2635" s="1"/>
      <c r="T2635" s="117"/>
      <c r="W2635" s="75" t="str">
        <f t="shared" si="51"/>
        <v>1w</v>
      </c>
      <c r="X2635" s="148">
        <f>_xll.qlCalendarAdvance(Calendar,X2634,W2635,"f",FALSE)</f>
        <v>57411</v>
      </c>
      <c r="Y2635" s="153">
        <f>_xll.qlCalendarAdvance(Calendar,X2635,NDays&amp;"D")</f>
        <v>57411</v>
      </c>
      <c r="Z2635" s="154">
        <v>2.6767072810141759E-2</v>
      </c>
      <c r="AA2635" s="156">
        <v>2.6654315352611091E-2</v>
      </c>
    </row>
    <row r="2636" spans="19:27" x14ac:dyDescent="0.2">
      <c r="S2636" s="1"/>
      <c r="T2636" s="117"/>
      <c r="W2636" s="75" t="str">
        <f t="shared" si="51"/>
        <v>1w</v>
      </c>
      <c r="X2636" s="148">
        <f>_xll.qlCalendarAdvance(Calendar,X2635,W2636,"f",FALSE)</f>
        <v>57418</v>
      </c>
      <c r="Y2636" s="153">
        <f>_xll.qlCalendarAdvance(Calendar,X2636,NDays&amp;"D")</f>
        <v>57418</v>
      </c>
      <c r="Z2636" s="154">
        <v>2.677076777824677E-2</v>
      </c>
      <c r="AA2636" s="156">
        <v>2.6657979303976731E-2</v>
      </c>
    </row>
    <row r="2637" spans="19:27" x14ac:dyDescent="0.2">
      <c r="S2637" s="1"/>
      <c r="T2637" s="117"/>
      <c r="W2637" s="75" t="str">
        <f t="shared" si="51"/>
        <v>1w</v>
      </c>
      <c r="X2637" s="148">
        <f>_xll.qlCalendarAdvance(Calendar,X2636,W2637,"f",FALSE)</f>
        <v>57425</v>
      </c>
      <c r="Y2637" s="153">
        <f>_xll.qlCalendarAdvance(Calendar,X2637,NDays&amp;"D")</f>
        <v>57425</v>
      </c>
      <c r="Z2637" s="154">
        <v>2.677446375970426E-2</v>
      </c>
      <c r="AA2637" s="156">
        <v>2.6661644258614281E-2</v>
      </c>
    </row>
    <row r="2638" spans="19:27" x14ac:dyDescent="0.2">
      <c r="S2638" s="1"/>
      <c r="T2638" s="117"/>
      <c r="W2638" s="75" t="str">
        <f t="shared" si="51"/>
        <v>1w</v>
      </c>
      <c r="X2638" s="148">
        <f>_xll.qlCalendarAdvance(Calendar,X2637,W2638,"f",FALSE)</f>
        <v>57432</v>
      </c>
      <c r="Y2638" s="153">
        <f>_xll.qlCalendarAdvance(Calendar,X2638,NDays&amp;"D")</f>
        <v>57432</v>
      </c>
      <c r="Z2638" s="154">
        <v>2.6778160754515116E-2</v>
      </c>
      <c r="AA2638" s="156">
        <v>2.6665310216604787E-2</v>
      </c>
    </row>
    <row r="2639" spans="19:27" x14ac:dyDescent="0.2">
      <c r="S2639" s="1"/>
      <c r="T2639" s="117"/>
      <c r="W2639" s="75" t="str">
        <f t="shared" si="51"/>
        <v>1w</v>
      </c>
      <c r="X2639" s="148">
        <f>_xll.qlCalendarAdvance(Calendar,X2638,W2639,"f",FALSE)</f>
        <v>57439</v>
      </c>
      <c r="Y2639" s="153">
        <f>_xll.qlCalendarAdvance(Calendar,X2639,NDays&amp;"D")</f>
        <v>57439</v>
      </c>
      <c r="Z2639" s="154">
        <v>2.6780614116358837E-2</v>
      </c>
      <c r="AA2639" s="156">
        <v>2.6668977177786157E-2</v>
      </c>
    </row>
    <row r="2640" spans="19:27" x14ac:dyDescent="0.2">
      <c r="S2640" s="1"/>
      <c r="T2640" s="117"/>
      <c r="W2640" s="75" t="str">
        <f t="shared" si="51"/>
        <v>1w</v>
      </c>
      <c r="X2640" s="148">
        <f>_xll.qlCalendarAdvance(Calendar,X2639,W2640,"f",FALSE)</f>
        <v>57446</v>
      </c>
      <c r="Y2640" s="153">
        <f>_xll.qlCalendarAdvance(Calendar,X2640,NDays&amp;"D")</f>
        <v>57446</v>
      </c>
      <c r="Z2640" s="154">
        <v>2.6784312795000417E-2</v>
      </c>
      <c r="AA2640" s="156">
        <v>2.6672645142320484E-2</v>
      </c>
    </row>
    <row r="2641" spans="19:27" x14ac:dyDescent="0.2">
      <c r="S2641" s="1"/>
      <c r="T2641" s="117"/>
      <c r="W2641" s="75" t="str">
        <f t="shared" si="51"/>
        <v>1w</v>
      </c>
      <c r="X2641" s="148">
        <f>_xll.qlCalendarAdvance(Calendar,X2640,W2641,"f",FALSE)</f>
        <v>57453</v>
      </c>
      <c r="Y2641" s="153">
        <f>_xll.qlCalendarAdvance(Calendar,X2641,NDays&amp;"D")</f>
        <v>57453</v>
      </c>
      <c r="Z2641" s="154">
        <v>2.6788012486891503E-2</v>
      </c>
      <c r="AA2641" s="156">
        <v>2.6676314109883581E-2</v>
      </c>
    </row>
    <row r="2642" spans="19:27" x14ac:dyDescent="0.2">
      <c r="S2642" s="1"/>
      <c r="T2642" s="117"/>
      <c r="W2642" s="75" t="str">
        <f t="shared" si="51"/>
        <v>1w</v>
      </c>
      <c r="X2642" s="148">
        <f>_xll.qlCalendarAdvance(Calendar,X2641,W2642,"f",FALSE)</f>
        <v>57460</v>
      </c>
      <c r="Y2642" s="153">
        <f>_xll.qlCalendarAdvance(Calendar,X2642,NDays&amp;"D")</f>
        <v>57460</v>
      </c>
      <c r="Z2642" s="154">
        <v>2.6791713192038335E-2</v>
      </c>
      <c r="AA2642" s="156">
        <v>2.6679984081042774E-2</v>
      </c>
    </row>
    <row r="2643" spans="19:27" x14ac:dyDescent="0.2">
      <c r="S2643" s="1"/>
      <c r="T2643" s="117"/>
      <c r="W2643" s="75" t="str">
        <f t="shared" si="51"/>
        <v>1w</v>
      </c>
      <c r="X2643" s="148">
        <f>_xll.qlCalendarAdvance(Calendar,X2642,W2643,"f",FALSE)</f>
        <v>57467</v>
      </c>
      <c r="Y2643" s="153">
        <f>_xll.qlCalendarAdvance(Calendar,X2643,NDays&amp;"D")</f>
        <v>57467</v>
      </c>
      <c r="Z2643" s="154">
        <v>2.6796660928986991E-2</v>
      </c>
      <c r="AA2643" s="156">
        <v>2.668365505539283E-2</v>
      </c>
    </row>
    <row r="2644" spans="19:27" x14ac:dyDescent="0.2">
      <c r="S2644" s="1"/>
      <c r="T2644" s="117"/>
      <c r="W2644" s="75" t="str">
        <f t="shared" si="51"/>
        <v>1w</v>
      </c>
      <c r="X2644" s="148">
        <f>_xll.qlCalendarAdvance(Calendar,X2643,W2644,"f",FALSE)</f>
        <v>57474</v>
      </c>
      <c r="Y2644" s="153">
        <f>_xll.qlCalendarAdvance(Calendar,X2644,NDays&amp;"D")</f>
        <v>57474</v>
      </c>
      <c r="Z2644" s="154">
        <v>2.6800364003984972E-2</v>
      </c>
      <c r="AA2644" s="156">
        <v>2.668732703293375E-2</v>
      </c>
    </row>
    <row r="2645" spans="19:27" x14ac:dyDescent="0.2">
      <c r="S2645" s="1"/>
      <c r="T2645" s="117"/>
      <c r="W2645" s="75" t="str">
        <f t="shared" ref="W2645:W2708" si="52">W2644</f>
        <v>1w</v>
      </c>
      <c r="X2645" s="148">
        <f>_xll.qlCalendarAdvance(Calendar,X2644,W2645,"f",FALSE)</f>
        <v>57481</v>
      </c>
      <c r="Y2645" s="153">
        <f>_xll.qlCalendarAdvance(Calendar,X2645,NDays&amp;"D")</f>
        <v>57481</v>
      </c>
      <c r="Z2645" s="154">
        <v>2.6804068092353934E-2</v>
      </c>
      <c r="AA2645" s="156">
        <v>2.6691000013665533E-2</v>
      </c>
    </row>
    <row r="2646" spans="19:27" x14ac:dyDescent="0.2">
      <c r="S2646" s="1"/>
      <c r="T2646" s="117"/>
      <c r="W2646" s="75" t="str">
        <f t="shared" si="52"/>
        <v>1w</v>
      </c>
      <c r="X2646" s="148">
        <f>_xll.qlCalendarAdvance(Calendar,X2645,W2646,"f",FALSE)</f>
        <v>57488</v>
      </c>
      <c r="Y2646" s="153">
        <f>_xll.qlCalendarAdvance(Calendar,X2646,NDays&amp;"D")</f>
        <v>57488</v>
      </c>
      <c r="Z2646" s="154">
        <v>2.6807773194103567E-2</v>
      </c>
      <c r="AA2646" s="156">
        <v>2.669467399783132E-2</v>
      </c>
    </row>
    <row r="2647" spans="19:27" x14ac:dyDescent="0.2">
      <c r="S2647" s="1"/>
      <c r="T2647" s="117"/>
      <c r="W2647" s="75" t="str">
        <f t="shared" si="52"/>
        <v>1w</v>
      </c>
      <c r="X2647" s="148">
        <f>_xll.qlCalendarAdvance(Calendar,X2646,W2647,"f",FALSE)</f>
        <v>57495</v>
      </c>
      <c r="Y2647" s="153">
        <f>_xll.qlCalendarAdvance(Calendar,X2647,NDays&amp;"D")</f>
        <v>57495</v>
      </c>
      <c r="Z2647" s="154">
        <v>2.6811479309232111E-2</v>
      </c>
      <c r="AA2647" s="156">
        <v>2.669834898518797E-2</v>
      </c>
    </row>
    <row r="2648" spans="19:27" x14ac:dyDescent="0.2">
      <c r="S2648" s="1"/>
      <c r="T2648" s="117"/>
      <c r="W2648" s="75" t="str">
        <f t="shared" si="52"/>
        <v>1w</v>
      </c>
      <c r="X2648" s="148">
        <f>_xll.qlCalendarAdvance(Calendar,X2647,W2648,"f",FALSE)</f>
        <v>57502</v>
      </c>
      <c r="Y2648" s="153">
        <f>_xll.qlCalendarAdvance(Calendar,X2648,NDays&amp;"D")</f>
        <v>57502</v>
      </c>
      <c r="Z2648" s="154">
        <v>2.6815186437742208E-2</v>
      </c>
      <c r="AA2648" s="156">
        <v>2.670202497581653E-2</v>
      </c>
    </row>
    <row r="2649" spans="19:27" x14ac:dyDescent="0.2">
      <c r="S2649" s="1"/>
      <c r="T2649" s="117"/>
      <c r="W2649" s="75" t="str">
        <f t="shared" si="52"/>
        <v>1w</v>
      </c>
      <c r="X2649" s="148">
        <f>_xll.qlCalendarAdvance(Calendar,X2648,W2649,"f",FALSE)</f>
        <v>57509</v>
      </c>
      <c r="Y2649" s="153">
        <f>_xll.qlCalendarAdvance(Calendar,X2649,NDays&amp;"D")</f>
        <v>57509</v>
      </c>
      <c r="Z2649" s="154">
        <v>2.6818894579637379E-2</v>
      </c>
      <c r="AA2649" s="156">
        <v>2.6705701969716999E-2</v>
      </c>
    </row>
    <row r="2650" spans="19:27" x14ac:dyDescent="0.2">
      <c r="S2650" s="1"/>
      <c r="T2650" s="117"/>
      <c r="W2650" s="75" t="str">
        <f t="shared" si="52"/>
        <v>1w</v>
      </c>
      <c r="X2650" s="148">
        <f>_xll.qlCalendarAdvance(Calendar,X2649,W2650,"f",FALSE)</f>
        <v>57516</v>
      </c>
      <c r="Y2650" s="153">
        <f>_xll.qlCalendarAdvance(Calendar,X2650,NDays&amp;"D")</f>
        <v>57516</v>
      </c>
      <c r="Z2650" s="154">
        <v>2.6822603734921152E-2</v>
      </c>
      <c r="AA2650" s="156">
        <v>2.6709379966970426E-2</v>
      </c>
    </row>
    <row r="2651" spans="19:27" x14ac:dyDescent="0.2">
      <c r="S2651" s="1"/>
      <c r="T2651" s="117"/>
      <c r="W2651" s="75" t="str">
        <f t="shared" si="52"/>
        <v>1w</v>
      </c>
      <c r="X2651" s="148">
        <f>_xll.qlCalendarAdvance(Calendar,X2650,W2651,"f",FALSE)</f>
        <v>57523</v>
      </c>
      <c r="Y2651" s="153">
        <f>_xll.qlCalendarAdvance(Calendar,X2651,NDays&amp;"D")</f>
        <v>57523</v>
      </c>
      <c r="Z2651" s="154">
        <v>2.682631390359793E-2</v>
      </c>
      <c r="AA2651" s="156">
        <v>2.6713058967495762E-2</v>
      </c>
    </row>
    <row r="2652" spans="19:27" x14ac:dyDescent="0.2">
      <c r="S2652" s="1"/>
      <c r="T2652" s="117"/>
      <c r="W2652" s="75" t="str">
        <f t="shared" si="52"/>
        <v>1w</v>
      </c>
      <c r="X2652" s="148">
        <f>_xll.qlCalendarAdvance(Calendar,X2651,W2652,"f",FALSE)</f>
        <v>57530</v>
      </c>
      <c r="Y2652" s="153">
        <f>_xll.qlCalendarAdvance(Calendar,X2652,NDays&amp;"D")</f>
        <v>57530</v>
      </c>
      <c r="Z2652" s="154">
        <v>2.683002508566595E-2</v>
      </c>
      <c r="AA2652" s="156">
        <v>2.6716738971130916E-2</v>
      </c>
    </row>
    <row r="2653" spans="19:27" x14ac:dyDescent="0.2">
      <c r="S2653" s="1"/>
      <c r="T2653" s="117"/>
      <c r="W2653" s="75" t="str">
        <f t="shared" si="52"/>
        <v>1w</v>
      </c>
      <c r="X2653" s="148">
        <f>_xll.qlCalendarAdvance(Calendar,X2652,W2653,"f",FALSE)</f>
        <v>57537</v>
      </c>
      <c r="Y2653" s="153">
        <f>_xll.qlCalendarAdvance(Calendar,X2653,NDays&amp;"D")</f>
        <v>57537</v>
      </c>
      <c r="Z2653" s="154">
        <v>2.6833737281131382E-2</v>
      </c>
      <c r="AA2653" s="156">
        <v>2.6720419978281118E-2</v>
      </c>
    </row>
    <row r="2654" spans="19:27" x14ac:dyDescent="0.2">
      <c r="S2654" s="1"/>
      <c r="T2654" s="117"/>
      <c r="W2654" s="75" t="str">
        <f t="shared" si="52"/>
        <v>1w</v>
      </c>
      <c r="X2654" s="148">
        <f>_xll.qlCalendarAdvance(Calendar,X2653,W2654,"f",FALSE)</f>
        <v>57544</v>
      </c>
      <c r="Y2654" s="153">
        <f>_xll.qlCalendarAdvance(Calendar,X2654,NDays&amp;"D")</f>
        <v>57544</v>
      </c>
      <c r="Z2654" s="154">
        <v>2.6837450489995984E-2</v>
      </c>
      <c r="AA2654" s="156">
        <v>2.6724101988541138E-2</v>
      </c>
    </row>
    <row r="2655" spans="19:27" x14ac:dyDescent="0.2">
      <c r="S2655" s="1"/>
      <c r="T2655" s="117"/>
      <c r="W2655" s="75" t="str">
        <f t="shared" si="52"/>
        <v>1w</v>
      </c>
      <c r="X2655" s="148">
        <f>_xll.qlCalendarAdvance(Calendar,X2654,W2655,"f",FALSE)</f>
        <v>57551</v>
      </c>
      <c r="Y2655" s="153">
        <f>_xll.qlCalendarAdvance(Calendar,X2655,NDays&amp;"D")</f>
        <v>57551</v>
      </c>
      <c r="Z2655" s="154">
        <v>2.6841164712264162E-2</v>
      </c>
      <c r="AA2655" s="156">
        <v>2.6727785002073068E-2</v>
      </c>
    </row>
    <row r="2656" spans="19:27" x14ac:dyDescent="0.2">
      <c r="S2656" s="1"/>
      <c r="T2656" s="117"/>
      <c r="W2656" s="75" t="str">
        <f t="shared" si="52"/>
        <v>1w</v>
      </c>
      <c r="X2656" s="148">
        <f>_xll.qlCalendarAdvance(Calendar,X2655,W2656,"f",FALSE)</f>
        <v>57558</v>
      </c>
      <c r="Y2656" s="153">
        <f>_xll.qlCalendarAdvance(Calendar,X2656,NDays&amp;"D")</f>
        <v>57558</v>
      </c>
      <c r="Z2656" s="154">
        <v>2.6844879947935912E-2</v>
      </c>
      <c r="AA2656" s="156">
        <v>2.6731469018876908E-2</v>
      </c>
    </row>
    <row r="2657" spans="19:27" x14ac:dyDescent="0.2">
      <c r="S2657" s="1"/>
      <c r="T2657" s="117"/>
      <c r="W2657" s="75" t="str">
        <f t="shared" si="52"/>
        <v>1w</v>
      </c>
      <c r="X2657" s="148">
        <f>_xll.qlCalendarAdvance(Calendar,X2656,W2657,"f",FALSE)</f>
        <v>57565</v>
      </c>
      <c r="Y2657" s="153">
        <f>_xll.qlCalendarAdvance(Calendar,X2657,NDays&amp;"D")</f>
        <v>57565</v>
      </c>
      <c r="Z2657" s="154">
        <v>2.6848596197017408E-2</v>
      </c>
      <c r="AA2657" s="156">
        <v>2.6735154039195796E-2</v>
      </c>
    </row>
    <row r="2658" spans="19:27" x14ac:dyDescent="0.2">
      <c r="S2658" s="1"/>
      <c r="T2658" s="117"/>
      <c r="W2658" s="75" t="str">
        <f t="shared" si="52"/>
        <v>1w</v>
      </c>
      <c r="X2658" s="148">
        <f>_xll.qlCalendarAdvance(Calendar,X2657,W2658,"f",FALSE)</f>
        <v>57572</v>
      </c>
      <c r="Y2658" s="153">
        <f>_xll.qlCalendarAdvance(Calendar,X2658,NDays&amp;"D")</f>
        <v>57572</v>
      </c>
      <c r="Z2658" s="154">
        <v>2.6852313459508649E-2</v>
      </c>
      <c r="AA2658" s="156">
        <v>2.673884006246241E-2</v>
      </c>
    </row>
    <row r="2659" spans="19:27" x14ac:dyDescent="0.2">
      <c r="S2659" s="1"/>
      <c r="T2659" s="117"/>
      <c r="W2659" s="75" t="str">
        <f t="shared" si="52"/>
        <v>1w</v>
      </c>
      <c r="X2659" s="148">
        <f>_xll.qlCalendarAdvance(Calendar,X2658,W2659,"f",FALSE)</f>
        <v>57579</v>
      </c>
      <c r="Y2659" s="153">
        <f>_xll.qlCalendarAdvance(Calendar,X2659,NDays&amp;"D")</f>
        <v>57579</v>
      </c>
      <c r="Z2659" s="154">
        <v>2.6856031735414034E-2</v>
      </c>
      <c r="AA2659" s="156">
        <v>2.6742527089163026E-2</v>
      </c>
    </row>
    <row r="2660" spans="19:27" x14ac:dyDescent="0.2">
      <c r="S2660" s="1"/>
      <c r="T2660" s="117"/>
      <c r="W2660" s="75" t="str">
        <f t="shared" si="52"/>
        <v>1w</v>
      </c>
      <c r="X2660" s="148">
        <f>_xll.qlCalendarAdvance(Calendar,X2659,W2660,"f",FALSE)</f>
        <v>57586</v>
      </c>
      <c r="Y2660" s="153">
        <f>_xll.qlCalendarAdvance(Calendar,X2660,NDays&amp;"D")</f>
        <v>57586</v>
      </c>
      <c r="Z2660" s="154">
        <v>2.685975102473533E-2</v>
      </c>
      <c r="AA2660" s="156">
        <v>2.6746215119216599E-2</v>
      </c>
    </row>
    <row r="2661" spans="19:27" x14ac:dyDescent="0.2">
      <c r="S2661" s="1"/>
      <c r="T2661" s="117"/>
      <c r="W2661" s="75" t="str">
        <f t="shared" si="52"/>
        <v>1w</v>
      </c>
      <c r="X2661" s="148">
        <f>_xll.qlCalendarAdvance(Calendar,X2660,W2661,"f",FALSE)</f>
        <v>57593</v>
      </c>
      <c r="Y2661" s="153">
        <f>_xll.qlCalendarAdvance(Calendar,X2661,NDays&amp;"D")</f>
        <v>57593</v>
      </c>
      <c r="Z2661" s="154">
        <v>2.686221911180988E-2</v>
      </c>
      <c r="AA2661" s="156">
        <v>2.6749904152379989E-2</v>
      </c>
    </row>
    <row r="2662" spans="19:27" x14ac:dyDescent="0.2">
      <c r="S2662" s="1"/>
      <c r="T2662" s="117"/>
      <c r="W2662" s="75" t="str">
        <f t="shared" si="52"/>
        <v>1w</v>
      </c>
      <c r="X2662" s="148">
        <f>_xll.qlCalendarAdvance(Calendar,X2661,W2662,"f",FALSE)</f>
        <v>57600</v>
      </c>
      <c r="Y2662" s="153">
        <f>_xll.qlCalendarAdvance(Calendar,X2662,NDays&amp;"D")</f>
        <v>57600</v>
      </c>
      <c r="Z2662" s="154">
        <v>2.6865940082623756E-2</v>
      </c>
      <c r="AA2662" s="156">
        <v>2.6753594188815288E-2</v>
      </c>
    </row>
    <row r="2663" spans="19:27" x14ac:dyDescent="0.2">
      <c r="S2663" s="1"/>
      <c r="T2663" s="117"/>
      <c r="W2663" s="75" t="str">
        <f t="shared" si="52"/>
        <v>1w</v>
      </c>
      <c r="X2663" s="148">
        <f>_xll.qlCalendarAdvance(Calendar,X2662,W2663,"f",FALSE)</f>
        <v>57607</v>
      </c>
      <c r="Y2663" s="153">
        <f>_xll.qlCalendarAdvance(Calendar,X2663,NDays&amp;"D")</f>
        <v>57607</v>
      </c>
      <c r="Z2663" s="154">
        <v>2.6869662066749483E-2</v>
      </c>
      <c r="AA2663" s="156">
        <v>2.6757285228522498E-2</v>
      </c>
    </row>
    <row r="2664" spans="19:27" x14ac:dyDescent="0.2">
      <c r="S2664" s="1"/>
      <c r="T2664" s="117"/>
      <c r="W2664" s="75" t="str">
        <f t="shared" si="52"/>
        <v>1w</v>
      </c>
      <c r="X2664" s="148">
        <f>_xll.qlCalendarAdvance(Calendar,X2663,W2664,"f",FALSE)</f>
        <v>57614</v>
      </c>
      <c r="Y2664" s="153">
        <f>_xll.qlCalendarAdvance(Calendar,X2664,NDays&amp;"D")</f>
        <v>57614</v>
      </c>
      <c r="Z2664" s="154">
        <v>2.6874638316241265E-2</v>
      </c>
      <c r="AA2664" s="156">
        <v>2.6760977271663711E-2</v>
      </c>
    </row>
    <row r="2665" spans="19:27" x14ac:dyDescent="0.2">
      <c r="S2665" s="1"/>
      <c r="T2665" s="117"/>
      <c r="W2665" s="75" t="str">
        <f t="shared" si="52"/>
        <v>1w</v>
      </c>
      <c r="X2665" s="148">
        <f>_xll.qlCalendarAdvance(Calendar,X2664,W2665,"f",FALSE)</f>
        <v>57621</v>
      </c>
      <c r="Y2665" s="153">
        <f>_xll.qlCalendarAdvance(Calendar,X2665,NDays&amp;"D")</f>
        <v>57621</v>
      </c>
      <c r="Z2665" s="154">
        <v>2.6878362672686156E-2</v>
      </c>
      <c r="AA2665" s="156">
        <v>2.6764670317995787E-2</v>
      </c>
    </row>
    <row r="2666" spans="19:27" x14ac:dyDescent="0.2">
      <c r="S2666" s="1"/>
      <c r="T2666" s="117"/>
      <c r="W2666" s="75" t="str">
        <f t="shared" si="52"/>
        <v>1w</v>
      </c>
      <c r="X2666" s="148">
        <f>_xll.qlCalendarAdvance(Calendar,X2665,W2666,"f",FALSE)</f>
        <v>57628</v>
      </c>
      <c r="Y2666" s="153">
        <f>_xll.qlCalendarAdvance(Calendar,X2666,NDays&amp;"D")</f>
        <v>57628</v>
      </c>
      <c r="Z2666" s="154">
        <v>2.688208804256545E-2</v>
      </c>
      <c r="AA2666" s="156">
        <v>2.676836436743768E-2</v>
      </c>
    </row>
    <row r="2667" spans="19:27" x14ac:dyDescent="0.2">
      <c r="S2667" s="1"/>
      <c r="T2667" s="117"/>
      <c r="W2667" s="75" t="str">
        <f t="shared" si="52"/>
        <v>1w</v>
      </c>
      <c r="X2667" s="148">
        <f>_xll.qlCalendarAdvance(Calendar,X2666,W2667,"f",FALSE)</f>
        <v>57635</v>
      </c>
      <c r="Y2667" s="153">
        <f>_xll.qlCalendarAdvance(Calendar,X2667,NDays&amp;"D")</f>
        <v>57635</v>
      </c>
      <c r="Z2667" s="154">
        <v>2.6885814425880918E-2</v>
      </c>
      <c r="AA2667" s="156">
        <v>2.6772059420313576E-2</v>
      </c>
    </row>
    <row r="2668" spans="19:27" x14ac:dyDescent="0.2">
      <c r="S2668" s="1"/>
      <c r="T2668" s="117"/>
      <c r="W2668" s="75" t="str">
        <f t="shared" si="52"/>
        <v>1w</v>
      </c>
      <c r="X2668" s="148">
        <f>_xll.qlCalendarAdvance(Calendar,X2667,W2668,"f",FALSE)</f>
        <v>57642</v>
      </c>
      <c r="Y2668" s="153">
        <f>_xll.qlCalendarAdvance(Calendar,X2668,NDays&amp;"D")</f>
        <v>57642</v>
      </c>
      <c r="Z2668" s="154">
        <v>2.688954182263608E-2</v>
      </c>
      <c r="AA2668" s="156">
        <v>2.6775755476623475E-2</v>
      </c>
    </row>
    <row r="2669" spans="19:27" x14ac:dyDescent="0.2">
      <c r="S2669" s="1"/>
      <c r="T2669" s="117"/>
      <c r="W2669" s="75" t="str">
        <f t="shared" si="52"/>
        <v>1w</v>
      </c>
      <c r="X2669" s="148">
        <f>_xll.qlCalendarAdvance(Calendar,X2668,W2669,"f",FALSE)</f>
        <v>57649</v>
      </c>
      <c r="Y2669" s="153">
        <f>_xll.qlCalendarAdvance(Calendar,X2669,NDays&amp;"D")</f>
        <v>57649</v>
      </c>
      <c r="Z2669" s="154">
        <v>2.6893270232832698E-2</v>
      </c>
      <c r="AA2669" s="156">
        <v>2.6779452535962145E-2</v>
      </c>
    </row>
    <row r="2670" spans="19:27" x14ac:dyDescent="0.2">
      <c r="S2670" s="1"/>
      <c r="T2670" s="117"/>
      <c r="W2670" s="75" t="str">
        <f t="shared" si="52"/>
        <v>1w</v>
      </c>
      <c r="X2670" s="148">
        <f>_xll.qlCalendarAdvance(Calendar,X2669,W2670,"f",FALSE)</f>
        <v>57656</v>
      </c>
      <c r="Y2670" s="153">
        <f>_xll.qlCalendarAdvance(Calendar,X2670,NDays&amp;"D")</f>
        <v>57656</v>
      </c>
      <c r="Z2670" s="154">
        <v>2.6896999656473415E-2</v>
      </c>
      <c r="AA2670" s="156">
        <v>2.6783150598653771E-2</v>
      </c>
    </row>
    <row r="2671" spans="19:27" x14ac:dyDescent="0.2">
      <c r="S2671" s="1"/>
      <c r="T2671" s="117"/>
      <c r="W2671" s="75" t="str">
        <f t="shared" si="52"/>
        <v>1w</v>
      </c>
      <c r="X2671" s="148">
        <f>_xll.qlCalendarAdvance(Calendar,X2670,W2671,"f",FALSE)</f>
        <v>57663</v>
      </c>
      <c r="Y2671" s="153">
        <f>_xll.qlCalendarAdvance(Calendar,X2671,NDays&amp;"D")</f>
        <v>57663</v>
      </c>
      <c r="Z2671" s="154">
        <v>2.6900730093561757E-2</v>
      </c>
      <c r="AA2671" s="156">
        <v>2.6786849664617307E-2</v>
      </c>
    </row>
    <row r="2672" spans="19:27" x14ac:dyDescent="0.2">
      <c r="S2672" s="1"/>
      <c r="T2672" s="117"/>
      <c r="W2672" s="75" t="str">
        <f t="shared" si="52"/>
        <v>1w</v>
      </c>
      <c r="X2672" s="148">
        <f>_xll.qlCalendarAdvance(Calendar,X2671,W2672,"f",FALSE)</f>
        <v>57670</v>
      </c>
      <c r="Y2672" s="153">
        <f>_xll.qlCalendarAdvance(Calendar,X2672,NDays&amp;"D")</f>
        <v>57670</v>
      </c>
      <c r="Z2672" s="154">
        <v>2.6904461544102126E-2</v>
      </c>
      <c r="AA2672" s="156">
        <v>2.6790549734014846E-2</v>
      </c>
    </row>
    <row r="2673" spans="19:27" x14ac:dyDescent="0.2">
      <c r="S2673" s="1"/>
      <c r="T2673" s="117"/>
      <c r="W2673" s="75" t="str">
        <f t="shared" si="52"/>
        <v>1w</v>
      </c>
      <c r="X2673" s="148">
        <f>_xll.qlCalendarAdvance(Calendar,X2672,W2673,"f",FALSE)</f>
        <v>57677</v>
      </c>
      <c r="Y2673" s="153">
        <f>_xll.qlCalendarAdvance(Calendar,X2673,NDays&amp;"D")</f>
        <v>57677</v>
      </c>
      <c r="Z2673" s="154">
        <v>2.6908194008094518E-2</v>
      </c>
      <c r="AA2673" s="156">
        <v>2.6794250806441156E-2</v>
      </c>
    </row>
    <row r="2674" spans="19:27" x14ac:dyDescent="0.2">
      <c r="S2674" s="1"/>
      <c r="T2674" s="117"/>
      <c r="W2674" s="75" t="str">
        <f t="shared" si="52"/>
        <v>1w</v>
      </c>
      <c r="X2674" s="148">
        <f>_xll.qlCalendarAdvance(Calendar,X2673,W2674,"f",FALSE)</f>
        <v>57684</v>
      </c>
      <c r="Y2674" s="153">
        <f>_xll.qlCalendarAdvance(Calendar,X2674,NDays&amp;"D")</f>
        <v>57684</v>
      </c>
      <c r="Z2674" s="154">
        <v>2.6909414152237184E-2</v>
      </c>
      <c r="AA2674" s="156">
        <v>2.6797952882139375E-2</v>
      </c>
    </row>
    <row r="2675" spans="19:27" x14ac:dyDescent="0.2">
      <c r="S2675" s="1"/>
      <c r="T2675" s="117"/>
      <c r="W2675" s="75" t="str">
        <f t="shared" si="52"/>
        <v>1w</v>
      </c>
      <c r="X2675" s="148">
        <f>_xll.qlCalendarAdvance(Calendar,X2674,W2675,"f",FALSE)</f>
        <v>57691</v>
      </c>
      <c r="Y2675" s="153">
        <f>_xll.qlCalendarAdvance(Calendar,X2675,NDays&amp;"D")</f>
        <v>57691</v>
      </c>
      <c r="Z2675" s="154">
        <v>2.691314794956047E-2</v>
      </c>
      <c r="AA2675" s="156">
        <v>2.6801655961271598E-2</v>
      </c>
    </row>
    <row r="2676" spans="19:27" x14ac:dyDescent="0.2">
      <c r="S2676" s="1"/>
      <c r="T2676" s="117"/>
      <c r="W2676" s="75" t="str">
        <f t="shared" si="52"/>
        <v>1w</v>
      </c>
      <c r="X2676" s="148">
        <f>_xll.qlCalendarAdvance(Calendar,X2675,W2676,"f",FALSE)</f>
        <v>57698</v>
      </c>
      <c r="Y2676" s="153">
        <f>_xll.qlCalendarAdvance(Calendar,X2676,NDays&amp;"D")</f>
        <v>57698</v>
      </c>
      <c r="Z2676" s="154">
        <v>2.6916882760118055E-2</v>
      </c>
      <c r="AA2676" s="156">
        <v>2.6805360043513637E-2</v>
      </c>
    </row>
    <row r="2677" spans="19:27" x14ac:dyDescent="0.2">
      <c r="S2677" s="1"/>
      <c r="T2677" s="117"/>
      <c r="W2677" s="75" t="str">
        <f t="shared" si="52"/>
        <v>1w</v>
      </c>
      <c r="X2677" s="148">
        <f>_xll.qlCalendarAdvance(Calendar,X2676,W2677,"f",FALSE)</f>
        <v>57706</v>
      </c>
      <c r="Y2677" s="153">
        <f>_xll.qlCalendarAdvance(Calendar,X2677,NDays&amp;"D")</f>
        <v>57706</v>
      </c>
      <c r="Z2677" s="154">
        <v>2.6921152355744563E-2</v>
      </c>
      <c r="AA2677" s="156">
        <v>2.6809594509069612E-2</v>
      </c>
    </row>
    <row r="2678" spans="19:27" x14ac:dyDescent="0.2">
      <c r="S2678" s="1"/>
      <c r="T2678" s="117"/>
      <c r="W2678" s="75" t="str">
        <f t="shared" si="52"/>
        <v>1w</v>
      </c>
      <c r="X2678" s="148">
        <f>_xll.qlCalendarAdvance(Calendar,X2677,W2678,"f",FALSE)</f>
        <v>57713</v>
      </c>
      <c r="Y2678" s="153">
        <f>_xll.qlCalendarAdvance(Calendar,X2678,NDays&amp;"D")</f>
        <v>57713</v>
      </c>
      <c r="Z2678" s="154">
        <v>2.6924889337533814E-2</v>
      </c>
      <c r="AA2678" s="156">
        <v>2.6813300741226342E-2</v>
      </c>
    </row>
    <row r="2679" spans="19:27" x14ac:dyDescent="0.2">
      <c r="S2679" s="1"/>
      <c r="T2679" s="117"/>
      <c r="W2679" s="75" t="str">
        <f t="shared" si="52"/>
        <v>1w</v>
      </c>
      <c r="X2679" s="148">
        <f>_xll.qlCalendarAdvance(Calendar,X2678,W2679,"f",FALSE)</f>
        <v>57720</v>
      </c>
      <c r="Y2679" s="153">
        <f>_xll.qlCalendarAdvance(Calendar,X2679,NDays&amp;"D")</f>
        <v>57720</v>
      </c>
      <c r="Z2679" s="154">
        <v>2.6928627332569066E-2</v>
      </c>
      <c r="AA2679" s="156">
        <v>2.6817007976736029E-2</v>
      </c>
    </row>
    <row r="2680" spans="19:27" x14ac:dyDescent="0.2">
      <c r="S2680" s="1"/>
      <c r="T2680" s="117"/>
      <c r="W2680" s="75" t="str">
        <f t="shared" si="52"/>
        <v>1w</v>
      </c>
      <c r="X2680" s="148">
        <f>_xll.qlCalendarAdvance(Calendar,X2679,W2680,"f",FALSE)</f>
        <v>57727</v>
      </c>
      <c r="Y2680" s="153">
        <f>_xll.qlCalendarAdvance(Calendar,X2680,NDays&amp;"D")</f>
        <v>57727</v>
      </c>
      <c r="Z2680" s="154">
        <v>2.693236634085213E-2</v>
      </c>
      <c r="AA2680" s="156">
        <v>2.6820716215517626E-2</v>
      </c>
    </row>
    <row r="2681" spans="19:27" x14ac:dyDescent="0.2">
      <c r="S2681" s="1"/>
      <c r="T2681" s="117"/>
      <c r="W2681" s="75" t="str">
        <f t="shared" si="52"/>
        <v>1w</v>
      </c>
      <c r="X2681" s="148">
        <f>_xll.qlCalendarAdvance(Calendar,X2680,W2681,"f",FALSE)</f>
        <v>57734</v>
      </c>
      <c r="Y2681" s="153">
        <f>_xll.qlCalendarAdvance(Calendar,X2681,NDays&amp;"D")</f>
        <v>57734</v>
      </c>
      <c r="Z2681" s="154">
        <v>2.6936106362384801E-2</v>
      </c>
      <c r="AA2681" s="156">
        <v>2.6824425457490086E-2</v>
      </c>
    </row>
    <row r="2682" spans="19:27" x14ac:dyDescent="0.2">
      <c r="S2682" s="1"/>
      <c r="T2682" s="117"/>
      <c r="W2682" s="75" t="str">
        <f t="shared" si="52"/>
        <v>1w</v>
      </c>
      <c r="X2682" s="148">
        <f>_xll.qlCalendarAdvance(Calendar,X2681,W2682,"f",FALSE)</f>
        <v>57741</v>
      </c>
      <c r="Y2682" s="153">
        <f>_xll.qlCalendarAdvance(Calendar,X2682,NDays&amp;"D")</f>
        <v>57741</v>
      </c>
      <c r="Z2682" s="154">
        <v>2.6938588045727289E-2</v>
      </c>
      <c r="AA2682" s="156">
        <v>2.6828135702734457E-2</v>
      </c>
    </row>
    <row r="2683" spans="19:27" x14ac:dyDescent="0.2">
      <c r="S2683" s="1"/>
      <c r="T2683" s="117"/>
      <c r="W2683" s="75" t="str">
        <f t="shared" si="52"/>
        <v>1w</v>
      </c>
      <c r="X2683" s="148">
        <f>_xll.qlCalendarAdvance(Calendar,X2682,W2683,"f",FALSE)</f>
        <v>57748</v>
      </c>
      <c r="Y2683" s="153">
        <f>_xll.qlCalendarAdvance(Calendar,X2683,NDays&amp;"D")</f>
        <v>57748</v>
      </c>
      <c r="Z2683" s="154">
        <v>2.694232974611507E-2</v>
      </c>
      <c r="AA2683" s="156">
        <v>2.6831846951331784E-2</v>
      </c>
    </row>
    <row r="2684" spans="19:27" x14ac:dyDescent="0.2">
      <c r="S2684" s="1"/>
      <c r="T2684" s="117"/>
      <c r="W2684" s="75" t="str">
        <f t="shared" si="52"/>
        <v>1w</v>
      </c>
      <c r="X2684" s="148">
        <f>_xll.qlCalendarAdvance(Calendar,X2683,W2684,"f",FALSE)</f>
        <v>57755</v>
      </c>
      <c r="Y2684" s="153">
        <f>_xll.qlCalendarAdvance(Calendar,X2684,NDays&amp;"D")</f>
        <v>57755</v>
      </c>
      <c r="Z2684" s="154">
        <v>2.6946072459649657E-2</v>
      </c>
      <c r="AA2684" s="156">
        <v>2.6835559203282067E-2</v>
      </c>
    </row>
    <row r="2685" spans="19:27" x14ac:dyDescent="0.2">
      <c r="S2685" s="1"/>
      <c r="T2685" s="117"/>
      <c r="W2685" s="75" t="str">
        <f t="shared" si="52"/>
        <v>1w</v>
      </c>
      <c r="X2685" s="148">
        <f>_xll.qlCalendarAdvance(Calendar,X2684,W2685,"f",FALSE)</f>
        <v>57762</v>
      </c>
      <c r="Y2685" s="153">
        <f>_xll.qlCalendarAdvance(Calendar,X2685,NDays&amp;"D")</f>
        <v>57762</v>
      </c>
      <c r="Z2685" s="154">
        <v>2.6949816186331962E-2</v>
      </c>
      <c r="AA2685" s="156">
        <v>2.6839272458423213E-2</v>
      </c>
    </row>
    <row r="2686" spans="19:27" x14ac:dyDescent="0.2">
      <c r="S2686" s="1"/>
      <c r="T2686" s="117"/>
      <c r="W2686" s="75" t="str">
        <f t="shared" si="52"/>
        <v>1w</v>
      </c>
      <c r="X2686" s="148">
        <f>_xll.qlCalendarAdvance(Calendar,X2685,W2686,"f",FALSE)</f>
        <v>57769</v>
      </c>
      <c r="Y2686" s="153">
        <f>_xll.qlCalendarAdvance(Calendar,X2686,NDays&amp;"D")</f>
        <v>57769</v>
      </c>
      <c r="Z2686" s="154">
        <v>2.6957343439562693E-2</v>
      </c>
      <c r="AA2686" s="156">
        <v>2.6842986716755224E-2</v>
      </c>
    </row>
    <row r="2687" spans="19:27" x14ac:dyDescent="0.2">
      <c r="S2687" s="1"/>
      <c r="T2687" s="117"/>
      <c r="W2687" s="75" t="str">
        <f t="shared" si="52"/>
        <v>1w</v>
      </c>
      <c r="X2687" s="148">
        <f>_xll.qlCalendarAdvance(Calendar,X2686,W2687,"f",FALSE)</f>
        <v>57776</v>
      </c>
      <c r="Y2687" s="153">
        <f>_xll.qlCalendarAdvance(Calendar,X2687,NDays&amp;"D")</f>
        <v>57776</v>
      </c>
      <c r="Z2687" s="154">
        <v>2.6961090236983627E-2</v>
      </c>
      <c r="AA2687" s="156">
        <v>2.6846701978602283E-2</v>
      </c>
    </row>
    <row r="2688" spans="19:27" x14ac:dyDescent="0.2">
      <c r="S2688" s="1"/>
      <c r="T2688" s="117"/>
      <c r="W2688" s="75" t="str">
        <f t="shared" si="52"/>
        <v>1w</v>
      </c>
      <c r="X2688" s="148">
        <f>_xll.qlCalendarAdvance(Calendar,X2687,W2688,"f",FALSE)</f>
        <v>57783</v>
      </c>
      <c r="Y2688" s="153">
        <f>_xll.qlCalendarAdvance(Calendar,X2688,NDays&amp;"D")</f>
        <v>57783</v>
      </c>
      <c r="Z2688" s="154">
        <v>2.6964838047898874E-2</v>
      </c>
      <c r="AA2688" s="156">
        <v>2.6850418243478114E-2</v>
      </c>
    </row>
    <row r="2689" spans="19:27" x14ac:dyDescent="0.2">
      <c r="S2689" s="1"/>
      <c r="T2689" s="117"/>
      <c r="W2689" s="75" t="str">
        <f t="shared" si="52"/>
        <v>1w</v>
      </c>
      <c r="X2689" s="148">
        <f>_xll.qlCalendarAdvance(Calendar,X2688,W2689,"f",FALSE)</f>
        <v>57790</v>
      </c>
      <c r="Y2689" s="153">
        <f>_xll.qlCalendarAdvance(Calendar,X2689,NDays&amp;"D")</f>
        <v>57790</v>
      </c>
      <c r="Z2689" s="154">
        <v>2.6968586872314598E-2</v>
      </c>
      <c r="AA2689" s="156">
        <v>2.6854135511625854E-2</v>
      </c>
    </row>
    <row r="2690" spans="19:27" x14ac:dyDescent="0.2">
      <c r="S2690" s="1"/>
      <c r="T2690" s="117"/>
      <c r="W2690" s="75" t="str">
        <f t="shared" si="52"/>
        <v>1w</v>
      </c>
      <c r="X2690" s="148">
        <f>_xll.qlCalendarAdvance(Calendar,X2689,W2690,"f",FALSE)</f>
        <v>57797</v>
      </c>
      <c r="Y2690" s="153">
        <f>_xll.qlCalendarAdvance(Calendar,X2690,NDays&amp;"D")</f>
        <v>57797</v>
      </c>
      <c r="Z2690" s="154">
        <v>2.6972336710231685E-2</v>
      </c>
      <c r="AA2690" s="156">
        <v>2.6857853783126551E-2</v>
      </c>
    </row>
    <row r="2691" spans="19:27" x14ac:dyDescent="0.2">
      <c r="S2691" s="1"/>
      <c r="T2691" s="117"/>
      <c r="W2691" s="75" t="str">
        <f t="shared" si="52"/>
        <v>1w</v>
      </c>
      <c r="X2691" s="148">
        <f>_xll.qlCalendarAdvance(Calendar,X2690,W2691,"f",FALSE)</f>
        <v>57804</v>
      </c>
      <c r="Y2691" s="153">
        <f>_xll.qlCalendarAdvance(Calendar,X2691,NDays&amp;"D")</f>
        <v>57804</v>
      </c>
      <c r="Z2691" s="154">
        <v>2.6974824886764524E-2</v>
      </c>
      <c r="AA2691" s="156">
        <v>2.6861573057980204E-2</v>
      </c>
    </row>
    <row r="2692" spans="19:27" x14ac:dyDescent="0.2">
      <c r="S2692" s="1"/>
      <c r="T2692" s="117"/>
      <c r="W2692" s="75" t="str">
        <f t="shared" si="52"/>
        <v>1w</v>
      </c>
      <c r="X2692" s="148">
        <f>_xll.qlCalendarAdvance(Calendar,X2691,W2692,"f",FALSE)</f>
        <v>57811</v>
      </c>
      <c r="Y2692" s="153">
        <f>_xll.qlCalendarAdvance(Calendar,X2692,NDays&amp;"D")</f>
        <v>57811</v>
      </c>
      <c r="Z2692" s="154">
        <v>2.6978576402949074E-2</v>
      </c>
      <c r="AA2692" s="156">
        <v>2.6870311843139039E-2</v>
      </c>
    </row>
    <row r="2693" spans="19:27" x14ac:dyDescent="0.2">
      <c r="S2693" s="1"/>
      <c r="T2693" s="117"/>
      <c r="W2693" s="75" t="str">
        <f t="shared" si="52"/>
        <v>1w</v>
      </c>
      <c r="X2693" s="148">
        <f>_xll.qlCalendarAdvance(Calendar,X2692,W2693,"f",FALSE)</f>
        <v>57818</v>
      </c>
      <c r="Y2693" s="153">
        <f>_xll.qlCalendarAdvance(Calendar,X2693,NDays&amp;"D")</f>
        <v>57818</v>
      </c>
      <c r="Z2693" s="154">
        <v>2.6982328932530979E-2</v>
      </c>
      <c r="AA2693" s="156">
        <v>2.6869014617422193E-2</v>
      </c>
    </row>
    <row r="2694" spans="19:27" x14ac:dyDescent="0.2">
      <c r="S2694" s="1"/>
      <c r="T2694" s="117"/>
      <c r="W2694" s="75" t="str">
        <f t="shared" si="52"/>
        <v>1w</v>
      </c>
      <c r="X2694" s="148">
        <f>_xll.qlCalendarAdvance(Calendar,X2693,W2694,"f",FALSE)</f>
        <v>57825</v>
      </c>
      <c r="Y2694" s="153">
        <f>_xll.qlCalendarAdvance(Calendar,X2694,NDays&amp;"D")</f>
        <v>57825</v>
      </c>
      <c r="Z2694" s="154">
        <v>2.6986082475512017E-2</v>
      </c>
      <c r="AA2694" s="156">
        <v>2.6872736902091576E-2</v>
      </c>
    </row>
    <row r="2695" spans="19:27" x14ac:dyDescent="0.2">
      <c r="S2695" s="1"/>
      <c r="T2695" s="117"/>
      <c r="W2695" s="75" t="str">
        <f t="shared" si="52"/>
        <v>1w</v>
      </c>
      <c r="X2695" s="148">
        <f>_xll.qlCalendarAdvance(Calendar,X2694,W2695,"f",FALSE)</f>
        <v>57832</v>
      </c>
      <c r="Y2695" s="153">
        <f>_xll.qlCalendarAdvance(Calendar,X2695,NDays&amp;"D")</f>
        <v>57832</v>
      </c>
      <c r="Z2695" s="154">
        <v>2.699110110244499E-2</v>
      </c>
      <c r="AA2695" s="156">
        <v>2.6876460189951823E-2</v>
      </c>
    </row>
    <row r="2696" spans="19:27" x14ac:dyDescent="0.2">
      <c r="S2696" s="1"/>
      <c r="T2696" s="117"/>
      <c r="W2696" s="75" t="str">
        <f t="shared" si="52"/>
        <v>1w</v>
      </c>
      <c r="X2696" s="148">
        <f>_xll.qlCalendarAdvance(Calendar,X2695,W2696,"f",FALSE)</f>
        <v>57839</v>
      </c>
      <c r="Y2696" s="153">
        <f>_xll.qlCalendarAdvance(Calendar,X2696,NDays&amp;"D")</f>
        <v>57839</v>
      </c>
      <c r="Z2696" s="154">
        <v>2.6994857021435427E-2</v>
      </c>
      <c r="AA2696" s="156">
        <v>2.6880184481165026E-2</v>
      </c>
    </row>
    <row r="2697" spans="19:27" x14ac:dyDescent="0.2">
      <c r="S2697" s="1"/>
      <c r="T2697" s="117"/>
      <c r="W2697" s="75" t="str">
        <f t="shared" si="52"/>
        <v>1w</v>
      </c>
      <c r="X2697" s="148">
        <f>_xll.qlCalendarAdvance(Calendar,X2696,W2697,"f",FALSE)</f>
        <v>57846</v>
      </c>
      <c r="Y2697" s="153">
        <f>_xll.qlCalendarAdvance(Calendar,X2697,NDays&amp;"D")</f>
        <v>57846</v>
      </c>
      <c r="Z2697" s="154">
        <v>2.699861395394396E-2</v>
      </c>
      <c r="AA2697" s="156">
        <v>2.6883909775488046E-2</v>
      </c>
    </row>
    <row r="2698" spans="19:27" x14ac:dyDescent="0.2">
      <c r="S2698" s="1"/>
      <c r="T2698" s="117"/>
      <c r="W2698" s="75" t="str">
        <f t="shared" si="52"/>
        <v>1w</v>
      </c>
      <c r="X2698" s="148">
        <f>_xll.qlCalendarAdvance(Calendar,X2697,W2698,"f",FALSE)</f>
        <v>57853</v>
      </c>
      <c r="Y2698" s="153">
        <f>_xll.qlCalendarAdvance(Calendar,X2698,NDays&amp;"D")</f>
        <v>57853</v>
      </c>
      <c r="Z2698" s="154">
        <v>2.7002371899978519E-2</v>
      </c>
      <c r="AA2698" s="156">
        <v>2.6887636073245069E-2</v>
      </c>
    </row>
    <row r="2699" spans="19:27" x14ac:dyDescent="0.2">
      <c r="S2699" s="1"/>
      <c r="T2699" s="117"/>
      <c r="W2699" s="75" t="str">
        <f t="shared" si="52"/>
        <v>1w</v>
      </c>
      <c r="X2699" s="148">
        <f>_xll.qlCalendarAdvance(Calendar,X2698,W2699,"f",FALSE)</f>
        <v>57860</v>
      </c>
      <c r="Y2699" s="153">
        <f>_xll.qlCalendarAdvance(Calendar,X2699,NDays&amp;"D")</f>
        <v>57860</v>
      </c>
      <c r="Z2699" s="154">
        <v>2.700613085954175E-2</v>
      </c>
      <c r="AA2699" s="156">
        <v>2.6891363374274002E-2</v>
      </c>
    </row>
    <row r="2700" spans="19:27" x14ac:dyDescent="0.2">
      <c r="S2700" s="1"/>
      <c r="T2700" s="117"/>
      <c r="W2700" s="75" t="str">
        <f t="shared" si="52"/>
        <v>1w</v>
      </c>
      <c r="X2700" s="148">
        <f>_xll.qlCalendarAdvance(Calendar,X2699,W2700,"f",FALSE)</f>
        <v>57867</v>
      </c>
      <c r="Y2700" s="153">
        <f>_xll.qlCalendarAdvance(Calendar,X2700,NDays&amp;"D")</f>
        <v>57867</v>
      </c>
      <c r="Z2700" s="154">
        <v>2.7009890832633648E-2</v>
      </c>
      <c r="AA2700" s="156">
        <v>2.6895091678493799E-2</v>
      </c>
    </row>
    <row r="2701" spans="19:27" x14ac:dyDescent="0.2">
      <c r="S2701" s="1"/>
      <c r="T2701" s="117"/>
      <c r="W2701" s="75" t="str">
        <f t="shared" si="52"/>
        <v>1w</v>
      </c>
      <c r="X2701" s="148">
        <f>_xll.qlCalendarAdvance(Calendar,X2700,W2701,"f",FALSE)</f>
        <v>57874</v>
      </c>
      <c r="Y2701" s="153">
        <f>_xll.qlCalendarAdvance(Calendar,X2701,NDays&amp;"D")</f>
        <v>57874</v>
      </c>
      <c r="Z2701" s="154">
        <v>2.7013651819259504E-2</v>
      </c>
      <c r="AA2701" s="156">
        <v>2.6898820985985505E-2</v>
      </c>
    </row>
    <row r="2702" spans="19:27" x14ac:dyDescent="0.2">
      <c r="S2702" s="1"/>
      <c r="T2702" s="117"/>
      <c r="W2702" s="75" t="str">
        <f t="shared" si="52"/>
        <v>1w</v>
      </c>
      <c r="X2702" s="148">
        <f>_xll.qlCalendarAdvance(Calendar,X2701,W2702,"f",FALSE)</f>
        <v>57881</v>
      </c>
      <c r="Y2702" s="153">
        <f>_xll.qlCalendarAdvance(Calendar,X2702,NDays&amp;"D")</f>
        <v>57881</v>
      </c>
      <c r="Z2702" s="154">
        <v>2.7017413819421954E-2</v>
      </c>
      <c r="AA2702" s="156">
        <v>2.6902551296911215E-2</v>
      </c>
    </row>
    <row r="2703" spans="19:27" x14ac:dyDescent="0.2">
      <c r="S2703" s="1"/>
      <c r="T2703" s="117"/>
      <c r="W2703" s="75" t="str">
        <f t="shared" si="52"/>
        <v>1w</v>
      </c>
      <c r="X2703" s="148">
        <f>_xll.qlCalendarAdvance(Calendar,X2702,W2703,"f",FALSE)</f>
        <v>57888</v>
      </c>
      <c r="Y2703" s="153">
        <f>_xll.qlCalendarAdvance(Calendar,X2703,NDays&amp;"D")</f>
        <v>57888</v>
      </c>
      <c r="Z2703" s="154">
        <v>2.7021176833123644E-2</v>
      </c>
      <c r="AA2703" s="156">
        <v>2.6906282611027788E-2</v>
      </c>
    </row>
    <row r="2704" spans="19:27" x14ac:dyDescent="0.2">
      <c r="S2704" s="1"/>
      <c r="T2704" s="117"/>
      <c r="W2704" s="75" t="str">
        <f t="shared" si="52"/>
        <v>1w</v>
      </c>
      <c r="X2704" s="148">
        <f>_xll.qlCalendarAdvance(Calendar,X2703,W2704,"f",FALSE)</f>
        <v>57895</v>
      </c>
      <c r="Y2704" s="153">
        <f>_xll.qlCalendarAdvance(Calendar,X2704,NDays&amp;"D")</f>
        <v>57895</v>
      </c>
      <c r="Z2704" s="154">
        <v>2.7024940860366338E-2</v>
      </c>
      <c r="AA2704" s="156">
        <v>2.6910014928335224E-2</v>
      </c>
    </row>
    <row r="2705" spans="19:27" x14ac:dyDescent="0.2">
      <c r="S2705" s="1"/>
      <c r="T2705" s="117"/>
      <c r="W2705" s="75" t="str">
        <f t="shared" si="52"/>
        <v>1w</v>
      </c>
      <c r="X2705" s="148">
        <f>_xll.qlCalendarAdvance(Calendar,X2704,W2705,"f",FALSE)</f>
        <v>57902</v>
      </c>
      <c r="Y2705" s="153">
        <f>_xll.qlCalendarAdvance(Calendar,X2705,NDays&amp;"D")</f>
        <v>57902</v>
      </c>
      <c r="Z2705" s="154">
        <v>2.7028705901153558E-2</v>
      </c>
      <c r="AA2705" s="156">
        <v>2.6913748249076663E-2</v>
      </c>
    </row>
    <row r="2706" spans="19:27" x14ac:dyDescent="0.2">
      <c r="S2706" s="1"/>
      <c r="T2706" s="117"/>
      <c r="W2706" s="75" t="str">
        <f t="shared" si="52"/>
        <v>1w</v>
      </c>
      <c r="X2706" s="148">
        <f>_xll.qlCalendarAdvance(Calendar,X2705,W2706,"f",FALSE)</f>
        <v>57909</v>
      </c>
      <c r="Y2706" s="153">
        <f>_xll.qlCalendarAdvance(Calendar,X2706,NDays&amp;"D")</f>
        <v>57909</v>
      </c>
      <c r="Z2706" s="154">
        <v>2.7032471955488829E-2</v>
      </c>
      <c r="AA2706" s="156">
        <v>2.6917482572846874E-2</v>
      </c>
    </row>
    <row r="2707" spans="19:27" x14ac:dyDescent="0.2">
      <c r="S2707" s="1"/>
      <c r="T2707" s="117"/>
      <c r="W2707" s="75" t="str">
        <f t="shared" si="52"/>
        <v>1w</v>
      </c>
      <c r="X2707" s="148">
        <f>_xll.qlCalendarAdvance(Calendar,X2706,W2707,"f",FALSE)</f>
        <v>57916</v>
      </c>
      <c r="Y2707" s="153">
        <f>_xll.qlCalendarAdvance(Calendar,X2707,NDays&amp;"D")</f>
        <v>57916</v>
      </c>
      <c r="Z2707" s="154">
        <v>2.7036239023373911E-2</v>
      </c>
      <c r="AA2707" s="156">
        <v>2.6921217900051087E-2</v>
      </c>
    </row>
    <row r="2708" spans="19:27" x14ac:dyDescent="0.2">
      <c r="S2708" s="1"/>
      <c r="T2708" s="117"/>
      <c r="W2708" s="75" t="str">
        <f t="shared" si="52"/>
        <v>1w</v>
      </c>
      <c r="X2708" s="148">
        <f>_xll.qlCalendarAdvance(Calendar,X2707,W2708,"f",FALSE)</f>
        <v>57923</v>
      </c>
      <c r="Y2708" s="153">
        <f>_xll.qlCalendarAdvance(Calendar,X2708,NDays&amp;"D")</f>
        <v>57923</v>
      </c>
      <c r="Z2708" s="154">
        <v>2.7040007104814089E-2</v>
      </c>
      <c r="AA2708" s="156">
        <v>2.6924954230527209E-2</v>
      </c>
    </row>
    <row r="2709" spans="19:27" x14ac:dyDescent="0.2">
      <c r="S2709" s="1"/>
      <c r="T2709" s="117"/>
      <c r="W2709" s="75" t="str">
        <f t="shared" ref="W2709:W2772" si="53">W2708</f>
        <v>1w</v>
      </c>
      <c r="X2709" s="148">
        <f>_xll.qlCalendarAdvance(Calendar,X2708,W2709,"f",FALSE)</f>
        <v>57930</v>
      </c>
      <c r="Y2709" s="153">
        <f>_xll.qlCalendarAdvance(Calendar,X2709,NDays&amp;"D")</f>
        <v>57930</v>
      </c>
      <c r="Z2709" s="154">
        <v>2.7043776199807603E-2</v>
      </c>
      <c r="AA2709" s="156">
        <v>2.6928691564356289E-2</v>
      </c>
    </row>
    <row r="2710" spans="19:27" x14ac:dyDescent="0.2">
      <c r="S2710" s="1"/>
      <c r="T2710" s="117"/>
      <c r="W2710" s="75" t="str">
        <f t="shared" si="53"/>
        <v>1w</v>
      </c>
      <c r="X2710" s="148">
        <f>_xll.qlCalendarAdvance(Calendar,X2709,W2710,"f",FALSE)</f>
        <v>57937</v>
      </c>
      <c r="Y2710" s="153">
        <f>_xll.qlCalendarAdvance(Calendar,X2710,NDays&amp;"D")</f>
        <v>57937</v>
      </c>
      <c r="Z2710" s="154">
        <v>2.7047546308363261E-2</v>
      </c>
      <c r="AA2710" s="156">
        <v>2.6932429901376231E-2</v>
      </c>
    </row>
    <row r="2711" spans="19:27" x14ac:dyDescent="0.2">
      <c r="S2711" s="1"/>
      <c r="T2711" s="117"/>
      <c r="W2711" s="75" t="str">
        <f t="shared" si="53"/>
        <v>1w</v>
      </c>
      <c r="X2711" s="148">
        <f>_xll.qlCalendarAdvance(Calendar,X2710,W2711,"f",FALSE)</f>
        <v>57944</v>
      </c>
      <c r="Y2711" s="153">
        <f>_xll.qlCalendarAdvance(Calendar,X2711,NDays&amp;"D")</f>
        <v>57944</v>
      </c>
      <c r="Z2711" s="154">
        <v>2.7051317430479303E-2</v>
      </c>
      <c r="AA2711" s="156">
        <v>2.6936169241749131E-2</v>
      </c>
    </row>
    <row r="2712" spans="19:27" x14ac:dyDescent="0.2">
      <c r="S2712" s="1"/>
      <c r="T2712" s="117"/>
      <c r="W2712" s="75" t="str">
        <f t="shared" si="53"/>
        <v>1w</v>
      </c>
      <c r="X2712" s="148">
        <f>_xll.qlCalendarAdvance(Calendar,X2711,W2712,"f",FALSE)</f>
        <v>57951</v>
      </c>
      <c r="Y2712" s="153">
        <f>_xll.qlCalendarAdvance(Calendar,X2712,NDays&amp;"D")</f>
        <v>57951</v>
      </c>
      <c r="Z2712" s="154">
        <v>2.7055089566160134E-2</v>
      </c>
      <c r="AA2712" s="156">
        <v>2.6939909585312893E-2</v>
      </c>
    </row>
    <row r="2713" spans="19:27" x14ac:dyDescent="0.2">
      <c r="S2713" s="1"/>
      <c r="T2713" s="117"/>
      <c r="W2713" s="75" t="str">
        <f t="shared" si="53"/>
        <v>1w</v>
      </c>
      <c r="X2713" s="148">
        <f>_xll.qlCalendarAdvance(Calendar,X2712,W2713,"f",FALSE)</f>
        <v>57958</v>
      </c>
      <c r="Y2713" s="153">
        <f>_xll.qlCalendarAdvance(Calendar,X2713,NDays&amp;"D")</f>
        <v>57958</v>
      </c>
      <c r="Z2713" s="154">
        <v>2.7057592341927891E-2</v>
      </c>
      <c r="AA2713" s="156">
        <v>2.6943650932148566E-2</v>
      </c>
    </row>
    <row r="2714" spans="19:27" x14ac:dyDescent="0.2">
      <c r="S2714" s="1"/>
      <c r="T2714" s="117"/>
      <c r="W2714" s="75" t="str">
        <f t="shared" si="53"/>
        <v>1w</v>
      </c>
      <c r="X2714" s="148">
        <f>_xll.qlCalendarAdvance(Calendar,X2713,W2714,"f",FALSE)</f>
        <v>57965</v>
      </c>
      <c r="Y2714" s="153">
        <f>_xll.qlCalendarAdvance(Calendar,X2714,NDays&amp;"D")</f>
        <v>57965</v>
      </c>
      <c r="Z2714" s="154">
        <v>2.7061366153503432E-2</v>
      </c>
      <c r="AA2714" s="156">
        <v>2.6947393282175103E-2</v>
      </c>
    </row>
    <row r="2715" spans="19:27" x14ac:dyDescent="0.2">
      <c r="S2715" s="1"/>
      <c r="T2715" s="117"/>
      <c r="W2715" s="75" t="str">
        <f t="shared" si="53"/>
        <v>1w</v>
      </c>
      <c r="X2715" s="148">
        <f>_xll.qlCalendarAdvance(Calendar,X2714,W2715,"f",FALSE)</f>
        <v>57972</v>
      </c>
      <c r="Y2715" s="153">
        <f>_xll.qlCalendarAdvance(Calendar,X2715,NDays&amp;"D")</f>
        <v>57972</v>
      </c>
      <c r="Z2715" s="154">
        <v>2.7065140978536892E-2</v>
      </c>
      <c r="AA2715" s="156">
        <v>2.6951136635473549E-2</v>
      </c>
    </row>
    <row r="2716" spans="19:27" x14ac:dyDescent="0.2">
      <c r="S2716" s="1"/>
      <c r="T2716" s="117"/>
      <c r="W2716" s="75" t="str">
        <f t="shared" si="53"/>
        <v>1w</v>
      </c>
      <c r="X2716" s="148">
        <f>_xll.qlCalendarAdvance(Calendar,X2715,W2716,"f",FALSE)</f>
        <v>57979</v>
      </c>
      <c r="Y2716" s="153">
        <f>_xll.qlCalendarAdvance(Calendar,X2716,NDays&amp;"D")</f>
        <v>57979</v>
      </c>
      <c r="Z2716" s="154">
        <v>2.707018824458771E-2</v>
      </c>
      <c r="AA2716" s="156">
        <v>2.6954880992368091E-2</v>
      </c>
    </row>
    <row r="2717" spans="19:27" x14ac:dyDescent="0.2">
      <c r="S2717" s="1"/>
      <c r="T2717" s="117"/>
      <c r="W2717" s="75" t="str">
        <f t="shared" si="53"/>
        <v>1w</v>
      </c>
      <c r="X2717" s="148">
        <f>_xll.qlCalendarAdvance(Calendar,X2716,W2717,"f",FALSE)</f>
        <v>57986</v>
      </c>
      <c r="Y2717" s="153">
        <f>_xll.qlCalendarAdvance(Calendar,X2717,NDays&amp;"D")</f>
        <v>57986</v>
      </c>
      <c r="Z2717" s="154">
        <v>2.7073965448133883E-2</v>
      </c>
      <c r="AA2717" s="156">
        <v>2.6958626352210358E-2</v>
      </c>
    </row>
    <row r="2718" spans="19:27" x14ac:dyDescent="0.2">
      <c r="S2718" s="1"/>
      <c r="T2718" s="117"/>
      <c r="W2718" s="75" t="str">
        <f t="shared" si="53"/>
        <v>1w</v>
      </c>
      <c r="X2718" s="148">
        <f>_xll.qlCalendarAdvance(Calendar,X2717,W2718,"f",FALSE)</f>
        <v>57993</v>
      </c>
      <c r="Y2718" s="153">
        <f>_xll.qlCalendarAdvance(Calendar,X2718,NDays&amp;"D")</f>
        <v>57993</v>
      </c>
      <c r="Z2718" s="154">
        <v>2.7077743665263342E-2</v>
      </c>
      <c r="AA2718" s="156">
        <v>2.6962372715324534E-2</v>
      </c>
    </row>
    <row r="2719" spans="19:27" x14ac:dyDescent="0.2">
      <c r="S2719" s="1"/>
      <c r="T2719" s="117"/>
      <c r="W2719" s="75" t="str">
        <f t="shared" si="53"/>
        <v>1w</v>
      </c>
      <c r="X2719" s="148">
        <f>_xll.qlCalendarAdvance(Calendar,X2718,W2719,"f",FALSE)</f>
        <v>58000</v>
      </c>
      <c r="Y2719" s="153">
        <f>_xll.qlCalendarAdvance(Calendar,X2719,NDays&amp;"D")</f>
        <v>58000</v>
      </c>
      <c r="Z2719" s="154">
        <v>2.708152289597697E-2</v>
      </c>
      <c r="AA2719" s="156">
        <v>2.6966120081953759E-2</v>
      </c>
    </row>
    <row r="2720" spans="19:27" x14ac:dyDescent="0.2">
      <c r="S2720" s="1"/>
      <c r="T2720" s="117"/>
      <c r="W2720" s="75" t="str">
        <f t="shared" si="53"/>
        <v>1w</v>
      </c>
      <c r="X2720" s="148">
        <f>_xll.qlCalendarAdvance(Calendar,X2719,W2720,"f",FALSE)</f>
        <v>58007</v>
      </c>
      <c r="Y2720" s="153">
        <f>_xll.qlCalendarAdvance(Calendar,X2720,NDays&amp;"D")</f>
        <v>58007</v>
      </c>
      <c r="Z2720" s="154">
        <v>2.7085303140278291E-2</v>
      </c>
      <c r="AA2720" s="156">
        <v>2.6969868451692802E-2</v>
      </c>
    </row>
    <row r="2721" spans="19:27" x14ac:dyDescent="0.2">
      <c r="S2721" s="1"/>
      <c r="T2721" s="117"/>
      <c r="W2721" s="75" t="str">
        <f t="shared" si="53"/>
        <v>1w</v>
      </c>
      <c r="X2721" s="148">
        <f>_xll.qlCalendarAdvance(Calendar,X2720,W2721,"f",FALSE)</f>
        <v>58014</v>
      </c>
      <c r="Y2721" s="153">
        <f>_xll.qlCalendarAdvance(Calendar,X2721,NDays&amp;"D")</f>
        <v>58014</v>
      </c>
      <c r="Z2721" s="154">
        <v>2.7089084398171707E-2</v>
      </c>
      <c r="AA2721" s="156">
        <v>2.6973617824865848E-2</v>
      </c>
    </row>
    <row r="2722" spans="19:27" x14ac:dyDescent="0.2">
      <c r="S2722" s="1"/>
      <c r="T2722" s="117"/>
      <c r="W2722" s="75" t="str">
        <f t="shared" si="53"/>
        <v>1w</v>
      </c>
      <c r="X2722" s="148">
        <f>_xll.qlCalendarAdvance(Calendar,X2721,W2722,"f",FALSE)</f>
        <v>58021</v>
      </c>
      <c r="Y2722" s="153">
        <f>_xll.qlCalendarAdvance(Calendar,X2722,NDays&amp;"D")</f>
        <v>58021</v>
      </c>
      <c r="Z2722" s="154">
        <v>2.7092866669657219E-2</v>
      </c>
      <c r="AA2722" s="156">
        <v>2.6977368201067664E-2</v>
      </c>
    </row>
    <row r="2723" spans="19:27" x14ac:dyDescent="0.2">
      <c r="S2723" s="1"/>
      <c r="T2723" s="117"/>
      <c r="W2723" s="75" t="str">
        <f t="shared" si="53"/>
        <v>1w</v>
      </c>
      <c r="X2723" s="148">
        <f>_xll.qlCalendarAdvance(Calendar,X2722,W2723,"f",FALSE)</f>
        <v>58028</v>
      </c>
      <c r="Y2723" s="153">
        <f>_xll.qlCalendarAdvance(Calendar,X2723,NDays&amp;"D")</f>
        <v>58028</v>
      </c>
      <c r="Z2723" s="154">
        <v>2.7096649954738355E-2</v>
      </c>
      <c r="AA2723" s="156">
        <v>2.6981119580703483E-2</v>
      </c>
    </row>
    <row r="2724" spans="19:27" x14ac:dyDescent="0.2">
      <c r="S2724" s="1"/>
      <c r="T2724" s="117"/>
      <c r="W2724" s="75" t="str">
        <f t="shared" si="53"/>
        <v>1w</v>
      </c>
      <c r="X2724" s="148">
        <f>_xll.qlCalendarAdvance(Calendar,X2723,W2724,"f",FALSE)</f>
        <v>58035</v>
      </c>
      <c r="Y2724" s="153">
        <f>_xll.qlCalendarAdvance(Calendar,X2724,NDays&amp;"D")</f>
        <v>58035</v>
      </c>
      <c r="Z2724" s="154">
        <v>2.7100434253419511E-2</v>
      </c>
      <c r="AA2724" s="156">
        <v>2.6984871963611212E-2</v>
      </c>
    </row>
    <row r="2725" spans="19:27" x14ac:dyDescent="0.2">
      <c r="S2725" s="1"/>
      <c r="T2725" s="117"/>
      <c r="W2725" s="75" t="str">
        <f t="shared" si="53"/>
        <v>1w</v>
      </c>
      <c r="X2725" s="148">
        <f>_xll.qlCalendarAdvance(Calendar,X2724,W2725,"f",FALSE)</f>
        <v>58042</v>
      </c>
      <c r="Y2725" s="153">
        <f>_xll.qlCalendarAdvance(Calendar,X2725,NDays&amp;"D")</f>
        <v>58042</v>
      </c>
      <c r="Z2725" s="154">
        <v>2.7104219565704218E-2</v>
      </c>
      <c r="AA2725" s="156">
        <v>2.6988625349871898E-2</v>
      </c>
    </row>
    <row r="2726" spans="19:27" x14ac:dyDescent="0.2">
      <c r="S2726" s="1"/>
      <c r="T2726" s="117"/>
      <c r="W2726" s="75" t="str">
        <f t="shared" si="53"/>
        <v>1w</v>
      </c>
      <c r="X2726" s="148">
        <f>_xll.qlCalendarAdvance(Calendar,X2725,W2726,"f",FALSE)</f>
        <v>58049</v>
      </c>
      <c r="Y2726" s="153">
        <f>_xll.qlCalendarAdvance(Calendar,X2726,NDays&amp;"D")</f>
        <v>58049</v>
      </c>
      <c r="Z2726" s="154">
        <v>2.7105456091073562E-2</v>
      </c>
      <c r="AA2726" s="156">
        <v>2.69923797392424E-2</v>
      </c>
    </row>
    <row r="2727" spans="19:27" x14ac:dyDescent="0.2">
      <c r="S2727" s="1"/>
      <c r="T2727" s="117"/>
      <c r="W2727" s="75" t="str">
        <f t="shared" si="53"/>
        <v>1w</v>
      </c>
      <c r="X2727" s="148">
        <f>_xll.qlCalendarAdvance(Calendar,X2726,W2727,"f",FALSE)</f>
        <v>58056</v>
      </c>
      <c r="Y2727" s="153">
        <f>_xll.qlCalendarAdvance(Calendar,X2727,NDays&amp;"D")</f>
        <v>58056</v>
      </c>
      <c r="Z2727" s="154">
        <v>2.7109242725155334E-2</v>
      </c>
      <c r="AA2727" s="156">
        <v>2.6996135131965859E-2</v>
      </c>
    </row>
    <row r="2728" spans="19:27" x14ac:dyDescent="0.2">
      <c r="S2728" s="1"/>
      <c r="T2728" s="117"/>
      <c r="W2728" s="75" t="str">
        <f t="shared" si="53"/>
        <v>1w</v>
      </c>
      <c r="X2728" s="148">
        <f>_xll.qlCalendarAdvance(Calendar,X2727,W2728,"f",FALSE)</f>
        <v>58063</v>
      </c>
      <c r="Y2728" s="153">
        <f>_xll.qlCalendarAdvance(Calendar,X2728,NDays&amp;"D")</f>
        <v>58063</v>
      </c>
      <c r="Z2728" s="154">
        <v>2.7113030372620892E-2</v>
      </c>
      <c r="AA2728" s="156">
        <v>2.6999891527961228E-2</v>
      </c>
    </row>
    <row r="2729" spans="19:27" x14ac:dyDescent="0.2">
      <c r="S2729" s="1"/>
      <c r="T2729" s="117"/>
      <c r="W2729" s="75" t="str">
        <f t="shared" si="53"/>
        <v>1w</v>
      </c>
      <c r="X2729" s="148">
        <f>_xll.qlCalendarAdvance(Calendar,X2728,W2729,"f",FALSE)</f>
        <v>58071</v>
      </c>
      <c r="Y2729" s="153">
        <f>_xll.qlCalendarAdvance(Calendar,X2729,NDays&amp;"D")</f>
        <v>58071</v>
      </c>
      <c r="Z2729" s="154">
        <v>2.7117360353459269E-2</v>
      </c>
      <c r="AA2729" s="156">
        <v>2.7006720669287002E-2</v>
      </c>
    </row>
    <row r="2730" spans="19:27" x14ac:dyDescent="0.2">
      <c r="S2730" s="1"/>
      <c r="T2730" s="117"/>
      <c r="W2730" s="75" t="str">
        <f t="shared" si="53"/>
        <v>1w</v>
      </c>
      <c r="X2730" s="148">
        <f>_xll.qlCalendarAdvance(Calendar,X2729,W2730,"f",FALSE)</f>
        <v>58078</v>
      </c>
      <c r="Y2730" s="153">
        <f>_xll.qlCalendarAdvance(Calendar,X2730,NDays&amp;"D")</f>
        <v>58078</v>
      </c>
      <c r="Z2730" s="154">
        <v>2.7121150172466267E-2</v>
      </c>
      <c r="AA2730" s="156">
        <v>2.7010479914707512E-2</v>
      </c>
    </row>
    <row r="2731" spans="19:27" x14ac:dyDescent="0.2">
      <c r="S2731" s="1"/>
      <c r="T2731" s="117"/>
      <c r="W2731" s="75" t="str">
        <f t="shared" si="53"/>
        <v>1w</v>
      </c>
      <c r="X2731" s="148">
        <f>_xll.qlCalendarAdvance(Calendar,X2730,W2731,"f",FALSE)</f>
        <v>58085</v>
      </c>
      <c r="Y2731" s="153">
        <f>_xll.qlCalendarAdvance(Calendar,X2731,NDays&amp;"D")</f>
        <v>58085</v>
      </c>
      <c r="Z2731" s="154">
        <v>2.7124941004864254E-2</v>
      </c>
      <c r="AA2731" s="156">
        <v>2.7014240163616053E-2</v>
      </c>
    </row>
    <row r="2732" spans="19:27" x14ac:dyDescent="0.2">
      <c r="S2732" s="1"/>
      <c r="T2732" s="117"/>
      <c r="W2732" s="75" t="str">
        <f t="shared" si="53"/>
        <v>1w</v>
      </c>
      <c r="X2732" s="148">
        <f>_xll.qlCalendarAdvance(Calendar,X2731,W2732,"f",FALSE)</f>
        <v>58092</v>
      </c>
      <c r="Y2732" s="153">
        <f>_xll.qlCalendarAdvance(Calendar,X2732,NDays&amp;"D")</f>
        <v>58092</v>
      </c>
      <c r="Z2732" s="154">
        <v>2.712873285065593E-2</v>
      </c>
      <c r="AA2732" s="156">
        <v>2.7018001416093677E-2</v>
      </c>
    </row>
    <row r="2733" spans="19:27" x14ac:dyDescent="0.2">
      <c r="S2733" s="1"/>
      <c r="T2733" s="117"/>
      <c r="W2733" s="75" t="str">
        <f t="shared" si="53"/>
        <v>1w</v>
      </c>
      <c r="X2733" s="148">
        <f>_xll.qlCalendarAdvance(Calendar,X2732,W2733,"f",FALSE)</f>
        <v>58099</v>
      </c>
      <c r="Y2733" s="153">
        <f>_xll.qlCalendarAdvance(Calendar,X2733,NDays&amp;"D")</f>
        <v>58099</v>
      </c>
      <c r="Z2733" s="154">
        <v>2.7132525709845801E-2</v>
      </c>
      <c r="AA2733" s="156">
        <v>2.7021763672032316E-2</v>
      </c>
    </row>
    <row r="2734" spans="19:27" x14ac:dyDescent="0.2">
      <c r="S2734" s="1"/>
      <c r="T2734" s="117"/>
      <c r="W2734" s="75" t="str">
        <f t="shared" si="53"/>
        <v>1w</v>
      </c>
      <c r="X2734" s="148">
        <f>_xll.qlCalendarAdvance(Calendar,X2733,W2734,"f",FALSE)</f>
        <v>58106</v>
      </c>
      <c r="Y2734" s="153">
        <f>_xll.qlCalendarAdvance(Calendar,X2734,NDays&amp;"D")</f>
        <v>58106</v>
      </c>
      <c r="Z2734" s="154">
        <v>2.7135041952048692E-2</v>
      </c>
      <c r="AA2734" s="156">
        <v>2.7025526931458991E-2</v>
      </c>
    </row>
    <row r="2735" spans="19:27" x14ac:dyDescent="0.2">
      <c r="S2735" s="1"/>
      <c r="T2735" s="117"/>
      <c r="W2735" s="75" t="str">
        <f t="shared" si="53"/>
        <v>1w</v>
      </c>
      <c r="X2735" s="148">
        <f>_xll.qlCalendarAdvance(Calendar,X2734,W2735,"f",FALSE)</f>
        <v>58113</v>
      </c>
      <c r="Y2735" s="153">
        <f>_xll.qlCalendarAdvance(Calendar,X2735,NDays&amp;"D")</f>
        <v>58113</v>
      </c>
      <c r="Z2735" s="154">
        <v>2.713883648445618E-2</v>
      </c>
      <c r="AA2735" s="156">
        <v>2.7029291194427728E-2</v>
      </c>
    </row>
    <row r="2736" spans="19:27" x14ac:dyDescent="0.2">
      <c r="S2736" s="1"/>
      <c r="T2736" s="117"/>
      <c r="W2736" s="75" t="str">
        <f t="shared" si="53"/>
        <v>1w</v>
      </c>
      <c r="X2736" s="148">
        <f>_xll.qlCalendarAdvance(Calendar,X2735,W2736,"f",FALSE)</f>
        <v>58120</v>
      </c>
      <c r="Y2736" s="153">
        <f>_xll.qlCalendarAdvance(Calendar,X2736,NDays&amp;"D")</f>
        <v>58120</v>
      </c>
      <c r="Z2736" s="154">
        <v>2.7142632030155267E-2</v>
      </c>
      <c r="AA2736" s="156">
        <v>2.7033056460857484E-2</v>
      </c>
    </row>
    <row r="2737" spans="19:27" x14ac:dyDescent="0.2">
      <c r="S2737" s="1"/>
      <c r="T2737" s="117"/>
      <c r="W2737" s="75" t="str">
        <f t="shared" si="53"/>
        <v>1w</v>
      </c>
      <c r="X2737" s="148">
        <f>_xll.qlCalendarAdvance(Calendar,X2736,W2737,"f",FALSE)</f>
        <v>58127</v>
      </c>
      <c r="Y2737" s="153">
        <f>_xll.qlCalendarAdvance(Calendar,X2737,NDays&amp;"D")</f>
        <v>58127</v>
      </c>
      <c r="Z2737" s="154">
        <v>2.714642858914686E-2</v>
      </c>
      <c r="AA2737" s="156">
        <v>2.7036822730802289E-2</v>
      </c>
    </row>
    <row r="2738" spans="19:27" x14ac:dyDescent="0.2">
      <c r="S2738" s="1"/>
      <c r="T2738" s="117"/>
      <c r="W2738" s="75" t="str">
        <f t="shared" si="53"/>
        <v>1w</v>
      </c>
      <c r="X2738" s="148">
        <f>_xll.qlCalendarAdvance(Calendar,X2737,W2738,"f",FALSE)</f>
        <v>58134</v>
      </c>
      <c r="Y2738" s="153">
        <f>_xll.qlCalendarAdvance(Calendar,X2738,NDays&amp;"D")</f>
        <v>58134</v>
      </c>
      <c r="Z2738" s="154">
        <v>2.7152784349207395E-2</v>
      </c>
      <c r="AA2738" s="156">
        <v>2.7040590004262142E-2</v>
      </c>
    </row>
    <row r="2739" spans="19:27" x14ac:dyDescent="0.2">
      <c r="S2739" s="1"/>
      <c r="T2739" s="117"/>
      <c r="W2739" s="75" t="str">
        <f t="shared" si="53"/>
        <v>1w</v>
      </c>
      <c r="X2739" s="148">
        <f>_xll.qlCalendarAdvance(Calendar,X2738,W2739,"f",FALSE)</f>
        <v>58141</v>
      </c>
      <c r="Y2739" s="153">
        <f>_xll.qlCalendarAdvance(Calendar,X2739,NDays&amp;"D")</f>
        <v>58141</v>
      </c>
      <c r="Z2739" s="154">
        <v>2.7160422714418028E-2</v>
      </c>
      <c r="AA2739" s="156">
        <v>2.7044358281210028E-2</v>
      </c>
    </row>
    <row r="2740" spans="19:27" x14ac:dyDescent="0.2">
      <c r="S2740" s="1"/>
      <c r="T2740" s="117"/>
      <c r="W2740" s="75" t="str">
        <f t="shared" si="53"/>
        <v>1w</v>
      </c>
      <c r="X2740" s="148">
        <f>_xll.qlCalendarAdvance(Calendar,X2739,W2740,"f",FALSE)</f>
        <v>58148</v>
      </c>
      <c r="Y2740" s="153">
        <f>_xll.qlCalendarAdvance(Calendar,X2740,NDays&amp;"D")</f>
        <v>58148</v>
      </c>
      <c r="Z2740" s="154">
        <v>2.7164224084456033E-2</v>
      </c>
      <c r="AA2740" s="156">
        <v>2.7048127561672967E-2</v>
      </c>
    </row>
    <row r="2741" spans="19:27" x14ac:dyDescent="0.2">
      <c r="S2741" s="1"/>
      <c r="T2741" s="117"/>
      <c r="W2741" s="75" t="str">
        <f t="shared" si="53"/>
        <v>1w</v>
      </c>
      <c r="X2741" s="148">
        <f>_xll.qlCalendarAdvance(Calendar,X2740,W2741,"f",FALSE)</f>
        <v>58155</v>
      </c>
      <c r="Y2741" s="153">
        <f>_xll.qlCalendarAdvance(Calendar,X2741,NDays&amp;"D")</f>
        <v>58155</v>
      </c>
      <c r="Z2741" s="154">
        <v>2.7168026468370077E-2</v>
      </c>
      <c r="AA2741" s="156">
        <v>2.7051897845623934E-2</v>
      </c>
    </row>
    <row r="2742" spans="19:27" x14ac:dyDescent="0.2">
      <c r="S2742" s="1"/>
      <c r="T2742" s="117"/>
      <c r="W2742" s="75" t="str">
        <f t="shared" si="53"/>
        <v>1w</v>
      </c>
      <c r="X2742" s="148">
        <f>_xll.qlCalendarAdvance(Calendar,X2741,W2742,"f",FALSE)</f>
        <v>58166</v>
      </c>
      <c r="Y2742" s="153">
        <f>_xll.qlCalendarAdvance(Calendar,X2742,NDays&amp;"D")</f>
        <v>58166</v>
      </c>
      <c r="Z2742" s="154">
        <v>2.7170160822745305E-2</v>
      </c>
      <c r="AA2742" s="156">
        <v>2.7055280202956666E-2</v>
      </c>
    </row>
    <row r="2743" spans="19:27" x14ac:dyDescent="0.2">
      <c r="S2743" s="1"/>
      <c r="T2743" s="117"/>
      <c r="W2743" s="75" t="str">
        <f t="shared" si="53"/>
        <v>1w</v>
      </c>
      <c r="X2743" s="148">
        <f>_xll.qlCalendarAdvance(Calendar,X2742,W2743,"f",FALSE)</f>
        <v>58173</v>
      </c>
      <c r="Y2743" s="153">
        <f>_xll.qlCalendarAdvance(Calendar,X2743,NDays&amp;"D")</f>
        <v>58173</v>
      </c>
      <c r="Z2743" s="154">
        <v>2.7173964749757928E-2</v>
      </c>
      <c r="AA2743" s="156">
        <v>2.7059052364560854E-2</v>
      </c>
    </row>
    <row r="2744" spans="19:27" x14ac:dyDescent="0.2">
      <c r="S2744" s="1"/>
      <c r="T2744" s="117"/>
      <c r="W2744" s="75" t="str">
        <f t="shared" si="53"/>
        <v>1w</v>
      </c>
      <c r="X2744" s="148">
        <f>_xll.qlCalendarAdvance(Calendar,X2743,W2744,"f",FALSE)</f>
        <v>58180</v>
      </c>
      <c r="Y2744" s="153">
        <f>_xll.qlCalendarAdvance(Calendar,X2744,NDays&amp;"D")</f>
        <v>58180</v>
      </c>
      <c r="Z2744" s="154">
        <v>2.7177769690314851E-2</v>
      </c>
      <c r="AA2744" s="156">
        <v>2.706282552968009E-2</v>
      </c>
    </row>
    <row r="2745" spans="19:27" x14ac:dyDescent="0.2">
      <c r="S2745" s="1"/>
      <c r="T2745" s="117"/>
      <c r="W2745" s="75" t="str">
        <f t="shared" si="53"/>
        <v>1w</v>
      </c>
      <c r="X2745" s="148">
        <f>_xll.qlCalendarAdvance(Calendar,X2744,W2745,"f",FALSE)</f>
        <v>58187</v>
      </c>
      <c r="Y2745" s="153">
        <f>_xll.qlCalendarAdvance(Calendar,X2745,NDays&amp;"D")</f>
        <v>58187</v>
      </c>
      <c r="Z2745" s="154">
        <v>2.7181575644418754E-2</v>
      </c>
      <c r="AA2745" s="156">
        <v>2.7066599698071236E-2</v>
      </c>
    </row>
    <row r="2746" spans="19:27" x14ac:dyDescent="0.2">
      <c r="S2746" s="1"/>
      <c r="T2746" s="117"/>
      <c r="W2746" s="75" t="str">
        <f t="shared" si="53"/>
        <v>1w</v>
      </c>
      <c r="X2746" s="148">
        <f>_xll.qlCalendarAdvance(Calendar,X2745,W2746,"f",FALSE)</f>
        <v>58194</v>
      </c>
      <c r="Y2746" s="153">
        <f>_xll.qlCalendarAdvance(Calendar,X2746,NDays&amp;"D")</f>
        <v>58194</v>
      </c>
      <c r="Z2746" s="154">
        <v>2.7185382612073195E-2</v>
      </c>
      <c r="AA2746" s="156">
        <v>2.7070374869653246E-2</v>
      </c>
    </row>
    <row r="2747" spans="19:27" x14ac:dyDescent="0.2">
      <c r="S2747" s="1"/>
      <c r="T2747" s="117"/>
      <c r="W2747" s="75" t="str">
        <f t="shared" si="53"/>
        <v>1w</v>
      </c>
      <c r="X2747" s="148">
        <f>_xll.qlCalendarAdvance(Calendar,X2746,W2747,"f",FALSE)</f>
        <v>58201</v>
      </c>
      <c r="Y2747" s="153">
        <f>_xll.qlCalendarAdvance(Calendar,X2747,NDays&amp;"D")</f>
        <v>58201</v>
      </c>
      <c r="Z2747" s="154">
        <v>2.7190473226726707E-2</v>
      </c>
      <c r="AA2747" s="156">
        <v>2.707415104442612E-2</v>
      </c>
    </row>
    <row r="2748" spans="19:27" x14ac:dyDescent="0.2">
      <c r="S2748" s="1"/>
      <c r="T2748" s="117"/>
      <c r="W2748" s="75" t="str">
        <f t="shared" si="53"/>
        <v>1w</v>
      </c>
      <c r="X2748" s="148">
        <f>_xll.qlCalendarAdvance(Calendar,X2747,W2748,"f",FALSE)</f>
        <v>58208</v>
      </c>
      <c r="Y2748" s="153">
        <f>_xll.qlCalendarAdvance(Calendar,X2748,NDays&amp;"D")</f>
        <v>58208</v>
      </c>
      <c r="Z2748" s="154">
        <v>2.7194282576701381E-2</v>
      </c>
      <c r="AA2748" s="156">
        <v>2.7077928222632996E-2</v>
      </c>
    </row>
    <row r="2749" spans="19:27" x14ac:dyDescent="0.2">
      <c r="S2749" s="1"/>
      <c r="T2749" s="117"/>
      <c r="W2749" s="75" t="str">
        <f t="shared" si="53"/>
        <v>1w</v>
      </c>
      <c r="X2749" s="148">
        <f>_xll.qlCalendarAdvance(Calendar,X2748,W2749,"f",FALSE)</f>
        <v>58215</v>
      </c>
      <c r="Y2749" s="153">
        <f>_xll.qlCalendarAdvance(Calendar,X2749,NDays&amp;"D")</f>
        <v>58215</v>
      </c>
      <c r="Z2749" s="154">
        <v>2.7198092940350079E-2</v>
      </c>
      <c r="AA2749" s="156">
        <v>2.7081706404192829E-2</v>
      </c>
    </row>
    <row r="2750" spans="19:27" x14ac:dyDescent="0.2">
      <c r="S2750" s="1"/>
      <c r="T2750" s="117"/>
      <c r="W2750" s="75" t="str">
        <f t="shared" si="53"/>
        <v>1w</v>
      </c>
      <c r="X2750" s="148">
        <f>_xll.qlCalendarAdvance(Calendar,X2749,W2750,"f",FALSE)</f>
        <v>58222</v>
      </c>
      <c r="Y2750" s="153">
        <f>_xll.qlCalendarAdvance(Calendar,X2750,NDays&amp;"D")</f>
        <v>58222</v>
      </c>
      <c r="Z2750" s="154">
        <v>2.7201904317677206E-2</v>
      </c>
      <c r="AA2750" s="156">
        <v>2.7085485588781433E-2</v>
      </c>
    </row>
    <row r="2751" spans="19:27" x14ac:dyDescent="0.2">
      <c r="S2751" s="1"/>
      <c r="T2751" s="117"/>
      <c r="W2751" s="75" t="str">
        <f t="shared" si="53"/>
        <v>1w</v>
      </c>
      <c r="X2751" s="148">
        <f>_xll.qlCalendarAdvance(Calendar,X2750,W2751,"f",FALSE)</f>
        <v>58229</v>
      </c>
      <c r="Y2751" s="153">
        <f>_xll.qlCalendarAdvance(Calendar,X2751,NDays&amp;"D")</f>
        <v>58229</v>
      </c>
      <c r="Z2751" s="154">
        <v>2.7205716708679238E-2</v>
      </c>
      <c r="AA2751" s="156">
        <v>2.7089265776641946E-2</v>
      </c>
    </row>
    <row r="2752" spans="19:27" x14ac:dyDescent="0.2">
      <c r="S2752" s="1"/>
      <c r="T2752" s="117"/>
      <c r="W2752" s="75" t="str">
        <f t="shared" si="53"/>
        <v>1w</v>
      </c>
      <c r="X2752" s="148">
        <f>_xll.qlCalendarAdvance(Calendar,X2751,W2752,"f",FALSE)</f>
        <v>58236</v>
      </c>
      <c r="Y2752" s="153">
        <f>_xll.qlCalendarAdvance(Calendar,X2752,NDays&amp;"D")</f>
        <v>58236</v>
      </c>
      <c r="Z2752" s="154">
        <v>2.7209530113365868E-2</v>
      </c>
      <c r="AA2752" s="156">
        <v>2.7093046968098555E-2</v>
      </c>
    </row>
    <row r="2753" spans="19:27" x14ac:dyDescent="0.2">
      <c r="S2753" s="1"/>
      <c r="T2753" s="117"/>
      <c r="W2753" s="75" t="str">
        <f t="shared" si="53"/>
        <v>1w</v>
      </c>
      <c r="X2753" s="148">
        <f>_xll.qlCalendarAdvance(Calendar,X2752,W2753,"f",FALSE)</f>
        <v>58243</v>
      </c>
      <c r="Y2753" s="153">
        <f>_xll.qlCalendarAdvance(Calendar,X2753,NDays&amp;"D")</f>
        <v>58243</v>
      </c>
      <c r="Z2753" s="154">
        <v>2.7213344531737089E-2</v>
      </c>
      <c r="AA2753" s="156">
        <v>2.7096829162583935E-2</v>
      </c>
    </row>
    <row r="2754" spans="19:27" x14ac:dyDescent="0.2">
      <c r="S2754" s="1"/>
      <c r="T2754" s="117"/>
      <c r="W2754" s="75" t="str">
        <f t="shared" si="53"/>
        <v>1w</v>
      </c>
      <c r="X2754" s="148">
        <f>_xll.qlCalendarAdvance(Calendar,X2753,W2754,"f",FALSE)</f>
        <v>58250</v>
      </c>
      <c r="Y2754" s="153">
        <f>_xll.qlCalendarAdvance(Calendar,X2754,NDays&amp;"D")</f>
        <v>58250</v>
      </c>
      <c r="Z2754" s="154">
        <v>2.7217159963794667E-2</v>
      </c>
      <c r="AA2754" s="156">
        <v>2.7100612360341225E-2</v>
      </c>
    </row>
    <row r="2755" spans="19:27" x14ac:dyDescent="0.2">
      <c r="S2755" s="1"/>
      <c r="T2755" s="117"/>
      <c r="W2755" s="75" t="str">
        <f t="shared" si="53"/>
        <v>1w</v>
      </c>
      <c r="X2755" s="148">
        <f>_xll.qlCalendarAdvance(Calendar,X2754,W2755,"f",FALSE)</f>
        <v>58257</v>
      </c>
      <c r="Y2755" s="153">
        <f>_xll.qlCalendarAdvance(Calendar,X2755,NDays&amp;"D")</f>
        <v>58257</v>
      </c>
      <c r="Z2755" s="154">
        <v>2.7220976409544771E-2</v>
      </c>
      <c r="AA2755" s="156">
        <v>2.7104396561451471E-2</v>
      </c>
    </row>
    <row r="2756" spans="19:27" x14ac:dyDescent="0.2">
      <c r="S2756" s="1"/>
      <c r="T2756" s="117"/>
      <c r="W2756" s="75" t="str">
        <f t="shared" si="53"/>
        <v>1w</v>
      </c>
      <c r="X2756" s="148">
        <f>_xll.qlCalendarAdvance(Calendar,X2755,W2756,"f",FALSE)</f>
        <v>58264</v>
      </c>
      <c r="Y2756" s="153">
        <f>_xll.qlCalendarAdvance(Calendar,X2756,NDays&amp;"D")</f>
        <v>58264</v>
      </c>
      <c r="Z2756" s="154">
        <v>2.7224793868986515E-2</v>
      </c>
      <c r="AA2756" s="156">
        <v>2.7108181765833628E-2</v>
      </c>
    </row>
    <row r="2757" spans="19:27" x14ac:dyDescent="0.2">
      <c r="S2757" s="1"/>
      <c r="T2757" s="117"/>
      <c r="W2757" s="75" t="str">
        <f t="shared" si="53"/>
        <v>1w</v>
      </c>
      <c r="X2757" s="148">
        <f>_xll.qlCalendarAdvance(Calendar,X2756,W2757,"f",FALSE)</f>
        <v>58271</v>
      </c>
      <c r="Y2757" s="153">
        <f>_xll.qlCalendarAdvance(Calendar,X2757,NDays&amp;"D")</f>
        <v>58271</v>
      </c>
      <c r="Z2757" s="154">
        <v>2.7228612342126951E-2</v>
      </c>
      <c r="AA2757" s="156">
        <v>2.7111967973487694E-2</v>
      </c>
    </row>
    <row r="2758" spans="19:27" x14ac:dyDescent="0.2">
      <c r="S2758" s="1"/>
      <c r="T2758" s="117"/>
      <c r="W2758" s="75" t="str">
        <f t="shared" si="53"/>
        <v>1w</v>
      </c>
      <c r="X2758" s="148">
        <f>_xll.qlCalendarAdvance(Calendar,X2757,W2758,"f",FALSE)</f>
        <v>58278</v>
      </c>
      <c r="Y2758" s="153">
        <f>_xll.qlCalendarAdvance(Calendar,X2758,NDays&amp;"D")</f>
        <v>58278</v>
      </c>
      <c r="Z2758" s="154">
        <v>2.7232431828966078E-2</v>
      </c>
      <c r="AA2758" s="156">
        <v>2.711575518441367E-2</v>
      </c>
    </row>
    <row r="2759" spans="19:27" x14ac:dyDescent="0.2">
      <c r="S2759" s="1"/>
      <c r="T2759" s="117"/>
      <c r="W2759" s="75" t="str">
        <f t="shared" si="53"/>
        <v>1w</v>
      </c>
      <c r="X2759" s="148">
        <f>_xll.qlCalendarAdvance(Calendar,X2758,W2759,"f",FALSE)</f>
        <v>58285</v>
      </c>
      <c r="Y2759" s="153">
        <f>_xll.qlCalendarAdvance(Calendar,X2759,NDays&amp;"D")</f>
        <v>58285</v>
      </c>
      <c r="Z2759" s="154">
        <v>2.7236252329505658E-2</v>
      </c>
      <c r="AA2759" s="156">
        <v>2.711954339853051E-2</v>
      </c>
    </row>
    <row r="2760" spans="19:27" x14ac:dyDescent="0.2">
      <c r="S2760" s="1"/>
      <c r="T2760" s="117"/>
      <c r="W2760" s="75" t="str">
        <f t="shared" si="53"/>
        <v>1w</v>
      </c>
      <c r="X2760" s="148">
        <f>_xll.qlCalendarAdvance(Calendar,X2759,W2760,"f",FALSE)</f>
        <v>58292</v>
      </c>
      <c r="Y2760" s="153">
        <f>_xll.qlCalendarAdvance(Calendar,X2760,NDays&amp;"D")</f>
        <v>58292</v>
      </c>
      <c r="Z2760" s="154">
        <v>2.7240073843753616E-2</v>
      </c>
      <c r="AA2760" s="156">
        <v>2.7123332616162399E-2</v>
      </c>
    </row>
    <row r="2761" spans="19:27" x14ac:dyDescent="0.2">
      <c r="S2761" s="1"/>
      <c r="T2761" s="117"/>
      <c r="W2761" s="75" t="str">
        <f t="shared" si="53"/>
        <v>1w</v>
      </c>
      <c r="X2761" s="148">
        <f>_xll.qlCalendarAdvance(Calendar,X2760,W2761,"f",FALSE)</f>
        <v>58299</v>
      </c>
      <c r="Y2761" s="153">
        <f>_xll.qlCalendarAdvance(Calendar,X2761,NDays&amp;"D")</f>
        <v>58299</v>
      </c>
      <c r="Z2761" s="154">
        <v>2.7243896371707311E-2</v>
      </c>
      <c r="AA2761" s="156">
        <v>2.7127122836823059E-2</v>
      </c>
    </row>
    <row r="2762" spans="19:27" x14ac:dyDescent="0.2">
      <c r="S2762" s="1"/>
      <c r="T2762" s="117"/>
      <c r="W2762" s="75" t="str">
        <f t="shared" si="53"/>
        <v>1w</v>
      </c>
      <c r="X2762" s="148">
        <f>_xll.qlCalendarAdvance(Calendar,X2761,W2762,"f",FALSE)</f>
        <v>58306</v>
      </c>
      <c r="Y2762" s="153">
        <f>_xll.qlCalendarAdvance(Calendar,X2762,NDays&amp;"D")</f>
        <v>58306</v>
      </c>
      <c r="Z2762" s="154">
        <v>2.7247719913372912E-2</v>
      </c>
      <c r="AA2762" s="156">
        <v>2.7130914060836675E-2</v>
      </c>
    </row>
    <row r="2763" spans="19:27" x14ac:dyDescent="0.2">
      <c r="S2763" s="1"/>
      <c r="T2763" s="117"/>
      <c r="W2763" s="75" t="str">
        <f t="shared" si="53"/>
        <v>1w</v>
      </c>
      <c r="X2763" s="148">
        <f>_xll.qlCalendarAdvance(Calendar,X2762,W2763,"f",FALSE)</f>
        <v>58313</v>
      </c>
      <c r="Y2763" s="153">
        <f>_xll.qlCalendarAdvance(Calendar,X2763,NDays&amp;"D")</f>
        <v>58313</v>
      </c>
      <c r="Z2763" s="154">
        <v>2.7251544468752179E-2</v>
      </c>
      <c r="AA2763" s="156">
        <v>2.7134706288284294E-2</v>
      </c>
    </row>
    <row r="2764" spans="19:27" x14ac:dyDescent="0.2">
      <c r="S2764" s="1"/>
      <c r="T2764" s="117"/>
      <c r="W2764" s="75" t="str">
        <f t="shared" si="53"/>
        <v>1w</v>
      </c>
      <c r="X2764" s="148">
        <f>_xll.qlCalendarAdvance(Calendar,X2763,W2764,"f",FALSE)</f>
        <v>58320</v>
      </c>
      <c r="Y2764" s="153">
        <f>_xll.qlCalendarAdvance(Calendar,X2764,NDays&amp;"D")</f>
        <v>58320</v>
      </c>
      <c r="Z2764" s="154">
        <v>2.7254081350110444E-2</v>
      </c>
      <c r="AA2764" s="156">
        <v>2.7138499518760684E-2</v>
      </c>
    </row>
    <row r="2765" spans="19:27" x14ac:dyDescent="0.2">
      <c r="S2765" s="1"/>
      <c r="T2765" s="117"/>
      <c r="W2765" s="75" t="str">
        <f t="shared" si="53"/>
        <v>1w</v>
      </c>
      <c r="X2765" s="148">
        <f>_xll.qlCalendarAdvance(Calendar,X2764,W2765,"f",FALSE)</f>
        <v>58327</v>
      </c>
      <c r="Y2765" s="153">
        <f>_xll.qlCalendarAdvance(Calendar,X2765,NDays&amp;"D")</f>
        <v>58327</v>
      </c>
      <c r="Z2765" s="154">
        <v>2.7257907575752346E-2</v>
      </c>
      <c r="AA2765" s="156">
        <v>2.714229375259003E-2</v>
      </c>
    </row>
    <row r="2766" spans="19:27" x14ac:dyDescent="0.2">
      <c r="S2766" s="1"/>
      <c r="T2766" s="117"/>
      <c r="W2766" s="75" t="str">
        <f t="shared" si="53"/>
        <v>1w</v>
      </c>
      <c r="X2766" s="148">
        <f>_xll.qlCalendarAdvance(Calendar,X2765,W2766,"f",FALSE)</f>
        <v>58334</v>
      </c>
      <c r="Y2766" s="153">
        <f>_xll.qlCalendarAdvance(Calendar,X2766,NDays&amp;"D")</f>
        <v>58334</v>
      </c>
      <c r="Z2766" s="154">
        <v>2.7261734815003567E-2</v>
      </c>
      <c r="AA2766" s="156">
        <v>2.7146088989853379E-2</v>
      </c>
    </row>
    <row r="2767" spans="19:27" x14ac:dyDescent="0.2">
      <c r="S2767" s="1"/>
      <c r="T2767" s="117"/>
      <c r="W2767" s="75" t="str">
        <f t="shared" si="53"/>
        <v>1w</v>
      </c>
      <c r="X2767" s="148">
        <f>_xll.qlCalendarAdvance(Calendar,X2766,W2767,"f",FALSE)</f>
        <v>58341</v>
      </c>
      <c r="Y2767" s="153">
        <f>_xll.qlCalendarAdvance(Calendar,X2767,NDays&amp;"D")</f>
        <v>58341</v>
      </c>
      <c r="Z2767" s="154">
        <v>2.7265563067864998E-2</v>
      </c>
      <c r="AA2767" s="156">
        <v>2.7149885230226545E-2</v>
      </c>
    </row>
    <row r="2768" spans="19:27" x14ac:dyDescent="0.2">
      <c r="S2768" s="1"/>
      <c r="T2768" s="117"/>
      <c r="W2768" s="75" t="str">
        <f t="shared" si="53"/>
        <v>1w</v>
      </c>
      <c r="X2768" s="148">
        <f>_xll.qlCalendarAdvance(Calendar,X2767,W2768,"f",FALSE)</f>
        <v>58348</v>
      </c>
      <c r="Y2768" s="153">
        <f>_xll.qlCalendarAdvance(Calendar,X2768,NDays&amp;"D")</f>
        <v>58348</v>
      </c>
      <c r="Z2768" s="154">
        <v>2.7270682451459218E-2</v>
      </c>
      <c r="AA2768" s="156">
        <v>2.7153682473952667E-2</v>
      </c>
    </row>
    <row r="2769" spans="19:27" x14ac:dyDescent="0.2">
      <c r="S2769" s="1"/>
      <c r="T2769" s="117"/>
      <c r="W2769" s="75" t="str">
        <f t="shared" si="53"/>
        <v>1w</v>
      </c>
      <c r="X2769" s="148">
        <f>_xll.qlCalendarAdvance(Calendar,X2768,W2769,"f",FALSE)</f>
        <v>58355</v>
      </c>
      <c r="Y2769" s="153">
        <f>_xll.qlCalendarAdvance(Calendar,X2769,NDays&amp;"D")</f>
        <v>58355</v>
      </c>
      <c r="Z2769" s="154">
        <v>2.7274513089182148E-2</v>
      </c>
      <c r="AA2769" s="156">
        <v>2.7157480720788607E-2</v>
      </c>
    </row>
    <row r="2770" spans="19:27" x14ac:dyDescent="0.2">
      <c r="S2770" s="1"/>
      <c r="T2770" s="117"/>
      <c r="W2770" s="75" t="str">
        <f t="shared" si="53"/>
        <v>1w</v>
      </c>
      <c r="X2770" s="148">
        <f>_xll.qlCalendarAdvance(Calendar,X2769,W2770,"f",FALSE)</f>
        <v>58362</v>
      </c>
      <c r="Y2770" s="153">
        <f>_xll.qlCalendarAdvance(Calendar,X2770,NDays&amp;"D")</f>
        <v>58362</v>
      </c>
      <c r="Z2770" s="154">
        <v>2.7278344740638123E-2</v>
      </c>
      <c r="AA2770" s="156">
        <v>2.716127997105855E-2</v>
      </c>
    </row>
    <row r="2771" spans="19:27" x14ac:dyDescent="0.2">
      <c r="S2771" s="1"/>
      <c r="T2771" s="117"/>
      <c r="W2771" s="75" t="str">
        <f t="shared" si="53"/>
        <v>1w</v>
      </c>
      <c r="X2771" s="148">
        <f>_xll.qlCalendarAdvance(Calendar,X2770,W2771,"f",FALSE)</f>
        <v>58369</v>
      </c>
      <c r="Y2771" s="153">
        <f>_xll.qlCalendarAdvance(Calendar,X2771,NDays&amp;"D")</f>
        <v>58369</v>
      </c>
      <c r="Z2771" s="154">
        <v>2.7282177405835075E-2</v>
      </c>
      <c r="AA2771" s="156">
        <v>2.7165080224762495E-2</v>
      </c>
    </row>
    <row r="2772" spans="19:27" x14ac:dyDescent="0.2">
      <c r="S2772" s="1"/>
      <c r="T2772" s="117"/>
      <c r="W2772" s="75" t="str">
        <f t="shared" si="53"/>
        <v>1w</v>
      </c>
      <c r="X2772" s="148">
        <f>_xll.qlCalendarAdvance(Calendar,X2771,W2772,"f",FALSE)</f>
        <v>58376</v>
      </c>
      <c r="Y2772" s="153">
        <f>_xll.qlCalendarAdvance(Calendar,X2772,NDays&amp;"D")</f>
        <v>58376</v>
      </c>
      <c r="Z2772" s="154">
        <v>2.7286011084769479E-2</v>
      </c>
      <c r="AA2772" s="156">
        <v>2.7168881481414164E-2</v>
      </c>
    </row>
    <row r="2773" spans="19:27" x14ac:dyDescent="0.2">
      <c r="S2773" s="1"/>
      <c r="T2773" s="117"/>
      <c r="W2773" s="75" t="str">
        <f t="shared" ref="W2773:W2836" si="54">W2772</f>
        <v>1w</v>
      </c>
      <c r="X2773" s="148">
        <f>_xll.qlCalendarAdvance(Calendar,X2772,W2773,"f",FALSE)</f>
        <v>58383</v>
      </c>
      <c r="Y2773" s="153">
        <f>_xll.qlCalendarAdvance(Calendar,X2773,NDays&amp;"D")</f>
        <v>58383</v>
      </c>
      <c r="Z2773" s="154">
        <v>2.7289845777447499E-2</v>
      </c>
      <c r="AA2773" s="156">
        <v>2.7172683741499837E-2</v>
      </c>
    </row>
    <row r="2774" spans="19:27" x14ac:dyDescent="0.2">
      <c r="S2774" s="1"/>
      <c r="T2774" s="117"/>
      <c r="W2774" s="75" t="str">
        <f t="shared" si="54"/>
        <v>1w</v>
      </c>
      <c r="X2774" s="148">
        <f>_xll.qlCalendarAdvance(Calendar,X2773,W2774,"f",FALSE)</f>
        <v>58390</v>
      </c>
      <c r="Y2774" s="153">
        <f>_xll.qlCalendarAdvance(Calendar,X2774,NDays&amp;"D")</f>
        <v>58390</v>
      </c>
      <c r="Z2774" s="154">
        <v>2.7293681483870898E-2</v>
      </c>
      <c r="AA2774" s="156">
        <v>2.7176487004938465E-2</v>
      </c>
    </row>
    <row r="2775" spans="19:27" x14ac:dyDescent="0.2">
      <c r="S2775" s="1"/>
      <c r="T2775" s="117"/>
      <c r="W2775" s="75" t="str">
        <f t="shared" si="54"/>
        <v>1w</v>
      </c>
      <c r="X2775" s="148">
        <f>_xll.qlCalendarAdvance(Calendar,X2774,W2775,"f",FALSE)</f>
        <v>58397</v>
      </c>
      <c r="Y2775" s="153">
        <f>_xll.qlCalendarAdvance(Calendar,X2775,NDays&amp;"D")</f>
        <v>58397</v>
      </c>
      <c r="Z2775" s="154">
        <v>2.7297518204044965E-2</v>
      </c>
      <c r="AA2775" s="156">
        <v>2.7180291271567958E-2</v>
      </c>
    </row>
    <row r="2776" spans="19:27" x14ac:dyDescent="0.2">
      <c r="S2776" s="1"/>
      <c r="T2776" s="117"/>
      <c r="W2776" s="75" t="str">
        <f t="shared" si="54"/>
        <v>1w</v>
      </c>
      <c r="X2776" s="148">
        <f>_xll.qlCalendarAdvance(Calendar,X2775,W2776,"f",FALSE)</f>
        <v>58404</v>
      </c>
      <c r="Y2776" s="153">
        <f>_xll.qlCalendarAdvance(Calendar,X2776,NDays&amp;"D")</f>
        <v>58404</v>
      </c>
      <c r="Z2776" s="154">
        <v>2.7301355937968817E-2</v>
      </c>
      <c r="AA2776" s="156">
        <v>2.7184096541388314E-2</v>
      </c>
    </row>
    <row r="2777" spans="19:27" x14ac:dyDescent="0.2">
      <c r="S2777" s="1"/>
      <c r="T2777" s="117"/>
      <c r="W2777" s="75" t="str">
        <f t="shared" si="54"/>
        <v>1w</v>
      </c>
      <c r="X2777" s="148">
        <f>_xll.qlCalendarAdvance(Calendar,X2776,W2777,"f",FALSE)</f>
        <v>58411</v>
      </c>
      <c r="Y2777" s="153">
        <f>_xll.qlCalendarAdvance(Calendar,X2777,NDays&amp;"D")</f>
        <v>58411</v>
      </c>
      <c r="Z2777" s="154">
        <v>2.7303901345649997E-2</v>
      </c>
      <c r="AA2777" s="156">
        <v>2.7187902814642673E-2</v>
      </c>
    </row>
    <row r="2778" spans="19:27" x14ac:dyDescent="0.2">
      <c r="S2778" s="1"/>
      <c r="T2778" s="117"/>
      <c r="W2778" s="75" t="str">
        <f t="shared" si="54"/>
        <v>1w</v>
      </c>
      <c r="X2778" s="148">
        <f>_xll.qlCalendarAdvance(Calendar,X2777,W2778,"f",FALSE)</f>
        <v>58418</v>
      </c>
      <c r="Y2778" s="153">
        <f>_xll.qlCalendarAdvance(Calendar,X2778,NDays&amp;"D")</f>
        <v>58418</v>
      </c>
      <c r="Z2778" s="154">
        <v>2.7307740748410757E-2</v>
      </c>
      <c r="AA2778" s="156">
        <v>2.7191710091168941E-2</v>
      </c>
    </row>
    <row r="2779" spans="19:27" x14ac:dyDescent="0.2">
      <c r="S2779" s="1"/>
      <c r="T2779" s="117"/>
      <c r="W2779" s="75" t="str">
        <f t="shared" si="54"/>
        <v>1w</v>
      </c>
      <c r="X2779" s="148">
        <f>_xll.qlCalendarAdvance(Calendar,X2778,W2779,"f",FALSE)</f>
        <v>58425</v>
      </c>
      <c r="Y2779" s="153">
        <f>_xll.qlCalendarAdvance(Calendar,X2779,NDays&amp;"D")</f>
        <v>58425</v>
      </c>
      <c r="Z2779" s="154">
        <v>2.7311581164814681E-2</v>
      </c>
      <c r="AA2779" s="156">
        <v>2.7195518370886074E-2</v>
      </c>
    </row>
    <row r="2780" spans="19:27" x14ac:dyDescent="0.2">
      <c r="S2780" s="1"/>
      <c r="T2780" s="117"/>
      <c r="W2780" s="75" t="str">
        <f t="shared" si="54"/>
        <v>1w</v>
      </c>
      <c r="X2780" s="148">
        <f>_xll.qlCalendarAdvance(Calendar,X2779,W2780,"f",FALSE)</f>
        <v>58432</v>
      </c>
      <c r="Y2780" s="153">
        <f>_xll.qlCalendarAdvance(Calendar,X2780,NDays&amp;"D")</f>
        <v>58432</v>
      </c>
      <c r="Z2780" s="154">
        <v>2.731542259486533E-2</v>
      </c>
      <c r="AA2780" s="156">
        <v>2.719932765379407E-2</v>
      </c>
    </row>
    <row r="2781" spans="19:27" x14ac:dyDescent="0.2">
      <c r="S2781" s="1"/>
      <c r="T2781" s="117"/>
      <c r="W2781" s="75" t="str">
        <f t="shared" si="54"/>
        <v>1w</v>
      </c>
      <c r="X2781" s="148">
        <f>_xll.qlCalendarAdvance(Calendar,X2780,W2781,"f",FALSE)</f>
        <v>58439</v>
      </c>
      <c r="Y2781" s="153">
        <f>_xll.qlCalendarAdvance(Calendar,X2781,NDays&amp;"D")</f>
        <v>58439</v>
      </c>
      <c r="Z2781" s="154">
        <v>2.731926503856983E-2</v>
      </c>
      <c r="AA2781" s="156">
        <v>2.7203137940379207E-2</v>
      </c>
    </row>
    <row r="2782" spans="19:27" x14ac:dyDescent="0.2">
      <c r="S2782" s="1"/>
      <c r="T2782" s="117"/>
      <c r="W2782" s="75" t="str">
        <f t="shared" si="54"/>
        <v>1w</v>
      </c>
      <c r="X2782" s="148">
        <f>_xll.qlCalendarAdvance(Calendar,X2781,W2782,"f",FALSE)</f>
        <v>58446</v>
      </c>
      <c r="Y2782" s="153">
        <f>_xll.qlCalendarAdvance(Calendar,X2782,NDays&amp;"D")</f>
        <v>58446</v>
      </c>
      <c r="Z2782" s="154">
        <v>2.7323108495924613E-2</v>
      </c>
      <c r="AA2782" s="156">
        <v>2.720694922991207E-2</v>
      </c>
    </row>
    <row r="2783" spans="19:27" x14ac:dyDescent="0.2">
      <c r="S2783" s="1"/>
      <c r="T2783" s="117"/>
      <c r="W2783" s="75" t="str">
        <f t="shared" si="54"/>
        <v>1w</v>
      </c>
      <c r="X2783" s="148">
        <f>_xll.qlCalendarAdvance(Calendar,X2782,W2783,"f",FALSE)</f>
        <v>58453</v>
      </c>
      <c r="Y2783" s="153">
        <f>_xll.qlCalendarAdvance(Calendar,X2783,NDays&amp;"D")</f>
        <v>58453</v>
      </c>
      <c r="Z2783" s="154">
        <v>2.7326952966935922E-2</v>
      </c>
      <c r="AA2783" s="156">
        <v>2.7210761522635796E-2</v>
      </c>
    </row>
    <row r="2784" spans="19:27" x14ac:dyDescent="0.2">
      <c r="S2784" s="1"/>
      <c r="T2784" s="117"/>
      <c r="W2784" s="75" t="str">
        <f t="shared" si="54"/>
        <v>1w</v>
      </c>
      <c r="X2784" s="148">
        <f>_xll.qlCalendarAdvance(Calendar,X2783,W2784,"f",FALSE)</f>
        <v>58460</v>
      </c>
      <c r="Y2784" s="153">
        <f>_xll.qlCalendarAdvance(Calendar,X2784,NDays&amp;"D")</f>
        <v>58460</v>
      </c>
      <c r="Z2784" s="154">
        <v>2.733079845160731E-2</v>
      </c>
      <c r="AA2784" s="156">
        <v>2.7214574818874571E-2</v>
      </c>
    </row>
    <row r="2785" spans="19:27" x14ac:dyDescent="0.2">
      <c r="S2785" s="1"/>
      <c r="T2785" s="117"/>
      <c r="W2785" s="75" t="str">
        <f t="shared" si="54"/>
        <v>1w</v>
      </c>
      <c r="X2785" s="148">
        <f>_xll.qlCalendarAdvance(Calendar,X2784,W2785,"f",FALSE)</f>
        <v>58467</v>
      </c>
      <c r="Y2785" s="153">
        <f>_xll.qlCalendarAdvance(Calendar,X2785,NDays&amp;"D")</f>
        <v>58467</v>
      </c>
      <c r="Z2785" s="154">
        <v>2.7334644949939674E-2</v>
      </c>
      <c r="AA2785" s="156">
        <v>2.7218389118304209E-2</v>
      </c>
    </row>
    <row r="2786" spans="19:27" x14ac:dyDescent="0.2">
      <c r="S2786" s="1"/>
      <c r="T2786" s="117"/>
      <c r="W2786" s="75" t="str">
        <f t="shared" si="54"/>
        <v>1w</v>
      </c>
      <c r="X2786" s="148">
        <f>_xll.qlCalendarAdvance(Calendar,X2785,W2786,"f",FALSE)</f>
        <v>58474</v>
      </c>
      <c r="Y2786" s="153">
        <f>_xll.qlCalendarAdvance(Calendar,X2786,NDays&amp;"D")</f>
        <v>58474</v>
      </c>
      <c r="Z2786" s="154">
        <v>2.7338492461937466E-2</v>
      </c>
      <c r="AA2786" s="156">
        <v>2.7222204421005758E-2</v>
      </c>
    </row>
    <row r="2787" spans="19:27" x14ac:dyDescent="0.2">
      <c r="S2787" s="1"/>
      <c r="T2787" s="117"/>
      <c r="W2787" s="75" t="str">
        <f t="shared" si="54"/>
        <v>1w</v>
      </c>
      <c r="X2787" s="148">
        <f>_xll.qlCalendarAdvance(Calendar,X2786,W2787,"f",FALSE)</f>
        <v>58481</v>
      </c>
      <c r="Y2787" s="153">
        <f>_xll.qlCalendarAdvance(Calendar,X2787,NDays&amp;"D")</f>
        <v>58481</v>
      </c>
      <c r="Z2787" s="154">
        <v>2.7341044154467972E-2</v>
      </c>
      <c r="AA2787" s="156">
        <v>2.7226020726979216E-2</v>
      </c>
    </row>
    <row r="2788" spans="19:27" x14ac:dyDescent="0.2">
      <c r="S2788" s="1"/>
      <c r="T2788" s="117"/>
      <c r="W2788" s="75" t="str">
        <f t="shared" si="54"/>
        <v>1w</v>
      </c>
      <c r="X2788" s="148">
        <f>_xll.qlCalendarAdvance(Calendar,X2787,W2788,"f",FALSE)</f>
        <v>58488</v>
      </c>
      <c r="Y2788" s="153">
        <f>_xll.qlCalendarAdvance(Calendar,X2788,NDays&amp;"D")</f>
        <v>58488</v>
      </c>
      <c r="Z2788" s="154">
        <v>2.73448933340034E-2</v>
      </c>
      <c r="AA2788" s="156">
        <v>2.7229838036224585E-2</v>
      </c>
    </row>
    <row r="2789" spans="19:27" x14ac:dyDescent="0.2">
      <c r="S2789" s="1"/>
      <c r="T2789" s="117"/>
      <c r="W2789" s="75" t="str">
        <f t="shared" si="54"/>
        <v>1w</v>
      </c>
      <c r="X2789" s="148">
        <f>_xll.qlCalendarAdvance(Calendar,X2788,W2789,"f",FALSE)</f>
        <v>58495</v>
      </c>
      <c r="Y2789" s="153">
        <f>_xll.qlCalendarAdvance(Calendar,X2789,NDays&amp;"D")</f>
        <v>58495</v>
      </c>
      <c r="Z2789" s="154">
        <v>2.7348743527099116E-2</v>
      </c>
      <c r="AA2789" s="156">
        <v>2.723365634882291E-2</v>
      </c>
    </row>
    <row r="2790" spans="19:27" x14ac:dyDescent="0.2">
      <c r="S2790" s="1"/>
      <c r="T2790" s="117"/>
      <c r="W2790" s="75" t="str">
        <f t="shared" si="54"/>
        <v>1w</v>
      </c>
      <c r="X2790" s="148">
        <f>_xll.qlCalendarAdvance(Calendar,X2789,W2790,"f",FALSE)</f>
        <v>58502</v>
      </c>
      <c r="Y2790" s="153">
        <f>_xll.qlCalendarAdvance(Calendar,X2790,NDays&amp;"D")</f>
        <v>58502</v>
      </c>
      <c r="Z2790" s="154">
        <v>2.7355190658472153E-2</v>
      </c>
      <c r="AA2790" s="156">
        <v>2.7237475664531052E-2</v>
      </c>
    </row>
    <row r="2791" spans="19:27" x14ac:dyDescent="0.2">
      <c r="S2791" s="1"/>
      <c r="T2791" s="117"/>
      <c r="W2791" s="75" t="str">
        <f t="shared" si="54"/>
        <v>1w</v>
      </c>
      <c r="X2791" s="148">
        <f>_xll.qlCalendarAdvance(Calendar,X2790,W2791,"f",FALSE)</f>
        <v>58509</v>
      </c>
      <c r="Y2791" s="153">
        <f>_xll.qlCalendarAdvance(Calendar,X2791,NDays&amp;"D")</f>
        <v>58509</v>
      </c>
      <c r="Z2791" s="154">
        <v>2.7359043599023341E-2</v>
      </c>
      <c r="AA2791" s="156">
        <v>2.7241295983673197E-2</v>
      </c>
    </row>
    <row r="2792" spans="19:27" x14ac:dyDescent="0.2">
      <c r="S2792" s="1"/>
      <c r="T2792" s="117"/>
      <c r="W2792" s="75" t="str">
        <f t="shared" si="54"/>
        <v>1w</v>
      </c>
      <c r="X2792" s="148">
        <f>_xll.qlCalendarAdvance(Calendar,X2791,W2792,"f",FALSE)</f>
        <v>58516</v>
      </c>
      <c r="Y2792" s="153">
        <f>_xll.qlCalendarAdvance(Calendar,X2792,NDays&amp;"D")</f>
        <v>58516</v>
      </c>
      <c r="Z2792" s="154">
        <v>2.7362897553370118E-2</v>
      </c>
      <c r="AA2792" s="156">
        <v>2.7245117306087252E-2</v>
      </c>
    </row>
    <row r="2793" spans="19:27" x14ac:dyDescent="0.2">
      <c r="S2793" s="1"/>
      <c r="T2793" s="117"/>
      <c r="W2793" s="75" t="str">
        <f t="shared" si="54"/>
        <v>1w</v>
      </c>
      <c r="X2793" s="148">
        <f>_xll.qlCalendarAdvance(Calendar,X2792,W2793,"f",FALSE)</f>
        <v>58523</v>
      </c>
      <c r="Y2793" s="153">
        <f>_xll.qlCalendarAdvance(Calendar,X2793,NDays&amp;"D")</f>
        <v>58523</v>
      </c>
      <c r="Z2793" s="154">
        <v>2.73667525215213E-2</v>
      </c>
      <c r="AA2793" s="156">
        <v>2.7248939631692171E-2</v>
      </c>
    </row>
    <row r="2794" spans="19:27" x14ac:dyDescent="0.2">
      <c r="S2794" s="1"/>
      <c r="T2794" s="117"/>
      <c r="W2794" s="75" t="str">
        <f t="shared" si="54"/>
        <v>1w</v>
      </c>
      <c r="X2794" s="148">
        <f>_xll.qlCalendarAdvance(Calendar,X2793,W2794,"f",FALSE)</f>
        <v>58530</v>
      </c>
      <c r="Y2794" s="153">
        <f>_xll.qlCalendarAdvance(Calendar,X2794,NDays&amp;"D")</f>
        <v>58530</v>
      </c>
      <c r="Z2794" s="154">
        <v>2.7370608503474239E-2</v>
      </c>
      <c r="AA2794" s="156">
        <v>2.7252762960568999E-2</v>
      </c>
    </row>
    <row r="2795" spans="19:27" x14ac:dyDescent="0.2">
      <c r="S2795" s="1"/>
      <c r="T2795" s="117"/>
      <c r="W2795" s="75" t="str">
        <f t="shared" si="54"/>
        <v>1w</v>
      </c>
      <c r="X2795" s="148">
        <f>_xll.qlCalendarAdvance(Calendar,X2794,W2795,"f",FALSE)</f>
        <v>58537</v>
      </c>
      <c r="Y2795" s="153">
        <f>_xll.qlCalendarAdvance(Calendar,X2795,NDays&amp;"D")</f>
        <v>58537</v>
      </c>
      <c r="Z2795" s="154">
        <v>2.7373165685303583E-2</v>
      </c>
      <c r="AA2795" s="156">
        <v>2.725658729287983E-2</v>
      </c>
    </row>
    <row r="2796" spans="19:27" x14ac:dyDescent="0.2">
      <c r="S2796" s="1"/>
      <c r="T2796" s="117"/>
      <c r="W2796" s="75" t="str">
        <f t="shared" si="54"/>
        <v>1w</v>
      </c>
      <c r="X2796" s="148">
        <f>_xll.qlCalendarAdvance(Calendar,X2795,W2796,"f",FALSE)</f>
        <v>58544</v>
      </c>
      <c r="Y2796" s="153">
        <f>_xll.qlCalendarAdvance(Calendar,X2796,NDays&amp;"D")</f>
        <v>58544</v>
      </c>
      <c r="Z2796" s="154">
        <v>2.7377023334106167E-2</v>
      </c>
      <c r="AA2796" s="156">
        <v>2.7260412628300479E-2</v>
      </c>
    </row>
    <row r="2797" spans="19:27" x14ac:dyDescent="0.2">
      <c r="S2797" s="1"/>
      <c r="T2797" s="117"/>
      <c r="W2797" s="75" t="str">
        <f t="shared" si="54"/>
        <v>1w</v>
      </c>
      <c r="X2797" s="148">
        <f>_xll.qlCalendarAdvance(Calendar,X2796,W2797,"f",FALSE)</f>
        <v>58551</v>
      </c>
      <c r="Y2797" s="153">
        <f>_xll.qlCalendarAdvance(Calendar,X2797,NDays&amp;"D")</f>
        <v>58551</v>
      </c>
      <c r="Z2797" s="154">
        <v>2.7380881996606238E-2</v>
      </c>
      <c r="AA2797" s="156">
        <v>2.7264238967074084E-2</v>
      </c>
    </row>
    <row r="2798" spans="19:27" x14ac:dyDescent="0.2">
      <c r="S2798" s="1"/>
      <c r="T2798" s="117"/>
      <c r="W2798" s="75" t="str">
        <f t="shared" si="54"/>
        <v>1w</v>
      </c>
      <c r="X2798" s="148">
        <f>_xll.qlCalendarAdvance(Calendar,X2797,W2798,"f",FALSE)</f>
        <v>58558</v>
      </c>
      <c r="Y2798" s="153">
        <f>_xll.qlCalendarAdvance(Calendar,X2798,NDays&amp;"D")</f>
        <v>58558</v>
      </c>
      <c r="Z2798" s="154">
        <v>2.7384741672805579E-2</v>
      </c>
      <c r="AA2798" s="156">
        <v>2.7268066309038552E-2</v>
      </c>
    </row>
    <row r="2799" spans="19:27" x14ac:dyDescent="0.2">
      <c r="S2799" s="1"/>
      <c r="T2799" s="117"/>
      <c r="W2799" s="75" t="str">
        <f t="shared" si="54"/>
        <v>1w</v>
      </c>
      <c r="X2799" s="148">
        <f>_xll.qlCalendarAdvance(Calendar,X2798,W2799,"f",FALSE)</f>
        <v>58565</v>
      </c>
      <c r="Y2799" s="153">
        <f>_xll.qlCalendarAdvance(Calendar,X2799,NDays&amp;"D")</f>
        <v>58565</v>
      </c>
      <c r="Z2799" s="154">
        <v>2.7389903620413342E-2</v>
      </c>
      <c r="AA2799" s="156">
        <v>2.7271894654437023E-2</v>
      </c>
    </row>
    <row r="2800" spans="19:27" x14ac:dyDescent="0.2">
      <c r="S2800" s="1"/>
      <c r="T2800" s="117"/>
      <c r="W2800" s="75" t="str">
        <f t="shared" si="54"/>
        <v>1w</v>
      </c>
      <c r="X2800" s="148">
        <f>_xll.qlCalendarAdvance(Calendar,X2799,W2800,"f",FALSE)</f>
        <v>58572</v>
      </c>
      <c r="Y2800" s="153">
        <f>_xll.qlCalendarAdvance(Calendar,X2800,NDays&amp;"D")</f>
        <v>58572</v>
      </c>
      <c r="Z2800" s="154">
        <v>2.7393765685256127E-2</v>
      </c>
      <c r="AA2800" s="156">
        <v>2.7275724003026358E-2</v>
      </c>
    </row>
    <row r="2801" spans="19:27" x14ac:dyDescent="0.2">
      <c r="S2801" s="1"/>
      <c r="T2801" s="117"/>
      <c r="W2801" s="75" t="str">
        <f t="shared" si="54"/>
        <v>1w</v>
      </c>
      <c r="X2801" s="148">
        <f>_xll.qlCalendarAdvance(Calendar,X2800,W2801,"f",FALSE)</f>
        <v>58579</v>
      </c>
      <c r="Y2801" s="153">
        <f>_xll.qlCalendarAdvance(Calendar,X2801,NDays&amp;"D")</f>
        <v>58579</v>
      </c>
      <c r="Z2801" s="154">
        <v>2.7397628763920934E-2</v>
      </c>
      <c r="AA2801" s="156">
        <v>2.7279554354806557E-2</v>
      </c>
    </row>
    <row r="2802" spans="19:27" x14ac:dyDescent="0.2">
      <c r="S2802" s="1"/>
      <c r="T2802" s="117"/>
      <c r="W2802" s="75" t="str">
        <f t="shared" si="54"/>
        <v>1w</v>
      </c>
      <c r="X2802" s="148">
        <f>_xll.qlCalendarAdvance(Calendar,X2801,W2802,"f",FALSE)</f>
        <v>58586</v>
      </c>
      <c r="Y2802" s="153">
        <f>_xll.qlCalendarAdvance(Calendar,X2802,NDays&amp;"D")</f>
        <v>58586</v>
      </c>
      <c r="Z2802" s="154">
        <v>2.740149285641481E-2</v>
      </c>
      <c r="AA2802" s="156">
        <v>2.7283385709939711E-2</v>
      </c>
    </row>
    <row r="2803" spans="19:27" x14ac:dyDescent="0.2">
      <c r="S2803" s="1"/>
      <c r="T2803" s="117"/>
      <c r="W2803" s="75" t="str">
        <f t="shared" si="54"/>
        <v>1w</v>
      </c>
      <c r="X2803" s="148">
        <f>_xll.qlCalendarAdvance(Calendar,X2802,W2803,"f",FALSE)</f>
        <v>58593</v>
      </c>
      <c r="Y2803" s="153">
        <f>_xll.qlCalendarAdvance(Calendar,X2803,NDays&amp;"D")</f>
        <v>58593</v>
      </c>
      <c r="Z2803" s="154">
        <v>2.7405357962741277E-2</v>
      </c>
      <c r="AA2803" s="156">
        <v>2.7287218068506869E-2</v>
      </c>
    </row>
    <row r="2804" spans="19:27" x14ac:dyDescent="0.2">
      <c r="S2804" s="1"/>
      <c r="T2804" s="117"/>
      <c r="W2804" s="75" t="str">
        <f t="shared" si="54"/>
        <v>1w</v>
      </c>
      <c r="X2804" s="148">
        <f>_xll.qlCalendarAdvance(Calendar,X2803,W2804,"f",FALSE)</f>
        <v>58600</v>
      </c>
      <c r="Y2804" s="153">
        <f>_xll.qlCalendarAdvance(Calendar,X2804,NDays&amp;"D")</f>
        <v>58600</v>
      </c>
      <c r="Z2804" s="154">
        <v>2.7409224082900339E-2</v>
      </c>
      <c r="AA2804" s="156">
        <v>2.729105143026489E-2</v>
      </c>
    </row>
    <row r="2805" spans="19:27" x14ac:dyDescent="0.2">
      <c r="S2805" s="1"/>
      <c r="T2805" s="117"/>
      <c r="W2805" s="75" t="str">
        <f t="shared" si="54"/>
        <v>1w</v>
      </c>
      <c r="X2805" s="148">
        <f>_xll.qlCalendarAdvance(Calendar,X2804,W2805,"f",FALSE)</f>
        <v>58607</v>
      </c>
      <c r="Y2805" s="153">
        <f>_xll.qlCalendarAdvance(Calendar,X2805,NDays&amp;"D")</f>
        <v>58607</v>
      </c>
      <c r="Z2805" s="154">
        <v>2.7413091216893753E-2</v>
      </c>
      <c r="AA2805" s="156">
        <v>2.7294885795051682E-2</v>
      </c>
    </row>
    <row r="2806" spans="19:27" x14ac:dyDescent="0.2">
      <c r="S2806" s="1"/>
      <c r="T2806" s="117"/>
      <c r="W2806" s="75" t="str">
        <f t="shared" si="54"/>
        <v>1w</v>
      </c>
      <c r="X2806" s="148">
        <f>_xll.qlCalendarAdvance(Calendar,X2805,W2806,"f",FALSE)</f>
        <v>58614</v>
      </c>
      <c r="Y2806" s="153">
        <f>_xll.qlCalendarAdvance(Calendar,X2806,NDays&amp;"D")</f>
        <v>58614</v>
      </c>
      <c r="Z2806" s="154">
        <v>2.7416959364728571E-2</v>
      </c>
      <c r="AA2806" s="156">
        <v>2.7298721163434569E-2</v>
      </c>
    </row>
    <row r="2807" spans="19:27" x14ac:dyDescent="0.2">
      <c r="S2807" s="1"/>
      <c r="T2807" s="117"/>
      <c r="W2807" s="75" t="str">
        <f t="shared" si="54"/>
        <v>1w</v>
      </c>
      <c r="X2807" s="148">
        <f>_xll.qlCalendarAdvance(Calendar,X2806,W2807,"f",FALSE)</f>
        <v>58621</v>
      </c>
      <c r="Y2807" s="153">
        <f>_xll.qlCalendarAdvance(Calendar,X2807,NDays&amp;"D")</f>
        <v>58621</v>
      </c>
      <c r="Z2807" s="154">
        <v>2.7420828526405674E-2</v>
      </c>
      <c r="AA2807" s="156">
        <v>2.7302557535089367E-2</v>
      </c>
    </row>
    <row r="2808" spans="19:27" x14ac:dyDescent="0.2">
      <c r="S2808" s="1"/>
      <c r="T2808" s="117"/>
      <c r="W2808" s="75" t="str">
        <f t="shared" si="54"/>
        <v>1w</v>
      </c>
      <c r="X2808" s="148">
        <f>_xll.qlCalendarAdvance(Calendar,X2807,W2808,"f",FALSE)</f>
        <v>58628</v>
      </c>
      <c r="Y2808" s="153">
        <f>_xll.qlCalendarAdvance(Calendar,X2808,NDays&amp;"D")</f>
        <v>58628</v>
      </c>
      <c r="Z2808" s="154">
        <v>2.742469870192682E-2</v>
      </c>
      <c r="AA2808" s="156">
        <v>2.7306394909772935E-2</v>
      </c>
    </row>
    <row r="2809" spans="19:27" x14ac:dyDescent="0.2">
      <c r="S2809" s="1"/>
      <c r="T2809" s="117"/>
      <c r="W2809" s="75" t="str">
        <f t="shared" si="54"/>
        <v>1w</v>
      </c>
      <c r="X2809" s="148">
        <f>_xll.qlCalendarAdvance(Calendar,X2808,W2809,"f",FALSE)</f>
        <v>58635</v>
      </c>
      <c r="Y2809" s="153">
        <f>_xll.qlCalendarAdvance(Calendar,X2809,NDays&amp;"D")</f>
        <v>58635</v>
      </c>
      <c r="Z2809" s="154">
        <v>2.7428569891298177E-2</v>
      </c>
      <c r="AA2809" s="156">
        <v>2.7310233287971553E-2</v>
      </c>
    </row>
    <row r="2810" spans="19:27" x14ac:dyDescent="0.2">
      <c r="S2810" s="1"/>
      <c r="T2810" s="117"/>
      <c r="W2810" s="75" t="str">
        <f t="shared" si="54"/>
        <v>1w</v>
      </c>
      <c r="X2810" s="148">
        <f>_xll.qlCalendarAdvance(Calendar,X2809,W2810,"f",FALSE)</f>
        <v>58642</v>
      </c>
      <c r="Y2810" s="153">
        <f>_xll.qlCalendarAdvance(Calendar,X2810,NDays&amp;"D")</f>
        <v>58642</v>
      </c>
      <c r="Z2810" s="154">
        <v>2.7432442094520629E-2</v>
      </c>
      <c r="AA2810" s="156">
        <v>2.731407266944208E-2</v>
      </c>
    </row>
    <row r="2811" spans="19:27" x14ac:dyDescent="0.2">
      <c r="S2811" s="1"/>
      <c r="T2811" s="117"/>
      <c r="W2811" s="75" t="str">
        <f t="shared" si="54"/>
        <v>1w</v>
      </c>
      <c r="X2811" s="148">
        <f>_xll.qlCalendarAdvance(Calendar,X2810,W2811,"f",FALSE)</f>
        <v>58649</v>
      </c>
      <c r="Y2811" s="153">
        <f>_xll.qlCalendarAdvance(Calendar,X2811,NDays&amp;"D")</f>
        <v>58649</v>
      </c>
      <c r="Z2811" s="154">
        <v>2.7436315311596814E-2</v>
      </c>
      <c r="AA2811" s="156">
        <v>2.7317913054103471E-2</v>
      </c>
    </row>
    <row r="2812" spans="19:27" x14ac:dyDescent="0.2">
      <c r="S2812" s="1"/>
      <c r="T2812" s="117"/>
      <c r="W2812" s="75" t="str">
        <f t="shared" si="54"/>
        <v>1w</v>
      </c>
      <c r="X2812" s="148">
        <f>_xll.qlCalendarAdvance(Calendar,X2811,W2812,"f",FALSE)</f>
        <v>58656</v>
      </c>
      <c r="Y2812" s="153">
        <f>_xll.qlCalendarAdvance(Calendar,X2812,NDays&amp;"D")</f>
        <v>58656</v>
      </c>
      <c r="Z2812" s="154">
        <v>2.7440189542529376E-2</v>
      </c>
      <c r="AA2812" s="156">
        <v>2.7321754441874679E-2</v>
      </c>
    </row>
    <row r="2813" spans="19:27" x14ac:dyDescent="0.2">
      <c r="S2813" s="1"/>
      <c r="T2813" s="117"/>
      <c r="W2813" s="75" t="str">
        <f t="shared" si="54"/>
        <v>1w</v>
      </c>
      <c r="X2813" s="148">
        <f>_xll.qlCalendarAdvance(Calendar,X2812,W2813,"f",FALSE)</f>
        <v>58663</v>
      </c>
      <c r="Y2813" s="153">
        <f>_xll.qlCalendarAdvance(Calendar,X2813,NDays&amp;"D")</f>
        <v>58663</v>
      </c>
      <c r="Z2813" s="154">
        <v>2.744406478732184E-2</v>
      </c>
      <c r="AA2813" s="156">
        <v>2.7325596833160937E-2</v>
      </c>
    </row>
    <row r="2814" spans="19:27" x14ac:dyDescent="0.2">
      <c r="S2814" s="1"/>
      <c r="T2814" s="117"/>
      <c r="W2814" s="75" t="str">
        <f t="shared" si="54"/>
        <v>1w</v>
      </c>
      <c r="X2814" s="148">
        <f>_xll.qlCalendarAdvance(Calendar,X2813,W2814,"f",FALSE)</f>
        <v>58670</v>
      </c>
      <c r="Y2814" s="153">
        <f>_xll.qlCalendarAdvance(Calendar,X2814,NDays&amp;"D")</f>
        <v>58670</v>
      </c>
      <c r="Z2814" s="154">
        <v>2.7447941045978613E-2</v>
      </c>
      <c r="AA2814" s="156">
        <v>2.7329440227719104E-2</v>
      </c>
    </row>
    <row r="2815" spans="19:27" x14ac:dyDescent="0.2">
      <c r="S2815" s="1"/>
      <c r="T2815" s="117"/>
      <c r="W2815" s="75" t="str">
        <f t="shared" si="54"/>
        <v>1w</v>
      </c>
      <c r="X2815" s="148">
        <f>_xll.qlCalendarAdvance(Calendar,X2814,W2815,"f",FALSE)</f>
        <v>58677</v>
      </c>
      <c r="Y2815" s="153">
        <f>_xll.qlCalendarAdvance(Calendar,X2815,NDays&amp;"D")</f>
        <v>58677</v>
      </c>
      <c r="Z2815" s="154">
        <v>2.7451818318500572E-2</v>
      </c>
      <c r="AA2815" s="156">
        <v>2.7333284625468135E-2</v>
      </c>
    </row>
    <row r="2816" spans="19:27" x14ac:dyDescent="0.2">
      <c r="S2816" s="1"/>
      <c r="T2816" s="117"/>
      <c r="W2816" s="75" t="str">
        <f t="shared" si="54"/>
        <v>1w</v>
      </c>
      <c r="X2816" s="148">
        <f>_xll.qlCalendarAdvance(Calendar,X2815,W2816,"f",FALSE)</f>
        <v>58684</v>
      </c>
      <c r="Y2816" s="153">
        <f>_xll.qlCalendarAdvance(Calendar,X2816,NDays&amp;"D")</f>
        <v>58684</v>
      </c>
      <c r="Z2816" s="154">
        <v>2.7454389190324953E-2</v>
      </c>
      <c r="AA2816" s="156">
        <v>2.733713002640803E-2</v>
      </c>
    </row>
    <row r="2817" spans="19:27" x14ac:dyDescent="0.2">
      <c r="S2817" s="1"/>
      <c r="T2817" s="117"/>
      <c r="W2817" s="75" t="str">
        <f t="shared" si="54"/>
        <v>1w</v>
      </c>
      <c r="X2817" s="148">
        <f>_xll.qlCalendarAdvance(Calendar,X2816,W2817,"f",FALSE)</f>
        <v>58691</v>
      </c>
      <c r="Y2817" s="153">
        <f>_xll.qlCalendarAdvance(Calendar,X2817,NDays&amp;"D")</f>
        <v>58691</v>
      </c>
      <c r="Z2817" s="154">
        <v>2.7458268127367971E-2</v>
      </c>
      <c r="AA2817" s="156">
        <v>2.7340976430862973E-2</v>
      </c>
    </row>
    <row r="2818" spans="19:27" x14ac:dyDescent="0.2">
      <c r="S2818" s="1"/>
      <c r="T2818" s="117"/>
      <c r="W2818" s="75" t="str">
        <f t="shared" si="54"/>
        <v>1w</v>
      </c>
      <c r="X2818" s="148">
        <f>_xll.qlCalendarAdvance(Calendar,X2817,W2818,"f",FALSE)</f>
        <v>58698</v>
      </c>
      <c r="Y2818" s="153">
        <f>_xll.qlCalendarAdvance(Calendar,X2818,NDays&amp;"D")</f>
        <v>58698</v>
      </c>
      <c r="Z2818" s="154">
        <v>2.7462148078167263E-2</v>
      </c>
      <c r="AA2818" s="156">
        <v>2.7344823838508781E-2</v>
      </c>
    </row>
    <row r="2819" spans="19:27" x14ac:dyDescent="0.2">
      <c r="S2819" s="1"/>
      <c r="T2819" s="117"/>
      <c r="W2819" s="75" t="str">
        <f t="shared" si="54"/>
        <v>1w</v>
      </c>
      <c r="X2819" s="148">
        <f>_xll.qlCalendarAdvance(Calendar,X2818,W2819,"f",FALSE)</f>
        <v>58705</v>
      </c>
      <c r="Y2819" s="153">
        <f>_xll.qlCalendarAdvance(Calendar,X2819,NDays&amp;"D")</f>
        <v>58705</v>
      </c>
      <c r="Z2819" s="154">
        <v>2.7466029042725496E-2</v>
      </c>
      <c r="AA2819" s="156">
        <v>2.7348672249345451E-2</v>
      </c>
    </row>
    <row r="2820" spans="19:27" x14ac:dyDescent="0.2">
      <c r="S2820" s="1"/>
      <c r="T2820" s="117"/>
      <c r="W2820" s="75" t="str">
        <f t="shared" si="54"/>
        <v>1w</v>
      </c>
      <c r="X2820" s="148">
        <f>_xll.qlCalendarAdvance(Calendar,X2819,W2820,"f",FALSE)</f>
        <v>58712</v>
      </c>
      <c r="Y2820" s="153">
        <f>_xll.qlCalendarAdvance(Calendar,X2820,NDays&amp;"D")</f>
        <v>58712</v>
      </c>
      <c r="Z2820" s="154">
        <v>2.7471219889202699E-2</v>
      </c>
      <c r="AA2820" s="156">
        <v>2.7352521663535079E-2</v>
      </c>
    </row>
    <row r="2821" spans="19:27" x14ac:dyDescent="0.2">
      <c r="S2821" s="1"/>
      <c r="T2821" s="117"/>
      <c r="W2821" s="75" t="str">
        <f t="shared" si="54"/>
        <v>1w</v>
      </c>
      <c r="X2821" s="148">
        <f>_xll.qlCalendarAdvance(Calendar,X2820,W2821,"f",FALSE)</f>
        <v>58719</v>
      </c>
      <c r="Y2821" s="153">
        <f>_xll.qlCalendarAdvance(Calendar,X2821,NDays&amp;"D")</f>
        <v>58719</v>
      </c>
      <c r="Z2821" s="154">
        <v>2.7475103244983617E-2</v>
      </c>
      <c r="AA2821" s="156">
        <v>2.7356372080996616E-2</v>
      </c>
    </row>
    <row r="2822" spans="19:27" x14ac:dyDescent="0.2">
      <c r="S2822" s="1"/>
      <c r="T2822" s="117"/>
      <c r="W2822" s="75" t="str">
        <f t="shared" si="54"/>
        <v>1w</v>
      </c>
      <c r="X2822" s="148">
        <f>_xll.qlCalendarAdvance(Calendar,X2821,W2822,"f",FALSE)</f>
        <v>58726</v>
      </c>
      <c r="Y2822" s="153">
        <f>_xll.qlCalendarAdvance(Calendar,X2822,NDays&amp;"D")</f>
        <v>58726</v>
      </c>
      <c r="Z2822" s="154">
        <v>2.747898761464998E-2</v>
      </c>
      <c r="AA2822" s="156">
        <v>2.7360223501730063E-2</v>
      </c>
    </row>
    <row r="2823" spans="19:27" x14ac:dyDescent="0.2">
      <c r="S2823" s="1"/>
      <c r="T2823" s="117"/>
      <c r="W2823" s="75" t="str">
        <f t="shared" si="54"/>
        <v>1w</v>
      </c>
      <c r="X2823" s="148">
        <f>_xll.qlCalendarAdvance(Calendar,X2822,W2823,"f",FALSE)</f>
        <v>58733</v>
      </c>
      <c r="Y2823" s="153">
        <f>_xll.qlCalendarAdvance(Calendar,X2823,NDays&amp;"D")</f>
        <v>58733</v>
      </c>
      <c r="Z2823" s="154">
        <v>2.7482872998204438E-2</v>
      </c>
      <c r="AA2823" s="156">
        <v>2.736407592573542E-2</v>
      </c>
    </row>
    <row r="2824" spans="19:27" x14ac:dyDescent="0.2">
      <c r="S2824" s="1"/>
      <c r="T2824" s="117"/>
      <c r="W2824" s="75" t="str">
        <f t="shared" si="54"/>
        <v>1w</v>
      </c>
      <c r="X2824" s="148">
        <f>_xll.qlCalendarAdvance(Calendar,X2823,W2824,"f",FALSE)</f>
        <v>58740</v>
      </c>
      <c r="Y2824" s="153">
        <f>_xll.qlCalendarAdvance(Calendar,X2824,NDays&amp;"D")</f>
        <v>58740</v>
      </c>
      <c r="Z2824" s="154">
        <v>2.7486759395654033E-2</v>
      </c>
      <c r="AA2824" s="156">
        <v>2.7367929353093734E-2</v>
      </c>
    </row>
    <row r="2825" spans="19:27" x14ac:dyDescent="0.2">
      <c r="S2825" s="1"/>
      <c r="T2825" s="117"/>
      <c r="W2825" s="75" t="str">
        <f t="shared" si="54"/>
        <v>1w</v>
      </c>
      <c r="X2825" s="148">
        <f>_xll.qlCalendarAdvance(Calendar,X2824,W2825,"f",FALSE)</f>
        <v>58747</v>
      </c>
      <c r="Y2825" s="153">
        <f>_xll.qlCalendarAdvance(Calendar,X2825,NDays&amp;"D")</f>
        <v>58747</v>
      </c>
      <c r="Z2825" s="154">
        <v>2.7490646806996127E-2</v>
      </c>
      <c r="AA2825" s="156">
        <v>2.7371783783642911E-2</v>
      </c>
    </row>
    <row r="2826" spans="19:27" x14ac:dyDescent="0.2">
      <c r="S2826" s="1"/>
      <c r="T2826" s="117"/>
      <c r="W2826" s="75" t="str">
        <f t="shared" si="54"/>
        <v>1w</v>
      </c>
      <c r="X2826" s="148">
        <f>_xll.qlCalendarAdvance(Calendar,X2825,W2826,"f",FALSE)</f>
        <v>58754</v>
      </c>
      <c r="Y2826" s="153">
        <f>_xll.qlCalendarAdvance(Calendar,X2826,NDays&amp;"D")</f>
        <v>58754</v>
      </c>
      <c r="Z2826" s="154">
        <v>2.7494535232240408E-2</v>
      </c>
      <c r="AA2826" s="156">
        <v>2.7375639217463998E-2</v>
      </c>
    </row>
    <row r="2827" spans="19:27" x14ac:dyDescent="0.2">
      <c r="S2827" s="1"/>
      <c r="T2827" s="117"/>
      <c r="W2827" s="75" t="str">
        <f t="shared" si="54"/>
        <v>1w</v>
      </c>
      <c r="X2827" s="148">
        <f>_xll.qlCalendarAdvance(Calendar,X2826,W2827,"f",FALSE)</f>
        <v>58761</v>
      </c>
      <c r="Y2827" s="153">
        <f>_xll.qlCalendarAdvance(Calendar,X2827,NDays&amp;"D")</f>
        <v>58761</v>
      </c>
      <c r="Z2827" s="154">
        <v>2.7498424671382467E-2</v>
      </c>
      <c r="AA2827" s="156">
        <v>2.7379495654556996E-2</v>
      </c>
    </row>
    <row r="2828" spans="19:27" x14ac:dyDescent="0.2">
      <c r="S2828" s="1"/>
      <c r="T2828" s="117"/>
      <c r="W2828" s="75" t="str">
        <f t="shared" si="54"/>
        <v>1w</v>
      </c>
      <c r="X2828" s="148">
        <f>_xll.qlCalendarAdvance(Calendar,X2827,W2828,"f",FALSE)</f>
        <v>58768</v>
      </c>
      <c r="Y2828" s="153">
        <f>_xll.qlCalendarAdvance(Calendar,X2828,NDays&amp;"D")</f>
        <v>58768</v>
      </c>
      <c r="Z2828" s="154">
        <v>2.750231512443024E-2</v>
      </c>
      <c r="AA2828" s="156">
        <v>2.7383353095002949E-2</v>
      </c>
    </row>
    <row r="2829" spans="19:27" x14ac:dyDescent="0.2">
      <c r="S2829" s="1"/>
      <c r="T2829" s="117"/>
      <c r="W2829" s="75" t="str">
        <f t="shared" si="54"/>
        <v>1w</v>
      </c>
      <c r="X2829" s="148">
        <f>_xll.qlCalendarAdvance(Calendar,X2828,W2829,"f",FALSE)</f>
        <v>58775</v>
      </c>
      <c r="Y2829" s="153">
        <f>_xll.qlCalendarAdvance(Calendar,X2829,NDays&amp;"D")</f>
        <v>58775</v>
      </c>
      <c r="Z2829" s="154">
        <v>2.7503582400669191E-2</v>
      </c>
      <c r="AA2829" s="156">
        <v>2.7387211538720813E-2</v>
      </c>
    </row>
    <row r="2830" spans="19:27" x14ac:dyDescent="0.2">
      <c r="S2830" s="1"/>
      <c r="T2830" s="117"/>
      <c r="W2830" s="75" t="str">
        <f t="shared" si="54"/>
        <v>1w</v>
      </c>
      <c r="X2830" s="148">
        <f>_xll.qlCalendarAdvance(Calendar,X2829,W2830,"f",FALSE)</f>
        <v>58782</v>
      </c>
      <c r="Y2830" s="153">
        <f>_xll.qlCalendarAdvance(Calendar,X2830,NDays&amp;"D")</f>
        <v>58782</v>
      </c>
      <c r="Z2830" s="154">
        <v>2.7507474152079735E-2</v>
      </c>
      <c r="AA2830" s="156">
        <v>2.739107098562954E-2</v>
      </c>
    </row>
    <row r="2831" spans="19:27" x14ac:dyDescent="0.2">
      <c r="S2831" s="1"/>
      <c r="T2831" s="117"/>
      <c r="W2831" s="75" t="str">
        <f t="shared" si="54"/>
        <v>1w</v>
      </c>
      <c r="X2831" s="148">
        <f>_xll.qlCalendarAdvance(Calendar,X2830,W2831,"f",FALSE)</f>
        <v>58789</v>
      </c>
      <c r="Y2831" s="153">
        <f>_xll.qlCalendarAdvance(Calendar,X2831,NDays&amp;"D")</f>
        <v>58789</v>
      </c>
      <c r="Z2831" s="154">
        <v>2.7511366917168528E-2</v>
      </c>
      <c r="AA2831" s="156">
        <v>2.7394931435810177E-2</v>
      </c>
    </row>
    <row r="2832" spans="19:27" x14ac:dyDescent="0.2">
      <c r="S2832" s="1"/>
      <c r="T2832" s="117"/>
      <c r="W2832" s="75" t="str">
        <f t="shared" si="54"/>
        <v>1w</v>
      </c>
      <c r="X2832" s="148">
        <f>_xll.qlCalendarAdvance(Calendar,X2831,W2832,"f",FALSE)</f>
        <v>58796</v>
      </c>
      <c r="Y2832" s="153">
        <f>_xll.qlCalendarAdvance(Calendar,X2832,NDays&amp;"D")</f>
        <v>58796</v>
      </c>
      <c r="Z2832" s="154">
        <v>2.7515260695938275E-2</v>
      </c>
      <c r="AA2832" s="156">
        <v>2.7398792889505863E-2</v>
      </c>
    </row>
    <row r="2833" spans="19:27" x14ac:dyDescent="0.2">
      <c r="S2833" s="1"/>
      <c r="T2833" s="117"/>
      <c r="W2833" s="75" t="str">
        <f t="shared" si="54"/>
        <v>1w</v>
      </c>
      <c r="X2833" s="148">
        <f>_xll.qlCalendarAdvance(Calendar,X2832,W2833,"f",FALSE)</f>
        <v>58804</v>
      </c>
      <c r="Y2833" s="153">
        <f>_xll.qlCalendarAdvance(Calendar,X2833,NDays&amp;"D")</f>
        <v>58804</v>
      </c>
      <c r="Z2833" s="154">
        <v>2.7519711970063261E-2</v>
      </c>
      <c r="AA2833" s="156">
        <v>2.7403207207781222E-2</v>
      </c>
    </row>
    <row r="2834" spans="19:27" x14ac:dyDescent="0.2">
      <c r="S2834" s="1"/>
      <c r="T2834" s="117"/>
      <c r="W2834" s="75" t="str">
        <f t="shared" si="54"/>
        <v>1w</v>
      </c>
      <c r="X2834" s="148">
        <f>_xll.qlCalendarAdvance(Calendar,X2833,W2834,"f",FALSE)</f>
        <v>58811</v>
      </c>
      <c r="Y2834" s="153">
        <f>_xll.qlCalendarAdvance(Calendar,X2834,NDays&amp;"D")</f>
        <v>58811</v>
      </c>
      <c r="Z2834" s="154">
        <v>2.7523607921015616E-2</v>
      </c>
      <c r="AA2834" s="156">
        <v>2.7407070811229506E-2</v>
      </c>
    </row>
    <row r="2835" spans="19:27" x14ac:dyDescent="0.2">
      <c r="S2835" s="1"/>
      <c r="T2835" s="117"/>
      <c r="W2835" s="75" t="str">
        <f t="shared" si="54"/>
        <v>1w</v>
      </c>
      <c r="X2835" s="148">
        <f>_xll.qlCalendarAdvance(Calendar,X2834,W2835,"f",FALSE)</f>
        <v>58818</v>
      </c>
      <c r="Y2835" s="153">
        <f>_xll.qlCalendarAdvance(Calendar,X2835,NDays&amp;"D")</f>
        <v>58818</v>
      </c>
      <c r="Z2835" s="154">
        <v>2.752750488565793E-2</v>
      </c>
      <c r="AA2835" s="156">
        <v>2.7410935417787607E-2</v>
      </c>
    </row>
    <row r="2836" spans="19:27" x14ac:dyDescent="0.2">
      <c r="S2836" s="1"/>
      <c r="T2836" s="117"/>
      <c r="W2836" s="75" t="str">
        <f t="shared" si="54"/>
        <v>1w</v>
      </c>
      <c r="X2836" s="148">
        <f>_xll.qlCalendarAdvance(Calendar,X2835,W2836,"f",FALSE)</f>
        <v>58825</v>
      </c>
      <c r="Y2836" s="153">
        <f>_xll.qlCalendarAdvance(Calendar,X2836,NDays&amp;"D")</f>
        <v>58825</v>
      </c>
      <c r="Z2836" s="154">
        <v>2.7531402863992905E-2</v>
      </c>
      <c r="AA2836" s="156">
        <v>2.7414801027779712E-2</v>
      </c>
    </row>
    <row r="2837" spans="19:27" x14ac:dyDescent="0.2">
      <c r="S2837" s="1"/>
      <c r="T2837" s="117"/>
      <c r="W2837" s="75" t="str">
        <f t="shared" ref="W2837:W2900" si="55">W2836</f>
        <v>1w</v>
      </c>
      <c r="X2837" s="148">
        <f>_xll.qlCalendarAdvance(Calendar,X2836,W2837,"f",FALSE)</f>
        <v>58832</v>
      </c>
      <c r="Y2837" s="153">
        <f>_xll.qlCalendarAdvance(Calendar,X2837,NDays&amp;"D")</f>
        <v>58832</v>
      </c>
      <c r="Z2837" s="154">
        <v>2.753530185602324E-2</v>
      </c>
      <c r="AA2837" s="156">
        <v>2.7418667641043726E-2</v>
      </c>
    </row>
    <row r="2838" spans="19:27" x14ac:dyDescent="0.2">
      <c r="S2838" s="1"/>
      <c r="T2838" s="117"/>
      <c r="W2838" s="75" t="str">
        <f t="shared" si="55"/>
        <v>1w</v>
      </c>
      <c r="X2838" s="148">
        <f>_xll.qlCalendarAdvance(Calendar,X2837,W2838,"f",FALSE)</f>
        <v>58839</v>
      </c>
      <c r="Y2838" s="153">
        <f>_xll.qlCalendarAdvance(Calendar,X2838,NDays&amp;"D")</f>
        <v>58839</v>
      </c>
      <c r="Z2838" s="154">
        <v>2.7539201861754344E-2</v>
      </c>
      <c r="AA2838" s="156">
        <v>2.7422535257741742E-2</v>
      </c>
    </row>
    <row r="2839" spans="19:27" x14ac:dyDescent="0.2">
      <c r="S2839" s="1"/>
      <c r="T2839" s="117"/>
      <c r="W2839" s="75" t="str">
        <f t="shared" si="55"/>
        <v>1w</v>
      </c>
      <c r="X2839" s="148">
        <f>_xll.qlCalendarAdvance(Calendar,X2838,W2839,"f",FALSE)</f>
        <v>58846</v>
      </c>
      <c r="Y2839" s="153">
        <f>_xll.qlCalendarAdvance(Calendar,X2839,NDays&amp;"D")</f>
        <v>58846</v>
      </c>
      <c r="Z2839" s="154">
        <v>2.7541787232263838E-2</v>
      </c>
      <c r="AA2839" s="156">
        <v>2.7426403877387484E-2</v>
      </c>
    </row>
    <row r="2840" spans="19:27" x14ac:dyDescent="0.2">
      <c r="S2840" s="1"/>
      <c r="T2840" s="117"/>
      <c r="W2840" s="75" t="str">
        <f t="shared" si="55"/>
        <v>1w</v>
      </c>
      <c r="X2840" s="148">
        <f>_xll.qlCalendarAdvance(Calendar,X2839,W2840,"f",FALSE)</f>
        <v>58853</v>
      </c>
      <c r="Y2840" s="153">
        <f>_xll.qlCalendarAdvance(Calendar,X2840,NDays&amp;"D")</f>
        <v>58853</v>
      </c>
      <c r="Z2840" s="154">
        <v>2.7545688899535001E-2</v>
      </c>
      <c r="AA2840" s="156">
        <v>2.7430273500548275E-2</v>
      </c>
    </row>
    <row r="2841" spans="19:27" x14ac:dyDescent="0.2">
      <c r="S2841" s="1"/>
      <c r="T2841" s="117"/>
      <c r="W2841" s="75" t="str">
        <f t="shared" si="55"/>
        <v>1w</v>
      </c>
      <c r="X2841" s="148">
        <f>_xll.qlCalendarAdvance(Calendar,X2840,W2841,"f",FALSE)</f>
        <v>58860</v>
      </c>
      <c r="Y2841" s="153">
        <f>_xll.qlCalendarAdvance(Calendar,X2841,NDays&amp;"D")</f>
        <v>58860</v>
      </c>
      <c r="Z2841" s="154">
        <v>2.7549591580399182E-2</v>
      </c>
      <c r="AA2841" s="156">
        <v>2.7434144126818882E-2</v>
      </c>
    </row>
    <row r="2842" spans="19:27" x14ac:dyDescent="0.2">
      <c r="S2842" s="1"/>
      <c r="T2842" s="117"/>
      <c r="W2842" s="75" t="str">
        <f t="shared" si="55"/>
        <v>1w</v>
      </c>
      <c r="X2842" s="148">
        <f>_xll.qlCalendarAdvance(Calendar,X2841,W2842,"f",FALSE)</f>
        <v>58867</v>
      </c>
      <c r="Y2842" s="153">
        <f>_xll.qlCalendarAdvance(Calendar,X2842,NDays&amp;"D")</f>
        <v>58867</v>
      </c>
      <c r="Z2842" s="154">
        <v>2.7557445818338269E-2</v>
      </c>
      <c r="AA2842" s="156">
        <v>2.7438015756523493E-2</v>
      </c>
    </row>
    <row r="2843" spans="19:27" x14ac:dyDescent="0.2">
      <c r="S2843" s="1"/>
      <c r="T2843" s="117"/>
      <c r="W2843" s="75" t="str">
        <f t="shared" si="55"/>
        <v>1w</v>
      </c>
      <c r="X2843" s="148">
        <f>_xll.qlCalendarAdvance(Calendar,X2842,W2843,"f",FALSE)</f>
        <v>58874</v>
      </c>
      <c r="Y2843" s="153">
        <f>_xll.qlCalendarAdvance(Calendar,X2843,NDays&amp;"D")</f>
        <v>58874</v>
      </c>
      <c r="Z2843" s="154">
        <v>2.7561351625154659E-2</v>
      </c>
      <c r="AA2843" s="156">
        <v>2.7441888389418967E-2</v>
      </c>
    </row>
    <row r="2844" spans="19:27" x14ac:dyDescent="0.2">
      <c r="S2844" s="1"/>
      <c r="T2844" s="117"/>
      <c r="W2844" s="75" t="str">
        <f t="shared" si="55"/>
        <v>1w</v>
      </c>
      <c r="X2844" s="148">
        <f>_xll.qlCalendarAdvance(Calendar,X2843,W2844,"f",FALSE)</f>
        <v>58881</v>
      </c>
      <c r="Y2844" s="153">
        <f>_xll.qlCalendarAdvance(Calendar,X2844,NDays&amp;"D")</f>
        <v>58881</v>
      </c>
      <c r="Z2844" s="154">
        <v>2.7565258445924331E-2</v>
      </c>
      <c r="AA2844" s="156">
        <v>2.744576202582949E-2</v>
      </c>
    </row>
    <row r="2845" spans="19:27" x14ac:dyDescent="0.2">
      <c r="S2845" s="1"/>
      <c r="T2845" s="117"/>
      <c r="W2845" s="75" t="str">
        <f t="shared" si="55"/>
        <v>1w</v>
      </c>
      <c r="X2845" s="148">
        <f>_xll.qlCalendarAdvance(Calendar,X2844,W2845,"f",FALSE)</f>
        <v>58888</v>
      </c>
      <c r="Y2845" s="153">
        <f>_xll.qlCalendarAdvance(Calendar,X2845,NDays&amp;"D")</f>
        <v>58888</v>
      </c>
      <c r="Z2845" s="154">
        <v>2.7569166280649929E-2</v>
      </c>
      <c r="AA2845" s="156">
        <v>2.744963666534983E-2</v>
      </c>
    </row>
    <row r="2846" spans="19:27" x14ac:dyDescent="0.2">
      <c r="S2846" s="1"/>
      <c r="T2846" s="117"/>
      <c r="W2846" s="75" t="str">
        <f t="shared" si="55"/>
        <v>1w</v>
      </c>
      <c r="X2846" s="148">
        <f>_xll.qlCalendarAdvance(Calendar,X2845,W2846,"f",FALSE)</f>
        <v>58895</v>
      </c>
      <c r="Y2846" s="153">
        <f>_xll.qlCalendarAdvance(Calendar,X2846,NDays&amp;"D")</f>
        <v>58895</v>
      </c>
      <c r="Z2846" s="154">
        <v>2.757307512933057E-2</v>
      </c>
      <c r="AA2846" s="156">
        <v>2.7453512307979988E-2</v>
      </c>
    </row>
    <row r="2847" spans="19:27" x14ac:dyDescent="0.2">
      <c r="S2847" s="1"/>
      <c r="T2847" s="117"/>
      <c r="W2847" s="75" t="str">
        <f t="shared" si="55"/>
        <v>1w</v>
      </c>
      <c r="X2847" s="148">
        <f>_xll.qlCalendarAdvance(Calendar,X2846,W2847,"f",FALSE)</f>
        <v>58902</v>
      </c>
      <c r="Y2847" s="153">
        <f>_xll.qlCalendarAdvance(Calendar,X2847,NDays&amp;"D")</f>
        <v>58902</v>
      </c>
      <c r="Z2847" s="154">
        <v>2.757566621052478E-2</v>
      </c>
      <c r="AA2847" s="156">
        <v>2.7457388954044148E-2</v>
      </c>
    </row>
    <row r="2848" spans="19:27" x14ac:dyDescent="0.2">
      <c r="S2848" s="1"/>
      <c r="T2848" s="117"/>
      <c r="W2848" s="75" t="str">
        <f t="shared" si="55"/>
        <v>1w</v>
      </c>
      <c r="X2848" s="148">
        <f>_xll.qlCalendarAdvance(Calendar,X2847,W2848,"f",FALSE)</f>
        <v>58909</v>
      </c>
      <c r="Y2848" s="153">
        <f>_xll.qlCalendarAdvance(Calendar,X2848,NDays&amp;"D")</f>
        <v>58909</v>
      </c>
      <c r="Z2848" s="154">
        <v>2.7579576720245511E-2</v>
      </c>
      <c r="AA2848" s="156">
        <v>2.7461266603299173E-2</v>
      </c>
    </row>
    <row r="2849" spans="19:27" x14ac:dyDescent="0.2">
      <c r="S2849" s="1"/>
      <c r="T2849" s="117"/>
      <c r="W2849" s="75" t="str">
        <f t="shared" si="55"/>
        <v>1w</v>
      </c>
      <c r="X2849" s="148">
        <f>_xll.qlCalendarAdvance(Calendar,X2848,W2849,"f",FALSE)</f>
        <v>58916</v>
      </c>
      <c r="Y2849" s="153">
        <f>_xll.qlCalendarAdvance(Calendar,X2849,NDays&amp;"D")</f>
        <v>58916</v>
      </c>
      <c r="Z2849" s="154">
        <v>2.7583488243816914E-2</v>
      </c>
      <c r="AA2849" s="156">
        <v>2.7465145255988199E-2</v>
      </c>
    </row>
    <row r="2850" spans="19:27" x14ac:dyDescent="0.2">
      <c r="S2850" s="1"/>
      <c r="T2850" s="117"/>
      <c r="W2850" s="75" t="str">
        <f t="shared" si="55"/>
        <v>1w</v>
      </c>
      <c r="X2850" s="148">
        <f>_xll.qlCalendarAdvance(Calendar,X2849,W2850,"f",FALSE)</f>
        <v>58923</v>
      </c>
      <c r="Y2850" s="153">
        <f>_xll.qlCalendarAdvance(Calendar,X2850,NDays&amp;"D")</f>
        <v>58923</v>
      </c>
      <c r="Z2850" s="154">
        <v>2.7587400781238103E-2</v>
      </c>
      <c r="AA2850" s="156">
        <v>2.746902491186809E-2</v>
      </c>
    </row>
    <row r="2851" spans="19:27" x14ac:dyDescent="0.2">
      <c r="S2851" s="1"/>
      <c r="T2851" s="117"/>
      <c r="W2851" s="75" t="str">
        <f t="shared" si="55"/>
        <v>1w</v>
      </c>
      <c r="X2851" s="148">
        <f>_xll.qlCalendarAdvance(Calendar,X2850,W2851,"f",FALSE)</f>
        <v>58930</v>
      </c>
      <c r="Y2851" s="153">
        <f>_xll.qlCalendarAdvance(Calendar,X2851,NDays&amp;"D")</f>
        <v>58930</v>
      </c>
      <c r="Z2851" s="154">
        <v>2.7592634582217102E-2</v>
      </c>
      <c r="AA2851" s="156">
        <v>2.7472905571100936E-2</v>
      </c>
    </row>
    <row r="2852" spans="19:27" x14ac:dyDescent="0.2">
      <c r="S2852" s="1"/>
      <c r="T2852" s="117"/>
      <c r="W2852" s="75" t="str">
        <f t="shared" si="55"/>
        <v>1w</v>
      </c>
      <c r="X2852" s="148">
        <f>_xll.qlCalendarAdvance(Calendar,X2851,W2852,"f",FALSE)</f>
        <v>58937</v>
      </c>
      <c r="Y2852" s="153">
        <f>_xll.qlCalendarAdvance(Calendar,X2852,NDays&amp;"D")</f>
        <v>58937</v>
      </c>
      <c r="Z2852" s="154">
        <v>2.7596549514711688E-2</v>
      </c>
      <c r="AA2852" s="156">
        <v>2.7476787233524647E-2</v>
      </c>
    </row>
    <row r="2853" spans="19:27" x14ac:dyDescent="0.2">
      <c r="S2853" s="1"/>
      <c r="T2853" s="117"/>
      <c r="W2853" s="75" t="str">
        <f t="shared" si="55"/>
        <v>1w</v>
      </c>
      <c r="X2853" s="148">
        <f>_xll.qlCalendarAdvance(Calendar,X2852,W2853,"f",FALSE)</f>
        <v>58944</v>
      </c>
      <c r="Y2853" s="153">
        <f>_xll.qlCalendarAdvance(Calendar,X2853,NDays&amp;"D")</f>
        <v>58944</v>
      </c>
      <c r="Z2853" s="154">
        <v>2.7600465461182461E-2</v>
      </c>
      <c r="AA2853" s="156">
        <v>2.7480669899220267E-2</v>
      </c>
    </row>
    <row r="2854" spans="19:27" x14ac:dyDescent="0.2">
      <c r="S2854" s="1"/>
      <c r="T2854" s="117"/>
      <c r="W2854" s="75" t="str">
        <f t="shared" si="55"/>
        <v>1w</v>
      </c>
      <c r="X2854" s="148">
        <f>_xll.qlCalendarAdvance(Calendar,X2853,W2854,"f",FALSE)</f>
        <v>58951</v>
      </c>
      <c r="Y2854" s="153">
        <f>_xll.qlCalendarAdvance(Calendar,X2854,NDays&amp;"D")</f>
        <v>58951</v>
      </c>
      <c r="Z2854" s="154">
        <v>2.7604382421635588E-2</v>
      </c>
      <c r="AA2854" s="156">
        <v>2.7484553568268844E-2</v>
      </c>
    </row>
    <row r="2855" spans="19:27" x14ac:dyDescent="0.2">
      <c r="S2855" s="1"/>
      <c r="T2855" s="117"/>
      <c r="W2855" s="75" t="str">
        <f t="shared" si="55"/>
        <v>1w</v>
      </c>
      <c r="X2855" s="148">
        <f>_xll.qlCalendarAdvance(Calendar,X2854,W2855,"f",FALSE)</f>
        <v>58958</v>
      </c>
      <c r="Y2855" s="153">
        <f>_xll.qlCalendarAdvance(Calendar,X2855,NDays&amp;"D")</f>
        <v>58958</v>
      </c>
      <c r="Z2855" s="154">
        <v>2.7608300396073707E-2</v>
      </c>
      <c r="AA2855" s="156">
        <v>2.748843824058933E-2</v>
      </c>
    </row>
    <row r="2856" spans="19:27" x14ac:dyDescent="0.2">
      <c r="S2856" s="1"/>
      <c r="T2856" s="117"/>
      <c r="W2856" s="75" t="str">
        <f t="shared" si="55"/>
        <v>1w</v>
      </c>
      <c r="X2856" s="148">
        <f>_xll.qlCalendarAdvance(Calendar,X2855,W2856,"f",FALSE)</f>
        <v>58965</v>
      </c>
      <c r="Y2856" s="153">
        <f>_xll.qlCalendarAdvance(Calendar,X2856,NDays&amp;"D")</f>
        <v>58965</v>
      </c>
      <c r="Z2856" s="154">
        <v>2.7612219384501226E-2</v>
      </c>
      <c r="AA2856" s="156">
        <v>2.749232391610068E-2</v>
      </c>
    </row>
    <row r="2857" spans="19:27" x14ac:dyDescent="0.2">
      <c r="S2857" s="1"/>
      <c r="T2857" s="117"/>
      <c r="W2857" s="75" t="str">
        <f t="shared" si="55"/>
        <v>1w</v>
      </c>
      <c r="X2857" s="148">
        <f>_xll.qlCalendarAdvance(Calendar,X2856,W2857,"f",FALSE)</f>
        <v>58972</v>
      </c>
      <c r="Y2857" s="153">
        <f>_xll.qlCalendarAdvance(Calendar,X2857,NDays&amp;"D")</f>
        <v>58972</v>
      </c>
      <c r="Z2857" s="154">
        <v>2.7616139386917263E-2</v>
      </c>
      <c r="AA2857" s="156">
        <v>2.7496210594964987E-2</v>
      </c>
    </row>
    <row r="2858" spans="19:27" x14ac:dyDescent="0.2">
      <c r="S2858" s="1"/>
      <c r="T2858" s="117"/>
      <c r="W2858" s="75" t="str">
        <f t="shared" si="55"/>
        <v>1w</v>
      </c>
      <c r="X2858" s="148">
        <f>_xll.qlCalendarAdvance(Calendar,X2857,W2858,"f",FALSE)</f>
        <v>58979</v>
      </c>
      <c r="Y2858" s="153">
        <f>_xll.qlCalendarAdvance(Calendar,X2858,NDays&amp;"D")</f>
        <v>58979</v>
      </c>
      <c r="Z2858" s="154">
        <v>2.762006040332711E-2</v>
      </c>
      <c r="AA2858" s="156">
        <v>2.750009827718225E-2</v>
      </c>
    </row>
    <row r="2859" spans="19:27" x14ac:dyDescent="0.2">
      <c r="S2859" s="1"/>
      <c r="T2859" s="117"/>
      <c r="W2859" s="75" t="str">
        <f t="shared" si="55"/>
        <v>1w</v>
      </c>
      <c r="X2859" s="148">
        <f>_xll.qlCalendarAdvance(Calendar,X2858,W2859,"f",FALSE)</f>
        <v>58986</v>
      </c>
      <c r="Y2859" s="153">
        <f>_xll.qlCalendarAdvance(Calendar,X2859,NDays&amp;"D")</f>
        <v>58986</v>
      </c>
      <c r="Z2859" s="154">
        <v>2.7623982433735161E-2</v>
      </c>
      <c r="AA2859" s="156">
        <v>2.7503986962590377E-2</v>
      </c>
    </row>
    <row r="2860" spans="19:27" x14ac:dyDescent="0.2">
      <c r="S2860" s="1"/>
      <c r="T2860" s="117"/>
      <c r="W2860" s="75" t="str">
        <f t="shared" si="55"/>
        <v>1w</v>
      </c>
      <c r="X2860" s="148">
        <f>_xll.qlCalendarAdvance(Calendar,X2859,W2860,"f",FALSE)</f>
        <v>58993</v>
      </c>
      <c r="Y2860" s="153">
        <f>_xll.qlCalendarAdvance(Calendar,X2860,NDays&amp;"D")</f>
        <v>58993</v>
      </c>
      <c r="Z2860" s="154">
        <v>2.762790547814142E-2</v>
      </c>
      <c r="AA2860" s="156">
        <v>2.7507876651189367E-2</v>
      </c>
    </row>
    <row r="2861" spans="19:27" x14ac:dyDescent="0.2">
      <c r="S2861" s="1"/>
      <c r="T2861" s="117"/>
      <c r="W2861" s="75" t="str">
        <f t="shared" si="55"/>
        <v>1w</v>
      </c>
      <c r="X2861" s="148">
        <f>_xll.qlCalendarAdvance(Calendar,X2860,W2861,"f",FALSE)</f>
        <v>59000</v>
      </c>
      <c r="Y2861" s="153">
        <f>_xll.qlCalendarAdvance(Calendar,X2861,NDays&amp;"D")</f>
        <v>59000</v>
      </c>
      <c r="Z2861" s="154">
        <v>2.763182953655206E-2</v>
      </c>
      <c r="AA2861" s="156">
        <v>2.7511767343141313E-2</v>
      </c>
    </row>
    <row r="2862" spans="19:27" x14ac:dyDescent="0.2">
      <c r="S2862" s="1"/>
      <c r="T2862" s="117"/>
      <c r="W2862" s="75" t="str">
        <f t="shared" si="55"/>
        <v>1w</v>
      </c>
      <c r="X2862" s="148">
        <f>_xll.qlCalendarAdvance(Calendar,X2861,W2862,"f",FALSE)</f>
        <v>59007</v>
      </c>
      <c r="Y2862" s="153">
        <f>_xll.qlCalendarAdvance(Calendar,X2862,NDays&amp;"D")</f>
        <v>59007</v>
      </c>
      <c r="Z2862" s="154">
        <v>2.7635754608966188E-2</v>
      </c>
      <c r="AA2862" s="156">
        <v>2.7515659038527263E-2</v>
      </c>
    </row>
    <row r="2863" spans="19:27" x14ac:dyDescent="0.2">
      <c r="S2863" s="1"/>
      <c r="T2863" s="117"/>
      <c r="W2863" s="75" t="str">
        <f t="shared" si="55"/>
        <v>1w</v>
      </c>
      <c r="X2863" s="148">
        <f>_xll.qlCalendarAdvance(Calendar,X2862,W2863,"f",FALSE)</f>
        <v>59014</v>
      </c>
      <c r="Y2863" s="153">
        <f>_xll.qlCalendarAdvance(Calendar,X2863,NDays&amp;"D")</f>
        <v>59014</v>
      </c>
      <c r="Z2863" s="154">
        <v>2.7639680695391744E-2</v>
      </c>
      <c r="AA2863" s="156">
        <v>2.7519551737185122E-2</v>
      </c>
    </row>
    <row r="2864" spans="19:27" x14ac:dyDescent="0.2">
      <c r="S2864" s="1"/>
      <c r="T2864" s="117"/>
      <c r="W2864" s="75" t="str">
        <f t="shared" si="55"/>
        <v>1w</v>
      </c>
      <c r="X2864" s="148">
        <f>_xll.qlCalendarAdvance(Calendar,X2863,W2864,"f",FALSE)</f>
        <v>59021</v>
      </c>
      <c r="Y2864" s="153">
        <f>_xll.qlCalendarAdvance(Calendar,X2864,NDays&amp;"D")</f>
        <v>59021</v>
      </c>
      <c r="Z2864" s="154">
        <v>2.7643607795825198E-2</v>
      </c>
      <c r="AA2864" s="156">
        <v>2.7523445438790706E-2</v>
      </c>
    </row>
    <row r="2865" spans="19:27" x14ac:dyDescent="0.2">
      <c r="S2865" s="1"/>
      <c r="T2865" s="117"/>
      <c r="W2865" s="75" t="str">
        <f t="shared" si="55"/>
        <v>1w</v>
      </c>
      <c r="X2865" s="148">
        <f>_xll.qlCalendarAdvance(Calendar,X2864,W2865,"f",FALSE)</f>
        <v>59028</v>
      </c>
      <c r="Y2865" s="153">
        <f>_xll.qlCalendarAdvance(Calendar,X2865,NDays&amp;"D")</f>
        <v>59028</v>
      </c>
      <c r="Z2865" s="154">
        <v>2.7647535910275359E-2</v>
      </c>
      <c r="AA2865" s="156">
        <v>2.7527340143992385E-2</v>
      </c>
    </row>
    <row r="2866" spans="19:27" x14ac:dyDescent="0.2">
      <c r="S2866" s="1"/>
      <c r="T2866" s="117"/>
      <c r="W2866" s="75" t="str">
        <f t="shared" si="55"/>
        <v>1w</v>
      </c>
      <c r="X2866" s="148">
        <f>_xll.qlCalendarAdvance(Calendar,X2865,W2866,"f",FALSE)</f>
        <v>59035</v>
      </c>
      <c r="Y2866" s="153">
        <f>_xll.qlCalendarAdvance(Calendar,X2866,NDays&amp;"D")</f>
        <v>59035</v>
      </c>
      <c r="Z2866" s="154">
        <v>2.765146503874135E-2</v>
      </c>
      <c r="AA2866" s="156">
        <v>2.7531235852303881E-2</v>
      </c>
    </row>
    <row r="2867" spans="19:27" x14ac:dyDescent="0.2">
      <c r="S2867" s="1"/>
      <c r="T2867" s="117"/>
      <c r="W2867" s="75" t="str">
        <f t="shared" si="55"/>
        <v>1w</v>
      </c>
      <c r="X2867" s="148">
        <f>_xll.qlCalendarAdvance(Calendar,X2866,W2867,"f",FALSE)</f>
        <v>59042</v>
      </c>
      <c r="Y2867" s="153">
        <f>_xll.qlCalendarAdvance(Calendar,X2867,NDays&amp;"D")</f>
        <v>59042</v>
      </c>
      <c r="Z2867" s="154">
        <v>2.7655395181230218E-2</v>
      </c>
      <c r="AA2867" s="156">
        <v>2.7535132563968334E-2</v>
      </c>
    </row>
    <row r="2868" spans="19:27" x14ac:dyDescent="0.2">
      <c r="S2868" s="1"/>
      <c r="T2868" s="117"/>
      <c r="W2868" s="75" t="str">
        <f t="shared" si="55"/>
        <v>1w</v>
      </c>
      <c r="X2868" s="148">
        <f>_xll.qlCalendarAdvance(Calendar,X2867,W2868,"f",FALSE)</f>
        <v>59049</v>
      </c>
      <c r="Y2868" s="153">
        <f>_xll.qlCalendarAdvance(Calendar,X2868,NDays&amp;"D")</f>
        <v>59049</v>
      </c>
      <c r="Z2868" s="154">
        <v>2.765799982683782E-2</v>
      </c>
      <c r="AA2868" s="156">
        <v>2.7539030278904697E-2</v>
      </c>
    </row>
    <row r="2869" spans="19:27" x14ac:dyDescent="0.2">
      <c r="S2869" s="1"/>
      <c r="T2869" s="117"/>
      <c r="W2869" s="75" t="str">
        <f t="shared" si="55"/>
        <v>1w</v>
      </c>
      <c r="X2869" s="148">
        <f>_xll.qlCalendarAdvance(Calendar,X2868,W2869,"f",FALSE)</f>
        <v>59056</v>
      </c>
      <c r="Y2869" s="153">
        <f>_xll.qlCalendarAdvance(Calendar,X2869,NDays&amp;"D")</f>
        <v>59056</v>
      </c>
      <c r="Z2869" s="154">
        <v>2.7661931628001651E-2</v>
      </c>
      <c r="AA2869" s="156">
        <v>2.7542928997275062E-2</v>
      </c>
    </row>
    <row r="2870" spans="19:27" x14ac:dyDescent="0.2">
      <c r="S2870" s="1"/>
      <c r="T2870" s="117"/>
      <c r="W2870" s="75" t="str">
        <f t="shared" si="55"/>
        <v>1w</v>
      </c>
      <c r="X2870" s="148">
        <f>_xll.qlCalendarAdvance(Calendar,X2869,W2870,"f",FALSE)</f>
        <v>59063</v>
      </c>
      <c r="Y2870" s="153">
        <f>_xll.qlCalendarAdvance(Calendar,X2870,NDays&amp;"D")</f>
        <v>59063</v>
      </c>
      <c r="Z2870" s="154">
        <v>2.7665864443076719E-2</v>
      </c>
      <c r="AA2870" s="156">
        <v>2.7546828718674199E-2</v>
      </c>
    </row>
    <row r="2871" spans="19:27" x14ac:dyDescent="0.2">
      <c r="S2871" s="1"/>
      <c r="T2871" s="117"/>
      <c r="W2871" s="75" t="str">
        <f t="shared" si="55"/>
        <v>1w</v>
      </c>
      <c r="X2871" s="148">
        <f>_xll.qlCalendarAdvance(Calendar,X2870,W2871,"f",FALSE)</f>
        <v>59070</v>
      </c>
      <c r="Y2871" s="153">
        <f>_xll.qlCalendarAdvance(Calendar,X2871,NDays&amp;"D")</f>
        <v>59070</v>
      </c>
      <c r="Z2871" s="154">
        <v>2.7669798272063915E-2</v>
      </c>
      <c r="AA2871" s="156">
        <v>2.7550729443345245E-2</v>
      </c>
    </row>
    <row r="2872" spans="19:27" x14ac:dyDescent="0.2">
      <c r="S2872" s="1"/>
      <c r="T2872" s="117"/>
      <c r="W2872" s="75" t="str">
        <f t="shared" si="55"/>
        <v>1w</v>
      </c>
      <c r="X2872" s="148">
        <f>_xll.qlCalendarAdvance(Calendar,X2871,W2872,"f",FALSE)</f>
        <v>59077</v>
      </c>
      <c r="Y2872" s="153">
        <f>_xll.qlCalendarAdvance(Calendar,X2872,NDays&amp;"D")</f>
        <v>59077</v>
      </c>
      <c r="Z2872" s="154">
        <v>2.7673733114969477E-2</v>
      </c>
      <c r="AA2872" s="156">
        <v>2.7554631171531341E-2</v>
      </c>
    </row>
    <row r="2873" spans="19:27" x14ac:dyDescent="0.2">
      <c r="S2873" s="1"/>
      <c r="T2873" s="117"/>
      <c r="W2873" s="75" t="str">
        <f t="shared" si="55"/>
        <v>1w</v>
      </c>
      <c r="X2873" s="148">
        <f>_xll.qlCalendarAdvance(Calendar,X2872,W2873,"f",FALSE)</f>
        <v>59084</v>
      </c>
      <c r="Y2873" s="153">
        <f>_xll.qlCalendarAdvance(Calendar,X2873,NDays&amp;"D")</f>
        <v>59084</v>
      </c>
      <c r="Z2873" s="154">
        <v>2.7678997330755673E-2</v>
      </c>
      <c r="AA2873" s="156">
        <v>2.7558533902827254E-2</v>
      </c>
    </row>
    <row r="2874" spans="19:27" x14ac:dyDescent="0.2">
      <c r="S2874" s="1"/>
      <c r="T2874" s="117"/>
      <c r="W2874" s="75" t="str">
        <f t="shared" si="55"/>
        <v>1w</v>
      </c>
      <c r="X2874" s="148">
        <f>_xll.qlCalendarAdvance(Calendar,X2873,W2874,"f",FALSE)</f>
        <v>59091</v>
      </c>
      <c r="Y2874" s="153">
        <f>_xll.qlCalendarAdvance(Calendar,X2874,NDays&amp;"D")</f>
        <v>59091</v>
      </c>
      <c r="Z2874" s="154">
        <v>2.7682934571471619E-2</v>
      </c>
      <c r="AA2874" s="156">
        <v>2.7562437637557169E-2</v>
      </c>
    </row>
    <row r="2875" spans="19:27" x14ac:dyDescent="0.2">
      <c r="S2875" s="1"/>
      <c r="T2875" s="117"/>
      <c r="W2875" s="75" t="str">
        <f t="shared" si="55"/>
        <v>1w</v>
      </c>
      <c r="X2875" s="148">
        <f>_xll.qlCalendarAdvance(Calendar,X2874,W2875,"f",FALSE)</f>
        <v>59098</v>
      </c>
      <c r="Y2875" s="153">
        <f>_xll.qlCalendarAdvance(Calendar,X2875,NDays&amp;"D")</f>
        <v>59098</v>
      </c>
      <c r="Z2875" s="154">
        <v>2.7686872826232462E-2</v>
      </c>
      <c r="AA2875" s="156">
        <v>2.7566342375396902E-2</v>
      </c>
    </row>
    <row r="2876" spans="19:27" x14ac:dyDescent="0.2">
      <c r="S2876" s="1"/>
      <c r="T2876" s="117"/>
      <c r="W2876" s="75" t="str">
        <f t="shared" si="55"/>
        <v>1w</v>
      </c>
      <c r="X2876" s="148">
        <f>_xll.qlCalendarAdvance(Calendar,X2875,W2876,"f",FALSE)</f>
        <v>59105</v>
      </c>
      <c r="Y2876" s="153">
        <f>_xll.qlCalendarAdvance(Calendar,X2876,NDays&amp;"D")</f>
        <v>59105</v>
      </c>
      <c r="Z2876" s="154">
        <v>2.7690812095039086E-2</v>
      </c>
      <c r="AA2876" s="156">
        <v>2.7570248116589591E-2</v>
      </c>
    </row>
    <row r="2877" spans="19:27" x14ac:dyDescent="0.2">
      <c r="S2877" s="1"/>
      <c r="T2877" s="117"/>
      <c r="W2877" s="75" t="str">
        <f t="shared" si="55"/>
        <v>1w</v>
      </c>
      <c r="X2877" s="148">
        <f>_xll.qlCalendarAdvance(Calendar,X2876,W2877,"f",FALSE)</f>
        <v>59112</v>
      </c>
      <c r="Y2877" s="153">
        <f>_xll.qlCalendarAdvance(Calendar,X2877,NDays&amp;"D")</f>
        <v>59112</v>
      </c>
      <c r="Z2877" s="154">
        <v>2.7694752377896772E-2</v>
      </c>
      <c r="AA2877" s="156">
        <v>2.757415486105419E-2</v>
      </c>
    </row>
    <row r="2878" spans="19:27" x14ac:dyDescent="0.2">
      <c r="S2878" s="1"/>
      <c r="T2878" s="117"/>
      <c r="W2878" s="75" t="str">
        <f t="shared" si="55"/>
        <v>1w</v>
      </c>
      <c r="X2878" s="148">
        <f>_xll.qlCalendarAdvance(Calendar,X2877,W2878,"f",FALSE)</f>
        <v>59119</v>
      </c>
      <c r="Y2878" s="153">
        <f>_xll.qlCalendarAdvance(Calendar,X2878,NDays&amp;"D")</f>
        <v>59119</v>
      </c>
      <c r="Z2878" s="154">
        <v>2.7698693674808171E-2</v>
      </c>
      <c r="AA2878" s="156">
        <v>2.7578062608871745E-2</v>
      </c>
    </row>
    <row r="2879" spans="19:27" x14ac:dyDescent="0.2">
      <c r="S2879" s="1"/>
      <c r="T2879" s="117"/>
      <c r="W2879" s="75" t="str">
        <f t="shared" si="55"/>
        <v>1w</v>
      </c>
      <c r="X2879" s="148">
        <f>_xll.qlCalendarAdvance(Calendar,X2878,W2879,"f",FALSE)</f>
        <v>59126</v>
      </c>
      <c r="Y2879" s="153">
        <f>_xll.qlCalendarAdvance(Calendar,X2879,NDays&amp;"D")</f>
        <v>59126</v>
      </c>
      <c r="Z2879" s="154">
        <v>2.7702635985773275E-2</v>
      </c>
      <c r="AA2879" s="156">
        <v>2.7581971359718072E-2</v>
      </c>
    </row>
    <row r="2880" spans="19:27" x14ac:dyDescent="0.2">
      <c r="S2880" s="1"/>
      <c r="T2880" s="117"/>
      <c r="W2880" s="75" t="str">
        <f t="shared" si="55"/>
        <v>1w</v>
      </c>
      <c r="X2880" s="148">
        <f>_xll.qlCalendarAdvance(Calendar,X2879,W2880,"f",FALSE)</f>
        <v>59133</v>
      </c>
      <c r="Y2880" s="153">
        <f>_xll.qlCalendarAdvance(Calendar,X2880,NDays&amp;"D")</f>
        <v>59133</v>
      </c>
      <c r="Z2880" s="154">
        <v>2.7706579310800897E-2</v>
      </c>
      <c r="AA2880" s="156">
        <v>2.7585881114160493E-2</v>
      </c>
    </row>
    <row r="2881" spans="19:27" x14ac:dyDescent="0.2">
      <c r="S2881" s="1"/>
      <c r="T2881" s="117"/>
      <c r="W2881" s="75" t="str">
        <f t="shared" si="55"/>
        <v>1w</v>
      </c>
      <c r="X2881" s="148">
        <f>_xll.qlCalendarAdvance(Calendar,X2880,W2881,"f",FALSE)</f>
        <v>59140</v>
      </c>
      <c r="Y2881" s="153">
        <f>_xll.qlCalendarAdvance(Calendar,X2881,NDays&amp;"D")</f>
        <v>59140</v>
      </c>
      <c r="Z2881" s="154">
        <v>2.7707861108297979E-2</v>
      </c>
      <c r="AA2881" s="156">
        <v>2.7589791871874825E-2</v>
      </c>
    </row>
    <row r="2882" spans="19:27" x14ac:dyDescent="0.2">
      <c r="S2882" s="1"/>
      <c r="T2882" s="117"/>
      <c r="W2882" s="75" t="str">
        <f t="shared" si="55"/>
        <v>1w</v>
      </c>
      <c r="X2882" s="148">
        <f>_xll.qlCalendarAdvance(Calendar,X2881,W2882,"f",FALSE)</f>
        <v>59147</v>
      </c>
      <c r="Y2882" s="153">
        <f>_xll.qlCalendarAdvance(Calendar,X2882,NDays&amp;"D")</f>
        <v>59147</v>
      </c>
      <c r="Z2882" s="154">
        <v>2.7711805719648944E-2</v>
      </c>
      <c r="AA2882" s="156">
        <v>2.7593703632698974E-2</v>
      </c>
    </row>
    <row r="2883" spans="19:27" x14ac:dyDescent="0.2">
      <c r="S2883" s="1"/>
      <c r="T2883" s="117"/>
      <c r="W2883" s="75" t="str">
        <f t="shared" si="55"/>
        <v>1w</v>
      </c>
      <c r="X2883" s="148">
        <f>_xll.qlCalendarAdvance(Calendar,X2882,W2883,"f",FALSE)</f>
        <v>59154</v>
      </c>
      <c r="Y2883" s="153">
        <f>_xll.qlCalendarAdvance(Calendar,X2883,NDays&amp;"D")</f>
        <v>59154</v>
      </c>
      <c r="Z2883" s="154">
        <v>2.7715751344828548E-2</v>
      </c>
      <c r="AA2883" s="156">
        <v>2.7597616396795033E-2</v>
      </c>
    </row>
    <row r="2884" spans="19:27" x14ac:dyDescent="0.2">
      <c r="S2884" s="1"/>
      <c r="T2884" s="117"/>
      <c r="W2884" s="75" t="str">
        <f t="shared" si="55"/>
        <v>1w</v>
      </c>
      <c r="X2884" s="148">
        <f>_xll.qlCalendarAdvance(Calendar,X2883,W2884,"f",FALSE)</f>
        <v>59161</v>
      </c>
      <c r="Y2884" s="153">
        <f>_xll.qlCalendarAdvance(Calendar,X2884,NDays&amp;"D")</f>
        <v>59161</v>
      </c>
      <c r="Z2884" s="154">
        <v>2.7719697983841295E-2</v>
      </c>
      <c r="AA2884" s="156">
        <v>2.7601530164325094E-2</v>
      </c>
    </row>
    <row r="2885" spans="19:27" x14ac:dyDescent="0.2">
      <c r="S2885" s="1"/>
      <c r="T2885" s="117"/>
      <c r="W2885" s="75" t="str">
        <f t="shared" si="55"/>
        <v>1w</v>
      </c>
      <c r="X2885" s="148">
        <f>_xll.qlCalendarAdvance(Calendar,X2884,W2885,"f",FALSE)</f>
        <v>59168</v>
      </c>
      <c r="Y2885" s="153">
        <f>_xll.qlCalendarAdvance(Calendar,X2885,NDays&amp;"D")</f>
        <v>59168</v>
      </c>
      <c r="Z2885" s="154">
        <v>2.7723645636688981E-2</v>
      </c>
      <c r="AA2885" s="156">
        <v>2.7605444934964973E-2</v>
      </c>
    </row>
    <row r="2886" spans="19:27" x14ac:dyDescent="0.2">
      <c r="S2886" s="1"/>
      <c r="T2886" s="117"/>
      <c r="W2886" s="75" t="str">
        <f t="shared" si="55"/>
        <v>1w</v>
      </c>
      <c r="X2886" s="148">
        <f>_xll.qlCalendarAdvance(Calendar,X2885,W2886,"f",FALSE)</f>
        <v>59175</v>
      </c>
      <c r="Y2886" s="153">
        <f>_xll.qlCalendarAdvance(Calendar,X2886,NDays&amp;"D")</f>
        <v>59175</v>
      </c>
      <c r="Z2886" s="154">
        <v>2.7727594303377012E-2</v>
      </c>
      <c r="AA2886" s="156">
        <v>2.7609360708876762E-2</v>
      </c>
    </row>
    <row r="2887" spans="19:27" x14ac:dyDescent="0.2">
      <c r="S2887" s="1"/>
      <c r="T2887" s="117"/>
      <c r="W2887" s="75" t="str">
        <f t="shared" si="55"/>
        <v>1w</v>
      </c>
      <c r="X2887" s="148">
        <f>_xll.qlCalendarAdvance(Calendar,X2886,W2887,"f",FALSE)</f>
        <v>59182</v>
      </c>
      <c r="Y2887" s="153">
        <f>_xll.qlCalendarAdvance(Calendar,X2887,NDays&amp;"D")</f>
        <v>59182</v>
      </c>
      <c r="Z2887" s="154">
        <v>2.7731543983905392E-2</v>
      </c>
      <c r="AA2887" s="156">
        <v>2.76132774863036E-2</v>
      </c>
    </row>
    <row r="2888" spans="19:27" x14ac:dyDescent="0.2">
      <c r="S2888" s="1"/>
      <c r="T2888" s="117"/>
      <c r="W2888" s="75" t="str">
        <f t="shared" si="55"/>
        <v>1w</v>
      </c>
      <c r="X2888" s="148">
        <f>_xll.qlCalendarAdvance(Calendar,X2887,W2888,"f",FALSE)</f>
        <v>59189</v>
      </c>
      <c r="Y2888" s="153">
        <f>_xll.qlCalendarAdvance(Calendar,X2888,NDays&amp;"D")</f>
        <v>59189</v>
      </c>
      <c r="Z2888" s="154">
        <v>2.7735494678277715E-2</v>
      </c>
      <c r="AA2888" s="156">
        <v>2.7617195266840255E-2</v>
      </c>
    </row>
    <row r="2889" spans="19:27" x14ac:dyDescent="0.2">
      <c r="S2889" s="1"/>
      <c r="T2889" s="117"/>
      <c r="W2889" s="75" t="str">
        <f t="shared" si="55"/>
        <v>1w</v>
      </c>
      <c r="X2889" s="148">
        <f>_xll.qlCalendarAdvance(Calendar,X2888,W2889,"f",FALSE)</f>
        <v>59196</v>
      </c>
      <c r="Y2889" s="153">
        <f>_xll.qlCalendarAdvance(Calendar,X2889,NDays&amp;"D")</f>
        <v>59196</v>
      </c>
      <c r="Z2889" s="154">
        <v>2.7739446386499389E-2</v>
      </c>
      <c r="AA2889" s="156">
        <v>2.7621114050729867E-2</v>
      </c>
    </row>
    <row r="2890" spans="19:27" x14ac:dyDescent="0.2">
      <c r="S2890" s="1"/>
      <c r="T2890" s="117"/>
      <c r="W2890" s="75" t="str">
        <f t="shared" si="55"/>
        <v>1w</v>
      </c>
      <c r="X2890" s="148">
        <f>_xll.qlCalendarAdvance(Calendar,X2889,W2890,"f",FALSE)</f>
        <v>59203</v>
      </c>
      <c r="Y2890" s="153">
        <f>_xll.qlCalendarAdvance(Calendar,X2890,NDays&amp;"D")</f>
        <v>59203</v>
      </c>
      <c r="Z2890" s="154">
        <v>2.7743399108571317E-2</v>
      </c>
      <c r="AA2890" s="156">
        <v>2.7625033837891388E-2</v>
      </c>
    </row>
    <row r="2891" spans="19:27" x14ac:dyDescent="0.2">
      <c r="S2891" s="1"/>
      <c r="T2891" s="117"/>
      <c r="W2891" s="75" t="str">
        <f t="shared" si="55"/>
        <v>1w</v>
      </c>
      <c r="X2891" s="148">
        <f>_xll.qlCalendarAdvance(Calendar,X2890,W2891,"f",FALSE)</f>
        <v>59210</v>
      </c>
      <c r="Y2891" s="153">
        <f>_xll.qlCalendarAdvance(Calendar,X2891,NDays&amp;"D")</f>
        <v>59210</v>
      </c>
      <c r="Z2891" s="154">
        <v>2.7746018013643216E-2</v>
      </c>
      <c r="AA2891" s="156">
        <v>2.7628954628162727E-2</v>
      </c>
    </row>
    <row r="2892" spans="19:27" x14ac:dyDescent="0.2">
      <c r="S2892" s="1"/>
      <c r="T2892" s="117"/>
      <c r="W2892" s="75" t="str">
        <f t="shared" si="55"/>
        <v>1w</v>
      </c>
      <c r="X2892" s="148">
        <f>_xll.qlCalendarAdvance(Calendar,X2891,W2892,"f",FALSE)</f>
        <v>59217</v>
      </c>
      <c r="Y2892" s="153">
        <f>_xll.qlCalendarAdvance(Calendar,X2892,NDays&amp;"D")</f>
        <v>59217</v>
      </c>
      <c r="Z2892" s="154">
        <v>2.7749972391388343E-2</v>
      </c>
      <c r="AA2892" s="156">
        <v>2.7632876421868069E-2</v>
      </c>
    </row>
    <row r="2893" spans="19:27" x14ac:dyDescent="0.2">
      <c r="S2893" s="1"/>
      <c r="T2893" s="117"/>
      <c r="W2893" s="75" t="str">
        <f t="shared" si="55"/>
        <v>1w</v>
      </c>
      <c r="X2893" s="148">
        <f>_xll.qlCalendarAdvance(Calendar,X2892,W2893,"f",FALSE)</f>
        <v>59224</v>
      </c>
      <c r="Y2893" s="153">
        <f>_xll.qlCalendarAdvance(Calendar,X2893,NDays&amp;"D")</f>
        <v>59224</v>
      </c>
      <c r="Z2893" s="154">
        <v>2.7753927782870367E-2</v>
      </c>
      <c r="AA2893" s="156">
        <v>2.763679921884532E-2</v>
      </c>
    </row>
    <row r="2894" spans="19:27" x14ac:dyDescent="0.2">
      <c r="S2894" s="1"/>
      <c r="T2894" s="117"/>
      <c r="W2894" s="75" t="str">
        <f t="shared" si="55"/>
        <v>1w</v>
      </c>
      <c r="X2894" s="148">
        <f>_xll.qlCalendarAdvance(Calendar,X2893,W2894,"f",FALSE)</f>
        <v>59231</v>
      </c>
      <c r="Y2894" s="153">
        <f>_xll.qlCalendarAdvance(Calendar,X2894,NDays&amp;"D")</f>
        <v>59231</v>
      </c>
      <c r="Z2894" s="154">
        <v>2.7761892339092736E-2</v>
      </c>
      <c r="AA2894" s="156">
        <v>2.7640723019337621E-2</v>
      </c>
    </row>
    <row r="2895" spans="19:27" x14ac:dyDescent="0.2">
      <c r="S2895" s="1"/>
      <c r="T2895" s="117"/>
      <c r="W2895" s="75" t="str">
        <f t="shared" si="55"/>
        <v>1w</v>
      </c>
      <c r="X2895" s="148">
        <f>_xll.qlCalendarAdvance(Calendar,X2894,W2895,"f",FALSE)</f>
        <v>59238</v>
      </c>
      <c r="Y2895" s="153">
        <f>_xll.qlCalendarAdvance(Calendar,X2895,NDays&amp;"D")</f>
        <v>59238</v>
      </c>
      <c r="Z2895" s="154">
        <v>2.7765850875369973E-2</v>
      </c>
      <c r="AA2895" s="156">
        <v>2.76446478226966E-2</v>
      </c>
    </row>
    <row r="2896" spans="19:27" x14ac:dyDescent="0.2">
      <c r="S2896" s="1"/>
      <c r="T2896" s="117"/>
      <c r="W2896" s="75" t="str">
        <f t="shared" si="55"/>
        <v>1w</v>
      </c>
      <c r="X2896" s="148">
        <f>_xll.qlCalendarAdvance(Calendar,X2895,W2896,"f",FALSE)</f>
        <v>59245</v>
      </c>
      <c r="Y2896" s="153">
        <f>_xll.qlCalendarAdvance(Calendar,X2896,NDays&amp;"D")</f>
        <v>59245</v>
      </c>
      <c r="Z2896" s="154">
        <v>2.7769810425755537E-2</v>
      </c>
      <c r="AA2896" s="156">
        <v>2.7648573629570627E-2</v>
      </c>
    </row>
    <row r="2897" spans="19:27" x14ac:dyDescent="0.2">
      <c r="S2897" s="1"/>
      <c r="T2897" s="117"/>
      <c r="W2897" s="75" t="str">
        <f t="shared" si="55"/>
        <v>1w</v>
      </c>
      <c r="X2897" s="148">
        <f>_xll.qlCalendarAdvance(Calendar,X2896,W2897,"f",FALSE)</f>
        <v>59252</v>
      </c>
      <c r="Y2897" s="153">
        <f>_xll.qlCalendarAdvance(Calendar,X2897,NDays&amp;"D")</f>
        <v>59252</v>
      </c>
      <c r="Z2897" s="154">
        <v>2.7773770990249427E-2</v>
      </c>
      <c r="AA2897" s="156">
        <v>2.7652500439554473E-2</v>
      </c>
    </row>
    <row r="2898" spans="19:27" x14ac:dyDescent="0.2">
      <c r="S2898" s="1"/>
      <c r="T2898" s="117"/>
      <c r="W2898" s="75" t="str">
        <f t="shared" si="55"/>
        <v>1w</v>
      </c>
      <c r="X2898" s="148">
        <f>_xll.qlCalendarAdvance(Calendar,X2897,W2898,"f",FALSE)</f>
        <v>59259</v>
      </c>
      <c r="Y2898" s="153">
        <f>_xll.qlCalendarAdvance(Calendar,X2898,NDays&amp;"D")</f>
        <v>59259</v>
      </c>
      <c r="Z2898" s="154">
        <v>2.7777732568858689E-2</v>
      </c>
      <c r="AA2898" s="156">
        <v>2.765642825297232E-2</v>
      </c>
    </row>
    <row r="2899" spans="19:27" x14ac:dyDescent="0.2">
      <c r="S2899" s="1"/>
      <c r="T2899" s="117"/>
      <c r="W2899" s="75" t="str">
        <f t="shared" si="55"/>
        <v>1w</v>
      </c>
      <c r="X2899" s="148">
        <f>_xll.qlCalendarAdvance(Calendar,X2898,W2899,"f",FALSE)</f>
        <v>59266</v>
      </c>
      <c r="Y2899" s="153">
        <f>_xll.qlCalendarAdvance(Calendar,X2899,NDays&amp;"D")</f>
        <v>59266</v>
      </c>
      <c r="Z2899" s="154">
        <v>2.7780357144664057E-2</v>
      </c>
      <c r="AA2899" s="156">
        <v>2.7660357069743124E-2</v>
      </c>
    </row>
    <row r="2900" spans="19:27" x14ac:dyDescent="0.2">
      <c r="S2900" s="1"/>
      <c r="T2900" s="117"/>
      <c r="W2900" s="75" t="str">
        <f t="shared" si="55"/>
        <v>1w</v>
      </c>
      <c r="X2900" s="148">
        <f>_xll.qlCalendarAdvance(Calendar,X2899,W2900,"f",FALSE)</f>
        <v>59273</v>
      </c>
      <c r="Y2900" s="153">
        <f>_xll.qlCalendarAdvance(Calendar,X2900,NDays&amp;"D")</f>
        <v>59273</v>
      </c>
      <c r="Z2900" s="154">
        <v>2.7784320378432686E-2</v>
      </c>
      <c r="AA2900" s="156">
        <v>2.7664286889623746E-2</v>
      </c>
    </row>
    <row r="2901" spans="19:27" x14ac:dyDescent="0.2">
      <c r="S2901" s="1"/>
      <c r="T2901" s="117"/>
      <c r="W2901" s="75" t="str">
        <f t="shared" ref="W2901:W2964" si="56">W2900</f>
        <v>1w</v>
      </c>
      <c r="X2901" s="148">
        <f>_xll.qlCalendarAdvance(Calendar,X2900,W2901,"f",FALSE)</f>
        <v>59280</v>
      </c>
      <c r="Y2901" s="153">
        <f>_xll.qlCalendarAdvance(Calendar,X2901,NDays&amp;"D")</f>
        <v>59280</v>
      </c>
      <c r="Z2901" s="154">
        <v>2.7788284626206066E-2</v>
      </c>
      <c r="AA2901" s="156">
        <v>2.7668217712776277E-2</v>
      </c>
    </row>
    <row r="2902" spans="19:27" x14ac:dyDescent="0.2">
      <c r="S2902" s="1"/>
      <c r="T2902" s="117"/>
      <c r="W2902" s="75" t="str">
        <f t="shared" si="56"/>
        <v>1w</v>
      </c>
      <c r="X2902" s="148">
        <f>_xll.qlCalendarAdvance(Calendar,X2901,W2902,"f",FALSE)</f>
        <v>59287</v>
      </c>
      <c r="Y2902" s="153">
        <f>_xll.qlCalendarAdvance(Calendar,X2902,NDays&amp;"D")</f>
        <v>59287</v>
      </c>
      <c r="Z2902" s="154">
        <v>2.779224988798509E-2</v>
      </c>
      <c r="AA2902" s="156">
        <v>2.7672149539362811E-2</v>
      </c>
    </row>
    <row r="2903" spans="19:27" x14ac:dyDescent="0.2">
      <c r="S2903" s="1"/>
      <c r="T2903" s="117"/>
      <c r="W2903" s="75" t="str">
        <f t="shared" si="56"/>
        <v>1w</v>
      </c>
      <c r="X2903" s="148">
        <f>_xll.qlCalendarAdvance(Calendar,X2902,W2903,"f",FALSE)</f>
        <v>59294</v>
      </c>
      <c r="Y2903" s="153">
        <f>_xll.qlCalendarAdvance(Calendar,X2903,NDays&amp;"D")</f>
        <v>59294</v>
      </c>
      <c r="Z2903" s="154">
        <v>2.7797555673711376E-2</v>
      </c>
      <c r="AA2903" s="156">
        <v>2.7676082369221255E-2</v>
      </c>
    </row>
    <row r="2904" spans="19:27" x14ac:dyDescent="0.2">
      <c r="S2904" s="1"/>
      <c r="T2904" s="117"/>
      <c r="W2904" s="75" t="str">
        <f t="shared" si="56"/>
        <v>1w</v>
      </c>
      <c r="X2904" s="148">
        <f>_xll.qlCalendarAdvance(Calendar,X2903,W2904,"f",FALSE)</f>
        <v>59301</v>
      </c>
      <c r="Y2904" s="153">
        <f>_xll.qlCalendarAdvance(Calendar,X2904,NDays&amp;"D")</f>
        <v>59301</v>
      </c>
      <c r="Z2904" s="154">
        <v>2.7801523337062213E-2</v>
      </c>
      <c r="AA2904" s="156">
        <v>2.7680016202108471E-2</v>
      </c>
    </row>
    <row r="2905" spans="19:27" x14ac:dyDescent="0.2">
      <c r="S2905" s="1"/>
      <c r="T2905" s="117"/>
      <c r="W2905" s="75" t="str">
        <f t="shared" si="56"/>
        <v>1w</v>
      </c>
      <c r="X2905" s="148">
        <f>_xll.qlCalendarAdvance(Calendar,X2904,W2905,"f",FALSE)</f>
        <v>59308</v>
      </c>
      <c r="Y2905" s="153">
        <f>_xll.qlCalendarAdvance(Calendar,X2905,NDays&amp;"D")</f>
        <v>59308</v>
      </c>
      <c r="Z2905" s="154">
        <v>2.7805492014549568E-2</v>
      </c>
      <c r="AA2905" s="156">
        <v>2.7683951038510735E-2</v>
      </c>
    </row>
    <row r="2906" spans="19:27" x14ac:dyDescent="0.2">
      <c r="S2906" s="1"/>
      <c r="T2906" s="117"/>
      <c r="W2906" s="75" t="str">
        <f t="shared" si="56"/>
        <v>1w</v>
      </c>
      <c r="X2906" s="148">
        <f>_xll.qlCalendarAdvance(Calendar,X2905,W2906,"f",FALSE)</f>
        <v>59315</v>
      </c>
      <c r="Y2906" s="153">
        <f>_xll.qlCalendarAdvance(Calendar,X2906,NDays&amp;"D")</f>
        <v>59315</v>
      </c>
      <c r="Z2906" s="154">
        <v>2.7809461706175202E-2</v>
      </c>
      <c r="AA2906" s="156">
        <v>2.7687886878265955E-2</v>
      </c>
    </row>
    <row r="2907" spans="19:27" x14ac:dyDescent="0.2">
      <c r="S2907" s="1"/>
      <c r="T2907" s="117"/>
      <c r="W2907" s="75" t="str">
        <f t="shared" si="56"/>
        <v>1w</v>
      </c>
      <c r="X2907" s="148">
        <f>_xll.qlCalendarAdvance(Calendar,X2906,W2907,"f",FALSE)</f>
        <v>59322</v>
      </c>
      <c r="Y2907" s="153">
        <f>_xll.qlCalendarAdvance(Calendar,X2907,NDays&amp;"D")</f>
        <v>59322</v>
      </c>
      <c r="Z2907" s="154">
        <v>2.7813432411939995E-2</v>
      </c>
      <c r="AA2907" s="156">
        <v>2.7691823721049946E-2</v>
      </c>
    </row>
    <row r="2908" spans="19:27" x14ac:dyDescent="0.2">
      <c r="S2908" s="1"/>
      <c r="T2908" s="117"/>
      <c r="W2908" s="75" t="str">
        <f t="shared" si="56"/>
        <v>1w</v>
      </c>
      <c r="X2908" s="148">
        <f>_xll.qlCalendarAdvance(Calendar,X2907,W2908,"f",FALSE)</f>
        <v>59329</v>
      </c>
      <c r="Y2908" s="153">
        <f>_xll.qlCalendarAdvance(Calendar,X2908,NDays&amp;"D")</f>
        <v>59329</v>
      </c>
      <c r="Z2908" s="154">
        <v>2.7817404131848352E-2</v>
      </c>
      <c r="AA2908" s="156">
        <v>2.769576156726794E-2</v>
      </c>
    </row>
    <row r="2909" spans="19:27" x14ac:dyDescent="0.2">
      <c r="S2909" s="1"/>
      <c r="T2909" s="117"/>
      <c r="W2909" s="75" t="str">
        <f t="shared" si="56"/>
        <v>1w</v>
      </c>
      <c r="X2909" s="148">
        <f>_xll.qlCalendarAdvance(Calendar,X2908,W2909,"f",FALSE)</f>
        <v>59336</v>
      </c>
      <c r="Y2909" s="153">
        <f>_xll.qlCalendarAdvance(Calendar,X2909,NDays&amp;"D")</f>
        <v>59336</v>
      </c>
      <c r="Z2909" s="154">
        <v>2.7821376865904676E-2</v>
      </c>
      <c r="AA2909" s="156">
        <v>2.7699700416919937E-2</v>
      </c>
    </row>
    <row r="2910" spans="19:27" x14ac:dyDescent="0.2">
      <c r="S2910" s="1"/>
      <c r="T2910" s="117"/>
      <c r="W2910" s="75" t="str">
        <f t="shared" si="56"/>
        <v>1w</v>
      </c>
      <c r="X2910" s="148">
        <f>_xll.qlCalendarAdvance(Calendar,X2909,W2910,"f",FALSE)</f>
        <v>59343</v>
      </c>
      <c r="Y2910" s="153">
        <f>_xll.qlCalendarAdvance(Calendar,X2910,NDays&amp;"D")</f>
        <v>59343</v>
      </c>
      <c r="Z2910" s="154">
        <v>2.782535061411073E-2</v>
      </c>
      <c r="AA2910" s="156">
        <v>2.7703640269681751E-2</v>
      </c>
    </row>
    <row r="2911" spans="19:27" x14ac:dyDescent="0.2">
      <c r="S2911" s="1"/>
      <c r="T2911" s="117"/>
      <c r="W2911" s="75" t="str">
        <f t="shared" si="56"/>
        <v>1w</v>
      </c>
      <c r="X2911" s="148">
        <f>_xll.qlCalendarAdvance(Calendar,X2910,W2911,"f",FALSE)</f>
        <v>59350</v>
      </c>
      <c r="Y2911" s="153">
        <f>_xll.qlCalendarAdvance(Calendar,X2911,NDays&amp;"D")</f>
        <v>59350</v>
      </c>
      <c r="Z2911" s="154">
        <v>2.7829325376467397E-2</v>
      </c>
      <c r="AA2911" s="156">
        <v>2.7707581125634428E-2</v>
      </c>
    </row>
    <row r="2912" spans="19:27" x14ac:dyDescent="0.2">
      <c r="S2912" s="1"/>
      <c r="T2912" s="117"/>
      <c r="W2912" s="75" t="str">
        <f t="shared" si="56"/>
        <v>1w</v>
      </c>
      <c r="X2912" s="148">
        <f>_xll.qlCalendarAdvance(Calendar,X2911,W2912,"f",FALSE)</f>
        <v>59357</v>
      </c>
      <c r="Y2912" s="153">
        <f>_xll.qlCalendarAdvance(Calendar,X2912,NDays&amp;"D")</f>
        <v>59357</v>
      </c>
      <c r="Z2912" s="154">
        <v>2.7833301152979079E-2</v>
      </c>
      <c r="AA2912" s="156">
        <v>2.7711522984940062E-2</v>
      </c>
    </row>
    <row r="2913" spans="19:27" x14ac:dyDescent="0.2">
      <c r="S2913" s="1"/>
      <c r="T2913" s="117"/>
      <c r="W2913" s="75" t="str">
        <f t="shared" si="56"/>
        <v>1w</v>
      </c>
      <c r="X2913" s="148">
        <f>_xll.qlCalendarAdvance(Calendar,X2912,W2913,"f",FALSE)</f>
        <v>59364</v>
      </c>
      <c r="Y2913" s="153">
        <f>_xll.qlCalendarAdvance(Calendar,X2913,NDays&amp;"D")</f>
        <v>59364</v>
      </c>
      <c r="Z2913" s="154">
        <v>2.7837277943651064E-2</v>
      </c>
      <c r="AA2913" s="156">
        <v>2.7715465847598653E-2</v>
      </c>
    </row>
    <row r="2914" spans="19:27" x14ac:dyDescent="0.2">
      <c r="S2914" s="1"/>
      <c r="T2914" s="117"/>
      <c r="W2914" s="75" t="str">
        <f t="shared" si="56"/>
        <v>1w</v>
      </c>
      <c r="X2914" s="148">
        <f>_xll.qlCalendarAdvance(Calendar,X2913,W2914,"f",FALSE)</f>
        <v>59371</v>
      </c>
      <c r="Y2914" s="153">
        <f>_xll.qlCalendarAdvance(Calendar,X2914,NDays&amp;"D")</f>
        <v>59371</v>
      </c>
      <c r="Z2914" s="154">
        <v>2.7841255748485994E-2</v>
      </c>
      <c r="AA2914" s="156">
        <v>2.7719409713529153E-2</v>
      </c>
    </row>
    <row r="2915" spans="19:27" x14ac:dyDescent="0.2">
      <c r="S2915" s="1"/>
      <c r="T2915" s="117"/>
      <c r="W2915" s="75" t="str">
        <f t="shared" si="56"/>
        <v>1w</v>
      </c>
      <c r="X2915" s="148">
        <f>_xll.qlCalendarAdvance(Calendar,X2914,W2915,"f",FALSE)</f>
        <v>59378</v>
      </c>
      <c r="Y2915" s="153">
        <f>_xll.qlCalendarAdvance(Calendar,X2915,NDays&amp;"D")</f>
        <v>59378</v>
      </c>
      <c r="Z2915" s="154">
        <v>2.7845234567483865E-2</v>
      </c>
      <c r="AA2915" s="156">
        <v>2.7723354582731563E-2</v>
      </c>
    </row>
    <row r="2916" spans="19:27" x14ac:dyDescent="0.2">
      <c r="S2916" s="1"/>
      <c r="T2916" s="117"/>
      <c r="W2916" s="75" t="str">
        <f t="shared" si="56"/>
        <v>1w</v>
      </c>
      <c r="X2916" s="148">
        <f>_xll.qlCalendarAdvance(Calendar,X2915,W2916,"f",FALSE)</f>
        <v>59385</v>
      </c>
      <c r="Y2916" s="153">
        <f>_xll.qlCalendarAdvance(Calendar,X2916,NDays&amp;"D")</f>
        <v>59385</v>
      </c>
      <c r="Z2916" s="154">
        <v>2.7849214400649087E-2</v>
      </c>
      <c r="AA2916" s="156">
        <v>2.7727300455124837E-2</v>
      </c>
    </row>
    <row r="2917" spans="19:27" x14ac:dyDescent="0.2">
      <c r="S2917" s="1"/>
      <c r="T2917" s="117"/>
      <c r="W2917" s="75" t="str">
        <f t="shared" si="56"/>
        <v>1w</v>
      </c>
      <c r="X2917" s="148">
        <f>_xll.qlCalendarAdvance(Calendar,X2916,W2917,"f",FALSE)</f>
        <v>59392</v>
      </c>
      <c r="Y2917" s="153">
        <f>_xll.qlCalendarAdvance(Calendar,X2917,NDays&amp;"D")</f>
        <v>59392</v>
      </c>
      <c r="Z2917" s="154">
        <v>2.7853195247986063E-2</v>
      </c>
      <c r="AA2917" s="156">
        <v>2.7731247330952113E-2</v>
      </c>
    </row>
    <row r="2918" spans="19:27" x14ac:dyDescent="0.2">
      <c r="S2918" s="1"/>
      <c r="T2918" s="117"/>
      <c r="W2918" s="75" t="str">
        <f t="shared" si="56"/>
        <v>1w</v>
      </c>
      <c r="X2918" s="148">
        <f>_xll.qlCalendarAdvance(Calendar,X2917,W2918,"f",FALSE)</f>
        <v>59399</v>
      </c>
      <c r="Y2918" s="153">
        <f>_xll.qlCalendarAdvance(Calendar,X2918,NDays&amp;"D")</f>
        <v>59399</v>
      </c>
      <c r="Z2918" s="154">
        <v>2.7857177109495673E-2</v>
      </c>
      <c r="AA2918" s="156">
        <v>2.7735195209808161E-2</v>
      </c>
    </row>
    <row r="2919" spans="19:27" x14ac:dyDescent="0.2">
      <c r="S2919" s="1"/>
      <c r="T2919" s="117"/>
      <c r="W2919" s="75" t="str">
        <f t="shared" si="56"/>
        <v>1w</v>
      </c>
      <c r="X2919" s="148">
        <f>_xll.qlCalendarAdvance(Calendar,X2918,W2919,"f",FALSE)</f>
        <v>59406</v>
      </c>
      <c r="Y2919" s="153">
        <f>_xll.qlCalendarAdvance(Calendar,X2919,NDays&amp;"D")</f>
        <v>59406</v>
      </c>
      <c r="Z2919" s="154">
        <v>2.7861159985182325E-2</v>
      </c>
      <c r="AA2919" s="156">
        <v>2.7739144092179258E-2</v>
      </c>
    </row>
    <row r="2920" spans="19:27" x14ac:dyDescent="0.2">
      <c r="S2920" s="1"/>
      <c r="T2920" s="117"/>
      <c r="W2920" s="75" t="str">
        <f t="shared" si="56"/>
        <v>1w</v>
      </c>
      <c r="X2920" s="148">
        <f>_xll.qlCalendarAdvance(Calendar,X2919,W2920,"f",FALSE)</f>
        <v>59413</v>
      </c>
      <c r="Y2920" s="153">
        <f>_xll.qlCalendarAdvance(Calendar,X2920,NDays&amp;"D")</f>
        <v>59413</v>
      </c>
      <c r="Z2920" s="154">
        <v>2.7865143875048657E-2</v>
      </c>
      <c r="AA2920" s="156">
        <v>2.7743093977822264E-2</v>
      </c>
    </row>
    <row r="2921" spans="19:27" x14ac:dyDescent="0.2">
      <c r="S2921" s="1"/>
      <c r="T2921" s="117"/>
      <c r="W2921" s="75" t="str">
        <f t="shared" si="56"/>
        <v>1w</v>
      </c>
      <c r="X2921" s="148">
        <f>_xll.qlCalendarAdvance(Calendar,X2920,W2921,"f",FALSE)</f>
        <v>59420</v>
      </c>
      <c r="Y2921" s="153">
        <f>_xll.qlCalendarAdvance(Calendar,X2921,NDays&amp;"D")</f>
        <v>59420</v>
      </c>
      <c r="Z2921" s="154">
        <v>2.7867782526798075E-2</v>
      </c>
      <c r="AA2921" s="156">
        <v>2.7747044866656134E-2</v>
      </c>
    </row>
    <row r="2922" spans="19:27" x14ac:dyDescent="0.2">
      <c r="S2922" s="1"/>
      <c r="T2922" s="117"/>
      <c r="W2922" s="75" t="str">
        <f t="shared" si="56"/>
        <v>1w</v>
      </c>
      <c r="X2922" s="148">
        <f>_xll.qlCalendarAdvance(Calendar,X2921,W2922,"f",FALSE)</f>
        <v>59427</v>
      </c>
      <c r="Y2922" s="153">
        <f>_xll.qlCalendarAdvance(Calendar,X2922,NDays&amp;"D")</f>
        <v>59427</v>
      </c>
      <c r="Z2922" s="154">
        <v>2.7871768069314299E-2</v>
      </c>
      <c r="AA2922" s="156">
        <v>2.7750996758761914E-2</v>
      </c>
    </row>
    <row r="2923" spans="19:27" x14ac:dyDescent="0.2">
      <c r="S2923" s="1"/>
      <c r="T2923" s="117"/>
      <c r="W2923" s="75" t="str">
        <f t="shared" si="56"/>
        <v>1w</v>
      </c>
      <c r="X2923" s="148">
        <f>_xll.qlCalendarAdvance(Calendar,X2922,W2923,"f",FALSE)</f>
        <v>59434</v>
      </c>
      <c r="Y2923" s="153">
        <f>_xll.qlCalendarAdvance(Calendar,X2923,NDays&amp;"D")</f>
        <v>59434</v>
      </c>
      <c r="Z2923" s="154">
        <v>2.7875754625898509E-2</v>
      </c>
      <c r="AA2923" s="156">
        <v>2.7754949654301697E-2</v>
      </c>
    </row>
    <row r="2924" spans="19:27" x14ac:dyDescent="0.2">
      <c r="S2924" s="1"/>
      <c r="T2924" s="117"/>
      <c r="W2924" s="75" t="str">
        <f t="shared" si="56"/>
        <v>1w</v>
      </c>
      <c r="X2924" s="148">
        <f>_xll.qlCalendarAdvance(Calendar,X2923,W2924,"f",FALSE)</f>
        <v>59441</v>
      </c>
      <c r="Y2924" s="153">
        <f>_xll.qlCalendarAdvance(Calendar,X2924,NDays&amp;"D")</f>
        <v>59441</v>
      </c>
      <c r="Z2924" s="154">
        <v>2.787974219655516E-2</v>
      </c>
      <c r="AA2924" s="156">
        <v>2.7758903553032344E-2</v>
      </c>
    </row>
    <row r="2925" spans="19:27" x14ac:dyDescent="0.2">
      <c r="S2925" s="1"/>
      <c r="T2925" s="117"/>
      <c r="W2925" s="75" t="str">
        <f t="shared" si="56"/>
        <v>1w</v>
      </c>
      <c r="X2925" s="148">
        <f>_xll.qlCalendarAdvance(Calendar,X2924,W2925,"f",FALSE)</f>
        <v>59448</v>
      </c>
      <c r="Y2925" s="153">
        <f>_xll.qlCalendarAdvance(Calendar,X2925,NDays&amp;"D")</f>
        <v>59448</v>
      </c>
      <c r="Z2925" s="154">
        <v>2.7885078537188315E-2</v>
      </c>
      <c r="AA2925" s="156">
        <v>2.77628584550349E-2</v>
      </c>
    </row>
    <row r="2926" spans="19:27" x14ac:dyDescent="0.2">
      <c r="S2926" s="1"/>
      <c r="T2926" s="117"/>
      <c r="W2926" s="75" t="str">
        <f t="shared" si="56"/>
        <v>1w</v>
      </c>
      <c r="X2926" s="148">
        <f>_xll.qlCalendarAdvance(Calendar,X2925,W2926,"f",FALSE)</f>
        <v>59455</v>
      </c>
      <c r="Y2926" s="153">
        <f>_xll.qlCalendarAdvance(Calendar,X2926,NDays&amp;"D")</f>
        <v>59455</v>
      </c>
      <c r="Z2926" s="154">
        <v>2.7889068512197048E-2</v>
      </c>
      <c r="AA2926" s="156">
        <v>2.776681436022832E-2</v>
      </c>
    </row>
    <row r="2927" spans="19:27" x14ac:dyDescent="0.2">
      <c r="S2927" s="1"/>
      <c r="T2927" s="117"/>
      <c r="W2927" s="75" t="str">
        <f t="shared" si="56"/>
        <v>1w</v>
      </c>
      <c r="X2927" s="148">
        <f>_xll.qlCalendarAdvance(Calendar,X2926,W2927,"f",FALSE)</f>
        <v>59462</v>
      </c>
      <c r="Y2927" s="153">
        <f>_xll.qlCalendarAdvance(Calendar,X2927,NDays&amp;"D")</f>
        <v>59462</v>
      </c>
      <c r="Z2927" s="154">
        <v>2.7893059501406609E-2</v>
      </c>
      <c r="AA2927" s="156">
        <v>2.7770771268855743E-2</v>
      </c>
    </row>
    <row r="2928" spans="19:27" x14ac:dyDescent="0.2">
      <c r="S2928" s="1"/>
      <c r="T2928" s="117"/>
      <c r="W2928" s="75" t="str">
        <f t="shared" si="56"/>
        <v>1w</v>
      </c>
      <c r="X2928" s="148">
        <f>_xll.qlCalendarAdvance(Calendar,X2927,W2928,"f",FALSE)</f>
        <v>59469</v>
      </c>
      <c r="Y2928" s="153">
        <f>_xll.qlCalendarAdvance(Calendar,X2928,NDays&amp;"D")</f>
        <v>59469</v>
      </c>
      <c r="Z2928" s="154">
        <v>2.7897051504821396E-2</v>
      </c>
      <c r="AA2928" s="156">
        <v>2.7774729180674029E-2</v>
      </c>
    </row>
    <row r="2929" spans="19:27" x14ac:dyDescent="0.2">
      <c r="S2929" s="1"/>
      <c r="T2929" s="117"/>
      <c r="W2929" s="75" t="str">
        <f t="shared" si="56"/>
        <v>1w</v>
      </c>
      <c r="X2929" s="148">
        <f>_xll.qlCalendarAdvance(Calendar,X2928,W2929,"f",FALSE)</f>
        <v>59476</v>
      </c>
      <c r="Y2929" s="153">
        <f>_xll.qlCalendarAdvance(Calendar,X2929,NDays&amp;"D")</f>
        <v>59476</v>
      </c>
      <c r="Z2929" s="154">
        <v>2.7901044522442294E-2</v>
      </c>
      <c r="AA2929" s="156">
        <v>2.7778688095764226E-2</v>
      </c>
    </row>
    <row r="2930" spans="19:27" x14ac:dyDescent="0.2">
      <c r="S2930" s="1"/>
      <c r="T2930" s="117"/>
      <c r="W2930" s="75" t="str">
        <f t="shared" si="56"/>
        <v>1w</v>
      </c>
      <c r="X2930" s="148">
        <f>_xll.qlCalendarAdvance(Calendar,X2929,W2930,"f",FALSE)</f>
        <v>59483</v>
      </c>
      <c r="Y2930" s="153">
        <f>_xll.qlCalendarAdvance(Calendar,X2930,NDays&amp;"D")</f>
        <v>59483</v>
      </c>
      <c r="Z2930" s="154">
        <v>2.7905038554275473E-2</v>
      </c>
      <c r="AA2930" s="156">
        <v>2.7782648014207378E-2</v>
      </c>
    </row>
    <row r="2931" spans="19:27" x14ac:dyDescent="0.2">
      <c r="S2931" s="1"/>
      <c r="T2931" s="117"/>
      <c r="W2931" s="75" t="str">
        <f t="shared" si="56"/>
        <v>1w</v>
      </c>
      <c r="X2931" s="148">
        <f>_xll.qlCalendarAdvance(Calendar,X2930,W2931,"f",FALSE)</f>
        <v>59490</v>
      </c>
      <c r="Y2931" s="153">
        <f>_xll.qlCalendarAdvance(Calendar,X2931,NDays&amp;"D")</f>
        <v>59490</v>
      </c>
      <c r="Z2931" s="154">
        <v>2.7909033600320043E-2</v>
      </c>
      <c r="AA2931" s="156">
        <v>2.7786608936084534E-2</v>
      </c>
    </row>
    <row r="2932" spans="19:27" x14ac:dyDescent="0.2">
      <c r="S2932" s="1"/>
      <c r="T2932" s="117"/>
      <c r="W2932" s="75" t="str">
        <f t="shared" si="56"/>
        <v>1w</v>
      </c>
      <c r="X2932" s="148">
        <f>_xll.qlCalendarAdvance(Calendar,X2931,W2932,"f",FALSE)</f>
        <v>59497</v>
      </c>
      <c r="Y2932" s="153">
        <f>_xll.qlCalendarAdvance(Calendar,X2932,NDays&amp;"D")</f>
        <v>59497</v>
      </c>
      <c r="Z2932" s="154">
        <v>2.7913029660582178E-2</v>
      </c>
      <c r="AA2932" s="156">
        <v>2.779057086099046E-2</v>
      </c>
    </row>
    <row r="2933" spans="19:27" x14ac:dyDescent="0.2">
      <c r="S2933" s="1"/>
      <c r="T2933" s="117"/>
      <c r="W2933" s="75" t="str">
        <f t="shared" si="56"/>
        <v>1w</v>
      </c>
      <c r="X2933" s="148">
        <f>_xll.qlCalendarAdvance(Calendar,X2932,W2933,"f",FALSE)</f>
        <v>59504</v>
      </c>
      <c r="Y2933" s="153">
        <f>_xll.qlCalendarAdvance(Calendar,X2933,NDays&amp;"D")</f>
        <v>59504</v>
      </c>
      <c r="Z2933" s="154">
        <v>2.7915675966154997E-2</v>
      </c>
      <c r="AA2933" s="156">
        <v>2.779453378908725E-2</v>
      </c>
    </row>
    <row r="2934" spans="19:27" x14ac:dyDescent="0.2">
      <c r="S2934" s="1"/>
      <c r="T2934" s="117"/>
      <c r="W2934" s="75" t="str">
        <f t="shared" si="56"/>
        <v>1w</v>
      </c>
      <c r="X2934" s="148">
        <f>_xll.qlCalendarAdvance(Calendar,X2933,W2934,"f",FALSE)</f>
        <v>59511</v>
      </c>
      <c r="Y2934" s="153">
        <f>_xll.qlCalendarAdvance(Calendar,X2934,NDays&amp;"D")</f>
        <v>59511</v>
      </c>
      <c r="Z2934" s="154">
        <v>2.7918322636239751E-2</v>
      </c>
      <c r="AA2934" s="156">
        <v>2.7798497720780135E-2</v>
      </c>
    </row>
    <row r="2935" spans="19:27" x14ac:dyDescent="0.2">
      <c r="S2935" s="1"/>
      <c r="T2935" s="117"/>
      <c r="W2935" s="75" t="str">
        <f t="shared" si="56"/>
        <v>1w</v>
      </c>
      <c r="X2935" s="148">
        <f>_xll.qlCalendarAdvance(Calendar,X2934,W2935,"f",FALSE)</f>
        <v>59518</v>
      </c>
      <c r="Y2935" s="153">
        <f>_xll.qlCalendarAdvance(Calendar,X2935,NDays&amp;"D")</f>
        <v>59518</v>
      </c>
      <c r="Z2935" s="154">
        <v>2.7922320984627498E-2</v>
      </c>
      <c r="AA2935" s="156">
        <v>2.7802462655582838E-2</v>
      </c>
    </row>
    <row r="2936" spans="19:27" x14ac:dyDescent="0.2">
      <c r="S2936" s="1"/>
      <c r="T2936" s="117"/>
      <c r="W2936" s="75" t="str">
        <f t="shared" si="56"/>
        <v>1w</v>
      </c>
      <c r="X2936" s="148">
        <f>_xll.qlCalendarAdvance(Calendar,X2935,W2936,"f",FALSE)</f>
        <v>59525</v>
      </c>
      <c r="Y2936" s="153">
        <f>_xll.qlCalendarAdvance(Calendar,X2936,NDays&amp;"D")</f>
        <v>59525</v>
      </c>
      <c r="Z2936" s="154">
        <v>2.7926320347002376E-2</v>
      </c>
      <c r="AA2936" s="156">
        <v>2.7806428593738497E-2</v>
      </c>
    </row>
    <row r="2937" spans="19:27" x14ac:dyDescent="0.2">
      <c r="S2937" s="1"/>
      <c r="T2937" s="117"/>
      <c r="W2937" s="75" t="str">
        <f t="shared" si="56"/>
        <v>1w</v>
      </c>
      <c r="X2937" s="148">
        <f>_xll.qlCalendarAdvance(Calendar,X2936,W2937,"f",FALSE)</f>
        <v>59532</v>
      </c>
      <c r="Y2937" s="153">
        <f>_xll.qlCalendarAdvance(Calendar,X2937,NDays&amp;"D")</f>
        <v>59532</v>
      </c>
      <c r="Z2937" s="154">
        <v>2.7930320723363485E-2</v>
      </c>
      <c r="AA2937" s="156">
        <v>2.7810395534922927E-2</v>
      </c>
    </row>
    <row r="2938" spans="19:27" x14ac:dyDescent="0.2">
      <c r="S2938" s="1"/>
      <c r="T2938" s="117"/>
      <c r="W2938" s="75" t="str">
        <f t="shared" si="56"/>
        <v>1w</v>
      </c>
      <c r="X2938" s="148">
        <f>_xll.qlCalendarAdvance(Calendar,X2937,W2938,"f",FALSE)</f>
        <v>59539</v>
      </c>
      <c r="Y2938" s="153">
        <f>_xll.qlCalendarAdvance(Calendar,X2938,NDays&amp;"D")</f>
        <v>59539</v>
      </c>
      <c r="Z2938" s="154">
        <v>2.7934322113720725E-2</v>
      </c>
      <c r="AA2938" s="156">
        <v>2.7814363479784499E-2</v>
      </c>
    </row>
    <row r="2939" spans="19:27" x14ac:dyDescent="0.2">
      <c r="S2939" s="1"/>
      <c r="T2939" s="117"/>
      <c r="W2939" s="75" t="str">
        <f t="shared" si="56"/>
        <v>1w</v>
      </c>
      <c r="X2939" s="148">
        <f>_xll.qlCalendarAdvance(Calendar,X2938,W2939,"f",FALSE)</f>
        <v>59546</v>
      </c>
      <c r="Y2939" s="153">
        <f>_xll.qlCalendarAdvance(Calendar,X2939,NDays&amp;"D")</f>
        <v>59546</v>
      </c>
      <c r="Z2939" s="154">
        <v>2.7938324518070497E-2</v>
      </c>
      <c r="AA2939" s="156">
        <v>2.7818332427755887E-2</v>
      </c>
    </row>
    <row r="2940" spans="19:27" x14ac:dyDescent="0.2">
      <c r="S2940" s="1"/>
      <c r="T2940" s="117"/>
      <c r="W2940" s="75" t="str">
        <f t="shared" si="56"/>
        <v>1w</v>
      </c>
      <c r="X2940" s="148">
        <f>_xll.qlCalendarAdvance(Calendar,X2939,W2940,"f",FALSE)</f>
        <v>59553</v>
      </c>
      <c r="Y2940" s="153">
        <f>_xll.qlCalendarAdvance(Calendar,X2940,NDays&amp;"D")</f>
        <v>59553</v>
      </c>
      <c r="Z2940" s="154">
        <v>2.7942327936419105E-2</v>
      </c>
      <c r="AA2940" s="156">
        <v>2.7822302378999186E-2</v>
      </c>
    </row>
    <row r="2941" spans="19:27" x14ac:dyDescent="0.2">
      <c r="S2941" s="1"/>
      <c r="T2941" s="117"/>
      <c r="W2941" s="75" t="str">
        <f t="shared" si="56"/>
        <v>1w</v>
      </c>
      <c r="X2941" s="148">
        <f>_xll.qlCalendarAdvance(Calendar,X2940,W2941,"f",FALSE)</f>
        <v>59560</v>
      </c>
      <c r="Y2941" s="153">
        <f>_xll.qlCalendarAdvance(Calendar,X2941,NDays&amp;"D")</f>
        <v>59560</v>
      </c>
      <c r="Z2941" s="154">
        <v>2.794633236876835E-2</v>
      </c>
      <c r="AA2941" s="156">
        <v>2.7826273333433349E-2</v>
      </c>
    </row>
    <row r="2942" spans="19:27" x14ac:dyDescent="0.2">
      <c r="S2942" s="1"/>
      <c r="T2942" s="117"/>
      <c r="W2942" s="75" t="str">
        <f t="shared" si="56"/>
        <v>1w</v>
      </c>
      <c r="X2942" s="148">
        <f>_xll.qlCalendarAdvance(Calendar,X2941,W2942,"f",FALSE)</f>
        <v>59567</v>
      </c>
      <c r="Y2942" s="153">
        <f>_xll.qlCalendarAdvance(Calendar,X2942,NDays&amp;"D")</f>
        <v>59567</v>
      </c>
      <c r="Z2942" s="154">
        <v>2.7948983857226099E-2</v>
      </c>
      <c r="AA2942" s="156">
        <v>2.7830245291301514E-2</v>
      </c>
    </row>
    <row r="2943" spans="19:27" x14ac:dyDescent="0.2">
      <c r="S2943" s="1"/>
      <c r="T2943" s="117"/>
      <c r="W2943" s="75" t="str">
        <f t="shared" si="56"/>
        <v>1w</v>
      </c>
      <c r="X2943" s="148">
        <f>_xll.qlCalendarAdvance(Calendar,X2942,W2943,"f",FALSE)</f>
        <v>59574</v>
      </c>
      <c r="Y2943" s="153">
        <f>_xll.qlCalendarAdvance(Calendar,X2943,NDays&amp;"D")</f>
        <v>59574</v>
      </c>
      <c r="Z2943" s="154">
        <v>2.7954344275483156E-2</v>
      </c>
      <c r="AA2943" s="156">
        <v>2.7834218252522636E-2</v>
      </c>
    </row>
    <row r="2944" spans="19:27" x14ac:dyDescent="0.2">
      <c r="S2944" s="1"/>
      <c r="T2944" s="117"/>
      <c r="W2944" s="75" t="str">
        <f t="shared" si="56"/>
        <v>1w</v>
      </c>
      <c r="X2944" s="148">
        <f>_xll.qlCalendarAdvance(Calendar,X2943,W2944,"f",FALSE)</f>
        <v>59581</v>
      </c>
      <c r="Y2944" s="153">
        <f>_xll.qlCalendarAdvance(Calendar,X2944,NDays&amp;"D")</f>
        <v>59581</v>
      </c>
      <c r="Z2944" s="154">
        <v>2.7956997035478253E-2</v>
      </c>
      <c r="AA2944" s="156">
        <v>2.7838192216772528E-2</v>
      </c>
    </row>
    <row r="2945" spans="19:27" x14ac:dyDescent="0.2">
      <c r="S2945" s="1"/>
      <c r="T2945" s="117"/>
      <c r="W2945" s="75" t="str">
        <f t="shared" si="56"/>
        <v>1w</v>
      </c>
      <c r="X2945" s="148">
        <f>_xll.qlCalendarAdvance(Calendar,X2944,W2945,"f",FALSE)</f>
        <v>59588</v>
      </c>
      <c r="Y2945" s="153">
        <f>_xll.qlCalendarAdvance(Calendar,X2945,NDays&amp;"D")</f>
        <v>59588</v>
      </c>
      <c r="Z2945" s="154">
        <v>2.7961005145440521E-2</v>
      </c>
      <c r="AA2945" s="156">
        <v>2.784216718453747E-2</v>
      </c>
    </row>
    <row r="2946" spans="19:27" x14ac:dyDescent="0.2">
      <c r="S2946" s="1"/>
      <c r="T2946" s="117"/>
      <c r="W2946" s="75" t="str">
        <f t="shared" si="56"/>
        <v>1w</v>
      </c>
      <c r="X2946" s="148">
        <f>_xll.qlCalendarAdvance(Calendar,X2945,W2946,"f",FALSE)</f>
        <v>59595</v>
      </c>
      <c r="Y2946" s="153">
        <f>_xll.qlCalendarAdvance(Calendar,X2946,NDays&amp;"D")</f>
        <v>59595</v>
      </c>
      <c r="Z2946" s="154">
        <v>2.7969080998629849E-2</v>
      </c>
      <c r="AA2946" s="156">
        <v>2.7846143155412229E-2</v>
      </c>
    </row>
    <row r="2947" spans="19:27" x14ac:dyDescent="0.2">
      <c r="S2947" s="1"/>
      <c r="T2947" s="117"/>
      <c r="W2947" s="75" t="str">
        <f t="shared" si="56"/>
        <v>1w</v>
      </c>
      <c r="X2947" s="148">
        <f>_xll.qlCalendarAdvance(Calendar,X2946,W2947,"f",FALSE)</f>
        <v>59602</v>
      </c>
      <c r="Y2947" s="153">
        <f>_xll.qlCalendarAdvance(Calendar,X2947,NDays&amp;"D")</f>
        <v>59602</v>
      </c>
      <c r="Z2947" s="154">
        <v>2.7973092272498109E-2</v>
      </c>
      <c r="AA2947" s="156">
        <v>2.7850120129639944E-2</v>
      </c>
    </row>
    <row r="2948" spans="19:27" x14ac:dyDescent="0.2">
      <c r="S2948" s="1"/>
      <c r="T2948" s="117"/>
      <c r="W2948" s="75" t="str">
        <f t="shared" si="56"/>
        <v>1w</v>
      </c>
      <c r="X2948" s="148">
        <f>_xll.qlCalendarAdvance(Calendar,X2947,W2948,"f",FALSE)</f>
        <v>59609</v>
      </c>
      <c r="Y2948" s="153">
        <f>_xll.qlCalendarAdvance(Calendar,X2948,NDays&amp;"D")</f>
        <v>59609</v>
      </c>
      <c r="Z2948" s="154">
        <v>2.7977104560631499E-2</v>
      </c>
      <c r="AA2948" s="156">
        <v>2.7854098107058523E-2</v>
      </c>
    </row>
    <row r="2949" spans="19:27" x14ac:dyDescent="0.2">
      <c r="S2949" s="1"/>
      <c r="T2949" s="117"/>
      <c r="W2949" s="75" t="str">
        <f t="shared" si="56"/>
        <v>1w</v>
      </c>
      <c r="X2949" s="148">
        <f>_xll.qlCalendarAdvance(Calendar,X2948,W2949,"f",FALSE)</f>
        <v>59616</v>
      </c>
      <c r="Y2949" s="153">
        <f>_xll.qlCalendarAdvance(Calendar,X2949,NDays&amp;"D")</f>
        <v>59616</v>
      </c>
      <c r="Z2949" s="154">
        <v>2.7981117863030907E-2</v>
      </c>
      <c r="AA2949" s="156">
        <v>2.7858077087911104E-2</v>
      </c>
    </row>
    <row r="2950" spans="19:27" x14ac:dyDescent="0.2">
      <c r="S2950" s="1"/>
      <c r="T2950" s="117"/>
      <c r="W2950" s="75" t="str">
        <f t="shared" si="56"/>
        <v>1w</v>
      </c>
      <c r="X2950" s="148">
        <f>_xll.qlCalendarAdvance(Calendar,X2949,W2950,"f",FALSE)</f>
        <v>59623</v>
      </c>
      <c r="Y2950" s="153">
        <f>_xll.qlCalendarAdvance(Calendar,X2950,NDays&amp;"D")</f>
        <v>59623</v>
      </c>
      <c r="Z2950" s="154">
        <v>2.7985132179703373E-2</v>
      </c>
      <c r="AA2950" s="156">
        <v>2.7862057072035595E-2</v>
      </c>
    </row>
    <row r="2951" spans="19:27" x14ac:dyDescent="0.2">
      <c r="S2951" s="1"/>
      <c r="T2951" s="117"/>
      <c r="W2951" s="75" t="str">
        <f t="shared" si="56"/>
        <v>1w</v>
      </c>
      <c r="X2951" s="148">
        <f>_xll.qlCalendarAdvance(Calendar,X2950,W2951,"f",FALSE)</f>
        <v>59630</v>
      </c>
      <c r="Y2951" s="153">
        <f>_xll.qlCalendarAdvance(Calendar,X2951,NDays&amp;"D")</f>
        <v>59630</v>
      </c>
      <c r="Z2951" s="154">
        <v>2.7987789934155047E-2</v>
      </c>
      <c r="AA2951" s="156">
        <v>2.786603805935095E-2</v>
      </c>
    </row>
    <row r="2952" spans="19:27" x14ac:dyDescent="0.2">
      <c r="S2952" s="1"/>
      <c r="T2952" s="117"/>
      <c r="W2952" s="75" t="str">
        <f t="shared" si="56"/>
        <v>1w</v>
      </c>
      <c r="X2952" s="148">
        <f>_xll.qlCalendarAdvance(Calendar,X2951,W2952,"f",FALSE)</f>
        <v>59637</v>
      </c>
      <c r="Y2952" s="153">
        <f>_xll.qlCalendarAdvance(Calendar,X2952,NDays&amp;"D")</f>
        <v>59637</v>
      </c>
      <c r="Z2952" s="154">
        <v>2.7991805900025438E-2</v>
      </c>
      <c r="AA2952" s="156">
        <v>2.7870020050100308E-2</v>
      </c>
    </row>
    <row r="2953" spans="19:27" x14ac:dyDescent="0.2">
      <c r="S2953" s="1"/>
      <c r="T2953" s="117"/>
      <c r="W2953" s="75" t="str">
        <f t="shared" si="56"/>
        <v>1w</v>
      </c>
      <c r="X2953" s="148">
        <f>_xll.qlCalendarAdvance(Calendar,X2952,W2953,"f",FALSE)</f>
        <v>59644</v>
      </c>
      <c r="Y2953" s="153">
        <f>_xll.qlCalendarAdvance(Calendar,X2953,NDays&amp;"D")</f>
        <v>59644</v>
      </c>
      <c r="Z2953" s="154">
        <v>2.7995822880053766E-2</v>
      </c>
      <c r="AA2953" s="156">
        <v>2.7874003043959483E-2</v>
      </c>
    </row>
    <row r="2954" spans="19:27" x14ac:dyDescent="0.2">
      <c r="S2954" s="1"/>
      <c r="T2954" s="117"/>
      <c r="W2954" s="75" t="str">
        <f t="shared" si="56"/>
        <v>1w</v>
      </c>
      <c r="X2954" s="148">
        <f>_xll.qlCalendarAdvance(Calendar,X2953,W2954,"f",FALSE)</f>
        <v>59651</v>
      </c>
      <c r="Y2954" s="153">
        <f>_xll.qlCalendarAdvance(Calendar,X2954,NDays&amp;"D")</f>
        <v>59651</v>
      </c>
      <c r="Z2954" s="154">
        <v>2.7999840874242708E-2</v>
      </c>
      <c r="AA2954" s="156">
        <v>2.7877987041090568E-2</v>
      </c>
    </row>
    <row r="2955" spans="19:27" x14ac:dyDescent="0.2">
      <c r="S2955" s="1"/>
      <c r="T2955" s="117"/>
      <c r="W2955" s="75" t="str">
        <f t="shared" si="56"/>
        <v>1w</v>
      </c>
      <c r="X2955" s="148">
        <f>_xll.qlCalendarAdvance(Calendar,X2954,W2955,"f",FALSE)</f>
        <v>59658</v>
      </c>
      <c r="Y2955" s="153">
        <f>_xll.qlCalendarAdvance(Calendar,X2955,NDays&amp;"D")</f>
        <v>59658</v>
      </c>
      <c r="Z2955" s="154">
        <v>2.8005218977231228E-2</v>
      </c>
      <c r="AA2955" s="156">
        <v>2.788197204157461E-2</v>
      </c>
    </row>
    <row r="2956" spans="19:27" x14ac:dyDescent="0.2">
      <c r="S2956" s="1"/>
      <c r="T2956" s="117"/>
      <c r="W2956" s="75" t="str">
        <f t="shared" si="56"/>
        <v>1w</v>
      </c>
      <c r="X2956" s="148">
        <f>_xll.qlCalendarAdvance(Calendar,X2955,W2956,"f",FALSE)</f>
        <v>59665</v>
      </c>
      <c r="Y2956" s="153">
        <f>_xll.qlCalendarAdvance(Calendar,X2956,NDays&amp;"D")</f>
        <v>59665</v>
      </c>
      <c r="Z2956" s="154">
        <v>2.8009239379592279E-2</v>
      </c>
      <c r="AA2956" s="156">
        <v>2.7885958045492654E-2</v>
      </c>
    </row>
    <row r="2957" spans="19:27" x14ac:dyDescent="0.2">
      <c r="S2957" s="1"/>
      <c r="T2957" s="117"/>
      <c r="W2957" s="75" t="str">
        <f t="shared" si="56"/>
        <v>1w</v>
      </c>
      <c r="X2957" s="148">
        <f>_xll.qlCalendarAdvance(Calendar,X2956,W2957,"f",FALSE)</f>
        <v>59672</v>
      </c>
      <c r="Y2957" s="153">
        <f>_xll.qlCalendarAdvance(Calendar,X2957,NDays&amp;"D")</f>
        <v>59672</v>
      </c>
      <c r="Z2957" s="154">
        <v>2.8013260796246654E-2</v>
      </c>
      <c r="AA2957" s="156">
        <v>2.7889945052520515E-2</v>
      </c>
    </row>
    <row r="2958" spans="19:27" x14ac:dyDescent="0.2">
      <c r="S2958" s="1"/>
      <c r="T2958" s="117"/>
      <c r="W2958" s="75" t="str">
        <f t="shared" si="56"/>
        <v>1w</v>
      </c>
      <c r="X2958" s="148">
        <f>_xll.qlCalendarAdvance(Calendar,X2957,W2958,"f",FALSE)</f>
        <v>59679</v>
      </c>
      <c r="Y2958" s="153">
        <f>_xll.qlCalendarAdvance(Calendar,X2958,NDays&amp;"D")</f>
        <v>59679</v>
      </c>
      <c r="Z2958" s="154">
        <v>2.8017283227195232E-2</v>
      </c>
      <c r="AA2958" s="156">
        <v>2.7893933062820286E-2</v>
      </c>
    </row>
    <row r="2959" spans="19:27" x14ac:dyDescent="0.2">
      <c r="S2959" s="1"/>
      <c r="T2959" s="117"/>
      <c r="W2959" s="75" t="str">
        <f t="shared" si="56"/>
        <v>1w</v>
      </c>
      <c r="X2959" s="148">
        <f>_xll.qlCalendarAdvance(Calendar,X2958,W2959,"f",FALSE)</f>
        <v>59686</v>
      </c>
      <c r="Y2959" s="153">
        <f>_xll.qlCalendarAdvance(Calendar,X2959,NDays&amp;"D")</f>
        <v>59686</v>
      </c>
      <c r="Z2959" s="154">
        <v>2.8021306672441539E-2</v>
      </c>
      <c r="AA2959" s="156">
        <v>2.7897922076473014E-2</v>
      </c>
    </row>
    <row r="2960" spans="19:27" x14ac:dyDescent="0.2">
      <c r="S2960" s="1"/>
      <c r="T2960" s="117"/>
      <c r="W2960" s="75" t="str">
        <f t="shared" si="56"/>
        <v>1w</v>
      </c>
      <c r="X2960" s="148">
        <f>_xll.qlCalendarAdvance(Calendar,X2959,W2960,"f",FALSE)</f>
        <v>59693</v>
      </c>
      <c r="Y2960" s="153">
        <f>_xll.qlCalendarAdvance(Calendar,X2960,NDays&amp;"D")</f>
        <v>59693</v>
      </c>
      <c r="Z2960" s="154">
        <v>2.8025331131989979E-2</v>
      </c>
      <c r="AA2960" s="156">
        <v>2.7901912093397652E-2</v>
      </c>
    </row>
    <row r="2961" spans="19:27" x14ac:dyDescent="0.2">
      <c r="S2961" s="1"/>
      <c r="T2961" s="117"/>
      <c r="W2961" s="75" t="str">
        <f t="shared" si="56"/>
        <v>1w</v>
      </c>
      <c r="X2961" s="148">
        <f>_xll.qlCalendarAdvance(Calendar,X2960,W2961,"f",FALSE)</f>
        <v>59700</v>
      </c>
      <c r="Y2961" s="153">
        <f>_xll.qlCalendarAdvance(Calendar,X2961,NDays&amp;"D")</f>
        <v>59700</v>
      </c>
      <c r="Z2961" s="154">
        <v>2.8029356605844956E-2</v>
      </c>
      <c r="AA2961" s="156">
        <v>2.7905903113756292E-2</v>
      </c>
    </row>
    <row r="2962" spans="19:27" x14ac:dyDescent="0.2">
      <c r="S2962" s="1"/>
      <c r="T2962" s="117"/>
      <c r="W2962" s="75" t="str">
        <f t="shared" si="56"/>
        <v>1w</v>
      </c>
      <c r="X2962" s="148">
        <f>_xll.qlCalendarAdvance(Calendar,X2961,W2962,"f",FALSE)</f>
        <v>59707</v>
      </c>
      <c r="Y2962" s="153">
        <f>_xll.qlCalendarAdvance(Calendar,X2962,NDays&amp;"D")</f>
        <v>59707</v>
      </c>
      <c r="Z2962" s="154">
        <v>2.8033383094004705E-2</v>
      </c>
      <c r="AA2962" s="156">
        <v>2.7909895137062657E-2</v>
      </c>
    </row>
    <row r="2963" spans="19:27" x14ac:dyDescent="0.2">
      <c r="S2963" s="1"/>
      <c r="T2963" s="117"/>
      <c r="W2963" s="75" t="str">
        <f t="shared" si="56"/>
        <v>1w</v>
      </c>
      <c r="X2963" s="148">
        <f>_xll.qlCalendarAdvance(Calendar,X2962,W2963,"f",FALSE)</f>
        <v>59714</v>
      </c>
      <c r="Y2963" s="153">
        <f>_xll.qlCalendarAdvance(Calendar,X2963,NDays&amp;"D")</f>
        <v>59714</v>
      </c>
      <c r="Z2963" s="154">
        <v>2.8037410596474518E-2</v>
      </c>
      <c r="AA2963" s="156">
        <v>2.7913888163803025E-2</v>
      </c>
    </row>
    <row r="2964" spans="19:27" x14ac:dyDescent="0.2">
      <c r="S2964" s="1"/>
      <c r="T2964" s="117"/>
      <c r="W2964" s="75" t="str">
        <f t="shared" si="56"/>
        <v>1w</v>
      </c>
      <c r="X2964" s="148">
        <f>_xll.qlCalendarAdvance(Calendar,X2963,W2964,"f",FALSE)</f>
        <v>59721</v>
      </c>
      <c r="Y2964" s="153">
        <f>_xll.qlCalendarAdvance(Calendar,X2964,NDays&amp;"D")</f>
        <v>59721</v>
      </c>
      <c r="Z2964" s="154">
        <v>2.8041439113259677E-2</v>
      </c>
      <c r="AA2964" s="156">
        <v>2.7917882193977395E-2</v>
      </c>
    </row>
    <row r="2965" spans="19:27" x14ac:dyDescent="0.2">
      <c r="S2965" s="1"/>
      <c r="T2965" s="117"/>
      <c r="W2965" s="75" t="str">
        <f t="shared" ref="W2965:W3028" si="57">W2964</f>
        <v>1w</v>
      </c>
      <c r="X2965" s="148">
        <f>_xll.qlCalendarAdvance(Calendar,X2964,W2965,"f",FALSE)</f>
        <v>59728</v>
      </c>
      <c r="Y2965" s="153">
        <f>_xll.qlCalendarAdvance(Calendar,X2965,NDays&amp;"D")</f>
        <v>59728</v>
      </c>
      <c r="Z2965" s="154">
        <v>2.8045468644361946E-2</v>
      </c>
      <c r="AA2965" s="156">
        <v>2.7921877227180536E-2</v>
      </c>
    </row>
    <row r="2966" spans="19:27" x14ac:dyDescent="0.2">
      <c r="S2966" s="1"/>
      <c r="T2966" s="117"/>
      <c r="W2966" s="75" t="str">
        <f t="shared" si="57"/>
        <v>1w</v>
      </c>
      <c r="X2966" s="148">
        <f>_xll.qlCalendarAdvance(Calendar,X2965,W2966,"f",FALSE)</f>
        <v>59735</v>
      </c>
      <c r="Y2966" s="153">
        <f>_xll.qlCalendarAdvance(Calendar,X2966,NDays&amp;"D")</f>
        <v>59735</v>
      </c>
      <c r="Z2966" s="154">
        <v>2.8049499189783965E-2</v>
      </c>
      <c r="AA2966" s="156">
        <v>2.792587326381768E-2</v>
      </c>
    </row>
    <row r="2967" spans="19:27" x14ac:dyDescent="0.2">
      <c r="S2967" s="1"/>
      <c r="T2967" s="117"/>
      <c r="W2967" s="75" t="str">
        <f t="shared" si="57"/>
        <v>1w</v>
      </c>
      <c r="X2967" s="148">
        <f>_xll.qlCalendarAdvance(Calendar,X2966,W2967,"f",FALSE)</f>
        <v>59742</v>
      </c>
      <c r="Y2967" s="153">
        <f>_xll.qlCalendarAdvance(Calendar,X2967,NDays&amp;"D")</f>
        <v>59742</v>
      </c>
      <c r="Z2967" s="154">
        <v>2.8053530749527499E-2</v>
      </c>
      <c r="AA2967" s="156">
        <v>2.7929870303888826E-2</v>
      </c>
    </row>
    <row r="2968" spans="19:27" x14ac:dyDescent="0.2">
      <c r="S2968" s="1"/>
      <c r="T2968" s="117"/>
      <c r="W2968" s="75" t="str">
        <f t="shared" si="57"/>
        <v>1w</v>
      </c>
      <c r="X2968" s="148">
        <f>_xll.qlCalendarAdvance(Calendar,X2967,W2968,"f",FALSE)</f>
        <v>59749</v>
      </c>
      <c r="Y2968" s="153">
        <f>_xll.qlCalendarAdvance(Calendar,X2968,NDays&amp;"D")</f>
        <v>59749</v>
      </c>
      <c r="Z2968" s="154">
        <v>2.8057563323599592E-2</v>
      </c>
      <c r="AA2968" s="156">
        <v>2.7933868346988744E-2</v>
      </c>
    </row>
    <row r="2969" spans="19:27" x14ac:dyDescent="0.2">
      <c r="S2969" s="1"/>
      <c r="T2969" s="117"/>
      <c r="W2969" s="75" t="str">
        <f t="shared" si="57"/>
        <v>1w</v>
      </c>
      <c r="X2969" s="148">
        <f>_xll.qlCalendarAdvance(Calendar,X2968,W2969,"f",FALSE)</f>
        <v>59756</v>
      </c>
      <c r="Y2969" s="153">
        <f>_xll.qlCalendarAdvance(Calendar,X2969,NDays&amp;"D")</f>
        <v>59756</v>
      </c>
      <c r="Z2969" s="154">
        <v>2.8061596911996722E-2</v>
      </c>
      <c r="AA2969" s="156">
        <v>2.7937867393279525E-2</v>
      </c>
    </row>
    <row r="2970" spans="19:27" x14ac:dyDescent="0.2">
      <c r="S2970" s="1"/>
      <c r="T2970" s="117"/>
      <c r="W2970" s="75" t="str">
        <f t="shared" si="57"/>
        <v>1w</v>
      </c>
      <c r="X2970" s="148">
        <f>_xll.qlCalendarAdvance(Calendar,X2969,W2970,"f",FALSE)</f>
        <v>59763</v>
      </c>
      <c r="Y2970" s="153">
        <f>_xll.qlCalendarAdvance(Calendar,X2970,NDays&amp;"D")</f>
        <v>59763</v>
      </c>
      <c r="Z2970" s="154">
        <v>2.8065631514729461E-2</v>
      </c>
      <c r="AA2970" s="156">
        <v>2.7941867443247448E-2</v>
      </c>
    </row>
    <row r="2971" spans="19:27" x14ac:dyDescent="0.2">
      <c r="S2971" s="1"/>
      <c r="T2971" s="117"/>
      <c r="W2971" s="75" t="str">
        <f t="shared" si="57"/>
        <v>1w</v>
      </c>
      <c r="X2971" s="148">
        <f>_xll.qlCalendarAdvance(Calendar,X2970,W2971,"f",FALSE)</f>
        <v>59770</v>
      </c>
      <c r="Y2971" s="153">
        <f>_xll.qlCalendarAdvance(Calendar,X2971,NDays&amp;"D")</f>
        <v>59770</v>
      </c>
      <c r="Z2971" s="154">
        <v>2.8069667131795165E-2</v>
      </c>
      <c r="AA2971" s="156">
        <v>2.7945868496325188E-2</v>
      </c>
    </row>
    <row r="2972" spans="19:27" x14ac:dyDescent="0.2">
      <c r="S2972" s="1"/>
      <c r="T2972" s="117"/>
      <c r="W2972" s="75" t="str">
        <f t="shared" si="57"/>
        <v>1w</v>
      </c>
      <c r="X2972" s="148">
        <f>_xll.qlCalendarAdvance(Calendar,X2971,W2972,"f",FALSE)</f>
        <v>59777</v>
      </c>
      <c r="Y2972" s="153">
        <f>_xll.qlCalendarAdvance(Calendar,X2972,NDays&amp;"D")</f>
        <v>59777</v>
      </c>
      <c r="Z2972" s="154">
        <v>2.8073703763200002E-2</v>
      </c>
      <c r="AA2972" s="156">
        <v>2.7949870552512746E-2</v>
      </c>
    </row>
    <row r="2973" spans="19:27" x14ac:dyDescent="0.2">
      <c r="S2973" s="1"/>
      <c r="T2973" s="117"/>
      <c r="W2973" s="75" t="str">
        <f t="shared" si="57"/>
        <v>1w</v>
      </c>
      <c r="X2973" s="148">
        <f>_xll.qlCalendarAdvance(Calendar,X2972,W2973,"f",FALSE)</f>
        <v>59784</v>
      </c>
      <c r="Y2973" s="153">
        <f>_xll.qlCalendarAdvance(Calendar,X2973,NDays&amp;"D")</f>
        <v>59784</v>
      </c>
      <c r="Z2973" s="154">
        <v>2.8076375458548006E-2</v>
      </c>
      <c r="AA2973" s="156">
        <v>2.7953873612134306E-2</v>
      </c>
    </row>
    <row r="2974" spans="19:27" x14ac:dyDescent="0.2">
      <c r="S2974" s="1"/>
      <c r="T2974" s="117"/>
      <c r="W2974" s="75" t="str">
        <f t="shared" si="57"/>
        <v>1w</v>
      </c>
      <c r="X2974" s="148">
        <f>_xll.qlCalendarAdvance(Calendar,X2973,W2974,"f",FALSE)</f>
        <v>59791</v>
      </c>
      <c r="Y2974" s="153">
        <f>_xll.qlCalendarAdvance(Calendar,X2974,NDays&amp;"D")</f>
        <v>59791</v>
      </c>
      <c r="Z2974" s="154">
        <v>2.8080413736602888E-2</v>
      </c>
      <c r="AA2974" s="156">
        <v>2.7957877675027776E-2</v>
      </c>
    </row>
    <row r="2975" spans="19:27" x14ac:dyDescent="0.2">
      <c r="S2975" s="1"/>
      <c r="T2975" s="117"/>
      <c r="W2975" s="75" t="str">
        <f t="shared" si="57"/>
        <v>1w</v>
      </c>
      <c r="X2975" s="148">
        <f>_xll.qlCalendarAdvance(Calendar,X2974,W2975,"f",FALSE)</f>
        <v>59798</v>
      </c>
      <c r="Y2975" s="153">
        <f>_xll.qlCalendarAdvance(Calendar,X2975,NDays&amp;"D")</f>
        <v>59798</v>
      </c>
      <c r="Z2975" s="154">
        <v>2.8084453028883394E-2</v>
      </c>
      <c r="AA2975" s="156">
        <v>2.7961882741274202E-2</v>
      </c>
    </row>
    <row r="2976" spans="19:27" x14ac:dyDescent="0.2">
      <c r="S2976" s="1"/>
      <c r="T2976" s="117"/>
      <c r="W2976" s="75" t="str">
        <f t="shared" si="57"/>
        <v>1w</v>
      </c>
      <c r="X2976" s="148">
        <f>_xll.qlCalendarAdvance(Calendar,X2975,W2976,"f",FALSE)</f>
        <v>59805</v>
      </c>
      <c r="Y2976" s="153">
        <f>_xll.qlCalendarAdvance(Calendar,X2976,NDays&amp;"D")</f>
        <v>59805</v>
      </c>
      <c r="Z2976" s="154">
        <v>2.8089860432261762E-2</v>
      </c>
      <c r="AA2976" s="156">
        <v>2.79658888105494E-2</v>
      </c>
    </row>
    <row r="2977" spans="19:27" x14ac:dyDescent="0.2">
      <c r="S2977" s="1"/>
      <c r="T2977" s="117"/>
      <c r="W2977" s="75" t="str">
        <f t="shared" si="57"/>
        <v>1w</v>
      </c>
      <c r="X2977" s="148">
        <f>_xll.qlCalendarAdvance(Calendar,X2976,W2977,"f",FALSE)</f>
        <v>59812</v>
      </c>
      <c r="Y2977" s="153">
        <f>_xll.qlCalendarAdvance(Calendar,X2977,NDays&amp;"D")</f>
        <v>59812</v>
      </c>
      <c r="Z2977" s="154">
        <v>2.8093902135403661E-2</v>
      </c>
      <c r="AA2977" s="156">
        <v>2.7969895883339646E-2</v>
      </c>
    </row>
    <row r="2978" spans="19:27" x14ac:dyDescent="0.2">
      <c r="S2978" s="1"/>
      <c r="T2978" s="117"/>
      <c r="W2978" s="75" t="str">
        <f t="shared" si="57"/>
        <v>1w</v>
      </c>
      <c r="X2978" s="148">
        <f>_xll.qlCalendarAdvance(Calendar,X2977,W2978,"f",FALSE)</f>
        <v>59819</v>
      </c>
      <c r="Y2978" s="153">
        <f>_xll.qlCalendarAdvance(Calendar,X2978,NDays&amp;"D")</f>
        <v>59819</v>
      </c>
      <c r="Z2978" s="154">
        <v>2.8097944852900552E-2</v>
      </c>
      <c r="AA2978" s="156">
        <v>2.7973903959482849E-2</v>
      </c>
    </row>
    <row r="2979" spans="19:27" x14ac:dyDescent="0.2">
      <c r="S2979" s="1"/>
      <c r="T2979" s="117"/>
      <c r="W2979" s="75" t="str">
        <f t="shared" si="57"/>
        <v>1w</v>
      </c>
      <c r="X2979" s="148">
        <f>_xll.qlCalendarAdvance(Calendar,X2978,W2979,"f",FALSE)</f>
        <v>59826</v>
      </c>
      <c r="Y2979" s="153">
        <f>_xll.qlCalendarAdvance(Calendar,X2979,NDays&amp;"D")</f>
        <v>59826</v>
      </c>
      <c r="Z2979" s="154">
        <v>2.8101988584758594E-2</v>
      </c>
      <c r="AA2979" s="156">
        <v>2.7977913038735869E-2</v>
      </c>
    </row>
    <row r="2980" spans="19:27" x14ac:dyDescent="0.2">
      <c r="S2980" s="1"/>
      <c r="T2980" s="117"/>
      <c r="W2980" s="75" t="str">
        <f t="shared" si="57"/>
        <v>1w</v>
      </c>
      <c r="X2980" s="148">
        <f>_xll.qlCalendarAdvance(Calendar,X2979,W2980,"f",FALSE)</f>
        <v>59833</v>
      </c>
      <c r="Y2980" s="153">
        <f>_xll.qlCalendarAdvance(Calendar,X2980,NDays&amp;"D")</f>
        <v>59833</v>
      </c>
      <c r="Z2980" s="154">
        <v>2.8106033330978678E-2</v>
      </c>
      <c r="AA2980" s="156">
        <v>2.7981923121260799E-2</v>
      </c>
    </row>
    <row r="2981" spans="19:27" x14ac:dyDescent="0.2">
      <c r="S2981" s="1"/>
      <c r="T2981" s="117"/>
      <c r="W2981" s="75" t="str">
        <f t="shared" si="57"/>
        <v>1w</v>
      </c>
      <c r="X2981" s="148">
        <f>_xll.qlCalendarAdvance(Calendar,X2980,W2981,"f",FALSE)</f>
        <v>59840</v>
      </c>
      <c r="Y2981" s="153">
        <f>_xll.qlCalendarAdvance(Calendar,X2981,NDays&amp;"D")</f>
        <v>59840</v>
      </c>
      <c r="Z2981" s="154">
        <v>2.8110079091565199E-2</v>
      </c>
      <c r="AA2981" s="156">
        <v>2.7985934207300778E-2</v>
      </c>
    </row>
    <row r="2982" spans="19:27" x14ac:dyDescent="0.2">
      <c r="S2982" s="1"/>
      <c r="T2982" s="117"/>
      <c r="W2982" s="75" t="str">
        <f t="shared" si="57"/>
        <v>1w</v>
      </c>
      <c r="X2982" s="148">
        <f>_xll.qlCalendarAdvance(Calendar,X2981,W2982,"f",FALSE)</f>
        <v>59847</v>
      </c>
      <c r="Y2982" s="153">
        <f>_xll.qlCalendarAdvance(Calendar,X2982,NDays&amp;"D")</f>
        <v>59847</v>
      </c>
      <c r="Z2982" s="154">
        <v>2.8114125866520803E-2</v>
      </c>
      <c r="AA2982" s="156">
        <v>2.7989946296450574E-2</v>
      </c>
    </row>
    <row r="2983" spans="19:27" x14ac:dyDescent="0.2">
      <c r="S2983" s="1"/>
      <c r="T2983" s="117"/>
      <c r="W2983" s="75" t="str">
        <f t="shared" si="57"/>
        <v>1w</v>
      </c>
      <c r="X2983" s="148">
        <f>_xll.qlCalendarAdvance(Calendar,X2982,W2983,"f",FALSE)</f>
        <v>59854</v>
      </c>
      <c r="Y2983" s="153">
        <f>_xll.qlCalendarAdvance(Calendar,X2983,NDays&amp;"D")</f>
        <v>59854</v>
      </c>
      <c r="Z2983" s="154">
        <v>2.8118173655847255E-2</v>
      </c>
      <c r="AA2983" s="156">
        <v>2.7993959388791234E-2</v>
      </c>
    </row>
    <row r="2984" spans="19:27" x14ac:dyDescent="0.2">
      <c r="S2984" s="1"/>
      <c r="T2984" s="117"/>
      <c r="W2984" s="75" t="str">
        <f t="shared" si="57"/>
        <v>1w</v>
      </c>
      <c r="X2984" s="148">
        <f>_xll.qlCalendarAdvance(Calendar,X2983,W2984,"f",FALSE)</f>
        <v>59861</v>
      </c>
      <c r="Y2984" s="153">
        <f>_xll.qlCalendarAdvance(Calendar,X2984,NDays&amp;"D")</f>
        <v>59861</v>
      </c>
      <c r="Z2984" s="154">
        <v>2.8122222459549838E-2</v>
      </c>
      <c r="AA2984" s="156">
        <v>2.7997973484565897E-2</v>
      </c>
    </row>
    <row r="2985" spans="19:27" x14ac:dyDescent="0.2">
      <c r="S2985" s="1"/>
      <c r="T2985" s="117"/>
      <c r="W2985" s="75" t="str">
        <f t="shared" si="57"/>
        <v>1w</v>
      </c>
      <c r="X2985" s="148">
        <f>_xll.qlCalendarAdvance(Calendar,X2984,W2985,"f",FALSE)</f>
        <v>59868</v>
      </c>
      <c r="Y2985" s="153">
        <f>_xll.qlCalendarAdvance(Calendar,X2985,NDays&amp;"D")</f>
        <v>59868</v>
      </c>
      <c r="Z2985" s="154">
        <v>2.8126272277629434E-2</v>
      </c>
      <c r="AA2985" s="156">
        <v>2.8001988583612469E-2</v>
      </c>
    </row>
    <row r="2986" spans="19:27" x14ac:dyDescent="0.2">
      <c r="S2986" s="1"/>
      <c r="T2986" s="117"/>
      <c r="W2986" s="75" t="str">
        <f t="shared" si="57"/>
        <v>1w</v>
      </c>
      <c r="X2986" s="148">
        <f>_xll.qlCalendarAdvance(Calendar,X2985,W2986,"f",FALSE)</f>
        <v>59875</v>
      </c>
      <c r="Y2986" s="153">
        <f>_xll.qlCalendarAdvance(Calendar,X2986,NDays&amp;"D")</f>
        <v>59875</v>
      </c>
      <c r="Z2986" s="154">
        <v>2.8128952183672593E-2</v>
      </c>
      <c r="AA2986" s="156">
        <v>2.8006004686011998E-2</v>
      </c>
    </row>
    <row r="2987" spans="19:27" x14ac:dyDescent="0.2">
      <c r="S2987" s="1"/>
      <c r="T2987" s="117"/>
      <c r="W2987" s="75" t="str">
        <f t="shared" si="57"/>
        <v>1w</v>
      </c>
      <c r="X2987" s="148">
        <f>_xll.qlCalendarAdvance(Calendar,X2986,W2987,"f",FALSE)</f>
        <v>59882</v>
      </c>
      <c r="Y2987" s="153">
        <f>_xll.qlCalendarAdvance(Calendar,X2987,NDays&amp;"D")</f>
        <v>59882</v>
      </c>
      <c r="Z2987" s="154">
        <v>2.8133003646887728E-2</v>
      </c>
      <c r="AA2987" s="156">
        <v>2.8010021791521345E-2</v>
      </c>
    </row>
    <row r="2988" spans="19:27" x14ac:dyDescent="0.2">
      <c r="S2988" s="1"/>
      <c r="T2988" s="117"/>
      <c r="W2988" s="75" t="str">
        <f t="shared" si="57"/>
        <v>1w</v>
      </c>
      <c r="X2988" s="148">
        <f>_xll.qlCalendarAdvance(Calendar,X2987,W2988,"f",FALSE)</f>
        <v>59889</v>
      </c>
      <c r="Y2988" s="153">
        <f>_xll.qlCalendarAdvance(Calendar,X2988,NDays&amp;"D")</f>
        <v>59889</v>
      </c>
      <c r="Z2988" s="154">
        <v>2.8137056124368568E-2</v>
      </c>
      <c r="AA2988" s="156">
        <v>2.8014039900383647E-2</v>
      </c>
    </row>
    <row r="2989" spans="19:27" x14ac:dyDescent="0.2">
      <c r="S2989" s="1"/>
      <c r="T2989" s="117"/>
      <c r="W2989" s="75" t="str">
        <f t="shared" si="57"/>
        <v>1w</v>
      </c>
      <c r="X2989" s="148">
        <f>_xll.qlCalendarAdvance(Calendar,X2988,W2989,"f",FALSE)</f>
        <v>59897</v>
      </c>
      <c r="Y2989" s="153">
        <f>_xll.qlCalendarAdvance(Calendar,X2989,NDays&amp;"D")</f>
        <v>59897</v>
      </c>
      <c r="Z2989" s="154">
        <v>2.814168876916389E-2</v>
      </c>
      <c r="AA2989" s="156">
        <v>2.8018633253216185E-2</v>
      </c>
    </row>
    <row r="2990" spans="19:27" x14ac:dyDescent="0.2">
      <c r="S2990" s="1"/>
      <c r="T2990" s="117"/>
      <c r="W2990" s="75" t="str">
        <f t="shared" si="57"/>
        <v>1w</v>
      </c>
      <c r="X2990" s="148">
        <f>_xll.qlCalendarAdvance(Calendar,X2989,W2990,"f",FALSE)</f>
        <v>59904</v>
      </c>
      <c r="Y2990" s="153">
        <f>_xll.qlCalendarAdvance(Calendar,X2990,NDays&amp;"D")</f>
        <v>59904</v>
      </c>
      <c r="Z2990" s="154">
        <v>2.8145743420078872E-2</v>
      </c>
      <c r="AA2990" s="156">
        <v>2.8022653512074225E-2</v>
      </c>
    </row>
    <row r="2991" spans="19:27" x14ac:dyDescent="0.2">
      <c r="S2991" s="1"/>
      <c r="T2991" s="117"/>
      <c r="W2991" s="75" t="str">
        <f t="shared" si="57"/>
        <v>1w</v>
      </c>
      <c r="X2991" s="148">
        <f>_xll.qlCalendarAdvance(Calendar,X2990,W2991,"f",FALSE)</f>
        <v>59911</v>
      </c>
      <c r="Y2991" s="153">
        <f>_xll.qlCalendarAdvance(Calendar,X2991,NDays&amp;"D")</f>
        <v>59911</v>
      </c>
      <c r="Z2991" s="154">
        <v>2.8149799085269357E-2</v>
      </c>
      <c r="AA2991" s="156">
        <v>2.8026674774204174E-2</v>
      </c>
    </row>
    <row r="2992" spans="19:27" x14ac:dyDescent="0.2">
      <c r="S2992" s="1"/>
      <c r="T2992" s="117"/>
      <c r="W2992" s="75" t="str">
        <f t="shared" si="57"/>
        <v>1w</v>
      </c>
      <c r="X2992" s="148">
        <f>_xll.qlCalendarAdvance(Calendar,X2991,W2992,"f",FALSE)</f>
        <v>59918</v>
      </c>
      <c r="Y2992" s="153">
        <f>_xll.qlCalendarAdvance(Calendar,X2992,NDays&amp;"D")</f>
        <v>59918</v>
      </c>
      <c r="Z2992" s="154">
        <v>2.8153855764735343E-2</v>
      </c>
      <c r="AA2992" s="156">
        <v>2.8030697039443941E-2</v>
      </c>
    </row>
    <row r="2993" spans="19:27" x14ac:dyDescent="0.2">
      <c r="S2993" s="1"/>
      <c r="T2993" s="117"/>
      <c r="W2993" s="75" t="str">
        <f t="shared" si="57"/>
        <v>1w</v>
      </c>
      <c r="X2993" s="148">
        <f>_xll.qlCalendarAdvance(Calendar,X2992,W2993,"f",FALSE)</f>
        <v>59925</v>
      </c>
      <c r="Y2993" s="153">
        <f>_xll.qlCalendarAdvance(Calendar,X2993,NDays&amp;"D")</f>
        <v>59925</v>
      </c>
      <c r="Z2993" s="154">
        <v>2.8157913458482172E-2</v>
      </c>
      <c r="AA2993" s="156">
        <v>2.8034720308198757E-2</v>
      </c>
    </row>
    <row r="2994" spans="19:27" x14ac:dyDescent="0.2">
      <c r="S2994" s="1"/>
      <c r="T2994" s="117"/>
      <c r="W2994" s="75" t="str">
        <f t="shared" si="57"/>
        <v>1w</v>
      </c>
      <c r="X2994" s="148">
        <f>_xll.qlCalendarAdvance(Calendar,X2993,W2994,"f",FALSE)</f>
        <v>59932</v>
      </c>
      <c r="Y2994" s="153">
        <f>_xll.qlCalendarAdvance(Calendar,X2994,NDays&amp;"D")</f>
        <v>59932</v>
      </c>
      <c r="Z2994" s="154">
        <v>2.816059821977214E-2</v>
      </c>
      <c r="AA2994" s="156">
        <v>2.8038744580063391E-2</v>
      </c>
    </row>
    <row r="2995" spans="19:27" x14ac:dyDescent="0.2">
      <c r="S2995" s="1"/>
      <c r="T2995" s="117"/>
      <c r="W2995" s="75" t="str">
        <f t="shared" si="57"/>
        <v>1w</v>
      </c>
      <c r="X2995" s="148">
        <f>_xll.qlCalendarAdvance(Calendar,X2994,W2995,"f",FALSE)</f>
        <v>59939</v>
      </c>
      <c r="Y2995" s="153">
        <f>_xll.qlCalendarAdvance(Calendar,X2995,NDays&amp;"D")</f>
        <v>59939</v>
      </c>
      <c r="Z2995" s="154">
        <v>2.816465755749974E-2</v>
      </c>
      <c r="AA2995" s="156">
        <v>2.804276985528098E-2</v>
      </c>
    </row>
    <row r="2996" spans="19:27" x14ac:dyDescent="0.2">
      <c r="S2996" s="1"/>
      <c r="T2996" s="117"/>
      <c r="W2996" s="75" t="str">
        <f t="shared" si="57"/>
        <v>1w</v>
      </c>
      <c r="X2996" s="148">
        <f>_xll.qlCalendarAdvance(Calendar,X2995,W2996,"f",FALSE)</f>
        <v>59946</v>
      </c>
      <c r="Y2996" s="153">
        <f>_xll.qlCalendarAdvance(Calendar,X2996,NDays&amp;"D")</f>
        <v>59946</v>
      </c>
      <c r="Z2996" s="154">
        <v>2.8168717909392769E-2</v>
      </c>
      <c r="AA2996" s="156">
        <v>2.8046796133608387E-2</v>
      </c>
    </row>
    <row r="2997" spans="19:27" x14ac:dyDescent="0.2">
      <c r="S2997" s="1"/>
      <c r="T2997" s="117"/>
      <c r="W2997" s="75" t="str">
        <f t="shared" si="57"/>
        <v>1w</v>
      </c>
      <c r="X2997" s="148">
        <f>_xll.qlCalendarAdvance(Calendar,X2996,W2997,"f",FALSE)</f>
        <v>59953</v>
      </c>
      <c r="Y2997" s="153">
        <f>_xll.qlCalendarAdvance(Calendar,X2997,NDays&amp;"D")</f>
        <v>59953</v>
      </c>
      <c r="Z2997" s="154">
        <v>2.8172779275456635E-2</v>
      </c>
      <c r="AA2997" s="156">
        <v>2.8050823415531889E-2</v>
      </c>
    </row>
    <row r="2998" spans="19:27" x14ac:dyDescent="0.2">
      <c r="S2998" s="1"/>
      <c r="T2998" s="117"/>
      <c r="W2998" s="75" t="str">
        <f t="shared" si="57"/>
        <v>1w</v>
      </c>
      <c r="X2998" s="148">
        <f>_xll.qlCalendarAdvance(Calendar,X2997,W2998,"f",FALSE)</f>
        <v>59960</v>
      </c>
      <c r="Y2998" s="153">
        <f>_xll.qlCalendarAdvance(Calendar,X2998,NDays&amp;"D")</f>
        <v>59960</v>
      </c>
      <c r="Z2998" s="154">
        <v>2.8176841655692231E-2</v>
      </c>
      <c r="AA2998" s="156">
        <v>2.8054851700565209E-2</v>
      </c>
    </row>
    <row r="2999" spans="19:27" x14ac:dyDescent="0.2">
      <c r="S2999" s="1"/>
      <c r="T2999" s="117"/>
      <c r="W2999" s="75" t="str">
        <f t="shared" si="57"/>
        <v>1w</v>
      </c>
      <c r="X2999" s="148">
        <f>_xll.qlCalendarAdvance(Calendar,X2998,W2999,"f",FALSE)</f>
        <v>59967</v>
      </c>
      <c r="Y2999" s="153">
        <f>_xll.qlCalendarAdvance(Calendar,X2999,NDays&amp;"D")</f>
        <v>59967</v>
      </c>
      <c r="Z2999" s="154">
        <v>2.8183656899230487E-2</v>
      </c>
      <c r="AA2999" s="156">
        <v>2.8058880988870438E-2</v>
      </c>
    </row>
    <row r="3000" spans="19:27" x14ac:dyDescent="0.2">
      <c r="S3000" s="1"/>
      <c r="T3000" s="117"/>
      <c r="W3000" s="75" t="str">
        <f t="shared" si="57"/>
        <v>1w</v>
      </c>
      <c r="X3000" s="148">
        <f>_xll.qlCalendarAdvance(Calendar,X2999,W3000,"f",FALSE)</f>
        <v>59974</v>
      </c>
      <c r="Y3000" s="153">
        <f>_xll.qlCalendarAdvance(Calendar,X3000,NDays&amp;"D")</f>
        <v>59974</v>
      </c>
      <c r="Z3000" s="154">
        <v>2.8187722078268033E-2</v>
      </c>
      <c r="AA3000" s="156">
        <v>2.8062911280447578E-2</v>
      </c>
    </row>
    <row r="3001" spans="19:27" x14ac:dyDescent="0.2">
      <c r="S3001" s="1"/>
      <c r="T3001" s="117"/>
      <c r="W3001" s="75" t="str">
        <f t="shared" si="57"/>
        <v>1w</v>
      </c>
      <c r="X3001" s="148">
        <f>_xll.qlCalendarAdvance(Calendar,X3000,W3001,"f",FALSE)</f>
        <v>59981</v>
      </c>
      <c r="Y3001" s="153">
        <f>_xll.qlCalendarAdvance(Calendar,X3001,NDays&amp;"D")</f>
        <v>59981</v>
      </c>
      <c r="Z3001" s="154">
        <v>2.8191788271735452E-2</v>
      </c>
      <c r="AA3001" s="156">
        <v>2.8066942575377674E-2</v>
      </c>
    </row>
    <row r="3002" spans="19:27" x14ac:dyDescent="0.2">
      <c r="S3002" s="1"/>
      <c r="T3002" s="117"/>
      <c r="W3002" s="75" t="str">
        <f t="shared" si="57"/>
        <v>1w</v>
      </c>
      <c r="X3002" s="148">
        <f>_xll.qlCalendarAdvance(Calendar,X3001,W3002,"f",FALSE)</f>
        <v>59988</v>
      </c>
      <c r="Y3002" s="153">
        <f>_xll.qlCalendarAdvance(Calendar,X3002,NDays&amp;"D")</f>
        <v>59988</v>
      </c>
      <c r="Z3002" s="154">
        <v>2.8195855479633616E-2</v>
      </c>
      <c r="AA3002" s="156">
        <v>2.8070974873579679E-2</v>
      </c>
    </row>
    <row r="3003" spans="19:27" x14ac:dyDescent="0.2">
      <c r="S3003" s="1"/>
      <c r="T3003" s="117"/>
      <c r="W3003" s="75" t="str">
        <f t="shared" si="57"/>
        <v>1w</v>
      </c>
      <c r="X3003" s="148">
        <f>_xll.qlCalendarAdvance(Calendar,X3002,W3003,"f",FALSE)</f>
        <v>59995</v>
      </c>
      <c r="Y3003" s="153">
        <f>_xll.qlCalendarAdvance(Calendar,X3003,NDays&amp;"D")</f>
        <v>59995</v>
      </c>
      <c r="Z3003" s="154">
        <v>2.8198546182027506E-2</v>
      </c>
      <c r="AA3003" s="156">
        <v>2.8080480375973549E-2</v>
      </c>
    </row>
    <row r="3004" spans="19:27" x14ac:dyDescent="0.2">
      <c r="S3004" s="1"/>
      <c r="T3004" s="117"/>
      <c r="W3004" s="75" t="str">
        <f t="shared" si="57"/>
        <v>1w</v>
      </c>
      <c r="X3004" s="148">
        <f>_xll.qlCalendarAdvance(Calendar,X3003,W3004,"f",FALSE)</f>
        <v>60002</v>
      </c>
      <c r="Y3004" s="153">
        <f>_xll.qlCalendarAdvance(Calendar,X3004,NDays&amp;"D")</f>
        <v>60002</v>
      </c>
      <c r="Z3004" s="154">
        <v>2.8202615033058674E-2</v>
      </c>
      <c r="AA3004" s="156">
        <v>2.8079042479880467E-2</v>
      </c>
    </row>
    <row r="3005" spans="19:27" x14ac:dyDescent="0.2">
      <c r="S3005" s="1"/>
      <c r="T3005" s="117"/>
      <c r="W3005" s="75" t="str">
        <f t="shared" si="57"/>
        <v>1w</v>
      </c>
      <c r="X3005" s="148">
        <f>_xll.qlCalendarAdvance(Calendar,X3004,W3005,"f",FALSE)</f>
        <v>60009</v>
      </c>
      <c r="Y3005" s="153">
        <f>_xll.qlCalendarAdvance(Calendar,X3005,NDays&amp;"D")</f>
        <v>60009</v>
      </c>
      <c r="Z3005" s="154">
        <v>2.8206684898404531E-2</v>
      </c>
      <c r="AA3005" s="156">
        <v>2.808307778773611E-2</v>
      </c>
    </row>
    <row r="3006" spans="19:27" x14ac:dyDescent="0.2">
      <c r="S3006" s="1"/>
      <c r="T3006" s="117"/>
      <c r="W3006" s="75" t="str">
        <f t="shared" si="57"/>
        <v>1w</v>
      </c>
      <c r="X3006" s="148">
        <f>_xll.qlCalendarAdvance(Calendar,X3005,W3006,"f",FALSE)</f>
        <v>60016</v>
      </c>
      <c r="Y3006" s="153">
        <f>_xll.qlCalendarAdvance(Calendar,X3006,NDays&amp;"D")</f>
        <v>60016</v>
      </c>
      <c r="Z3006" s="154">
        <v>2.8210755778071313E-2</v>
      </c>
      <c r="AA3006" s="156">
        <v>2.8087114099187849E-2</v>
      </c>
    </row>
    <row r="3007" spans="19:27" x14ac:dyDescent="0.2">
      <c r="S3007" s="1"/>
      <c r="T3007" s="117"/>
      <c r="W3007" s="75" t="str">
        <f t="shared" si="57"/>
        <v>1w</v>
      </c>
      <c r="X3007" s="148">
        <f>_xll.qlCalendarAdvance(Calendar,X3006,W3007,"f",FALSE)</f>
        <v>60023</v>
      </c>
      <c r="Y3007" s="153">
        <f>_xll.qlCalendarAdvance(Calendar,X3007,NDays&amp;"D")</f>
        <v>60023</v>
      </c>
      <c r="Z3007" s="154">
        <v>2.8216206735696688E-2</v>
      </c>
      <c r="AA3007" s="156">
        <v>2.8091151413830451E-2</v>
      </c>
    </row>
    <row r="3008" spans="19:27" x14ac:dyDescent="0.2">
      <c r="S3008" s="1"/>
      <c r="T3008" s="117"/>
      <c r="W3008" s="75" t="str">
        <f t="shared" si="57"/>
        <v>1w</v>
      </c>
      <c r="X3008" s="148">
        <f>_xll.qlCalendarAdvance(Calendar,X3007,W3008,"f",FALSE)</f>
        <v>60030</v>
      </c>
      <c r="Y3008" s="153">
        <f>_xll.qlCalendarAdvance(Calendar,X3008,NDays&amp;"D")</f>
        <v>60030</v>
      </c>
      <c r="Z3008" s="154">
        <v>2.8220280030245425E-2</v>
      </c>
      <c r="AA3008" s="156">
        <v>2.8095189731744963E-2</v>
      </c>
    </row>
    <row r="3009" spans="19:27" x14ac:dyDescent="0.2">
      <c r="S3009" s="1"/>
      <c r="T3009" s="117"/>
      <c r="W3009" s="75" t="str">
        <f t="shared" si="57"/>
        <v>1w</v>
      </c>
      <c r="X3009" s="148">
        <f>_xll.qlCalendarAdvance(Calendar,X3008,W3009,"f",FALSE)</f>
        <v>60037</v>
      </c>
      <c r="Y3009" s="153">
        <f>_xll.qlCalendarAdvance(Calendar,X3009,NDays&amp;"D")</f>
        <v>60037</v>
      </c>
      <c r="Z3009" s="154">
        <v>2.8224354339246929E-2</v>
      </c>
      <c r="AA3009" s="156">
        <v>2.8099229052850339E-2</v>
      </c>
    </row>
    <row r="3010" spans="19:27" x14ac:dyDescent="0.2">
      <c r="S3010" s="1"/>
      <c r="T3010" s="117"/>
      <c r="W3010" s="75" t="str">
        <f t="shared" si="57"/>
        <v>1w</v>
      </c>
      <c r="X3010" s="148">
        <f>_xll.qlCalendarAdvance(Calendar,X3009,W3010,"f",FALSE)</f>
        <v>60044</v>
      </c>
      <c r="Y3010" s="153">
        <f>_xll.qlCalendarAdvance(Calendar,X3010,NDays&amp;"D")</f>
        <v>60044</v>
      </c>
      <c r="Z3010" s="154">
        <v>2.822842966270209E-2</v>
      </c>
      <c r="AA3010" s="156">
        <v>2.8103269377389717E-2</v>
      </c>
    </row>
    <row r="3011" spans="19:27" x14ac:dyDescent="0.2">
      <c r="S3011" s="1"/>
      <c r="T3011" s="117"/>
      <c r="W3011" s="75" t="str">
        <f t="shared" si="57"/>
        <v>1w</v>
      </c>
      <c r="X3011" s="148">
        <f>_xll.qlCalendarAdvance(Calendar,X3010,W3011,"f",FALSE)</f>
        <v>60051</v>
      </c>
      <c r="Y3011" s="153">
        <f>_xll.qlCalendarAdvance(Calendar,X3011,NDays&amp;"D")</f>
        <v>60051</v>
      </c>
      <c r="Z3011" s="154">
        <v>2.8232506000618832E-2</v>
      </c>
      <c r="AA3011" s="156">
        <v>2.8107310705119959E-2</v>
      </c>
    </row>
    <row r="3012" spans="19:27" x14ac:dyDescent="0.2">
      <c r="S3012" s="1"/>
      <c r="T3012" s="117"/>
      <c r="W3012" s="75" t="str">
        <f t="shared" si="57"/>
        <v>1w</v>
      </c>
      <c r="X3012" s="148">
        <f>_xll.qlCalendarAdvance(Calendar,X3011,W3012,"f",FALSE)</f>
        <v>60058</v>
      </c>
      <c r="Y3012" s="153">
        <f>_xll.qlCalendarAdvance(Calendar,X3012,NDays&amp;"D")</f>
        <v>60058</v>
      </c>
      <c r="Z3012" s="154">
        <v>2.8236583352995396E-2</v>
      </c>
      <c r="AA3012" s="156">
        <v>2.8111353036203157E-2</v>
      </c>
    </row>
    <row r="3013" spans="19:27" x14ac:dyDescent="0.2">
      <c r="S3013" s="1"/>
      <c r="T3013" s="117"/>
      <c r="W3013" s="75" t="str">
        <f t="shared" si="57"/>
        <v>1w</v>
      </c>
      <c r="X3013" s="148">
        <f>_xll.qlCalendarAdvance(Calendar,X3012,W3013,"f",FALSE)</f>
        <v>60065</v>
      </c>
      <c r="Y3013" s="153">
        <f>_xll.qlCalendarAdvance(Calendar,X3013,NDays&amp;"D")</f>
        <v>60065</v>
      </c>
      <c r="Z3013" s="154">
        <v>2.8240661719838828E-2</v>
      </c>
      <c r="AA3013" s="156">
        <v>2.8115396370477219E-2</v>
      </c>
    </row>
    <row r="3014" spans="19:27" x14ac:dyDescent="0.2">
      <c r="S3014" s="1"/>
      <c r="T3014" s="117"/>
      <c r="W3014" s="75" t="str">
        <f t="shared" si="57"/>
        <v>1w</v>
      </c>
      <c r="X3014" s="148">
        <f>_xll.qlCalendarAdvance(Calendar,X3013,W3014,"f",FALSE)</f>
        <v>60072</v>
      </c>
      <c r="Y3014" s="153">
        <f>_xll.qlCalendarAdvance(Calendar,X3014,NDays&amp;"D")</f>
        <v>60072</v>
      </c>
      <c r="Z3014" s="154">
        <v>2.8244741101149128E-2</v>
      </c>
      <c r="AA3014" s="156">
        <v>2.8119440708104237E-2</v>
      </c>
    </row>
    <row r="3015" spans="19:27" x14ac:dyDescent="0.2">
      <c r="S3015" s="1"/>
      <c r="T3015" s="117"/>
      <c r="W3015" s="75" t="str">
        <f t="shared" si="57"/>
        <v>1w</v>
      </c>
      <c r="X3015" s="148">
        <f>_xll.qlCalendarAdvance(Calendar,X3014,W3015,"f",FALSE)</f>
        <v>60079</v>
      </c>
      <c r="Y3015" s="153">
        <f>_xll.qlCalendarAdvance(Calendar,X3015,NDays&amp;"D")</f>
        <v>60079</v>
      </c>
      <c r="Z3015" s="154">
        <v>2.8248821496930702E-2</v>
      </c>
      <c r="AA3015" s="156">
        <v>2.8123486048922119E-2</v>
      </c>
    </row>
    <row r="3016" spans="19:27" x14ac:dyDescent="0.2">
      <c r="S3016" s="1"/>
      <c r="T3016" s="117"/>
      <c r="W3016" s="75" t="str">
        <f t="shared" si="57"/>
        <v>1w</v>
      </c>
      <c r="X3016" s="148">
        <f>_xll.qlCalendarAdvance(Calendar,X3015,W3016,"f",FALSE)</f>
        <v>60086</v>
      </c>
      <c r="Y3016" s="153">
        <f>_xll.qlCalendarAdvance(Calendar,X3016,NDays&amp;"D")</f>
        <v>60086</v>
      </c>
      <c r="Z3016" s="154">
        <v>2.825290290718795E-2</v>
      </c>
      <c r="AA3016" s="156">
        <v>2.812753239325505E-2</v>
      </c>
    </row>
    <row r="3017" spans="19:27" x14ac:dyDescent="0.2">
      <c r="S3017" s="1"/>
      <c r="T3017" s="117"/>
      <c r="W3017" s="75" t="str">
        <f t="shared" si="57"/>
        <v>1w</v>
      </c>
      <c r="X3017" s="148">
        <f>_xll.qlCalendarAdvance(Calendar,X3016,W3017,"f",FALSE)</f>
        <v>60093</v>
      </c>
      <c r="Y3017" s="153">
        <f>_xll.qlCalendarAdvance(Calendar,X3017,NDays&amp;"D")</f>
        <v>60093</v>
      </c>
      <c r="Z3017" s="154">
        <v>2.8256985323089477E-2</v>
      </c>
      <c r="AA3017" s="156">
        <v>2.8131579740616752E-2</v>
      </c>
    </row>
    <row r="3018" spans="19:27" x14ac:dyDescent="0.2">
      <c r="S3018" s="1"/>
      <c r="T3018" s="117"/>
      <c r="W3018" s="75" t="str">
        <f t="shared" si="57"/>
        <v>1w</v>
      </c>
      <c r="X3018" s="148">
        <f>_xll.qlCalendarAdvance(Calendar,X3017,W3018,"f",FALSE)</f>
        <v>60100</v>
      </c>
      <c r="Y3018" s="153">
        <f>_xll.qlCalendarAdvance(Calendar,X3018,NDays&amp;"D")</f>
        <v>60100</v>
      </c>
      <c r="Z3018" s="154">
        <v>2.8261068444082191E-2</v>
      </c>
      <c r="AA3018" s="156">
        <v>2.8135628091331411E-2</v>
      </c>
    </row>
    <row r="3019" spans="19:27" x14ac:dyDescent="0.2">
      <c r="S3019" s="1"/>
      <c r="T3019" s="117"/>
      <c r="W3019" s="75" t="str">
        <f t="shared" si="57"/>
        <v>1w</v>
      </c>
      <c r="X3019" s="148">
        <f>_xll.qlCalendarAdvance(Calendar,X3018,W3019,"f",FALSE)</f>
        <v>60107</v>
      </c>
      <c r="Y3019" s="153">
        <f>_xll.qlCalendarAdvance(Calendar,X3019,NDays&amp;"D")</f>
        <v>60107</v>
      </c>
      <c r="Z3019" s="154">
        <v>2.8265151618030723E-2</v>
      </c>
      <c r="AA3019" s="156">
        <v>2.8139677445480071E-2</v>
      </c>
    </row>
    <row r="3020" spans="19:27" x14ac:dyDescent="0.2">
      <c r="S3020" s="1"/>
      <c r="T3020" s="117"/>
      <c r="W3020" s="75" t="str">
        <f t="shared" si="57"/>
        <v>1w</v>
      </c>
      <c r="X3020" s="148">
        <f>_xll.qlCalendarAdvance(Calendar,X3019,W3020,"f",FALSE)</f>
        <v>60114</v>
      </c>
      <c r="Y3020" s="153">
        <f>_xll.qlCalendarAdvance(Calendar,X3020,NDays&amp;"D")</f>
        <v>60114</v>
      </c>
      <c r="Z3020" s="154">
        <v>2.8269234171860686E-2</v>
      </c>
      <c r="AA3020" s="156">
        <v>2.814372780273855E-2</v>
      </c>
    </row>
    <row r="3021" spans="19:27" x14ac:dyDescent="0.2">
      <c r="S3021" s="1"/>
      <c r="T3021" s="117"/>
      <c r="W3021" s="75" t="str">
        <f t="shared" si="57"/>
        <v>1w</v>
      </c>
      <c r="X3021" s="148">
        <f>_xll.qlCalendarAdvance(Calendar,X3020,W3021,"f",FALSE)</f>
        <v>60121</v>
      </c>
      <c r="Y3021" s="153">
        <f>_xll.qlCalendarAdvance(Calendar,X3021,NDays&amp;"D")</f>
        <v>60121</v>
      </c>
      <c r="Z3021" s="154">
        <v>2.8273315432500334E-2</v>
      </c>
      <c r="AA3021" s="156">
        <v>2.814777916343103E-2</v>
      </c>
    </row>
    <row r="3022" spans="19:27" x14ac:dyDescent="0.2">
      <c r="S3022" s="1"/>
      <c r="T3022" s="117"/>
      <c r="W3022" s="75" t="str">
        <f t="shared" si="57"/>
        <v>1w</v>
      </c>
      <c r="X3022" s="148">
        <f>_xll.qlCalendarAdvance(Calendar,X3021,W3022,"f",FALSE)</f>
        <v>60128</v>
      </c>
      <c r="Y3022" s="153">
        <f>_xll.qlCalendarAdvance(Calendar,X3022,NDays&amp;"D")</f>
        <v>60128</v>
      </c>
      <c r="Z3022" s="154">
        <v>2.827739472687088E-2</v>
      </c>
      <c r="AA3022" s="156">
        <v>2.8151831527395421E-2</v>
      </c>
    </row>
    <row r="3023" spans="19:27" x14ac:dyDescent="0.2">
      <c r="S3023" s="1"/>
      <c r="T3023" s="117"/>
      <c r="W3023" s="75" t="str">
        <f t="shared" si="57"/>
        <v>1w</v>
      </c>
      <c r="X3023" s="148">
        <f>_xll.qlCalendarAdvance(Calendar,X3022,W3023,"f",FALSE)</f>
        <v>60135</v>
      </c>
      <c r="Y3023" s="153">
        <f>_xll.qlCalendarAdvance(Calendar,X3023,NDays&amp;"D")</f>
        <v>60135</v>
      </c>
      <c r="Z3023" s="154">
        <v>2.8281471381896173E-2</v>
      </c>
      <c r="AA3023" s="156">
        <v>2.8155884894550676E-2</v>
      </c>
    </row>
    <row r="3024" spans="19:27" x14ac:dyDescent="0.2">
      <c r="S3024" s="1"/>
      <c r="T3024" s="117"/>
      <c r="W3024" s="75" t="str">
        <f t="shared" si="57"/>
        <v>1w</v>
      </c>
      <c r="X3024" s="148">
        <f>_xll.qlCalendarAdvance(Calendar,X3023,W3024,"f",FALSE)</f>
        <v>60142</v>
      </c>
      <c r="Y3024" s="153">
        <f>_xll.qlCalendarAdvance(Calendar,X3024,NDays&amp;"D")</f>
        <v>60142</v>
      </c>
      <c r="Z3024" s="154">
        <v>2.8285544724492136E-2</v>
      </c>
      <c r="AA3024" s="156">
        <v>2.815993926497784E-2</v>
      </c>
    </row>
    <row r="3025" spans="19:27" x14ac:dyDescent="0.2">
      <c r="S3025" s="1"/>
      <c r="T3025" s="117"/>
      <c r="W3025" s="75" t="str">
        <f t="shared" si="57"/>
        <v>1w</v>
      </c>
      <c r="X3025" s="148">
        <f>_xll.qlCalendarAdvance(Calendar,X3024,W3025,"f",FALSE)</f>
        <v>60149</v>
      </c>
      <c r="Y3025" s="153">
        <f>_xll.qlCalendarAdvance(Calendar,X3025,NDays&amp;"D")</f>
        <v>60149</v>
      </c>
      <c r="Z3025" s="154">
        <v>2.8288230708430347E-2</v>
      </c>
      <c r="AA3025" s="156">
        <v>2.8163994638757961E-2</v>
      </c>
    </row>
    <row r="3026" spans="19:27" x14ac:dyDescent="0.2">
      <c r="S3026" s="1"/>
      <c r="T3026" s="117"/>
      <c r="W3026" s="75" t="str">
        <f t="shared" si="57"/>
        <v>1w</v>
      </c>
      <c r="X3026" s="148">
        <f>_xll.qlCalendarAdvance(Calendar,X3025,W3026,"f",FALSE)</f>
        <v>60156</v>
      </c>
      <c r="Y3026" s="153">
        <f>_xll.qlCalendarAdvance(Calendar,X3026,NDays&amp;"D")</f>
        <v>60156</v>
      </c>
      <c r="Z3026" s="154">
        <v>2.8292295586364424E-2</v>
      </c>
      <c r="AA3026" s="156">
        <v>2.8168051015809992E-2</v>
      </c>
    </row>
    <row r="3027" spans="19:27" x14ac:dyDescent="0.2">
      <c r="S3027" s="1"/>
      <c r="T3027" s="117"/>
      <c r="W3027" s="75" t="str">
        <f t="shared" si="57"/>
        <v>1w</v>
      </c>
      <c r="X3027" s="148">
        <f>_xll.qlCalendarAdvance(Calendar,X3026,W3027,"f",FALSE)</f>
        <v>60163</v>
      </c>
      <c r="Y3027" s="153">
        <f>_xll.qlCalendarAdvance(Calendar,X3027,NDays&amp;"D")</f>
        <v>60163</v>
      </c>
      <c r="Z3027" s="154">
        <v>2.8296355160445534E-2</v>
      </c>
      <c r="AA3027" s="156">
        <v>2.8172108396133932E-2</v>
      </c>
    </row>
    <row r="3028" spans="19:27" x14ac:dyDescent="0.2">
      <c r="S3028" s="1"/>
      <c r="T3028" s="117"/>
      <c r="W3028" s="75" t="str">
        <f t="shared" si="57"/>
        <v>1w</v>
      </c>
      <c r="X3028" s="148">
        <f>_xll.qlCalendarAdvance(Calendar,X3027,W3028,"f",FALSE)</f>
        <v>60170</v>
      </c>
      <c r="Y3028" s="153">
        <f>_xll.qlCalendarAdvance(Calendar,X3028,NDays&amp;"D")</f>
        <v>60170</v>
      </c>
      <c r="Z3028" s="154">
        <v>2.8305940071423247E-2</v>
      </c>
      <c r="AA3028" s="156">
        <v>2.8176166779729783E-2</v>
      </c>
    </row>
    <row r="3029" spans="19:27" x14ac:dyDescent="0.2">
      <c r="S3029" s="1"/>
      <c r="T3029" s="117"/>
      <c r="W3029" s="75" t="str">
        <f t="shared" ref="W3029:W3092" si="58">W3028</f>
        <v>1w</v>
      </c>
      <c r="X3029" s="148">
        <f>_xll.qlCalendarAdvance(Calendar,X3028,W3029,"f",FALSE)</f>
        <v>60177</v>
      </c>
      <c r="Y3029" s="153">
        <f>_xll.qlCalendarAdvance(Calendar,X3029,NDays&amp;"D")</f>
        <v>60177</v>
      </c>
      <c r="Z3029" s="154">
        <v>2.8305838192981003E-2</v>
      </c>
      <c r="AA3029" s="156">
        <v>2.8180226166597544E-2</v>
      </c>
    </row>
    <row r="3030" spans="19:27" x14ac:dyDescent="0.2">
      <c r="S3030" s="1"/>
      <c r="T3030" s="117"/>
      <c r="W3030" s="75" t="str">
        <f t="shared" si="58"/>
        <v>1w</v>
      </c>
      <c r="X3030" s="148">
        <f>_xll.qlCalendarAdvance(Calendar,X3029,W3030,"f",FALSE)</f>
        <v>60184</v>
      </c>
      <c r="Y3030" s="153">
        <f>_xll.qlCalendarAdvance(Calendar,X3030,NDays&amp;"D")</f>
        <v>60184</v>
      </c>
      <c r="Z3030" s="154">
        <v>2.8309877528746946E-2</v>
      </c>
      <c r="AA3030" s="156">
        <v>2.8184285989251157E-2</v>
      </c>
    </row>
    <row r="3031" spans="19:27" x14ac:dyDescent="0.2">
      <c r="S3031" s="1"/>
      <c r="T3031" s="117"/>
      <c r="W3031" s="75" t="str">
        <f t="shared" si="58"/>
        <v>1w</v>
      </c>
      <c r="X3031" s="148">
        <f>_xll.qlCalendarAdvance(Calendar,X3030,W3031,"f",FALSE)</f>
        <v>60191</v>
      </c>
      <c r="Y3031" s="153">
        <f>_xll.qlCalendarAdvance(Calendar,X3031,NDays&amp;"D")</f>
        <v>60191</v>
      </c>
      <c r="Z3031" s="154">
        <v>2.8313909073622891E-2</v>
      </c>
      <c r="AA3031" s="156">
        <v>2.8188339853301159E-2</v>
      </c>
    </row>
    <row r="3032" spans="19:27" x14ac:dyDescent="0.2">
      <c r="S3032" s="1"/>
      <c r="T3032" s="117"/>
      <c r="W3032" s="75" t="str">
        <f t="shared" si="58"/>
        <v>1w</v>
      </c>
      <c r="X3032" s="148">
        <f>_xll.qlCalendarAdvance(Calendar,X3031,W3032,"f",FALSE)</f>
        <v>60198</v>
      </c>
      <c r="Y3032" s="153">
        <f>_xll.qlCalendarAdvance(Calendar,X3032,NDays&amp;"D")</f>
        <v>60198</v>
      </c>
      <c r="Z3032" s="154">
        <v>2.8317932786705132E-2</v>
      </c>
      <c r="AA3032" s="156">
        <v>2.8192385936502973E-2</v>
      </c>
    </row>
    <row r="3033" spans="19:27" x14ac:dyDescent="0.2">
      <c r="S3033" s="1"/>
      <c r="T3033" s="117"/>
      <c r="W3033" s="75" t="str">
        <f t="shared" si="58"/>
        <v>1w</v>
      </c>
      <c r="X3033" s="148">
        <f>_xll.qlCalendarAdvance(Calendar,X3032,W3033,"f",FALSE)</f>
        <v>60205</v>
      </c>
      <c r="Y3033" s="153">
        <f>_xll.qlCalendarAdvance(Calendar,X3033,NDays&amp;"D")</f>
        <v>60205</v>
      </c>
      <c r="Z3033" s="154">
        <v>2.8321948667969884E-2</v>
      </c>
      <c r="AA3033" s="156">
        <v>2.8196424239018691E-2</v>
      </c>
    </row>
    <row r="3034" spans="19:27" x14ac:dyDescent="0.2">
      <c r="S3034" s="1"/>
      <c r="T3034" s="117"/>
      <c r="W3034" s="75" t="str">
        <f t="shared" si="58"/>
        <v>1w</v>
      </c>
      <c r="X3034" s="148">
        <f>_xll.qlCalendarAdvance(Calendar,X3033,W3034,"f",FALSE)</f>
        <v>60212</v>
      </c>
      <c r="Y3034" s="153">
        <f>_xll.qlCalendarAdvance(Calendar,X3034,NDays&amp;"D")</f>
        <v>60212</v>
      </c>
      <c r="Z3034" s="154">
        <v>2.8325956717394241E-2</v>
      </c>
      <c r="AA3034" s="156">
        <v>2.8200454760605176E-2</v>
      </c>
    </row>
    <row r="3035" spans="19:27" x14ac:dyDescent="0.2">
      <c r="S3035" s="1"/>
      <c r="T3035" s="117"/>
      <c r="W3035" s="75" t="str">
        <f t="shared" si="58"/>
        <v>1w</v>
      </c>
      <c r="X3035" s="148">
        <f>_xll.qlCalendarAdvance(Calendar,X3034,W3035,"f",FALSE)</f>
        <v>60219</v>
      </c>
      <c r="Y3035" s="153">
        <f>_xll.qlCalendarAdvance(Calendar,X3035,NDays&amp;"D")</f>
        <v>60219</v>
      </c>
      <c r="Z3035" s="154">
        <v>2.8329956934951776E-2</v>
      </c>
      <c r="AA3035" s="156">
        <v>2.820447750118138E-2</v>
      </c>
    </row>
    <row r="3036" spans="19:27" x14ac:dyDescent="0.2">
      <c r="S3036" s="1"/>
      <c r="T3036" s="117"/>
      <c r="W3036" s="75" t="str">
        <f t="shared" si="58"/>
        <v>1w</v>
      </c>
      <c r="X3036" s="148">
        <f>_xll.qlCalendarAdvance(Calendar,X3035,W3036,"f",FALSE)</f>
        <v>60226</v>
      </c>
      <c r="Y3036" s="153">
        <f>_xll.qlCalendarAdvance(Calendar,X3036,NDays&amp;"D")</f>
        <v>60226</v>
      </c>
      <c r="Z3036" s="154">
        <v>2.833394932062135E-2</v>
      </c>
      <c r="AA3036" s="156">
        <v>2.8208492460990442E-2</v>
      </c>
    </row>
    <row r="3037" spans="19:27" x14ac:dyDescent="0.2">
      <c r="S3037" s="1"/>
      <c r="T3037" s="117"/>
      <c r="W3037" s="75" t="str">
        <f t="shared" si="58"/>
        <v>1w</v>
      </c>
      <c r="X3037" s="148">
        <f>_xll.qlCalendarAdvance(Calendar,X3036,W3037,"f",FALSE)</f>
        <v>60233</v>
      </c>
      <c r="Y3037" s="153">
        <f>_xll.qlCalendarAdvance(Calendar,X3037,NDays&amp;"D")</f>
        <v>60233</v>
      </c>
      <c r="Z3037" s="154">
        <v>2.8337933874379172E-2</v>
      </c>
      <c r="AA3037" s="156">
        <v>2.8212499639951316E-2</v>
      </c>
    </row>
    <row r="3038" spans="19:27" x14ac:dyDescent="0.2">
      <c r="S3038" s="1"/>
      <c r="T3038" s="117"/>
      <c r="W3038" s="75" t="str">
        <f t="shared" si="58"/>
        <v>1w</v>
      </c>
      <c r="X3038" s="148">
        <f>_xll.qlCalendarAdvance(Calendar,X3037,W3038,"f",FALSE)</f>
        <v>60240</v>
      </c>
      <c r="Y3038" s="153">
        <f>_xll.qlCalendarAdvance(Calendar,X3038,NDays&amp;"D")</f>
        <v>60240</v>
      </c>
      <c r="Z3038" s="154">
        <v>2.8339150097560523E-2</v>
      </c>
      <c r="AA3038" s="156">
        <v>2.821649903790191E-2</v>
      </c>
    </row>
    <row r="3039" spans="19:27" x14ac:dyDescent="0.2">
      <c r="S3039" s="1"/>
      <c r="T3039" s="117"/>
      <c r="W3039" s="75" t="str">
        <f t="shared" si="58"/>
        <v>1w</v>
      </c>
      <c r="X3039" s="148">
        <f>_xll.qlCalendarAdvance(Calendar,X3038,W3039,"f",FALSE)</f>
        <v>60247</v>
      </c>
      <c r="Y3039" s="153">
        <f>_xll.qlCalendarAdvance(Calendar,X3039,NDays&amp;"D")</f>
        <v>60247</v>
      </c>
      <c r="Z3039" s="154">
        <v>2.8343119491951934E-2</v>
      </c>
      <c r="AA3039" s="156">
        <v>2.8220490654923269E-2</v>
      </c>
    </row>
    <row r="3040" spans="19:27" x14ac:dyDescent="0.2">
      <c r="S3040" s="1"/>
      <c r="T3040" s="117"/>
      <c r="W3040" s="75" t="str">
        <f t="shared" si="58"/>
        <v>1w</v>
      </c>
      <c r="X3040" s="148">
        <f>_xll.qlCalendarAdvance(Calendar,X3039,W3040,"f",FALSE)</f>
        <v>60254</v>
      </c>
      <c r="Y3040" s="153">
        <f>_xll.qlCalendarAdvance(Calendar,X3040,NDays&amp;"D")</f>
        <v>60254</v>
      </c>
      <c r="Z3040" s="154">
        <v>2.8347081055491406E-2</v>
      </c>
      <c r="AA3040" s="156">
        <v>2.8224474491258533E-2</v>
      </c>
    </row>
    <row r="3041" spans="19:27" x14ac:dyDescent="0.2">
      <c r="S3041" s="1"/>
      <c r="T3041" s="117"/>
      <c r="W3041" s="75" t="str">
        <f t="shared" si="58"/>
        <v>1w</v>
      </c>
      <c r="X3041" s="148">
        <f>_xll.qlCalendarAdvance(Calendar,X3040,W3041,"f",FALSE)</f>
        <v>60265</v>
      </c>
      <c r="Y3041" s="153">
        <f>_xll.qlCalendarAdvance(Calendar,X3041,NDays&amp;"D")</f>
        <v>60265</v>
      </c>
      <c r="Z3041" s="154">
        <v>2.8356049239613986E-2</v>
      </c>
      <c r="AA3041" s="156">
        <v>2.8230719084663125E-2</v>
      </c>
    </row>
    <row r="3042" spans="19:27" x14ac:dyDescent="0.2">
      <c r="S3042" s="1"/>
      <c r="T3042" s="117"/>
      <c r="W3042" s="75" t="str">
        <f t="shared" si="58"/>
        <v>1w</v>
      </c>
      <c r="X3042" s="148">
        <f>_xll.qlCalendarAdvance(Calendar,X3041,W3042,"f",FALSE)</f>
        <v>60272</v>
      </c>
      <c r="Y3042" s="153">
        <f>_xll.qlCalendarAdvance(Calendar,X3042,NDays&amp;"D")</f>
        <v>60272</v>
      </c>
      <c r="Z3042" s="154">
        <v>2.8358611043087106E-2</v>
      </c>
      <c r="AA3042" s="156">
        <v>2.8234682912940956E-2</v>
      </c>
    </row>
    <row r="3043" spans="19:27" x14ac:dyDescent="0.2">
      <c r="S3043" s="1"/>
      <c r="T3043" s="117"/>
      <c r="W3043" s="75" t="str">
        <f t="shared" si="58"/>
        <v>1w</v>
      </c>
      <c r="X3043" s="148">
        <f>_xll.qlCalendarAdvance(Calendar,X3042,W3043,"f",FALSE)</f>
        <v>60279</v>
      </c>
      <c r="Y3043" s="153">
        <f>_xll.qlCalendarAdvance(Calendar,X3043,NDays&amp;"D")</f>
        <v>60279</v>
      </c>
      <c r="Z3043" s="154">
        <v>2.8362544384290582E-2</v>
      </c>
      <c r="AA3043" s="156">
        <v>2.8238638960289553E-2</v>
      </c>
    </row>
    <row r="3044" spans="19:27" x14ac:dyDescent="0.2">
      <c r="S3044" s="1"/>
      <c r="T3044" s="117"/>
      <c r="W3044" s="75" t="str">
        <f t="shared" si="58"/>
        <v>1w</v>
      </c>
      <c r="X3044" s="148">
        <f>_xll.qlCalendarAdvance(Calendar,X3043,W3044,"f",FALSE)</f>
        <v>60286</v>
      </c>
      <c r="Y3044" s="153">
        <f>_xll.qlCalendarAdvance(Calendar,X3044,NDays&amp;"D")</f>
        <v>60286</v>
      </c>
      <c r="Z3044" s="154">
        <v>2.8366469893969678E-2</v>
      </c>
      <c r="AA3044" s="156">
        <v>2.8242587226708915E-2</v>
      </c>
    </row>
    <row r="3045" spans="19:27" x14ac:dyDescent="0.2">
      <c r="S3045" s="1"/>
      <c r="T3045" s="117"/>
      <c r="W3045" s="75" t="str">
        <f t="shared" si="58"/>
        <v>1w</v>
      </c>
      <c r="X3045" s="148">
        <f>_xll.qlCalendarAdvance(Calendar,X3044,W3045,"f",FALSE)</f>
        <v>60293</v>
      </c>
      <c r="Y3045" s="153">
        <f>_xll.qlCalendarAdvance(Calendar,X3045,NDays&amp;"D")</f>
        <v>60293</v>
      </c>
      <c r="Z3045" s="154">
        <v>2.8370387572103913E-2</v>
      </c>
      <c r="AA3045" s="156">
        <v>2.8246527712199043E-2</v>
      </c>
    </row>
    <row r="3046" spans="19:27" x14ac:dyDescent="0.2">
      <c r="S3046" s="1"/>
      <c r="T3046" s="117"/>
      <c r="W3046" s="75" t="str">
        <f t="shared" si="58"/>
        <v>1w</v>
      </c>
      <c r="X3046" s="148">
        <f>_xll.qlCalendarAdvance(Calendar,X3045,W3046,"f",FALSE)</f>
        <v>60300</v>
      </c>
      <c r="Y3046" s="153">
        <f>_xll.qlCalendarAdvance(Calendar,X3046,NDays&amp;"D")</f>
        <v>60300</v>
      </c>
      <c r="Z3046" s="154">
        <v>2.8375675510682992E-2</v>
      </c>
      <c r="AA3046" s="156">
        <v>2.825046041692203E-2</v>
      </c>
    </row>
    <row r="3047" spans="19:27" x14ac:dyDescent="0.2">
      <c r="S3047" s="1"/>
      <c r="T3047" s="117"/>
      <c r="W3047" s="75" t="str">
        <f t="shared" si="58"/>
        <v>1w</v>
      </c>
      <c r="X3047" s="148">
        <f>_xll.qlCalendarAdvance(Calendar,X3046,W3047,"f",FALSE)</f>
        <v>60307</v>
      </c>
      <c r="Y3047" s="153">
        <f>_xll.qlCalendarAdvance(Calendar,X3047,NDays&amp;"D")</f>
        <v>60307</v>
      </c>
      <c r="Z3047" s="154">
        <v>2.8378199433648731E-2</v>
      </c>
      <c r="AA3047" s="156">
        <v>2.8254385340715782E-2</v>
      </c>
    </row>
    <row r="3048" spans="19:27" x14ac:dyDescent="0.2">
      <c r="S3048" s="1"/>
      <c r="T3048" s="117"/>
      <c r="W3048" s="75" t="str">
        <f t="shared" si="58"/>
        <v>1w</v>
      </c>
      <c r="X3048" s="148">
        <f>_xll.qlCalendarAdvance(Calendar,X3047,W3048,"f",FALSE)</f>
        <v>60314</v>
      </c>
      <c r="Y3048" s="153">
        <f>_xll.qlCalendarAdvance(Calendar,X3048,NDays&amp;"D")</f>
        <v>60314</v>
      </c>
      <c r="Z3048" s="154">
        <v>2.838209361701122E-2</v>
      </c>
      <c r="AA3048" s="156">
        <v>2.82583024835803E-2</v>
      </c>
    </row>
    <row r="3049" spans="19:27" x14ac:dyDescent="0.2">
      <c r="S3049" s="1"/>
      <c r="T3049" s="117"/>
      <c r="W3049" s="75" t="str">
        <f t="shared" si="58"/>
        <v>1w</v>
      </c>
      <c r="X3049" s="148">
        <f>_xll.qlCalendarAdvance(Calendar,X3048,W3049,"f",FALSE)</f>
        <v>60321</v>
      </c>
      <c r="Y3049" s="153">
        <f>_xll.qlCalendarAdvance(Calendar,X3049,NDays&amp;"D")</f>
        <v>60321</v>
      </c>
      <c r="Z3049" s="154">
        <v>2.8387357287618313E-2</v>
      </c>
      <c r="AA3049" s="156">
        <v>2.826221184559663E-2</v>
      </c>
    </row>
    <row r="3050" spans="19:27" x14ac:dyDescent="0.2">
      <c r="S3050" s="1"/>
      <c r="T3050" s="117"/>
      <c r="W3050" s="75" t="str">
        <f t="shared" si="58"/>
        <v>1w</v>
      </c>
      <c r="X3050" s="148">
        <f>_xll.qlCalendarAdvance(Calendar,X3049,W3050,"f",FALSE)</f>
        <v>60328</v>
      </c>
      <c r="Y3050" s="153">
        <f>_xll.qlCalendarAdvance(Calendar,X3050,NDays&amp;"D")</f>
        <v>60328</v>
      </c>
      <c r="Z3050" s="154">
        <v>2.839123554884147E-2</v>
      </c>
      <c r="AA3050" s="156">
        <v>2.8266113426683726E-2</v>
      </c>
    </row>
    <row r="3051" spans="19:27" x14ac:dyDescent="0.2">
      <c r="S3051" s="1"/>
      <c r="T3051" s="117"/>
      <c r="W3051" s="75" t="str">
        <f t="shared" si="58"/>
        <v>1w</v>
      </c>
      <c r="X3051" s="148">
        <f>_xll.qlCalendarAdvance(Calendar,X3050,W3051,"f",FALSE)</f>
        <v>60335</v>
      </c>
      <c r="Y3051" s="153">
        <f>_xll.qlCalendarAdvance(Calendar,X3051,NDays&amp;"D")</f>
        <v>60335</v>
      </c>
      <c r="Z3051" s="154">
        <v>2.8395105977815478E-2</v>
      </c>
      <c r="AA3051" s="156">
        <v>2.8270007226841587E-2</v>
      </c>
    </row>
    <row r="3052" spans="19:27" x14ac:dyDescent="0.2">
      <c r="S3052" s="1"/>
      <c r="T3052" s="117"/>
      <c r="W3052" s="75" t="str">
        <f t="shared" si="58"/>
        <v>1w</v>
      </c>
      <c r="X3052" s="148">
        <f>_xll.qlCalendarAdvance(Calendar,X3051,W3052,"f",FALSE)</f>
        <v>60342</v>
      </c>
      <c r="Y3052" s="153">
        <f>_xll.qlCalendarAdvance(Calendar,X3052,NDays&amp;"D")</f>
        <v>60342</v>
      </c>
      <c r="Z3052" s="154">
        <v>2.8398968574517434E-2</v>
      </c>
      <c r="AA3052" s="156">
        <v>2.8273893246232307E-2</v>
      </c>
    </row>
    <row r="3053" spans="19:27" x14ac:dyDescent="0.2">
      <c r="S3053" s="1"/>
      <c r="T3053" s="117"/>
      <c r="W3053" s="75" t="str">
        <f t="shared" si="58"/>
        <v>1w</v>
      </c>
      <c r="X3053" s="148">
        <f>_xll.qlCalendarAdvance(Calendar,X3052,W3053,"f",FALSE)</f>
        <v>60349</v>
      </c>
      <c r="Y3053" s="153">
        <f>_xll.qlCalendarAdvance(Calendar,X3053,NDays&amp;"D")</f>
        <v>60349</v>
      </c>
      <c r="Z3053" s="154">
        <v>2.8402823338924431E-2</v>
      </c>
      <c r="AA3053" s="156">
        <v>2.8277771484693792E-2</v>
      </c>
    </row>
    <row r="3054" spans="19:27" x14ac:dyDescent="0.2">
      <c r="S3054" s="1"/>
      <c r="T3054" s="117"/>
      <c r="W3054" s="75" t="str">
        <f t="shared" si="58"/>
        <v>1w</v>
      </c>
      <c r="X3054" s="148">
        <f>_xll.qlCalendarAdvance(Calendar,X3053,W3054,"f",FALSE)</f>
        <v>60357</v>
      </c>
      <c r="Y3054" s="153">
        <f>_xll.qlCalendarAdvance(Calendar,X3054,NDays&amp;"D")</f>
        <v>60357</v>
      </c>
      <c r="Z3054" s="154">
        <v>2.8405843211743179E-2</v>
      </c>
      <c r="AA3054" s="156">
        <v>2.8282194229513058E-2</v>
      </c>
    </row>
    <row r="3055" spans="19:27" x14ac:dyDescent="0.2">
      <c r="S3055" s="1"/>
      <c r="T3055" s="117"/>
      <c r="W3055" s="75" t="str">
        <f t="shared" si="58"/>
        <v>1w</v>
      </c>
      <c r="X3055" s="148">
        <f>_xll.qlCalendarAdvance(Calendar,X3054,W3055,"f",FALSE)</f>
        <v>60364</v>
      </c>
      <c r="Y3055" s="153">
        <f>_xll.qlCalendarAdvance(Calendar,X3055,NDays&amp;"D")</f>
        <v>60364</v>
      </c>
      <c r="Z3055" s="154">
        <v>2.8409681454354931E-2</v>
      </c>
      <c r="AA3055" s="156">
        <v>2.8286055794728426E-2</v>
      </c>
    </row>
    <row r="3056" spans="19:27" x14ac:dyDescent="0.2">
      <c r="S3056" s="1"/>
      <c r="T3056" s="117"/>
      <c r="W3056" s="75" t="str">
        <f t="shared" si="58"/>
        <v>1w</v>
      </c>
      <c r="X3056" s="148">
        <f>_xll.qlCalendarAdvance(Calendar,X3055,W3056,"f",FALSE)</f>
        <v>60371</v>
      </c>
      <c r="Y3056" s="153">
        <f>_xll.qlCalendarAdvance(Calendar,X3056,NDays&amp;"D")</f>
        <v>60371</v>
      </c>
      <c r="Z3056" s="154">
        <v>2.8413511865168883E-2</v>
      </c>
      <c r="AA3056" s="156">
        <v>2.828990957901456E-2</v>
      </c>
    </row>
    <row r="3057" spans="19:27" x14ac:dyDescent="0.2">
      <c r="S3057" s="1"/>
      <c r="T3057" s="117"/>
      <c r="W3057" s="75" t="str">
        <f t="shared" si="58"/>
        <v>1w</v>
      </c>
      <c r="X3057" s="148">
        <f>_xll.qlCalendarAdvance(Calendar,X3056,W3057,"f",FALSE)</f>
        <v>60378</v>
      </c>
      <c r="Y3057" s="153">
        <f>_xll.qlCalendarAdvance(Calendar,X3057,NDays&amp;"D")</f>
        <v>60378</v>
      </c>
      <c r="Z3057" s="154">
        <v>2.8417334444162775E-2</v>
      </c>
      <c r="AA3057" s="156">
        <v>2.8293755582209368E-2</v>
      </c>
    </row>
    <row r="3058" spans="19:27" x14ac:dyDescent="0.2">
      <c r="S3058" s="1"/>
      <c r="T3058" s="117"/>
      <c r="W3058" s="75" t="str">
        <f t="shared" si="58"/>
        <v>1w</v>
      </c>
      <c r="X3058" s="148">
        <f>_xll.qlCalendarAdvance(Calendar,X3057,W3058,"f",FALSE)</f>
        <v>60385</v>
      </c>
      <c r="Y3058" s="153">
        <f>_xll.qlCalendarAdvance(Calendar,X3058,NDays&amp;"D")</f>
        <v>60385</v>
      </c>
      <c r="Z3058" s="154">
        <v>2.8421149191317895E-2</v>
      </c>
      <c r="AA3058" s="156">
        <v>2.8297593804799126E-2</v>
      </c>
    </row>
    <row r="3059" spans="19:27" x14ac:dyDescent="0.2">
      <c r="S3059" s="1"/>
      <c r="T3059" s="117"/>
      <c r="W3059" s="75" t="str">
        <f t="shared" si="58"/>
        <v>1w</v>
      </c>
      <c r="X3059" s="148">
        <f>_xll.qlCalendarAdvance(Calendar,X3058,W3059,"f",FALSE)</f>
        <v>60392</v>
      </c>
      <c r="Y3059" s="153">
        <f>_xll.qlCalendarAdvance(Calendar,X3059,NDays&amp;"D")</f>
        <v>60392</v>
      </c>
      <c r="Z3059" s="154">
        <v>2.8426330773699739E-2</v>
      </c>
      <c r="AA3059" s="156">
        <v>2.8301424246297557E-2</v>
      </c>
    </row>
    <row r="3060" spans="19:27" x14ac:dyDescent="0.2">
      <c r="S3060" s="1"/>
      <c r="T3060" s="117"/>
      <c r="W3060" s="75" t="str">
        <f t="shared" si="58"/>
        <v>1w</v>
      </c>
      <c r="X3060" s="148">
        <f>_xll.qlCalendarAdvance(Calendar,X3059,W3060,"f",FALSE)</f>
        <v>60399</v>
      </c>
      <c r="Y3060" s="153">
        <f>_xll.qlCalendarAdvance(Calendar,X3060,NDays&amp;"D")</f>
        <v>60399</v>
      </c>
      <c r="Z3060" s="154">
        <v>2.8430129592490735E-2</v>
      </c>
      <c r="AA3060" s="156">
        <v>2.8305246906947801E-2</v>
      </c>
    </row>
    <row r="3061" spans="19:27" x14ac:dyDescent="0.2">
      <c r="S3061" s="1"/>
      <c r="T3061" s="117"/>
      <c r="W3061" s="75" t="str">
        <f t="shared" si="58"/>
        <v>1w</v>
      </c>
      <c r="X3061" s="148">
        <f>_xll.qlCalendarAdvance(Calendar,X3060,W3061,"f",FALSE)</f>
        <v>60406</v>
      </c>
      <c r="Y3061" s="153">
        <f>_xll.qlCalendarAdvance(Calendar,X3061,NDays&amp;"D")</f>
        <v>60406</v>
      </c>
      <c r="Z3061" s="154">
        <v>2.8433920578801775E-2</v>
      </c>
      <c r="AA3061" s="156">
        <v>2.830906178666881E-2</v>
      </c>
    </row>
    <row r="3062" spans="19:27" x14ac:dyDescent="0.2">
      <c r="S3062" s="1"/>
      <c r="T3062" s="117"/>
      <c r="W3062" s="75" t="str">
        <f t="shared" si="58"/>
        <v>1w</v>
      </c>
      <c r="X3062" s="148">
        <f>_xll.qlCalendarAdvance(Calendar,X3061,W3062,"f",FALSE)</f>
        <v>60413</v>
      </c>
      <c r="Y3062" s="153">
        <f>_xll.qlCalendarAdvance(Calendar,X3062,NDays&amp;"D")</f>
        <v>60413</v>
      </c>
      <c r="Z3062" s="154">
        <v>2.8437703732612601E-2</v>
      </c>
      <c r="AA3062" s="156">
        <v>2.8312868885622677E-2</v>
      </c>
    </row>
    <row r="3063" spans="19:27" x14ac:dyDescent="0.2">
      <c r="S3063" s="1"/>
      <c r="T3063" s="117"/>
      <c r="W3063" s="75" t="str">
        <f t="shared" si="58"/>
        <v>1w</v>
      </c>
      <c r="X3063" s="148">
        <f>_xll.qlCalendarAdvance(Calendar,X3062,W3063,"f",FALSE)</f>
        <v>60420</v>
      </c>
      <c r="Y3063" s="153">
        <f>_xll.qlCalendarAdvance(Calendar,X3063,NDays&amp;"D")</f>
        <v>60420</v>
      </c>
      <c r="Z3063" s="154">
        <v>2.8441479053902069E-2</v>
      </c>
      <c r="AA3063" s="156">
        <v>2.8316668203485218E-2</v>
      </c>
    </row>
    <row r="3064" spans="19:27" x14ac:dyDescent="0.2">
      <c r="S3064" s="1"/>
      <c r="T3064" s="117"/>
      <c r="W3064" s="75" t="str">
        <f t="shared" si="58"/>
        <v>1w</v>
      </c>
      <c r="X3064" s="148">
        <f>_xll.qlCalendarAdvance(Calendar,X3063,W3064,"f",FALSE)</f>
        <v>60427</v>
      </c>
      <c r="Y3064" s="153">
        <f>_xll.qlCalendarAdvance(Calendar,X3064,NDays&amp;"D")</f>
        <v>60427</v>
      </c>
      <c r="Z3064" s="154">
        <v>2.8445246542645509E-2</v>
      </c>
      <c r="AA3064" s="156">
        <v>2.8320459740499571E-2</v>
      </c>
    </row>
    <row r="3065" spans="19:27" x14ac:dyDescent="0.2">
      <c r="S3065" s="1"/>
      <c r="T3065" s="117"/>
      <c r="W3065" s="75" t="str">
        <f t="shared" si="58"/>
        <v>1w</v>
      </c>
      <c r="X3065" s="148">
        <f>_xll.qlCalendarAdvance(Calendar,X3064,W3065,"f",FALSE)</f>
        <v>60434</v>
      </c>
      <c r="Y3065" s="153">
        <f>_xll.qlCalendarAdvance(Calendar,X3065,NDays&amp;"D")</f>
        <v>60434</v>
      </c>
      <c r="Z3065" s="154">
        <v>2.8449006198823547E-2</v>
      </c>
      <c r="AA3065" s="156">
        <v>2.8324243496827828E-2</v>
      </c>
    </row>
    <row r="3066" spans="19:27" x14ac:dyDescent="0.2">
      <c r="S3066" s="1"/>
      <c r="T3066" s="117"/>
      <c r="W3066" s="75" t="str">
        <f t="shared" si="58"/>
        <v>1w</v>
      </c>
      <c r="X3066" s="148">
        <f>_xll.qlCalendarAdvance(Calendar,X3065,W3066,"f",FALSE)</f>
        <v>60441</v>
      </c>
      <c r="Y3066" s="153">
        <f>_xll.qlCalendarAdvance(Calendar,X3066,NDays&amp;"D")</f>
        <v>60441</v>
      </c>
      <c r="Z3066" s="154">
        <v>2.8452758022411512E-2</v>
      </c>
      <c r="AA3066" s="156">
        <v>2.8328019472145805E-2</v>
      </c>
    </row>
    <row r="3067" spans="19:27" x14ac:dyDescent="0.2">
      <c r="S3067" s="1"/>
      <c r="T3067" s="117"/>
      <c r="W3067" s="75" t="str">
        <f t="shared" si="58"/>
        <v>1w</v>
      </c>
      <c r="X3067" s="148">
        <f>_xll.qlCalendarAdvance(Calendar,X3066,W3067,"f",FALSE)</f>
        <v>60448</v>
      </c>
      <c r="Y3067" s="153">
        <f>_xll.qlCalendarAdvance(Calendar,X3067,NDays&amp;"D")</f>
        <v>60448</v>
      </c>
      <c r="Z3067" s="154">
        <v>2.8456502013389142E-2</v>
      </c>
      <c r="AA3067" s="156">
        <v>2.8331787666453501E-2</v>
      </c>
    </row>
    <row r="3068" spans="19:27" x14ac:dyDescent="0.2">
      <c r="S3068" s="1"/>
      <c r="T3068" s="117"/>
      <c r="W3068" s="75" t="str">
        <f t="shared" si="58"/>
        <v>1w</v>
      </c>
      <c r="X3068" s="148">
        <f>_xll.qlCalendarAdvance(Calendar,X3067,W3068,"f",FALSE)</f>
        <v>60455</v>
      </c>
      <c r="Y3068" s="153">
        <f>_xll.qlCalendarAdvance(Calendar,X3068,NDays&amp;"D")</f>
        <v>60455</v>
      </c>
      <c r="Z3068" s="154">
        <v>2.8460238171733536E-2</v>
      </c>
      <c r="AA3068" s="156">
        <v>2.8335548079913009E-2</v>
      </c>
    </row>
    <row r="3069" spans="19:27" x14ac:dyDescent="0.2">
      <c r="S3069" s="1"/>
      <c r="T3069" s="117"/>
      <c r="W3069" s="75" t="str">
        <f t="shared" si="58"/>
        <v>1w</v>
      </c>
      <c r="X3069" s="148">
        <f>_xll.qlCalendarAdvance(Calendar,X3068,W3069,"f",FALSE)</f>
        <v>60462</v>
      </c>
      <c r="Y3069" s="153">
        <f>_xll.qlCalendarAdvance(Calendar,X3069,NDays&amp;"D")</f>
        <v>60462</v>
      </c>
      <c r="Z3069" s="154">
        <v>2.8463966497423551E-2</v>
      </c>
      <c r="AA3069" s="156">
        <v>2.8339300712605375E-2</v>
      </c>
    </row>
    <row r="3070" spans="19:27" x14ac:dyDescent="0.2">
      <c r="S3070" s="1"/>
      <c r="T3070" s="117"/>
      <c r="W3070" s="75" t="str">
        <f t="shared" si="58"/>
        <v>1w</v>
      </c>
      <c r="X3070" s="148">
        <f>_xll.qlCalendarAdvance(Calendar,X3069,W3070,"f",FALSE)</f>
        <v>60469</v>
      </c>
      <c r="Y3070" s="153">
        <f>_xll.qlCalendarAdvance(Calendar,X3070,NDays&amp;"D")</f>
        <v>60469</v>
      </c>
      <c r="Z3070" s="154">
        <v>2.8467686990436277E-2</v>
      </c>
      <c r="AA3070" s="156">
        <v>2.8343045564368508E-2</v>
      </c>
    </row>
    <row r="3071" spans="19:27" x14ac:dyDescent="0.2">
      <c r="S3071" s="1"/>
      <c r="T3071" s="117"/>
      <c r="W3071" s="75" t="str">
        <f t="shared" si="58"/>
        <v>1w</v>
      </c>
      <c r="X3071" s="148">
        <f>_xll.qlCalendarAdvance(Calendar,X3070,W3071,"f",FALSE)</f>
        <v>60476</v>
      </c>
      <c r="Y3071" s="153">
        <f>_xll.qlCalendarAdvance(Calendar,X3071,NDays&amp;"D")</f>
        <v>60476</v>
      </c>
      <c r="Z3071" s="154">
        <v>2.847139965075058E-2</v>
      </c>
      <c r="AA3071" s="156">
        <v>2.8346782635040313E-2</v>
      </c>
    </row>
    <row r="3072" spans="19:27" x14ac:dyDescent="0.2">
      <c r="S3072" s="1"/>
      <c r="T3072" s="117"/>
      <c r="W3072" s="75" t="str">
        <f t="shared" si="58"/>
        <v>1w</v>
      </c>
      <c r="X3072" s="148">
        <f>_xll.qlCalendarAdvance(Calendar,X3071,W3072,"f",FALSE)</f>
        <v>60483</v>
      </c>
      <c r="Y3072" s="153">
        <f>_xll.qlCalendarAdvance(Calendar,X3072,NDays&amp;"D")</f>
        <v>60483</v>
      </c>
      <c r="Z3072" s="154">
        <v>2.847510447834355E-2</v>
      </c>
      <c r="AA3072" s="156">
        <v>2.8350511925188115E-2</v>
      </c>
    </row>
    <row r="3073" spans="19:27" x14ac:dyDescent="0.2">
      <c r="S3073" s="1"/>
      <c r="T3073" s="117"/>
      <c r="W3073" s="75" t="str">
        <f t="shared" si="58"/>
        <v>1w</v>
      </c>
      <c r="X3073" s="148">
        <f>_xll.qlCalendarAdvance(Calendar,X3072,W3073,"f",FALSE)</f>
        <v>60490</v>
      </c>
      <c r="Y3073" s="153">
        <f>_xll.qlCalendarAdvance(Calendar,X3073,NDays&amp;"D")</f>
        <v>60490</v>
      </c>
      <c r="Z3073" s="154">
        <v>2.8478801473194929E-2</v>
      </c>
      <c r="AA3073" s="156">
        <v>2.8354233434244591E-2</v>
      </c>
    </row>
    <row r="3074" spans="19:27" x14ac:dyDescent="0.2">
      <c r="S3074" s="1"/>
      <c r="T3074" s="117"/>
      <c r="W3074" s="75" t="str">
        <f t="shared" si="58"/>
        <v>1w</v>
      </c>
      <c r="X3074" s="148">
        <f>_xll.qlCalendarAdvance(Calendar,X3073,W3074,"f",FALSE)</f>
        <v>60497</v>
      </c>
      <c r="Y3074" s="153">
        <f>_xll.qlCalendarAdvance(Calendar,X3074,NDays&amp;"D")</f>
        <v>60497</v>
      </c>
      <c r="Z3074" s="154">
        <v>2.8482490635281809E-2</v>
      </c>
      <c r="AA3074" s="156">
        <v>2.8357947162290786E-2</v>
      </c>
    </row>
    <row r="3075" spans="19:27" x14ac:dyDescent="0.2">
      <c r="S3075" s="1"/>
      <c r="T3075" s="117"/>
      <c r="W3075" s="75" t="str">
        <f t="shared" si="58"/>
        <v>1w</v>
      </c>
      <c r="X3075" s="148">
        <f>_xll.qlCalendarAdvance(Calendar,X3074,W3075,"f",FALSE)</f>
        <v>60504</v>
      </c>
      <c r="Y3075" s="153">
        <f>_xll.qlCalendarAdvance(Calendar,X3075,NDays&amp;"D")</f>
        <v>60504</v>
      </c>
      <c r="Z3075" s="154">
        <v>2.8486171964582169E-2</v>
      </c>
      <c r="AA3075" s="156">
        <v>2.8361653109488794E-2</v>
      </c>
    </row>
    <row r="3076" spans="19:27" x14ac:dyDescent="0.2">
      <c r="S3076" s="1"/>
      <c r="T3076" s="117"/>
      <c r="W3076" s="75" t="str">
        <f t="shared" si="58"/>
        <v>1w</v>
      </c>
      <c r="X3076" s="148">
        <f>_xll.qlCalendarAdvance(Calendar,X3075,W3076,"f",FALSE)</f>
        <v>60511</v>
      </c>
      <c r="Y3076" s="153">
        <f>_xll.qlCalendarAdvance(Calendar,X3076,NDays&amp;"D")</f>
        <v>60511</v>
      </c>
      <c r="Z3076" s="154">
        <v>2.8488475370171792E-2</v>
      </c>
      <c r="AA3076" s="156">
        <v>2.8365351275919659E-2</v>
      </c>
    </row>
    <row r="3077" spans="19:27" x14ac:dyDescent="0.2">
      <c r="S3077" s="1"/>
      <c r="T3077" s="117"/>
      <c r="W3077" s="75" t="str">
        <f t="shared" si="58"/>
        <v>1w</v>
      </c>
      <c r="X3077" s="148">
        <f>_xll.qlCalendarAdvance(Calendar,X3076,W3077,"f",FALSE)</f>
        <v>60518</v>
      </c>
      <c r="Y3077" s="153">
        <f>_xll.qlCalendarAdvance(Calendar,X3077,NDays&amp;"D")</f>
        <v>60518</v>
      </c>
      <c r="Z3077" s="154">
        <v>2.8492141308178599E-2</v>
      </c>
      <c r="AA3077" s="156">
        <v>2.8369041661340244E-2</v>
      </c>
    </row>
    <row r="3078" spans="19:27" x14ac:dyDescent="0.2">
      <c r="S3078" s="1"/>
      <c r="T3078" s="117"/>
      <c r="W3078" s="75" t="str">
        <f t="shared" si="58"/>
        <v>1w</v>
      </c>
      <c r="X3078" s="148">
        <f>_xll.qlCalendarAdvance(Calendar,X3077,W3078,"f",FALSE)</f>
        <v>60525</v>
      </c>
      <c r="Y3078" s="153">
        <f>_xll.qlCalendarAdvance(Calendar,X3078,NDays&amp;"D")</f>
        <v>60525</v>
      </c>
      <c r="Z3078" s="154">
        <v>2.8495799413908458E-2</v>
      </c>
      <c r="AA3078" s="156">
        <v>2.8372724265912641E-2</v>
      </c>
    </row>
    <row r="3079" spans="19:27" x14ac:dyDescent="0.2">
      <c r="S3079" s="1"/>
      <c r="T3079" s="117"/>
      <c r="W3079" s="75" t="str">
        <f t="shared" si="58"/>
        <v>1w</v>
      </c>
      <c r="X3079" s="148">
        <f>_xll.qlCalendarAdvance(Calendar,X3078,W3079,"f",FALSE)</f>
        <v>60532</v>
      </c>
      <c r="Y3079" s="153">
        <f>_xll.qlCalendarAdvance(Calendar,X3079,NDays&amp;"D")</f>
        <v>60532</v>
      </c>
      <c r="Z3079" s="154">
        <v>2.8499449687339987E-2</v>
      </c>
      <c r="AA3079" s="156">
        <v>2.8376399089474758E-2</v>
      </c>
    </row>
    <row r="3080" spans="19:27" x14ac:dyDescent="0.2">
      <c r="S3080" s="1"/>
      <c r="T3080" s="117"/>
      <c r="W3080" s="75" t="str">
        <f t="shared" si="58"/>
        <v>1w</v>
      </c>
      <c r="X3080" s="148">
        <f>_xll.qlCalendarAdvance(Calendar,X3079,W3080,"f",FALSE)</f>
        <v>60539</v>
      </c>
      <c r="Y3080" s="153">
        <f>_xll.qlCalendarAdvance(Calendar,X3080,NDays&amp;"D")</f>
        <v>60539</v>
      </c>
      <c r="Z3080" s="154">
        <v>2.8503092128455379E-2</v>
      </c>
      <c r="AA3080" s="156">
        <v>2.8380066132269732E-2</v>
      </c>
    </row>
    <row r="3081" spans="19:27" x14ac:dyDescent="0.2">
      <c r="S3081" s="1"/>
      <c r="T3081" s="117"/>
      <c r="W3081" s="75" t="str">
        <f t="shared" si="58"/>
        <v>1w</v>
      </c>
      <c r="X3081" s="148">
        <f>_xll.qlCalendarAdvance(Calendar,X3080,W3081,"f",FALSE)</f>
        <v>60546</v>
      </c>
      <c r="Y3081" s="153">
        <f>_xll.qlCalendarAdvance(Calendar,X3081,NDays&amp;"D")</f>
        <v>60546</v>
      </c>
      <c r="Z3081" s="154">
        <v>2.8508095450673714E-2</v>
      </c>
      <c r="AA3081" s="156">
        <v>2.8383725394216519E-2</v>
      </c>
    </row>
    <row r="3082" spans="19:27" x14ac:dyDescent="0.2">
      <c r="S3082" s="1"/>
      <c r="T3082" s="117"/>
      <c r="W3082" s="75" t="str">
        <f t="shared" si="58"/>
        <v>1w</v>
      </c>
      <c r="X3082" s="148">
        <f>_xll.qlCalendarAdvance(Calendar,X3081,W3082,"f",FALSE)</f>
        <v>60553</v>
      </c>
      <c r="Y3082" s="153">
        <f>_xll.qlCalendarAdvance(Calendar,X3082,NDays&amp;"D")</f>
        <v>60553</v>
      </c>
      <c r="Z3082" s="154">
        <v>2.8511721949868511E-2</v>
      </c>
      <c r="AA3082" s="156">
        <v>2.8387376875153025E-2</v>
      </c>
    </row>
    <row r="3083" spans="19:27" x14ac:dyDescent="0.2">
      <c r="S3083" s="1"/>
      <c r="T3083" s="117"/>
      <c r="W3083" s="75" t="str">
        <f t="shared" si="58"/>
        <v>1w</v>
      </c>
      <c r="X3083" s="148">
        <f>_xll.qlCalendarAdvance(Calendar,X3082,W3083,"f",FALSE)</f>
        <v>60560</v>
      </c>
      <c r="Y3083" s="153">
        <f>_xll.qlCalendarAdvance(Calendar,X3083,NDays&amp;"D")</f>
        <v>60560</v>
      </c>
      <c r="Z3083" s="154">
        <v>2.8515340616106763E-2</v>
      </c>
      <c r="AA3083" s="156">
        <v>2.8391020575160297E-2</v>
      </c>
    </row>
    <row r="3084" spans="19:27" x14ac:dyDescent="0.2">
      <c r="S3084" s="1"/>
      <c r="T3084" s="117"/>
      <c r="W3084" s="75" t="str">
        <f t="shared" si="58"/>
        <v>1w</v>
      </c>
      <c r="X3084" s="148">
        <f>_xll.qlCalendarAdvance(Calendar,X3083,W3084,"f",FALSE)</f>
        <v>60567</v>
      </c>
      <c r="Y3084" s="153">
        <f>_xll.qlCalendarAdvance(Calendar,X3084,NDays&amp;"D")</f>
        <v>60567</v>
      </c>
      <c r="Z3084" s="154">
        <v>2.8518951449366451E-2</v>
      </c>
      <c r="AA3084" s="156">
        <v>2.839465649456252E-2</v>
      </c>
    </row>
    <row r="3085" spans="19:27" x14ac:dyDescent="0.2">
      <c r="S3085" s="1"/>
      <c r="T3085" s="117"/>
      <c r="W3085" s="75" t="str">
        <f t="shared" si="58"/>
        <v>1w</v>
      </c>
      <c r="X3085" s="148">
        <f>_xll.qlCalendarAdvance(Calendar,X3084,W3085,"f",FALSE)</f>
        <v>60574</v>
      </c>
      <c r="Y3085" s="153">
        <f>_xll.qlCalendarAdvance(Calendar,X3085,NDays&amp;"D")</f>
        <v>60574</v>
      </c>
      <c r="Z3085" s="154">
        <v>2.8522554449624669E-2</v>
      </c>
      <c r="AA3085" s="156">
        <v>2.8398284632630277E-2</v>
      </c>
    </row>
    <row r="3086" spans="19:27" x14ac:dyDescent="0.2">
      <c r="S3086" s="1"/>
      <c r="T3086" s="117"/>
      <c r="W3086" s="75" t="str">
        <f t="shared" si="58"/>
        <v>1w</v>
      </c>
      <c r="X3086" s="148">
        <f>_xll.qlCalendarAdvance(Calendar,X3085,W3086,"f",FALSE)</f>
        <v>60581</v>
      </c>
      <c r="Y3086" s="153">
        <f>_xll.qlCalendarAdvance(Calendar,X3086,NDays&amp;"D")</f>
        <v>60581</v>
      </c>
      <c r="Z3086" s="154">
        <v>2.8526149616861157E-2</v>
      </c>
      <c r="AA3086" s="156">
        <v>2.8401904990092985E-2</v>
      </c>
    </row>
    <row r="3087" spans="19:27" x14ac:dyDescent="0.2">
      <c r="S3087" s="1"/>
      <c r="T3087" s="117"/>
      <c r="W3087" s="75" t="str">
        <f t="shared" si="58"/>
        <v>1w</v>
      </c>
      <c r="X3087" s="148">
        <f>_xll.qlCalendarAdvance(Calendar,X3086,W3087,"f",FALSE)</f>
        <v>60588</v>
      </c>
      <c r="Y3087" s="153">
        <f>_xll.qlCalendarAdvance(Calendar,X3087,NDays&amp;"D")</f>
        <v>60588</v>
      </c>
      <c r="Z3087" s="154">
        <v>2.8529736951056529E-2</v>
      </c>
      <c r="AA3087" s="156">
        <v>2.8405517566626459E-2</v>
      </c>
    </row>
    <row r="3088" spans="19:27" x14ac:dyDescent="0.2">
      <c r="S3088" s="1"/>
      <c r="T3088" s="117"/>
      <c r="W3088" s="75" t="str">
        <f t="shared" si="58"/>
        <v>1w</v>
      </c>
      <c r="X3088" s="148">
        <f>_xll.qlCalendarAdvance(Calendar,X3087,W3088,"f",FALSE)</f>
        <v>60595</v>
      </c>
      <c r="Y3088" s="153">
        <f>_xll.qlCalendarAdvance(Calendar,X3088,NDays&amp;"D")</f>
        <v>60595</v>
      </c>
      <c r="Z3088" s="154">
        <v>2.8533316452186125E-2</v>
      </c>
      <c r="AA3088" s="156">
        <v>2.8409122362311745E-2</v>
      </c>
    </row>
    <row r="3089" spans="19:27" x14ac:dyDescent="0.2">
      <c r="S3089" s="1"/>
      <c r="T3089" s="117"/>
      <c r="W3089" s="75" t="str">
        <f t="shared" si="58"/>
        <v>1w</v>
      </c>
      <c r="X3089" s="148">
        <f>_xll.qlCalendarAdvance(Calendar,X3088,W3089,"f",FALSE)</f>
        <v>60602</v>
      </c>
      <c r="Y3089" s="153">
        <f>_xll.qlCalendarAdvance(Calendar,X3089,NDays&amp;"D")</f>
        <v>60602</v>
      </c>
      <c r="Z3089" s="154">
        <v>2.853415520512121E-2</v>
      </c>
      <c r="AA3089" s="156">
        <v>2.8412719376743611E-2</v>
      </c>
    </row>
    <row r="3090" spans="19:27" x14ac:dyDescent="0.2">
      <c r="S3090" s="1"/>
      <c r="T3090" s="117"/>
      <c r="W3090" s="75" t="str">
        <f t="shared" si="58"/>
        <v>1w</v>
      </c>
      <c r="X3090" s="148">
        <f>_xll.qlCalendarAdvance(Calendar,X3089,W3090,"f",FALSE)</f>
        <v>60609</v>
      </c>
      <c r="Y3090" s="153">
        <f>_xll.qlCalendarAdvance(Calendar,X3090,NDays&amp;"D")</f>
        <v>60609</v>
      </c>
      <c r="Z3090" s="154">
        <v>2.8537719603655243E-2</v>
      </c>
      <c r="AA3090" s="156">
        <v>2.8416308610651475E-2</v>
      </c>
    </row>
    <row r="3091" spans="19:27" x14ac:dyDescent="0.2">
      <c r="S3091" s="1"/>
      <c r="T3091" s="117"/>
      <c r="W3091" s="75" t="str">
        <f t="shared" si="58"/>
        <v>1w</v>
      </c>
      <c r="X3091" s="148">
        <f>_xll.qlCalendarAdvance(Calendar,X3090,W3091,"f",FALSE)</f>
        <v>60616</v>
      </c>
      <c r="Y3091" s="153">
        <f>_xll.qlCalendarAdvance(Calendar,X3091,NDays&amp;"D")</f>
        <v>60616</v>
      </c>
      <c r="Z3091" s="154">
        <v>2.8541276170215291E-2</v>
      </c>
      <c r="AA3091" s="156">
        <v>2.8419890063549058E-2</v>
      </c>
    </row>
    <row r="3092" spans="19:27" x14ac:dyDescent="0.2">
      <c r="S3092" s="1"/>
      <c r="T3092" s="117"/>
      <c r="W3092" s="75" t="str">
        <f t="shared" si="58"/>
        <v>1w</v>
      </c>
      <c r="X3092" s="148">
        <f>_xll.qlCalendarAdvance(Calendar,X3091,W3092,"f",FALSE)</f>
        <v>60623</v>
      </c>
      <c r="Y3092" s="153">
        <f>_xll.qlCalendarAdvance(Calendar,X3092,NDays&amp;"D")</f>
        <v>60623</v>
      </c>
      <c r="Z3092" s="154">
        <v>2.8544824904782447E-2</v>
      </c>
      <c r="AA3092" s="156">
        <v>2.8423463735679499E-2</v>
      </c>
    </row>
    <row r="3093" spans="19:27" x14ac:dyDescent="0.2">
      <c r="S3093" s="1"/>
      <c r="T3093" s="117"/>
      <c r="W3093" s="75" t="str">
        <f t="shared" ref="W3093:W3156" si="59">W3092</f>
        <v>1w</v>
      </c>
      <c r="X3093" s="148">
        <f>_xll.qlCalendarAdvance(Calendar,X3092,W3093,"f",FALSE)</f>
        <v>60630</v>
      </c>
      <c r="Y3093" s="153">
        <f>_xll.qlCalendarAdvance(Calendar,X3093,NDays&amp;"D")</f>
        <v>60630</v>
      </c>
      <c r="Z3093" s="154">
        <v>2.8548365807336898E-2</v>
      </c>
      <c r="AA3093" s="156">
        <v>2.8427029626637568E-2</v>
      </c>
    </row>
    <row r="3094" spans="19:27" x14ac:dyDescent="0.2">
      <c r="S3094" s="1"/>
      <c r="T3094" s="117"/>
      <c r="W3094" s="75" t="str">
        <f t="shared" si="59"/>
        <v>1w</v>
      </c>
      <c r="X3094" s="148">
        <f>_xll.qlCalendarAdvance(Calendar,X3093,W3094,"f",FALSE)</f>
        <v>60637</v>
      </c>
      <c r="Y3094" s="153">
        <f>_xll.qlCalendarAdvance(Calendar,X3094,NDays&amp;"D")</f>
        <v>60637</v>
      </c>
      <c r="Z3094" s="154">
        <v>2.8551898877857029E-2</v>
      </c>
      <c r="AA3094" s="156">
        <v>2.8430587736909541E-2</v>
      </c>
    </row>
    <row r="3095" spans="19:27" x14ac:dyDescent="0.2">
      <c r="S3095" s="1"/>
      <c r="T3095" s="117"/>
      <c r="W3095" s="75" t="str">
        <f t="shared" si="59"/>
        <v>1w</v>
      </c>
      <c r="X3095" s="148">
        <f>_xll.qlCalendarAdvance(Calendar,X3094,W3095,"f",FALSE)</f>
        <v>60644</v>
      </c>
      <c r="Y3095" s="153">
        <f>_xll.qlCalendarAdvance(Calendar,X3095,NDays&amp;"D")</f>
        <v>60644</v>
      </c>
      <c r="Z3095" s="154">
        <v>2.8556788852590036E-2</v>
      </c>
      <c r="AA3095" s="156">
        <v>2.8434138066171233E-2</v>
      </c>
    </row>
    <row r="3096" spans="19:27" x14ac:dyDescent="0.2">
      <c r="S3096" s="1"/>
      <c r="T3096" s="117"/>
      <c r="W3096" s="75" t="str">
        <f t="shared" si="59"/>
        <v>1w</v>
      </c>
      <c r="X3096" s="148">
        <f>_xll.qlCalendarAdvance(Calendar,X3095,W3096,"f",FALSE)</f>
        <v>60651</v>
      </c>
      <c r="Y3096" s="153">
        <f>_xll.qlCalendarAdvance(Calendar,X3096,NDays&amp;"D")</f>
        <v>60651</v>
      </c>
      <c r="Z3096" s="154">
        <v>2.8558941522716E-2</v>
      </c>
      <c r="AA3096" s="156">
        <v>2.8437680614584737E-2</v>
      </c>
    </row>
    <row r="3097" spans="19:27" x14ac:dyDescent="0.2">
      <c r="S3097" s="1"/>
      <c r="T3097" s="117"/>
      <c r="W3097" s="75" t="str">
        <f t="shared" si="59"/>
        <v>1w</v>
      </c>
      <c r="X3097" s="148">
        <f>_xll.qlCalendarAdvance(Calendar,X3096,W3097,"f",FALSE)</f>
        <v>60658</v>
      </c>
      <c r="Y3097" s="153">
        <f>_xll.qlCalendarAdvance(Calendar,X3097,NDays&amp;"D")</f>
        <v>60658</v>
      </c>
      <c r="Z3097" s="154">
        <v>2.8562451097014312E-2</v>
      </c>
      <c r="AA3097" s="156">
        <v>2.8441215381987961E-2</v>
      </c>
    </row>
    <row r="3098" spans="19:27" x14ac:dyDescent="0.2">
      <c r="S3098" s="1"/>
      <c r="T3098" s="117"/>
      <c r="W3098" s="75" t="str">
        <f t="shared" si="59"/>
        <v>1w</v>
      </c>
      <c r="X3098" s="148">
        <f>_xll.qlCalendarAdvance(Calendar,X3097,W3098,"f",FALSE)</f>
        <v>60665</v>
      </c>
      <c r="Y3098" s="153">
        <f>_xll.qlCalendarAdvance(Calendar,X3098,NDays&amp;"D")</f>
        <v>60665</v>
      </c>
      <c r="Z3098" s="154">
        <v>2.8567316718030582E-2</v>
      </c>
      <c r="AA3098" s="156">
        <v>2.8444742368705089E-2</v>
      </c>
    </row>
    <row r="3099" spans="19:27" x14ac:dyDescent="0.2">
      <c r="S3099" s="1"/>
      <c r="T3099" s="117"/>
      <c r="W3099" s="75" t="str">
        <f t="shared" si="59"/>
        <v>1w</v>
      </c>
      <c r="X3099" s="148">
        <f>_xll.qlCalendarAdvance(Calendar,X3098,W3099,"f",FALSE)</f>
        <v>60672</v>
      </c>
      <c r="Y3099" s="153">
        <f>_xll.qlCalendarAdvance(Calendar,X3099,NDays&amp;"D")</f>
        <v>60672</v>
      </c>
      <c r="Z3099" s="154">
        <v>2.8569446749246837E-2</v>
      </c>
      <c r="AA3099" s="156">
        <v>2.8448261574411937E-2</v>
      </c>
    </row>
    <row r="3100" spans="19:27" x14ac:dyDescent="0.2">
      <c r="S3100" s="1"/>
      <c r="T3100" s="117"/>
      <c r="W3100" s="75" t="str">
        <f t="shared" si="59"/>
        <v>1w</v>
      </c>
      <c r="X3100" s="148">
        <f>_xll.qlCalendarAdvance(Calendar,X3099,W3100,"f",FALSE)</f>
        <v>60679</v>
      </c>
      <c r="Y3100" s="153">
        <f>_xll.qlCalendarAdvance(Calendar,X3100,NDays&amp;"D")</f>
        <v>60679</v>
      </c>
      <c r="Z3100" s="154">
        <v>2.8572932827139626E-2</v>
      </c>
      <c r="AA3100" s="156">
        <v>2.8451772999108504E-2</v>
      </c>
    </row>
    <row r="3101" spans="19:27" x14ac:dyDescent="0.2">
      <c r="S3101" s="1"/>
      <c r="T3101" s="117"/>
      <c r="W3101" s="75" t="str">
        <f t="shared" si="59"/>
        <v>1w</v>
      </c>
      <c r="X3101" s="148">
        <f>_xll.qlCalendarAdvance(Calendar,X3100,W3101,"f",FALSE)</f>
        <v>60686</v>
      </c>
      <c r="Y3101" s="153">
        <f>_xll.qlCalendarAdvance(Calendar,X3101,NDays&amp;"D")</f>
        <v>60686</v>
      </c>
      <c r="Z3101" s="154">
        <v>2.8576411072859416E-2</v>
      </c>
      <c r="AA3101" s="156">
        <v>2.845527664303793E-2</v>
      </c>
    </row>
    <row r="3102" spans="19:27" x14ac:dyDescent="0.2">
      <c r="S3102" s="1"/>
      <c r="T3102" s="117"/>
      <c r="W3102" s="75" t="str">
        <f t="shared" si="59"/>
        <v>1w</v>
      </c>
      <c r="X3102" s="148">
        <f>_xll.qlCalendarAdvance(Calendar,X3101,W3102,"f",FALSE)</f>
        <v>60693</v>
      </c>
      <c r="Y3102" s="153">
        <f>_xll.qlCalendarAdvance(Calendar,X3102,NDays&amp;"D")</f>
        <v>60693</v>
      </c>
      <c r="Z3102" s="154">
        <v>2.8582606984604585E-2</v>
      </c>
      <c r="AA3102" s="156">
        <v>2.8458772505957075E-2</v>
      </c>
    </row>
    <row r="3103" spans="19:27" x14ac:dyDescent="0.2">
      <c r="S3103" s="1"/>
      <c r="T3103" s="117"/>
      <c r="W3103" s="75" t="str">
        <f t="shared" si="59"/>
        <v>1w</v>
      </c>
      <c r="X3103" s="148">
        <f>_xll.qlCalendarAdvance(Calendar,X3102,W3103,"f",FALSE)</f>
        <v>60700</v>
      </c>
      <c r="Y3103" s="153">
        <f>_xll.qlCalendarAdvance(Calendar,X3103,NDays&amp;"D")</f>
        <v>60700</v>
      </c>
      <c r="Z3103" s="154">
        <v>2.8586068987278241E-2</v>
      </c>
      <c r="AA3103" s="156">
        <v>2.8462260588190125E-2</v>
      </c>
    </row>
    <row r="3104" spans="19:27" x14ac:dyDescent="0.2">
      <c r="S3104" s="1"/>
      <c r="T3104" s="117"/>
      <c r="W3104" s="75" t="str">
        <f t="shared" si="59"/>
        <v>1w</v>
      </c>
      <c r="X3104" s="148">
        <f>_xll.qlCalendarAdvance(Calendar,X3103,W3104,"f",FALSE)</f>
        <v>60707</v>
      </c>
      <c r="Y3104" s="153">
        <f>_xll.qlCalendarAdvance(Calendar,X3104,NDays&amp;"D")</f>
        <v>60707</v>
      </c>
      <c r="Z3104" s="154">
        <v>2.8589523156554005E-2</v>
      </c>
      <c r="AA3104" s="156">
        <v>2.8465740889169755E-2</v>
      </c>
    </row>
    <row r="3105" spans="19:27" x14ac:dyDescent="0.2">
      <c r="S3105" s="1"/>
      <c r="T3105" s="117"/>
      <c r="W3105" s="75" t="str">
        <f t="shared" si="59"/>
        <v>1w</v>
      </c>
      <c r="X3105" s="148">
        <f>_xll.qlCalendarAdvance(Calendar,X3104,W3105,"f",FALSE)</f>
        <v>60714</v>
      </c>
      <c r="Y3105" s="153">
        <f>_xll.qlCalendarAdvance(Calendar,X3105,NDays&amp;"D")</f>
        <v>60714</v>
      </c>
      <c r="Z3105" s="154">
        <v>2.859296949241602E-2</v>
      </c>
      <c r="AA3105" s="156">
        <v>2.8469213409544336E-2</v>
      </c>
    </row>
    <row r="3106" spans="19:27" x14ac:dyDescent="0.2">
      <c r="S3106" s="1"/>
      <c r="T3106" s="117"/>
      <c r="W3106" s="75" t="str">
        <f t="shared" si="59"/>
        <v>1w</v>
      </c>
      <c r="X3106" s="148">
        <f>_xll.qlCalendarAdvance(Calendar,X3105,W3106,"f",FALSE)</f>
        <v>60721</v>
      </c>
      <c r="Y3106" s="153">
        <f>_xll.qlCalendarAdvance(Calendar,X3106,NDays&amp;"D")</f>
        <v>60721</v>
      </c>
      <c r="Z3106" s="154">
        <v>2.8596407994842265E-2</v>
      </c>
      <c r="AA3106" s="156">
        <v>2.8472678148989683E-2</v>
      </c>
    </row>
    <row r="3107" spans="19:27" x14ac:dyDescent="0.2">
      <c r="S3107" s="1"/>
      <c r="T3107" s="117"/>
      <c r="W3107" s="75" t="str">
        <f t="shared" si="59"/>
        <v>1w</v>
      </c>
      <c r="X3107" s="148">
        <f>_xll.qlCalendarAdvance(Calendar,X3106,W3107,"f",FALSE)</f>
        <v>60728</v>
      </c>
      <c r="Y3107" s="153">
        <f>_xll.qlCalendarAdvance(Calendar,X3107,NDays&amp;"D")</f>
        <v>60728</v>
      </c>
      <c r="Z3107" s="154">
        <v>2.8598477345617889E-2</v>
      </c>
      <c r="AA3107" s="156">
        <v>2.8476135107424749E-2</v>
      </c>
    </row>
    <row r="3108" spans="19:27" x14ac:dyDescent="0.2">
      <c r="S3108" s="1"/>
      <c r="T3108" s="117"/>
      <c r="W3108" s="75" t="str">
        <f t="shared" si="59"/>
        <v>1w</v>
      </c>
      <c r="X3108" s="148">
        <f>_xll.qlCalendarAdvance(Calendar,X3107,W3108,"f",FALSE)</f>
        <v>60735</v>
      </c>
      <c r="Y3108" s="153">
        <f>_xll.qlCalendarAdvance(Calendar,X3108,NDays&amp;"D")</f>
        <v>60735</v>
      </c>
      <c r="Z3108" s="154">
        <v>2.8601900473363522E-2</v>
      </c>
      <c r="AA3108" s="156">
        <v>2.8479584285011628E-2</v>
      </c>
    </row>
    <row r="3109" spans="19:27" x14ac:dyDescent="0.2">
      <c r="S3109" s="1"/>
      <c r="T3109" s="117"/>
      <c r="W3109" s="75" t="str">
        <f t="shared" si="59"/>
        <v>1w</v>
      </c>
      <c r="X3109" s="148">
        <f>_xll.qlCalendarAdvance(Calendar,X3108,W3109,"f",FALSE)</f>
        <v>60742</v>
      </c>
      <c r="Y3109" s="153">
        <f>_xll.qlCalendarAdvance(Calendar,X3109,NDays&amp;"D")</f>
        <v>60742</v>
      </c>
      <c r="Z3109" s="154">
        <v>2.8605315768195409E-2</v>
      </c>
      <c r="AA3109" s="156">
        <v>2.8483025681750318E-2</v>
      </c>
    </row>
    <row r="3110" spans="19:27" x14ac:dyDescent="0.2">
      <c r="S3110" s="1"/>
      <c r="T3110" s="117"/>
      <c r="W3110" s="75" t="str">
        <f t="shared" si="59"/>
        <v>1w</v>
      </c>
      <c r="X3110" s="148">
        <f>_xll.qlCalendarAdvance(Calendar,X3109,W3110,"f",FALSE)</f>
        <v>60749</v>
      </c>
      <c r="Y3110" s="153">
        <f>_xll.qlCalendarAdvance(Calendar,X3110,NDays&amp;"D")</f>
        <v>60749</v>
      </c>
      <c r="Z3110" s="154">
        <v>2.8608723230091289E-2</v>
      </c>
      <c r="AA3110" s="156">
        <v>2.8486459297478728E-2</v>
      </c>
    </row>
    <row r="3111" spans="19:27" x14ac:dyDescent="0.2">
      <c r="S3111" s="1"/>
      <c r="T3111" s="117"/>
      <c r="W3111" s="75" t="str">
        <f t="shared" si="59"/>
        <v>1w</v>
      </c>
      <c r="X3111" s="148">
        <f>_xll.qlCalendarAdvance(Calendar,X3110,W3111,"f",FALSE)</f>
        <v>60756</v>
      </c>
      <c r="Y3111" s="153">
        <f>_xll.qlCalendarAdvance(Calendar,X3111,NDays&amp;"D")</f>
        <v>60756</v>
      </c>
      <c r="Z3111" s="154">
        <v>2.8613483004729511E-2</v>
      </c>
      <c r="AA3111" s="156">
        <v>2.8489885132277903E-2</v>
      </c>
    </row>
    <row r="3112" spans="19:27" x14ac:dyDescent="0.2">
      <c r="S3112" s="1"/>
      <c r="T3112" s="117"/>
      <c r="W3112" s="75" t="str">
        <f t="shared" si="59"/>
        <v>1w</v>
      </c>
      <c r="X3112" s="148">
        <f>_xll.qlCalendarAdvance(Calendar,X3111,W3112,"f",FALSE)</f>
        <v>60763</v>
      </c>
      <c r="Y3112" s="153">
        <f>_xll.qlCalendarAdvance(Calendar,X3112,NDays&amp;"D")</f>
        <v>60763</v>
      </c>
      <c r="Z3112" s="154">
        <v>2.8616874506117388E-2</v>
      </c>
      <c r="AA3112" s="156">
        <v>2.8493303186309937E-2</v>
      </c>
    </row>
    <row r="3113" spans="19:27" x14ac:dyDescent="0.2">
      <c r="S3113" s="1"/>
      <c r="T3113" s="117"/>
      <c r="W3113" s="75" t="str">
        <f t="shared" si="59"/>
        <v>1w</v>
      </c>
      <c r="X3113" s="148">
        <f>_xll.qlCalendarAdvance(Calendar,X3112,W3113,"f",FALSE)</f>
        <v>60770</v>
      </c>
      <c r="Y3113" s="153">
        <f>_xll.qlCalendarAdvance(Calendar,X3113,NDays&amp;"D")</f>
        <v>60770</v>
      </c>
      <c r="Z3113" s="154">
        <v>2.8620258173929429E-2</v>
      </c>
      <c r="AA3113" s="156">
        <v>2.8496713459412737E-2</v>
      </c>
    </row>
    <row r="3114" spans="19:27" x14ac:dyDescent="0.2">
      <c r="S3114" s="1"/>
      <c r="T3114" s="117"/>
      <c r="W3114" s="75" t="str">
        <f t="shared" si="59"/>
        <v>1w</v>
      </c>
      <c r="X3114" s="148">
        <f>_xll.qlCalendarAdvance(Calendar,X3113,W3114,"f",FALSE)</f>
        <v>60777</v>
      </c>
      <c r="Y3114" s="153">
        <f>_xll.qlCalendarAdvance(Calendar,X3114,NDays&amp;"D")</f>
        <v>60777</v>
      </c>
      <c r="Z3114" s="154">
        <v>2.8623634008146246E-2</v>
      </c>
      <c r="AA3114" s="156">
        <v>2.8500115951505256E-2</v>
      </c>
    </row>
    <row r="3115" spans="19:27" x14ac:dyDescent="0.2">
      <c r="S3115" s="1"/>
      <c r="T3115" s="117"/>
      <c r="W3115" s="75" t="str">
        <f t="shared" si="59"/>
        <v>1w</v>
      </c>
      <c r="X3115" s="148">
        <f>_xll.qlCalendarAdvance(Calendar,X3114,W3115,"f",FALSE)</f>
        <v>60784</v>
      </c>
      <c r="Y3115" s="153">
        <f>_xll.qlCalendarAdvance(Calendar,X3115,NDays&amp;"D")</f>
        <v>60784</v>
      </c>
      <c r="Z3115" s="154">
        <v>2.8627002008744056E-2</v>
      </c>
      <c r="AA3115" s="156">
        <v>2.8503510662668541E-2</v>
      </c>
    </row>
    <row r="3116" spans="19:27" x14ac:dyDescent="0.2">
      <c r="S3116" s="1"/>
      <c r="T3116" s="117"/>
      <c r="W3116" s="75" t="str">
        <f t="shared" si="59"/>
        <v>1w</v>
      </c>
      <c r="X3116" s="148">
        <f>_xll.qlCalendarAdvance(Calendar,X3115,W3116,"f",FALSE)</f>
        <v>60791</v>
      </c>
      <c r="Y3116" s="153">
        <f>_xll.qlCalendarAdvance(Calendar,X3116,NDays&amp;"D")</f>
        <v>60791</v>
      </c>
      <c r="Z3116" s="154">
        <v>2.8630362175707004E-2</v>
      </c>
      <c r="AA3116" s="156">
        <v>2.8506897593064684E-2</v>
      </c>
    </row>
    <row r="3117" spans="19:27" x14ac:dyDescent="0.2">
      <c r="S3117" s="1"/>
      <c r="T3117" s="117"/>
      <c r="W3117" s="75" t="str">
        <f t="shared" si="59"/>
        <v>1w</v>
      </c>
      <c r="X3117" s="148">
        <f>_xll.qlCalendarAdvance(Calendar,X3116,W3117,"f",FALSE)</f>
        <v>60798</v>
      </c>
      <c r="Y3117" s="153">
        <f>_xll.qlCalendarAdvance(Calendar,X3117,NDays&amp;"D")</f>
        <v>60798</v>
      </c>
      <c r="Z3117" s="154">
        <v>2.8633714509015706E-2</v>
      </c>
      <c r="AA3117" s="156">
        <v>2.8510276742531593E-2</v>
      </c>
    </row>
    <row r="3118" spans="19:27" x14ac:dyDescent="0.2">
      <c r="S3118" s="1"/>
      <c r="T3118" s="117"/>
      <c r="W3118" s="75" t="str">
        <f t="shared" si="59"/>
        <v>1w</v>
      </c>
      <c r="X3118" s="148">
        <f>_xll.qlCalendarAdvance(Calendar,X3117,W3118,"f",FALSE)</f>
        <v>60805</v>
      </c>
      <c r="Y3118" s="153">
        <f>_xll.qlCalendarAdvance(Calendar,X3118,NDays&amp;"D")</f>
        <v>60805</v>
      </c>
      <c r="Z3118" s="154">
        <v>2.8637059008648137E-2</v>
      </c>
      <c r="AA3118" s="156">
        <v>2.8513648110988221E-2</v>
      </c>
    </row>
    <row r="3119" spans="19:27" x14ac:dyDescent="0.2">
      <c r="S3119" s="1"/>
      <c r="T3119" s="117"/>
      <c r="W3119" s="75" t="str">
        <f t="shared" si="59"/>
        <v>1w</v>
      </c>
      <c r="X3119" s="148">
        <f>_xll.qlCalendarAdvance(Calendar,X3118,W3119,"f",FALSE)</f>
        <v>60812</v>
      </c>
      <c r="Y3119" s="153">
        <f>_xll.qlCalendarAdvance(Calendar,X3119,NDays&amp;"D")</f>
        <v>60812</v>
      </c>
      <c r="Z3119" s="154">
        <v>2.8640395674584044E-2</v>
      </c>
      <c r="AA3119" s="156">
        <v>2.8517011698596662E-2</v>
      </c>
    </row>
    <row r="3120" spans="19:27" x14ac:dyDescent="0.2">
      <c r="S3120" s="1"/>
      <c r="T3120" s="117"/>
      <c r="W3120" s="75" t="str">
        <f t="shared" si="59"/>
        <v>1w</v>
      </c>
      <c r="X3120" s="148">
        <f>_xll.qlCalendarAdvance(Calendar,X3119,W3120,"f",FALSE)</f>
        <v>60819</v>
      </c>
      <c r="Y3120" s="153">
        <f>_xll.qlCalendarAdvance(Calendar,X3120,NDays&amp;"D")</f>
        <v>60819</v>
      </c>
      <c r="Z3120" s="154">
        <v>2.8643724506806679E-2</v>
      </c>
      <c r="AA3120" s="156">
        <v>2.8520367505356914E-2</v>
      </c>
    </row>
    <row r="3121" spans="19:27" x14ac:dyDescent="0.2">
      <c r="S3121" s="1"/>
      <c r="T3121" s="117"/>
      <c r="W3121" s="75" t="str">
        <f t="shared" si="59"/>
        <v>1w</v>
      </c>
      <c r="X3121" s="148">
        <f>_xll.qlCalendarAdvance(Calendar,X3120,W3121,"f",FALSE)</f>
        <v>60826</v>
      </c>
      <c r="Y3121" s="153">
        <f>_xll.qlCalendarAdvance(Calendar,X3121,NDays&amp;"D")</f>
        <v>60826</v>
      </c>
      <c r="Z3121" s="154">
        <v>2.8647045505295787E-2</v>
      </c>
      <c r="AA3121" s="156">
        <v>2.8523715531268978E-2</v>
      </c>
    </row>
    <row r="3122" spans="19:27" x14ac:dyDescent="0.2">
      <c r="S3122" s="1"/>
      <c r="T3122" s="117"/>
      <c r="W3122" s="75" t="str">
        <f t="shared" si="59"/>
        <v>1w</v>
      </c>
      <c r="X3122" s="148">
        <f>_xll.qlCalendarAdvance(Calendar,X3121,W3122,"f",FALSE)</f>
        <v>60833</v>
      </c>
      <c r="Y3122" s="153">
        <f>_xll.qlCalendarAdvance(Calendar,X3122,NDays&amp;"D")</f>
        <v>60833</v>
      </c>
      <c r="Z3122" s="154">
        <v>2.8650358670029342E-2</v>
      </c>
      <c r="AA3122" s="156">
        <v>2.8527055776089716E-2</v>
      </c>
    </row>
    <row r="3123" spans="19:27" x14ac:dyDescent="0.2">
      <c r="S3123" s="1"/>
      <c r="T3123" s="117"/>
      <c r="W3123" s="75" t="str">
        <f t="shared" si="59"/>
        <v>1w</v>
      </c>
      <c r="X3123" s="148">
        <f>_xll.qlCalendarAdvance(Calendar,X3122,W3123,"f",FALSE)</f>
        <v>60840</v>
      </c>
      <c r="Y3123" s="153">
        <f>_xll.qlCalendarAdvance(Calendar,X3123,NDays&amp;"D")</f>
        <v>60840</v>
      </c>
      <c r="Z3123" s="154">
        <v>2.8653664000990609E-2</v>
      </c>
      <c r="AA3123" s="156">
        <v>2.8530388240143312E-2</v>
      </c>
    </row>
    <row r="3124" spans="19:27" x14ac:dyDescent="0.2">
      <c r="S3124" s="1"/>
      <c r="T3124" s="117"/>
      <c r="W3124" s="75" t="str">
        <f t="shared" si="59"/>
        <v>1w</v>
      </c>
      <c r="X3124" s="148">
        <f>_xll.qlCalendarAdvance(Calendar,X3123,W3124,"f",FALSE)</f>
        <v>60847</v>
      </c>
      <c r="Y3124" s="153">
        <f>_xll.qlCalendarAdvance(Calendar,X3124,NDays&amp;"D")</f>
        <v>60847</v>
      </c>
      <c r="Z3124" s="154">
        <v>2.8656961498157558E-2</v>
      </c>
      <c r="AA3124" s="156">
        <v>2.8533712923186627E-2</v>
      </c>
    </row>
    <row r="3125" spans="19:27" x14ac:dyDescent="0.2">
      <c r="S3125" s="1"/>
      <c r="T3125" s="117"/>
      <c r="W3125" s="75" t="str">
        <f t="shared" si="59"/>
        <v>1w</v>
      </c>
      <c r="X3125" s="148">
        <f>_xll.qlCalendarAdvance(Calendar,X3124,W3125,"f",FALSE)</f>
        <v>60854</v>
      </c>
      <c r="Y3125" s="153">
        <f>_xll.qlCalendarAdvance(Calendar,X3125,NDays&amp;"D")</f>
        <v>60854</v>
      </c>
      <c r="Z3125" s="154">
        <v>2.8660251161514341E-2</v>
      </c>
      <c r="AA3125" s="156">
        <v>2.8537029825381754E-2</v>
      </c>
    </row>
    <row r="3126" spans="19:27" x14ac:dyDescent="0.2">
      <c r="S3126" s="1"/>
      <c r="T3126" s="117"/>
      <c r="W3126" s="75" t="str">
        <f t="shared" si="59"/>
        <v>1w</v>
      </c>
      <c r="X3126" s="148">
        <f>_xll.qlCalendarAdvance(Calendar,X3125,W3126,"f",FALSE)</f>
        <v>60861</v>
      </c>
      <c r="Y3126" s="153">
        <f>_xll.qlCalendarAdvance(Calendar,X3126,NDays&amp;"D")</f>
        <v>60861</v>
      </c>
      <c r="Z3126" s="154">
        <v>2.8663532991038927E-2</v>
      </c>
      <c r="AA3126" s="156">
        <v>2.8540338946647648E-2</v>
      </c>
    </row>
    <row r="3127" spans="19:27" x14ac:dyDescent="0.2">
      <c r="S3127" s="1"/>
      <c r="T3127" s="117"/>
      <c r="W3127" s="75" t="str">
        <f t="shared" si="59"/>
        <v>1w</v>
      </c>
      <c r="X3127" s="148">
        <f>_xll.qlCalendarAdvance(Calendar,X3126,W3127,"f",FALSE)</f>
        <v>60868</v>
      </c>
      <c r="Y3127" s="153">
        <f>_xll.qlCalendarAdvance(Calendar,X3127,NDays&amp;"D")</f>
        <v>60868</v>
      </c>
      <c r="Z3127" s="154">
        <v>2.8666806986711937E-2</v>
      </c>
      <c r="AA3127" s="156">
        <v>2.8543640287146399E-2</v>
      </c>
    </row>
    <row r="3128" spans="19:27" x14ac:dyDescent="0.2">
      <c r="S3128" s="1"/>
      <c r="T3128" s="117"/>
      <c r="W3128" s="75" t="str">
        <f t="shared" si="59"/>
        <v>1w</v>
      </c>
      <c r="X3128" s="148">
        <f>_xll.qlCalendarAdvance(Calendar,X3127,W3128,"f",FALSE)</f>
        <v>60875</v>
      </c>
      <c r="Y3128" s="153">
        <f>_xll.qlCalendarAdvance(Calendar,X3128,NDays&amp;"D")</f>
        <v>60875</v>
      </c>
      <c r="Z3128" s="154">
        <v>2.8668718089968889E-2</v>
      </c>
      <c r="AA3128" s="156">
        <v>2.854693384663487E-2</v>
      </c>
    </row>
    <row r="3129" spans="19:27" x14ac:dyDescent="0.2">
      <c r="S3129" s="1"/>
      <c r="T3129" s="117"/>
      <c r="W3129" s="75" t="str">
        <f t="shared" si="59"/>
        <v>1w</v>
      </c>
      <c r="X3129" s="148">
        <f>_xll.qlCalendarAdvance(Calendar,X3128,W3129,"f",FALSE)</f>
        <v>60882</v>
      </c>
      <c r="Y3129" s="153">
        <f>_xll.qlCalendarAdvance(Calendar,X3129,NDays&amp;"D")</f>
        <v>60882</v>
      </c>
      <c r="Z3129" s="154">
        <v>2.8671976722384526E-2</v>
      </c>
      <c r="AA3129" s="156">
        <v>2.8550219625032014E-2</v>
      </c>
    </row>
    <row r="3130" spans="19:27" x14ac:dyDescent="0.2">
      <c r="S3130" s="1"/>
      <c r="T3130" s="117"/>
      <c r="W3130" s="75" t="str">
        <f t="shared" si="59"/>
        <v>1w</v>
      </c>
      <c r="X3130" s="148">
        <f>_xll.qlCalendarAdvance(Calendar,X3129,W3130,"f",FALSE)</f>
        <v>60889</v>
      </c>
      <c r="Y3130" s="153">
        <f>_xll.qlCalendarAdvance(Calendar,X3130,NDays&amp;"D")</f>
        <v>60889</v>
      </c>
      <c r="Z3130" s="154">
        <v>2.8675227521480297E-2</v>
      </c>
      <c r="AA3130" s="156">
        <v>2.8553497622824109E-2</v>
      </c>
    </row>
    <row r="3131" spans="19:27" x14ac:dyDescent="0.2">
      <c r="S3131" s="1"/>
      <c r="T3131" s="117"/>
      <c r="W3131" s="75" t="str">
        <f t="shared" si="59"/>
        <v>1w</v>
      </c>
      <c r="X3131" s="148">
        <f>_xll.qlCalendarAdvance(Calendar,X3130,W3131,"f",FALSE)</f>
        <v>60896</v>
      </c>
      <c r="Y3131" s="153">
        <f>_xll.qlCalendarAdvance(Calendar,X3131,NDays&amp;"D")</f>
        <v>60896</v>
      </c>
      <c r="Z3131" s="154">
        <v>2.8678470487233047E-2</v>
      </c>
      <c r="AA3131" s="156">
        <v>2.8556767839524877E-2</v>
      </c>
    </row>
    <row r="3132" spans="19:27" x14ac:dyDescent="0.2">
      <c r="S3132" s="1"/>
      <c r="T3132" s="117"/>
      <c r="W3132" s="75" t="str">
        <f t="shared" si="59"/>
        <v>1w</v>
      </c>
      <c r="X3132" s="148">
        <f>_xll.qlCalendarAdvance(Calendar,X3131,W3132,"f",FALSE)</f>
        <v>60903</v>
      </c>
      <c r="Y3132" s="153">
        <f>_xll.qlCalendarAdvance(Calendar,X3132,NDays&amp;"D")</f>
        <v>60903</v>
      </c>
      <c r="Z3132" s="154">
        <v>2.8683059456644434E-2</v>
      </c>
      <c r="AA3132" s="156">
        <v>2.8560030275377457E-2</v>
      </c>
    </row>
    <row r="3133" spans="19:27" x14ac:dyDescent="0.2">
      <c r="S3133" s="1"/>
      <c r="T3133" s="117"/>
      <c r="W3133" s="75" t="str">
        <f t="shared" si="59"/>
        <v>1w</v>
      </c>
      <c r="X3133" s="148">
        <f>_xll.qlCalendarAdvance(Calendar,X3132,W3133,"f",FALSE)</f>
        <v>60910</v>
      </c>
      <c r="Y3133" s="153">
        <f>_xll.qlCalendarAdvance(Calendar,X3133,NDays&amp;"D")</f>
        <v>60910</v>
      </c>
      <c r="Z3133" s="154">
        <v>2.8686286448808936E-2</v>
      </c>
      <c r="AA3133" s="156">
        <v>2.8563284930219757E-2</v>
      </c>
    </row>
    <row r="3134" spans="19:27" x14ac:dyDescent="0.2">
      <c r="S3134" s="1"/>
      <c r="T3134" s="117"/>
      <c r="W3134" s="75" t="str">
        <f t="shared" si="59"/>
        <v>1w</v>
      </c>
      <c r="X3134" s="148">
        <f>_xll.qlCalendarAdvance(Calendar,X3133,W3134,"f",FALSE)</f>
        <v>60917</v>
      </c>
      <c r="Y3134" s="153">
        <f>_xll.qlCalendarAdvance(Calendar,X3134,NDays&amp;"D")</f>
        <v>60917</v>
      </c>
      <c r="Z3134" s="154">
        <v>2.8689505606989719E-2</v>
      </c>
      <c r="AA3134" s="156">
        <v>2.8566531804294915E-2</v>
      </c>
    </row>
    <row r="3135" spans="19:27" x14ac:dyDescent="0.2">
      <c r="S3135" s="1"/>
      <c r="T3135" s="117"/>
      <c r="W3135" s="75" t="str">
        <f t="shared" si="59"/>
        <v>1w</v>
      </c>
      <c r="X3135" s="148">
        <f>_xll.qlCalendarAdvance(Calendar,X3134,W3135,"f",FALSE)</f>
        <v>60924</v>
      </c>
      <c r="Y3135" s="153">
        <f>_xll.qlCalendarAdvance(Calendar,X3135,NDays&amp;"D")</f>
        <v>60924</v>
      </c>
      <c r="Z3135" s="154">
        <v>2.8692716931165645E-2</v>
      </c>
      <c r="AA3135" s="156">
        <v>2.8569770897440838E-2</v>
      </c>
    </row>
    <row r="3136" spans="19:27" x14ac:dyDescent="0.2">
      <c r="S3136" s="1"/>
      <c r="T3136" s="117"/>
      <c r="W3136" s="75" t="str">
        <f t="shared" si="59"/>
        <v>1w</v>
      </c>
      <c r="X3136" s="148">
        <f>_xll.qlCalendarAdvance(Calendar,X3135,W3136,"f",FALSE)</f>
        <v>60931</v>
      </c>
      <c r="Y3136" s="153">
        <f>_xll.qlCalendarAdvance(Calendar,X3136,NDays&amp;"D")</f>
        <v>60931</v>
      </c>
      <c r="Z3136" s="154">
        <v>2.8695920421320856E-2</v>
      </c>
      <c r="AA3136" s="156">
        <v>2.8573002209657528E-2</v>
      </c>
    </row>
    <row r="3137" spans="19:27" x14ac:dyDescent="0.2">
      <c r="S3137" s="1"/>
      <c r="T3137" s="117"/>
      <c r="W3137" s="75" t="str">
        <f t="shared" si="59"/>
        <v>1w</v>
      </c>
      <c r="X3137" s="148">
        <f>_xll.qlCalendarAdvance(Calendar,X3136,W3137,"f",FALSE)</f>
        <v>60938</v>
      </c>
      <c r="Y3137" s="153">
        <f>_xll.qlCalendarAdvance(Calendar,X3137,NDays&amp;"D")</f>
        <v>60938</v>
      </c>
      <c r="Z3137" s="154">
        <v>2.8699116077433327E-2</v>
      </c>
      <c r="AA3137" s="156">
        <v>2.8576225740863936E-2</v>
      </c>
    </row>
    <row r="3138" spans="19:27" x14ac:dyDescent="0.2">
      <c r="S3138" s="1"/>
      <c r="T3138" s="117"/>
      <c r="W3138" s="75" t="str">
        <f t="shared" si="59"/>
        <v>1w</v>
      </c>
      <c r="X3138" s="148">
        <f>_xll.qlCalendarAdvance(Calendar,X3137,W3138,"f",FALSE)</f>
        <v>60945</v>
      </c>
      <c r="Y3138" s="153">
        <f>_xll.qlCalendarAdvance(Calendar,X3138,NDays&amp;"D")</f>
        <v>60945</v>
      </c>
      <c r="Z3138" s="154">
        <v>2.8702303899487205E-2</v>
      </c>
      <c r="AA3138" s="156">
        <v>2.857944149138425E-2</v>
      </c>
    </row>
    <row r="3139" spans="19:27" x14ac:dyDescent="0.2">
      <c r="S3139" s="1"/>
      <c r="T3139" s="117"/>
      <c r="W3139" s="75" t="str">
        <f t="shared" si="59"/>
        <v>1w</v>
      </c>
      <c r="X3139" s="148">
        <f>_xll.qlCalendarAdvance(Calendar,X3138,W3139,"f",FALSE)</f>
        <v>60952</v>
      </c>
      <c r="Y3139" s="153">
        <f>_xll.qlCalendarAdvance(Calendar,X3139,NDays&amp;"D")</f>
        <v>60952</v>
      </c>
      <c r="Z3139" s="154">
        <v>2.8705483887461348E-2</v>
      </c>
      <c r="AA3139" s="156">
        <v>2.8582649460813236E-2</v>
      </c>
    </row>
    <row r="3140" spans="19:27" x14ac:dyDescent="0.2">
      <c r="S3140" s="1"/>
      <c r="T3140" s="117"/>
      <c r="W3140" s="75" t="str">
        <f t="shared" si="59"/>
        <v>1w</v>
      </c>
      <c r="X3140" s="148">
        <f>_xll.qlCalendarAdvance(Calendar,X3139,W3140,"f",FALSE)</f>
        <v>60959</v>
      </c>
      <c r="Y3140" s="153">
        <f>_xll.qlCalendarAdvance(Calendar,X3140,NDays&amp;"D")</f>
        <v>60959</v>
      </c>
      <c r="Z3140" s="154">
        <v>2.870865604133813E-2</v>
      </c>
      <c r="AA3140" s="156">
        <v>2.8585849649394035E-2</v>
      </c>
    </row>
    <row r="3141" spans="19:27" x14ac:dyDescent="0.2">
      <c r="S3141" s="1"/>
      <c r="T3141" s="117"/>
      <c r="W3141" s="75" t="str">
        <f t="shared" si="59"/>
        <v>1w</v>
      </c>
      <c r="X3141" s="148">
        <f>_xll.qlCalendarAdvance(Calendar,X3140,W3141,"f",FALSE)</f>
        <v>60966</v>
      </c>
      <c r="Y3141" s="153">
        <f>_xll.qlCalendarAdvance(Calendar,X3141,NDays&amp;"D")</f>
        <v>60966</v>
      </c>
      <c r="Z3141" s="154">
        <v>2.8709118293389291E-2</v>
      </c>
      <c r="AA3141" s="156">
        <v>2.8589042057045599E-2</v>
      </c>
    </row>
    <row r="3142" spans="19:27" x14ac:dyDescent="0.2">
      <c r="S3142" s="1"/>
      <c r="T3142" s="117"/>
      <c r="W3142" s="75" t="str">
        <f t="shared" si="59"/>
        <v>1w</v>
      </c>
      <c r="X3142" s="148">
        <f>_xll.qlCalendarAdvance(Calendar,X3141,W3142,"f",FALSE)</f>
        <v>60973</v>
      </c>
      <c r="Y3142" s="153">
        <f>_xll.qlCalendarAdvance(Calendar,X3142,NDays&amp;"D")</f>
        <v>60973</v>
      </c>
      <c r="Z3142" s="154">
        <v>2.8712275403217132E-2</v>
      </c>
      <c r="AA3142" s="156">
        <v>2.859222668376793E-2</v>
      </c>
    </row>
    <row r="3143" spans="19:27" x14ac:dyDescent="0.2">
      <c r="S3143" s="1"/>
      <c r="T3143" s="117"/>
      <c r="W3143" s="75" t="str">
        <f t="shared" si="59"/>
        <v>1w</v>
      </c>
      <c r="X3143" s="148">
        <f>_xll.qlCalendarAdvance(Calendar,X3142,W3143,"f",FALSE)</f>
        <v>60980</v>
      </c>
      <c r="Y3143" s="153">
        <f>_xll.qlCalendarAdvance(Calendar,X3143,NDays&amp;"D")</f>
        <v>60980</v>
      </c>
      <c r="Z3143" s="154">
        <v>2.8715424680069615E-2</v>
      </c>
      <c r="AA3143" s="156">
        <v>2.8595403529642072E-2</v>
      </c>
    </row>
    <row r="3144" spans="19:27" x14ac:dyDescent="0.2">
      <c r="S3144" s="1"/>
      <c r="T3144" s="117"/>
      <c r="W3144" s="75" t="str">
        <f t="shared" si="59"/>
        <v>1w</v>
      </c>
      <c r="X3144" s="148">
        <f>_xll.qlCalendarAdvance(Calendar,X3143,W3144,"f",FALSE)</f>
        <v>60987</v>
      </c>
      <c r="Y3144" s="153">
        <f>_xll.qlCalendarAdvance(Calendar,X3144,NDays&amp;"D")</f>
        <v>60987</v>
      </c>
      <c r="Z3144" s="154">
        <v>2.8718566123926034E-2</v>
      </c>
      <c r="AA3144" s="156">
        <v>2.8598572594505933E-2</v>
      </c>
    </row>
    <row r="3145" spans="19:27" x14ac:dyDescent="0.2">
      <c r="S3145" s="1"/>
      <c r="T3145" s="117"/>
      <c r="W3145" s="75" t="str">
        <f t="shared" si="59"/>
        <v>1w</v>
      </c>
      <c r="X3145" s="148">
        <f>_xll.qlCalendarAdvance(Calendar,X3144,W3145,"f",FALSE)</f>
        <v>60995</v>
      </c>
      <c r="Y3145" s="153">
        <f>_xll.qlCalendarAdvance(Calendar,X3145,NDays&amp;"D")</f>
        <v>60995</v>
      </c>
      <c r="Z3145" s="154">
        <v>2.8722146754030967E-2</v>
      </c>
      <c r="AA3145" s="156">
        <v>2.8602184855364143E-2</v>
      </c>
    </row>
    <row r="3146" spans="19:27" x14ac:dyDescent="0.2">
      <c r="S3146" s="1"/>
      <c r="T3146" s="117"/>
      <c r="W3146" s="75" t="str">
        <f t="shared" si="59"/>
        <v>1w</v>
      </c>
      <c r="X3146" s="148">
        <f>_xll.qlCalendarAdvance(Calendar,X3145,W3146,"f",FALSE)</f>
        <v>61002</v>
      </c>
      <c r="Y3146" s="153">
        <f>_xll.qlCalendarAdvance(Calendar,X3146,NDays&amp;"D")</f>
        <v>61002</v>
      </c>
      <c r="Z3146" s="154">
        <v>2.8725271412837022E-2</v>
      </c>
      <c r="AA3146" s="156">
        <v>2.8605337246900842E-2</v>
      </c>
    </row>
    <row r="3147" spans="19:27" x14ac:dyDescent="0.2">
      <c r="S3147" s="1"/>
      <c r="T3147" s="117"/>
      <c r="W3147" s="75" t="str">
        <f t="shared" si="59"/>
        <v>1w</v>
      </c>
      <c r="X3147" s="148">
        <f>_xll.qlCalendarAdvance(Calendar,X3146,W3147,"f",FALSE)</f>
        <v>61009</v>
      </c>
      <c r="Y3147" s="153">
        <f>_xll.qlCalendarAdvance(Calendar,X3147,NDays&amp;"D")</f>
        <v>61009</v>
      </c>
      <c r="Z3147" s="154">
        <v>2.8728388238592081E-2</v>
      </c>
      <c r="AA3147" s="156">
        <v>2.8608481857670398E-2</v>
      </c>
    </row>
    <row r="3148" spans="19:27" x14ac:dyDescent="0.2">
      <c r="S3148" s="1"/>
      <c r="T3148" s="117"/>
      <c r="W3148" s="75" t="str">
        <f t="shared" si="59"/>
        <v>1w</v>
      </c>
      <c r="X3148" s="148">
        <f>_xll.qlCalendarAdvance(Calendar,X3147,W3148,"f",FALSE)</f>
        <v>61016</v>
      </c>
      <c r="Y3148" s="153">
        <f>_xll.qlCalendarAdvance(Calendar,X3148,NDays&amp;"D")</f>
        <v>61016</v>
      </c>
      <c r="Z3148" s="154">
        <v>2.8731497231279029E-2</v>
      </c>
      <c r="AA3148" s="156">
        <v>2.8611618687429674E-2</v>
      </c>
    </row>
    <row r="3149" spans="19:27" x14ac:dyDescent="0.2">
      <c r="S3149" s="1"/>
      <c r="T3149" s="117"/>
      <c r="W3149" s="75" t="str">
        <f t="shared" si="59"/>
        <v>1w</v>
      </c>
      <c r="X3149" s="148">
        <f>_xll.qlCalendarAdvance(Calendar,X3148,W3149,"f",FALSE)</f>
        <v>61023</v>
      </c>
      <c r="Y3149" s="153">
        <f>_xll.qlCalendarAdvance(Calendar,X3149,NDays&amp;"D")</f>
        <v>61023</v>
      </c>
      <c r="Z3149" s="154">
        <v>2.873459839087536E-2</v>
      </c>
      <c r="AA3149" s="156">
        <v>2.8614747736097623E-2</v>
      </c>
    </row>
    <row r="3150" spans="19:27" x14ac:dyDescent="0.2">
      <c r="S3150" s="1"/>
      <c r="T3150" s="117"/>
      <c r="W3150" s="75" t="str">
        <f t="shared" si="59"/>
        <v>1w</v>
      </c>
      <c r="X3150" s="148">
        <f>_xll.qlCalendarAdvance(Calendar,X3149,W3150,"f",FALSE)</f>
        <v>61030</v>
      </c>
      <c r="Y3150" s="153">
        <f>_xll.qlCalendarAdvance(Calendar,X3150,NDays&amp;"D")</f>
        <v>61030</v>
      </c>
      <c r="Z3150" s="154">
        <v>2.8737691717368459E-2</v>
      </c>
      <c r="AA3150" s="156">
        <v>2.8617869004079477E-2</v>
      </c>
    </row>
    <row r="3151" spans="19:27" x14ac:dyDescent="0.2">
      <c r="S3151" s="1"/>
      <c r="T3151" s="117"/>
      <c r="W3151" s="75" t="str">
        <f t="shared" si="59"/>
        <v>1w</v>
      </c>
      <c r="X3151" s="148">
        <f>_xll.qlCalendarAdvance(Calendar,X3150,W3151,"f",FALSE)</f>
        <v>61037</v>
      </c>
      <c r="Y3151" s="153">
        <f>_xll.qlCalendarAdvance(Calendar,X3151,NDays&amp;"D")</f>
        <v>61037</v>
      </c>
      <c r="Z3151" s="154">
        <v>2.8739429430011149E-2</v>
      </c>
      <c r="AA3151" s="156">
        <v>2.862098249105105E-2</v>
      </c>
    </row>
    <row r="3152" spans="19:27" x14ac:dyDescent="0.2">
      <c r="S3152" s="1"/>
      <c r="T3152" s="117"/>
      <c r="W3152" s="75" t="str">
        <f t="shared" si="59"/>
        <v>1w</v>
      </c>
      <c r="X3152" s="148">
        <f>_xll.qlCalendarAdvance(Calendar,X3151,W3152,"f",FALSE)</f>
        <v>61044</v>
      </c>
      <c r="Y3152" s="153">
        <f>_xll.qlCalendarAdvance(Calendar,X3152,NDays&amp;"D")</f>
        <v>61044</v>
      </c>
      <c r="Z3152" s="154">
        <v>2.8742507408219427E-2</v>
      </c>
      <c r="AA3152" s="156">
        <v>2.8624088197093389E-2</v>
      </c>
    </row>
    <row r="3153" spans="19:27" x14ac:dyDescent="0.2">
      <c r="S3153" s="1"/>
      <c r="T3153" s="117"/>
      <c r="W3153" s="75" t="str">
        <f t="shared" si="59"/>
        <v>1w</v>
      </c>
      <c r="X3153" s="148">
        <f>_xll.qlCalendarAdvance(Calendar,X3152,W3153,"f",FALSE)</f>
        <v>61051</v>
      </c>
      <c r="Y3153" s="153">
        <f>_xll.qlCalendarAdvance(Calendar,X3153,NDays&amp;"D")</f>
        <v>61051</v>
      </c>
      <c r="Z3153" s="154">
        <v>2.8745577553859241E-2</v>
      </c>
      <c r="AA3153" s="156">
        <v>2.862718612228754E-2</v>
      </c>
    </row>
    <row r="3154" spans="19:27" x14ac:dyDescent="0.2">
      <c r="S3154" s="1"/>
      <c r="T3154" s="117"/>
      <c r="W3154" s="75" t="str">
        <f t="shared" si="59"/>
        <v>1w</v>
      </c>
      <c r="X3154" s="148">
        <f>_xll.qlCalendarAdvance(Calendar,X3153,W3154,"f",FALSE)</f>
        <v>61058</v>
      </c>
      <c r="Y3154" s="153">
        <f>_xll.qlCalendarAdvance(Calendar,X3154,NDays&amp;"D")</f>
        <v>61058</v>
      </c>
      <c r="Z3154" s="154">
        <v>2.875268046181681E-2</v>
      </c>
      <c r="AA3154" s="156">
        <v>2.8630276266633503E-2</v>
      </c>
    </row>
    <row r="3155" spans="19:27" x14ac:dyDescent="0.2">
      <c r="S3155" s="1"/>
      <c r="T3155" s="117"/>
      <c r="W3155" s="75" t="str">
        <f t="shared" si="59"/>
        <v>1w</v>
      </c>
      <c r="X3155" s="148">
        <f>_xll.qlCalendarAdvance(Calendar,X3154,W3155,"f",FALSE)</f>
        <v>61065</v>
      </c>
      <c r="Y3155" s="153">
        <f>_xll.qlCalendarAdvance(Calendar,X3155,NDays&amp;"D")</f>
        <v>61065</v>
      </c>
      <c r="Z3155" s="154">
        <v>2.8755733982818766E-2</v>
      </c>
      <c r="AA3155" s="156">
        <v>2.8633358629969186E-2</v>
      </c>
    </row>
    <row r="3156" spans="19:27" x14ac:dyDescent="0.2">
      <c r="S3156" s="1"/>
      <c r="T3156" s="117"/>
      <c r="W3156" s="75" t="str">
        <f t="shared" si="59"/>
        <v>1w</v>
      </c>
      <c r="X3156" s="148">
        <f>_xll.qlCalendarAdvance(Calendar,X3155,W3156,"f",FALSE)</f>
        <v>61072</v>
      </c>
      <c r="Y3156" s="153">
        <f>_xll.qlCalendarAdvance(Calendar,X3156,NDays&amp;"D")</f>
        <v>61072</v>
      </c>
      <c r="Z3156" s="154">
        <v>2.8758779669424729E-2</v>
      </c>
      <c r="AA3156" s="156">
        <v>2.8636433212213541E-2</v>
      </c>
    </row>
    <row r="3157" spans="19:27" x14ac:dyDescent="0.2">
      <c r="S3157" s="1"/>
      <c r="T3157" s="117"/>
      <c r="W3157" s="75" t="str">
        <f t="shared" ref="W3157:W3220" si="60">W3156</f>
        <v>1w</v>
      </c>
      <c r="X3157" s="148">
        <f>_xll.qlCalendarAdvance(Calendar,X3156,W3157,"f",FALSE)</f>
        <v>61079</v>
      </c>
      <c r="Y3157" s="153">
        <f>_xll.qlCalendarAdvance(Calendar,X3157,NDays&amp;"D")</f>
        <v>61079</v>
      </c>
      <c r="Z3157" s="154">
        <v>2.8761817521621481E-2</v>
      </c>
      <c r="AA3157" s="156">
        <v>2.8639500013852848E-2</v>
      </c>
    </row>
    <row r="3158" spans="19:27" x14ac:dyDescent="0.2">
      <c r="S3158" s="1"/>
      <c r="T3158" s="117"/>
      <c r="W3158" s="75" t="str">
        <f t="shared" si="60"/>
        <v>1w</v>
      </c>
      <c r="X3158" s="148">
        <f>_xll.qlCalendarAdvance(Calendar,X3157,W3158,"f",FALSE)</f>
        <v>61086</v>
      </c>
      <c r="Y3158" s="153">
        <f>_xll.qlCalendarAdvance(Calendar,X3158,NDays&amp;"D")</f>
        <v>61086</v>
      </c>
      <c r="Z3158" s="154">
        <v>2.8764847539389647E-2</v>
      </c>
      <c r="AA3158" s="156">
        <v>2.8642559034481874E-2</v>
      </c>
    </row>
    <row r="3159" spans="19:27" x14ac:dyDescent="0.2">
      <c r="S3159" s="1"/>
      <c r="T3159" s="117"/>
      <c r="W3159" s="75" t="str">
        <f t="shared" si="60"/>
        <v>1w</v>
      </c>
      <c r="X3159" s="148">
        <f>_xll.qlCalendarAdvance(Calendar,X3158,W3159,"f",FALSE)</f>
        <v>61093</v>
      </c>
      <c r="Y3159" s="153">
        <f>_xll.qlCalendarAdvance(Calendar,X3159,NDays&amp;"D")</f>
        <v>61093</v>
      </c>
      <c r="Z3159" s="154">
        <v>2.8766524423114684E-2</v>
      </c>
      <c r="AA3159" s="156">
        <v>2.8645610274100619E-2</v>
      </c>
    </row>
    <row r="3160" spans="19:27" x14ac:dyDescent="0.2">
      <c r="S3160" s="1"/>
      <c r="T3160" s="117"/>
      <c r="W3160" s="75" t="str">
        <f t="shared" si="60"/>
        <v>1w</v>
      </c>
      <c r="X3160" s="148">
        <f>_xll.qlCalendarAdvance(Calendar,X3159,W3160,"f",FALSE)</f>
        <v>61100</v>
      </c>
      <c r="Y3160" s="153">
        <f>_xll.qlCalendarAdvance(Calendar,X3160,NDays&amp;"D")</f>
        <v>61100</v>
      </c>
      <c r="Z3160" s="154">
        <v>2.8769539094810066E-2</v>
      </c>
      <c r="AA3160" s="156">
        <v>2.8648653732952223E-2</v>
      </c>
    </row>
    <row r="3161" spans="19:27" x14ac:dyDescent="0.2">
      <c r="S3161" s="1"/>
      <c r="T3161" s="117"/>
      <c r="W3161" s="75" t="str">
        <f t="shared" si="60"/>
        <v>1w</v>
      </c>
      <c r="X3161" s="148">
        <f>_xll.qlCalendarAdvance(Calendar,X3160,W3161,"f",FALSE)</f>
        <v>61107</v>
      </c>
      <c r="Y3161" s="153">
        <f>_xll.qlCalendarAdvance(Calendar,X3161,NDays&amp;"D")</f>
        <v>61107</v>
      </c>
      <c r="Z3161" s="154">
        <v>2.8772545932614694E-2</v>
      </c>
      <c r="AA3161" s="156">
        <v>2.8651689410874592E-2</v>
      </c>
    </row>
    <row r="3162" spans="19:27" x14ac:dyDescent="0.2">
      <c r="S3162" s="1"/>
      <c r="T3162" s="117"/>
      <c r="W3162" s="75" t="str">
        <f t="shared" si="60"/>
        <v>1w</v>
      </c>
      <c r="X3162" s="148">
        <f>_xll.qlCalendarAdvance(Calendar,X3161,W3162,"f",FALSE)</f>
        <v>61114</v>
      </c>
      <c r="Y3162" s="153">
        <f>_xll.qlCalendarAdvance(Calendar,X3162,NDays&amp;"D")</f>
        <v>61114</v>
      </c>
      <c r="Z3162" s="154">
        <v>2.8775544936510754E-2</v>
      </c>
      <c r="AA3162" s="156">
        <v>2.8654717307705635E-2</v>
      </c>
    </row>
    <row r="3163" spans="19:27" x14ac:dyDescent="0.2">
      <c r="S3163" s="1"/>
      <c r="T3163" s="117"/>
      <c r="W3163" s="75" t="str">
        <f t="shared" si="60"/>
        <v>1w</v>
      </c>
      <c r="X3163" s="148">
        <f>_xll.qlCalendarAdvance(Calendar,X3162,W3163,"f",FALSE)</f>
        <v>61121</v>
      </c>
      <c r="Y3163" s="153">
        <f>_xll.qlCalendarAdvance(Calendar,X3163,NDays&amp;"D")</f>
        <v>61121</v>
      </c>
      <c r="Z3163" s="154">
        <v>2.8779880111168239E-2</v>
      </c>
      <c r="AA3163" s="156">
        <v>2.8657737423607443E-2</v>
      </c>
    </row>
    <row r="3164" spans="19:27" x14ac:dyDescent="0.2">
      <c r="S3164" s="1"/>
      <c r="T3164" s="117"/>
      <c r="W3164" s="75" t="str">
        <f t="shared" si="60"/>
        <v>1w</v>
      </c>
      <c r="X3164" s="148">
        <f>_xll.qlCalendarAdvance(Calendar,X3163,W3164,"f",FALSE)</f>
        <v>61128</v>
      </c>
      <c r="Y3164" s="153">
        <f>_xll.qlCalendarAdvance(Calendar,X3164,NDays&amp;"D")</f>
        <v>61128</v>
      </c>
      <c r="Z3164" s="154">
        <v>2.878286312198871E-2</v>
      </c>
      <c r="AA3164" s="156">
        <v>2.8660749758904203E-2</v>
      </c>
    </row>
    <row r="3165" spans="19:27" x14ac:dyDescent="0.2">
      <c r="S3165" s="1"/>
      <c r="T3165" s="117"/>
      <c r="W3165" s="75" t="str">
        <f t="shared" si="60"/>
        <v>1w</v>
      </c>
      <c r="X3165" s="148">
        <f>_xll.qlCalendarAdvance(Calendar,X3164,W3165,"f",FALSE)</f>
        <v>61135</v>
      </c>
      <c r="Y3165" s="153">
        <f>_xll.qlCalendarAdvance(Calendar,X3165,NDays&amp;"D")</f>
        <v>61135</v>
      </c>
      <c r="Z3165" s="154">
        <v>2.8785838298257257E-2</v>
      </c>
      <c r="AA3165" s="156">
        <v>2.8663754313028589E-2</v>
      </c>
    </row>
    <row r="3166" spans="19:27" x14ac:dyDescent="0.2">
      <c r="S3166" s="1"/>
      <c r="T3166" s="117"/>
      <c r="W3166" s="75" t="str">
        <f t="shared" si="60"/>
        <v>1w</v>
      </c>
      <c r="X3166" s="148">
        <f>_xll.qlCalendarAdvance(Calendar,X3165,W3166,"f",FALSE)</f>
        <v>61142</v>
      </c>
      <c r="Y3166" s="153">
        <f>_xll.qlCalendarAdvance(Calendar,X3166,NDays&amp;"D")</f>
        <v>61142</v>
      </c>
      <c r="Z3166" s="154">
        <v>2.8788805639955388E-2</v>
      </c>
      <c r="AA3166" s="156">
        <v>2.8666751086385833E-2</v>
      </c>
    </row>
    <row r="3167" spans="19:27" x14ac:dyDescent="0.2">
      <c r="S3167" s="1"/>
      <c r="T3167" s="117"/>
      <c r="W3167" s="75" t="str">
        <f t="shared" si="60"/>
        <v>1w</v>
      </c>
      <c r="X3167" s="148">
        <f>_xll.qlCalendarAdvance(Calendar,X3166,W3167,"f",FALSE)</f>
        <v>61149</v>
      </c>
      <c r="Y3167" s="153">
        <f>_xll.qlCalendarAdvance(Calendar,X3167,NDays&amp;"D")</f>
        <v>61149</v>
      </c>
      <c r="Z3167" s="154">
        <v>2.8791765147063716E-2</v>
      </c>
      <c r="AA3167" s="156">
        <v>2.8669740078651751E-2</v>
      </c>
    </row>
    <row r="3168" spans="19:27" x14ac:dyDescent="0.2">
      <c r="S3168" s="1"/>
      <c r="T3168" s="117"/>
      <c r="W3168" s="75" t="str">
        <f t="shared" si="60"/>
        <v>1w</v>
      </c>
      <c r="X3168" s="148">
        <f>_xll.qlCalendarAdvance(Calendar,X3167,W3168,"f",FALSE)</f>
        <v>61156</v>
      </c>
      <c r="Y3168" s="153">
        <f>_xll.qlCalendarAdvance(Calendar,X3168,NDays&amp;"D")</f>
        <v>61156</v>
      </c>
      <c r="Z3168" s="154">
        <v>2.8794716819569032E-2</v>
      </c>
      <c r="AA3168" s="156">
        <v>2.8672721290231573E-2</v>
      </c>
    </row>
    <row r="3169" spans="19:27" x14ac:dyDescent="0.2">
      <c r="S3169" s="1"/>
      <c r="T3169" s="117"/>
      <c r="W3169" s="75" t="str">
        <f t="shared" si="60"/>
        <v>1w</v>
      </c>
      <c r="X3169" s="148">
        <f>_xll.qlCalendarAdvance(Calendar,X3168,W3169,"f",FALSE)</f>
        <v>61163</v>
      </c>
      <c r="Y3169" s="153">
        <f>_xll.qlCalendarAdvance(Calendar,X3169,NDays&amp;"D")</f>
        <v>61163</v>
      </c>
      <c r="Z3169" s="154">
        <v>2.8797660657450187E-2</v>
      </c>
      <c r="AA3169" s="156">
        <v>2.8675694720639022E-2</v>
      </c>
    </row>
    <row r="3170" spans="19:27" x14ac:dyDescent="0.2">
      <c r="S3170" s="1"/>
      <c r="T3170" s="117"/>
      <c r="W3170" s="75" t="str">
        <f t="shared" si="60"/>
        <v>1w</v>
      </c>
      <c r="X3170" s="148">
        <f>_xll.qlCalendarAdvance(Calendar,X3169,W3170,"f",FALSE)</f>
        <v>61170</v>
      </c>
      <c r="Y3170" s="153">
        <f>_xll.qlCalendarAdvance(Calendar,X3170,NDays&amp;"D")</f>
        <v>61170</v>
      </c>
      <c r="Z3170" s="154">
        <v>2.8800596660693095E-2</v>
      </c>
      <c r="AA3170" s="156">
        <v>2.867866037027933E-2</v>
      </c>
    </row>
    <row r="3171" spans="19:27" x14ac:dyDescent="0.2">
      <c r="S3171" s="1"/>
      <c r="T3171" s="117"/>
      <c r="W3171" s="75" t="str">
        <f t="shared" si="60"/>
        <v>1w</v>
      </c>
      <c r="X3171" s="148">
        <f>_xll.qlCalendarAdvance(Calendar,X3170,W3171,"f",FALSE)</f>
        <v>61177</v>
      </c>
      <c r="Y3171" s="153">
        <f>_xll.qlCalendarAdvance(Calendar,X3171,NDays&amp;"D")</f>
        <v>61177</v>
      </c>
      <c r="Z3171" s="154">
        <v>2.8803524829277484E-2</v>
      </c>
      <c r="AA3171" s="156">
        <v>2.8681618239071449E-2</v>
      </c>
    </row>
    <row r="3172" spans="19:27" x14ac:dyDescent="0.2">
      <c r="S3172" s="1"/>
      <c r="T3172" s="117"/>
      <c r="W3172" s="75" t="str">
        <f t="shared" si="60"/>
        <v>1w</v>
      </c>
      <c r="X3172" s="148">
        <f>_xll.qlCalendarAdvance(Calendar,X3171,W3172,"f",FALSE)</f>
        <v>61184</v>
      </c>
      <c r="Y3172" s="153">
        <f>_xll.qlCalendarAdvance(Calendar,X3172,NDays&amp;"D")</f>
        <v>61184</v>
      </c>
      <c r="Z3172" s="154">
        <v>2.8806445163188386E-2</v>
      </c>
      <c r="AA3172" s="156">
        <v>2.8684568326934334E-2</v>
      </c>
    </row>
    <row r="3173" spans="19:27" x14ac:dyDescent="0.2">
      <c r="S3173" s="1"/>
      <c r="T3173" s="117"/>
      <c r="W3173" s="75" t="str">
        <f t="shared" si="60"/>
        <v>1w</v>
      </c>
      <c r="X3173" s="148">
        <f>_xll.qlCalendarAdvance(Calendar,X3172,W3173,"f",FALSE)</f>
        <v>61191</v>
      </c>
      <c r="Y3173" s="153">
        <f>_xll.qlCalendarAdvance(Calendar,X3173,NDays&amp;"D")</f>
        <v>61191</v>
      </c>
      <c r="Z3173" s="154">
        <v>2.8809357662408181E-2</v>
      </c>
      <c r="AA3173" s="156">
        <v>2.8687510633786939E-2</v>
      </c>
    </row>
    <row r="3174" spans="19:27" x14ac:dyDescent="0.2">
      <c r="S3174" s="1"/>
      <c r="T3174" s="117"/>
      <c r="W3174" s="75" t="str">
        <f t="shared" si="60"/>
        <v>1w</v>
      </c>
      <c r="X3174" s="148">
        <f>_xll.qlCalendarAdvance(Calendar,X3173,W3174,"f",FALSE)</f>
        <v>61198</v>
      </c>
      <c r="Y3174" s="153">
        <f>_xll.qlCalendarAdvance(Calendar,X3174,NDays&amp;"D")</f>
        <v>61198</v>
      </c>
      <c r="Z3174" s="154">
        <v>2.8812262326917484E-2</v>
      </c>
      <c r="AA3174" s="156">
        <v>2.8690445159629263E-2</v>
      </c>
    </row>
    <row r="3175" spans="19:27" x14ac:dyDescent="0.2">
      <c r="S3175" s="1"/>
      <c r="T3175" s="117"/>
      <c r="W3175" s="75" t="str">
        <f t="shared" si="60"/>
        <v>1w</v>
      </c>
      <c r="X3175" s="148">
        <f>_xll.qlCalendarAdvance(Calendar,X3174,W3175,"f",FALSE)</f>
        <v>61205</v>
      </c>
      <c r="Y3175" s="153">
        <f>_xll.qlCalendarAdvance(Calendar,X3175,NDays&amp;"D")</f>
        <v>61205</v>
      </c>
      <c r="Z3175" s="154">
        <v>2.8815159156702207E-2</v>
      </c>
      <c r="AA3175" s="156">
        <v>2.8693371904785492E-2</v>
      </c>
    </row>
    <row r="3176" spans="19:27" x14ac:dyDescent="0.2">
      <c r="S3176" s="1"/>
      <c r="T3176" s="117"/>
      <c r="W3176" s="75" t="str">
        <f t="shared" si="60"/>
        <v>1w</v>
      </c>
      <c r="X3176" s="148">
        <f>_xll.qlCalendarAdvance(Calendar,X3175,W3176,"f",FALSE)</f>
        <v>61212</v>
      </c>
      <c r="Y3176" s="153">
        <f>_xll.qlCalendarAdvance(Calendar,X3176,NDays&amp;"D")</f>
        <v>61212</v>
      </c>
      <c r="Z3176" s="154">
        <v>2.8818048151743842E-2</v>
      </c>
      <c r="AA3176" s="156">
        <v>2.869629086893144E-2</v>
      </c>
    </row>
    <row r="3177" spans="19:27" x14ac:dyDescent="0.2">
      <c r="S3177" s="1"/>
      <c r="T3177" s="117"/>
      <c r="W3177" s="75" t="str">
        <f t="shared" si="60"/>
        <v>1w</v>
      </c>
      <c r="X3177" s="148">
        <f>_xll.qlCalendarAdvance(Calendar,X3176,W3177,"f",FALSE)</f>
        <v>61219</v>
      </c>
      <c r="Y3177" s="153">
        <f>_xll.qlCalendarAdvance(Calendar,X3177,NDays&amp;"D")</f>
        <v>61219</v>
      </c>
      <c r="Z3177" s="154">
        <v>2.8820929312025657E-2</v>
      </c>
      <c r="AA3177" s="156">
        <v>2.8699202051986061E-2</v>
      </c>
    </row>
    <row r="3178" spans="19:27" x14ac:dyDescent="0.2">
      <c r="S3178" s="1"/>
      <c r="T3178" s="117"/>
      <c r="W3178" s="75" t="str">
        <f t="shared" si="60"/>
        <v>1w</v>
      </c>
      <c r="X3178" s="148">
        <f>_xll.qlCalendarAdvance(Calendar,X3177,W3178,"f",FALSE)</f>
        <v>61226</v>
      </c>
      <c r="Y3178" s="153">
        <f>_xll.qlCalendarAdvance(Calendar,X3178,NDays&amp;"D")</f>
        <v>61226</v>
      </c>
      <c r="Z3178" s="154">
        <v>2.8823802637530913E-2</v>
      </c>
      <c r="AA3178" s="156">
        <v>2.8702105454354587E-2</v>
      </c>
    </row>
    <row r="3179" spans="19:27" x14ac:dyDescent="0.2">
      <c r="S3179" s="1"/>
      <c r="T3179" s="117"/>
      <c r="W3179" s="75" t="str">
        <f t="shared" si="60"/>
        <v>1w</v>
      </c>
      <c r="X3179" s="148">
        <f>_xll.qlCalendarAdvance(Calendar,X3178,W3179,"f",FALSE)</f>
        <v>61233</v>
      </c>
      <c r="Y3179" s="153">
        <f>_xll.qlCalendarAdvance(Calendar,X3179,NDays&amp;"D")</f>
        <v>61233</v>
      </c>
      <c r="Z3179" s="154">
        <v>2.882666812824199E-2</v>
      </c>
      <c r="AA3179" s="156">
        <v>2.8705001075793879E-2</v>
      </c>
    </row>
    <row r="3180" spans="19:27" x14ac:dyDescent="0.2">
      <c r="S3180" s="1"/>
      <c r="T3180" s="117"/>
      <c r="W3180" s="75" t="str">
        <f t="shared" si="60"/>
        <v>1w</v>
      </c>
      <c r="X3180" s="148">
        <f>_xll.qlCalendarAdvance(Calendar,X3179,W3180,"f",FALSE)</f>
        <v>61240</v>
      </c>
      <c r="Y3180" s="153">
        <f>_xll.qlCalendarAdvance(Calendar,X3180,NDays&amp;"D")</f>
        <v>61240</v>
      </c>
      <c r="Z3180" s="154">
        <v>2.8828187388714691E-2</v>
      </c>
      <c r="AA3180" s="156">
        <v>2.8707888916303936E-2</v>
      </c>
    </row>
    <row r="3181" spans="19:27" x14ac:dyDescent="0.2">
      <c r="S3181" s="1"/>
      <c r="T3181" s="117"/>
      <c r="W3181" s="75" t="str">
        <f t="shared" si="60"/>
        <v>1w</v>
      </c>
      <c r="X3181" s="148">
        <f>_xll.qlCalendarAdvance(Calendar,X3180,W3181,"f",FALSE)</f>
        <v>61247</v>
      </c>
      <c r="Y3181" s="153">
        <f>_xll.qlCalendarAdvance(Calendar,X3181,NDays&amp;"D")</f>
        <v>61247</v>
      </c>
      <c r="Z3181" s="154">
        <v>2.8831037545094595E-2</v>
      </c>
      <c r="AA3181" s="156">
        <v>2.8710768975722667E-2</v>
      </c>
    </row>
    <row r="3182" spans="19:27" x14ac:dyDescent="0.2">
      <c r="S3182" s="1"/>
      <c r="T3182" s="117"/>
      <c r="W3182" s="75" t="str">
        <f t="shared" si="60"/>
        <v>1w</v>
      </c>
      <c r="X3182" s="148">
        <f>_xll.qlCalendarAdvance(Calendar,X3181,W3182,"f",FALSE)</f>
        <v>61254</v>
      </c>
      <c r="Y3182" s="153">
        <f>_xll.qlCalendarAdvance(Calendar,X3182,NDays&amp;"D")</f>
        <v>61254</v>
      </c>
      <c r="Z3182" s="154">
        <v>2.8833879867228393E-2</v>
      </c>
      <c r="AA3182" s="156">
        <v>2.8713641254455302E-2</v>
      </c>
    </row>
    <row r="3183" spans="19:27" x14ac:dyDescent="0.2">
      <c r="S3183" s="1"/>
      <c r="T3183" s="117"/>
      <c r="W3183" s="75" t="str">
        <f t="shared" si="60"/>
        <v>1w</v>
      </c>
      <c r="X3183" s="148">
        <f>_xll.qlCalendarAdvance(Calendar,X3182,W3183,"f",FALSE)</f>
        <v>61261</v>
      </c>
      <c r="Y3183" s="153">
        <f>_xll.qlCalendarAdvance(Calendar,X3183,NDays&amp;"D")</f>
        <v>61261</v>
      </c>
      <c r="Z3183" s="154">
        <v>2.883671435509827E-2</v>
      </c>
      <c r="AA3183" s="156">
        <v>2.8716505752177657E-2</v>
      </c>
    </row>
    <row r="3184" spans="19:27" x14ac:dyDescent="0.2">
      <c r="S3184" s="1"/>
      <c r="T3184" s="117"/>
      <c r="W3184" s="75" t="str">
        <f t="shared" si="60"/>
        <v>1w</v>
      </c>
      <c r="X3184" s="148">
        <f>_xll.qlCalendarAdvance(Calendar,X3183,W3184,"f",FALSE)</f>
        <v>61268</v>
      </c>
      <c r="Y3184" s="153">
        <f>_xll.qlCalendarAdvance(Calendar,X3184,NDays&amp;"D")</f>
        <v>61268</v>
      </c>
      <c r="Z3184" s="154">
        <v>2.8839541008684629E-2</v>
      </c>
      <c r="AA3184" s="156">
        <v>2.8719362468970777E-2</v>
      </c>
    </row>
    <row r="3185" spans="19:27" x14ac:dyDescent="0.2">
      <c r="S3185" s="1"/>
      <c r="T3185" s="117"/>
      <c r="W3185" s="75" t="str">
        <f t="shared" si="60"/>
        <v>1w</v>
      </c>
      <c r="X3185" s="148">
        <f>_xll.qlCalendarAdvance(Calendar,X3184,W3185,"f",FALSE)</f>
        <v>61275</v>
      </c>
      <c r="Y3185" s="153">
        <f>_xll.qlCalendarAdvance(Calendar,X3185,NDays&amp;"D")</f>
        <v>61275</v>
      </c>
      <c r="Z3185" s="154">
        <v>2.8843696540903966E-2</v>
      </c>
      <c r="AA3185" s="156">
        <v>2.8722211404834663E-2</v>
      </c>
    </row>
    <row r="3186" spans="19:27" x14ac:dyDescent="0.2">
      <c r="S3186" s="1"/>
      <c r="T3186" s="117"/>
      <c r="W3186" s="75" t="str">
        <f t="shared" si="60"/>
        <v>1w</v>
      </c>
      <c r="X3186" s="148">
        <f>_xll.qlCalendarAdvance(Calendar,X3185,W3186,"f",FALSE)</f>
        <v>61282</v>
      </c>
      <c r="Y3186" s="153">
        <f>_xll.qlCalendarAdvance(Calendar,X3186,NDays&amp;"D")</f>
        <v>61282</v>
      </c>
      <c r="Z3186" s="154">
        <v>2.88465071875889E-2</v>
      </c>
      <c r="AA3186" s="156">
        <v>2.8725052559769315E-2</v>
      </c>
    </row>
    <row r="3187" spans="19:27" x14ac:dyDescent="0.2">
      <c r="S3187" s="1"/>
      <c r="T3187" s="117"/>
      <c r="W3187" s="75" t="str">
        <f t="shared" si="60"/>
        <v>1w</v>
      </c>
      <c r="X3187" s="148">
        <f>_xll.qlCalendarAdvance(Calendar,X3186,W3187,"f",FALSE)</f>
        <v>61289</v>
      </c>
      <c r="Y3187" s="153">
        <f>_xll.qlCalendarAdvance(Calendar,X3187,NDays&amp;"D")</f>
        <v>61289</v>
      </c>
      <c r="Z3187" s="154">
        <v>2.8849309999349274E-2</v>
      </c>
      <c r="AA3187" s="156">
        <v>2.8727885933855779E-2</v>
      </c>
    </row>
    <row r="3188" spans="19:27" x14ac:dyDescent="0.2">
      <c r="S3188" s="1"/>
      <c r="T3188" s="117"/>
      <c r="W3188" s="75" t="str">
        <f t="shared" si="60"/>
        <v>1w</v>
      </c>
      <c r="X3188" s="148">
        <f>_xll.qlCalendarAdvance(Calendar,X3187,W3188,"f",FALSE)</f>
        <v>61296</v>
      </c>
      <c r="Y3188" s="153">
        <f>_xll.qlCalendarAdvance(Calendar,X3188,NDays&amp;"D")</f>
        <v>61296</v>
      </c>
      <c r="Z3188" s="154">
        <v>2.8852104976163952E-2</v>
      </c>
      <c r="AA3188" s="156">
        <v>2.8730711526850916E-2</v>
      </c>
    </row>
    <row r="3189" spans="19:27" x14ac:dyDescent="0.2">
      <c r="S3189" s="1"/>
      <c r="T3189" s="117"/>
      <c r="W3189" s="75" t="str">
        <f t="shared" si="60"/>
        <v>1w</v>
      </c>
      <c r="X3189" s="148">
        <f>_xll.qlCalendarAdvance(Calendar,X3188,W3189,"f",FALSE)</f>
        <v>61303</v>
      </c>
      <c r="Y3189" s="153">
        <f>_xll.qlCalendarAdvance(Calendar,X3189,NDays&amp;"D")</f>
        <v>61303</v>
      </c>
      <c r="Z3189" s="154">
        <v>2.8854892118018834E-2</v>
      </c>
      <c r="AA3189" s="156">
        <v>2.8733529339078911E-2</v>
      </c>
    </row>
    <row r="3190" spans="19:27" x14ac:dyDescent="0.2">
      <c r="S3190" s="1"/>
      <c r="T3190" s="117"/>
      <c r="W3190" s="75" t="str">
        <f t="shared" si="60"/>
        <v>1w</v>
      </c>
      <c r="X3190" s="148">
        <f>_xll.qlCalendarAdvance(Calendar,X3189,W3190,"f",FALSE)</f>
        <v>61310</v>
      </c>
      <c r="Y3190" s="153">
        <f>_xll.qlCalendarAdvance(Calendar,X3190,NDays&amp;"D")</f>
        <v>61310</v>
      </c>
      <c r="Z3190" s="154">
        <v>2.8857671424898063E-2</v>
      </c>
      <c r="AA3190" s="156">
        <v>2.8736339370377673E-2</v>
      </c>
    </row>
    <row r="3191" spans="19:27" x14ac:dyDescent="0.2">
      <c r="S3191" s="1"/>
      <c r="T3191" s="117"/>
      <c r="W3191" s="75" t="str">
        <f t="shared" si="60"/>
        <v>1w</v>
      </c>
      <c r="X3191" s="148">
        <f>_xll.qlCalendarAdvance(Calendar,X3190,W3191,"f",FALSE)</f>
        <v>61317</v>
      </c>
      <c r="Y3191" s="153">
        <f>_xll.qlCalendarAdvance(Calendar,X3191,NDays&amp;"D")</f>
        <v>61317</v>
      </c>
      <c r="Z3191" s="154">
        <v>2.8860442896784907E-2</v>
      </c>
      <c r="AA3191" s="156">
        <v>2.8739141620747199E-2</v>
      </c>
    </row>
    <row r="3192" spans="19:27" x14ac:dyDescent="0.2">
      <c r="S3192" s="1"/>
      <c r="T3192" s="117"/>
      <c r="W3192" s="75" t="str">
        <f t="shared" si="60"/>
        <v>1w</v>
      </c>
      <c r="X3192" s="148">
        <f>_xll.qlCalendarAdvance(Calendar,X3191,W3192,"f",FALSE)</f>
        <v>61324</v>
      </c>
      <c r="Y3192" s="153">
        <f>_xll.qlCalendarAdvance(Calendar,X3192,NDays&amp;"D")</f>
        <v>61324</v>
      </c>
      <c r="Z3192" s="154">
        <v>2.8863206533660857E-2</v>
      </c>
      <c r="AA3192" s="156">
        <v>2.8741936090106446E-2</v>
      </c>
    </row>
    <row r="3193" spans="19:27" x14ac:dyDescent="0.2">
      <c r="S3193" s="1"/>
      <c r="T3193" s="117"/>
      <c r="W3193" s="75" t="str">
        <f t="shared" si="60"/>
        <v>1w</v>
      </c>
      <c r="X3193" s="148">
        <f>_xll.qlCalendarAdvance(Calendar,X3192,W3193,"f",FALSE)</f>
        <v>61331</v>
      </c>
      <c r="Y3193" s="153">
        <f>_xll.qlCalendarAdvance(Calendar,X3193,NDays&amp;"D")</f>
        <v>61331</v>
      </c>
      <c r="Z3193" s="154">
        <v>2.8864628345609336E-2</v>
      </c>
      <c r="AA3193" s="156">
        <v>2.8744722778617504E-2</v>
      </c>
    </row>
    <row r="3194" spans="19:27" x14ac:dyDescent="0.2">
      <c r="S3194" s="1"/>
      <c r="T3194" s="117"/>
      <c r="W3194" s="75" t="str">
        <f t="shared" si="60"/>
        <v>1w</v>
      </c>
      <c r="X3194" s="148">
        <f>_xll.qlCalendarAdvance(Calendar,X3193,W3194,"f",FALSE)</f>
        <v>61338</v>
      </c>
      <c r="Y3194" s="153">
        <f>_xll.qlCalendarAdvance(Calendar,X3194,NDays&amp;"D")</f>
        <v>61338</v>
      </c>
      <c r="Z3194" s="154">
        <v>2.8867376655485961E-2</v>
      </c>
      <c r="AA3194" s="156">
        <v>2.8747501686199328E-2</v>
      </c>
    </row>
    <row r="3195" spans="19:27" x14ac:dyDescent="0.2">
      <c r="S3195" s="1"/>
      <c r="T3195" s="117"/>
      <c r="W3195" s="75" t="str">
        <f t="shared" si="60"/>
        <v>1w</v>
      </c>
      <c r="X3195" s="148">
        <f>_xll.qlCalendarAdvance(Calendar,X3194,W3195,"f",FALSE)</f>
        <v>61345</v>
      </c>
      <c r="Y3195" s="153">
        <f>_xll.qlCalendarAdvance(Calendar,X3195,NDays&amp;"D")</f>
        <v>61345</v>
      </c>
      <c r="Z3195" s="154">
        <v>2.8870117130903619E-2</v>
      </c>
      <c r="AA3195" s="156">
        <v>2.8750272812932964E-2</v>
      </c>
    </row>
    <row r="3196" spans="19:27" x14ac:dyDescent="0.2">
      <c r="S3196" s="1"/>
      <c r="T3196" s="117"/>
      <c r="W3196" s="75" t="str">
        <f t="shared" si="60"/>
        <v>1w</v>
      </c>
      <c r="X3196" s="148">
        <f>_xll.qlCalendarAdvance(Calendar,X3195,W3196,"f",FALSE)</f>
        <v>61352</v>
      </c>
      <c r="Y3196" s="153">
        <f>_xll.qlCalendarAdvance(Calendar,X3196,NDays&amp;"D")</f>
        <v>61352</v>
      </c>
      <c r="Z3196" s="154">
        <v>2.8872849771844497E-2</v>
      </c>
      <c r="AA3196" s="156">
        <v>2.875303615865632E-2</v>
      </c>
    </row>
    <row r="3197" spans="19:27" x14ac:dyDescent="0.2">
      <c r="S3197" s="1"/>
      <c r="T3197" s="117"/>
      <c r="W3197" s="75" t="str">
        <f t="shared" si="60"/>
        <v>1w</v>
      </c>
      <c r="X3197" s="148">
        <f>_xll.qlCalendarAdvance(Calendar,X3196,W3197,"f",FALSE)</f>
        <v>61359</v>
      </c>
      <c r="Y3197" s="153">
        <f>_xll.qlCalendarAdvance(Calendar,X3197,NDays&amp;"D")</f>
        <v>61359</v>
      </c>
      <c r="Z3197" s="154">
        <v>2.8875574578295236E-2</v>
      </c>
      <c r="AA3197" s="156">
        <v>2.8755791723531487E-2</v>
      </c>
    </row>
    <row r="3198" spans="19:27" x14ac:dyDescent="0.2">
      <c r="S3198" s="1"/>
      <c r="T3198" s="117"/>
      <c r="W3198" s="75" t="str">
        <f t="shared" si="60"/>
        <v>1w</v>
      </c>
      <c r="X3198" s="148">
        <f>_xll.qlCalendarAdvance(Calendar,X3197,W3198,"f",FALSE)</f>
        <v>61366</v>
      </c>
      <c r="Y3198" s="153">
        <f>_xll.qlCalendarAdvance(Calendar,X3198,NDays&amp;"D")</f>
        <v>61366</v>
      </c>
      <c r="Z3198" s="154">
        <v>2.8878291550236246E-2</v>
      </c>
      <c r="AA3198" s="156">
        <v>2.8758539507477421E-2</v>
      </c>
    </row>
    <row r="3199" spans="19:27" x14ac:dyDescent="0.2">
      <c r="S3199" s="1"/>
      <c r="T3199" s="117"/>
      <c r="W3199" s="75" t="str">
        <f t="shared" si="60"/>
        <v>1w</v>
      </c>
      <c r="X3199" s="148">
        <f>_xll.qlCalendarAdvance(Calendar,X3198,W3199,"f",FALSE)</f>
        <v>61373</v>
      </c>
      <c r="Y3199" s="153">
        <f>_xll.qlCalendarAdvance(Calendar,X3199,NDays&amp;"D")</f>
        <v>61373</v>
      </c>
      <c r="Z3199" s="154">
        <v>2.8881000687655051E-2</v>
      </c>
      <c r="AA3199" s="156">
        <v>2.8761279510413074E-2</v>
      </c>
    </row>
    <row r="3200" spans="19:27" x14ac:dyDescent="0.2">
      <c r="S3200" s="1"/>
      <c r="T3200" s="117"/>
      <c r="W3200" s="75" t="str">
        <f t="shared" si="60"/>
        <v>1w</v>
      </c>
      <c r="X3200" s="148">
        <f>_xll.qlCalendarAdvance(Calendar,X3199,W3200,"f",FALSE)</f>
        <v>61380</v>
      </c>
      <c r="Y3200" s="153">
        <f>_xll.qlCalendarAdvance(Calendar,X3200,NDays&amp;"D")</f>
        <v>61380</v>
      </c>
      <c r="Z3200" s="154">
        <v>2.8883701990534735E-2</v>
      </c>
      <c r="AA3200" s="156">
        <v>2.8764011732500538E-2</v>
      </c>
    </row>
    <row r="3201" spans="19:27" x14ac:dyDescent="0.2">
      <c r="S3201" s="1"/>
      <c r="T3201" s="117"/>
      <c r="W3201" s="75" t="str">
        <f t="shared" si="60"/>
        <v>1w</v>
      </c>
      <c r="X3201" s="148">
        <f>_xll.qlCalendarAdvance(Calendar,X3200,W3201,"f",FALSE)</f>
        <v>61387</v>
      </c>
      <c r="Y3201" s="153">
        <f>_xll.qlCalendarAdvance(Calendar,X3201,NDays&amp;"D")</f>
        <v>61387</v>
      </c>
      <c r="Z3201" s="154">
        <v>2.8886395458860157E-2</v>
      </c>
      <c r="AA3201" s="156">
        <v>2.8766736173658769E-2</v>
      </c>
    </row>
    <row r="3202" spans="19:27" x14ac:dyDescent="0.2">
      <c r="S3202" s="1"/>
      <c r="T3202" s="117"/>
      <c r="W3202" s="75" t="str">
        <f t="shared" si="60"/>
        <v>1w</v>
      </c>
      <c r="X3202" s="148">
        <f>_xll.qlCalendarAdvance(Calendar,X3201,W3202,"f",FALSE)</f>
        <v>61394</v>
      </c>
      <c r="Y3202" s="153">
        <f>_xll.qlCalendarAdvance(Calendar,X3202,NDays&amp;"D")</f>
        <v>61394</v>
      </c>
      <c r="Z3202" s="154">
        <v>2.8887750248583505E-2</v>
      </c>
      <c r="AA3202" s="156">
        <v>2.8769452833887765E-2</v>
      </c>
    </row>
    <row r="3203" spans="19:27" x14ac:dyDescent="0.2">
      <c r="S3203" s="1"/>
      <c r="T3203" s="117"/>
      <c r="W3203" s="75" t="str">
        <f t="shared" si="60"/>
        <v>1w</v>
      </c>
      <c r="X3203" s="148">
        <f>_xll.qlCalendarAdvance(Calendar,X3202,W3203,"f",FALSE)</f>
        <v>61401</v>
      </c>
      <c r="Y3203" s="153">
        <f>_xll.qlCalendarAdvance(Calendar,X3203,NDays&amp;"D")</f>
        <v>61401</v>
      </c>
      <c r="Z3203" s="154">
        <v>2.8890428396141261E-2</v>
      </c>
      <c r="AA3203" s="156">
        <v>2.8772161713187527E-2</v>
      </c>
    </row>
    <row r="3204" spans="19:27" x14ac:dyDescent="0.2">
      <c r="S3204" s="1"/>
      <c r="T3204" s="117"/>
      <c r="W3204" s="75" t="str">
        <f t="shared" si="60"/>
        <v>1w</v>
      </c>
      <c r="X3204" s="148">
        <f>_xll.qlCalendarAdvance(Calendar,X3203,W3204,"f",FALSE)</f>
        <v>61408</v>
      </c>
      <c r="Y3204" s="153">
        <f>_xll.qlCalendarAdvance(Calendar,X3204,NDays&amp;"D")</f>
        <v>61408</v>
      </c>
      <c r="Z3204" s="154">
        <v>2.8893098709693477E-2</v>
      </c>
      <c r="AA3204" s="156">
        <v>2.8774862811639101E-2</v>
      </c>
    </row>
    <row r="3205" spans="19:27" x14ac:dyDescent="0.2">
      <c r="S3205" s="1"/>
      <c r="T3205" s="117"/>
      <c r="W3205" s="75" t="str">
        <f t="shared" si="60"/>
        <v>1w</v>
      </c>
      <c r="X3205" s="148">
        <f>_xll.qlCalendarAdvance(Calendar,X3204,W3205,"f",FALSE)</f>
        <v>61415</v>
      </c>
      <c r="Y3205" s="153">
        <f>_xll.qlCalendarAdvance(Calendar,X3205,NDays&amp;"D")</f>
        <v>61415</v>
      </c>
      <c r="Z3205" s="154">
        <v>2.8895761189231147E-2</v>
      </c>
      <c r="AA3205" s="156">
        <v>2.8777556129161441E-2</v>
      </c>
    </row>
    <row r="3206" spans="19:27" x14ac:dyDescent="0.2">
      <c r="S3206" s="1"/>
      <c r="T3206" s="117"/>
      <c r="W3206" s="75" t="str">
        <f t="shared" si="60"/>
        <v>1w</v>
      </c>
      <c r="X3206" s="148">
        <f>_xll.qlCalendarAdvance(Calendar,X3205,W3206,"f",FALSE)</f>
        <v>61422</v>
      </c>
      <c r="Y3206" s="153">
        <f>_xll.qlCalendarAdvance(Calendar,X3206,NDays&amp;"D")</f>
        <v>61422</v>
      </c>
      <c r="Z3206" s="154">
        <v>2.890107476494682E-2</v>
      </c>
      <c r="AA3206" s="156">
        <v>2.8780241665592454E-2</v>
      </c>
    </row>
    <row r="3207" spans="19:27" x14ac:dyDescent="0.2">
      <c r="S3207" s="1"/>
      <c r="T3207" s="117"/>
      <c r="W3207" s="75" t="str">
        <f t="shared" si="60"/>
        <v>1w</v>
      </c>
      <c r="X3207" s="148">
        <f>_xll.qlCalendarAdvance(Calendar,X3206,W3207,"f",FALSE)</f>
        <v>61429</v>
      </c>
      <c r="Y3207" s="153">
        <f>_xll.qlCalendarAdvance(Calendar,X3207,NDays&amp;"D")</f>
        <v>61429</v>
      </c>
      <c r="Z3207" s="154">
        <v>2.890372087476014E-2</v>
      </c>
      <c r="AA3207" s="156">
        <v>2.8782919421256326E-2</v>
      </c>
    </row>
    <row r="3208" spans="19:27" x14ac:dyDescent="0.2">
      <c r="S3208" s="1"/>
      <c r="T3208" s="117"/>
      <c r="W3208" s="75" t="str">
        <f t="shared" si="60"/>
        <v>1w</v>
      </c>
      <c r="X3208" s="148">
        <f>_xll.qlCalendarAdvance(Calendar,X3207,W3208,"f",FALSE)</f>
        <v>61436</v>
      </c>
      <c r="Y3208" s="153">
        <f>_xll.qlCalendarAdvance(Calendar,X3208,NDays&amp;"D")</f>
        <v>61436</v>
      </c>
      <c r="Z3208" s="154">
        <v>2.8906359149309738E-2</v>
      </c>
      <c r="AA3208" s="156">
        <v>2.8785589395909916E-2</v>
      </c>
    </row>
    <row r="3209" spans="19:27" x14ac:dyDescent="0.2">
      <c r="S3209" s="1"/>
      <c r="T3209" s="117"/>
      <c r="W3209" s="75" t="str">
        <f t="shared" si="60"/>
        <v>1w</v>
      </c>
      <c r="X3209" s="148">
        <f>_xll.qlCalendarAdvance(Calendar,X3208,W3209,"f",FALSE)</f>
        <v>61443</v>
      </c>
      <c r="Y3209" s="153">
        <f>_xll.qlCalendarAdvance(Calendar,X3209,NDays&amp;"D")</f>
        <v>61443</v>
      </c>
      <c r="Z3209" s="154">
        <v>2.8908989588580646E-2</v>
      </c>
      <c r="AA3209" s="156">
        <v>2.8788251589715319E-2</v>
      </c>
    </row>
    <row r="3210" spans="19:27" x14ac:dyDescent="0.2">
      <c r="S3210" s="1"/>
      <c r="T3210" s="117"/>
      <c r="W3210" s="75" t="str">
        <f t="shared" si="60"/>
        <v>1w</v>
      </c>
      <c r="X3210" s="148">
        <f>_xll.qlCalendarAdvance(Calendar,X3209,W3210,"f",FALSE)</f>
        <v>61450</v>
      </c>
      <c r="Y3210" s="153">
        <f>_xll.qlCalendarAdvance(Calendar,X3210,NDays&amp;"D")</f>
        <v>61450</v>
      </c>
      <c r="Z3210" s="154">
        <v>2.8911612192555239E-2</v>
      </c>
      <c r="AA3210" s="156">
        <v>2.8790906002510441E-2</v>
      </c>
    </row>
    <row r="3211" spans="19:27" x14ac:dyDescent="0.2">
      <c r="S3211" s="1"/>
      <c r="T3211" s="117"/>
      <c r="W3211" s="75" t="str">
        <f t="shared" si="60"/>
        <v>1w</v>
      </c>
      <c r="X3211" s="148">
        <f>_xll.qlCalendarAdvance(Calendar,X3210,W3211,"f",FALSE)</f>
        <v>61457</v>
      </c>
      <c r="Y3211" s="153">
        <f>_xll.qlCalendarAdvance(Calendar,X3211,NDays&amp;"D")</f>
        <v>61457</v>
      </c>
      <c r="Z3211" s="154">
        <v>2.8912899238174312E-2</v>
      </c>
      <c r="AA3211" s="156">
        <v>2.8793552634538422E-2</v>
      </c>
    </row>
    <row r="3212" spans="19:27" x14ac:dyDescent="0.2">
      <c r="S3212" s="1"/>
      <c r="T3212" s="117"/>
      <c r="W3212" s="75" t="str">
        <f t="shared" si="60"/>
        <v>1w</v>
      </c>
      <c r="X3212" s="148">
        <f>_xll.qlCalendarAdvance(Calendar,X3211,W3212,"f",FALSE)</f>
        <v>61464</v>
      </c>
      <c r="Y3212" s="153">
        <f>_xll.qlCalendarAdvance(Calendar,X3212,NDays&amp;"D")</f>
        <v>61464</v>
      </c>
      <c r="Z3212" s="154">
        <v>2.8915506525373284E-2</v>
      </c>
      <c r="AA3212" s="156">
        <v>2.8796191485475076E-2</v>
      </c>
    </row>
    <row r="3213" spans="19:27" x14ac:dyDescent="0.2">
      <c r="S3213" s="1"/>
      <c r="T3213" s="117"/>
      <c r="W3213" s="75" t="str">
        <f t="shared" si="60"/>
        <v>1w</v>
      </c>
      <c r="X3213" s="148">
        <f>_xll.qlCalendarAdvance(Calendar,X3212,W3213,"f",FALSE)</f>
        <v>61471</v>
      </c>
      <c r="Y3213" s="153">
        <f>_xll.qlCalendarAdvance(Calendar,X3213,NDays&amp;"D")</f>
        <v>61471</v>
      </c>
      <c r="Z3213" s="154">
        <v>2.8918105977831857E-2</v>
      </c>
      <c r="AA3213" s="156">
        <v>2.8798822555563541E-2</v>
      </c>
    </row>
    <row r="3214" spans="19:27" x14ac:dyDescent="0.2">
      <c r="S3214" s="1"/>
      <c r="T3214" s="117"/>
      <c r="W3214" s="75" t="str">
        <f t="shared" si="60"/>
        <v>1w</v>
      </c>
      <c r="X3214" s="148">
        <f>_xll.qlCalendarAdvance(Calendar,X3213,W3214,"f",FALSE)</f>
        <v>61478</v>
      </c>
      <c r="Y3214" s="153">
        <f>_xll.qlCalendarAdvance(Calendar,X3214,NDays&amp;"D")</f>
        <v>61478</v>
      </c>
      <c r="Z3214" s="154">
        <v>2.8920697595534887E-2</v>
      </c>
      <c r="AA3214" s="156">
        <v>2.8801445844722773E-2</v>
      </c>
    </row>
    <row r="3215" spans="19:27" x14ac:dyDescent="0.2">
      <c r="S3215" s="1"/>
      <c r="T3215" s="117"/>
      <c r="W3215" s="75" t="str">
        <f t="shared" si="60"/>
        <v>1w</v>
      </c>
      <c r="X3215" s="148">
        <f>_xll.qlCalendarAdvance(Calendar,X3214,W3215,"f",FALSE)</f>
        <v>61485</v>
      </c>
      <c r="Y3215" s="153">
        <f>_xll.qlCalendarAdvance(Calendar,X3215,NDays&amp;"D")</f>
        <v>61485</v>
      </c>
      <c r="Z3215" s="154">
        <v>2.8924607682473447E-2</v>
      </c>
      <c r="AA3215" s="156">
        <v>2.8804061353033816E-2</v>
      </c>
    </row>
    <row r="3216" spans="19:27" x14ac:dyDescent="0.2">
      <c r="S3216" s="1"/>
      <c r="T3216" s="117"/>
      <c r="W3216" s="75" t="str">
        <f t="shared" si="60"/>
        <v>1w</v>
      </c>
      <c r="X3216" s="148">
        <f>_xll.qlCalendarAdvance(Calendar,X3215,W3216,"f",FALSE)</f>
        <v>61492</v>
      </c>
      <c r="Y3216" s="153">
        <f>_xll.qlCalendarAdvance(Calendar,X3216,NDays&amp;"D")</f>
        <v>61492</v>
      </c>
      <c r="Z3216" s="154">
        <v>2.8927183274359194E-2</v>
      </c>
      <c r="AA3216" s="156">
        <v>2.8806669080334579E-2</v>
      </c>
    </row>
    <row r="3217" spans="19:27" x14ac:dyDescent="0.2">
      <c r="S3217" s="1"/>
      <c r="T3217" s="117"/>
      <c r="W3217" s="75" t="str">
        <f t="shared" si="60"/>
        <v>1w</v>
      </c>
      <c r="X3217" s="148">
        <f>_xll.qlCalendarAdvance(Calendar,X3216,W3217,"f",FALSE)</f>
        <v>61499</v>
      </c>
      <c r="Y3217" s="153">
        <f>_xll.qlCalendarAdvance(Calendar,X3217,NDays&amp;"D")</f>
        <v>61499</v>
      </c>
      <c r="Z3217" s="154">
        <v>2.8929751030841153E-2</v>
      </c>
      <c r="AA3217" s="156">
        <v>2.8809269026706108E-2</v>
      </c>
    </row>
    <row r="3218" spans="19:27" x14ac:dyDescent="0.2">
      <c r="S3218" s="1"/>
      <c r="T3218" s="117"/>
      <c r="W3218" s="75" t="str">
        <f t="shared" si="60"/>
        <v>1w</v>
      </c>
      <c r="X3218" s="148">
        <f>_xll.qlCalendarAdvance(Calendar,X3217,W3218,"f",FALSE)</f>
        <v>61506</v>
      </c>
      <c r="Y3218" s="153">
        <f>_xll.qlCalendarAdvance(Calendar,X3218,NDays&amp;"D")</f>
        <v>61506</v>
      </c>
      <c r="Z3218" s="154">
        <v>2.8932310951906109E-2</v>
      </c>
      <c r="AA3218" s="156">
        <v>2.8811861192067356E-2</v>
      </c>
    </row>
    <row r="3219" spans="19:27" x14ac:dyDescent="0.2">
      <c r="S3219" s="1"/>
      <c r="T3219" s="117"/>
      <c r="W3219" s="75" t="str">
        <f t="shared" si="60"/>
        <v>1w</v>
      </c>
      <c r="X3219" s="148">
        <f>_xll.qlCalendarAdvance(Calendar,X3218,W3219,"f",FALSE)</f>
        <v>61513</v>
      </c>
      <c r="Y3219" s="153">
        <f>_xll.qlCalendarAdvance(Calendar,X3219,NDays&amp;"D")</f>
        <v>61513</v>
      </c>
      <c r="Z3219" s="154">
        <v>2.8934863037539969E-2</v>
      </c>
      <c r="AA3219" s="156">
        <v>2.8814445576661463E-2</v>
      </c>
    </row>
    <row r="3220" spans="19:27" x14ac:dyDescent="0.2">
      <c r="S3220" s="1"/>
      <c r="T3220" s="117"/>
      <c r="W3220" s="75" t="str">
        <f t="shared" si="60"/>
        <v>1w</v>
      </c>
      <c r="X3220" s="148">
        <f>_xll.qlCalendarAdvance(Calendar,X3219,W3220,"f",FALSE)</f>
        <v>61520</v>
      </c>
      <c r="Y3220" s="153">
        <f>_xll.qlCalendarAdvance(Calendar,X3220,NDays&amp;"D")</f>
        <v>61520</v>
      </c>
      <c r="Z3220" s="154">
        <v>2.893740728772776E-2</v>
      </c>
      <c r="AA3220" s="156">
        <v>2.8817022180245289E-2</v>
      </c>
    </row>
    <row r="3221" spans="19:27" x14ac:dyDescent="0.2">
      <c r="S3221" s="1"/>
      <c r="T3221" s="117"/>
      <c r="W3221" s="75" t="str">
        <f t="shared" ref="W3221:W3284" si="61">W3220</f>
        <v>1w</v>
      </c>
      <c r="X3221" s="148">
        <f>_xll.qlCalendarAdvance(Calendar,X3220,W3221,"f",FALSE)</f>
        <v>61527</v>
      </c>
      <c r="Y3221" s="153">
        <f>_xll.qlCalendarAdvance(Calendar,X3221,NDays&amp;"D")</f>
        <v>61527</v>
      </c>
      <c r="Z3221" s="154">
        <v>2.8939943702450975E-2</v>
      </c>
      <c r="AA3221" s="156">
        <v>2.881959100289988E-2</v>
      </c>
    </row>
    <row r="3222" spans="19:27" x14ac:dyDescent="0.2">
      <c r="S3222" s="1"/>
      <c r="T3222" s="117"/>
      <c r="W3222" s="75" t="str">
        <f t="shared" si="61"/>
        <v>1w</v>
      </c>
      <c r="X3222" s="148">
        <f>_xll.qlCalendarAdvance(Calendar,X3221,W3222,"f",FALSE)</f>
        <v>61534</v>
      </c>
      <c r="Y3222" s="153">
        <f>_xll.qlCalendarAdvance(Calendar,X3222,NDays&amp;"D")</f>
        <v>61534</v>
      </c>
      <c r="Z3222" s="154">
        <v>2.894247228169905E-2</v>
      </c>
      <c r="AA3222" s="156">
        <v>2.8822152044868377E-2</v>
      </c>
    </row>
    <row r="3223" spans="19:27" x14ac:dyDescent="0.2">
      <c r="S3223" s="1"/>
      <c r="T3223" s="117"/>
      <c r="W3223" s="75" t="str">
        <f t="shared" si="61"/>
        <v>1w</v>
      </c>
      <c r="X3223" s="148">
        <f>_xll.qlCalendarAdvance(Calendar,X3222,W3223,"f",FALSE)</f>
        <v>61541</v>
      </c>
      <c r="Y3223" s="153">
        <f>_xll.qlCalendarAdvance(Calendar,X3223,NDays&amp;"D")</f>
        <v>61541</v>
      </c>
      <c r="Z3223" s="154">
        <v>2.8944993025455244E-2</v>
      </c>
      <c r="AA3223" s="156">
        <v>2.8824705305583453E-2</v>
      </c>
    </row>
    <row r="3224" spans="19:27" x14ac:dyDescent="0.2">
      <c r="S3224" s="1"/>
      <c r="T3224" s="117"/>
      <c r="W3224" s="75" t="str">
        <f t="shared" si="61"/>
        <v>1w</v>
      </c>
      <c r="X3224" s="148">
        <f>_xll.qlCalendarAdvance(Calendar,X3223,W3224,"f",FALSE)</f>
        <v>61548</v>
      </c>
      <c r="Y3224" s="153">
        <f>_xll.qlCalendarAdvance(Calendar,X3224,NDays&amp;"D")</f>
        <v>61548</v>
      </c>
      <c r="Z3224" s="154">
        <v>2.8947505933704577E-2</v>
      </c>
      <c r="AA3224" s="156">
        <v>2.8827250785531389E-2</v>
      </c>
    </row>
    <row r="3225" spans="19:27" x14ac:dyDescent="0.2">
      <c r="S3225" s="1"/>
      <c r="T3225" s="117"/>
      <c r="W3225" s="75" t="str">
        <f t="shared" si="61"/>
        <v>1w</v>
      </c>
      <c r="X3225" s="148">
        <f>_xll.qlCalendarAdvance(Calendar,X3224,W3225,"f",FALSE)</f>
        <v>61555</v>
      </c>
      <c r="Y3225" s="153">
        <f>_xll.qlCalendarAdvance(Calendar,X3225,NDays&amp;"D")</f>
        <v>61555</v>
      </c>
      <c r="Z3225" s="154">
        <v>2.8950011006432082E-2</v>
      </c>
      <c r="AA3225" s="156">
        <v>2.8829788484387997E-2</v>
      </c>
    </row>
    <row r="3226" spans="19:27" x14ac:dyDescent="0.2">
      <c r="S3226" s="1"/>
      <c r="T3226" s="117"/>
      <c r="W3226" s="75" t="str">
        <f t="shared" si="61"/>
        <v>1w</v>
      </c>
      <c r="X3226" s="148">
        <f>_xll.qlCalendarAdvance(Calendar,X3225,W3226,"f",FALSE)</f>
        <v>61562</v>
      </c>
      <c r="Y3226" s="153">
        <f>_xll.qlCalendarAdvance(Calendar,X3226,NDays&amp;"D")</f>
        <v>61562</v>
      </c>
      <c r="Z3226" s="154">
        <v>2.8952508243624539E-2</v>
      </c>
      <c r="AA3226" s="156">
        <v>2.8832318402639556E-2</v>
      </c>
    </row>
    <row r="3227" spans="19:27" x14ac:dyDescent="0.2">
      <c r="S3227" s="1"/>
      <c r="T3227" s="117"/>
      <c r="W3227" s="75" t="str">
        <f t="shared" si="61"/>
        <v>1w</v>
      </c>
      <c r="X3227" s="148">
        <f>_xll.qlCalendarAdvance(Calendar,X3226,W3227,"f",FALSE)</f>
        <v>61569</v>
      </c>
      <c r="Y3227" s="153">
        <f>_xll.qlCalendarAdvance(Calendar,X3227,NDays&amp;"D")</f>
        <v>61569</v>
      </c>
      <c r="Z3227" s="154">
        <v>2.895499764526609E-2</v>
      </c>
      <c r="AA3227" s="156">
        <v>2.8834840539718742E-2</v>
      </c>
    </row>
    <row r="3228" spans="19:27" x14ac:dyDescent="0.2">
      <c r="S3228" s="1"/>
      <c r="T3228" s="117"/>
      <c r="W3228" s="75" t="str">
        <f t="shared" si="61"/>
        <v>1w</v>
      </c>
      <c r="X3228" s="148">
        <f>_xll.qlCalendarAdvance(Calendar,X3227,W3228,"f",FALSE)</f>
        <v>61576</v>
      </c>
      <c r="Y3228" s="153">
        <f>_xll.qlCalendarAdvance(Calendar,X3228,NDays&amp;"D")</f>
        <v>61576</v>
      </c>
      <c r="Z3228" s="154">
        <v>2.8957479211341765E-2</v>
      </c>
      <c r="AA3228" s="156">
        <v>2.8837354895868694E-2</v>
      </c>
    </row>
    <row r="3229" spans="19:27" x14ac:dyDescent="0.2">
      <c r="S3229" s="1"/>
      <c r="T3229" s="117"/>
      <c r="W3229" s="75" t="str">
        <f t="shared" si="61"/>
        <v>1w</v>
      </c>
      <c r="X3229" s="148">
        <f>_xll.qlCalendarAdvance(Calendar,X3228,W3229,"f",FALSE)</f>
        <v>61583</v>
      </c>
      <c r="Y3229" s="153">
        <f>_xll.qlCalendarAdvance(Calendar,X3229,NDays&amp;"D")</f>
        <v>61583</v>
      </c>
      <c r="Z3229" s="154">
        <v>2.8959952941836582E-2</v>
      </c>
      <c r="AA3229" s="156">
        <v>2.8839861471251504E-2</v>
      </c>
    </row>
    <row r="3230" spans="19:27" x14ac:dyDescent="0.2">
      <c r="S3230" s="1"/>
      <c r="T3230" s="117"/>
      <c r="W3230" s="75" t="str">
        <f t="shared" si="61"/>
        <v>1w</v>
      </c>
      <c r="X3230" s="148">
        <f>_xll.qlCalendarAdvance(Calendar,X3229,W3230,"f",FALSE)</f>
        <v>61590</v>
      </c>
      <c r="Y3230" s="153">
        <f>_xll.qlCalendarAdvance(Calendar,X3230,NDays&amp;"D")</f>
        <v>61590</v>
      </c>
      <c r="Z3230" s="154">
        <v>2.8962418836737329E-2</v>
      </c>
      <c r="AA3230" s="156">
        <v>2.8842360265624034E-2</v>
      </c>
    </row>
    <row r="3231" spans="19:27" x14ac:dyDescent="0.2">
      <c r="S3231" s="1"/>
      <c r="T3231" s="117"/>
      <c r="W3231" s="75" t="str">
        <f t="shared" si="61"/>
        <v>1w</v>
      </c>
      <c r="X3231" s="148">
        <f>_xll.qlCalendarAdvance(Calendar,X3230,W3231,"f",FALSE)</f>
        <v>61597</v>
      </c>
      <c r="Y3231" s="153">
        <f>_xll.qlCalendarAdvance(Calendar,X3231,NDays&amp;"D")</f>
        <v>61597</v>
      </c>
      <c r="Z3231" s="154">
        <v>2.8964876896031673E-2</v>
      </c>
      <c r="AA3231" s="156">
        <v>2.8844851279067329E-2</v>
      </c>
    </row>
    <row r="3232" spans="19:27" x14ac:dyDescent="0.2">
      <c r="S3232" s="1"/>
      <c r="T3232" s="117"/>
      <c r="W3232" s="75" t="str">
        <f t="shared" si="61"/>
        <v>1w</v>
      </c>
      <c r="X3232" s="148">
        <f>_xll.qlCalendarAdvance(Calendar,X3231,W3232,"f",FALSE)</f>
        <v>61604</v>
      </c>
      <c r="Y3232" s="153">
        <f>_xll.qlCalendarAdvance(Calendar,X3232,NDays&amp;"D")</f>
        <v>61604</v>
      </c>
      <c r="Z3232" s="154">
        <v>2.8967327119699352E-2</v>
      </c>
      <c r="AA3232" s="156">
        <v>2.8847334511500344E-2</v>
      </c>
    </row>
    <row r="3233" spans="19:27" x14ac:dyDescent="0.2">
      <c r="S3233" s="1"/>
      <c r="T3233" s="117"/>
      <c r="W3233" s="75" t="str">
        <f t="shared" si="61"/>
        <v>1w</v>
      </c>
      <c r="X3233" s="148">
        <f>_xll.qlCalendarAdvance(Calendar,X3232,W3233,"f",FALSE)</f>
        <v>61611</v>
      </c>
      <c r="Y3233" s="153">
        <f>_xll.qlCalendarAdvance(Calendar,X3233,NDays&amp;"D")</f>
        <v>61611</v>
      </c>
      <c r="Z3233" s="154">
        <v>2.8968449708683366E-2</v>
      </c>
      <c r="AA3233" s="156">
        <v>2.8849809963166217E-2</v>
      </c>
    </row>
    <row r="3234" spans="19:27" x14ac:dyDescent="0.2">
      <c r="S3234" s="1"/>
      <c r="T3234" s="117"/>
      <c r="W3234" s="75" t="str">
        <f t="shared" si="61"/>
        <v>1w</v>
      </c>
      <c r="X3234" s="148">
        <f>_xll.qlCalendarAdvance(Calendar,X3233,W3234,"f",FALSE)</f>
        <v>61618</v>
      </c>
      <c r="Y3234" s="153">
        <f>_xll.qlCalendarAdvance(Calendar,X3234,NDays&amp;"D")</f>
        <v>61618</v>
      </c>
      <c r="Z3234" s="154">
        <v>2.8970884628182422E-2</v>
      </c>
      <c r="AA3234" s="156">
        <v>2.885227763382181E-2</v>
      </c>
    </row>
    <row r="3235" spans="19:27" x14ac:dyDescent="0.2">
      <c r="S3235" s="1"/>
      <c r="T3235" s="117"/>
      <c r="W3235" s="75" t="str">
        <f t="shared" si="61"/>
        <v>1w</v>
      </c>
      <c r="X3235" s="148">
        <f>_xll.qlCalendarAdvance(Calendar,X3234,W3235,"f",FALSE)</f>
        <v>61625</v>
      </c>
      <c r="Y3235" s="153">
        <f>_xll.qlCalendarAdvance(Calendar,X3235,NDays&amp;"D")</f>
        <v>61625</v>
      </c>
      <c r="Z3235" s="154">
        <v>2.8973311712616891E-2</v>
      </c>
      <c r="AA3235" s="156">
        <v>2.885473752330503E-2</v>
      </c>
    </row>
    <row r="3236" spans="19:27" x14ac:dyDescent="0.2">
      <c r="S3236" s="1"/>
      <c r="T3236" s="117"/>
      <c r="W3236" s="75" t="str">
        <f t="shared" si="61"/>
        <v>1w</v>
      </c>
      <c r="X3236" s="148">
        <f>_xll.qlCalendarAdvance(Calendar,X3235,W3236,"f",FALSE)</f>
        <v>61632</v>
      </c>
      <c r="Y3236" s="153">
        <f>_xll.qlCalendarAdvance(Calendar,X3236,NDays&amp;"D")</f>
        <v>61632</v>
      </c>
      <c r="Z3236" s="154">
        <v>2.8977049657847958E-2</v>
      </c>
      <c r="AA3236" s="156">
        <v>2.88571896321832E-2</v>
      </c>
    </row>
    <row r="3237" spans="19:27" x14ac:dyDescent="0.2">
      <c r="S3237" s="1"/>
      <c r="T3237" s="117"/>
      <c r="W3237" s="75" t="str">
        <f t="shared" si="61"/>
        <v>1w</v>
      </c>
      <c r="X3237" s="148">
        <f>_xll.qlCalendarAdvance(Calendar,X3236,W3237,"f",FALSE)</f>
        <v>61639</v>
      </c>
      <c r="Y3237" s="153">
        <f>_xll.qlCalendarAdvance(Calendar,X3237,NDays&amp;"D")</f>
        <v>61639</v>
      </c>
      <c r="Z3237" s="154">
        <v>2.8979460703184107E-2</v>
      </c>
      <c r="AA3237" s="156">
        <v>2.8859633960213182E-2</v>
      </c>
    </row>
    <row r="3238" spans="19:27" x14ac:dyDescent="0.2">
      <c r="S3238" s="1"/>
      <c r="T3238" s="117"/>
      <c r="W3238" s="75" t="str">
        <f t="shared" si="61"/>
        <v>1w</v>
      </c>
      <c r="X3238" s="148">
        <f>_xll.qlCalendarAdvance(Calendar,X3237,W3238,"f",FALSE)</f>
        <v>61646</v>
      </c>
      <c r="Y3238" s="153">
        <f>_xll.qlCalendarAdvance(Calendar,X3238,NDays&amp;"D")</f>
        <v>61646</v>
      </c>
      <c r="Z3238" s="154">
        <v>2.8981863912809901E-2</v>
      </c>
      <c r="AA3238" s="156">
        <v>2.8862070507151838E-2</v>
      </c>
    </row>
    <row r="3239" spans="19:27" x14ac:dyDescent="0.2">
      <c r="S3239" s="1"/>
      <c r="T3239" s="117"/>
      <c r="W3239" s="75" t="str">
        <f t="shared" si="61"/>
        <v>1w</v>
      </c>
      <c r="X3239" s="148">
        <f>_xll.qlCalendarAdvance(Calendar,X3238,W3239,"f",FALSE)</f>
        <v>61653</v>
      </c>
      <c r="Y3239" s="153">
        <f>_xll.qlCalendarAdvance(Calendar,X3239,NDays&amp;"D")</f>
        <v>61653</v>
      </c>
      <c r="Z3239" s="154">
        <v>2.8984259286712125E-2</v>
      </c>
      <c r="AA3239" s="156">
        <v>2.8864499273080213E-2</v>
      </c>
    </row>
    <row r="3240" spans="19:27" x14ac:dyDescent="0.2">
      <c r="S3240" s="1"/>
      <c r="T3240" s="117"/>
      <c r="W3240" s="75" t="str">
        <f t="shared" si="61"/>
        <v>1w</v>
      </c>
      <c r="X3240" s="148">
        <f>_xll.qlCalendarAdvance(Calendar,X3239,W3240,"f",FALSE)</f>
        <v>61660</v>
      </c>
      <c r="Y3240" s="153">
        <f>_xll.qlCalendarAdvance(Calendar,X3240,NDays&amp;"D")</f>
        <v>61660</v>
      </c>
      <c r="Z3240" s="154">
        <v>2.8986646824876689E-2</v>
      </c>
      <c r="AA3240" s="156">
        <v>2.8866920258241446E-2</v>
      </c>
    </row>
    <row r="3241" spans="19:27" x14ac:dyDescent="0.2">
      <c r="S3241" s="1"/>
      <c r="T3241" s="117"/>
      <c r="W3241" s="75" t="str">
        <f t="shared" si="61"/>
        <v>1w</v>
      </c>
      <c r="X3241" s="148">
        <f>_xll.qlCalendarAdvance(Calendar,X3240,W3241,"f",FALSE)</f>
        <v>61667</v>
      </c>
      <c r="Y3241" s="153">
        <f>_xll.qlCalendarAdvance(Calendar,X3241,NDays&amp;"D")</f>
        <v>61667</v>
      </c>
      <c r="Z3241" s="154">
        <v>2.8989026527290376E-2</v>
      </c>
      <c r="AA3241" s="156">
        <v>2.8869333462392399E-2</v>
      </c>
    </row>
    <row r="3242" spans="19:27" x14ac:dyDescent="0.2">
      <c r="S3242" s="1"/>
      <c r="T3242" s="117"/>
      <c r="W3242" s="75" t="str">
        <f t="shared" si="61"/>
        <v>1w</v>
      </c>
      <c r="X3242" s="148">
        <f>_xll.qlCalendarAdvance(Calendar,X3241,W3242,"f",FALSE)</f>
        <v>61674</v>
      </c>
      <c r="Y3242" s="153">
        <f>_xll.qlCalendarAdvance(Calendar,X3242,NDays&amp;"D")</f>
        <v>61674</v>
      </c>
      <c r="Z3242" s="154">
        <v>2.899139839393821E-2</v>
      </c>
      <c r="AA3242" s="156">
        <v>2.8871738885614118E-2</v>
      </c>
    </row>
    <row r="3243" spans="19:27" x14ac:dyDescent="0.2">
      <c r="S3243" s="1"/>
      <c r="T3243" s="117"/>
      <c r="W3243" s="75" t="str">
        <f t="shared" si="61"/>
        <v>1w</v>
      </c>
      <c r="X3243" s="148">
        <f>_xll.qlCalendarAdvance(Calendar,X3242,W3243,"f",FALSE)</f>
        <v>61681</v>
      </c>
      <c r="Y3243" s="153">
        <f>_xll.qlCalendarAdvance(Calendar,X3243,NDays&amp;"D")</f>
        <v>61681</v>
      </c>
      <c r="Z3243" s="154">
        <v>2.8993762424805215E-2</v>
      </c>
      <c r="AA3243" s="156">
        <v>2.8874136527906602E-2</v>
      </c>
    </row>
    <row r="3244" spans="19:27" x14ac:dyDescent="0.2">
      <c r="S3244" s="1"/>
      <c r="T3244" s="117"/>
      <c r="W3244" s="75" t="str">
        <f t="shared" si="61"/>
        <v>1w</v>
      </c>
      <c r="X3244" s="148">
        <f>_xll.qlCalendarAdvance(Calendar,X3243,W3244,"f",FALSE)</f>
        <v>61688</v>
      </c>
      <c r="Y3244" s="153">
        <f>_xll.qlCalendarAdvance(Calendar,X3244,NDays&amp;"D")</f>
        <v>61688</v>
      </c>
      <c r="Z3244" s="154">
        <v>2.8996118619880822E-2</v>
      </c>
      <c r="AA3244" s="156">
        <v>2.8876526389431945E-2</v>
      </c>
    </row>
    <row r="3245" spans="19:27" x14ac:dyDescent="0.2">
      <c r="S3245" s="1"/>
      <c r="T3245" s="117"/>
      <c r="W3245" s="75" t="str">
        <f t="shared" si="61"/>
        <v>1w</v>
      </c>
      <c r="X3245" s="148">
        <f>_xll.qlCalendarAdvance(Calendar,X3244,W3245,"f",FALSE)</f>
        <v>61695</v>
      </c>
      <c r="Y3245" s="153">
        <f>_xll.qlCalendarAdvance(Calendar,X3245,NDays&amp;"D")</f>
        <v>61695</v>
      </c>
      <c r="Z3245" s="154">
        <v>2.8998466979148291E-2</v>
      </c>
      <c r="AA3245" s="156">
        <v>2.887890846986596E-2</v>
      </c>
    </row>
    <row r="3246" spans="19:27" x14ac:dyDescent="0.2">
      <c r="S3246" s="1"/>
      <c r="T3246" s="117"/>
      <c r="W3246" s="75" t="str">
        <f t="shared" si="61"/>
        <v>1w</v>
      </c>
      <c r="X3246" s="148">
        <f>_xll.qlCalendarAdvance(Calendar,X3245,W3246,"f",FALSE)</f>
        <v>61702</v>
      </c>
      <c r="Y3246" s="153">
        <f>_xll.qlCalendarAdvance(Calendar,X3246,NDays&amp;"D")</f>
        <v>61702</v>
      </c>
      <c r="Z3246" s="154">
        <v>2.8998177577668181E-2</v>
      </c>
      <c r="AA3246" s="156">
        <v>2.8881282769208649E-2</v>
      </c>
    </row>
    <row r="3247" spans="19:27" x14ac:dyDescent="0.2">
      <c r="S3247" s="1"/>
      <c r="T3247" s="117"/>
      <c r="W3247" s="75" t="str">
        <f t="shared" si="61"/>
        <v>1w</v>
      </c>
      <c r="X3247" s="148">
        <f>_xll.qlCalendarAdvance(Calendar,X3246,W3247,"f",FALSE)</f>
        <v>61709</v>
      </c>
      <c r="Y3247" s="153">
        <f>_xll.qlCalendarAdvance(Calendar,X3247,NDays&amp;"D")</f>
        <v>61709</v>
      </c>
      <c r="Z3247" s="154">
        <v>2.9000511015190671E-2</v>
      </c>
      <c r="AA3247" s="156">
        <v>2.8883649287784197E-2</v>
      </c>
    </row>
    <row r="3248" spans="19:27" x14ac:dyDescent="0.2">
      <c r="S3248" s="1"/>
      <c r="T3248" s="117"/>
      <c r="W3248" s="75" t="str">
        <f t="shared" si="61"/>
        <v>1w</v>
      </c>
      <c r="X3248" s="148">
        <f>_xll.qlCalendarAdvance(Calendar,X3247,W3248,"f",FALSE)</f>
        <v>61716</v>
      </c>
      <c r="Y3248" s="153">
        <f>_xll.qlCalendarAdvance(Calendar,X3248,NDays&amp;"D")</f>
        <v>61716</v>
      </c>
      <c r="Z3248" s="154">
        <v>2.9002836618079959E-2</v>
      </c>
      <c r="AA3248" s="156">
        <v>2.8886008025592602E-2</v>
      </c>
    </row>
    <row r="3249" spans="19:27" x14ac:dyDescent="0.2">
      <c r="S3249" s="1"/>
      <c r="T3249" s="117"/>
      <c r="W3249" s="75" t="str">
        <f t="shared" si="61"/>
        <v>1w</v>
      </c>
      <c r="X3249" s="148">
        <f>_xll.qlCalendarAdvance(Calendar,X3248,W3249,"f",FALSE)</f>
        <v>61724</v>
      </c>
      <c r="Y3249" s="153">
        <f>_xll.qlCalendarAdvance(Calendar,X3249,NDays&amp;"D")</f>
        <v>61724</v>
      </c>
      <c r="Z3249" s="154">
        <v>2.900548485650466E-2</v>
      </c>
      <c r="AA3249" s="156">
        <v>2.8888694198155873E-2</v>
      </c>
    </row>
    <row r="3250" spans="19:27" x14ac:dyDescent="0.2">
      <c r="S3250" s="1"/>
      <c r="T3250" s="117"/>
      <c r="W3250" s="75" t="str">
        <f t="shared" si="61"/>
        <v>1w</v>
      </c>
      <c r="X3250" s="148">
        <f>_xll.qlCalendarAdvance(Calendar,X3249,W3250,"f",FALSE)</f>
        <v>61731</v>
      </c>
      <c r="Y3250" s="153">
        <f>_xll.qlCalendarAdvance(Calendar,X3250,NDays&amp;"D")</f>
        <v>61731</v>
      </c>
      <c r="Z3250" s="154">
        <v>2.9007793670841487E-2</v>
      </c>
      <c r="AA3250" s="156">
        <v>2.8891036262231884E-2</v>
      </c>
    </row>
    <row r="3251" spans="19:27" x14ac:dyDescent="0.2">
      <c r="S3251" s="1"/>
      <c r="T3251" s="117"/>
      <c r="W3251" s="75" t="str">
        <f t="shared" si="61"/>
        <v>1w</v>
      </c>
      <c r="X3251" s="148">
        <f>_xll.qlCalendarAdvance(Calendar,X3250,W3251,"f",FALSE)</f>
        <v>61738</v>
      </c>
      <c r="Y3251" s="153">
        <f>_xll.qlCalendarAdvance(Calendar,X3251,NDays&amp;"D")</f>
        <v>61738</v>
      </c>
      <c r="Z3251" s="154">
        <v>2.9010094650503689E-2</v>
      </c>
      <c r="AA3251" s="156">
        <v>2.8893370545621799E-2</v>
      </c>
    </row>
    <row r="3252" spans="19:27" x14ac:dyDescent="0.2">
      <c r="S3252" s="1"/>
      <c r="T3252" s="117"/>
      <c r="W3252" s="75" t="str">
        <f t="shared" si="61"/>
        <v>1w</v>
      </c>
      <c r="X3252" s="148">
        <f>_xll.qlCalendarAdvance(Calendar,X3251,W3252,"f",FALSE)</f>
        <v>61745</v>
      </c>
      <c r="Y3252" s="153">
        <f>_xll.qlCalendarAdvance(Calendar,X3252,NDays&amp;"D")</f>
        <v>61745</v>
      </c>
      <c r="Z3252" s="154">
        <v>2.9012387795474156E-2</v>
      </c>
      <c r="AA3252" s="156">
        <v>2.8895697047920388E-2</v>
      </c>
    </row>
    <row r="3253" spans="19:27" x14ac:dyDescent="0.2">
      <c r="S3253" s="1"/>
      <c r="T3253" s="117"/>
      <c r="W3253" s="75" t="str">
        <f t="shared" si="61"/>
        <v>1w</v>
      </c>
      <c r="X3253" s="148">
        <f>_xll.qlCalendarAdvance(Calendar,X3252,W3253,"f",FALSE)</f>
        <v>61752</v>
      </c>
      <c r="Y3253" s="153">
        <f>_xll.qlCalendarAdvance(Calendar,X3253,NDays&amp;"D")</f>
        <v>61752</v>
      </c>
      <c r="Z3253" s="154">
        <v>2.9014673105740279E-2</v>
      </c>
      <c r="AA3253" s="156">
        <v>2.8898015769532881E-2</v>
      </c>
    </row>
    <row r="3254" spans="19:27" x14ac:dyDescent="0.2">
      <c r="S3254" s="1"/>
      <c r="T3254" s="117"/>
      <c r="W3254" s="75" t="str">
        <f t="shared" si="61"/>
        <v>1w</v>
      </c>
      <c r="X3254" s="148">
        <f>_xll.qlCalendarAdvance(Calendar,X3253,W3254,"f",FALSE)</f>
        <v>61759</v>
      </c>
      <c r="Y3254" s="153">
        <f>_xll.qlCalendarAdvance(Calendar,X3254,NDays&amp;"D")</f>
        <v>61759</v>
      </c>
      <c r="Z3254" s="154">
        <v>2.9015638739251278E-2</v>
      </c>
      <c r="AA3254" s="156">
        <v>2.8900326710054047E-2</v>
      </c>
    </row>
    <row r="3255" spans="19:27" x14ac:dyDescent="0.2">
      <c r="S3255" s="1"/>
      <c r="T3255" s="117"/>
      <c r="W3255" s="75" t="str">
        <f t="shared" si="61"/>
        <v>1w</v>
      </c>
      <c r="X3255" s="148">
        <f>_xll.qlCalendarAdvance(Calendar,X3254,W3255,"f",FALSE)</f>
        <v>61766</v>
      </c>
      <c r="Y3255" s="153">
        <f>_xll.qlCalendarAdvance(Calendar,X3255,NDays&amp;"D")</f>
        <v>61766</v>
      </c>
      <c r="Z3255" s="154">
        <v>2.9017908759859507E-2</v>
      </c>
      <c r="AA3255" s="156">
        <v>2.8902629869564933E-2</v>
      </c>
    </row>
    <row r="3256" spans="19:27" x14ac:dyDescent="0.2">
      <c r="S3256" s="1"/>
      <c r="T3256" s="117"/>
      <c r="W3256" s="75" t="str">
        <f t="shared" si="61"/>
        <v>1w</v>
      </c>
      <c r="X3256" s="148">
        <f>_xll.qlCalendarAdvance(Calendar,X3255,W3256,"f",FALSE)</f>
        <v>61773</v>
      </c>
      <c r="Y3256" s="153">
        <f>_xll.qlCalendarAdvance(Calendar,X3256,NDays&amp;"D")</f>
        <v>61773</v>
      </c>
      <c r="Z3256" s="154">
        <v>2.9020170946334804E-2</v>
      </c>
      <c r="AA3256" s="156">
        <v>2.8904925248389723E-2</v>
      </c>
    </row>
    <row r="3257" spans="19:27" x14ac:dyDescent="0.2">
      <c r="S3257" s="1"/>
      <c r="T3257" s="117"/>
      <c r="W3257" s="75" t="str">
        <f t="shared" si="61"/>
        <v>1w</v>
      </c>
      <c r="X3257" s="148">
        <f>_xll.qlCalendarAdvance(Calendar,X3256,W3257,"f",FALSE)</f>
        <v>61780</v>
      </c>
      <c r="Y3257" s="153">
        <f>_xll.qlCalendarAdvance(Calendar,X3257,NDays&amp;"D")</f>
        <v>61780</v>
      </c>
      <c r="Z3257" s="154">
        <v>2.9022425298660781E-2</v>
      </c>
      <c r="AA3257" s="156">
        <v>2.8907212846042141E-2</v>
      </c>
    </row>
    <row r="3258" spans="19:27" x14ac:dyDescent="0.2">
      <c r="S3258" s="1"/>
      <c r="T3258" s="117"/>
      <c r="W3258" s="75" t="str">
        <f t="shared" si="61"/>
        <v>1w</v>
      </c>
      <c r="X3258" s="148">
        <f>_xll.qlCalendarAdvance(Calendar,X3257,W3258,"f",FALSE)</f>
        <v>61787</v>
      </c>
      <c r="Y3258" s="153">
        <f>_xll.qlCalendarAdvance(Calendar,X3258,NDays&amp;"D")</f>
        <v>61787</v>
      </c>
      <c r="Z3258" s="154">
        <v>2.9028602872757523E-2</v>
      </c>
      <c r="AA3258" s="156">
        <v>2.8909492662684277E-2</v>
      </c>
    </row>
    <row r="3259" spans="19:27" x14ac:dyDescent="0.2">
      <c r="S3259" s="1"/>
      <c r="T3259" s="117"/>
      <c r="W3259" s="75" t="str">
        <f t="shared" si="61"/>
        <v>1w</v>
      </c>
      <c r="X3259" s="148">
        <f>_xll.qlCalendarAdvance(Calendar,X3258,W3259,"f",FALSE)</f>
        <v>61794</v>
      </c>
      <c r="Y3259" s="153">
        <f>_xll.qlCalendarAdvance(Calendar,X3259,NDays&amp;"D")</f>
        <v>61794</v>
      </c>
      <c r="Z3259" s="154">
        <v>2.9030840409863905E-2</v>
      </c>
      <c r="AA3259" s="156">
        <v>2.8911764698559272E-2</v>
      </c>
    </row>
    <row r="3260" spans="19:27" x14ac:dyDescent="0.2">
      <c r="S3260" s="1"/>
      <c r="T3260" s="117"/>
      <c r="W3260" s="75" t="str">
        <f t="shared" si="61"/>
        <v>1w</v>
      </c>
      <c r="X3260" s="148">
        <f>_xll.qlCalendarAdvance(Calendar,X3259,W3260,"f",FALSE)</f>
        <v>61801</v>
      </c>
      <c r="Y3260" s="153">
        <f>_xll.qlCalendarAdvance(Calendar,X3260,NDays&amp;"D")</f>
        <v>61801</v>
      </c>
      <c r="Z3260" s="154">
        <v>2.9033070110956894E-2</v>
      </c>
      <c r="AA3260" s="156">
        <v>2.8914028953667126E-2</v>
      </c>
    </row>
    <row r="3261" spans="19:27" x14ac:dyDescent="0.2">
      <c r="S3261" s="1"/>
      <c r="T3261" s="117"/>
      <c r="W3261" s="75" t="str">
        <f t="shared" si="61"/>
        <v>1w</v>
      </c>
      <c r="X3261" s="148">
        <f>_xll.qlCalendarAdvance(Calendar,X3260,W3261,"f",FALSE)</f>
        <v>61808</v>
      </c>
      <c r="Y3261" s="153">
        <f>_xll.qlCalendarAdvance(Calendar,X3261,NDays&amp;"D")</f>
        <v>61808</v>
      </c>
      <c r="Z3261" s="154">
        <v>2.9035291976027673E-2</v>
      </c>
      <c r="AA3261" s="156">
        <v>2.8916285427683652E-2</v>
      </c>
    </row>
    <row r="3262" spans="19:27" x14ac:dyDescent="0.2">
      <c r="S3262" s="1"/>
      <c r="T3262" s="117"/>
      <c r="W3262" s="75" t="str">
        <f t="shared" si="61"/>
        <v>1w</v>
      </c>
      <c r="X3262" s="148">
        <f>_xll.qlCalendarAdvance(Calendar,X3261,W3262,"f",FALSE)</f>
        <v>61815</v>
      </c>
      <c r="Y3262" s="153">
        <f>_xll.qlCalendarAdvance(Calendar,X3262,NDays&amp;"D")</f>
        <v>61815</v>
      </c>
      <c r="Z3262" s="154">
        <v>2.9037506005056869E-2</v>
      </c>
      <c r="AA3262" s="156">
        <v>2.8918534120608852E-2</v>
      </c>
    </row>
    <row r="3263" spans="19:27" x14ac:dyDescent="0.2">
      <c r="S3263" s="1"/>
      <c r="T3263" s="117"/>
      <c r="W3263" s="75" t="str">
        <f t="shared" si="61"/>
        <v>1w</v>
      </c>
      <c r="X3263" s="148">
        <f>_xll.qlCalendarAdvance(Calendar,X3262,W3263,"f",FALSE)</f>
        <v>61822</v>
      </c>
      <c r="Y3263" s="153">
        <f>_xll.qlCalendarAdvance(Calendar,X3263,NDays&amp;"D")</f>
        <v>61822</v>
      </c>
      <c r="Z3263" s="154">
        <v>2.9038403731235632E-2</v>
      </c>
      <c r="AA3263" s="156">
        <v>2.8920775032929003E-2</v>
      </c>
    </row>
    <row r="3264" spans="19:27" x14ac:dyDescent="0.2">
      <c r="S3264" s="1"/>
      <c r="T3264" s="117"/>
      <c r="W3264" s="75" t="str">
        <f t="shared" si="61"/>
        <v>1w</v>
      </c>
      <c r="X3264" s="148">
        <f>_xll.qlCalendarAdvance(Calendar,X3263,W3264,"f",FALSE)</f>
        <v>61829</v>
      </c>
      <c r="Y3264" s="153">
        <f>_xll.qlCalendarAdvance(Calendar,X3264,NDays&amp;"D")</f>
        <v>61829</v>
      </c>
      <c r="Z3264" s="154">
        <v>2.9040602473562084E-2</v>
      </c>
      <c r="AA3264" s="156">
        <v>2.8928228961654368E-2</v>
      </c>
    </row>
    <row r="3265" spans="19:27" x14ac:dyDescent="0.2">
      <c r="S3265" s="1"/>
      <c r="T3265" s="117"/>
      <c r="W3265" s="75" t="str">
        <f t="shared" si="61"/>
        <v>1w</v>
      </c>
      <c r="X3265" s="148">
        <f>_xll.qlCalendarAdvance(Calendar,X3264,W3265,"f",FALSE)</f>
        <v>61836</v>
      </c>
      <c r="Y3265" s="153">
        <f>_xll.qlCalendarAdvance(Calendar,X3265,NDays&amp;"D")</f>
        <v>61836</v>
      </c>
      <c r="Z3265" s="154">
        <v>2.9042793380423169E-2</v>
      </c>
      <c r="AA3265" s="156">
        <v>2.8925233514457416E-2</v>
      </c>
    </row>
    <row r="3266" spans="19:27" x14ac:dyDescent="0.2">
      <c r="S3266" s="1"/>
      <c r="T3266" s="117"/>
      <c r="W3266" s="75" t="str">
        <f t="shared" si="61"/>
        <v>1w</v>
      </c>
      <c r="X3266" s="148">
        <f>_xll.qlCalendarAdvance(Calendar,X3265,W3266,"f",FALSE)</f>
        <v>61843</v>
      </c>
      <c r="Y3266" s="153">
        <f>_xll.qlCalendarAdvance(Calendar,X3266,NDays&amp;"D")</f>
        <v>61843</v>
      </c>
      <c r="Z3266" s="154">
        <v>2.9044976451800184E-2</v>
      </c>
      <c r="AA3266" s="156">
        <v>2.8927451083746725E-2</v>
      </c>
    </row>
    <row r="3267" spans="19:27" x14ac:dyDescent="0.2">
      <c r="S3267" s="1"/>
      <c r="T3267" s="117"/>
      <c r="W3267" s="75" t="str">
        <f t="shared" si="61"/>
        <v>1w</v>
      </c>
      <c r="X3267" s="148">
        <f>_xll.qlCalendarAdvance(Calendar,X3266,W3267,"f",FALSE)</f>
        <v>61850</v>
      </c>
      <c r="Y3267" s="153">
        <f>_xll.qlCalendarAdvance(Calendar,X3267,NDays&amp;"D")</f>
        <v>61850</v>
      </c>
      <c r="Z3267" s="154">
        <v>2.904845860919144E-2</v>
      </c>
      <c r="AA3267" s="156">
        <v>2.8929660872106799E-2</v>
      </c>
    </row>
    <row r="3268" spans="19:27" x14ac:dyDescent="0.2">
      <c r="S3268" s="1"/>
      <c r="T3268" s="117"/>
      <c r="W3268" s="75" t="str">
        <f t="shared" si="61"/>
        <v>1w</v>
      </c>
      <c r="X3268" s="148">
        <f>_xll.qlCalendarAdvance(Calendar,X3267,W3268,"f",FALSE)</f>
        <v>61857</v>
      </c>
      <c r="Y3268" s="153">
        <f>_xll.qlCalendarAdvance(Calendar,X3268,NDays&amp;"D")</f>
        <v>61857</v>
      </c>
      <c r="Z3268" s="154">
        <v>2.9050625621725334E-2</v>
      </c>
      <c r="AA3268" s="156">
        <v>2.8931862879699732E-2</v>
      </c>
    </row>
    <row r="3269" spans="19:27" x14ac:dyDescent="0.2">
      <c r="S3269" s="1"/>
      <c r="T3269" s="117"/>
      <c r="W3269" s="75" t="str">
        <f t="shared" si="61"/>
        <v>1w</v>
      </c>
      <c r="X3269" s="148">
        <f>_xll.qlCalendarAdvance(Calendar,X3268,W3269,"f",FALSE)</f>
        <v>61864</v>
      </c>
      <c r="Y3269" s="153">
        <f>_xll.qlCalendarAdvance(Calendar,X3269,NDays&amp;"D")</f>
        <v>61864</v>
      </c>
      <c r="Z3269" s="154">
        <v>2.9052784798128669E-2</v>
      </c>
      <c r="AA3269" s="156">
        <v>2.8934057106201339E-2</v>
      </c>
    </row>
    <row r="3270" spans="19:27" x14ac:dyDescent="0.2">
      <c r="S3270" s="1"/>
      <c r="T3270" s="117"/>
      <c r="W3270" s="75" t="str">
        <f t="shared" si="61"/>
        <v>1w</v>
      </c>
      <c r="X3270" s="148">
        <f>_xll.qlCalendarAdvance(Calendar,X3269,W3270,"f",FALSE)</f>
        <v>61871</v>
      </c>
      <c r="Y3270" s="153">
        <f>_xll.qlCalendarAdvance(Calendar,X3270,NDays&amp;"D")</f>
        <v>61871</v>
      </c>
      <c r="Z3270" s="154">
        <v>2.9054936138390875E-2</v>
      </c>
      <c r="AA3270" s="156">
        <v>2.893624355177371E-2</v>
      </c>
    </row>
    <row r="3271" spans="19:27" x14ac:dyDescent="0.2">
      <c r="S3271" s="1"/>
      <c r="T3271" s="117"/>
      <c r="W3271" s="75" t="str">
        <f t="shared" si="61"/>
        <v>1w</v>
      </c>
      <c r="X3271" s="148">
        <f>_xll.qlCalendarAdvance(Calendar,X3270,W3271,"f",FALSE)</f>
        <v>61878</v>
      </c>
      <c r="Y3271" s="153">
        <f>_xll.qlCalendarAdvance(Calendar,X3271,NDays&amp;"D")</f>
        <v>61878</v>
      </c>
      <c r="Z3271" s="154">
        <v>2.9057079642502256E-2</v>
      </c>
      <c r="AA3271" s="156">
        <v>2.8938422216578941E-2</v>
      </c>
    </row>
    <row r="3272" spans="19:27" x14ac:dyDescent="0.2">
      <c r="S3272" s="1"/>
      <c r="T3272" s="117"/>
      <c r="W3272" s="75" t="str">
        <f t="shared" si="61"/>
        <v>1w</v>
      </c>
      <c r="X3272" s="148">
        <f>_xll.qlCalendarAdvance(Calendar,X3271,W3272,"f",FALSE)</f>
        <v>61885</v>
      </c>
      <c r="Y3272" s="153">
        <f>_xll.qlCalendarAdvance(Calendar,X3272,NDays&amp;"D")</f>
        <v>61885</v>
      </c>
      <c r="Z3272" s="154">
        <v>2.9059215310446074E-2</v>
      </c>
      <c r="AA3272" s="156">
        <v>2.894059310037389E-2</v>
      </c>
    </row>
    <row r="3273" spans="19:27" x14ac:dyDescent="0.2">
      <c r="S3273" s="1"/>
      <c r="T3273" s="117"/>
      <c r="W3273" s="75" t="str">
        <f t="shared" si="61"/>
        <v>1w</v>
      </c>
      <c r="X3273" s="148">
        <f>_xll.qlCalendarAdvance(Calendar,X3272,W3273,"f",FALSE)</f>
        <v>61892</v>
      </c>
      <c r="Y3273" s="153">
        <f>_xll.qlCalendarAdvance(Calendar,X3273,NDays&amp;"D")</f>
        <v>61892</v>
      </c>
      <c r="Z3273" s="154">
        <v>2.9061343142211763E-2</v>
      </c>
      <c r="AA3273" s="156">
        <v>2.8942756203077513E-2</v>
      </c>
    </row>
    <row r="3274" spans="19:27" x14ac:dyDescent="0.2">
      <c r="S3274" s="1"/>
      <c r="T3274" s="117"/>
      <c r="W3274" s="75" t="str">
        <f t="shared" si="61"/>
        <v>1w</v>
      </c>
      <c r="X3274" s="148">
        <f>_xll.qlCalendarAdvance(Calendar,X3273,W3274,"f",FALSE)</f>
        <v>61899</v>
      </c>
      <c r="Y3274" s="153">
        <f>_xll.qlCalendarAdvance(Calendar,X3274,NDays&amp;"D")</f>
        <v>61899</v>
      </c>
      <c r="Z3274" s="154">
        <v>2.9063463137786988E-2</v>
      </c>
      <c r="AA3274" s="156">
        <v>2.8944911525176087E-2</v>
      </c>
    </row>
    <row r="3275" spans="19:27" x14ac:dyDescent="0.2">
      <c r="S3275" s="1"/>
      <c r="T3275" s="117"/>
      <c r="W3275" s="75" t="str">
        <f t="shared" si="61"/>
        <v>1w</v>
      </c>
      <c r="X3275" s="148">
        <f>_xll.qlCalendarAdvance(Calendar,X3274,W3275,"f",FALSE)</f>
        <v>61906</v>
      </c>
      <c r="Y3275" s="153">
        <f>_xll.qlCalendarAdvance(Calendar,X3275,NDays&amp;"D")</f>
        <v>61906</v>
      </c>
      <c r="Z3275" s="154">
        <v>2.9065575297157656E-2</v>
      </c>
      <c r="AA3275" s="156">
        <v>2.8947059066102288E-2</v>
      </c>
    </row>
    <row r="3276" spans="19:27" x14ac:dyDescent="0.2">
      <c r="S3276" s="1"/>
      <c r="T3276" s="117"/>
      <c r="W3276" s="75" t="str">
        <f t="shared" si="61"/>
        <v>1w</v>
      </c>
      <c r="X3276" s="148">
        <f>_xll.qlCalendarAdvance(Calendar,X3275,W3276,"f",FALSE)</f>
        <v>61913</v>
      </c>
      <c r="Y3276" s="153">
        <f>_xll.qlCalendarAdvance(Calendar,X3276,NDays&amp;"D")</f>
        <v>61913</v>
      </c>
      <c r="Z3276" s="154">
        <v>2.9067679620312308E-2</v>
      </c>
      <c r="AA3276" s="156">
        <v>2.8949198826018208E-2</v>
      </c>
    </row>
    <row r="3277" spans="19:27" x14ac:dyDescent="0.2">
      <c r="S3277" s="1"/>
      <c r="T3277" s="117"/>
      <c r="W3277" s="75" t="str">
        <f t="shared" si="61"/>
        <v>1w</v>
      </c>
      <c r="X3277" s="148">
        <f>_xll.qlCalendarAdvance(Calendar,X3276,W3277,"f",FALSE)</f>
        <v>61920</v>
      </c>
      <c r="Y3277" s="153">
        <f>_xll.qlCalendarAdvance(Calendar,X3277,NDays&amp;"D")</f>
        <v>61920</v>
      </c>
      <c r="Z3277" s="154">
        <v>2.9069776107239497E-2</v>
      </c>
      <c r="AA3277" s="156">
        <v>2.8951330805166986E-2</v>
      </c>
    </row>
    <row r="3278" spans="19:27" x14ac:dyDescent="0.2">
      <c r="S3278" s="1"/>
      <c r="T3278" s="117"/>
      <c r="W3278" s="75" t="str">
        <f t="shared" si="61"/>
        <v>1w</v>
      </c>
      <c r="X3278" s="148">
        <f>_xll.qlCalendarAdvance(Calendar,X3277,W3278,"f",FALSE)</f>
        <v>61927</v>
      </c>
      <c r="Y3278" s="153">
        <f>_xll.qlCalendarAdvance(Calendar,X3278,NDays&amp;"D")</f>
        <v>61927</v>
      </c>
      <c r="Z3278" s="154">
        <v>2.9071864757926006E-2</v>
      </c>
      <c r="AA3278" s="156">
        <v>2.895345500338653E-2</v>
      </c>
    </row>
    <row r="3279" spans="19:27" x14ac:dyDescent="0.2">
      <c r="S3279" s="1"/>
      <c r="T3279" s="117"/>
      <c r="W3279" s="75" t="str">
        <f t="shared" si="61"/>
        <v>1w</v>
      </c>
      <c r="X3279" s="148">
        <f>_xll.qlCalendarAdvance(Calendar,X3278,W3279,"f",FALSE)</f>
        <v>61934</v>
      </c>
      <c r="Y3279" s="153">
        <f>_xll.qlCalendarAdvance(Calendar,X3279,NDays&amp;"D")</f>
        <v>61934</v>
      </c>
      <c r="Z3279" s="154">
        <v>2.9073945572360389E-2</v>
      </c>
      <c r="AA3279" s="156">
        <v>2.8955571420595794E-2</v>
      </c>
    </row>
    <row r="3280" spans="19:27" x14ac:dyDescent="0.2">
      <c r="S3280" s="1"/>
      <c r="T3280" s="117"/>
      <c r="W3280" s="75" t="str">
        <f t="shared" si="61"/>
        <v>1w</v>
      </c>
      <c r="X3280" s="148">
        <f>_xll.qlCalendarAdvance(Calendar,X3279,W3280,"f",FALSE)</f>
        <v>61941</v>
      </c>
      <c r="Y3280" s="153">
        <f>_xll.qlCalendarAdvance(Calendar,X3280,NDays&amp;"D")</f>
        <v>61941</v>
      </c>
      <c r="Z3280" s="154">
        <v>2.9076018550525901E-2</v>
      </c>
      <c r="AA3280" s="156">
        <v>2.8957680056794777E-2</v>
      </c>
    </row>
    <row r="3281" spans="19:27" x14ac:dyDescent="0.2">
      <c r="S3281" s="1"/>
      <c r="T3281" s="117"/>
      <c r="W3281" s="75" t="str">
        <f t="shared" si="61"/>
        <v>1w</v>
      </c>
      <c r="X3281" s="148">
        <f>_xll.qlCalendarAdvance(Calendar,X3280,W3281,"f",FALSE)</f>
        <v>61948</v>
      </c>
      <c r="Y3281" s="153">
        <f>_xll.qlCalendarAdvance(Calendar,X3281,NDays&amp;"D")</f>
        <v>61948</v>
      </c>
      <c r="Z3281" s="154">
        <v>2.907808369241726E-2</v>
      </c>
      <c r="AA3281" s="156">
        <v>2.8959780912307664E-2</v>
      </c>
    </row>
    <row r="3282" spans="19:27" x14ac:dyDescent="0.2">
      <c r="S3282" s="1"/>
      <c r="T3282" s="117"/>
      <c r="W3282" s="75" t="str">
        <f t="shared" si="61"/>
        <v>1w</v>
      </c>
      <c r="X3282" s="148">
        <f>_xll.qlCalendarAdvance(Calendar,X3281,W3282,"f",FALSE)</f>
        <v>61955</v>
      </c>
      <c r="Y3282" s="153">
        <f>_xll.qlCalendarAdvance(Calendar,X3282,NDays&amp;"D")</f>
        <v>61955</v>
      </c>
      <c r="Z3282" s="154">
        <v>2.908014099801861E-2</v>
      </c>
      <c r="AA3282" s="156">
        <v>2.8961873986729225E-2</v>
      </c>
    </row>
    <row r="3283" spans="19:27" x14ac:dyDescent="0.2">
      <c r="S3283" s="1"/>
      <c r="T3283" s="117"/>
      <c r="W3283" s="75" t="str">
        <f t="shared" si="61"/>
        <v>1w</v>
      </c>
      <c r="X3283" s="148">
        <f>_xll.qlCalendarAdvance(Calendar,X3282,W3283,"f",FALSE)</f>
        <v>61962</v>
      </c>
      <c r="Y3283" s="153">
        <f>_xll.qlCalendarAdvance(Calendar,X3283,NDays&amp;"D")</f>
        <v>61962</v>
      </c>
      <c r="Z3283" s="154">
        <v>2.9082190467318494E-2</v>
      </c>
      <c r="AA3283" s="156">
        <v>2.8963959280140505E-2</v>
      </c>
    </row>
    <row r="3284" spans="19:27" x14ac:dyDescent="0.2">
      <c r="S3284" s="1"/>
      <c r="T3284" s="117"/>
      <c r="W3284" s="75" t="str">
        <f t="shared" si="61"/>
        <v>1w</v>
      </c>
      <c r="X3284" s="148">
        <f>_xll.qlCalendarAdvance(Calendar,X3283,W3284,"f",FALSE)</f>
        <v>61969</v>
      </c>
      <c r="Y3284" s="153">
        <f>_xll.qlCalendarAdvance(Calendar,X3284,NDays&amp;"D")</f>
        <v>61969</v>
      </c>
      <c r="Z3284" s="154">
        <v>2.9084232100302823E-2</v>
      </c>
      <c r="AA3284" s="156">
        <v>2.8966036792622551E-2</v>
      </c>
    </row>
    <row r="3285" spans="19:27" x14ac:dyDescent="0.2">
      <c r="S3285" s="1"/>
      <c r="T3285" s="117"/>
      <c r="W3285" s="75" t="str">
        <f t="shared" ref="W3285:W3348" si="62">W3284</f>
        <v>1w</v>
      </c>
      <c r="X3285" s="148">
        <f>_xll.qlCalendarAdvance(Calendar,X3284,W3285,"f",FALSE)</f>
        <v>61976</v>
      </c>
      <c r="Y3285" s="153">
        <f>_xll.qlCalendarAdvance(Calendar,X3285,NDays&amp;"D")</f>
        <v>61976</v>
      </c>
      <c r="Z3285" s="154">
        <v>2.9084966050086682E-2</v>
      </c>
      <c r="AA3285" s="156">
        <v>2.8968106524337456E-2</v>
      </c>
    </row>
    <row r="3286" spans="19:27" x14ac:dyDescent="0.2">
      <c r="S3286" s="1"/>
      <c r="T3286" s="117"/>
      <c r="W3286" s="75" t="str">
        <f t="shared" si="62"/>
        <v>1w</v>
      </c>
      <c r="X3286" s="148">
        <f>_xll.qlCalendarAdvance(Calendar,X3285,W3286,"f",FALSE)</f>
        <v>61983</v>
      </c>
      <c r="Y3286" s="153">
        <f>_xll.qlCalendarAdvance(Calendar,X3286,NDays&amp;"D")</f>
        <v>61983</v>
      </c>
      <c r="Z3286" s="154">
        <v>2.9086992409249404E-2</v>
      </c>
      <c r="AA3286" s="156">
        <v>2.8970168475123126E-2</v>
      </c>
    </row>
    <row r="3287" spans="19:27" x14ac:dyDescent="0.2">
      <c r="S3287" s="1"/>
      <c r="T3287" s="117"/>
      <c r="W3287" s="75" t="str">
        <f t="shared" si="62"/>
        <v>1w</v>
      </c>
      <c r="X3287" s="148">
        <f>_xll.qlCalendarAdvance(Calendar,X3286,W3287,"f",FALSE)</f>
        <v>61990</v>
      </c>
      <c r="Y3287" s="153">
        <f>_xll.qlCalendarAdvance(Calendar,X3287,NDays&amp;"D")</f>
        <v>61990</v>
      </c>
      <c r="Z3287" s="154">
        <v>2.9089010932672452E-2</v>
      </c>
      <c r="AA3287" s="156">
        <v>2.8972222644736423E-2</v>
      </c>
    </row>
    <row r="3288" spans="19:27" x14ac:dyDescent="0.2">
      <c r="S3288" s="1"/>
      <c r="T3288" s="117"/>
      <c r="W3288" s="75" t="str">
        <f t="shared" si="62"/>
        <v>1w</v>
      </c>
      <c r="X3288" s="148">
        <f>_xll.qlCalendarAdvance(Calendar,X3287,W3288,"f",FALSE)</f>
        <v>61997</v>
      </c>
      <c r="Y3288" s="153">
        <f>_xll.qlCalendarAdvance(Calendar,X3288,NDays&amp;"D")</f>
        <v>61997</v>
      </c>
      <c r="Z3288" s="154">
        <v>2.9092320268869605E-2</v>
      </c>
      <c r="AA3288" s="156">
        <v>2.8974269033582578E-2</v>
      </c>
    </row>
    <row r="3289" spans="19:27" x14ac:dyDescent="0.2">
      <c r="S3289" s="1"/>
      <c r="T3289" s="117"/>
      <c r="W3289" s="75" t="str">
        <f t="shared" si="62"/>
        <v>1w</v>
      </c>
      <c r="X3289" s="148">
        <f>_xll.qlCalendarAdvance(Calendar,X3288,W3289,"f",FALSE)</f>
        <v>62004</v>
      </c>
      <c r="Y3289" s="153">
        <f>_xll.qlCalendarAdvance(Calendar,X3289,NDays&amp;"D")</f>
        <v>62004</v>
      </c>
      <c r="Z3289" s="154">
        <v>2.9094322720107004E-2</v>
      </c>
      <c r="AA3289" s="156">
        <v>2.8976307641580545E-2</v>
      </c>
    </row>
    <row r="3290" spans="19:27" x14ac:dyDescent="0.2">
      <c r="S3290" s="1"/>
      <c r="T3290" s="117"/>
      <c r="W3290" s="75" t="str">
        <f t="shared" si="62"/>
        <v>1w</v>
      </c>
      <c r="X3290" s="148">
        <f>_xll.qlCalendarAdvance(Calendar,X3289,W3290,"f",FALSE)</f>
        <v>62011</v>
      </c>
      <c r="Y3290" s="153">
        <f>_xll.qlCalendarAdvance(Calendar,X3290,NDays&amp;"D")</f>
        <v>62011</v>
      </c>
      <c r="Z3290" s="154">
        <v>2.9096317334961014E-2</v>
      </c>
      <c r="AA3290" s="156">
        <v>2.8978338468487186E-2</v>
      </c>
    </row>
    <row r="3291" spans="19:27" x14ac:dyDescent="0.2">
      <c r="S3291" s="1"/>
      <c r="T3291" s="117"/>
      <c r="W3291" s="75" t="str">
        <f t="shared" si="62"/>
        <v>1w</v>
      </c>
      <c r="X3291" s="148">
        <f>_xll.qlCalendarAdvance(Calendar,X3290,W3291,"f",FALSE)</f>
        <v>62018</v>
      </c>
      <c r="Y3291" s="153">
        <f>_xll.qlCalendarAdvance(Calendar,X3291,NDays&amp;"D")</f>
        <v>62018</v>
      </c>
      <c r="Z3291" s="154">
        <v>2.9098304113415775E-2</v>
      </c>
      <c r="AA3291" s="156">
        <v>2.8980361514464592E-2</v>
      </c>
    </row>
    <row r="3292" spans="19:27" x14ac:dyDescent="0.2">
      <c r="S3292" s="1"/>
      <c r="T3292" s="117"/>
      <c r="W3292" s="75" t="str">
        <f t="shared" si="62"/>
        <v>1w</v>
      </c>
      <c r="X3292" s="148">
        <f>_xll.qlCalendarAdvance(Calendar,X3291,W3292,"f",FALSE)</f>
        <v>62025</v>
      </c>
      <c r="Y3292" s="153">
        <f>_xll.qlCalendarAdvance(Calendar,X3292,NDays&amp;"D")</f>
        <v>62025</v>
      </c>
      <c r="Z3292" s="154">
        <v>2.9100283055463361E-2</v>
      </c>
      <c r="AA3292" s="156">
        <v>2.8982376779674857E-2</v>
      </c>
    </row>
    <row r="3293" spans="19:27" x14ac:dyDescent="0.2">
      <c r="S3293" s="1"/>
      <c r="T3293" s="117"/>
      <c r="W3293" s="75" t="str">
        <f t="shared" si="62"/>
        <v>1w</v>
      </c>
      <c r="X3293" s="148">
        <f>_xll.qlCalendarAdvance(Calendar,X3292,W3293,"f",FALSE)</f>
        <v>62032</v>
      </c>
      <c r="Y3293" s="153">
        <f>_xll.qlCalendarAdvance(Calendar,X3293,NDays&amp;"D")</f>
        <v>62032</v>
      </c>
      <c r="Z3293" s="154">
        <v>2.910225416109144E-2</v>
      </c>
      <c r="AA3293" s="156">
        <v>2.8984384263793794E-2</v>
      </c>
    </row>
    <row r="3294" spans="19:27" x14ac:dyDescent="0.2">
      <c r="S3294" s="1"/>
      <c r="T3294" s="117"/>
      <c r="W3294" s="75" t="str">
        <f t="shared" si="62"/>
        <v>1w</v>
      </c>
      <c r="X3294" s="148">
        <f>_xll.qlCalendarAdvance(Calendar,X3293,W3294,"f",FALSE)</f>
        <v>62039</v>
      </c>
      <c r="Y3294" s="153">
        <f>_xll.qlCalendarAdvance(Calendar,X3294,NDays&amp;"D")</f>
        <v>62039</v>
      </c>
      <c r="Z3294" s="154">
        <v>2.9104217430287675E-2</v>
      </c>
      <c r="AA3294" s="156">
        <v>2.8986383966983498E-2</v>
      </c>
    </row>
    <row r="3295" spans="19:27" x14ac:dyDescent="0.2">
      <c r="S3295" s="1"/>
      <c r="T3295" s="117"/>
      <c r="W3295" s="75" t="str">
        <f t="shared" si="62"/>
        <v>1w</v>
      </c>
      <c r="X3295" s="148">
        <f>_xll.qlCalendarAdvance(Calendar,X3294,W3295,"f",FALSE)</f>
        <v>62046</v>
      </c>
      <c r="Y3295" s="153">
        <f>_xll.qlCalendarAdvance(Calendar,X3295,NDays&amp;"D")</f>
        <v>62046</v>
      </c>
      <c r="Z3295" s="154">
        <v>2.9106172863037974E-2</v>
      </c>
      <c r="AA3295" s="156">
        <v>2.8988375889243967E-2</v>
      </c>
    </row>
    <row r="3296" spans="19:27" x14ac:dyDescent="0.2">
      <c r="S3296" s="1"/>
      <c r="T3296" s="117"/>
      <c r="W3296" s="75" t="str">
        <f t="shared" si="62"/>
        <v>1w</v>
      </c>
      <c r="X3296" s="148">
        <f>_xll.qlCalendarAdvance(Calendar,X3295,W3296,"f",FALSE)</f>
        <v>62053</v>
      </c>
      <c r="Y3296" s="153">
        <f>_xll.qlCalendarAdvance(Calendar,X3296,NDays&amp;"D")</f>
        <v>62053</v>
      </c>
      <c r="Z3296" s="154">
        <v>2.9108120459336171E-2</v>
      </c>
      <c r="AA3296" s="156">
        <v>2.8990360030656248E-2</v>
      </c>
    </row>
    <row r="3297" spans="19:27" x14ac:dyDescent="0.2">
      <c r="S3297" s="1"/>
      <c r="T3297" s="117"/>
      <c r="W3297" s="75" t="str">
        <f t="shared" si="62"/>
        <v>1w</v>
      </c>
      <c r="X3297" s="148">
        <f>_xll.qlCalendarAdvance(Calendar,X3296,W3297,"f",FALSE)</f>
        <v>62060</v>
      </c>
      <c r="Y3297" s="153">
        <f>_xll.qlCalendarAdvance(Calendar,X3297,NDays&amp;"D")</f>
        <v>62060</v>
      </c>
      <c r="Z3297" s="154">
        <v>2.911006021916817E-2</v>
      </c>
      <c r="AA3297" s="156">
        <v>2.8992336391058249E-2</v>
      </c>
    </row>
    <row r="3298" spans="19:27" x14ac:dyDescent="0.2">
      <c r="S3298" s="1"/>
      <c r="T3298" s="117"/>
      <c r="W3298" s="75" t="str">
        <f t="shared" si="62"/>
        <v>1w</v>
      </c>
      <c r="X3298" s="148">
        <f>_xll.qlCalendarAdvance(Calendar,X3297,W3298,"f",FALSE)</f>
        <v>62067</v>
      </c>
      <c r="Y3298" s="153">
        <f>_xll.qlCalendarAdvance(Calendar,X3298,NDays&amp;"D")</f>
        <v>62067</v>
      </c>
      <c r="Z3298" s="154">
        <v>2.9109402943919678E-2</v>
      </c>
      <c r="AA3298" s="156">
        <v>2.8994304970449969E-2</v>
      </c>
    </row>
    <row r="3299" spans="19:27" x14ac:dyDescent="0.2">
      <c r="S3299" s="1"/>
      <c r="T3299" s="117"/>
      <c r="W3299" s="75" t="str">
        <f t="shared" si="62"/>
        <v>1w</v>
      </c>
      <c r="X3299" s="148">
        <f>_xll.qlCalendarAdvance(Calendar,X3298,W3299,"f",FALSE)</f>
        <v>62074</v>
      </c>
      <c r="Y3299" s="153">
        <f>_xll.qlCalendarAdvance(Calendar,X3299,NDays&amp;"D")</f>
        <v>62074</v>
      </c>
      <c r="Z3299" s="154">
        <v>2.9111327844317976E-2</v>
      </c>
      <c r="AA3299" s="156">
        <v>2.8996265768912455E-2</v>
      </c>
    </row>
    <row r="3300" spans="19:27" x14ac:dyDescent="0.2">
      <c r="S3300" s="1"/>
      <c r="T3300" s="117"/>
      <c r="W3300" s="75" t="str">
        <f t="shared" si="62"/>
        <v>1w</v>
      </c>
      <c r="X3300" s="148">
        <f>_xll.qlCalendarAdvance(Calendar,X3299,W3300,"f",FALSE)</f>
        <v>62081</v>
      </c>
      <c r="Y3300" s="153">
        <f>_xll.qlCalendarAdvance(Calendar,X3300,NDays&amp;"D")</f>
        <v>62081</v>
      </c>
      <c r="Z3300" s="154">
        <v>2.9113244909443708E-2</v>
      </c>
      <c r="AA3300" s="156">
        <v>2.8998218786688845E-2</v>
      </c>
    </row>
    <row r="3301" spans="19:27" x14ac:dyDescent="0.2">
      <c r="S3301" s="1"/>
      <c r="T3301" s="117"/>
      <c r="W3301" s="75" t="str">
        <f t="shared" si="62"/>
        <v>1w</v>
      </c>
      <c r="X3301" s="148">
        <f>_xll.qlCalendarAdvance(Calendar,X3300,W3301,"f",FALSE)</f>
        <v>62089</v>
      </c>
      <c r="Y3301" s="153">
        <f>_xll.qlCalendarAdvance(Calendar,X3301,NDays&amp;"D")</f>
        <v>62089</v>
      </c>
      <c r="Z3301" s="154">
        <v>2.911542624678877E-2</v>
      </c>
      <c r="AA3301" s="156">
        <v>2.9003022607905587E-2</v>
      </c>
    </row>
    <row r="3302" spans="19:27" x14ac:dyDescent="0.2">
      <c r="S3302" s="1"/>
      <c r="T3302" s="117"/>
      <c r="W3302" s="75" t="str">
        <f t="shared" si="62"/>
        <v>1w</v>
      </c>
      <c r="X3302" s="148">
        <f>_xll.qlCalendarAdvance(Calendar,X3301,W3302,"f",FALSE)</f>
        <v>62096</v>
      </c>
      <c r="Y3302" s="153">
        <f>_xll.qlCalendarAdvance(Calendar,X3302,NDays&amp;"D")</f>
        <v>62096</v>
      </c>
      <c r="Z3302" s="154">
        <v>2.9117326522005865E-2</v>
      </c>
      <c r="AA3302" s="156">
        <v>2.9004958148051523E-2</v>
      </c>
    </row>
    <row r="3303" spans="19:27" x14ac:dyDescent="0.2">
      <c r="S3303" s="1"/>
      <c r="T3303" s="117"/>
      <c r="W3303" s="75" t="str">
        <f t="shared" si="62"/>
        <v>1w</v>
      </c>
      <c r="X3303" s="148">
        <f>_xll.qlCalendarAdvance(Calendar,X3302,W3303,"f",FALSE)</f>
        <v>62103</v>
      </c>
      <c r="Y3303" s="153">
        <f>_xll.qlCalendarAdvance(Calendar,X3303,NDays&amp;"D")</f>
        <v>62103</v>
      </c>
      <c r="Z3303" s="154">
        <v>2.9119218961913471E-2</v>
      </c>
      <c r="AA3303" s="156">
        <v>2.9006885905998502E-2</v>
      </c>
    </row>
    <row r="3304" spans="19:27" x14ac:dyDescent="0.2">
      <c r="S3304" s="1"/>
      <c r="T3304" s="117"/>
      <c r="W3304" s="75" t="str">
        <f t="shared" si="62"/>
        <v>1w</v>
      </c>
      <c r="X3304" s="148">
        <f>_xll.qlCalendarAdvance(Calendar,X3303,W3304,"f",FALSE)</f>
        <v>62110</v>
      </c>
      <c r="Y3304" s="153">
        <f>_xll.qlCalendarAdvance(Calendar,X3304,NDays&amp;"D")</f>
        <v>62110</v>
      </c>
      <c r="Z3304" s="154">
        <v>2.9121103566503489E-2</v>
      </c>
      <c r="AA3304" s="156">
        <v>2.9008805881881598E-2</v>
      </c>
    </row>
    <row r="3305" spans="19:27" x14ac:dyDescent="0.2">
      <c r="S3305" s="1"/>
      <c r="T3305" s="117"/>
      <c r="W3305" s="75" t="str">
        <f t="shared" si="62"/>
        <v>1w</v>
      </c>
      <c r="X3305" s="148">
        <f>_xll.qlCalendarAdvance(Calendar,X3304,W3305,"f",FALSE)</f>
        <v>62117</v>
      </c>
      <c r="Y3305" s="153">
        <f>_xll.qlCalendarAdvance(Calendar,X3305,NDays&amp;"D")</f>
        <v>62117</v>
      </c>
      <c r="Z3305" s="154">
        <v>2.9122980335764204E-2</v>
      </c>
      <c r="AA3305" s="156">
        <v>2.9010718075565732E-2</v>
      </c>
    </row>
    <row r="3306" spans="19:27" x14ac:dyDescent="0.2">
      <c r="S3306" s="1"/>
      <c r="T3306" s="117"/>
      <c r="W3306" s="75" t="str">
        <f t="shared" si="62"/>
        <v>1w</v>
      </c>
      <c r="X3306" s="148">
        <f>_xll.qlCalendarAdvance(Calendar,X3305,W3306,"f",FALSE)</f>
        <v>62124</v>
      </c>
      <c r="Y3306" s="153">
        <f>_xll.qlCalendarAdvance(Calendar,X3306,NDays&amp;"D")</f>
        <v>62124</v>
      </c>
      <c r="Z3306" s="154">
        <v>2.9123558044233444E-2</v>
      </c>
      <c r="AA3306" s="156">
        <v>2.9012622487104938E-2</v>
      </c>
    </row>
    <row r="3307" spans="19:27" x14ac:dyDescent="0.2">
      <c r="S3307" s="1"/>
      <c r="T3307" s="117"/>
      <c r="W3307" s="75" t="str">
        <f t="shared" si="62"/>
        <v>1w</v>
      </c>
      <c r="X3307" s="148">
        <f>_xll.qlCalendarAdvance(Calendar,X3306,W3307,"f",FALSE)</f>
        <v>62131</v>
      </c>
      <c r="Y3307" s="153">
        <f>_xll.qlCalendarAdvance(Calendar,X3307,NDays&amp;"D")</f>
        <v>62131</v>
      </c>
      <c r="Z3307" s="154">
        <v>2.9125419554453597E-2</v>
      </c>
      <c r="AA3307" s="156">
        <v>2.9014519116472202E-2</v>
      </c>
    </row>
    <row r="3308" spans="19:27" x14ac:dyDescent="0.2">
      <c r="S3308" s="1"/>
      <c r="T3308" s="117"/>
      <c r="W3308" s="75" t="str">
        <f t="shared" si="62"/>
        <v>1w</v>
      </c>
      <c r="X3308" s="148">
        <f>_xll.qlCalendarAdvance(Calendar,X3307,W3308,"f",FALSE)</f>
        <v>62138</v>
      </c>
      <c r="Y3308" s="153">
        <f>_xll.qlCalendarAdvance(Calendar,X3308,NDays&amp;"D")</f>
        <v>62138</v>
      </c>
      <c r="Z3308" s="154">
        <v>2.9127273229927052E-2</v>
      </c>
      <c r="AA3308" s="156">
        <v>2.9016407963748568E-2</v>
      </c>
    </row>
    <row r="3309" spans="19:27" x14ac:dyDescent="0.2">
      <c r="S3309" s="1"/>
      <c r="T3309" s="117"/>
      <c r="W3309" s="75" t="str">
        <f t="shared" si="62"/>
        <v>1w</v>
      </c>
      <c r="X3309" s="148">
        <f>_xll.qlCalendarAdvance(Calendar,X3308,W3309,"f",FALSE)</f>
        <v>62145</v>
      </c>
      <c r="Y3309" s="153">
        <f>_xll.qlCalendarAdvance(Calendar,X3309,NDays&amp;"D")</f>
        <v>62145</v>
      </c>
      <c r="Z3309" s="154">
        <v>2.9129119070643791E-2</v>
      </c>
      <c r="AA3309" s="156">
        <v>2.9018289028798959E-2</v>
      </c>
    </row>
    <row r="3310" spans="19:27" x14ac:dyDescent="0.2">
      <c r="S3310" s="1"/>
      <c r="T3310" s="117"/>
      <c r="W3310" s="75" t="str">
        <f t="shared" si="62"/>
        <v>1w</v>
      </c>
      <c r="X3310" s="148">
        <f>_xll.qlCalendarAdvance(Calendar,X3309,W3310,"f",FALSE)</f>
        <v>62152</v>
      </c>
      <c r="Y3310" s="153">
        <f>_xll.qlCalendarAdvance(Calendar,X3310,NDays&amp;"D")</f>
        <v>62152</v>
      </c>
      <c r="Z3310" s="154">
        <v>2.91335362557694E-2</v>
      </c>
      <c r="AA3310" s="156">
        <v>2.9020162311704421E-2</v>
      </c>
    </row>
    <row r="3311" spans="19:27" x14ac:dyDescent="0.2">
      <c r="S3311" s="1"/>
      <c r="T3311" s="117"/>
      <c r="W3311" s="75" t="str">
        <f t="shared" si="62"/>
        <v>1w</v>
      </c>
      <c r="X3311" s="148">
        <f>_xll.qlCalendarAdvance(Calendar,X3310,W3311,"f",FALSE)</f>
        <v>62159</v>
      </c>
      <c r="Y3311" s="153">
        <f>_xll.qlCalendarAdvance(Calendar,X3311,NDays&amp;"D")</f>
        <v>62159</v>
      </c>
      <c r="Z3311" s="154">
        <v>2.9139233340837196E-2</v>
      </c>
      <c r="AA3311" s="156">
        <v>2.9022027812491972E-2</v>
      </c>
    </row>
    <row r="3312" spans="19:27" x14ac:dyDescent="0.2">
      <c r="S3312" s="1"/>
      <c r="T3312" s="117"/>
      <c r="W3312" s="75" t="str">
        <f t="shared" si="62"/>
        <v>1w</v>
      </c>
      <c r="X3312" s="148">
        <f>_xll.qlCalendarAdvance(Calendar,X3311,W3312,"f",FALSE)</f>
        <v>62166</v>
      </c>
      <c r="Y3312" s="153">
        <f>_xll.qlCalendarAdvance(Calendar,X3312,NDays&amp;"D")</f>
        <v>62166</v>
      </c>
      <c r="Z3312" s="154">
        <v>2.9141053602826903E-2</v>
      </c>
      <c r="AA3312" s="156">
        <v>2.9023885531107577E-2</v>
      </c>
    </row>
    <row r="3313" spans="19:27" x14ac:dyDescent="0.2">
      <c r="S3313" s="1"/>
      <c r="T3313" s="117"/>
      <c r="W3313" s="75" t="str">
        <f t="shared" si="62"/>
        <v>1w</v>
      </c>
      <c r="X3313" s="148">
        <f>_xll.qlCalendarAdvance(Calendar,X3312,W3313,"f",FALSE)</f>
        <v>62173</v>
      </c>
      <c r="Y3313" s="153">
        <f>_xll.qlCalendarAdvance(Calendar,X3313,NDays&amp;"D")</f>
        <v>62173</v>
      </c>
      <c r="Z3313" s="154">
        <v>2.9142866026941158E-2</v>
      </c>
      <c r="AA3313" s="156">
        <v>2.9025735467551238E-2</v>
      </c>
    </row>
    <row r="3314" spans="19:27" x14ac:dyDescent="0.2">
      <c r="S3314" s="1"/>
      <c r="T3314" s="117"/>
      <c r="W3314" s="75" t="str">
        <f t="shared" si="62"/>
        <v>1w</v>
      </c>
      <c r="X3314" s="148">
        <f>_xll.qlCalendarAdvance(Calendar,X3313,W3314,"f",FALSE)</f>
        <v>62184</v>
      </c>
      <c r="Y3314" s="153">
        <f>_xll.qlCalendarAdvance(Calendar,X3314,NDays&amp;"D")</f>
        <v>62184</v>
      </c>
      <c r="Z3314" s="154">
        <v>2.9141834998458925E-2</v>
      </c>
      <c r="AA3314" s="156">
        <v>2.9026056474066309E-2</v>
      </c>
    </row>
    <row r="3315" spans="19:27" x14ac:dyDescent="0.2">
      <c r="S3315" s="1"/>
      <c r="T3315" s="117"/>
      <c r="W3315" s="75" t="str">
        <f t="shared" si="62"/>
        <v>1w</v>
      </c>
      <c r="X3315" s="148">
        <f>_xll.qlCalendarAdvance(Calendar,X3314,W3315,"f",FALSE)</f>
        <v>62191</v>
      </c>
      <c r="Y3315" s="153">
        <f>_xll.qlCalendarAdvance(Calendar,X3315,NDays&amp;"D")</f>
        <v>62191</v>
      </c>
      <c r="Z3315" s="154">
        <v>2.9143628519441814E-2</v>
      </c>
      <c r="AA3315" s="156">
        <v>2.9027887219831294E-2</v>
      </c>
    </row>
    <row r="3316" spans="19:27" x14ac:dyDescent="0.2">
      <c r="S3316" s="1"/>
      <c r="T3316" s="117"/>
      <c r="W3316" s="75" t="str">
        <f t="shared" si="62"/>
        <v>1w</v>
      </c>
      <c r="X3316" s="148">
        <f>_xll.qlCalendarAdvance(Calendar,X3315,W3316,"f",FALSE)</f>
        <v>62198</v>
      </c>
      <c r="Y3316" s="153">
        <f>_xll.qlCalendarAdvance(Calendar,X3316,NDays&amp;"D")</f>
        <v>62198</v>
      </c>
      <c r="Z3316" s="154">
        <v>2.9145414204356387E-2</v>
      </c>
      <c r="AA3316" s="156">
        <v>2.9029710184585999E-2</v>
      </c>
    </row>
    <row r="3317" spans="19:27" x14ac:dyDescent="0.2">
      <c r="S3317" s="1"/>
      <c r="T3317" s="117"/>
      <c r="W3317" s="75" t="str">
        <f t="shared" si="62"/>
        <v>1w</v>
      </c>
      <c r="X3317" s="148">
        <f>_xll.qlCalendarAdvance(Calendar,X3316,W3317,"f",FALSE)</f>
        <v>62205</v>
      </c>
      <c r="Y3317" s="153">
        <f>_xll.qlCalendarAdvance(Calendar,X3317,NDays&amp;"D")</f>
        <v>62205</v>
      </c>
      <c r="Z3317" s="154">
        <v>2.9147192053196411E-2</v>
      </c>
      <c r="AA3317" s="156">
        <v>2.9031525368492517E-2</v>
      </c>
    </row>
    <row r="3318" spans="19:27" x14ac:dyDescent="0.2">
      <c r="S3318" s="1"/>
      <c r="T3318" s="117"/>
      <c r="W3318" s="75" t="str">
        <f t="shared" si="62"/>
        <v>1w</v>
      </c>
      <c r="X3318" s="148">
        <f>_xll.qlCalendarAdvance(Calendar,X3317,W3318,"f",FALSE)</f>
        <v>62212</v>
      </c>
      <c r="Y3318" s="153">
        <f>_xll.qlCalendarAdvance(Calendar,X3318,NDays&amp;"D")</f>
        <v>62212</v>
      </c>
      <c r="Z3318" s="154">
        <v>2.914896206594586E-2</v>
      </c>
      <c r="AA3318" s="156">
        <v>2.9033332771388753E-2</v>
      </c>
    </row>
    <row r="3319" spans="19:27" x14ac:dyDescent="0.2">
      <c r="S3319" s="1"/>
      <c r="T3319" s="117"/>
      <c r="W3319" s="75" t="str">
        <f t="shared" si="62"/>
        <v>1w</v>
      </c>
      <c r="X3319" s="148">
        <f>_xll.qlCalendarAdvance(Calendar,X3318,W3319,"f",FALSE)</f>
        <v>62219</v>
      </c>
      <c r="Y3319" s="153">
        <f>_xll.qlCalendarAdvance(Calendar,X3319,NDays&amp;"D")</f>
        <v>62219</v>
      </c>
      <c r="Z3319" s="154">
        <v>2.9152009885158287E-2</v>
      </c>
      <c r="AA3319" s="156">
        <v>2.9035132393355756E-2</v>
      </c>
    </row>
    <row r="3320" spans="19:27" x14ac:dyDescent="0.2">
      <c r="S3320" s="1"/>
      <c r="T3320" s="117"/>
      <c r="W3320" s="75" t="str">
        <f t="shared" si="62"/>
        <v>1w</v>
      </c>
      <c r="X3320" s="148">
        <f>_xll.qlCalendarAdvance(Calendar,X3319,W3320,"f",FALSE)</f>
        <v>62226</v>
      </c>
      <c r="Y3320" s="153">
        <f>_xll.qlCalendarAdvance(Calendar,X3320,NDays&amp;"D")</f>
        <v>62226</v>
      </c>
      <c r="Z3320" s="154">
        <v>2.9153763805547756E-2</v>
      </c>
      <c r="AA3320" s="156">
        <v>2.9036924234312478E-2</v>
      </c>
    </row>
    <row r="3321" spans="19:27" x14ac:dyDescent="0.2">
      <c r="S3321" s="1"/>
      <c r="T3321" s="117"/>
      <c r="W3321" s="75" t="str">
        <f t="shared" si="62"/>
        <v>1w</v>
      </c>
      <c r="X3321" s="148">
        <f>_xll.qlCalendarAdvance(Calendar,X3320,W3321,"f",FALSE)</f>
        <v>62233</v>
      </c>
      <c r="Y3321" s="153">
        <f>_xll.qlCalendarAdvance(Calendar,X3321,NDays&amp;"D")</f>
        <v>62233</v>
      </c>
      <c r="Z3321" s="154">
        <v>2.9155509889201459E-2</v>
      </c>
      <c r="AA3321" s="156">
        <v>2.9038708294583104E-2</v>
      </c>
    </row>
    <row r="3322" spans="19:27" x14ac:dyDescent="0.2">
      <c r="S3322" s="1"/>
      <c r="T3322" s="117"/>
      <c r="W3322" s="75" t="str">
        <f t="shared" si="62"/>
        <v>1w</v>
      </c>
      <c r="X3322" s="148">
        <f>_xll.qlCalendarAdvance(Calendar,X3321,W3322,"f",FALSE)</f>
        <v>62240</v>
      </c>
      <c r="Y3322" s="153">
        <f>_xll.qlCalendarAdvance(Calendar,X3322,NDays&amp;"D")</f>
        <v>62240</v>
      </c>
      <c r="Z3322" s="154">
        <v>2.9157248136112347E-2</v>
      </c>
      <c r="AA3322" s="156">
        <v>2.9040484573681358E-2</v>
      </c>
    </row>
    <row r="3323" spans="19:27" x14ac:dyDescent="0.2">
      <c r="S3323" s="1"/>
      <c r="T3323" s="117"/>
      <c r="W3323" s="75" t="str">
        <f t="shared" si="62"/>
        <v>1w</v>
      </c>
      <c r="X3323" s="148">
        <f>_xll.qlCalendarAdvance(Calendar,X3322,W3323,"f",FALSE)</f>
        <v>62247</v>
      </c>
      <c r="Y3323" s="153">
        <f>_xll.qlCalendarAdvance(Calendar,X3323,NDays&amp;"D")</f>
        <v>62247</v>
      </c>
      <c r="Z3323" s="154">
        <v>2.9158978546267214E-2</v>
      </c>
      <c r="AA3323" s="156">
        <v>2.9042253071850377E-2</v>
      </c>
    </row>
    <row r="3324" spans="19:27" x14ac:dyDescent="0.2">
      <c r="S3324" s="1"/>
      <c r="T3324" s="117"/>
      <c r="W3324" s="75" t="str">
        <f t="shared" si="62"/>
        <v>1w</v>
      </c>
      <c r="X3324" s="148">
        <f>_xll.qlCalendarAdvance(Calendar,X3323,W3324,"f",FALSE)</f>
        <v>62254</v>
      </c>
      <c r="Y3324" s="153">
        <f>_xll.qlCalendarAdvance(Calendar,X3324,NDays&amp;"D")</f>
        <v>62254</v>
      </c>
      <c r="Z3324" s="154">
        <v>2.9160701119656358E-2</v>
      </c>
      <c r="AA3324" s="156">
        <v>2.9044013789090162E-2</v>
      </c>
    </row>
    <row r="3325" spans="19:27" x14ac:dyDescent="0.2">
      <c r="S3325" s="1"/>
      <c r="T3325" s="117"/>
      <c r="W3325" s="75" t="str">
        <f t="shared" si="62"/>
        <v>1w</v>
      </c>
      <c r="X3325" s="148">
        <f>_xll.qlCalendarAdvance(Calendar,X3324,W3325,"f",FALSE)</f>
        <v>62261</v>
      </c>
      <c r="Y3325" s="153">
        <f>_xll.qlCalendarAdvance(Calendar,X3325,NDays&amp;"D")</f>
        <v>62261</v>
      </c>
      <c r="Z3325" s="154">
        <v>2.9162415856270097E-2</v>
      </c>
      <c r="AA3325" s="156">
        <v>2.9045766725643851E-2</v>
      </c>
    </row>
    <row r="3326" spans="19:27" x14ac:dyDescent="0.2">
      <c r="S3326" s="1"/>
      <c r="T3326" s="117"/>
      <c r="W3326" s="75" t="str">
        <f t="shared" si="62"/>
        <v>1w</v>
      </c>
      <c r="X3326" s="148">
        <f>_xll.qlCalendarAdvance(Calendar,X3325,W3326,"f",FALSE)</f>
        <v>62268</v>
      </c>
      <c r="Y3326" s="153">
        <f>_xll.qlCalendarAdvance(Calendar,X3326,NDays&amp;"D")</f>
        <v>62268</v>
      </c>
      <c r="Z3326" s="154">
        <v>2.916412275609874E-2</v>
      </c>
      <c r="AA3326" s="156">
        <v>2.9047511881025168E-2</v>
      </c>
    </row>
    <row r="3327" spans="19:27" x14ac:dyDescent="0.2">
      <c r="S3327" s="1"/>
      <c r="T3327" s="117"/>
      <c r="W3327" s="75" t="str">
        <f t="shared" si="62"/>
        <v>1w</v>
      </c>
      <c r="X3327" s="148">
        <f>_xll.qlCalendarAdvance(Calendar,X3326,W3327,"f",FALSE)</f>
        <v>62275</v>
      </c>
      <c r="Y3327" s="153">
        <f>_xll.qlCalendarAdvance(Calendar,X3327,NDays&amp;"D")</f>
        <v>62275</v>
      </c>
      <c r="Z3327" s="154">
        <v>2.9165821819129068E-2</v>
      </c>
      <c r="AA3327" s="156">
        <v>2.9049249255315157E-2</v>
      </c>
    </row>
    <row r="3328" spans="19:27" x14ac:dyDescent="0.2">
      <c r="S3328" s="1"/>
      <c r="T3328" s="117"/>
      <c r="W3328" s="75" t="str">
        <f t="shared" si="62"/>
        <v>1w</v>
      </c>
      <c r="X3328" s="148">
        <f>_xll.qlCalendarAdvance(Calendar,X3327,W3328,"f",FALSE)</f>
        <v>62282</v>
      </c>
      <c r="Y3328" s="153">
        <f>_xll.qlCalendarAdvance(Calendar,X3328,NDays&amp;"D")</f>
        <v>62282</v>
      </c>
      <c r="Z3328" s="154">
        <v>2.916751304535492E-2</v>
      </c>
      <c r="AA3328" s="156">
        <v>2.9050978849000098E-2</v>
      </c>
    </row>
    <row r="3329" spans="19:27" x14ac:dyDescent="0.2">
      <c r="S3329" s="1"/>
      <c r="T3329" s="117"/>
      <c r="W3329" s="75" t="str">
        <f t="shared" si="62"/>
        <v>1w</v>
      </c>
      <c r="X3329" s="148">
        <f>_xll.qlCalendarAdvance(Calendar,X3328,W3329,"f",FALSE)</f>
        <v>62289</v>
      </c>
      <c r="Y3329" s="153">
        <f>_xll.qlCalendarAdvance(Calendar,X3329,NDays&amp;"D")</f>
        <v>62289</v>
      </c>
      <c r="Z3329" s="154">
        <v>2.9169196434766603E-2</v>
      </c>
      <c r="AA3329" s="156">
        <v>2.9052700661593711E-2</v>
      </c>
    </row>
    <row r="3330" spans="19:27" x14ac:dyDescent="0.2">
      <c r="S3330" s="1"/>
      <c r="T3330" s="117"/>
      <c r="W3330" s="75" t="str">
        <f t="shared" si="62"/>
        <v>1w</v>
      </c>
      <c r="X3330" s="148">
        <f>_xll.qlCalendarAdvance(Calendar,X3329,W3330,"f",FALSE)</f>
        <v>62296</v>
      </c>
      <c r="Y3330" s="153">
        <f>_xll.qlCalendarAdvance(Calendar,X3330,NDays&amp;"D")</f>
        <v>62296</v>
      </c>
      <c r="Z3330" s="154">
        <v>2.9170871987350903E-2</v>
      </c>
      <c r="AA3330" s="156">
        <v>2.9054414693095998E-2</v>
      </c>
    </row>
    <row r="3331" spans="19:27" x14ac:dyDescent="0.2">
      <c r="S3331" s="1"/>
      <c r="T3331" s="117"/>
      <c r="W3331" s="75" t="str">
        <f t="shared" si="62"/>
        <v>1w</v>
      </c>
      <c r="X3331" s="148">
        <f>_xll.qlCalendarAdvance(Calendar,X3330,W3331,"f",FALSE)</f>
        <v>62303</v>
      </c>
      <c r="Y3331" s="153">
        <f>_xll.qlCalendarAdvance(Calendar,X3331,NDays&amp;"D")</f>
        <v>62303</v>
      </c>
      <c r="Z3331" s="154">
        <v>2.9172539703101654E-2</v>
      </c>
      <c r="AA3331" s="156">
        <v>2.9056120943831143E-2</v>
      </c>
    </row>
    <row r="3332" spans="19:27" x14ac:dyDescent="0.2">
      <c r="S3332" s="1"/>
      <c r="T3332" s="117"/>
      <c r="W3332" s="75" t="str">
        <f t="shared" si="62"/>
        <v>1w</v>
      </c>
      <c r="X3332" s="148">
        <f>_xll.qlCalendarAdvance(Calendar,X3331,W3332,"f",FALSE)</f>
        <v>62310</v>
      </c>
      <c r="Y3332" s="153">
        <f>_xll.qlCalendarAdvance(Calendar,X3332,NDays&amp;"D")</f>
        <v>62310</v>
      </c>
      <c r="Z3332" s="154">
        <v>2.9174199582005643E-2</v>
      </c>
      <c r="AA3332" s="156">
        <v>2.90578194137181E-2</v>
      </c>
    </row>
    <row r="3333" spans="19:27" x14ac:dyDescent="0.2">
      <c r="S3333" s="1"/>
      <c r="T3333" s="117"/>
      <c r="W3333" s="75" t="str">
        <f t="shared" si="62"/>
        <v>1w</v>
      </c>
      <c r="X3333" s="148">
        <f>_xll.qlCalendarAdvance(Calendar,X3332,W3333,"f",FALSE)</f>
        <v>62317</v>
      </c>
      <c r="Y3333" s="153">
        <f>_xll.qlCalendarAdvance(Calendar,X3333,NDays&amp;"D")</f>
        <v>62317</v>
      </c>
      <c r="Z3333" s="154">
        <v>2.9175851624056698E-2</v>
      </c>
      <c r="AA3333" s="156">
        <v>2.9059510102594777E-2</v>
      </c>
    </row>
    <row r="3334" spans="19:27" x14ac:dyDescent="0.2">
      <c r="S3334" s="1"/>
      <c r="T3334" s="117"/>
      <c r="W3334" s="75" t="str">
        <f t="shared" si="62"/>
        <v>1w</v>
      </c>
      <c r="X3334" s="148">
        <f>_xll.qlCalendarAdvance(Calendar,X3333,W3334,"f",FALSE)</f>
        <v>62324</v>
      </c>
      <c r="Y3334" s="153">
        <f>_xll.qlCalendarAdvance(Calendar,X3334,NDays&amp;"D")</f>
        <v>62324</v>
      </c>
      <c r="Z3334" s="154">
        <v>2.9177495829239852E-2</v>
      </c>
      <c r="AA3334" s="156">
        <v>2.906119301029908E-2</v>
      </c>
    </row>
    <row r="3335" spans="19:27" x14ac:dyDescent="0.2">
      <c r="S3335" s="1"/>
      <c r="T3335" s="117"/>
      <c r="W3335" s="75" t="str">
        <f t="shared" si="62"/>
        <v>1w</v>
      </c>
      <c r="X3335" s="148">
        <f>_xll.qlCalendarAdvance(Calendar,X3334,W3335,"f",FALSE)</f>
        <v>62331</v>
      </c>
      <c r="Y3335" s="153">
        <f>_xll.qlCalendarAdvance(Calendar,X3335,NDays&amp;"D")</f>
        <v>62331</v>
      </c>
      <c r="Z3335" s="154">
        <v>2.9179132197551572E-2</v>
      </c>
      <c r="AA3335" s="156">
        <v>2.9062868137398334E-2</v>
      </c>
    </row>
    <row r="3336" spans="19:27" x14ac:dyDescent="0.2">
      <c r="S3336" s="1"/>
      <c r="T3336" s="117"/>
      <c r="W3336" s="75" t="str">
        <f t="shared" si="62"/>
        <v>1w</v>
      </c>
      <c r="X3336" s="148">
        <f>_xll.qlCalendarAdvance(Calendar,X3335,W3336,"f",FALSE)</f>
        <v>62338</v>
      </c>
      <c r="Y3336" s="153">
        <f>_xll.qlCalendarAdvance(Calendar,X3336,NDays&amp;"D")</f>
        <v>62338</v>
      </c>
      <c r="Z3336" s="154">
        <v>2.9179482312878129E-2</v>
      </c>
      <c r="AA3336" s="156">
        <v>2.9064535483406262E-2</v>
      </c>
    </row>
    <row r="3337" spans="19:27" x14ac:dyDescent="0.2">
      <c r="S3337" s="1"/>
      <c r="T3337" s="117"/>
      <c r="W3337" s="75" t="str">
        <f t="shared" si="62"/>
        <v>1w</v>
      </c>
      <c r="X3337" s="148">
        <f>_xll.qlCalendarAdvance(Calendar,X3336,W3337,"f",FALSE)</f>
        <v>62345</v>
      </c>
      <c r="Y3337" s="153">
        <f>_xll.qlCalendarAdvance(Calendar,X3337,NDays&amp;"D")</f>
        <v>62345</v>
      </c>
      <c r="Z3337" s="154">
        <v>2.9181103438052292E-2</v>
      </c>
      <c r="AA3337" s="156">
        <v>2.9066195048484955E-2</v>
      </c>
    </row>
    <row r="3338" spans="19:27" x14ac:dyDescent="0.2">
      <c r="S3338" s="1"/>
      <c r="T3338" s="117"/>
      <c r="W3338" s="75" t="str">
        <f t="shared" si="62"/>
        <v>1w</v>
      </c>
      <c r="X3338" s="148">
        <f>_xll.qlCalendarAdvance(Calendar,X3337,W3338,"f",FALSE)</f>
        <v>62352</v>
      </c>
      <c r="Y3338" s="153">
        <f>_xll.qlCalendarAdvance(Calendar,X3338,NDays&amp;"D")</f>
        <v>62352</v>
      </c>
      <c r="Z3338" s="154">
        <v>2.9182716726939936E-2</v>
      </c>
      <c r="AA3338" s="156">
        <v>2.9067846832553368E-2</v>
      </c>
    </row>
    <row r="3339" spans="19:27" x14ac:dyDescent="0.2">
      <c r="S3339" s="1"/>
      <c r="T3339" s="117"/>
      <c r="W3339" s="75" t="str">
        <f t="shared" si="62"/>
        <v>1w</v>
      </c>
      <c r="X3339" s="148">
        <f>_xll.qlCalendarAdvance(Calendar,X3338,W3339,"f",FALSE)</f>
        <v>62359</v>
      </c>
      <c r="Y3339" s="153">
        <f>_xll.qlCalendarAdvance(Calendar,X3339,NDays&amp;"D")</f>
        <v>62359</v>
      </c>
      <c r="Z3339" s="154">
        <v>2.9184322179532159E-2</v>
      </c>
      <c r="AA3339" s="156">
        <v>2.9069490835773593E-2</v>
      </c>
    </row>
    <row r="3340" spans="19:27" x14ac:dyDescent="0.2">
      <c r="S3340" s="1"/>
      <c r="T3340" s="117"/>
      <c r="W3340" s="75" t="str">
        <f t="shared" si="62"/>
        <v>1w</v>
      </c>
      <c r="X3340" s="148">
        <f>_xll.qlCalendarAdvance(Calendar,X3339,W3340,"f",FALSE)</f>
        <v>62366</v>
      </c>
      <c r="Y3340" s="153">
        <f>_xll.qlCalendarAdvance(Calendar,X3340,NDays&amp;"D")</f>
        <v>62366</v>
      </c>
      <c r="Z3340" s="154">
        <v>2.918719648565201E-2</v>
      </c>
      <c r="AA3340" s="156">
        <v>2.9071127057983537E-2</v>
      </c>
    </row>
    <row r="3341" spans="19:27" x14ac:dyDescent="0.2">
      <c r="S3341" s="1"/>
      <c r="T3341" s="117"/>
      <c r="W3341" s="75" t="str">
        <f t="shared" si="62"/>
        <v>1w</v>
      </c>
      <c r="X3341" s="148">
        <f>_xll.qlCalendarAdvance(Calendar,X3340,W3341,"f",FALSE)</f>
        <v>62373</v>
      </c>
      <c r="Y3341" s="153">
        <f>_xll.qlCalendarAdvance(Calendar,X3341,NDays&amp;"D")</f>
        <v>62373</v>
      </c>
      <c r="Z3341" s="154">
        <v>2.918878583251492E-2</v>
      </c>
      <c r="AA3341" s="156">
        <v>2.90727554991832E-2</v>
      </c>
    </row>
    <row r="3342" spans="19:27" x14ac:dyDescent="0.2">
      <c r="S3342" s="1"/>
      <c r="T3342" s="117"/>
      <c r="W3342" s="75" t="str">
        <f t="shared" si="62"/>
        <v>1w</v>
      </c>
      <c r="X3342" s="148">
        <f>_xll.qlCalendarAdvance(Calendar,X3341,W3342,"f",FALSE)</f>
        <v>62380</v>
      </c>
      <c r="Y3342" s="153">
        <f>_xll.qlCalendarAdvance(Calendar,X3342,NDays&amp;"D")</f>
        <v>62380</v>
      </c>
      <c r="Z3342" s="154">
        <v>2.9190367342438569E-2</v>
      </c>
      <c r="AA3342" s="156">
        <v>2.9074376159615722E-2</v>
      </c>
    </row>
    <row r="3343" spans="19:27" x14ac:dyDescent="0.2">
      <c r="S3343" s="1"/>
      <c r="T3343" s="117"/>
      <c r="W3343" s="75" t="str">
        <f t="shared" si="62"/>
        <v>1w</v>
      </c>
      <c r="X3343" s="148">
        <f>_xll.qlCalendarAdvance(Calendar,X3342,W3343,"f",FALSE)</f>
        <v>62387</v>
      </c>
      <c r="Y3343" s="153">
        <f>_xll.qlCalendarAdvance(Calendar,X3343,NDays&amp;"D")</f>
        <v>62387</v>
      </c>
      <c r="Z3343" s="154">
        <v>2.919194101541062E-2</v>
      </c>
      <c r="AA3343" s="156">
        <v>2.907598903911901E-2</v>
      </c>
    </row>
    <row r="3344" spans="19:27" x14ac:dyDescent="0.2">
      <c r="S3344" s="1"/>
      <c r="T3344" s="117"/>
      <c r="W3344" s="75" t="str">
        <f t="shared" si="62"/>
        <v>1w</v>
      </c>
      <c r="X3344" s="148">
        <f>_xll.qlCalendarAdvance(Calendar,X3343,W3344,"f",FALSE)</f>
        <v>62394</v>
      </c>
      <c r="Y3344" s="153">
        <f>_xll.qlCalendarAdvance(Calendar,X3344,NDays&amp;"D")</f>
        <v>62394</v>
      </c>
      <c r="Z3344" s="154">
        <v>2.9193506851424033E-2</v>
      </c>
      <c r="AA3344" s="156">
        <v>2.9077594137530971E-2</v>
      </c>
    </row>
    <row r="3345" spans="19:27" x14ac:dyDescent="0.2">
      <c r="S3345" s="1"/>
      <c r="T3345" s="117"/>
      <c r="W3345" s="75" t="str">
        <f t="shared" si="62"/>
        <v>1w</v>
      </c>
      <c r="X3345" s="148">
        <f>_xll.qlCalendarAdvance(Calendar,X3344,W3345,"f",FALSE)</f>
        <v>62401</v>
      </c>
      <c r="Y3345" s="153">
        <f>_xll.qlCalendarAdvance(Calendar,X3345,NDays&amp;"D")</f>
        <v>62401</v>
      </c>
      <c r="Z3345" s="154">
        <v>2.919506485046823E-2</v>
      </c>
      <c r="AA3345" s="156">
        <v>2.9079191454932651E-2</v>
      </c>
    </row>
    <row r="3346" spans="19:27" x14ac:dyDescent="0.2">
      <c r="S3346" s="1"/>
      <c r="T3346" s="117"/>
      <c r="W3346" s="75" t="str">
        <f t="shared" si="62"/>
        <v>1w</v>
      </c>
      <c r="X3346" s="148">
        <f>_xll.qlCalendarAdvance(Calendar,X3345,W3346,"f",FALSE)</f>
        <v>62408</v>
      </c>
      <c r="Y3346" s="153">
        <f>_xll.qlCalendarAdvance(Calendar,X3346,NDays&amp;"D")</f>
        <v>62408</v>
      </c>
      <c r="Z3346" s="154">
        <v>2.9196615012535284E-2</v>
      </c>
      <c r="AA3346" s="156">
        <v>2.9080780991729283E-2</v>
      </c>
    </row>
    <row r="3347" spans="19:27" x14ac:dyDescent="0.2">
      <c r="S3347" s="1"/>
      <c r="T3347" s="117"/>
      <c r="W3347" s="75" t="str">
        <f t="shared" si="62"/>
        <v>1w</v>
      </c>
      <c r="X3347" s="148">
        <f>_xll.qlCalendarAdvance(Calendar,X3346,W3347,"f",FALSE)</f>
        <v>62415</v>
      </c>
      <c r="Y3347" s="153">
        <f>_xll.qlCalendarAdvance(Calendar,X3347,NDays&amp;"D")</f>
        <v>62415</v>
      </c>
      <c r="Z3347" s="154">
        <v>2.9198157337615507E-2</v>
      </c>
      <c r="AA3347" s="156">
        <v>2.9082362747353541E-2</v>
      </c>
    </row>
    <row r="3348" spans="19:27" x14ac:dyDescent="0.2">
      <c r="S3348" s="1"/>
      <c r="T3348" s="117"/>
      <c r="W3348" s="75" t="str">
        <f t="shared" si="62"/>
        <v>1w</v>
      </c>
      <c r="X3348" s="148">
        <f>_xll.qlCalendarAdvance(Calendar,X3347,W3348,"f",FALSE)</f>
        <v>62422</v>
      </c>
      <c r="Y3348" s="153">
        <f>_xll.qlCalendarAdvance(Calendar,X3348,NDays&amp;"D")</f>
        <v>62422</v>
      </c>
      <c r="Z3348" s="154">
        <v>2.9199691825700088E-2</v>
      </c>
      <c r="AA3348" s="156">
        <v>2.9083936722129611E-2</v>
      </c>
    </row>
    <row r="3349" spans="19:27" x14ac:dyDescent="0.2">
      <c r="S3349" s="1"/>
      <c r="T3349" s="117"/>
      <c r="W3349" s="75" t="str">
        <f t="shared" ref="W3349:W3412" si="63">W3348</f>
        <v>1w</v>
      </c>
      <c r="X3349" s="148">
        <f>_xll.qlCalendarAdvance(Calendar,X3348,W3349,"f",FALSE)</f>
        <v>62429</v>
      </c>
      <c r="Y3349" s="153">
        <f>_xll.qlCalendarAdvance(Calendar,X3349,NDays&amp;"D")</f>
        <v>62429</v>
      </c>
      <c r="Z3349" s="154">
        <v>2.9198672963465025E-2</v>
      </c>
      <c r="AA3349" s="156">
        <v>2.9085502915814354E-2</v>
      </c>
    </row>
    <row r="3350" spans="19:27" x14ac:dyDescent="0.2">
      <c r="S3350" s="1"/>
      <c r="T3350" s="117"/>
      <c r="W3350" s="75" t="str">
        <f t="shared" si="63"/>
        <v>1w</v>
      </c>
      <c r="X3350" s="148">
        <f>_xll.qlCalendarAdvance(Calendar,X3349,W3350,"f",FALSE)</f>
        <v>62436</v>
      </c>
      <c r="Y3350" s="153">
        <f>_xll.qlCalendarAdvance(Calendar,X3350,NDays&amp;"D")</f>
        <v>62436</v>
      </c>
      <c r="Z3350" s="154">
        <v>2.9200192654810997E-2</v>
      </c>
      <c r="AA3350" s="156">
        <v>2.9087061328731956E-2</v>
      </c>
    </row>
    <row r="3351" spans="19:27" x14ac:dyDescent="0.2">
      <c r="S3351" s="1"/>
      <c r="T3351" s="117"/>
      <c r="W3351" s="75" t="str">
        <f t="shared" si="63"/>
        <v>1w</v>
      </c>
      <c r="X3351" s="148">
        <f>_xll.qlCalendarAdvance(Calendar,X3350,W3351,"f",FALSE)</f>
        <v>62443</v>
      </c>
      <c r="Y3351" s="153">
        <f>_xll.qlCalendarAdvance(Calendar,X3351,NDays&amp;"D")</f>
        <v>62443</v>
      </c>
      <c r="Z3351" s="154">
        <v>2.9201704510372014E-2</v>
      </c>
      <c r="AA3351" s="156">
        <v>2.9088611960558231E-2</v>
      </c>
    </row>
    <row r="3352" spans="19:27" x14ac:dyDescent="0.2">
      <c r="S3352" s="1"/>
      <c r="T3352" s="117"/>
      <c r="W3352" s="75" t="str">
        <f t="shared" si="63"/>
        <v>1w</v>
      </c>
      <c r="X3352" s="148">
        <f>_xll.qlCalendarAdvance(Calendar,X3351,W3352,"f",FALSE)</f>
        <v>62450</v>
      </c>
      <c r="Y3352" s="153">
        <f>_xll.qlCalendarAdvance(Calendar,X3352,NDays&amp;"D")</f>
        <v>62450</v>
      </c>
      <c r="Z3352" s="154">
        <v>2.9203208530140863E-2</v>
      </c>
      <c r="AA3352" s="156">
        <v>2.9090154811536317E-2</v>
      </c>
    </row>
    <row r="3353" spans="19:27" x14ac:dyDescent="0.2">
      <c r="S3353" s="1"/>
      <c r="T3353" s="117"/>
      <c r="W3353" s="75" t="str">
        <f t="shared" si="63"/>
        <v>1w</v>
      </c>
      <c r="X3353" s="148">
        <f>_xll.qlCalendarAdvance(Calendar,X3352,W3353,"f",FALSE)</f>
        <v>62457</v>
      </c>
      <c r="Y3353" s="153">
        <f>_xll.qlCalendarAdvance(Calendar,X3353,NDays&amp;"D")</f>
        <v>62457</v>
      </c>
      <c r="Z3353" s="154">
        <v>2.9204704714105845E-2</v>
      </c>
      <c r="AA3353" s="156">
        <v>2.9091689881423077E-2</v>
      </c>
    </row>
    <row r="3354" spans="19:27" x14ac:dyDescent="0.2">
      <c r="S3354" s="1"/>
      <c r="T3354" s="117"/>
      <c r="W3354" s="75" t="str">
        <f t="shared" si="63"/>
        <v>1w</v>
      </c>
      <c r="X3354" s="148">
        <f>_xll.qlCalendarAdvance(Calendar,X3353,W3354,"f",FALSE)</f>
        <v>62464</v>
      </c>
      <c r="Y3354" s="153">
        <f>_xll.qlCalendarAdvance(Calendar,X3354,NDays&amp;"D")</f>
        <v>62464</v>
      </c>
      <c r="Z3354" s="154">
        <v>2.9206193062259751E-2</v>
      </c>
      <c r="AA3354" s="156">
        <v>2.9093217170542696E-2</v>
      </c>
    </row>
    <row r="3355" spans="19:27" x14ac:dyDescent="0.2">
      <c r="S3355" s="1"/>
      <c r="T3355" s="117"/>
      <c r="W3355" s="75" t="str">
        <f t="shared" si="63"/>
        <v>1w</v>
      </c>
      <c r="X3355" s="148">
        <f>_xll.qlCalendarAdvance(Calendar,X3354,W3355,"f",FALSE)</f>
        <v>62471</v>
      </c>
      <c r="Y3355" s="153">
        <f>_xll.qlCalendarAdvance(Calendar,X3355,NDays&amp;"D")</f>
        <v>62471</v>
      </c>
      <c r="Z3355" s="154">
        <v>2.9207673574595382E-2</v>
      </c>
      <c r="AA3355" s="156">
        <v>2.909473667873308E-2</v>
      </c>
    </row>
    <row r="3356" spans="19:27" x14ac:dyDescent="0.2">
      <c r="S3356" s="1"/>
      <c r="T3356" s="117"/>
      <c r="W3356" s="75" t="str">
        <f t="shared" si="63"/>
        <v>1w</v>
      </c>
      <c r="X3356" s="148">
        <f>_xll.qlCalendarAdvance(Calendar,X3355,W3356,"f",FALSE)</f>
        <v>62478</v>
      </c>
      <c r="Y3356" s="153">
        <f>_xll.qlCalendarAdvance(Calendar,X3356,NDays&amp;"D")</f>
        <v>62478</v>
      </c>
      <c r="Z3356" s="154">
        <v>2.9210415911651837E-2</v>
      </c>
      <c r="AA3356" s="156">
        <v>2.9096248405832137E-2</v>
      </c>
    </row>
    <row r="3357" spans="19:27" x14ac:dyDescent="0.2">
      <c r="S3357" s="1"/>
      <c r="T3357" s="117"/>
      <c r="W3357" s="75" t="str">
        <f t="shared" si="63"/>
        <v>1w</v>
      </c>
      <c r="X3357" s="148">
        <f>_xll.qlCalendarAdvance(Calendar,X3356,W3357,"f",FALSE)</f>
        <v>62485</v>
      </c>
      <c r="Y3357" s="153">
        <f>_xll.qlCalendarAdvance(Calendar,X3357,NDays&amp;"D")</f>
        <v>62485</v>
      </c>
      <c r="Z3357" s="154">
        <v>2.9210611091773982E-2</v>
      </c>
      <c r="AA3357" s="156">
        <v>2.9097752352083006E-2</v>
      </c>
    </row>
    <row r="3358" spans="19:27" x14ac:dyDescent="0.2">
      <c r="S3358" s="1"/>
      <c r="T3358" s="117"/>
      <c r="W3358" s="75" t="str">
        <f t="shared" si="63"/>
        <v>1w</v>
      </c>
      <c r="X3358" s="148">
        <f>_xll.qlCalendarAdvance(Calendar,X3357,W3358,"f",FALSE)</f>
        <v>62492</v>
      </c>
      <c r="Y3358" s="153">
        <f>_xll.qlCalendarAdvance(Calendar,X3358,NDays&amp;"D")</f>
        <v>62492</v>
      </c>
      <c r="Z3358" s="154">
        <v>2.9213336870658472E-2</v>
      </c>
      <c r="AA3358" s="156">
        <v>2.9099248517404641E-2</v>
      </c>
    </row>
    <row r="3359" spans="19:27" x14ac:dyDescent="0.2">
      <c r="S3359" s="1"/>
      <c r="T3359" s="117"/>
      <c r="W3359" s="75" t="str">
        <f t="shared" si="63"/>
        <v>1w</v>
      </c>
      <c r="X3359" s="148">
        <f>_xll.qlCalendarAdvance(Calendar,X3358,W3359,"f",FALSE)</f>
        <v>62499</v>
      </c>
      <c r="Y3359" s="153">
        <f>_xll.qlCalendarAdvance(Calendar,X3359,NDays&amp;"D")</f>
        <v>62499</v>
      </c>
      <c r="Z3359" s="154">
        <v>2.9213517265575011E-2</v>
      </c>
      <c r="AA3359" s="156">
        <v>2.9100736901715996E-2</v>
      </c>
    </row>
    <row r="3360" spans="19:27" x14ac:dyDescent="0.2">
      <c r="S3360" s="1"/>
      <c r="T3360" s="117"/>
      <c r="W3360" s="75" t="str">
        <f t="shared" si="63"/>
        <v>1w</v>
      </c>
      <c r="X3360" s="148">
        <f>_xll.qlCalendarAdvance(Calendar,X3359,W3360,"f",FALSE)</f>
        <v>62506</v>
      </c>
      <c r="Y3360" s="153">
        <f>_xll.qlCalendarAdvance(Calendar,X3360,NDays&amp;"D")</f>
        <v>62506</v>
      </c>
      <c r="Z3360" s="154">
        <v>2.9214958598687776E-2</v>
      </c>
      <c r="AA3360" s="156">
        <v>2.9102217505098116E-2</v>
      </c>
    </row>
    <row r="3361" spans="19:27" x14ac:dyDescent="0.2">
      <c r="S3361" s="1"/>
      <c r="T3361" s="117"/>
      <c r="W3361" s="75" t="str">
        <f t="shared" si="63"/>
        <v>1w</v>
      </c>
      <c r="X3361" s="148">
        <f>_xll.qlCalendarAdvance(Calendar,X3360,W3361,"f",FALSE)</f>
        <v>62513</v>
      </c>
      <c r="Y3361" s="153">
        <f>_xll.qlCalendarAdvance(Calendar,X3361,NDays&amp;"D")</f>
        <v>62513</v>
      </c>
      <c r="Z3361" s="154">
        <v>2.9217659535599908E-2</v>
      </c>
      <c r="AA3361" s="156">
        <v>2.9103690327632048E-2</v>
      </c>
    </row>
    <row r="3362" spans="19:27" x14ac:dyDescent="0.2">
      <c r="S3362" s="1"/>
      <c r="T3362" s="117"/>
      <c r="W3362" s="75" t="str">
        <f t="shared" si="63"/>
        <v>1w</v>
      </c>
      <c r="X3362" s="148">
        <f>_xll.qlCalendarAdvance(Calendar,X3361,W3362,"f",FALSE)</f>
        <v>62520</v>
      </c>
      <c r="Y3362" s="153">
        <f>_xll.qlCalendarAdvance(Calendar,X3362,NDays&amp;"D")</f>
        <v>62520</v>
      </c>
      <c r="Z3362" s="154">
        <v>2.922035176933194E-2</v>
      </c>
      <c r="AA3362" s="156">
        <v>2.91051553691557E-2</v>
      </c>
    </row>
    <row r="3363" spans="19:27" x14ac:dyDescent="0.2">
      <c r="S3363" s="1"/>
      <c r="T3363" s="117"/>
      <c r="W3363" s="75" t="str">
        <f t="shared" si="63"/>
        <v>1w</v>
      </c>
      <c r="X3363" s="148">
        <f>_xll.qlCalendarAdvance(Calendar,X3362,W3363,"f",FALSE)</f>
        <v>62527</v>
      </c>
      <c r="Y3363" s="153">
        <f>_xll.qlCalendarAdvance(Calendar,X3363,NDays&amp;"D")</f>
        <v>62527</v>
      </c>
      <c r="Z3363" s="154">
        <v>2.9221768701418602E-2</v>
      </c>
      <c r="AA3363" s="156">
        <v>2.9106612629669071E-2</v>
      </c>
    </row>
    <row r="3364" spans="19:27" x14ac:dyDescent="0.2">
      <c r="S3364" s="1"/>
      <c r="T3364" s="117"/>
      <c r="W3364" s="75" t="str">
        <f t="shared" si="63"/>
        <v>1w</v>
      </c>
      <c r="X3364" s="148">
        <f>_xll.qlCalendarAdvance(Calendar,X3363,W3364,"f",FALSE)</f>
        <v>62534</v>
      </c>
      <c r="Y3364" s="153">
        <f>_xll.qlCalendarAdvance(Calendar,X3364,NDays&amp;"D")</f>
        <v>62534</v>
      </c>
      <c r="Z3364" s="154">
        <v>2.9223177796371316E-2</v>
      </c>
      <c r="AA3364" s="156">
        <v>2.9108062109334254E-2</v>
      </c>
    </row>
    <row r="3365" spans="19:27" x14ac:dyDescent="0.2">
      <c r="S3365" s="1"/>
      <c r="T3365" s="117"/>
      <c r="W3365" s="75" t="str">
        <f t="shared" si="63"/>
        <v>1w</v>
      </c>
      <c r="X3365" s="148">
        <f>_xll.qlCalendarAdvance(Calendar,X3364,W3365,"f",FALSE)</f>
        <v>62541</v>
      </c>
      <c r="Y3365" s="153">
        <f>_xll.qlCalendarAdvance(Calendar,X3365,NDays&amp;"D")</f>
        <v>62541</v>
      </c>
      <c r="Z3365" s="154">
        <v>2.9224579054181271E-2</v>
      </c>
      <c r="AA3365" s="156">
        <v>2.9109503808151249E-2</v>
      </c>
    </row>
    <row r="3366" spans="19:27" x14ac:dyDescent="0.2">
      <c r="S3366" s="1"/>
      <c r="T3366" s="117"/>
      <c r="W3366" s="75" t="str">
        <f t="shared" si="63"/>
        <v>1w</v>
      </c>
      <c r="X3366" s="148">
        <f>_xll.qlCalendarAdvance(Calendar,X3365,W3366,"f",FALSE)</f>
        <v>62548</v>
      </c>
      <c r="Y3366" s="153">
        <f>_xll.qlCalendarAdvance(Calendar,X3366,NDays&amp;"D")</f>
        <v>62548</v>
      </c>
      <c r="Z3366" s="154">
        <v>2.9224707247098372E-2</v>
      </c>
      <c r="AA3366" s="156">
        <v>2.9110937725795871E-2</v>
      </c>
    </row>
    <row r="3367" spans="19:27" x14ac:dyDescent="0.2">
      <c r="S3367" s="1"/>
      <c r="T3367" s="117"/>
      <c r="W3367" s="75" t="str">
        <f t="shared" si="63"/>
        <v>1w</v>
      </c>
      <c r="X3367" s="148">
        <f>_xll.qlCalendarAdvance(Calendar,X3366,W3367,"f",FALSE)</f>
        <v>62555</v>
      </c>
      <c r="Y3367" s="153">
        <f>_xll.qlCalendarAdvance(Calendar,X3367,NDays&amp;"D")</f>
        <v>62555</v>
      </c>
      <c r="Z3367" s="154">
        <v>2.9226093279813556E-2</v>
      </c>
      <c r="AA3367" s="156">
        <v>2.9112363862511259E-2</v>
      </c>
    </row>
    <row r="3368" spans="19:27" x14ac:dyDescent="0.2">
      <c r="S3368" s="1"/>
      <c r="T3368" s="117"/>
      <c r="W3368" s="75" t="str">
        <f t="shared" si="63"/>
        <v>1w</v>
      </c>
      <c r="X3368" s="148">
        <f>_xll.qlCalendarAdvance(Calendar,X3367,W3368,"f",FALSE)</f>
        <v>62562</v>
      </c>
      <c r="Y3368" s="153">
        <f>_xll.qlCalendarAdvance(Calendar,X3368,NDays&amp;"D")</f>
        <v>62562</v>
      </c>
      <c r="Z3368" s="154">
        <v>2.9227471475982158E-2</v>
      </c>
      <c r="AA3368" s="156">
        <v>2.9113782218459505E-2</v>
      </c>
    </row>
    <row r="3369" spans="19:27" x14ac:dyDescent="0.2">
      <c r="S3369" s="1"/>
      <c r="T3369" s="117"/>
      <c r="W3369" s="75" t="str">
        <f t="shared" si="63"/>
        <v>1w</v>
      </c>
      <c r="X3369" s="148">
        <f>_xll.qlCalendarAdvance(Calendar,X3368,W3369,"f",FALSE)</f>
        <v>62569</v>
      </c>
      <c r="Y3369" s="153">
        <f>_xll.qlCalendarAdvance(Calendar,X3369,NDays&amp;"D")</f>
        <v>62569</v>
      </c>
      <c r="Z3369" s="154">
        <v>2.9228841835595282E-2</v>
      </c>
      <c r="AA3369" s="156">
        <v>2.9115192793397471E-2</v>
      </c>
    </row>
    <row r="3370" spans="19:27" x14ac:dyDescent="0.2">
      <c r="S3370" s="1"/>
      <c r="T3370" s="117"/>
      <c r="W3370" s="75" t="str">
        <f t="shared" si="63"/>
        <v>1w</v>
      </c>
      <c r="X3370" s="148">
        <f>_xll.qlCalendarAdvance(Calendar,X3369,W3370,"f",FALSE)</f>
        <v>62576</v>
      </c>
      <c r="Y3370" s="153">
        <f>_xll.qlCalendarAdvance(Calendar,X3370,NDays&amp;"D")</f>
        <v>62576</v>
      </c>
      <c r="Z3370" s="154">
        <v>2.9230204358644016E-2</v>
      </c>
      <c r="AA3370" s="156">
        <v>2.9116595587325156E-2</v>
      </c>
    </row>
    <row r="3371" spans="19:27" x14ac:dyDescent="0.2">
      <c r="S3371" s="1"/>
      <c r="T3371" s="117"/>
      <c r="W3371" s="75" t="str">
        <f t="shared" si="63"/>
        <v>1w</v>
      </c>
      <c r="X3371" s="148">
        <f>_xll.qlCalendarAdvance(Calendar,X3370,W3371,"f",FALSE)</f>
        <v>62583</v>
      </c>
      <c r="Y3371" s="153">
        <f>_xll.qlCalendarAdvance(Calendar,X3371,NDays&amp;"D")</f>
        <v>62583</v>
      </c>
      <c r="Z3371" s="154">
        <v>2.9232822020573531E-2</v>
      </c>
      <c r="AA3371" s="156">
        <v>2.9117990600404653E-2</v>
      </c>
    </row>
    <row r="3372" spans="19:27" x14ac:dyDescent="0.2">
      <c r="S3372" s="1"/>
      <c r="T3372" s="117"/>
      <c r="W3372" s="75" t="str">
        <f t="shared" si="63"/>
        <v>1w</v>
      </c>
      <c r="X3372" s="148">
        <f>_xll.qlCalendarAdvance(Calendar,X3371,W3372,"f",FALSE)</f>
        <v>62590</v>
      </c>
      <c r="Y3372" s="153">
        <f>_xll.qlCalendarAdvance(Calendar,X3372,NDays&amp;"D")</f>
        <v>62590</v>
      </c>
      <c r="Z3372" s="154">
        <v>2.9234168418153371E-2</v>
      </c>
      <c r="AA3372" s="156">
        <v>2.9119377832554916E-2</v>
      </c>
    </row>
    <row r="3373" spans="19:27" x14ac:dyDescent="0.2">
      <c r="S3373" s="1"/>
      <c r="T3373" s="117"/>
      <c r="W3373" s="75" t="str">
        <f t="shared" si="63"/>
        <v>1w</v>
      </c>
      <c r="X3373" s="148">
        <f>_xll.qlCalendarAdvance(Calendar,X3372,W3373,"f",FALSE)</f>
        <v>62597</v>
      </c>
      <c r="Y3373" s="153">
        <f>_xll.qlCalendarAdvance(Calendar,X3373,NDays&amp;"D")</f>
        <v>62597</v>
      </c>
      <c r="Z3373" s="154">
        <v>2.9235506978525262E-2</v>
      </c>
      <c r="AA3373" s="156">
        <v>2.9120757283694898E-2</v>
      </c>
    </row>
    <row r="3374" spans="19:27" x14ac:dyDescent="0.2">
      <c r="S3374" s="1"/>
      <c r="T3374" s="117"/>
      <c r="W3374" s="75" t="str">
        <f t="shared" si="63"/>
        <v>1w</v>
      </c>
      <c r="X3374" s="148">
        <f>_xll.qlCalendarAdvance(Calendar,X3373,W3374,"f",FALSE)</f>
        <v>62604</v>
      </c>
      <c r="Y3374" s="153">
        <f>_xll.qlCalendarAdvance(Calendar,X3374,NDays&amp;"D")</f>
        <v>62604</v>
      </c>
      <c r="Z3374" s="154">
        <v>2.9236837701680396E-2</v>
      </c>
      <c r="AA3374" s="156">
        <v>2.91221289538246E-2</v>
      </c>
    </row>
    <row r="3375" spans="19:27" x14ac:dyDescent="0.2">
      <c r="S3375" s="1"/>
      <c r="T3375" s="117"/>
      <c r="W3375" s="75" t="str">
        <f t="shared" si="63"/>
        <v>1w</v>
      </c>
      <c r="X3375" s="148">
        <f>_xll.qlCalendarAdvance(Calendar,X3374,W3375,"f",FALSE)</f>
        <v>62611</v>
      </c>
      <c r="Y3375" s="153">
        <f>_xll.qlCalendarAdvance(Calendar,X3375,NDays&amp;"D")</f>
        <v>62611</v>
      </c>
      <c r="Z3375" s="154">
        <v>2.9238160587611726E-2</v>
      </c>
      <c r="AA3375" s="156">
        <v>2.9123492843106114E-2</v>
      </c>
    </row>
    <row r="3376" spans="19:27" x14ac:dyDescent="0.2">
      <c r="S3376" s="1"/>
      <c r="T3376" s="117"/>
      <c r="W3376" s="75" t="str">
        <f t="shared" si="63"/>
        <v>1w</v>
      </c>
      <c r="X3376" s="148">
        <f>_xll.qlCalendarAdvance(Calendar,X3375,W3376,"f",FALSE)</f>
        <v>62618</v>
      </c>
      <c r="Y3376" s="153">
        <f>_xll.qlCalendarAdvance(Calendar,X3376,NDays&amp;"D")</f>
        <v>62618</v>
      </c>
      <c r="Z3376" s="154">
        <v>2.9239475636313086E-2</v>
      </c>
      <c r="AA3376" s="156">
        <v>2.9124848951458393E-2</v>
      </c>
    </row>
    <row r="3377" spans="19:27" x14ac:dyDescent="0.2">
      <c r="S3377" s="1"/>
      <c r="T3377" s="117"/>
      <c r="W3377" s="75" t="str">
        <f t="shared" si="63"/>
        <v>1w</v>
      </c>
      <c r="X3377" s="148">
        <f>_xll.qlCalendarAdvance(Calendar,X3376,W3377,"f",FALSE)</f>
        <v>62625</v>
      </c>
      <c r="Y3377" s="153">
        <f>_xll.qlCalendarAdvance(Calendar,X3377,NDays&amp;"D")</f>
        <v>62625</v>
      </c>
      <c r="Z3377" s="154">
        <v>2.9240782847774781E-2</v>
      </c>
      <c r="AA3377" s="156">
        <v>2.9126197278719346E-2</v>
      </c>
    </row>
    <row r="3378" spans="19:27" x14ac:dyDescent="0.2">
      <c r="S3378" s="1"/>
      <c r="T3378" s="117"/>
      <c r="W3378" s="75" t="str">
        <f t="shared" si="63"/>
        <v>1w</v>
      </c>
      <c r="X3378" s="148">
        <f>_xll.qlCalendarAdvance(Calendar,X3377,W3378,"f",FALSE)</f>
        <v>62632</v>
      </c>
      <c r="Y3378" s="153">
        <f>_xll.qlCalendarAdvance(Calendar,X3378,NDays&amp;"D")</f>
        <v>62632</v>
      </c>
      <c r="Z3378" s="154">
        <v>2.9242082221990651E-2</v>
      </c>
      <c r="AA3378" s="156">
        <v>2.9127537825213157E-2</v>
      </c>
    </row>
    <row r="3379" spans="19:27" x14ac:dyDescent="0.2">
      <c r="S3379" s="1"/>
      <c r="T3379" s="117"/>
      <c r="W3379" s="75" t="str">
        <f t="shared" si="63"/>
        <v>1w</v>
      </c>
      <c r="X3379" s="148">
        <f>_xll.qlCalendarAdvance(Calendar,X3378,W3379,"f",FALSE)</f>
        <v>62639</v>
      </c>
      <c r="Y3379" s="153">
        <f>_xll.qlCalendarAdvance(Calendar,X3379,NDays&amp;"D")</f>
        <v>62639</v>
      </c>
      <c r="Z3379" s="154">
        <v>2.9243373758951884E-2</v>
      </c>
      <c r="AA3379" s="156">
        <v>2.9128870590696687E-2</v>
      </c>
    </row>
    <row r="3380" spans="19:27" x14ac:dyDescent="0.2">
      <c r="S3380" s="1"/>
      <c r="T3380" s="117"/>
      <c r="W3380" s="75" t="str">
        <f t="shared" si="63"/>
        <v>1w</v>
      </c>
      <c r="X3380" s="148">
        <f>_xll.qlCalendarAdvance(Calendar,X3379,W3380,"f",FALSE)</f>
        <v>62646</v>
      </c>
      <c r="Y3380" s="153">
        <f>_xll.qlCalendarAdvance(Calendar,X3380,NDays&amp;"D")</f>
        <v>62646</v>
      </c>
      <c r="Z3380" s="154">
        <v>2.9244657458650548E-2</v>
      </c>
      <c r="AA3380" s="156">
        <v>2.9130195575250983E-2</v>
      </c>
    </row>
    <row r="3381" spans="19:27" x14ac:dyDescent="0.2">
      <c r="S3381" s="1"/>
      <c r="T3381" s="117"/>
      <c r="W3381" s="75" t="str">
        <f t="shared" si="63"/>
        <v>1w</v>
      </c>
      <c r="X3381" s="148">
        <f>_xll.qlCalendarAdvance(Calendar,X3380,W3381,"f",FALSE)</f>
        <v>62653</v>
      </c>
      <c r="Y3381" s="153">
        <f>_xll.qlCalendarAdvance(Calendar,X3381,NDays&amp;"D")</f>
        <v>62653</v>
      </c>
      <c r="Z3381" s="154">
        <v>2.9245933321079599E-2</v>
      </c>
      <c r="AA3381" s="156">
        <v>2.9131512778713953E-2</v>
      </c>
    </row>
    <row r="3382" spans="19:27" x14ac:dyDescent="0.2">
      <c r="S3382" s="1"/>
      <c r="T3382" s="117"/>
      <c r="W3382" s="75" t="str">
        <f t="shared" si="63"/>
        <v>1w</v>
      </c>
      <c r="X3382" s="148">
        <f>_xll.qlCalendarAdvance(Calendar,X3381,W3382,"f",FALSE)</f>
        <v>62660</v>
      </c>
      <c r="Y3382" s="153">
        <f>_xll.qlCalendarAdvance(Calendar,X3382,NDays&amp;"D")</f>
        <v>62660</v>
      </c>
      <c r="Z3382" s="154">
        <v>2.9247201346231991E-2</v>
      </c>
      <c r="AA3382" s="156">
        <v>2.9132822201571873E-2</v>
      </c>
    </row>
    <row r="3383" spans="19:27" x14ac:dyDescent="0.2">
      <c r="S3383" s="1"/>
      <c r="T3383" s="117"/>
      <c r="W3383" s="75" t="str">
        <f t="shared" si="63"/>
        <v>1w</v>
      </c>
      <c r="X3383" s="148">
        <f>_xll.qlCalendarAdvance(Calendar,X3382,W3383,"f",FALSE)</f>
        <v>62667</v>
      </c>
      <c r="Y3383" s="153">
        <f>_xll.qlCalendarAdvance(Calendar,X3383,NDays&amp;"D")</f>
        <v>62667</v>
      </c>
      <c r="Z3383" s="154">
        <v>2.9248461534100673E-2</v>
      </c>
      <c r="AA3383" s="156">
        <v>2.9134123843176374E-2</v>
      </c>
    </row>
    <row r="3384" spans="19:27" x14ac:dyDescent="0.2">
      <c r="S3384" s="1"/>
      <c r="T3384" s="117"/>
      <c r="W3384" s="75" t="str">
        <f t="shared" si="63"/>
        <v>1w</v>
      </c>
      <c r="X3384" s="148">
        <f>_xll.qlCalendarAdvance(Calendar,X3383,W3384,"f",FALSE)</f>
        <v>62674</v>
      </c>
      <c r="Y3384" s="153">
        <f>_xll.qlCalendarAdvance(Calendar,X3384,NDays&amp;"D")</f>
        <v>62674</v>
      </c>
      <c r="Z3384" s="154">
        <v>2.924971388467772E-2</v>
      </c>
      <c r="AA3384" s="156">
        <v>2.9135417703932687E-2</v>
      </c>
    </row>
    <row r="3385" spans="19:27" x14ac:dyDescent="0.2">
      <c r="S3385" s="1"/>
      <c r="T3385" s="117"/>
      <c r="W3385" s="75" t="str">
        <f t="shared" si="63"/>
        <v>1w</v>
      </c>
      <c r="X3385" s="148">
        <f>_xll.qlCalendarAdvance(Calendar,X3384,W3385,"f",FALSE)</f>
        <v>62681</v>
      </c>
      <c r="Y3385" s="153">
        <f>_xll.qlCalendarAdvance(Calendar,X3385,NDays&amp;"D")</f>
        <v>62681</v>
      </c>
      <c r="Z3385" s="154">
        <v>2.9250958397952557E-2</v>
      </c>
      <c r="AA3385" s="156">
        <v>2.9136703783678719E-2</v>
      </c>
    </row>
    <row r="3386" spans="19:27" x14ac:dyDescent="0.2">
      <c r="S3386" s="1"/>
      <c r="T3386" s="117"/>
      <c r="W3386" s="75" t="str">
        <f t="shared" si="63"/>
        <v>1w</v>
      </c>
      <c r="X3386" s="148">
        <f>_xll.qlCalendarAdvance(Calendar,X3385,W3386,"f",FALSE)</f>
        <v>62688</v>
      </c>
      <c r="Y3386" s="153">
        <f>_xll.qlCalendarAdvance(Calendar,X3386,NDays&amp;"D")</f>
        <v>62688</v>
      </c>
      <c r="Z3386" s="154">
        <v>2.9252195073923425E-2</v>
      </c>
      <c r="AA3386" s="156">
        <v>2.913798208265761E-2</v>
      </c>
    </row>
    <row r="3387" spans="19:27" x14ac:dyDescent="0.2">
      <c r="S3387" s="1"/>
      <c r="T3387" s="117"/>
      <c r="W3387" s="75" t="str">
        <f t="shared" si="63"/>
        <v>1w</v>
      </c>
      <c r="X3387" s="148">
        <f>_xll.qlCalendarAdvance(Calendar,X3386,W3387,"f",FALSE)</f>
        <v>62695</v>
      </c>
      <c r="Y3387" s="153">
        <f>_xll.qlCalendarAdvance(Calendar,X3387,NDays&amp;"D")</f>
        <v>62695</v>
      </c>
      <c r="Z3387" s="154">
        <v>2.9253423912578867E-2</v>
      </c>
      <c r="AA3387" s="156">
        <v>2.9139252600464127E-2</v>
      </c>
    </row>
    <row r="3388" spans="19:27" x14ac:dyDescent="0.2">
      <c r="S3388" s="1"/>
      <c r="T3388" s="117"/>
      <c r="W3388" s="75" t="str">
        <f t="shared" si="63"/>
        <v>1w</v>
      </c>
      <c r="X3388" s="148">
        <f>_xll.qlCalendarAdvance(Calendar,X3387,W3388,"f",FALSE)</f>
        <v>62702</v>
      </c>
      <c r="Y3388" s="153">
        <f>_xll.qlCalendarAdvance(Calendar,X3388,NDays&amp;"D")</f>
        <v>62702</v>
      </c>
      <c r="Z3388" s="154">
        <v>2.9253389712431396E-2</v>
      </c>
      <c r="AA3388" s="156">
        <v>2.9140515337422457E-2</v>
      </c>
    </row>
    <row r="3389" spans="19:27" x14ac:dyDescent="0.2">
      <c r="S3389" s="1"/>
      <c r="T3389" s="117"/>
      <c r="W3389" s="75" t="str">
        <f t="shared" si="63"/>
        <v>1w</v>
      </c>
      <c r="X3389" s="148">
        <f>_xll.qlCalendarAdvance(Calendar,X3388,W3389,"f",FALSE)</f>
        <v>62709</v>
      </c>
      <c r="Y3389" s="153">
        <f>_xll.qlCalendarAdvance(Calendar,X3389,NDays&amp;"D")</f>
        <v>62709</v>
      </c>
      <c r="Z3389" s="154">
        <v>2.9254603339327299E-2</v>
      </c>
      <c r="AA3389" s="156">
        <v>2.9141770293451552E-2</v>
      </c>
    </row>
    <row r="3390" spans="19:27" x14ac:dyDescent="0.2">
      <c r="S3390" s="1"/>
      <c r="T3390" s="117"/>
      <c r="W3390" s="75" t="str">
        <f t="shared" si="63"/>
        <v>1w</v>
      </c>
      <c r="X3390" s="148">
        <f>_xll.qlCalendarAdvance(Calendar,X3389,W3390,"f",FALSE)</f>
        <v>62716</v>
      </c>
      <c r="Y3390" s="153">
        <f>_xll.qlCalendarAdvance(Calendar,X3390,NDays&amp;"D")</f>
        <v>62716</v>
      </c>
      <c r="Z3390" s="154">
        <v>2.925580912951186E-2</v>
      </c>
      <c r="AA3390" s="156">
        <v>2.9143017468632459E-2</v>
      </c>
    </row>
    <row r="3391" spans="19:27" x14ac:dyDescent="0.2">
      <c r="S3391" s="1"/>
      <c r="T3391" s="117"/>
      <c r="W3391" s="75" t="str">
        <f t="shared" si="63"/>
        <v>1w</v>
      </c>
      <c r="X3391" s="148">
        <f>_xll.qlCalendarAdvance(Calendar,X3390,W3391,"f",FALSE)</f>
        <v>62723</v>
      </c>
      <c r="Y3391" s="153">
        <f>_xll.qlCalendarAdvance(Calendar,X3391,NDays&amp;"D")</f>
        <v>62723</v>
      </c>
      <c r="Z3391" s="154">
        <v>2.9257007082975284E-2</v>
      </c>
      <c r="AA3391" s="156">
        <v>2.9144256862803086E-2</v>
      </c>
    </row>
    <row r="3392" spans="19:27" x14ac:dyDescent="0.2">
      <c r="S3392" s="1"/>
      <c r="T3392" s="117"/>
      <c r="W3392" s="75" t="str">
        <f t="shared" si="63"/>
        <v>1w</v>
      </c>
      <c r="X3392" s="148">
        <f>_xll.qlCalendarAdvance(Calendar,X3391,W3392,"f",FALSE)</f>
        <v>62730</v>
      </c>
      <c r="Y3392" s="153">
        <f>_xll.qlCalendarAdvance(Calendar,X3392,NDays&amp;"D")</f>
        <v>62730</v>
      </c>
      <c r="Z3392" s="154">
        <v>2.9258197199710446E-2</v>
      </c>
      <c r="AA3392" s="156">
        <v>2.9145488475882386E-2</v>
      </c>
    </row>
    <row r="3393" spans="19:27" x14ac:dyDescent="0.2">
      <c r="S3393" s="1"/>
      <c r="T3393" s="117"/>
      <c r="W3393" s="75" t="str">
        <f t="shared" si="63"/>
        <v>1w</v>
      </c>
      <c r="X3393" s="148">
        <f>_xll.qlCalendarAdvance(Calendar,X3392,W3393,"f",FALSE)</f>
        <v>62737</v>
      </c>
      <c r="Y3393" s="153">
        <f>_xll.qlCalendarAdvance(Calendar,X3393,NDays&amp;"D")</f>
        <v>62737</v>
      </c>
      <c r="Z3393" s="154">
        <v>2.9260632360524726E-2</v>
      </c>
      <c r="AA3393" s="156">
        <v>2.9146712308194545E-2</v>
      </c>
    </row>
    <row r="3394" spans="19:27" x14ac:dyDescent="0.2">
      <c r="S3394" s="1"/>
      <c r="T3394" s="117"/>
      <c r="W3394" s="75" t="str">
        <f t="shared" si="63"/>
        <v>1w</v>
      </c>
      <c r="X3394" s="148">
        <f>_xll.qlCalendarAdvance(Calendar,X3393,W3394,"f",FALSE)</f>
        <v>62744</v>
      </c>
      <c r="Y3394" s="153">
        <f>_xll.qlCalendarAdvance(Calendar,X3394,NDays&amp;"D")</f>
        <v>62744</v>
      </c>
      <c r="Z3394" s="154">
        <v>2.9261806337786335E-2</v>
      </c>
      <c r="AA3394" s="156">
        <v>2.9147928359577469E-2</v>
      </c>
    </row>
    <row r="3395" spans="19:27" x14ac:dyDescent="0.2">
      <c r="S3395" s="1"/>
      <c r="T3395" s="117"/>
      <c r="W3395" s="75" t="str">
        <f t="shared" si="63"/>
        <v>1w</v>
      </c>
      <c r="X3395" s="148">
        <f>_xll.qlCalendarAdvance(Calendar,X3394,W3395,"f",FALSE)</f>
        <v>62751</v>
      </c>
      <c r="Y3395" s="153">
        <f>_xll.qlCalendarAdvance(Calendar,X3395,NDays&amp;"D")</f>
        <v>62751</v>
      </c>
      <c r="Z3395" s="154">
        <v>2.9262972477674384E-2</v>
      </c>
      <c r="AA3395" s="156">
        <v>2.9149136629788019E-2</v>
      </c>
    </row>
    <row r="3396" spans="19:27" x14ac:dyDescent="0.2">
      <c r="S3396" s="1"/>
      <c r="T3396" s="117"/>
      <c r="W3396" s="75" t="str">
        <f t="shared" si="63"/>
        <v>1w</v>
      </c>
      <c r="X3396" s="148">
        <f>_xll.qlCalendarAdvance(Calendar,X3395,W3396,"f",FALSE)</f>
        <v>62758</v>
      </c>
      <c r="Y3396" s="153">
        <f>_xll.qlCalendarAdvance(Calendar,X3396,NDays&amp;"D")</f>
        <v>62758</v>
      </c>
      <c r="Z3396" s="154">
        <v>2.9264130780186224E-2</v>
      </c>
      <c r="AA3396" s="156">
        <v>2.9150337119231429E-2</v>
      </c>
    </row>
    <row r="3397" spans="19:27" x14ac:dyDescent="0.2">
      <c r="S3397" s="1"/>
      <c r="T3397" s="117"/>
      <c r="W3397" s="75" t="str">
        <f t="shared" si="63"/>
        <v>1w</v>
      </c>
      <c r="X3397" s="148">
        <f>_xll.qlCalendarAdvance(Calendar,X3396,W3397,"f",FALSE)</f>
        <v>62765</v>
      </c>
      <c r="Y3397" s="153">
        <f>_xll.qlCalendarAdvance(Calendar,X3397,NDays&amp;"D")</f>
        <v>62765</v>
      </c>
      <c r="Z3397" s="154">
        <v>2.9265281245313048E-2</v>
      </c>
      <c r="AA3397" s="156">
        <v>2.9151529827745604E-2</v>
      </c>
    </row>
    <row r="3398" spans="19:27" x14ac:dyDescent="0.2">
      <c r="S3398" s="1"/>
      <c r="T3398" s="117"/>
      <c r="W3398" s="75" t="str">
        <f t="shared" si="63"/>
        <v>1w</v>
      </c>
      <c r="X3398" s="148">
        <f>_xll.qlCalendarAdvance(Calendar,X3397,W3398,"f",FALSE)</f>
        <v>62772</v>
      </c>
      <c r="Y3398" s="153">
        <f>_xll.qlCalendarAdvance(Calendar,X3398,NDays&amp;"D")</f>
        <v>62772</v>
      </c>
      <c r="Z3398" s="154">
        <v>2.9266423873051332E-2</v>
      </c>
      <c r="AA3398" s="156">
        <v>2.9152714755249498E-2</v>
      </c>
    </row>
    <row r="3399" spans="19:27" x14ac:dyDescent="0.2">
      <c r="S3399" s="1"/>
      <c r="T3399" s="117"/>
      <c r="W3399" s="75" t="str">
        <f t="shared" si="63"/>
        <v>1w</v>
      </c>
      <c r="X3399" s="148">
        <f>_xll.qlCalendarAdvance(Calendar,X3398,W3399,"f",FALSE)</f>
        <v>62779</v>
      </c>
      <c r="Y3399" s="153">
        <f>_xll.qlCalendarAdvance(Calendar,X3399,NDays&amp;"D")</f>
        <v>62779</v>
      </c>
      <c r="Z3399" s="154">
        <v>2.9267558663390505E-2</v>
      </c>
      <c r="AA3399" s="156">
        <v>2.9153891901824158E-2</v>
      </c>
    </row>
    <row r="3400" spans="19:27" x14ac:dyDescent="0.2">
      <c r="S3400" s="1"/>
      <c r="T3400" s="117"/>
      <c r="W3400" s="75" t="str">
        <f t="shared" si="63"/>
        <v>1w</v>
      </c>
      <c r="X3400" s="148">
        <f>_xll.qlCalendarAdvance(Calendar,X3399,W3400,"f",FALSE)</f>
        <v>62786</v>
      </c>
      <c r="Y3400" s="153">
        <f>_xll.qlCalendarAdvance(Calendar,X3400,NDays&amp;"D")</f>
        <v>62786</v>
      </c>
      <c r="Z3400" s="154">
        <v>2.9268685616325282E-2</v>
      </c>
      <c r="AA3400" s="156">
        <v>2.9155061267307492E-2</v>
      </c>
    </row>
    <row r="3401" spans="19:27" x14ac:dyDescent="0.2">
      <c r="S3401" s="1"/>
      <c r="T3401" s="117"/>
      <c r="W3401" s="75" t="str">
        <f t="shared" si="63"/>
        <v>1w</v>
      </c>
      <c r="X3401" s="148">
        <f>_xll.qlCalendarAdvance(Calendar,X3400,W3401,"f",FALSE)</f>
        <v>62793</v>
      </c>
      <c r="Y3401" s="153">
        <f>_xll.qlCalendarAdvance(Calendar,X3401,NDays&amp;"D")</f>
        <v>62793</v>
      </c>
      <c r="Z3401" s="154">
        <v>2.9268555596494352E-2</v>
      </c>
      <c r="AA3401" s="156">
        <v>2.915622285210473E-2</v>
      </c>
    </row>
    <row r="3402" spans="19:27" x14ac:dyDescent="0.2">
      <c r="S3402" s="1"/>
      <c r="T3402" s="117"/>
      <c r="W3402" s="75" t="str">
        <f t="shared" si="63"/>
        <v>1w</v>
      </c>
      <c r="X3402" s="148">
        <f>_xll.qlCalendarAdvance(Calendar,X3401,W3402,"f",FALSE)</f>
        <v>62800</v>
      </c>
      <c r="Y3402" s="153">
        <f>_xll.qlCalendarAdvance(Calendar,X3402,NDays&amp;"D")</f>
        <v>62800</v>
      </c>
      <c r="Z3402" s="154">
        <v>2.9269667345587079E-2</v>
      </c>
      <c r="AA3402" s="156">
        <v>2.9157376655891687E-2</v>
      </c>
    </row>
    <row r="3403" spans="19:27" x14ac:dyDescent="0.2">
      <c r="S3403" s="1"/>
      <c r="T3403" s="117"/>
      <c r="W3403" s="75" t="str">
        <f t="shared" si="63"/>
        <v>1w</v>
      </c>
      <c r="X3403" s="148">
        <f>_xll.qlCalendarAdvance(Calendar,X3402,W3403,"f",FALSE)</f>
        <v>62807</v>
      </c>
      <c r="Y3403" s="153">
        <f>_xll.qlCalendarAdvance(Calendar,X3403,NDays&amp;"D")</f>
        <v>62807</v>
      </c>
      <c r="Z3403" s="154">
        <v>2.9270771257876728E-2</v>
      </c>
      <c r="AA3403" s="156">
        <v>2.9158522678587318E-2</v>
      </c>
    </row>
    <row r="3404" spans="19:27" x14ac:dyDescent="0.2">
      <c r="S3404" s="1"/>
      <c r="T3404" s="117"/>
      <c r="W3404" s="75" t="str">
        <f t="shared" si="63"/>
        <v>1w</v>
      </c>
      <c r="X3404" s="148">
        <f>_xll.qlCalendarAdvance(Calendar,X3403,W3404,"f",FALSE)</f>
        <v>62814</v>
      </c>
      <c r="Y3404" s="153">
        <f>_xll.qlCalendarAdvance(Calendar,X3404,NDays&amp;"D")</f>
        <v>62814</v>
      </c>
      <c r="Z3404" s="154">
        <v>2.9271867333363302E-2</v>
      </c>
      <c r="AA3404" s="156">
        <v>2.9159660920515806E-2</v>
      </c>
    </row>
    <row r="3405" spans="19:27" x14ac:dyDescent="0.2">
      <c r="S3405" s="1"/>
      <c r="T3405" s="117"/>
      <c r="W3405" s="75" t="str">
        <f t="shared" si="63"/>
        <v>1w</v>
      </c>
      <c r="X3405" s="148">
        <f>_xll.qlCalendarAdvance(Calendar,X3404,W3405,"f",FALSE)</f>
        <v>62821</v>
      </c>
      <c r="Y3405" s="153">
        <f>_xll.qlCalendarAdvance(Calendar,X3405,NDays&amp;"D")</f>
        <v>62821</v>
      </c>
      <c r="Z3405" s="154">
        <v>2.9272955572034336E-2</v>
      </c>
      <c r="AA3405" s="156">
        <v>2.9160791381352968E-2</v>
      </c>
    </row>
    <row r="3406" spans="19:27" x14ac:dyDescent="0.2">
      <c r="S3406" s="1"/>
      <c r="T3406" s="117"/>
      <c r="W3406" s="75" t="str">
        <f t="shared" si="63"/>
        <v>1w</v>
      </c>
      <c r="X3406" s="148">
        <f>_xll.qlCalendarAdvance(Calendar,X3405,W3406,"f",FALSE)</f>
        <v>62828</v>
      </c>
      <c r="Y3406" s="153">
        <f>_xll.qlCalendarAdvance(Calendar,X3406,NDays&amp;"D")</f>
        <v>62828</v>
      </c>
      <c r="Z3406" s="154">
        <v>2.927403597388448E-2</v>
      </c>
      <c r="AA3406" s="156">
        <v>2.9161914061341943E-2</v>
      </c>
    </row>
    <row r="3407" spans="19:27" x14ac:dyDescent="0.2">
      <c r="S3407" s="1"/>
      <c r="T3407" s="117"/>
      <c r="W3407" s="75" t="str">
        <f t="shared" si="63"/>
        <v>1w</v>
      </c>
      <c r="X3407" s="148">
        <f>_xll.qlCalendarAdvance(Calendar,X3406,W3407,"f",FALSE)</f>
        <v>62835</v>
      </c>
      <c r="Y3407" s="153">
        <f>_xll.qlCalendarAdvance(Calendar,X3407,NDays&amp;"D")</f>
        <v>62835</v>
      </c>
      <c r="Z3407" s="154">
        <v>2.9275108538910178E-2</v>
      </c>
      <c r="AA3407" s="156">
        <v>2.9163028960320636E-2</v>
      </c>
    </row>
    <row r="3408" spans="19:27" x14ac:dyDescent="0.2">
      <c r="S3408" s="1"/>
      <c r="T3408" s="117"/>
      <c r="W3408" s="75" t="str">
        <f t="shared" si="63"/>
        <v>1w</v>
      </c>
      <c r="X3408" s="148">
        <f>_xll.qlCalendarAdvance(Calendar,X3407,W3408,"f",FALSE)</f>
        <v>62842</v>
      </c>
      <c r="Y3408" s="153">
        <f>_xll.qlCalendarAdvance(Calendar,X3408,NDays&amp;"D")</f>
        <v>62842</v>
      </c>
      <c r="Z3408" s="154">
        <v>2.92761732671043E-2</v>
      </c>
      <c r="AA3408" s="156">
        <v>2.9164136078370095E-2</v>
      </c>
    </row>
    <row r="3409" spans="19:27" x14ac:dyDescent="0.2">
      <c r="S3409" s="1"/>
      <c r="T3409" s="117"/>
      <c r="W3409" s="75" t="str">
        <f t="shared" si="63"/>
        <v>1w</v>
      </c>
      <c r="X3409" s="148">
        <f>_xll.qlCalendarAdvance(Calendar,X3408,W3409,"f",FALSE)</f>
        <v>62849</v>
      </c>
      <c r="Y3409" s="153">
        <f>_xll.qlCalendarAdvance(Calendar,X3409,NDays&amp;"D")</f>
        <v>62849</v>
      </c>
      <c r="Z3409" s="154">
        <v>2.9277230158459722E-2</v>
      </c>
      <c r="AA3409" s="156">
        <v>2.9165235415571367E-2</v>
      </c>
    </row>
    <row r="3410" spans="19:27" x14ac:dyDescent="0.2">
      <c r="S3410" s="1"/>
      <c r="T3410" s="117"/>
      <c r="W3410" s="75" t="str">
        <f t="shared" si="63"/>
        <v>1w</v>
      </c>
      <c r="X3410" s="148">
        <f>_xll.qlCalendarAdvance(Calendar,X3409,W3410,"f",FALSE)</f>
        <v>62856</v>
      </c>
      <c r="Y3410" s="153">
        <f>_xll.qlCalendarAdvance(Calendar,X3410,NDays&amp;"D")</f>
        <v>62856</v>
      </c>
      <c r="Z3410" s="154">
        <v>2.9278279212968428E-2</v>
      </c>
      <c r="AA3410" s="156">
        <v>2.9166326971519219E-2</v>
      </c>
    </row>
    <row r="3411" spans="19:27" x14ac:dyDescent="0.2">
      <c r="S3411" s="1"/>
      <c r="T3411" s="117"/>
      <c r="W3411" s="75" t="str">
        <f t="shared" si="63"/>
        <v>1w</v>
      </c>
      <c r="X3411" s="148">
        <f>_xll.qlCalendarAdvance(Calendar,X3410,W3411,"f",FALSE)</f>
        <v>62863</v>
      </c>
      <c r="Y3411" s="153">
        <f>_xll.qlCalendarAdvance(Calendar,X3411,NDays&amp;"D")</f>
        <v>62863</v>
      </c>
      <c r="Z3411" s="154">
        <v>2.9278076053984359E-2</v>
      </c>
      <c r="AA3411" s="156">
        <v>2.9167410746780975E-2</v>
      </c>
    </row>
    <row r="3412" spans="19:27" x14ac:dyDescent="0.2">
      <c r="S3412" s="1"/>
      <c r="T3412" s="117"/>
      <c r="W3412" s="75" t="str">
        <f t="shared" si="63"/>
        <v>1w</v>
      </c>
      <c r="X3412" s="148">
        <f>_xll.qlCalendarAdvance(Calendar,X3411,W3412,"f",FALSE)</f>
        <v>62870</v>
      </c>
      <c r="Y3412" s="153">
        <f>_xll.qlCalendarAdvance(Calendar,X3412,NDays&amp;"D")</f>
        <v>62870</v>
      </c>
      <c r="Z3412" s="154">
        <v>2.9279109911925949E-2</v>
      </c>
      <c r="AA3412" s="156">
        <v>2.9168486741194544E-2</v>
      </c>
    </row>
    <row r="3413" spans="19:27" x14ac:dyDescent="0.2">
      <c r="S3413" s="1"/>
      <c r="T3413" s="117"/>
      <c r="W3413" s="75" t="str">
        <f t="shared" ref="W3413:W3476" si="64">W3412</f>
        <v>1w</v>
      </c>
      <c r="X3413" s="148">
        <f>_xll.qlCalendarAdvance(Calendar,X3412,W3413,"f",FALSE)</f>
        <v>62877</v>
      </c>
      <c r="Y3413" s="153">
        <f>_xll.qlCalendarAdvance(Calendar,X3413,NDays&amp;"D")</f>
        <v>62877</v>
      </c>
      <c r="Z3413" s="154">
        <v>2.9280135933627823E-2</v>
      </c>
      <c r="AA3413" s="156">
        <v>2.9169554954435739E-2</v>
      </c>
    </row>
    <row r="3414" spans="19:27" x14ac:dyDescent="0.2">
      <c r="S3414" s="1"/>
      <c r="T3414" s="117"/>
      <c r="W3414" s="75" t="str">
        <f t="shared" si="64"/>
        <v>1w</v>
      </c>
      <c r="X3414" s="148">
        <f>_xll.qlCalendarAdvance(Calendar,X3413,W3414,"f",FALSE)</f>
        <v>62884</v>
      </c>
      <c r="Y3414" s="153">
        <f>_xll.qlCalendarAdvance(Calendar,X3414,NDays&amp;"D")</f>
        <v>62884</v>
      </c>
      <c r="Z3414" s="154">
        <v>2.9283640026343018E-2</v>
      </c>
      <c r="AA3414" s="156">
        <v>2.91706153867477E-2</v>
      </c>
    </row>
    <row r="3415" spans="19:27" x14ac:dyDescent="0.2">
      <c r="S3415" s="1"/>
      <c r="T3415" s="117"/>
      <c r="W3415" s="75" t="str">
        <f t="shared" si="64"/>
        <v>1w</v>
      </c>
      <c r="X3415" s="148">
        <f>_xll.qlCalendarAdvance(Calendar,X3414,W3415,"f",FALSE)</f>
        <v>62891</v>
      </c>
      <c r="Y3415" s="153">
        <f>_xll.qlCalendarAdvance(Calendar,X3415,NDays&amp;"D")</f>
        <v>62891</v>
      </c>
      <c r="Z3415" s="154">
        <v>2.9284649417446303E-2</v>
      </c>
      <c r="AA3415" s="156">
        <v>2.9171668038211473E-2</v>
      </c>
    </row>
    <row r="3416" spans="19:27" x14ac:dyDescent="0.2">
      <c r="S3416" s="1"/>
      <c r="T3416" s="117"/>
      <c r="W3416" s="75" t="str">
        <f t="shared" si="64"/>
        <v>1w</v>
      </c>
      <c r="X3416" s="148">
        <f>_xll.qlCalendarAdvance(Calendar,X3415,W3416,"f",FALSE)</f>
        <v>62898</v>
      </c>
      <c r="Y3416" s="153">
        <f>_xll.qlCalendarAdvance(Calendar,X3416,NDays&amp;"D")</f>
        <v>62898</v>
      </c>
      <c r="Z3416" s="154">
        <v>2.9285650971043884E-2</v>
      </c>
      <c r="AA3416" s="156">
        <v>2.9172712908664966E-2</v>
      </c>
    </row>
    <row r="3417" spans="19:27" x14ac:dyDescent="0.2">
      <c r="S3417" s="1"/>
      <c r="T3417" s="117"/>
      <c r="W3417" s="75" t="str">
        <f t="shared" si="64"/>
        <v>1w</v>
      </c>
      <c r="X3417" s="148">
        <f>_xll.qlCalendarAdvance(Calendar,X3416,W3417,"f",FALSE)</f>
        <v>62905</v>
      </c>
      <c r="Y3417" s="153">
        <f>_xll.qlCalendarAdvance(Calendar,X3417,NDays&amp;"D")</f>
        <v>62905</v>
      </c>
      <c r="Z3417" s="154">
        <v>2.9286644687128712E-2</v>
      </c>
      <c r="AA3417" s="156">
        <v>2.9173749998108178E-2</v>
      </c>
    </row>
    <row r="3418" spans="19:27" x14ac:dyDescent="0.2">
      <c r="S3418" s="1"/>
      <c r="T3418" s="117"/>
      <c r="W3418" s="75" t="str">
        <f t="shared" si="64"/>
        <v>1w</v>
      </c>
      <c r="X3418" s="148">
        <f>_xll.qlCalendarAdvance(Calendar,X3417,W3418,"f",FALSE)</f>
        <v>62912</v>
      </c>
      <c r="Y3418" s="153">
        <f>_xll.qlCalendarAdvance(Calendar,X3418,NDays&amp;"D")</f>
        <v>62912</v>
      </c>
      <c r="Z3418" s="154">
        <v>2.9287630565699909E-2</v>
      </c>
      <c r="AA3418" s="156">
        <v>2.9174779306784249E-2</v>
      </c>
    </row>
    <row r="3419" spans="19:27" x14ac:dyDescent="0.2">
      <c r="S3419" s="1"/>
      <c r="T3419" s="117"/>
      <c r="W3419" s="75" t="str">
        <f t="shared" si="64"/>
        <v>1w</v>
      </c>
      <c r="X3419" s="148">
        <f>_xll.qlCalendarAdvance(Calendar,X3418,W3419,"f",FALSE)</f>
        <v>62919</v>
      </c>
      <c r="Y3419" s="153">
        <f>_xll.qlCalendarAdvance(Calendar,X3419,NDays&amp;"D")</f>
        <v>62919</v>
      </c>
      <c r="Z3419" s="154">
        <v>2.9287368044555787E-2</v>
      </c>
      <c r="AA3419" s="156">
        <v>2.9175800834531085E-2</v>
      </c>
    </row>
    <row r="3420" spans="19:27" x14ac:dyDescent="0.2">
      <c r="S3420" s="1"/>
      <c r="T3420" s="117"/>
      <c r="W3420" s="75" t="str">
        <f t="shared" si="64"/>
        <v>1w</v>
      </c>
      <c r="X3420" s="148">
        <f>_xll.qlCalendarAdvance(Calendar,X3419,W3420,"f",FALSE)</f>
        <v>62926</v>
      </c>
      <c r="Y3420" s="153">
        <f>_xll.qlCalendarAdvance(Calendar,X3420,NDays&amp;"D")</f>
        <v>62926</v>
      </c>
      <c r="Z3420" s="154">
        <v>2.9288338730290971E-2</v>
      </c>
      <c r="AA3420" s="156">
        <v>2.9176814581186594E-2</v>
      </c>
    </row>
    <row r="3421" spans="19:27" x14ac:dyDescent="0.2">
      <c r="S3421" s="1"/>
      <c r="T3421" s="117"/>
      <c r="W3421" s="75" t="str">
        <f t="shared" si="64"/>
        <v>1w</v>
      </c>
      <c r="X3421" s="148">
        <f>_xll.qlCalendarAdvance(Calendar,X3420,W3421,"f",FALSE)</f>
        <v>62933</v>
      </c>
      <c r="Y3421" s="153">
        <f>_xll.qlCalendarAdvance(Calendar,X3421,NDays&amp;"D")</f>
        <v>62933</v>
      </c>
      <c r="Z3421" s="154">
        <v>2.9289301579114427E-2</v>
      </c>
      <c r="AA3421" s="156">
        <v>2.9177820546750777E-2</v>
      </c>
    </row>
    <row r="3422" spans="19:27" x14ac:dyDescent="0.2">
      <c r="S3422" s="1"/>
      <c r="T3422" s="117"/>
      <c r="W3422" s="75" t="str">
        <f t="shared" si="64"/>
        <v>1w</v>
      </c>
      <c r="X3422" s="148">
        <f>_xll.qlCalendarAdvance(Calendar,X3421,W3422,"f",FALSE)</f>
        <v>62940</v>
      </c>
      <c r="Y3422" s="153">
        <f>_xll.qlCalendarAdvance(Calendar,X3422,NDays&amp;"D")</f>
        <v>62940</v>
      </c>
      <c r="Z3422" s="154">
        <v>2.9290256591026152E-2</v>
      </c>
      <c r="AA3422" s="156">
        <v>2.9178818731628864E-2</v>
      </c>
    </row>
    <row r="3423" spans="19:27" x14ac:dyDescent="0.2">
      <c r="S3423" s="1"/>
      <c r="T3423" s="117"/>
      <c r="W3423" s="75" t="str">
        <f t="shared" si="64"/>
        <v>1w</v>
      </c>
      <c r="X3423" s="148">
        <f>_xll.qlCalendarAdvance(Calendar,X3422,W3423,"f",FALSE)</f>
        <v>62947</v>
      </c>
      <c r="Y3423" s="153">
        <f>_xll.qlCalendarAdvance(Calendar,X3423,NDays&amp;"D")</f>
        <v>62947</v>
      </c>
      <c r="Z3423" s="154">
        <v>2.9292442395600322E-2</v>
      </c>
      <c r="AA3423" s="156">
        <v>2.9179809135577717E-2</v>
      </c>
    </row>
    <row r="3424" spans="19:27" x14ac:dyDescent="0.2">
      <c r="S3424" s="1"/>
      <c r="T3424" s="117"/>
      <c r="W3424" s="75" t="str">
        <f t="shared" si="64"/>
        <v>1w</v>
      </c>
      <c r="X3424" s="148">
        <f>_xll.qlCalendarAdvance(Calendar,X3423,W3424,"f",FALSE)</f>
        <v>62954</v>
      </c>
      <c r="Y3424" s="153">
        <f>_xll.qlCalendarAdvance(Calendar,X3424,NDays&amp;"D")</f>
        <v>62954</v>
      </c>
      <c r="Z3424" s="154">
        <v>2.9293381248950531E-2</v>
      </c>
      <c r="AA3424" s="156">
        <v>2.9180791758354196E-2</v>
      </c>
    </row>
    <row r="3425" spans="19:27" x14ac:dyDescent="0.2">
      <c r="S3425" s="1"/>
      <c r="T3425" s="117"/>
      <c r="W3425" s="75" t="str">
        <f t="shared" si="64"/>
        <v>1w</v>
      </c>
      <c r="X3425" s="148">
        <f>_xll.qlCalendarAdvance(Calendar,X3424,W3425,"f",FALSE)</f>
        <v>62961</v>
      </c>
      <c r="Y3425" s="153">
        <f>_xll.qlCalendarAdvance(Calendar,X3425,NDays&amp;"D")</f>
        <v>62961</v>
      </c>
      <c r="Z3425" s="154">
        <v>2.9294312264743938E-2</v>
      </c>
      <c r="AA3425" s="156">
        <v>2.9181766600282488E-2</v>
      </c>
    </row>
    <row r="3426" spans="19:27" x14ac:dyDescent="0.2">
      <c r="S3426" s="1"/>
      <c r="T3426" s="117"/>
      <c r="W3426" s="75" t="str">
        <f t="shared" si="64"/>
        <v>1w</v>
      </c>
      <c r="X3426" s="148">
        <f>_xll.qlCalendarAdvance(Calendar,X3425,W3426,"f",FALSE)</f>
        <v>62968</v>
      </c>
      <c r="Y3426" s="153">
        <f>_xll.qlCalendarAdvance(Calendar,X3426,NDays&amp;"D")</f>
        <v>62968</v>
      </c>
      <c r="Z3426" s="154">
        <v>2.9295235442977022E-2</v>
      </c>
      <c r="AA3426" s="156">
        <v>2.9182733661362592E-2</v>
      </c>
    </row>
    <row r="3427" spans="19:27" x14ac:dyDescent="0.2">
      <c r="S3427" s="1"/>
      <c r="T3427" s="117"/>
      <c r="W3427" s="75" t="str">
        <f t="shared" si="64"/>
        <v>1w</v>
      </c>
      <c r="X3427" s="148">
        <f>_xll.qlCalendarAdvance(Calendar,X3426,W3427,"f",FALSE)</f>
        <v>62975</v>
      </c>
      <c r="Y3427" s="153">
        <f>_xll.qlCalendarAdvance(Calendar,X3427,NDays&amp;"D")</f>
        <v>62975</v>
      </c>
      <c r="Z3427" s="154">
        <v>2.9296150783643619E-2</v>
      </c>
      <c r="AA3427" s="156">
        <v>2.9183692941351369E-2</v>
      </c>
    </row>
    <row r="3428" spans="19:27" x14ac:dyDescent="0.2">
      <c r="S3428" s="1"/>
      <c r="T3428" s="117"/>
      <c r="W3428" s="75" t="str">
        <f t="shared" si="64"/>
        <v>1w</v>
      </c>
      <c r="X3428" s="148">
        <f>_xll.qlCalendarAdvance(Calendar,X3427,W3428,"f",FALSE)</f>
        <v>62982</v>
      </c>
      <c r="Y3428" s="153">
        <f>_xll.qlCalendarAdvance(Calendar,X3428,NDays&amp;"D")</f>
        <v>62982</v>
      </c>
      <c r="Z3428" s="154">
        <v>2.9297058286735799E-2</v>
      </c>
      <c r="AA3428" s="156">
        <v>2.9184644440410912E-2</v>
      </c>
    </row>
    <row r="3429" spans="19:27" x14ac:dyDescent="0.2">
      <c r="S3429" s="1"/>
      <c r="T3429" s="117"/>
      <c r="W3429" s="75" t="str">
        <f t="shared" si="64"/>
        <v>1w</v>
      </c>
      <c r="X3429" s="148">
        <f>_xll.qlCalendarAdvance(Calendar,X3428,W3429,"f",FALSE)</f>
        <v>62989</v>
      </c>
      <c r="Y3429" s="153">
        <f>_xll.qlCalendarAdvance(Calendar,X3429,NDays&amp;"D")</f>
        <v>62989</v>
      </c>
      <c r="Z3429" s="154">
        <v>2.9297957952251798E-2</v>
      </c>
      <c r="AA3429" s="156">
        <v>2.9185588158703313E-2</v>
      </c>
    </row>
    <row r="3430" spans="19:27" x14ac:dyDescent="0.2">
      <c r="S3430" s="1"/>
      <c r="T3430" s="117"/>
      <c r="W3430" s="75" t="str">
        <f t="shared" si="64"/>
        <v>1w</v>
      </c>
      <c r="X3430" s="148">
        <f>_xll.qlCalendarAdvance(Calendar,X3429,W3430,"f",FALSE)</f>
        <v>62996</v>
      </c>
      <c r="Y3430" s="153">
        <f>_xll.qlCalendarAdvance(Calendar,X3430,NDays&amp;"D")</f>
        <v>62996</v>
      </c>
      <c r="Z3430" s="154">
        <v>2.9298849780184568E-2</v>
      </c>
      <c r="AA3430" s="156">
        <v>2.9186524095823341E-2</v>
      </c>
    </row>
    <row r="3431" spans="19:27" x14ac:dyDescent="0.2">
      <c r="S3431" s="1"/>
      <c r="T3431" s="117"/>
      <c r="W3431" s="75" t="str">
        <f t="shared" si="64"/>
        <v>1w</v>
      </c>
      <c r="X3431" s="148">
        <f>_xll.qlCalendarAdvance(Calendar,X3430,W3431,"f",FALSE)</f>
        <v>63003</v>
      </c>
      <c r="Y3431" s="153">
        <f>_xll.qlCalendarAdvance(Calendar,X3431,NDays&amp;"D")</f>
        <v>63003</v>
      </c>
      <c r="Z3431" s="154">
        <v>2.9299733770527945E-2</v>
      </c>
      <c r="AA3431" s="156">
        <v>2.9187452252095181E-2</v>
      </c>
    </row>
    <row r="3432" spans="19:27" x14ac:dyDescent="0.2">
      <c r="S3432" s="1"/>
      <c r="T3432" s="117"/>
      <c r="W3432" s="75" t="str">
        <f t="shared" si="64"/>
        <v>1w</v>
      </c>
      <c r="X3432" s="148">
        <f>_xll.qlCalendarAdvance(Calendar,X3431,W3432,"f",FALSE)</f>
        <v>63010</v>
      </c>
      <c r="Y3432" s="153">
        <f>_xll.qlCalendarAdvance(Calendar,X3432,NDays&amp;"D")</f>
        <v>63010</v>
      </c>
      <c r="Z3432" s="154">
        <v>2.9300609923278403E-2</v>
      </c>
      <c r="AA3432" s="156">
        <v>2.918837262735674E-2</v>
      </c>
    </row>
    <row r="3433" spans="19:27" x14ac:dyDescent="0.2">
      <c r="S3433" s="1"/>
      <c r="T3433" s="117"/>
      <c r="W3433" s="75" t="str">
        <f t="shared" si="64"/>
        <v>1w</v>
      </c>
      <c r="X3433" s="148">
        <f>_xll.qlCalendarAdvance(Calendar,X3432,W3433,"f",FALSE)</f>
        <v>63017</v>
      </c>
      <c r="Y3433" s="153">
        <f>_xll.qlCalendarAdvance(Calendar,X3433,NDays&amp;"D")</f>
        <v>63017</v>
      </c>
      <c r="Z3433" s="154">
        <v>2.9301478238429782E-2</v>
      </c>
      <c r="AA3433" s="156">
        <v>2.9189285221770112E-2</v>
      </c>
    </row>
    <row r="3434" spans="19:27" x14ac:dyDescent="0.2">
      <c r="S3434" s="1"/>
      <c r="T3434" s="117"/>
      <c r="W3434" s="75" t="str">
        <f t="shared" si="64"/>
        <v>1w</v>
      </c>
      <c r="X3434" s="148">
        <f>_xll.qlCalendarAdvance(Calendar,X3433,W3434,"f",FALSE)</f>
        <v>63024</v>
      </c>
      <c r="Y3434" s="153">
        <f>_xll.qlCalendarAdvance(Calendar,X3434,NDays&amp;"D")</f>
        <v>63024</v>
      </c>
      <c r="Z3434" s="154">
        <v>2.9302338715978548E-2</v>
      </c>
      <c r="AA3434" s="156">
        <v>2.9190190035254249E-2</v>
      </c>
    </row>
    <row r="3435" spans="19:27" x14ac:dyDescent="0.2">
      <c r="S3435" s="1"/>
      <c r="T3435" s="117"/>
      <c r="W3435" s="75" t="str">
        <f t="shared" si="64"/>
        <v>1w</v>
      </c>
      <c r="X3435" s="148">
        <f>_xll.qlCalendarAdvance(Calendar,X3434,W3435,"f",FALSE)</f>
        <v>63031</v>
      </c>
      <c r="Y3435" s="153">
        <f>_xll.qlCalendarAdvance(Calendar,X3435,NDays&amp;"D")</f>
        <v>63031</v>
      </c>
      <c r="Z3435" s="154">
        <v>2.9303191355917659E-2</v>
      </c>
      <c r="AA3435" s="156">
        <v>2.9191087067566013E-2</v>
      </c>
    </row>
    <row r="3436" spans="19:27" x14ac:dyDescent="0.2">
      <c r="S3436" s="1"/>
      <c r="T3436" s="117"/>
      <c r="W3436" s="75" t="str">
        <f t="shared" si="64"/>
        <v>1w</v>
      </c>
      <c r="X3436" s="148">
        <f>_xll.qlCalendarAdvance(Calendar,X3435,W3436,"f",FALSE)</f>
        <v>63038</v>
      </c>
      <c r="Y3436" s="153">
        <f>_xll.qlCalendarAdvance(Calendar,X3436,NDays&amp;"D")</f>
        <v>63038</v>
      </c>
      <c r="Z3436" s="154">
        <v>2.9304036158242709E-2</v>
      </c>
      <c r="AA3436" s="156">
        <v>2.9191976319191681E-2</v>
      </c>
    </row>
    <row r="3437" spans="19:27" x14ac:dyDescent="0.2">
      <c r="S3437" s="1"/>
      <c r="T3437" s="117"/>
      <c r="W3437" s="75" t="str">
        <f t="shared" si="64"/>
        <v>1w</v>
      </c>
      <c r="X3437" s="148">
        <f>_xll.qlCalendarAdvance(Calendar,X3436,W3437,"f",FALSE)</f>
        <v>63045</v>
      </c>
      <c r="Y3437" s="153">
        <f>_xll.qlCalendarAdvance(Calendar,X3437,NDays&amp;"D")</f>
        <v>63045</v>
      </c>
      <c r="Z3437" s="154">
        <v>2.9304873122948417E-2</v>
      </c>
      <c r="AA3437" s="156">
        <v>2.9192857789726023E-2</v>
      </c>
    </row>
    <row r="3438" spans="19:27" x14ac:dyDescent="0.2">
      <c r="S3438" s="1"/>
      <c r="T3438" s="117"/>
      <c r="W3438" s="75" t="str">
        <f t="shared" si="64"/>
        <v>1w</v>
      </c>
      <c r="X3438" s="148">
        <f>_xll.qlCalendarAdvance(Calendar,X3437,W3438,"f",FALSE)</f>
        <v>63052</v>
      </c>
      <c r="Y3438" s="153">
        <f>_xll.qlCalendarAdvance(Calendar,X3438,NDays&amp;"D")</f>
        <v>63052</v>
      </c>
      <c r="Z3438" s="154">
        <v>2.9305702250033015E-2</v>
      </c>
      <c r="AA3438" s="156">
        <v>2.9193731479331131E-2</v>
      </c>
    </row>
    <row r="3439" spans="19:27" x14ac:dyDescent="0.2">
      <c r="S3439" s="1"/>
      <c r="T3439" s="117"/>
      <c r="W3439" s="75" t="str">
        <f t="shared" si="64"/>
        <v>1w</v>
      </c>
      <c r="X3439" s="148">
        <f>_xll.qlCalendarAdvance(Calendar,X3438,W3439,"f",FALSE)</f>
        <v>63059</v>
      </c>
      <c r="Y3439" s="153">
        <f>_xll.qlCalendarAdvance(Calendar,X3439,NDays&amp;"D")</f>
        <v>63059</v>
      </c>
      <c r="Z3439" s="154">
        <v>2.9306523539485055E-2</v>
      </c>
      <c r="AA3439" s="156">
        <v>2.9194597387925958E-2</v>
      </c>
    </row>
    <row r="3440" spans="19:27" x14ac:dyDescent="0.2">
      <c r="S3440" s="1"/>
      <c r="T3440" s="117"/>
      <c r="W3440" s="75" t="str">
        <f t="shared" si="64"/>
        <v>1w</v>
      </c>
      <c r="X3440" s="148">
        <f>_xll.qlCalendarAdvance(Calendar,X3439,W3440,"f",FALSE)</f>
        <v>63066</v>
      </c>
      <c r="Y3440" s="153">
        <f>_xll.qlCalendarAdvance(Calendar,X3440,NDays&amp;"D")</f>
        <v>63066</v>
      </c>
      <c r="Z3440" s="154">
        <v>2.9307336991306294E-2</v>
      </c>
      <c r="AA3440" s="156">
        <v>2.9195455515753643E-2</v>
      </c>
    </row>
    <row r="3441" spans="19:27" x14ac:dyDescent="0.2">
      <c r="S3441" s="1"/>
      <c r="T3441" s="117"/>
      <c r="W3441" s="75" t="str">
        <f t="shared" si="64"/>
        <v>1w</v>
      </c>
      <c r="X3441" s="148">
        <f>_xll.qlCalendarAdvance(Calendar,X3440,W3441,"f",FALSE)</f>
        <v>63073</v>
      </c>
      <c r="Y3441" s="153">
        <f>_xll.qlCalendarAdvance(Calendar,X3441,NDays&amp;"D")</f>
        <v>63073</v>
      </c>
      <c r="Z3441" s="154">
        <v>2.9306912796369166E-2</v>
      </c>
      <c r="AA3441" s="156">
        <v>2.9196305862571048E-2</v>
      </c>
    </row>
    <row r="3442" spans="19:27" x14ac:dyDescent="0.2">
      <c r="S3442" s="1"/>
      <c r="T3442" s="117"/>
      <c r="W3442" s="75" t="str">
        <f t="shared" si="64"/>
        <v>1w</v>
      </c>
      <c r="X3442" s="148">
        <f>_xll.qlCalendarAdvance(Calendar,X3441,W3442,"f",FALSE)</f>
        <v>63080</v>
      </c>
      <c r="Y3442" s="153">
        <f>_xll.qlCalendarAdvance(Calendar,X3442,NDays&amp;"D")</f>
        <v>63080</v>
      </c>
      <c r="Z3442" s="154">
        <v>2.9307711068873345E-2</v>
      </c>
      <c r="AA3442" s="156">
        <v>2.9197148428297126E-2</v>
      </c>
    </row>
    <row r="3443" spans="19:27" x14ac:dyDescent="0.2">
      <c r="S3443" s="1"/>
      <c r="T3443" s="117"/>
      <c r="W3443" s="75" t="str">
        <f t="shared" si="64"/>
        <v>1w</v>
      </c>
      <c r="X3443" s="148">
        <f>_xll.qlCalendarAdvance(Calendar,X3442,W3443,"f",FALSE)</f>
        <v>63087</v>
      </c>
      <c r="Y3443" s="153">
        <f>_xll.qlCalendarAdvance(Calendar,X3443,NDays&amp;"D")</f>
        <v>63087</v>
      </c>
      <c r="Z3443" s="154">
        <v>2.930850150435714E-2</v>
      </c>
      <c r="AA3443" s="156">
        <v>2.9197983213256062E-2</v>
      </c>
    </row>
    <row r="3444" spans="19:27" x14ac:dyDescent="0.2">
      <c r="S3444" s="1"/>
      <c r="T3444" s="117"/>
      <c r="W3444" s="75" t="str">
        <f t="shared" si="64"/>
        <v>1w</v>
      </c>
      <c r="X3444" s="148">
        <f>_xll.qlCalendarAdvance(Calendar,X3443,W3444,"f",FALSE)</f>
        <v>63094</v>
      </c>
      <c r="Y3444" s="153">
        <f>_xll.qlCalendarAdvance(Calendar,X3444,NDays&amp;"D")</f>
        <v>63094</v>
      </c>
      <c r="Z3444" s="154">
        <v>2.9310512422159062E-2</v>
      </c>
      <c r="AA3444" s="156">
        <v>2.9198810217123672E-2</v>
      </c>
    </row>
    <row r="3445" spans="19:27" x14ac:dyDescent="0.2">
      <c r="S3445" s="1"/>
      <c r="T3445" s="117"/>
      <c r="W3445" s="75" t="str">
        <f t="shared" si="64"/>
        <v>1w</v>
      </c>
      <c r="X3445" s="148">
        <f>_xll.qlCalendarAdvance(Calendar,X3444,W3445,"f",FALSE)</f>
        <v>63101</v>
      </c>
      <c r="Y3445" s="153">
        <f>_xll.qlCalendarAdvance(Calendar,X3445,NDays&amp;"D")</f>
        <v>63101</v>
      </c>
      <c r="Z3445" s="154">
        <v>2.9311286685742625E-2</v>
      </c>
      <c r="AA3445" s="156">
        <v>2.9199629440143093E-2</v>
      </c>
    </row>
    <row r="3446" spans="19:27" x14ac:dyDescent="0.2">
      <c r="S3446" s="1"/>
      <c r="T3446" s="117"/>
      <c r="W3446" s="75" t="str">
        <f t="shared" si="64"/>
        <v>1w</v>
      </c>
      <c r="X3446" s="148">
        <f>_xll.qlCalendarAdvance(Calendar,X3445,W3446,"f",FALSE)</f>
        <v>63108</v>
      </c>
      <c r="Y3446" s="153">
        <f>_xll.qlCalendarAdvance(Calendar,X3446,NDays&amp;"D")</f>
        <v>63108</v>
      </c>
      <c r="Z3446" s="154">
        <v>2.9312053111662791E-2</v>
      </c>
      <c r="AA3446" s="156">
        <v>2.9200440882071188E-2</v>
      </c>
    </row>
    <row r="3447" spans="19:27" x14ac:dyDescent="0.2">
      <c r="S3447" s="1"/>
      <c r="T3447" s="117"/>
      <c r="W3447" s="75" t="str">
        <f t="shared" si="64"/>
        <v>1w</v>
      </c>
      <c r="X3447" s="148">
        <f>_xll.qlCalendarAdvance(Calendar,X3446,W3447,"f",FALSE)</f>
        <v>63115</v>
      </c>
      <c r="Y3447" s="153">
        <f>_xll.qlCalendarAdvance(Calendar,X3447,NDays&amp;"D")</f>
        <v>63115</v>
      </c>
      <c r="Z3447" s="154">
        <v>2.9312811699917805E-2</v>
      </c>
      <c r="AA3447" s="156">
        <v>2.9201244543232141E-2</v>
      </c>
    </row>
    <row r="3448" spans="19:27" x14ac:dyDescent="0.2">
      <c r="S3448" s="1"/>
      <c r="T3448" s="117"/>
      <c r="W3448" s="75" t="str">
        <f t="shared" si="64"/>
        <v>1w</v>
      </c>
      <c r="X3448" s="148">
        <f>_xll.qlCalendarAdvance(Calendar,X3447,W3448,"f",FALSE)</f>
        <v>63122</v>
      </c>
      <c r="Y3448" s="153">
        <f>_xll.qlCalendarAdvance(Calendar,X3448,NDays&amp;"D")</f>
        <v>63122</v>
      </c>
      <c r="Z3448" s="154">
        <v>2.9313562450501499E-2</v>
      </c>
      <c r="AA3448" s="156">
        <v>2.9202040423382813E-2</v>
      </c>
    </row>
    <row r="3449" spans="19:27" x14ac:dyDescent="0.2">
      <c r="S3449" s="1"/>
      <c r="T3449" s="117"/>
      <c r="W3449" s="75" t="str">
        <f t="shared" si="64"/>
        <v>1w</v>
      </c>
      <c r="X3449" s="148">
        <f>_xll.qlCalendarAdvance(Calendar,X3448,W3449,"f",FALSE)</f>
        <v>63129</v>
      </c>
      <c r="Y3449" s="153">
        <f>_xll.qlCalendarAdvance(Calendar,X3449,NDays&amp;"D")</f>
        <v>63129</v>
      </c>
      <c r="Z3449" s="154">
        <v>2.9314305363412108E-2</v>
      </c>
      <c r="AA3449" s="156">
        <v>2.9202828522523205E-2</v>
      </c>
    </row>
    <row r="3450" spans="19:27" x14ac:dyDescent="0.2">
      <c r="S3450" s="1"/>
      <c r="T3450" s="117"/>
      <c r="W3450" s="75" t="str">
        <f t="shared" si="64"/>
        <v>1w</v>
      </c>
      <c r="X3450" s="148">
        <f>_xll.qlCalendarAdvance(Calendar,X3449,W3450,"f",FALSE)</f>
        <v>63136</v>
      </c>
      <c r="Y3450" s="153">
        <f>_xll.qlCalendarAdvance(Calendar,X3450,NDays&amp;"D")</f>
        <v>63136</v>
      </c>
      <c r="Z3450" s="154">
        <v>2.9315040438640826E-2</v>
      </c>
      <c r="AA3450" s="156">
        <v>2.9203608840653317E-2</v>
      </c>
    </row>
    <row r="3451" spans="19:27" x14ac:dyDescent="0.2">
      <c r="S3451" s="1"/>
      <c r="T3451" s="117"/>
      <c r="W3451" s="75" t="str">
        <f t="shared" si="64"/>
        <v>1w</v>
      </c>
      <c r="X3451" s="148">
        <f>_xll.qlCalendarAdvance(Calendar,X3450,W3451,"f",FALSE)</f>
        <v>63143</v>
      </c>
      <c r="Y3451" s="153">
        <f>_xll.qlCalendarAdvance(Calendar,X3451,NDays&amp;"D")</f>
        <v>63143</v>
      </c>
      <c r="Z3451" s="154">
        <v>2.9315767676187651E-2</v>
      </c>
      <c r="AA3451" s="156">
        <v>2.9204381378097333E-2</v>
      </c>
    </row>
    <row r="3452" spans="19:27" x14ac:dyDescent="0.2">
      <c r="S3452" s="1"/>
      <c r="T3452" s="117"/>
      <c r="W3452" s="75" t="str">
        <f t="shared" si="64"/>
        <v>1w</v>
      </c>
      <c r="X3452" s="148">
        <f>_xll.qlCalendarAdvance(Calendar,X3451,W3452,"f",FALSE)</f>
        <v>63150</v>
      </c>
      <c r="Y3452" s="153">
        <f>_xll.qlCalendarAdvance(Calendar,X3452,NDays&amp;"D")</f>
        <v>63150</v>
      </c>
      <c r="Z3452" s="154">
        <v>2.9316487076047299E-2</v>
      </c>
      <c r="AA3452" s="156">
        <v>2.9205146134368976E-2</v>
      </c>
    </row>
    <row r="3453" spans="19:27" x14ac:dyDescent="0.2">
      <c r="S3453" s="1"/>
      <c r="T3453" s="117"/>
      <c r="W3453" s="75" t="str">
        <f t="shared" si="64"/>
        <v>1w</v>
      </c>
      <c r="X3453" s="148">
        <f>_xll.qlCalendarAdvance(Calendar,X3452,W3453,"f",FALSE)</f>
        <v>63157</v>
      </c>
      <c r="Y3453" s="153">
        <f>_xll.qlCalendarAdvance(Calendar,X3453,NDays&amp;"D")</f>
        <v>63157</v>
      </c>
      <c r="Z3453" s="154">
        <v>2.931597482198732E-2</v>
      </c>
      <c r="AA3453" s="156">
        <v>2.9205903109711384E-2</v>
      </c>
    </row>
    <row r="3454" spans="19:27" x14ac:dyDescent="0.2">
      <c r="S3454" s="1"/>
      <c r="T3454" s="117"/>
      <c r="W3454" s="75" t="str">
        <f t="shared" si="64"/>
        <v>1w</v>
      </c>
      <c r="X3454" s="148">
        <f>_xll.qlCalendarAdvance(Calendar,X3453,W3454,"f",FALSE)</f>
        <v>63164</v>
      </c>
      <c r="Y3454" s="153">
        <f>_xll.qlCalendarAdvance(Calendar,X3454,NDays&amp;"D")</f>
        <v>63164</v>
      </c>
      <c r="Z3454" s="154">
        <v>2.9315455754382078E-2</v>
      </c>
      <c r="AA3454" s="156">
        <v>2.9206652304124558E-2</v>
      </c>
    </row>
    <row r="3455" spans="19:27" x14ac:dyDescent="0.2">
      <c r="S3455" s="1"/>
      <c r="T3455" s="117"/>
      <c r="W3455" s="75" t="str">
        <f t="shared" si="64"/>
        <v>1w</v>
      </c>
      <c r="X3455" s="148">
        <f>_xll.qlCalendarAdvance(Calendar,X3454,W3455,"f",FALSE)</f>
        <v>63171</v>
      </c>
      <c r="Y3455" s="153">
        <f>_xll.qlCalendarAdvance(Calendar,X3455,NDays&amp;"D")</f>
        <v>63171</v>
      </c>
      <c r="Z3455" s="154">
        <v>2.9316152649272752E-2</v>
      </c>
      <c r="AA3455" s="156">
        <v>2.9207393717689545E-2</v>
      </c>
    </row>
    <row r="3456" spans="19:27" x14ac:dyDescent="0.2">
      <c r="S3456" s="1"/>
      <c r="T3456" s="117"/>
      <c r="W3456" s="75" t="str">
        <f t="shared" si="64"/>
        <v>1w</v>
      </c>
      <c r="X3456" s="148">
        <f>_xll.qlCalendarAdvance(Calendar,X3455,W3456,"f",FALSE)</f>
        <v>63178</v>
      </c>
      <c r="Y3456" s="153">
        <f>_xll.qlCalendarAdvance(Calendar,X3456,NDays&amp;"D")</f>
        <v>63178</v>
      </c>
      <c r="Z3456" s="154">
        <v>2.9316841707711181E-2</v>
      </c>
      <c r="AA3456" s="156">
        <v>2.9208127350244251E-2</v>
      </c>
    </row>
    <row r="3457" spans="19:27" x14ac:dyDescent="0.2">
      <c r="S3457" s="1"/>
      <c r="T3457" s="117"/>
      <c r="W3457" s="75" t="str">
        <f t="shared" si="64"/>
        <v>1w</v>
      </c>
      <c r="X3457" s="148">
        <f>_xll.qlCalendarAdvance(Calendar,X3456,W3457,"f",FALSE)</f>
        <v>63186</v>
      </c>
      <c r="Y3457" s="153">
        <f>_xll.qlCalendarAdvance(Calendar,X3457,NDays&amp;"D")</f>
        <v>63186</v>
      </c>
      <c r="Z3457" s="154">
        <v>2.9317619607408568E-2</v>
      </c>
      <c r="AA3457" s="156">
        <v>2.9208956259672014E-2</v>
      </c>
    </row>
    <row r="3458" spans="19:27" x14ac:dyDescent="0.2">
      <c r="S3458" s="1"/>
      <c r="T3458" s="117"/>
      <c r="W3458" s="75" t="str">
        <f t="shared" si="64"/>
        <v>1w</v>
      </c>
      <c r="X3458" s="148">
        <f>_xll.qlCalendarAdvance(Calendar,X3457,W3458,"f",FALSE)</f>
        <v>63193</v>
      </c>
      <c r="Y3458" s="153">
        <f>_xll.qlCalendarAdvance(Calendar,X3458,NDays&amp;"D")</f>
        <v>63193</v>
      </c>
      <c r="Z3458" s="154">
        <v>2.9318291873435834E-2</v>
      </c>
      <c r="AA3458" s="156">
        <v>2.9209673218656418E-2</v>
      </c>
    </row>
    <row r="3459" spans="19:27" x14ac:dyDescent="0.2">
      <c r="S3459" s="1"/>
      <c r="T3459" s="117"/>
      <c r="W3459" s="75" t="str">
        <f t="shared" si="64"/>
        <v>1w</v>
      </c>
      <c r="X3459" s="148">
        <f>_xll.qlCalendarAdvance(Calendar,X3458,W3459,"f",FALSE)</f>
        <v>63200</v>
      </c>
      <c r="Y3459" s="153">
        <f>_xll.qlCalendarAdvance(Calendar,X3459,NDays&amp;"D")</f>
        <v>63200</v>
      </c>
      <c r="Z3459" s="154">
        <v>2.9318956302999154E-2</v>
      </c>
      <c r="AA3459" s="156">
        <v>2.9210382396792633E-2</v>
      </c>
    </row>
    <row r="3460" spans="19:27" x14ac:dyDescent="0.2">
      <c r="S3460" s="1"/>
      <c r="T3460" s="117"/>
      <c r="W3460" s="75" t="str">
        <f t="shared" si="64"/>
        <v>1w</v>
      </c>
      <c r="X3460" s="148">
        <f>_xll.qlCalendarAdvance(Calendar,X3459,W3460,"f",FALSE)</f>
        <v>63207</v>
      </c>
      <c r="Y3460" s="153">
        <f>_xll.qlCalendarAdvance(Calendar,X3460,NDays&amp;"D")</f>
        <v>63207</v>
      </c>
      <c r="Z3460" s="154">
        <v>2.9319612896094024E-2</v>
      </c>
      <c r="AA3460" s="156">
        <v>2.9211083794080661E-2</v>
      </c>
    </row>
    <row r="3461" spans="19:27" x14ac:dyDescent="0.2">
      <c r="S3461" s="1"/>
      <c r="T3461" s="117"/>
      <c r="W3461" s="75" t="str">
        <f t="shared" si="64"/>
        <v>1w</v>
      </c>
      <c r="X3461" s="148">
        <f>_xll.qlCalendarAdvance(Calendar,X3460,W3461,"f",FALSE)</f>
        <v>63214</v>
      </c>
      <c r="Y3461" s="153">
        <f>_xll.qlCalendarAdvance(Calendar,X3461,NDays&amp;"D")</f>
        <v>63214</v>
      </c>
      <c r="Z3461" s="154">
        <v>2.9320261652717741E-2</v>
      </c>
      <c r="AA3461" s="156">
        <v>2.9211777410358408E-2</v>
      </c>
    </row>
    <row r="3462" spans="19:27" x14ac:dyDescent="0.2">
      <c r="S3462" s="1"/>
      <c r="T3462" s="117"/>
      <c r="W3462" s="75" t="str">
        <f t="shared" si="64"/>
        <v>1w</v>
      </c>
      <c r="X3462" s="148">
        <f>_xll.qlCalendarAdvance(Calendar,X3461,W3462,"f",FALSE)</f>
        <v>63221</v>
      </c>
      <c r="Y3462" s="153">
        <f>_xll.qlCalendarAdvance(Calendar,X3462,NDays&amp;"D")</f>
        <v>63221</v>
      </c>
      <c r="Z3462" s="154">
        <v>2.9320902572863104E-2</v>
      </c>
      <c r="AA3462" s="156">
        <v>2.9212463245463782E-2</v>
      </c>
    </row>
    <row r="3463" spans="19:27" x14ac:dyDescent="0.2">
      <c r="S3463" s="1"/>
      <c r="T3463" s="117"/>
      <c r="W3463" s="75" t="str">
        <f t="shared" si="64"/>
        <v>1w</v>
      </c>
      <c r="X3463" s="148">
        <f>_xll.qlCalendarAdvance(Calendar,X3462,W3463,"f",FALSE)</f>
        <v>63228</v>
      </c>
      <c r="Y3463" s="153">
        <f>_xll.qlCalendarAdvance(Calendar,X3463,NDays&amp;"D")</f>
        <v>63228</v>
      </c>
      <c r="Z3463" s="154">
        <v>2.9320317008879618E-2</v>
      </c>
      <c r="AA3463" s="156">
        <v>2.9213141299964107E-2</v>
      </c>
    </row>
    <row r="3464" spans="19:27" x14ac:dyDescent="0.2">
      <c r="S3464" s="1"/>
      <c r="T3464" s="117"/>
      <c r="W3464" s="75" t="str">
        <f t="shared" si="64"/>
        <v>1w</v>
      </c>
      <c r="X3464" s="148">
        <f>_xll.qlCalendarAdvance(Calendar,X3463,W3464,"f",FALSE)</f>
        <v>63235</v>
      </c>
      <c r="Y3464" s="153">
        <f>_xll.qlCalendarAdvance(Calendar,X3464,NDays&amp;"D")</f>
        <v>63235</v>
      </c>
      <c r="Z3464" s="154">
        <v>2.9320942765723862E-2</v>
      </c>
      <c r="AA3464" s="156">
        <v>2.9213811573211013E-2</v>
      </c>
    </row>
    <row r="3465" spans="19:27" x14ac:dyDescent="0.2">
      <c r="S3465" s="1"/>
      <c r="T3465" s="117"/>
      <c r="W3465" s="75" t="str">
        <f t="shared" si="64"/>
        <v>1w</v>
      </c>
      <c r="X3465" s="148">
        <f>_xll.qlCalendarAdvance(Calendar,X3464,W3465,"f",FALSE)</f>
        <v>63242</v>
      </c>
      <c r="Y3465" s="153">
        <f>_xll.qlCalendarAdvance(Calendar,X3465,NDays&amp;"D")</f>
        <v>63242</v>
      </c>
      <c r="Z3465" s="154">
        <v>2.9321560686705883E-2</v>
      </c>
      <c r="AA3465" s="156">
        <v>2.921447406560973E-2</v>
      </c>
    </row>
    <row r="3466" spans="19:27" x14ac:dyDescent="0.2">
      <c r="S3466" s="1"/>
      <c r="T3466" s="117"/>
      <c r="W3466" s="75" t="str">
        <f t="shared" si="64"/>
        <v>1w</v>
      </c>
      <c r="X3466" s="148">
        <f>_xll.qlCalendarAdvance(Calendar,X3465,W3466,"f",FALSE)</f>
        <v>63249</v>
      </c>
      <c r="Y3466" s="153">
        <f>_xll.qlCalendarAdvance(Calendar,X3466,NDays&amp;"D")</f>
        <v>63249</v>
      </c>
      <c r="Z3466" s="154">
        <v>2.9325822170714222E-2</v>
      </c>
      <c r="AA3466" s="156">
        <v>2.9215128776998167E-2</v>
      </c>
    </row>
    <row r="3467" spans="19:27" x14ac:dyDescent="0.2">
      <c r="S3467" s="1"/>
      <c r="T3467" s="117"/>
      <c r="W3467" s="75" t="str">
        <f t="shared" si="64"/>
        <v>1w</v>
      </c>
      <c r="X3467" s="148">
        <f>_xll.qlCalendarAdvance(Calendar,X3466,W3467,"f",FALSE)</f>
        <v>63256</v>
      </c>
      <c r="Y3467" s="153">
        <f>_xll.qlCalendarAdvance(Calendar,X3467,NDays&amp;"D")</f>
        <v>63256</v>
      </c>
      <c r="Z3467" s="154">
        <v>2.9326422885095599E-2</v>
      </c>
      <c r="AA3467" s="156">
        <v>2.9215775707700509E-2</v>
      </c>
    </row>
    <row r="3468" spans="19:27" x14ac:dyDescent="0.2">
      <c r="S3468" s="1"/>
      <c r="T3468" s="117"/>
      <c r="W3468" s="75" t="str">
        <f t="shared" si="64"/>
        <v>1w</v>
      </c>
      <c r="X3468" s="148">
        <f>_xll.qlCalendarAdvance(Calendar,X3467,W3468,"f",FALSE)</f>
        <v>63263</v>
      </c>
      <c r="Y3468" s="153">
        <f>_xll.qlCalendarAdvance(Calendar,X3468,NDays&amp;"D")</f>
        <v>63263</v>
      </c>
      <c r="Z3468" s="154">
        <v>2.9327015761727252E-2</v>
      </c>
      <c r="AA3468" s="156">
        <v>2.9216414857311523E-2</v>
      </c>
    </row>
    <row r="3469" spans="19:27" x14ac:dyDescent="0.2">
      <c r="S3469" s="1"/>
      <c r="T3469" s="117"/>
      <c r="W3469" s="75" t="str">
        <f t="shared" si="64"/>
        <v>1w</v>
      </c>
      <c r="X3469" s="148">
        <f>_xll.qlCalendarAdvance(Calendar,X3468,W3469,"f",FALSE)</f>
        <v>63270</v>
      </c>
      <c r="Y3469" s="153">
        <f>_xll.qlCalendarAdvance(Calendar,X3469,NDays&amp;"D")</f>
        <v>63270</v>
      </c>
      <c r="Z3469" s="154">
        <v>2.9327600800601254E-2</v>
      </c>
      <c r="AA3469" s="156">
        <v>2.9217046225831211E-2</v>
      </c>
    </row>
    <row r="3470" spans="19:27" x14ac:dyDescent="0.2">
      <c r="S3470" s="1"/>
      <c r="T3470" s="117"/>
      <c r="W3470" s="75" t="str">
        <f t="shared" si="64"/>
        <v>1w</v>
      </c>
      <c r="X3470" s="148">
        <f>_xll.qlCalendarAdvance(Calendar,X3469,W3470,"f",FALSE)</f>
        <v>63277</v>
      </c>
      <c r="Y3470" s="153">
        <f>_xll.qlCalendarAdvance(Calendar,X3470,NDays&amp;"D")</f>
        <v>63277</v>
      </c>
      <c r="Z3470" s="154">
        <v>2.9328178001720245E-2</v>
      </c>
      <c r="AA3470" s="156">
        <v>2.9217669813340619E-2</v>
      </c>
    </row>
    <row r="3471" spans="19:27" x14ac:dyDescent="0.2">
      <c r="S3471" s="1"/>
      <c r="T3471" s="117"/>
      <c r="W3471" s="75" t="str">
        <f t="shared" si="64"/>
        <v>1w</v>
      </c>
      <c r="X3471" s="148">
        <f>_xll.qlCalendarAdvance(Calendar,X3470,W3471,"f",FALSE)</f>
        <v>63284</v>
      </c>
      <c r="Y3471" s="153">
        <f>_xll.qlCalendarAdvance(Calendar,X3471,NDays&amp;"D")</f>
        <v>63284</v>
      </c>
      <c r="Z3471" s="154">
        <v>2.9327532780762857E-2</v>
      </c>
      <c r="AA3471" s="156">
        <v>2.9218285620244977E-2</v>
      </c>
    </row>
    <row r="3472" spans="19:27" x14ac:dyDescent="0.2">
      <c r="S3472" s="1"/>
      <c r="T3472" s="117"/>
      <c r="W3472" s="75" t="str">
        <f t="shared" si="64"/>
        <v>1w</v>
      </c>
      <c r="X3472" s="148">
        <f>_xll.qlCalendarAdvance(Calendar,X3471,W3472,"f",FALSE)</f>
        <v>63291</v>
      </c>
      <c r="Y3472" s="153">
        <f>_xll.qlCalendarAdvance(Calendar,X3472,NDays&amp;"D")</f>
        <v>63291</v>
      </c>
      <c r="Z3472" s="154">
        <v>2.9328094821199382E-2</v>
      </c>
      <c r="AA3472" s="156">
        <v>2.9218893646139055E-2</v>
      </c>
    </row>
    <row r="3473" spans="19:27" x14ac:dyDescent="0.2">
      <c r="S3473" s="1"/>
      <c r="T3473" s="117"/>
      <c r="W3473" s="75" t="str">
        <f t="shared" si="64"/>
        <v>1w</v>
      </c>
      <c r="X3473" s="148">
        <f>_xll.qlCalendarAdvance(Calendar,X3472,W3473,"f",FALSE)</f>
        <v>63298</v>
      </c>
      <c r="Y3473" s="153">
        <f>_xll.qlCalendarAdvance(Calendar,X3473,NDays&amp;"D")</f>
        <v>63298</v>
      </c>
      <c r="Z3473" s="154">
        <v>2.9328649024494394E-2</v>
      </c>
      <c r="AA3473" s="156">
        <v>2.9219493890779713E-2</v>
      </c>
    </row>
    <row r="3474" spans="19:27" x14ac:dyDescent="0.2">
      <c r="S3474" s="1"/>
      <c r="T3474" s="117"/>
      <c r="W3474" s="75" t="str">
        <f t="shared" si="64"/>
        <v>1w</v>
      </c>
      <c r="X3474" s="148">
        <f>_xll.qlCalendarAdvance(Calendar,X3473,W3474,"f",FALSE)</f>
        <v>63305</v>
      </c>
      <c r="Y3474" s="153">
        <f>_xll.qlCalendarAdvance(Calendar,X3474,NDays&amp;"D")</f>
        <v>63305</v>
      </c>
      <c r="Z3474" s="154">
        <v>2.932919539064701E-2</v>
      </c>
      <c r="AA3474" s="156">
        <v>2.922008635465323E-2</v>
      </c>
    </row>
    <row r="3475" spans="19:27" x14ac:dyDescent="0.2">
      <c r="S3475" s="1"/>
      <c r="T3475" s="117"/>
      <c r="W3475" s="75" t="str">
        <f t="shared" si="64"/>
        <v>1w</v>
      </c>
      <c r="X3475" s="148">
        <f>_xll.qlCalendarAdvance(Calendar,X3474,W3475,"f",FALSE)</f>
        <v>63312</v>
      </c>
      <c r="Y3475" s="153">
        <f>_xll.qlCalendarAdvance(Calendar,X3475,NDays&amp;"D")</f>
        <v>63312</v>
      </c>
      <c r="Z3475" s="154">
        <v>2.9330946440833235E-2</v>
      </c>
      <c r="AA3475" s="156">
        <v>2.9220671037678558E-2</v>
      </c>
    </row>
    <row r="3476" spans="19:27" x14ac:dyDescent="0.2">
      <c r="S3476" s="1"/>
      <c r="T3476" s="117"/>
      <c r="W3476" s="75" t="str">
        <f t="shared" si="64"/>
        <v>1w</v>
      </c>
      <c r="X3476" s="148">
        <f>_xll.qlCalendarAdvance(Calendar,X3475,W3476,"f",FALSE)</f>
        <v>63319</v>
      </c>
      <c r="Y3476" s="153">
        <f>_xll.qlCalendarAdvance(Calendar,X3476,NDays&amp;"D")</f>
        <v>63319</v>
      </c>
      <c r="Z3476" s="154">
        <v>2.9331476615336714E-2</v>
      </c>
      <c r="AA3476" s="156">
        <v>2.9221247939531514E-2</v>
      </c>
    </row>
    <row r="3477" spans="19:27" x14ac:dyDescent="0.2">
      <c r="S3477" s="1"/>
      <c r="T3477" s="117"/>
      <c r="W3477" s="75" t="str">
        <f t="shared" ref="W3477:W3540" si="65">W3476</f>
        <v>1w</v>
      </c>
      <c r="X3477" s="148">
        <f>_xll.qlCalendarAdvance(Calendar,X3476,W3477,"f",FALSE)</f>
        <v>63326</v>
      </c>
      <c r="Y3477" s="153">
        <f>_xll.qlCalendarAdvance(Calendar,X3477,NDays&amp;"D")</f>
        <v>63326</v>
      </c>
      <c r="Z3477" s="154">
        <v>2.9331998952059634E-2</v>
      </c>
      <c r="AA3477" s="156">
        <v>2.9221817060536281E-2</v>
      </c>
    </row>
    <row r="3478" spans="19:27" x14ac:dyDescent="0.2">
      <c r="S3478" s="1"/>
      <c r="T3478" s="117"/>
      <c r="W3478" s="75" t="str">
        <f t="shared" si="65"/>
        <v>1w</v>
      </c>
      <c r="X3478" s="148">
        <f>_xll.qlCalendarAdvance(Calendar,X3477,W3478,"f",FALSE)</f>
        <v>63333</v>
      </c>
      <c r="Y3478" s="153">
        <f>_xll.qlCalendarAdvance(Calendar,X3478,NDays&amp;"D")</f>
        <v>63333</v>
      </c>
      <c r="Z3478" s="154">
        <v>2.9332513451000235E-2</v>
      </c>
      <c r="AA3478" s="156">
        <v>2.9222378400773907E-2</v>
      </c>
    </row>
    <row r="3479" spans="19:27" x14ac:dyDescent="0.2">
      <c r="S3479" s="1"/>
      <c r="T3479" s="117"/>
      <c r="W3479" s="75" t="str">
        <f t="shared" si="65"/>
        <v>1w</v>
      </c>
      <c r="X3479" s="148">
        <f>_xll.qlCalendarAdvance(Calendar,X3478,W3479,"f",FALSE)</f>
        <v>63340</v>
      </c>
      <c r="Y3479" s="153">
        <f>_xll.qlCalendarAdvance(Calendar,X3479,NDays&amp;"D")</f>
        <v>63340</v>
      </c>
      <c r="Z3479" s="154">
        <v>2.9333020112155873E-2</v>
      </c>
      <c r="AA3479" s="156">
        <v>2.9222931959758114E-2</v>
      </c>
    </row>
    <row r="3480" spans="19:27" x14ac:dyDescent="0.2">
      <c r="S3480" s="1"/>
      <c r="T3480" s="117"/>
      <c r="W3480" s="75" t="str">
        <f t="shared" si="65"/>
        <v>1w</v>
      </c>
      <c r="X3480" s="148">
        <f>_xll.qlCalendarAdvance(Calendar,X3479,W3480,"f",FALSE)</f>
        <v>63347</v>
      </c>
      <c r="Y3480" s="153">
        <f>_xll.qlCalendarAdvance(Calendar,X3480,NDays&amp;"D")</f>
        <v>63347</v>
      </c>
      <c r="Z3480" s="154">
        <v>2.9333518935518624E-2</v>
      </c>
      <c r="AA3480" s="156">
        <v>2.9223477737894132E-2</v>
      </c>
    </row>
    <row r="3481" spans="19:27" x14ac:dyDescent="0.2">
      <c r="S3481" s="1"/>
      <c r="T3481" s="117"/>
      <c r="W3481" s="75" t="str">
        <f t="shared" si="65"/>
        <v>1w</v>
      </c>
      <c r="X3481" s="148">
        <f>_xll.qlCalendarAdvance(Calendar,X3480,W3481,"f",FALSE)</f>
        <v>63354</v>
      </c>
      <c r="Y3481" s="153">
        <f>_xll.qlCalendarAdvance(Calendar,X3481,NDays&amp;"D")</f>
        <v>63354</v>
      </c>
      <c r="Z3481" s="154">
        <v>2.9334009921091121E-2</v>
      </c>
      <c r="AA3481" s="156">
        <v>2.9224015735181963E-2</v>
      </c>
    </row>
    <row r="3482" spans="19:27" x14ac:dyDescent="0.2">
      <c r="S3482" s="1"/>
      <c r="T3482" s="117"/>
      <c r="W3482" s="75" t="str">
        <f t="shared" si="65"/>
        <v>1w</v>
      </c>
      <c r="X3482" s="148">
        <f>_xll.qlCalendarAdvance(Calendar,X3481,W3482,"f",FALSE)</f>
        <v>63361</v>
      </c>
      <c r="Y3482" s="153">
        <f>_xll.qlCalendarAdvance(Calendar,X3482,NDays&amp;"D")</f>
        <v>63361</v>
      </c>
      <c r="Z3482" s="154">
        <v>2.933449306886721E-2</v>
      </c>
      <c r="AA3482" s="156">
        <v>2.9224545951378467E-2</v>
      </c>
    </row>
    <row r="3483" spans="19:27" x14ac:dyDescent="0.2">
      <c r="S3483" s="1"/>
      <c r="T3483" s="117"/>
      <c r="W3483" s="75" t="str">
        <f t="shared" si="65"/>
        <v>1w</v>
      </c>
      <c r="X3483" s="148">
        <f>_xll.qlCalendarAdvance(Calendar,X3482,W3483,"f",FALSE)</f>
        <v>63368</v>
      </c>
      <c r="Y3483" s="153">
        <f>_xll.qlCalendarAdvance(Calendar,X3483,NDays&amp;"D")</f>
        <v>63368</v>
      </c>
      <c r="Z3483" s="154">
        <v>2.9334968378848643E-2</v>
      </c>
      <c r="AA3483" s="156">
        <v>2.9225068386807829E-2</v>
      </c>
    </row>
    <row r="3484" spans="19:27" x14ac:dyDescent="0.2">
      <c r="S3484" s="1"/>
      <c r="T3484" s="117"/>
      <c r="W3484" s="75" t="str">
        <f t="shared" si="65"/>
        <v>1w</v>
      </c>
      <c r="X3484" s="148">
        <f>_xll.qlCalendarAdvance(Calendar,X3483,W3484,"f",FALSE)</f>
        <v>63375</v>
      </c>
      <c r="Y3484" s="153">
        <f>_xll.qlCalendarAdvance(Calendar,X3484,NDays&amp;"D")</f>
        <v>63375</v>
      </c>
      <c r="Z3484" s="154">
        <v>2.9335435851024855E-2</v>
      </c>
      <c r="AA3484" s="156">
        <v>2.9225583041064818E-2</v>
      </c>
    </row>
    <row r="3485" spans="19:27" x14ac:dyDescent="0.2">
      <c r="S3485" s="1"/>
      <c r="T3485" s="117"/>
      <c r="W3485" s="75" t="str">
        <f t="shared" si="65"/>
        <v>1w</v>
      </c>
      <c r="X3485" s="148">
        <f>_xll.qlCalendarAdvance(Calendar,X3484,W3485,"f",FALSE)</f>
        <v>63382</v>
      </c>
      <c r="Y3485" s="153">
        <f>_xll.qlCalendarAdvance(Calendar,X3485,NDays&amp;"D")</f>
        <v>63382</v>
      </c>
      <c r="Z3485" s="154">
        <v>2.9335895485400245E-2</v>
      </c>
      <c r="AA3485" s="156">
        <v>2.9226089914635711E-2</v>
      </c>
    </row>
    <row r="3486" spans="19:27" x14ac:dyDescent="0.2">
      <c r="S3486" s="1"/>
      <c r="T3486" s="117"/>
      <c r="W3486" s="75" t="str">
        <f t="shared" si="65"/>
        <v>1w</v>
      </c>
      <c r="X3486" s="148">
        <f>_xll.qlCalendarAdvance(Calendar,X3485,W3486,"f",FALSE)</f>
        <v>63389</v>
      </c>
      <c r="Y3486" s="153">
        <f>_xll.qlCalendarAdvance(Calendar,X3486,NDays&amp;"D")</f>
        <v>63389</v>
      </c>
      <c r="Z3486" s="154">
        <v>2.9336347281968652E-2</v>
      </c>
      <c r="AA3486" s="156">
        <v>2.9226589007034232E-2</v>
      </c>
    </row>
    <row r="3487" spans="19:27" x14ac:dyDescent="0.2">
      <c r="S3487" s="1"/>
      <c r="T3487" s="117"/>
      <c r="W3487" s="75" t="str">
        <f t="shared" si="65"/>
        <v>1w</v>
      </c>
      <c r="X3487" s="148">
        <f>_xll.qlCalendarAdvance(Calendar,X3486,W3487,"f",FALSE)</f>
        <v>63396</v>
      </c>
      <c r="Y3487" s="153">
        <f>_xll.qlCalendarAdvance(Calendar,X3487,NDays&amp;"D")</f>
        <v>63396</v>
      </c>
      <c r="Z3487" s="154">
        <v>2.9336791240727429E-2</v>
      </c>
      <c r="AA3487" s="156">
        <v>2.9227080318422471E-2</v>
      </c>
    </row>
    <row r="3488" spans="19:27" x14ac:dyDescent="0.2">
      <c r="S3488" s="1"/>
      <c r="T3488" s="117"/>
      <c r="W3488" s="75" t="str">
        <f t="shared" si="65"/>
        <v>1w</v>
      </c>
      <c r="X3488" s="148">
        <f>_xll.qlCalendarAdvance(Calendar,X3487,W3488,"f",FALSE)</f>
        <v>63403</v>
      </c>
      <c r="Y3488" s="153">
        <f>_xll.qlCalendarAdvance(Calendar,X3488,NDays&amp;"D")</f>
        <v>63403</v>
      </c>
      <c r="Z3488" s="154">
        <v>2.9337227361675697E-2</v>
      </c>
      <c r="AA3488" s="156">
        <v>2.922756384904357E-2</v>
      </c>
    </row>
    <row r="3489" spans="19:27" x14ac:dyDescent="0.2">
      <c r="S3489" s="1"/>
      <c r="T3489" s="117"/>
      <c r="W3489" s="75" t="str">
        <f t="shared" si="65"/>
        <v>1w</v>
      </c>
      <c r="X3489" s="148">
        <f>_xll.qlCalendarAdvance(Calendar,X3488,W3489,"f",FALSE)</f>
        <v>63410</v>
      </c>
      <c r="Y3489" s="153">
        <f>_xll.qlCalendarAdvance(Calendar,X3489,NDays&amp;"D")</f>
        <v>63410</v>
      </c>
      <c r="Z3489" s="154">
        <v>2.9337655644810813E-2</v>
      </c>
      <c r="AA3489" s="156">
        <v>2.9228039598735434E-2</v>
      </c>
    </row>
    <row r="3490" spans="19:27" x14ac:dyDescent="0.2">
      <c r="S3490" s="1"/>
      <c r="T3490" s="117"/>
      <c r="W3490" s="75" t="str">
        <f t="shared" si="65"/>
        <v>1w</v>
      </c>
      <c r="X3490" s="148">
        <f>_xll.qlCalendarAdvance(Calendar,X3489,W3490,"f",FALSE)</f>
        <v>63417</v>
      </c>
      <c r="Y3490" s="153">
        <f>_xll.qlCalendarAdvance(Calendar,X3490,NDays&amp;"D")</f>
        <v>63417</v>
      </c>
      <c r="Z3490" s="154">
        <v>2.933807609012749E-2</v>
      </c>
      <c r="AA3490" s="156">
        <v>2.9228507567254924E-2</v>
      </c>
    </row>
    <row r="3491" spans="19:27" x14ac:dyDescent="0.2">
      <c r="S3491" s="1"/>
      <c r="T3491" s="117"/>
      <c r="W3491" s="75" t="str">
        <f t="shared" si="65"/>
        <v>1w</v>
      </c>
      <c r="X3491" s="148">
        <f>_xll.qlCalendarAdvance(Calendar,X3490,W3491,"f",FALSE)</f>
        <v>63424</v>
      </c>
      <c r="Y3491" s="153">
        <f>_xll.qlCalendarAdvance(Calendar,X3491,NDays&amp;"D")</f>
        <v>63424</v>
      </c>
      <c r="Z3491" s="154">
        <v>2.9338488697623968E-2</v>
      </c>
      <c r="AA3491" s="156">
        <v>2.9228967755007274E-2</v>
      </c>
    </row>
    <row r="3492" spans="19:27" x14ac:dyDescent="0.2">
      <c r="S3492" s="1"/>
      <c r="T3492" s="117"/>
      <c r="W3492" s="75" t="str">
        <f t="shared" si="65"/>
        <v>1w</v>
      </c>
      <c r="X3492" s="148">
        <f>_xll.qlCalendarAdvance(Calendar,X3491,W3492,"f",FALSE)</f>
        <v>63431</v>
      </c>
      <c r="Y3492" s="153">
        <f>_xll.qlCalendarAdvance(Calendar,X3492,NDays&amp;"D")</f>
        <v>63431</v>
      </c>
      <c r="Z3492" s="154">
        <v>2.933889346730113E-2</v>
      </c>
      <c r="AA3492" s="156">
        <v>2.9229420161830388E-2</v>
      </c>
    </row>
    <row r="3493" spans="19:27" x14ac:dyDescent="0.2">
      <c r="S3493" s="1"/>
      <c r="T3493" s="117"/>
      <c r="W3493" s="75" t="str">
        <f t="shared" si="65"/>
        <v>1w</v>
      </c>
      <c r="X3493" s="148">
        <f>_xll.qlCalendarAdvance(Calendar,X3492,W3493,"f",FALSE)</f>
        <v>63438</v>
      </c>
      <c r="Y3493" s="153">
        <f>_xll.qlCalendarAdvance(Calendar,X3493,NDays&amp;"D")</f>
        <v>63438</v>
      </c>
      <c r="Z3493" s="154">
        <v>2.9338087286232575E-2</v>
      </c>
      <c r="AA3493" s="156">
        <v>2.9229864787562176E-2</v>
      </c>
    </row>
    <row r="3494" spans="19:27" x14ac:dyDescent="0.2">
      <c r="S3494" s="1"/>
      <c r="T3494" s="117"/>
      <c r="W3494" s="75" t="str">
        <f t="shared" si="65"/>
        <v>1w</v>
      </c>
      <c r="X3494" s="148">
        <f>_xll.qlCalendarAdvance(Calendar,X3493,W3494,"f",FALSE)</f>
        <v>63445</v>
      </c>
      <c r="Y3494" s="153">
        <f>_xll.qlCalendarAdvance(Calendar,X3494,NDays&amp;"D")</f>
        <v>63445</v>
      </c>
      <c r="Z3494" s="154">
        <v>2.93384769088995E-2</v>
      </c>
      <c r="AA3494" s="156">
        <v>2.9230301632445777E-2</v>
      </c>
    </row>
    <row r="3495" spans="19:27" x14ac:dyDescent="0.2">
      <c r="S3495" s="1"/>
      <c r="T3495" s="117"/>
      <c r="W3495" s="75" t="str">
        <f t="shared" si="65"/>
        <v>1w</v>
      </c>
      <c r="X3495" s="148">
        <f>_xll.qlCalendarAdvance(Calendar,X3494,W3495,"f",FALSE)</f>
        <v>63452</v>
      </c>
      <c r="Y3495" s="153">
        <f>_xll.qlCalendarAdvance(Calendar,X3495,NDays&amp;"D")</f>
        <v>63452</v>
      </c>
      <c r="Z3495" s="154">
        <v>2.9338858694363465E-2</v>
      </c>
      <c r="AA3495" s="156">
        <v>2.923073069623805E-2</v>
      </c>
    </row>
    <row r="3496" spans="19:27" x14ac:dyDescent="0.2">
      <c r="S3496" s="1"/>
      <c r="T3496" s="117"/>
      <c r="W3496" s="75" t="str">
        <f t="shared" si="65"/>
        <v>1w</v>
      </c>
      <c r="X3496" s="148">
        <f>_xll.qlCalendarAdvance(Calendar,X3495,W3496,"f",FALSE)</f>
        <v>63459</v>
      </c>
      <c r="Y3496" s="153">
        <f>_xll.qlCalendarAdvance(Calendar,X3496,NDays&amp;"D")</f>
        <v>63459</v>
      </c>
      <c r="Z3496" s="154">
        <v>2.9339232642627135E-2</v>
      </c>
      <c r="AA3496" s="156">
        <v>2.9231151979263181E-2</v>
      </c>
    </row>
    <row r="3497" spans="19:27" x14ac:dyDescent="0.2">
      <c r="S3497" s="1"/>
      <c r="T3497" s="117"/>
      <c r="W3497" s="75" t="str">
        <f t="shared" si="65"/>
        <v>1w</v>
      </c>
      <c r="X3497" s="148">
        <f>_xll.qlCalendarAdvance(Calendar,X3496,W3497,"f",FALSE)</f>
        <v>63466</v>
      </c>
      <c r="Y3497" s="153">
        <f>_xll.qlCalendarAdvance(Calendar,X3497,NDays&amp;"D")</f>
        <v>63466</v>
      </c>
      <c r="Z3497" s="154">
        <v>2.9340799748279984E-2</v>
      </c>
      <c r="AA3497" s="156">
        <v>2.9231565481196986E-2</v>
      </c>
    </row>
    <row r="3498" spans="19:27" x14ac:dyDescent="0.2">
      <c r="S3498" s="1"/>
      <c r="T3498" s="117"/>
      <c r="W3498" s="75" t="str">
        <f t="shared" si="65"/>
        <v>1w</v>
      </c>
      <c r="X3498" s="148">
        <f>_xll.qlCalendarAdvance(Calendar,X3497,W3498,"f",FALSE)</f>
        <v>63473</v>
      </c>
      <c r="Y3498" s="153">
        <f>_xll.qlCalendarAdvance(Calendar,X3498,NDays&amp;"D")</f>
        <v>63473</v>
      </c>
      <c r="Z3498" s="154">
        <v>2.9341157490977803E-2</v>
      </c>
      <c r="AA3498" s="156">
        <v>2.9231971202282603E-2</v>
      </c>
    </row>
    <row r="3499" spans="19:27" x14ac:dyDescent="0.2">
      <c r="S3499" s="1"/>
      <c r="T3499" s="117"/>
      <c r="W3499" s="75" t="str">
        <f t="shared" si="65"/>
        <v>1w</v>
      </c>
      <c r="X3499" s="148">
        <f>_xll.qlCalendarAdvance(Calendar,X3498,W3499,"f",FALSE)</f>
        <v>63480</v>
      </c>
      <c r="Y3499" s="153">
        <f>_xll.qlCalendarAdvance(Calendar,X3499,NDays&amp;"D")</f>
        <v>63480</v>
      </c>
      <c r="Z3499" s="154">
        <v>2.934150739584045E-2</v>
      </c>
      <c r="AA3499" s="156">
        <v>2.9232369142438985E-2</v>
      </c>
    </row>
    <row r="3500" spans="19:27" x14ac:dyDescent="0.2">
      <c r="S3500" s="1"/>
      <c r="T3500" s="117"/>
      <c r="W3500" s="75" t="str">
        <f t="shared" si="65"/>
        <v>1w</v>
      </c>
      <c r="X3500" s="148">
        <f>_xll.qlCalendarAdvance(Calendar,X3499,W3500,"f",FALSE)</f>
        <v>63487</v>
      </c>
      <c r="Y3500" s="153">
        <f>_xll.qlCalendarAdvance(Calendar,X3500,NDays&amp;"D")</f>
        <v>63487</v>
      </c>
      <c r="Z3500" s="154">
        <v>2.9341849462862633E-2</v>
      </c>
      <c r="AA3500" s="156">
        <v>2.9232759301585087E-2</v>
      </c>
    </row>
    <row r="3501" spans="19:27" x14ac:dyDescent="0.2">
      <c r="S3501" s="1"/>
      <c r="T3501" s="117"/>
      <c r="W3501" s="75" t="str">
        <f t="shared" si="65"/>
        <v>1w</v>
      </c>
      <c r="X3501" s="148">
        <f>_xll.qlCalendarAdvance(Calendar,X3500,W3501,"f",FALSE)</f>
        <v>63494</v>
      </c>
      <c r="Y3501" s="153">
        <f>_xll.qlCalendarAdvance(Calendar,X3501,NDays&amp;"D")</f>
        <v>63494</v>
      </c>
      <c r="Z3501" s="154">
        <v>2.9342183692043472E-2</v>
      </c>
      <c r="AA3501" s="156">
        <v>2.9233141679720909E-2</v>
      </c>
    </row>
    <row r="3502" spans="19:27" x14ac:dyDescent="0.2">
      <c r="S3502" s="1"/>
      <c r="T3502" s="117"/>
      <c r="W3502" s="75" t="str">
        <f t="shared" si="65"/>
        <v>1w</v>
      </c>
      <c r="X3502" s="148">
        <f>_xll.qlCalendarAdvance(Calendar,X3501,W3502,"f",FALSE)</f>
        <v>63501</v>
      </c>
      <c r="Y3502" s="153">
        <f>_xll.qlCalendarAdvance(Calendar,X3502,NDays&amp;"D")</f>
        <v>63501</v>
      </c>
      <c r="Z3502" s="154">
        <v>2.934251008338121E-2</v>
      </c>
      <c r="AA3502" s="156">
        <v>2.9233516277008542E-2</v>
      </c>
    </row>
    <row r="3503" spans="19:27" x14ac:dyDescent="0.2">
      <c r="S3503" s="1"/>
      <c r="T3503" s="117"/>
      <c r="W3503" s="75" t="str">
        <f t="shared" si="65"/>
        <v>1w</v>
      </c>
      <c r="X3503" s="148">
        <f>_xll.qlCalendarAdvance(Calendar,X3502,W3503,"f",FALSE)</f>
        <v>63508</v>
      </c>
      <c r="Y3503" s="153">
        <f>_xll.qlCalendarAdvance(Calendar,X3503,NDays&amp;"D")</f>
        <v>63508</v>
      </c>
      <c r="Z3503" s="154">
        <v>2.9342828636873201E-2</v>
      </c>
      <c r="AA3503" s="156">
        <v>2.9233883093285895E-2</v>
      </c>
    </row>
    <row r="3504" spans="19:27" x14ac:dyDescent="0.2">
      <c r="S3504" s="1"/>
      <c r="T3504" s="117"/>
      <c r="W3504" s="75" t="str">
        <f t="shared" si="65"/>
        <v>1w</v>
      </c>
      <c r="X3504" s="148">
        <f>_xll.qlCalendarAdvance(Calendar,X3503,W3504,"f",FALSE)</f>
        <v>63515</v>
      </c>
      <c r="Y3504" s="153">
        <f>_xll.qlCalendarAdvance(Calendar,X3504,NDays&amp;"D")</f>
        <v>63515</v>
      </c>
      <c r="Z3504" s="154">
        <v>2.9343139352519445E-2</v>
      </c>
      <c r="AA3504" s="156">
        <v>2.9234242128634014E-2</v>
      </c>
    </row>
    <row r="3505" spans="19:27" x14ac:dyDescent="0.2">
      <c r="S3505" s="1"/>
      <c r="T3505" s="117"/>
      <c r="W3505" s="75" t="str">
        <f t="shared" si="65"/>
        <v>1w</v>
      </c>
      <c r="X3505" s="148">
        <f>_xll.qlCalendarAdvance(Calendar,X3504,W3505,"f",FALSE)</f>
        <v>63522</v>
      </c>
      <c r="Y3505" s="153">
        <f>_xll.qlCalendarAdvance(Calendar,X3505,NDays&amp;"D")</f>
        <v>63522</v>
      </c>
      <c r="Z3505" s="154">
        <v>2.934224550249194E-2</v>
      </c>
      <c r="AA3505" s="156">
        <v>2.9234593382971852E-2</v>
      </c>
    </row>
    <row r="3506" spans="19:27" x14ac:dyDescent="0.2">
      <c r="S3506" s="1"/>
      <c r="T3506" s="117"/>
      <c r="W3506" s="75" t="str">
        <f t="shared" si="65"/>
        <v>1w</v>
      </c>
      <c r="X3506" s="148">
        <f>_xll.qlCalendarAdvance(Calendar,X3505,W3506,"f",FALSE)</f>
        <v>63529</v>
      </c>
      <c r="Y3506" s="153">
        <f>_xll.qlCalendarAdvance(Calendar,X3506,NDays&amp;"D")</f>
        <v>63529</v>
      </c>
      <c r="Z3506" s="154">
        <v>2.9341344899650543E-2</v>
      </c>
      <c r="AA3506" s="156">
        <v>2.9234936856461502E-2</v>
      </c>
    </row>
    <row r="3507" spans="19:27" x14ac:dyDescent="0.2">
      <c r="S3507" s="1"/>
      <c r="T3507" s="117"/>
      <c r="W3507" s="75" t="str">
        <f t="shared" si="65"/>
        <v>1w</v>
      </c>
      <c r="X3507" s="148">
        <f>_xll.qlCalendarAdvance(Calendar,X3506,W3507,"f",FALSE)</f>
        <v>63536</v>
      </c>
      <c r="Y3507" s="153">
        <f>_xll.qlCalendarAdvance(Calendar,X3507,NDays&amp;"D")</f>
        <v>63536</v>
      </c>
      <c r="Z3507" s="154">
        <v>2.9341633175253207E-2</v>
      </c>
      <c r="AA3507" s="156">
        <v>2.9235272549021918E-2</v>
      </c>
    </row>
    <row r="3508" spans="19:27" x14ac:dyDescent="0.2">
      <c r="S3508" s="1"/>
      <c r="T3508" s="117"/>
      <c r="W3508" s="75" t="str">
        <f t="shared" si="65"/>
        <v>1w</v>
      </c>
      <c r="X3508" s="148">
        <f>_xll.qlCalendarAdvance(Calendar,X3507,W3508,"f",FALSE)</f>
        <v>63543</v>
      </c>
      <c r="Y3508" s="153">
        <f>_xll.qlCalendarAdvance(Calendar,X3508,NDays&amp;"D")</f>
        <v>63543</v>
      </c>
      <c r="Z3508" s="154">
        <v>2.9341913614256841E-2</v>
      </c>
      <c r="AA3508" s="156">
        <v>2.9235600460491007E-2</v>
      </c>
    </row>
    <row r="3509" spans="19:27" x14ac:dyDescent="0.2">
      <c r="S3509" s="1"/>
      <c r="T3509" s="117"/>
      <c r="W3509" s="75" t="str">
        <f t="shared" si="65"/>
        <v>1w</v>
      </c>
      <c r="X3509" s="148">
        <f>_xll.qlCalendarAdvance(Calendar,X3508,W3509,"f",FALSE)</f>
        <v>63550</v>
      </c>
      <c r="Y3509" s="153">
        <f>_xll.qlCalendarAdvance(Calendar,X3509,NDays&amp;"D")</f>
        <v>63550</v>
      </c>
      <c r="Z3509" s="154">
        <v>2.9342186216659655E-2</v>
      </c>
      <c r="AA3509" s="156">
        <v>2.9235920591030862E-2</v>
      </c>
    </row>
    <row r="3510" spans="19:27" x14ac:dyDescent="0.2">
      <c r="S3510" s="1"/>
      <c r="T3510" s="117"/>
      <c r="W3510" s="75" t="str">
        <f t="shared" si="65"/>
        <v>1w</v>
      </c>
      <c r="X3510" s="148">
        <f>_xll.qlCalendarAdvance(Calendar,X3509,W3510,"f",FALSE)</f>
        <v>63557</v>
      </c>
      <c r="Y3510" s="153">
        <f>_xll.qlCalendarAdvance(Calendar,X3510,NDays&amp;"D")</f>
        <v>63557</v>
      </c>
      <c r="Z3510" s="154">
        <v>2.9342450982462541E-2</v>
      </c>
      <c r="AA3510" s="156">
        <v>2.9236232940722529E-2</v>
      </c>
    </row>
    <row r="3511" spans="19:27" x14ac:dyDescent="0.2">
      <c r="S3511" s="1"/>
      <c r="T3511" s="117"/>
      <c r="W3511" s="75" t="str">
        <f t="shared" si="65"/>
        <v>1w</v>
      </c>
      <c r="X3511" s="148">
        <f>_xll.qlCalendarAdvance(Calendar,X3510,W3511,"f",FALSE)</f>
        <v>63564</v>
      </c>
      <c r="Y3511" s="153">
        <f>_xll.qlCalendarAdvance(Calendar,X3511,NDays&amp;"D")</f>
        <v>63564</v>
      </c>
      <c r="Z3511" s="154">
        <v>2.9342707911660101E-2</v>
      </c>
      <c r="AA3511" s="156">
        <v>2.9236537509403915E-2</v>
      </c>
    </row>
    <row r="3512" spans="19:27" x14ac:dyDescent="0.2">
      <c r="S3512" s="1"/>
      <c r="T3512" s="117"/>
      <c r="W3512" s="75" t="str">
        <f t="shared" si="65"/>
        <v>1w</v>
      </c>
      <c r="X3512" s="148">
        <f>_xll.qlCalendarAdvance(Calendar,X3511,W3512,"f",FALSE)</f>
        <v>63571</v>
      </c>
      <c r="Y3512" s="153">
        <f>_xll.qlCalendarAdvance(Calendar,X3512,NDays&amp;"D")</f>
        <v>63571</v>
      </c>
      <c r="Z3512" s="154">
        <v>2.9342957004253233E-2</v>
      </c>
      <c r="AA3512" s="156">
        <v>2.9236834297237113E-2</v>
      </c>
    </row>
    <row r="3513" spans="19:27" x14ac:dyDescent="0.2">
      <c r="S3513" s="1"/>
      <c r="T3513" s="117"/>
      <c r="W3513" s="75" t="str">
        <f t="shared" si="65"/>
        <v>1w</v>
      </c>
      <c r="X3513" s="148">
        <f>_xll.qlCalendarAdvance(Calendar,X3512,W3513,"f",FALSE)</f>
        <v>63578</v>
      </c>
      <c r="Y3513" s="153">
        <f>_xll.qlCalendarAdvance(Calendar,X3513,NDays&amp;"D")</f>
        <v>63578</v>
      </c>
      <c r="Z3513" s="154">
        <v>2.9343198260239234E-2</v>
      </c>
      <c r="AA3513" s="156">
        <v>2.9237123303897938E-2</v>
      </c>
    </row>
    <row r="3514" spans="19:27" x14ac:dyDescent="0.2">
      <c r="S3514" s="1"/>
      <c r="T3514" s="117"/>
      <c r="W3514" s="75" t="str">
        <f t="shared" si="65"/>
        <v>1w</v>
      </c>
      <c r="X3514" s="148">
        <f>_xll.qlCalendarAdvance(Calendar,X3513,W3514,"f",FALSE)</f>
        <v>63585</v>
      </c>
      <c r="Y3514" s="153">
        <f>_xll.qlCalendarAdvance(Calendar,X3514,NDays&amp;"D")</f>
        <v>63585</v>
      </c>
      <c r="Z3514" s="154">
        <v>2.9342239823916559E-2</v>
      </c>
      <c r="AA3514" s="156">
        <v>2.9237404529791622E-2</v>
      </c>
    </row>
    <row r="3515" spans="19:27" x14ac:dyDescent="0.2">
      <c r="S3515" s="1"/>
      <c r="T3515" s="117"/>
      <c r="W3515" s="75" t="str">
        <f t="shared" si="65"/>
        <v>1w</v>
      </c>
      <c r="X3515" s="148">
        <f>_xll.qlCalendarAdvance(Calendar,X3514,W3515,"f",FALSE)</f>
        <v>63592</v>
      </c>
      <c r="Y3515" s="153">
        <f>_xll.qlCalendarAdvance(Calendar,X3515,NDays&amp;"D")</f>
        <v>63592</v>
      </c>
      <c r="Z3515" s="154">
        <v>2.9343657262388054E-2</v>
      </c>
      <c r="AA3515" s="156">
        <v>2.9237677974675025E-2</v>
      </c>
    </row>
    <row r="3516" spans="19:27" x14ac:dyDescent="0.2">
      <c r="S3516" s="1"/>
      <c r="T3516" s="117"/>
      <c r="W3516" s="75" t="str">
        <f t="shared" si="65"/>
        <v>1w</v>
      </c>
      <c r="X3516" s="148">
        <f>_xll.qlCalendarAdvance(Calendar,X3515,W3516,"f",FALSE)</f>
        <v>63599</v>
      </c>
      <c r="Y3516" s="153">
        <f>_xll.qlCalendarAdvance(Calendar,X3516,NDays&amp;"D")</f>
        <v>63599</v>
      </c>
      <c r="Z3516" s="154">
        <v>2.9342684236760713E-2</v>
      </c>
      <c r="AA3516" s="156">
        <v>2.9237943638467101E-2</v>
      </c>
    </row>
    <row r="3517" spans="19:27" x14ac:dyDescent="0.2">
      <c r="S3517" s="1"/>
      <c r="T3517" s="117"/>
      <c r="W3517" s="75" t="str">
        <f t="shared" si="65"/>
        <v>1w</v>
      </c>
      <c r="X3517" s="148">
        <f>_xll.qlCalendarAdvance(Calendar,X3516,W3517,"f",FALSE)</f>
        <v>63606</v>
      </c>
      <c r="Y3517" s="153">
        <f>_xll.qlCalendarAdvance(Calendar,X3517,NDays&amp;"D")</f>
        <v>63606</v>
      </c>
      <c r="Z3517" s="154">
        <v>2.9342894689207331E-2</v>
      </c>
      <c r="AA3517" s="156">
        <v>2.9238201521410989E-2</v>
      </c>
    </row>
    <row r="3518" spans="19:27" x14ac:dyDescent="0.2">
      <c r="S3518" s="1"/>
      <c r="T3518" s="117"/>
      <c r="W3518" s="75" t="str">
        <f t="shared" si="65"/>
        <v>1w</v>
      </c>
      <c r="X3518" s="148">
        <f>_xll.qlCalendarAdvance(Calendar,X3517,W3518,"f",FALSE)</f>
        <v>63613</v>
      </c>
      <c r="Y3518" s="153">
        <f>_xll.qlCalendarAdvance(Calendar,X3518,NDays&amp;"D")</f>
        <v>63613</v>
      </c>
      <c r="Z3518" s="154">
        <v>2.9346666396677244E-2</v>
      </c>
      <c r="AA3518" s="156">
        <v>2.9238451623587736E-2</v>
      </c>
    </row>
    <row r="3519" spans="19:27" x14ac:dyDescent="0.2">
      <c r="S3519" s="1"/>
      <c r="T3519" s="117"/>
      <c r="W3519" s="75" t="str">
        <f t="shared" si="65"/>
        <v>1w</v>
      </c>
      <c r="X3519" s="148">
        <f>_xll.qlCalendarAdvance(Calendar,X3518,W3519,"f",FALSE)</f>
        <v>63620</v>
      </c>
      <c r="Y3519" s="153">
        <f>_xll.qlCalendarAdvance(Calendar,X3519,NDays&amp;"D")</f>
        <v>63620</v>
      </c>
      <c r="Z3519" s="154">
        <v>2.9346859544423218E-2</v>
      </c>
      <c r="AA3519" s="156">
        <v>2.9238693944673155E-2</v>
      </c>
    </row>
    <row r="3520" spans="19:27" x14ac:dyDescent="0.2">
      <c r="S3520" s="1"/>
      <c r="T3520" s="117"/>
      <c r="W3520" s="75" t="str">
        <f t="shared" si="65"/>
        <v>1w</v>
      </c>
      <c r="X3520" s="148">
        <f>_xll.qlCalendarAdvance(Calendar,X3519,W3520,"f",FALSE)</f>
        <v>63627</v>
      </c>
      <c r="Y3520" s="153">
        <f>_xll.qlCalendarAdvance(Calendar,X3520,NDays&amp;"D")</f>
        <v>63627</v>
      </c>
      <c r="Z3520" s="154">
        <v>2.9347044854297896E-2</v>
      </c>
      <c r="AA3520" s="156">
        <v>2.9238928484667248E-2</v>
      </c>
    </row>
    <row r="3521" spans="19:27" x14ac:dyDescent="0.2">
      <c r="S3521" s="1"/>
      <c r="T3521" s="117"/>
      <c r="W3521" s="75" t="str">
        <f t="shared" si="65"/>
        <v>1w</v>
      </c>
      <c r="X3521" s="148">
        <f>_xll.qlCalendarAdvance(Calendar,X3520,W3521,"f",FALSE)</f>
        <v>63634</v>
      </c>
      <c r="Y3521" s="153">
        <f>_xll.qlCalendarAdvance(Calendar,X3521,NDays&amp;"D")</f>
        <v>63634</v>
      </c>
      <c r="Z3521" s="154">
        <v>2.9347222326301284E-2</v>
      </c>
      <c r="AA3521" s="156">
        <v>2.9239155243975246E-2</v>
      </c>
    </row>
    <row r="3522" spans="19:27" x14ac:dyDescent="0.2">
      <c r="S3522" s="1"/>
      <c r="T3522" s="117"/>
      <c r="W3522" s="75" t="str">
        <f t="shared" si="65"/>
        <v>1w</v>
      </c>
      <c r="X3522" s="148">
        <f>_xll.qlCalendarAdvance(Calendar,X3521,W3522,"f",FALSE)</f>
        <v>63641</v>
      </c>
      <c r="Y3522" s="153">
        <f>_xll.qlCalendarAdvance(Calendar,X3522,NDays&amp;"D")</f>
        <v>63641</v>
      </c>
      <c r="Z3522" s="154">
        <v>2.9347391960431613E-2</v>
      </c>
      <c r="AA3522" s="156">
        <v>2.923937422211087E-2</v>
      </c>
    </row>
    <row r="3523" spans="19:27" x14ac:dyDescent="0.2">
      <c r="S3523" s="1"/>
      <c r="T3523" s="117"/>
      <c r="W3523" s="75" t="str">
        <f t="shared" si="65"/>
        <v>1w</v>
      </c>
      <c r="X3523" s="148">
        <f>_xll.qlCalendarAdvance(Calendar,X3522,W3523,"f",FALSE)</f>
        <v>63648</v>
      </c>
      <c r="Y3523" s="153">
        <f>_xll.qlCalendarAdvance(Calendar,X3523,NDays&amp;"D")</f>
        <v>63648</v>
      </c>
      <c r="Z3523" s="154">
        <v>2.9346366775980879E-2</v>
      </c>
      <c r="AA3523" s="156">
        <v>2.923958541931726E-2</v>
      </c>
    </row>
    <row r="3524" spans="19:27" x14ac:dyDescent="0.2">
      <c r="S3524" s="1"/>
      <c r="T3524" s="117"/>
      <c r="W3524" s="75" t="str">
        <f t="shared" si="65"/>
        <v>1w</v>
      </c>
      <c r="X3524" s="148">
        <f>_xll.qlCalendarAdvance(Calendar,X3523,W3524,"f",FALSE)</f>
        <v>63655</v>
      </c>
      <c r="Y3524" s="153">
        <f>_xll.qlCalendarAdvance(Calendar,X3524,NDays&amp;"D")</f>
        <v>63655</v>
      </c>
      <c r="Z3524" s="154">
        <v>2.934652128183397E-2</v>
      </c>
      <c r="AA3524" s="156">
        <v>2.9239788835675462E-2</v>
      </c>
    </row>
    <row r="3525" spans="19:27" x14ac:dyDescent="0.2">
      <c r="S3525" s="1"/>
      <c r="T3525" s="117"/>
      <c r="W3525" s="75" t="str">
        <f t="shared" si="65"/>
        <v>1w</v>
      </c>
      <c r="X3525" s="148">
        <f>_xll.qlCalendarAdvance(Calendar,X3524,W3525,"f",FALSE)</f>
        <v>63662</v>
      </c>
      <c r="Y3525" s="153">
        <f>_xll.qlCalendarAdvance(Calendar,X3525,NDays&amp;"D")</f>
        <v>63662</v>
      </c>
      <c r="Z3525" s="154">
        <v>2.9346667950438679E-2</v>
      </c>
      <c r="AA3525" s="156">
        <v>2.923998447110443E-2</v>
      </c>
    </row>
    <row r="3526" spans="19:27" x14ac:dyDescent="0.2">
      <c r="S3526" s="1"/>
      <c r="T3526" s="117"/>
      <c r="W3526" s="75" t="str">
        <f t="shared" si="65"/>
        <v>1w</v>
      </c>
      <c r="X3526" s="148">
        <f>_xll.qlCalendarAdvance(Calendar,X3525,W3526,"f",FALSE)</f>
        <v>63669</v>
      </c>
      <c r="Y3526" s="153">
        <f>_xll.qlCalendarAdvance(Calendar,X3526,NDays&amp;"D")</f>
        <v>63669</v>
      </c>
      <c r="Z3526" s="154">
        <v>2.9346806781794115E-2</v>
      </c>
      <c r="AA3526" s="156">
        <v>2.9240172325442071E-2</v>
      </c>
    </row>
    <row r="3527" spans="19:27" x14ac:dyDescent="0.2">
      <c r="S3527" s="1"/>
      <c r="T3527" s="117"/>
      <c r="W3527" s="75" t="str">
        <f t="shared" si="65"/>
        <v>1w</v>
      </c>
      <c r="X3527" s="148">
        <f>_xll.qlCalendarAdvance(Calendar,X3526,W3527,"f",FALSE)</f>
        <v>63676</v>
      </c>
      <c r="Y3527" s="153">
        <f>_xll.qlCalendarAdvance(Calendar,X3527,NDays&amp;"D")</f>
        <v>63676</v>
      </c>
      <c r="Z3527" s="154">
        <v>2.934812256295747E-2</v>
      </c>
      <c r="AA3527" s="156">
        <v>2.9240352398931524E-2</v>
      </c>
    </row>
    <row r="3528" spans="19:27" x14ac:dyDescent="0.2">
      <c r="S3528" s="1"/>
      <c r="T3528" s="117"/>
      <c r="W3528" s="75" t="str">
        <f t="shared" si="65"/>
        <v>1w</v>
      </c>
      <c r="X3528" s="148">
        <f>_xll.qlCalendarAdvance(Calendar,X3527,W3528,"f",FALSE)</f>
        <v>63683</v>
      </c>
      <c r="Y3528" s="153">
        <f>_xll.qlCalendarAdvance(Calendar,X3528,NDays&amp;"D")</f>
        <v>63683</v>
      </c>
      <c r="Z3528" s="154">
        <v>2.9348245169831845E-2</v>
      </c>
      <c r="AA3528" s="156">
        <v>2.9240524691491743E-2</v>
      </c>
    </row>
    <row r="3529" spans="19:27" x14ac:dyDescent="0.2">
      <c r="S3529" s="1"/>
      <c r="T3529" s="117"/>
      <c r="W3529" s="75" t="str">
        <f t="shared" si="65"/>
        <v>1w</v>
      </c>
      <c r="X3529" s="148">
        <f>_xll.qlCalendarAdvance(Calendar,X3528,W3529,"f",FALSE)</f>
        <v>63690</v>
      </c>
      <c r="Y3529" s="153">
        <f>_xll.qlCalendarAdvance(Calendar,X3529,NDays&amp;"D")</f>
        <v>63690</v>
      </c>
      <c r="Z3529" s="154">
        <v>2.9348359938825234E-2</v>
      </c>
      <c r="AA3529" s="156">
        <v>2.9240689202960635E-2</v>
      </c>
    </row>
    <row r="3530" spans="19:27" x14ac:dyDescent="0.2">
      <c r="S3530" s="1"/>
      <c r="T3530" s="117"/>
      <c r="W3530" s="75" t="str">
        <f t="shared" si="65"/>
        <v>1w</v>
      </c>
      <c r="X3530" s="148">
        <f>_xll.qlCalendarAdvance(Calendar,X3529,W3530,"f",FALSE)</f>
        <v>63697</v>
      </c>
      <c r="Y3530" s="153">
        <f>_xll.qlCalendarAdvance(Calendar,X3530,NDays&amp;"D")</f>
        <v>63697</v>
      </c>
      <c r="Z3530" s="154">
        <v>2.9348466869942046E-2</v>
      </c>
      <c r="AA3530" s="156">
        <v>2.9240845933581339E-2</v>
      </c>
    </row>
    <row r="3531" spans="19:27" x14ac:dyDescent="0.2">
      <c r="S3531" s="1"/>
      <c r="T3531" s="117"/>
      <c r="W3531" s="75" t="str">
        <f t="shared" si="65"/>
        <v>1w</v>
      </c>
      <c r="X3531" s="148">
        <f>_xll.qlCalendarAdvance(Calendar,X3530,W3531,"f",FALSE)</f>
        <v>63704</v>
      </c>
      <c r="Y3531" s="153">
        <f>_xll.qlCalendarAdvance(Calendar,X3531,NDays&amp;"D")</f>
        <v>63704</v>
      </c>
      <c r="Z3531" s="154">
        <v>2.9348565963176112E-2</v>
      </c>
      <c r="AA3531" s="156">
        <v>2.9240994883191762E-2</v>
      </c>
    </row>
    <row r="3532" spans="19:27" x14ac:dyDescent="0.2">
      <c r="S3532" s="1"/>
      <c r="T3532" s="117"/>
      <c r="W3532" s="75" t="str">
        <f t="shared" si="65"/>
        <v>1w</v>
      </c>
      <c r="X3532" s="148">
        <f>_xll.qlCalendarAdvance(Calendar,X3531,W3532,"f",FALSE)</f>
        <v>63711</v>
      </c>
      <c r="Y3532" s="153">
        <f>_xll.qlCalendarAdvance(Calendar,X3532,NDays&amp;"D")</f>
        <v>63711</v>
      </c>
      <c r="Z3532" s="154">
        <v>2.9348657218529191E-2</v>
      </c>
      <c r="AA3532" s="156">
        <v>2.9241136051872951E-2</v>
      </c>
    </row>
    <row r="3533" spans="19:27" x14ac:dyDescent="0.2">
      <c r="S3533" s="1"/>
      <c r="T3533" s="117"/>
      <c r="W3533" s="75" t="str">
        <f t="shared" si="65"/>
        <v>1w</v>
      </c>
      <c r="X3533" s="148">
        <f>_xll.qlCalendarAdvance(Calendar,X3532,W3533,"f",FALSE)</f>
        <v>63718</v>
      </c>
      <c r="Y3533" s="153">
        <f>_xll.qlCalendarAdvance(Calendar,X3533,NDays&amp;"D")</f>
        <v>63718</v>
      </c>
      <c r="Z3533" s="154">
        <v>2.9348740636004813E-2</v>
      </c>
      <c r="AA3533" s="156">
        <v>2.9241269439705952E-2</v>
      </c>
    </row>
    <row r="3534" spans="19:27" x14ac:dyDescent="0.2">
      <c r="S3534" s="1"/>
      <c r="T3534" s="117"/>
      <c r="W3534" s="75" t="str">
        <f t="shared" si="65"/>
        <v>1w</v>
      </c>
      <c r="X3534" s="148">
        <f>_xll.qlCalendarAdvance(Calendar,X3533,W3534,"f",FALSE)</f>
        <v>63725</v>
      </c>
      <c r="Y3534" s="153">
        <f>_xll.qlCalendarAdvance(Calendar,X3534,NDays&amp;"D")</f>
        <v>63725</v>
      </c>
      <c r="Z3534" s="154">
        <v>2.9348816215594164E-2</v>
      </c>
      <c r="AA3534" s="156">
        <v>2.9241395046447627E-2</v>
      </c>
    </row>
    <row r="3535" spans="19:27" x14ac:dyDescent="0.2">
      <c r="S3535" s="1"/>
      <c r="T3535" s="117"/>
      <c r="W3535" s="75" t="str">
        <f t="shared" si="65"/>
        <v>1w</v>
      </c>
      <c r="X3535" s="148">
        <f>_xll.qlCalendarAdvance(Calendar,X3534,W3535,"f",FALSE)</f>
        <v>63732</v>
      </c>
      <c r="Y3535" s="153">
        <f>_xll.qlCalendarAdvance(Calendar,X3535,NDays&amp;"D")</f>
        <v>63732</v>
      </c>
      <c r="Z3535" s="154">
        <v>2.9348883957302528E-2</v>
      </c>
      <c r="AA3535" s="156">
        <v>2.9241512872260067E-2</v>
      </c>
    </row>
    <row r="3536" spans="19:27" x14ac:dyDescent="0.2">
      <c r="S3536" s="1"/>
      <c r="T3536" s="117"/>
      <c r="W3536" s="75" t="str">
        <f t="shared" si="65"/>
        <v>1w</v>
      </c>
      <c r="X3536" s="148">
        <f>_xll.qlCalendarAdvance(Calendar,X3535,W3536,"f",FALSE)</f>
        <v>63739</v>
      </c>
      <c r="Y3536" s="153">
        <f>_xll.qlCalendarAdvance(Calendar,X3536,NDays&amp;"D")</f>
        <v>63739</v>
      </c>
      <c r="Z3536" s="154">
        <v>2.934894386112815E-2</v>
      </c>
      <c r="AA3536" s="156">
        <v>2.9241622917224319E-2</v>
      </c>
    </row>
    <row r="3537" spans="2:27" x14ac:dyDescent="0.2">
      <c r="S3537" s="1"/>
      <c r="T3537" s="117"/>
      <c r="W3537" s="75" t="str">
        <f t="shared" si="65"/>
        <v>1w</v>
      </c>
      <c r="X3537" s="148">
        <f>_xll.qlCalendarAdvance(Calendar,X3536,W3537,"f",FALSE)</f>
        <v>63746</v>
      </c>
      <c r="Y3537" s="153">
        <f>_xll.qlCalendarAdvance(Calendar,X3537,NDays&amp;"D")</f>
        <v>63746</v>
      </c>
      <c r="Z3537" s="154" t="e">
        <v>#N/A</v>
      </c>
      <c r="AA3537" s="156">
        <v>2.9241725181097245E-2</v>
      </c>
    </row>
    <row r="3538" spans="2:27" x14ac:dyDescent="0.2">
      <c r="S3538" s="1"/>
      <c r="T3538" s="117"/>
      <c r="W3538" s="75" t="str">
        <f t="shared" si="65"/>
        <v>1w</v>
      </c>
      <c r="X3538" s="148">
        <f>_xll.qlCalendarAdvance(Calendar,X3537,W3538,"f",FALSE)</f>
        <v>63753</v>
      </c>
      <c r="Y3538" s="153">
        <f>_xll.qlCalendarAdvance(Calendar,X3538,NDays&amp;"D")</f>
        <v>63753</v>
      </c>
      <c r="Z3538" s="154" t="e">
        <v>#N/A</v>
      </c>
      <c r="AA3538" s="156">
        <v>2.9241819663959889E-2</v>
      </c>
    </row>
    <row r="3539" spans="2:27" x14ac:dyDescent="0.2">
      <c r="S3539" s="1"/>
      <c r="T3539" s="117"/>
      <c r="W3539" s="75" t="str">
        <f t="shared" si="65"/>
        <v>1w</v>
      </c>
      <c r="X3539" s="148">
        <f>_xll.qlCalendarAdvance(Calendar,X3538,W3539,"f",FALSE)</f>
        <v>63760</v>
      </c>
      <c r="Y3539" s="153">
        <f>_xll.qlCalendarAdvance(Calendar,X3539,NDays&amp;"D")</f>
        <v>63760</v>
      </c>
      <c r="Z3539" s="154" t="e">
        <v>#N/A</v>
      </c>
      <c r="AA3539" s="156">
        <v>2.9241906366217485E-2</v>
      </c>
    </row>
    <row r="3540" spans="2:27" x14ac:dyDescent="0.2">
      <c r="S3540" s="1"/>
      <c r="T3540" s="117"/>
      <c r="W3540" s="75" t="str">
        <f t="shared" si="65"/>
        <v>1w</v>
      </c>
      <c r="X3540" s="148">
        <f>_xll.qlCalendarAdvance(Calendar,X3539,W3540,"f",FALSE)</f>
        <v>63767</v>
      </c>
      <c r="Y3540" s="153">
        <f>_xll.qlCalendarAdvance(Calendar,X3540,NDays&amp;"D")</f>
        <v>63767</v>
      </c>
      <c r="Z3540" s="154" t="e">
        <v>#N/A</v>
      </c>
      <c r="AA3540" s="156">
        <v>2.9241985287221661E-2</v>
      </c>
    </row>
    <row r="3541" spans="2:27" x14ac:dyDescent="0.2">
      <c r="S3541" s="1"/>
      <c r="T3541" s="117"/>
      <c r="W3541" s="75" t="str">
        <f t="shared" ref="W3541:W3552" si="66">W3540</f>
        <v>1w</v>
      </c>
      <c r="X3541" s="148">
        <f>_xll.qlCalendarAdvance(Calendar,X3540,W3541,"f",FALSE)</f>
        <v>63774</v>
      </c>
      <c r="Y3541" s="153">
        <f>_xll.qlCalendarAdvance(Calendar,X3541,NDays&amp;"D")</f>
        <v>63774</v>
      </c>
      <c r="Z3541" s="154" t="e">
        <v>#N/A</v>
      </c>
      <c r="AA3541" s="156">
        <v>2.924205642737765E-2</v>
      </c>
    </row>
    <row r="3542" spans="2:27" x14ac:dyDescent="0.2">
      <c r="S3542" s="1"/>
      <c r="T3542" s="117"/>
      <c r="W3542" s="75" t="str">
        <f t="shared" si="66"/>
        <v>1w</v>
      </c>
      <c r="X3542" s="148">
        <f>_xll.qlCalendarAdvance(Calendar,X3541,W3542,"f",FALSE)</f>
        <v>63781</v>
      </c>
      <c r="Y3542" s="153">
        <f>_xll.qlCalendarAdvance(Calendar,X3542,NDays&amp;"D")</f>
        <v>63781</v>
      </c>
      <c r="Z3542" s="154" t="e">
        <v>#N/A</v>
      </c>
      <c r="AA3542" s="156">
        <v>2.9242119786442311E-2</v>
      </c>
    </row>
    <row r="3543" spans="2:27" x14ac:dyDescent="0.2">
      <c r="B3543" s="148"/>
      <c r="C3543" s="153"/>
      <c r="D3543" s="154"/>
      <c r="E3543" s="154"/>
      <c r="W3543" s="75" t="str">
        <f t="shared" si="66"/>
        <v>1w</v>
      </c>
      <c r="X3543" s="148">
        <f>_xll.qlCalendarAdvance(Calendar,X3542,W3543,"f",FALSE)</f>
        <v>63788</v>
      </c>
      <c r="Y3543" s="153">
        <f>_xll.qlCalendarAdvance(Calendar,X3543,NDays&amp;"D")</f>
        <v>63788</v>
      </c>
      <c r="Z3543" s="154" t="e">
        <v>#N/A</v>
      </c>
      <c r="AA3543" s="156">
        <v>2.9242175364820877E-2</v>
      </c>
    </row>
    <row r="3544" spans="2:27" x14ac:dyDescent="0.2">
      <c r="B3544" s="148"/>
      <c r="C3544" s="153"/>
      <c r="D3544" s="154"/>
      <c r="E3544" s="154"/>
      <c r="W3544" s="75" t="str">
        <f t="shared" si="66"/>
        <v>1w</v>
      </c>
      <c r="X3544" s="148">
        <f>_xll.qlCalendarAdvance(Calendar,X3543,W3544,"f",FALSE)</f>
        <v>63795</v>
      </c>
      <c r="Y3544" s="153">
        <f>_xll.qlCalendarAdvance(Calendar,X3544,NDays&amp;"D")</f>
        <v>63795</v>
      </c>
      <c r="Z3544" s="154" t="e">
        <v>#N/A</v>
      </c>
      <c r="AA3544" s="156">
        <v>2.924222316202707E-2</v>
      </c>
    </row>
    <row r="3545" spans="2:27" x14ac:dyDescent="0.2">
      <c r="B3545" s="148"/>
      <c r="C3545" s="153"/>
      <c r="D3545" s="154"/>
      <c r="E3545" s="154"/>
      <c r="W3545" s="75" t="str">
        <f t="shared" si="66"/>
        <v>1w</v>
      </c>
      <c r="X3545" s="148">
        <f>_xll.qlCalendarAdvance(Calendar,X3544,W3545,"f",FALSE)</f>
        <v>63802</v>
      </c>
      <c r="Y3545" s="153">
        <f>_xll.qlCalendarAdvance(Calendar,X3545,NDays&amp;"D")</f>
        <v>63802</v>
      </c>
      <c r="Z3545" s="154" t="e">
        <v>#N/A</v>
      </c>
      <c r="AA3545" s="156">
        <v>2.9242263178304029E-2</v>
      </c>
    </row>
    <row r="3546" spans="2:27" x14ac:dyDescent="0.2">
      <c r="B3546" s="148"/>
      <c r="C3546" s="153"/>
      <c r="D3546" s="154"/>
      <c r="E3546" s="154"/>
      <c r="W3546" s="75" t="str">
        <f t="shared" si="66"/>
        <v>1w</v>
      </c>
      <c r="X3546" s="148">
        <f>_xll.qlCalendarAdvance(Calendar,X3545,W3546,"f",FALSE)</f>
        <v>63809</v>
      </c>
      <c r="Y3546" s="153">
        <f>_xll.qlCalendarAdvance(Calendar,X3546,NDays&amp;"D")</f>
        <v>63809</v>
      </c>
      <c r="Z3546" s="154" t="e">
        <v>#N/A</v>
      </c>
      <c r="AA3546" s="156">
        <v>2.92422954137328E-2</v>
      </c>
    </row>
    <row r="3547" spans="2:27" x14ac:dyDescent="0.2">
      <c r="B3547" s="148"/>
      <c r="C3547" s="153"/>
      <c r="D3547" s="154"/>
      <c r="E3547" s="154"/>
      <c r="W3547" s="75" t="str">
        <f t="shared" si="66"/>
        <v>1w</v>
      </c>
      <c r="X3547" s="148">
        <f>_xll.qlCalendarAdvance(Calendar,X3546,W3547,"f",FALSE)</f>
        <v>63816</v>
      </c>
      <c r="Y3547" s="153">
        <f>_xll.qlCalendarAdvance(Calendar,X3547,NDays&amp;"D")</f>
        <v>63816</v>
      </c>
      <c r="Z3547" s="154" t="e">
        <v>#N/A</v>
      </c>
      <c r="AA3547" s="156">
        <v>2.924231986815129E-2</v>
      </c>
    </row>
    <row r="3548" spans="2:27" x14ac:dyDescent="0.2">
      <c r="B3548" s="148"/>
      <c r="C3548" s="153"/>
      <c r="D3548" s="154"/>
      <c r="E3548" s="154"/>
      <c r="W3548" s="75" t="str">
        <f t="shared" si="66"/>
        <v>1w</v>
      </c>
      <c r="X3548" s="148">
        <f>_xll.qlCalendarAdvance(Calendar,X3547,W3548,"f",FALSE)</f>
        <v>63823</v>
      </c>
      <c r="Y3548" s="153">
        <f>_xll.qlCalendarAdvance(Calendar,X3548,NDays&amp;"D")</f>
        <v>63823</v>
      </c>
      <c r="Z3548" s="154" t="e">
        <v>#N/A</v>
      </c>
      <c r="AA3548" s="156">
        <v>2.9242336541640546E-2</v>
      </c>
    </row>
    <row r="3549" spans="2:27" x14ac:dyDescent="0.2">
      <c r="B3549" s="148"/>
      <c r="C3549" s="153"/>
      <c r="D3549" s="154"/>
      <c r="E3549" s="154"/>
      <c r="W3549" s="75" t="str">
        <f t="shared" si="66"/>
        <v>1w</v>
      </c>
      <c r="X3549" s="148">
        <f>_xll.qlCalendarAdvance(Calendar,X3548,W3549,"f",FALSE)</f>
        <v>63830</v>
      </c>
      <c r="Y3549" s="153">
        <f>_xll.qlCalendarAdvance(Calendar,X3549,NDays&amp;"D")</f>
        <v>63830</v>
      </c>
      <c r="Z3549" s="154" t="e">
        <v>#N/A</v>
      </c>
      <c r="AA3549" s="156">
        <v>2.9242345434119521E-2</v>
      </c>
    </row>
    <row r="3550" spans="2:27" x14ac:dyDescent="0.2">
      <c r="B3550" s="148"/>
      <c r="C3550" s="153"/>
      <c r="D3550" s="154"/>
      <c r="E3550" s="154"/>
      <c r="W3550" s="75" t="str">
        <f t="shared" si="66"/>
        <v>1w</v>
      </c>
      <c r="X3550" s="148">
        <f>_xll.qlCalendarAdvance(Calendar,X3549,W3550,"f",FALSE)</f>
        <v>63837</v>
      </c>
      <c r="Y3550" s="153">
        <f>_xll.qlCalendarAdvance(Calendar,X3550,NDays&amp;"D")</f>
        <v>63837</v>
      </c>
      <c r="Z3550" s="154" t="e">
        <v>#N/A</v>
      </c>
      <c r="AA3550" s="156" t="e">
        <v>#N/A</v>
      </c>
    </row>
    <row r="3551" spans="2:27" x14ac:dyDescent="0.2">
      <c r="B3551" s="148"/>
      <c r="C3551" s="153"/>
      <c r="D3551" s="154"/>
      <c r="E3551" s="154"/>
      <c r="W3551" s="75" t="str">
        <f t="shared" si="66"/>
        <v>1w</v>
      </c>
      <c r="X3551" s="148">
        <f>_xll.qlCalendarAdvance(Calendar,X3550,W3551,"f",FALSE)</f>
        <v>63844</v>
      </c>
      <c r="Y3551" s="153">
        <f>_xll.qlCalendarAdvance(Calendar,X3551,NDays&amp;"D")</f>
        <v>63844</v>
      </c>
      <c r="Z3551" s="154" t="e">
        <v>#N/A</v>
      </c>
      <c r="AA3551" s="156" t="e">
        <v>#N/A</v>
      </c>
    </row>
    <row r="3552" spans="2:27" ht="12" thickBot="1" x14ac:dyDescent="0.25">
      <c r="B3552" s="148"/>
      <c r="C3552" s="153"/>
      <c r="D3552" s="154"/>
      <c r="E3552" s="154"/>
      <c r="W3552" s="78" t="str">
        <f t="shared" si="66"/>
        <v>1w</v>
      </c>
      <c r="X3552" s="171">
        <f>_xll.qlCalendarAdvance(Calendar,X3551,W3552,"f",FALSE)</f>
        <v>63851</v>
      </c>
      <c r="Y3552" s="175">
        <f>_xll.qlCalendarAdvance(Calendar,X3552,NDays&amp;"D")</f>
        <v>63851</v>
      </c>
      <c r="Z3552" s="155" t="e">
        <v>#N/A</v>
      </c>
      <c r="AA3552" s="157" t="e">
        <v>#N/A</v>
      </c>
    </row>
    <row r="3553" spans="2:22" x14ac:dyDescent="0.2">
      <c r="B3553" s="148"/>
      <c r="C3553" s="153"/>
      <c r="D3553" s="154"/>
      <c r="E3553" s="154"/>
      <c r="V3553" s="162"/>
    </row>
    <row r="3554" spans="2:22" x14ac:dyDescent="0.2">
      <c r="B3554" s="148"/>
      <c r="C3554" s="153"/>
      <c r="D3554" s="154"/>
      <c r="E3554" s="154"/>
      <c r="V3554" s="162"/>
    </row>
    <row r="3555" spans="2:22" x14ac:dyDescent="0.2">
      <c r="B3555" s="148"/>
      <c r="C3555" s="153"/>
      <c r="D3555" s="154"/>
      <c r="E3555" s="154"/>
      <c r="V3555" s="162"/>
    </row>
    <row r="3556" spans="2:22" x14ac:dyDescent="0.2">
      <c r="B3556" s="148"/>
      <c r="C3556" s="153"/>
      <c r="D3556" s="154"/>
      <c r="E3556" s="154"/>
      <c r="V3556" s="162"/>
    </row>
    <row r="3557" spans="2:22" x14ac:dyDescent="0.2">
      <c r="B3557" s="148"/>
      <c r="C3557" s="153"/>
      <c r="D3557" s="154"/>
      <c r="E3557" s="154"/>
      <c r="V3557" s="162"/>
    </row>
    <row r="3558" spans="2:22" x14ac:dyDescent="0.2">
      <c r="B3558" s="148"/>
      <c r="C3558" s="153"/>
      <c r="D3558" s="154"/>
      <c r="E3558" s="154"/>
      <c r="V3558" s="162"/>
    </row>
    <row r="3559" spans="2:22" x14ac:dyDescent="0.2">
      <c r="B3559" s="148"/>
      <c r="C3559" s="153"/>
      <c r="D3559" s="154"/>
      <c r="E3559" s="154"/>
      <c r="V3559" s="162"/>
    </row>
    <row r="3560" spans="2:22" x14ac:dyDescent="0.2">
      <c r="B3560" s="148"/>
      <c r="C3560" s="153"/>
      <c r="D3560" s="154"/>
      <c r="E3560" s="154"/>
    </row>
  </sheetData>
  <dataConsolidate/>
  <dataValidations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523875</xdr:colOff>
                    <xdr:row>30</xdr:row>
                    <xdr:rowOff>0</xdr:rowOff>
                  </from>
                  <to>
                    <xdr:col>10</xdr:col>
                    <xdr:colOff>247650</xdr:colOff>
                    <xdr:row>31</xdr:row>
                    <xdr:rowOff>133350</xdr:rowOff>
                  </to>
                </anchor>
              </controlPr>
            </control>
          </mc:Choice>
        </mc:AlternateContent>
        <mc:AlternateContent xmlns:mc="http://schemas.openxmlformats.org/markup-compatibility/2006">
          <mc:Choice Requires="x14">
            <control shapeId="9218" r:id="rId5" name="Length1">
              <controlPr defaultSize="0" print="0" autoFill="0" autoPict="0" macro="[0]!grphUpdate" altText="3">
                <anchor moveWithCells="1">
                  <from>
                    <xdr:col>8</xdr:col>
                    <xdr:colOff>523875</xdr:colOff>
                    <xdr:row>27</xdr:row>
                    <xdr:rowOff>66675</xdr:rowOff>
                  </from>
                  <to>
                    <xdr:col>10</xdr:col>
                    <xdr:colOff>247650</xdr:colOff>
                    <xdr:row>29</xdr:row>
                    <xdr:rowOff>57150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523875</xdr:colOff>
                    <xdr:row>32</xdr:row>
                    <xdr:rowOff>66675</xdr:rowOff>
                  </from>
                  <to>
                    <xdr:col>10</xdr:col>
                    <xdr:colOff>247650</xdr:colOff>
                    <xdr:row>34</xdr:row>
                    <xdr:rowOff>57150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9221" r:id="rId8" name="Length0">
              <controlPr defaultSize="0" print="0" autoFill="0" autoPict="0" macro="[0]!grphUpdate">
                <anchor moveWithCells="1">
                  <from>
                    <xdr:col>8</xdr:col>
                    <xdr:colOff>523875</xdr:colOff>
                    <xdr:row>24</xdr:row>
                    <xdr:rowOff>133350</xdr:rowOff>
                  </from>
                  <to>
                    <xdr:col>10</xdr:col>
                    <xdr:colOff>247650</xdr:colOff>
                    <xdr:row>26</xdr:row>
                    <xdr:rowOff>114300</xdr:rowOff>
                  </to>
                </anchor>
              </controlPr>
            </control>
          </mc:Choice>
        </mc:AlternateContent>
        <mc:AlternateContent xmlns:mc="http://schemas.openxmlformats.org/markup-compatibility/2006">
          <mc:Choice Requires="x14">
            <control shapeId="9222" r:id="rId9" name="Length4">
              <controlPr defaultSize="0" print="0" autoFill="0" autoPict="0" macro="[0]!grphUpdate">
                <anchor moveWithCells="1">
                  <from>
                    <xdr:col>8</xdr:col>
                    <xdr:colOff>523875</xdr:colOff>
                    <xdr:row>35</xdr:row>
                    <xdr:rowOff>38100</xdr:rowOff>
                  </from>
                  <to>
                    <xdr:col>10</xdr:col>
                    <xdr:colOff>247650</xdr:colOff>
                    <xdr:row>37</xdr:row>
                    <xdr:rowOff>28575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38</xdr:row>
                    <xdr:rowOff>0</xdr:rowOff>
                  </from>
                  <to>
                    <xdr:col>10</xdr:col>
                    <xdr:colOff>247650</xdr:colOff>
                    <xdr:row>39</xdr:row>
                    <xdr:rowOff>133350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104775</xdr:rowOff>
                  </from>
                  <to>
                    <xdr:col>10</xdr:col>
                    <xdr:colOff>247650</xdr:colOff>
                    <xdr:row>42</xdr:row>
                    <xdr:rowOff>95250</xdr:rowOff>
                  </to>
                </anchor>
              </controlPr>
            </control>
          </mc:Choice>
        </mc:AlternateContent>
        <mc:AlternateContent xmlns:mc="http://schemas.openxmlformats.org/markup-compatibility/2006">
          <mc:Choice Requires="x14">
            <control shapeId="9225" r:id="rId12" name="Length7">
              <controlPr defaultSize="0" print="0" autoFill="0" autoPict="0" macro="[0]!grphUpdate">
                <anchor moveWithCells="1">
                  <from>
                    <xdr:col>8</xdr:col>
                    <xdr:colOff>523875</xdr:colOff>
                    <xdr:row>43</xdr:row>
                    <xdr:rowOff>85725</xdr:rowOff>
                  </from>
                  <to>
                    <xdr:col>10</xdr:col>
                    <xdr:colOff>247650</xdr:colOff>
                    <xdr:row>45</xdr:row>
                    <xdr:rowOff>76200</xdr:rowOff>
                  </to>
                </anchor>
              </controlPr>
            </control>
          </mc:Choice>
        </mc:AlternateContent>
        <mc:AlternateContent xmlns:mc="http://schemas.openxmlformats.org/markup-compatibility/2006">
          <mc:Choice Requires="x14">
            <control shapeId="9226"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9227"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53</vt:i4>
      </vt:variant>
    </vt:vector>
  </HeadingPairs>
  <TitlesOfParts>
    <vt:vector size="62" baseType="lpstr">
      <vt:lpstr>General Settings</vt:lpstr>
      <vt:lpstr>RateHelpers</vt:lpstr>
      <vt:lpstr>Selected</vt:lpstr>
      <vt:lpstr>Deposits</vt:lpstr>
      <vt:lpstr>FRAs</vt:lpstr>
      <vt:lpstr>Futures</vt:lpstr>
      <vt:lpstr>Swaps</vt:lpstr>
      <vt:lpstr>SwapsFromBasis</vt:lpstr>
      <vt:lpstr>Monitor</vt:lpstr>
      <vt:lpstr>Accuracy</vt:lpstr>
      <vt:lpstr>BondBasisDayCounter</vt:lpstr>
      <vt:lpstr>Calendar</vt:lpstr>
      <vt:lpstr>CheckFRA</vt:lpstr>
      <vt:lpstr>CheckIMMFut</vt:lpstr>
      <vt:lpstr>CheckSerialFut</vt:lpstr>
      <vt:lpstr>Currency</vt:lpstr>
      <vt:lpstr>DataTable</vt:lpstr>
      <vt:lpstr>DayCounter</vt:lpstr>
      <vt:lpstr>DepoInclusionCriteria</vt:lpstr>
      <vt:lpstr>Discounting</vt:lpstr>
      <vt:lpstr>Discounting2</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SerialFutDates</vt:lpstr>
      <vt:lpstr>SerialFutNull</vt:lpstr>
      <vt:lpstr>SerialFutQuotes</vt:lpstr>
      <vt:lpstr>SerializationPath</vt:lpstr>
      <vt:lpstr>Serialize</vt:lpstr>
      <vt:lpstr>Swap3MConventions</vt:lpstr>
      <vt:lpstr>SwapFixedFreq</vt:lpstr>
      <vt:lpstr>SwapIborIndex</vt:lpstr>
      <vt:lpstr>SwapYieldCurve</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2014-01-14T12:17:34Z</dcterms:created>
  <dcterms:modified xsi:type="dcterms:W3CDTF">2014-10-07T16:44:47Z</dcterms:modified>
</cp:coreProperties>
</file>
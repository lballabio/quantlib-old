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  <sheet name="Optimize1M" sheetId="10" r:id="rId4"/>
    <sheet name="Optimize3M" sheetId="6" r:id="rId5"/>
    <sheet name="Optimize6M" sheetId="9" r:id="rId6"/>
    <sheet name="Optimize1Y" sheetId="23" r:id="rId7"/>
  </sheets>
  <externalReferences>
    <externalReference r:id="rId8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Settings'!$D$9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'General Settings'!$D$12</definedName>
    <definedName name="LastDayInYear">'General Settings'!$D$11</definedName>
    <definedName name="LastFixingsTrigger">Triggers!$C$5</definedName>
    <definedName name="LastUpdate">'General Settings'!$E$19</definedName>
    <definedName name="LiveDataFeed">'General Settings'!$E$22</definedName>
    <definedName name="OisCurve">'General Settings'!$D$15</definedName>
    <definedName name="OisEngine">'General Settings'!$D$16</definedName>
    <definedName name="OvernightIndex">'General Settings'!$D$7</definedName>
    <definedName name="Quote" localSheetId="3">Optimize1M!$H$5:$H$9</definedName>
    <definedName name="Quote" localSheetId="6">Optimize1Y!$H$5:$H$20</definedName>
    <definedName name="Quote" localSheetId="4">Optimize3M!$H$5:$H$11</definedName>
    <definedName name="Quote" localSheetId="5">Optimize6M!$H$5:$H$14</definedName>
    <definedName name="QuoteLive" localSheetId="3">Optimize1M!$C$5:$C$9</definedName>
    <definedName name="QuoteLive" localSheetId="6">Optimize1Y!$C$5:$C$20</definedName>
    <definedName name="QuoteLive" localSheetId="4">Optimize3M!$C$5:$C$11</definedName>
    <definedName name="QuoteLive" localSheetId="5">Optimize6M!$C$5:$C$14</definedName>
    <definedName name="QuoteStatic" localSheetId="3">Optimize1M!$E$5:$E$9</definedName>
    <definedName name="QuoteStatic" localSheetId="6">Optimize1Y!$E$5:$E$20</definedName>
    <definedName name="QuoteStatic" localSheetId="4">Optimize3M!$E$5:$E$11</definedName>
    <definedName name="QuoteStatic" localSheetId="5">Optimize6M!$E$5:$E$14</definedName>
    <definedName name="SettlementDate">'General Settings'!$D$14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st" localSheetId="3" hidden="1">1</definedName>
    <definedName name="solver_est" localSheetId="4" hidden="1">1</definedName>
    <definedName name="solver_itr" localSheetId="3" hidden="1">100</definedName>
    <definedName name="solver_itr" localSheetId="4" hidden="1">100</definedName>
    <definedName name="solver_lhs1" localSheetId="3" hidden="1">Optimize1M!#REF!</definedName>
    <definedName name="solver_lhs1" localSheetId="4" hidden="1">Optimize3M!#REF!</definedName>
    <definedName name="solver_lhs2" localSheetId="3" hidden="1">Optimize1M!#REF!</definedName>
    <definedName name="solver_lhs2" localSheetId="4" hidden="1">Optimize3M!#REF!</definedName>
    <definedName name="solver_lhs3" localSheetId="3" hidden="1">Optimize1M!#REF!</definedName>
    <definedName name="solver_lhs3" localSheetId="4" hidden="1">Optimize3M!#REF!</definedName>
    <definedName name="solver_lhs4" localSheetId="3" hidden="1">Optimize1M!#REF!</definedName>
    <definedName name="solver_lhs4" localSheetId="4" hidden="1">Optimize3M!#REF!</definedName>
    <definedName name="solver_lin" localSheetId="3" hidden="1">2</definedName>
    <definedName name="solver_lin" localSheetId="4" hidden="1">2</definedName>
    <definedName name="solver_neg" localSheetId="3" hidden="1">2</definedName>
    <definedName name="solver_neg" localSheetId="4" hidden="1">2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el1" localSheetId="3" hidden="1">1</definedName>
    <definedName name="solver_rel1" localSheetId="4" hidden="1">1</definedName>
    <definedName name="solver_rel2" localSheetId="3" hidden="1">3</definedName>
    <definedName name="solver_rel2" localSheetId="4" hidden="1">3</definedName>
    <definedName name="solver_rel3" localSheetId="3" hidden="1">1</definedName>
    <definedName name="solver_rel3" localSheetId="4" hidden="1">1</definedName>
    <definedName name="solver_rel4" localSheetId="3" hidden="1">3</definedName>
    <definedName name="solver_rel4" localSheetId="4" hidden="1">3</definedName>
    <definedName name="solver_rhs1" localSheetId="3" hidden="1">0.2</definedName>
    <definedName name="solver_rhs1" localSheetId="4" hidden="1">0.2</definedName>
    <definedName name="solver_rhs2" localSheetId="3" hidden="1">0.0005</definedName>
    <definedName name="solver_rhs2" localSheetId="4" hidden="1">0.0005</definedName>
    <definedName name="solver_rhs3" localSheetId="3" hidden="1">0.2</definedName>
    <definedName name="solver_rhs3" localSheetId="4" hidden="1">0.2</definedName>
    <definedName name="solver_rhs4" localSheetId="3" hidden="1">0.0005</definedName>
    <definedName name="solver_rhs4" localSheetId="4" hidden="1">0.0005</definedName>
    <definedName name="solver_scl" localSheetId="3" hidden="1">2</definedName>
    <definedName name="solver_scl" localSheetId="4" hidden="1">2</definedName>
    <definedName name="solver_sho" localSheetId="3" hidden="1">2</definedName>
    <definedName name="solver_sho" localSheetId="4" hidden="1">2</definedName>
    <definedName name="solver_tim" localSheetId="3" hidden="1">100</definedName>
    <definedName name="solver_tim" localSheetId="4" hidden="1">100</definedName>
    <definedName name="solver_tol" localSheetId="3" hidden="1">0.05</definedName>
    <definedName name="solver_tol" localSheetId="4" hidden="1">0.05</definedName>
    <definedName name="solver_typ" localSheetId="3" hidden="1">1</definedName>
    <definedName name="solver_typ" localSheetId="4" hidden="1">1</definedName>
    <definedName name="solver_val" localSheetId="3" hidden="1">0</definedName>
    <definedName name="solver_val" localSheetId="4" hidden="1">0</definedName>
    <definedName name="TriggerCounter">'General Settings'!$D$8</definedName>
  </definedNames>
  <calcPr calcId="145621"/>
</workbook>
</file>

<file path=xl/calcChain.xml><?xml version="1.0" encoding="utf-8"?>
<calcChain xmlns="http://schemas.openxmlformats.org/spreadsheetml/2006/main">
  <c r="H5" i="23" l="1" a="1"/>
  <c r="H10" i="23" s="1"/>
  <c r="H5" i="23"/>
  <c r="H6" i="23"/>
  <c r="H7" i="23"/>
  <c r="H8" i="23"/>
  <c r="H9" i="23"/>
  <c r="H12" i="23"/>
  <c r="H13" i="23"/>
  <c r="H14" i="23"/>
  <c r="H15" i="23"/>
  <c r="H16" i="23"/>
  <c r="H17" i="23"/>
  <c r="H20" i="23"/>
  <c r="H5" i="9" a="1"/>
  <c r="H9" i="9" s="1"/>
  <c r="H5" i="9"/>
  <c r="H6" i="9"/>
  <c r="H7" i="9"/>
  <c r="H8" i="9"/>
  <c r="H12" i="9"/>
  <c r="H13" i="9"/>
  <c r="H14" i="9"/>
  <c r="H5" i="6" a="1"/>
  <c r="H6" i="6" s="1"/>
  <c r="H5" i="6"/>
  <c r="H5" i="10" a="1"/>
  <c r="H6" i="10" s="1"/>
  <c r="H5" i="10"/>
  <c r="H11" i="6" l="1"/>
  <c r="H10" i="6"/>
  <c r="H9" i="10"/>
  <c r="H9" i="6"/>
  <c r="H8" i="10"/>
  <c r="H8" i="6"/>
  <c r="H11" i="9"/>
  <c r="H7" i="10"/>
  <c r="H7" i="6"/>
  <c r="H10" i="9"/>
  <c r="H19" i="23"/>
  <c r="H11" i="23"/>
  <c r="H18" i="23"/>
  <c r="D6" i="4"/>
  <c r="D15" i="4" s="1"/>
  <c r="D5" i="12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5" i="9"/>
  <c r="G6" i="9"/>
  <c r="G7" i="9"/>
  <c r="G8" i="9"/>
  <c r="G9" i="9"/>
  <c r="G10" i="9"/>
  <c r="G11" i="9"/>
  <c r="G12" i="9"/>
  <c r="G13" i="9"/>
  <c r="G14" i="9"/>
  <c r="G5" i="6"/>
  <c r="G6" i="6"/>
  <c r="G7" i="6"/>
  <c r="G8" i="6"/>
  <c r="G9" i="6"/>
  <c r="G10" i="6"/>
  <c r="G11" i="6"/>
  <c r="G5" i="10"/>
  <c r="G6" i="10"/>
  <c r="G7" i="10"/>
  <c r="G8" i="10"/>
  <c r="G9" i="10"/>
  <c r="A16" i="12"/>
  <c r="A26" i="12"/>
  <c r="A3" i="12"/>
  <c r="A7" i="12"/>
  <c r="D13" i="12"/>
  <c r="D8" i="12"/>
  <c r="D9" i="12"/>
  <c r="D14" i="12"/>
  <c r="D6" i="12"/>
  <c r="D7" i="12"/>
  <c r="D12" i="12"/>
  <c r="D3" i="12"/>
  <c r="D2" i="12"/>
  <c r="D27" i="12"/>
  <c r="D25" i="12"/>
  <c r="D19" i="12"/>
  <c r="D23" i="12"/>
  <c r="D21" i="12"/>
  <c r="D20" i="12"/>
  <c r="D22" i="12"/>
  <c r="D24" i="12"/>
  <c r="D15" i="12"/>
  <c r="D17" i="12"/>
  <c r="D16" i="12"/>
  <c r="D18" i="12"/>
  <c r="D26" i="12"/>
  <c r="C2" i="24"/>
  <c r="B1" i="4"/>
  <c r="F23" i="12"/>
  <c r="F25" i="12"/>
  <c r="E9" i="12"/>
  <c r="F8" i="12"/>
  <c r="E14" i="12"/>
  <c r="G26" i="12"/>
  <c r="G12" i="12"/>
  <c r="G17" i="12"/>
  <c r="G13" i="12"/>
  <c r="E2" i="12"/>
  <c r="F13" i="12"/>
  <c r="E22" i="12"/>
  <c r="E5" i="12"/>
  <c r="F15" i="12"/>
  <c r="E20" i="12"/>
  <c r="E23" i="12"/>
  <c r="G20" i="12"/>
  <c r="G3" i="12"/>
  <c r="G9" i="12"/>
  <c r="F18" i="12"/>
  <c r="E17" i="12"/>
  <c r="D14" i="4"/>
  <c r="F42" i="12"/>
  <c r="E18" i="12"/>
  <c r="F27" i="12"/>
  <c r="E27" i="12"/>
  <c r="F5" i="12"/>
  <c r="F47" i="12"/>
  <c r="F39" i="12"/>
  <c r="G15" i="12"/>
  <c r="G2" i="12"/>
  <c r="E25" i="12"/>
  <c r="F17" i="12"/>
  <c r="B17" i="12"/>
  <c r="E8" i="12"/>
  <c r="F49" i="12"/>
  <c r="F9" i="12"/>
  <c r="D10" i="12"/>
  <c r="F35" i="12"/>
  <c r="F46" i="12"/>
  <c r="F10" i="12"/>
  <c r="G7" i="12"/>
  <c r="G14" i="12"/>
  <c r="G22" i="12"/>
  <c r="F19" i="12"/>
  <c r="F2" i="12"/>
  <c r="E24" i="12"/>
  <c r="E15" i="12"/>
  <c r="F40" i="12"/>
  <c r="F12" i="12"/>
  <c r="F21" i="12"/>
  <c r="B9" i="12"/>
  <c r="B15" i="12"/>
  <c r="F36" i="12"/>
  <c r="F24" i="12"/>
  <c r="B5" i="12"/>
  <c r="G10" i="12"/>
  <c r="E19" i="12"/>
  <c r="G25" i="12"/>
  <c r="G18" i="12"/>
  <c r="C9" i="12"/>
  <c r="H9" i="12"/>
  <c r="G5" i="12"/>
  <c r="E21" i="12"/>
  <c r="F20" i="12"/>
  <c r="B8" i="12"/>
  <c r="C8" i="12" s="1"/>
  <c r="H8" i="12" s="1"/>
  <c r="G27" i="12"/>
  <c r="E12" i="12"/>
  <c r="D16" i="4"/>
  <c r="G19" i="12"/>
  <c r="F22" i="12"/>
  <c r="F41" i="12"/>
  <c r="E10" i="12"/>
  <c r="G6" i="12"/>
  <c r="G8" i="12"/>
  <c r="E6" i="12"/>
  <c r="F45" i="12"/>
  <c r="G21" i="12"/>
  <c r="G24" i="12"/>
  <c r="F14" i="12"/>
  <c r="F6" i="12"/>
  <c r="F37" i="12"/>
  <c r="D11" i="12"/>
  <c r="G23" i="12"/>
  <c r="E13" i="12"/>
  <c r="B10" i="12"/>
  <c r="C10" i="12" s="1"/>
  <c r="H10" i="12" s="1"/>
  <c r="G16" i="12"/>
  <c r="C15" i="12"/>
  <c r="H15" i="12" s="1"/>
  <c r="B20" i="12"/>
  <c r="C20" i="12" s="1"/>
  <c r="H20" i="12" s="1"/>
  <c r="B23" i="12"/>
  <c r="C23" i="12" s="1"/>
  <c r="H23" i="12" s="1"/>
  <c r="F38" i="12"/>
  <c r="F34" i="12"/>
  <c r="F43" i="12"/>
  <c r="F44" i="12"/>
  <c r="F48" i="12"/>
  <c r="B18" i="12"/>
  <c r="C18" i="12" s="1"/>
  <c r="H18" i="12" s="1"/>
  <c r="B27" i="12"/>
  <c r="C27" i="12" s="1"/>
  <c r="H27" i="12" s="1"/>
  <c r="B25" i="12"/>
  <c r="C25" i="12" s="1"/>
  <c r="H25" i="12" s="1"/>
  <c r="B2" i="12"/>
  <c r="C2" i="12" s="1"/>
  <c r="H2" i="12" s="1"/>
  <c r="B24" i="12"/>
  <c r="C24" i="12" s="1"/>
  <c r="H24" i="12" s="1"/>
  <c r="B19" i="12"/>
  <c r="C19" i="12" s="1"/>
  <c r="H19" i="12" s="1"/>
  <c r="B21" i="12"/>
  <c r="C21" i="12" s="1"/>
  <c r="H21" i="12" s="1"/>
  <c r="B12" i="12"/>
  <c r="C12" i="12" s="1"/>
  <c r="H12" i="12" s="1"/>
  <c r="C5" i="12"/>
  <c r="H5" i="12" s="1"/>
  <c r="C17" i="12"/>
  <c r="H17" i="12" s="1"/>
  <c r="B22" i="12"/>
  <c r="C22" i="12" s="1"/>
  <c r="H22" i="12" s="1"/>
  <c r="B6" i="12"/>
  <c r="C6" i="12" s="1"/>
  <c r="H6" i="12" s="1"/>
  <c r="B14" i="12"/>
  <c r="C14" i="12" s="1"/>
  <c r="H14" i="12" s="1"/>
  <c r="G11" i="12"/>
  <c r="E11" i="12"/>
  <c r="F11" i="12"/>
  <c r="B13" i="12"/>
  <c r="C13" i="12" s="1"/>
  <c r="H13" i="12" s="1"/>
  <c r="B11" i="12"/>
  <c r="C11" i="12" s="1"/>
  <c r="H11" i="12" s="1"/>
  <c r="D12" i="4"/>
  <c r="D11" i="4"/>
  <c r="I12" i="23"/>
  <c r="I18" i="23"/>
  <c r="I10" i="6"/>
  <c r="I5" i="9"/>
  <c r="I6" i="23"/>
  <c r="I8" i="23"/>
  <c r="I9" i="23"/>
  <c r="I17" i="23"/>
  <c r="I6" i="10"/>
  <c r="I8" i="9"/>
  <c r="I7" i="6"/>
  <c r="I12" i="9"/>
  <c r="I5" i="23"/>
  <c r="I20" i="23"/>
  <c r="I9" i="6"/>
  <c r="I7" i="10"/>
  <c r="I10" i="9"/>
  <c r="I8" i="10"/>
  <c r="I5" i="6"/>
  <c r="I13" i="9"/>
  <c r="I9" i="9"/>
  <c r="I10" i="23"/>
  <c r="I7" i="9"/>
  <c r="I6" i="6"/>
  <c r="I5" i="10"/>
  <c r="I11" i="9"/>
  <c r="I19" i="23"/>
  <c r="I9" i="10"/>
  <c r="I14" i="23"/>
  <c r="I14" i="9"/>
  <c r="I13" i="23"/>
  <c r="I16" i="23"/>
  <c r="I7" i="23"/>
  <c r="I6" i="9"/>
  <c r="I15" i="23"/>
  <c r="I11" i="23"/>
  <c r="I3" i="23" s="1"/>
  <c r="I11" i="6"/>
  <c r="I8" i="6"/>
  <c r="O11" i="12" l="1"/>
  <c r="N11" i="12"/>
  <c r="I11" i="12"/>
  <c r="K48" i="12"/>
  <c r="K44" i="12"/>
  <c r="K43" i="12"/>
  <c r="K34" i="12"/>
  <c r="K38" i="12"/>
  <c r="N13" i="12"/>
  <c r="I23" i="12"/>
  <c r="K37" i="12"/>
  <c r="F7" i="12"/>
  <c r="O7" i="12" s="1"/>
  <c r="O6" i="12"/>
  <c r="O14" i="12"/>
  <c r="I24" i="12"/>
  <c r="I21" i="12"/>
  <c r="K45" i="12"/>
  <c r="N6" i="12"/>
  <c r="E7" i="12"/>
  <c r="I8" i="12"/>
  <c r="I6" i="12"/>
  <c r="N10" i="12"/>
  <c r="K41" i="12"/>
  <c r="O22" i="12"/>
  <c r="I19" i="12"/>
  <c r="N12" i="12"/>
  <c r="I27" i="12"/>
  <c r="O20" i="12"/>
  <c r="N21" i="12"/>
  <c r="I5" i="12"/>
  <c r="I18" i="12"/>
  <c r="I25" i="12"/>
  <c r="N19" i="12"/>
  <c r="I10" i="12"/>
  <c r="O24" i="12"/>
  <c r="K36" i="12"/>
  <c r="O21" i="12"/>
  <c r="O12" i="12"/>
  <c r="K40" i="12"/>
  <c r="E16" i="12"/>
  <c r="N15" i="12"/>
  <c r="N24" i="12"/>
  <c r="O2" i="12"/>
  <c r="F3" i="12"/>
  <c r="O19" i="12"/>
  <c r="I22" i="12"/>
  <c r="I14" i="12"/>
  <c r="O10" i="12"/>
  <c r="K46" i="12"/>
  <c r="K35" i="12"/>
  <c r="O9" i="12"/>
  <c r="K49" i="12"/>
  <c r="N8" i="12"/>
  <c r="O17" i="12"/>
  <c r="N25" i="12"/>
  <c r="E26" i="12"/>
  <c r="I2" i="12"/>
  <c r="I15" i="12"/>
  <c r="K39" i="12"/>
  <c r="K47" i="12"/>
  <c r="F4" i="12"/>
  <c r="O4" i="12" s="1"/>
  <c r="N27" i="12"/>
  <c r="O27" i="12"/>
  <c r="N18" i="12"/>
  <c r="K42" i="12"/>
  <c r="E36" i="12"/>
  <c r="E35" i="12"/>
  <c r="E46" i="12"/>
  <c r="E41" i="12"/>
  <c r="E45" i="12"/>
  <c r="E48" i="12"/>
  <c r="E47" i="12"/>
  <c r="E34" i="12"/>
  <c r="E39" i="12"/>
  <c r="E43" i="12"/>
  <c r="E49" i="12"/>
  <c r="E44" i="12"/>
  <c r="E42" i="12"/>
  <c r="E38" i="12"/>
  <c r="E37" i="12"/>
  <c r="E40" i="12"/>
  <c r="N17" i="12"/>
  <c r="O18" i="12"/>
  <c r="I9" i="12"/>
  <c r="I20" i="12"/>
  <c r="N23" i="12"/>
  <c r="N20" i="12"/>
  <c r="O15" i="12"/>
  <c r="F16" i="12"/>
  <c r="O16" i="12" s="1"/>
  <c r="N22" i="12"/>
  <c r="O13" i="12"/>
  <c r="N2" i="12"/>
  <c r="E3" i="12"/>
  <c r="I13" i="12"/>
  <c r="I17" i="12"/>
  <c r="I12" i="12"/>
  <c r="N14" i="12"/>
  <c r="O8" i="12"/>
  <c r="N9" i="12"/>
  <c r="F26" i="12"/>
  <c r="O26" i="12" s="1"/>
  <c r="O25" i="12"/>
  <c r="O23" i="12"/>
  <c r="B41" i="12"/>
  <c r="C41" i="12" s="1"/>
  <c r="L41" i="12" s="1"/>
  <c r="B44" i="12"/>
  <c r="C44" i="12" s="1"/>
  <c r="L44" i="12" s="1"/>
  <c r="B16" i="12"/>
  <c r="C16" i="12" s="1"/>
  <c r="H16" i="12" s="1"/>
  <c r="B45" i="12"/>
  <c r="C45" i="12" s="1"/>
  <c r="L45" i="12" s="1"/>
  <c r="B42" i="12"/>
  <c r="C42" i="12" s="1"/>
  <c r="L42" i="12" s="1"/>
  <c r="B48" i="12"/>
  <c r="C48" i="12" s="1"/>
  <c r="L48" i="12" s="1"/>
  <c r="B38" i="12"/>
  <c r="C38" i="12" s="1"/>
  <c r="L38" i="12" s="1"/>
  <c r="B3" i="12"/>
  <c r="C3" i="12" s="1"/>
  <c r="H3" i="12" s="1"/>
  <c r="B36" i="12"/>
  <c r="C36" i="12" s="1"/>
  <c r="L36" i="12" s="1"/>
  <c r="B39" i="12"/>
  <c r="C39" i="12" s="1"/>
  <c r="L39" i="12" s="1"/>
  <c r="B26" i="12"/>
  <c r="C26" i="12" s="1"/>
  <c r="H26" i="12" s="1"/>
  <c r="B47" i="12"/>
  <c r="C47" i="12" s="1"/>
  <c r="L47" i="12" s="1"/>
  <c r="B37" i="12"/>
  <c r="C37" i="12" s="1"/>
  <c r="L37" i="12" s="1"/>
  <c r="B34" i="12"/>
  <c r="C34" i="12" s="1"/>
  <c r="L34" i="12" s="1"/>
  <c r="B40" i="12"/>
  <c r="C40" i="12" s="1"/>
  <c r="L40" i="12" s="1"/>
  <c r="B35" i="12"/>
  <c r="C35" i="12" s="1"/>
  <c r="L35" i="12" s="1"/>
  <c r="B43" i="12"/>
  <c r="C43" i="12" s="1"/>
  <c r="L43" i="12" s="1"/>
  <c r="B7" i="12"/>
  <c r="C7" i="12" s="1"/>
  <c r="H7" i="12" s="1"/>
  <c r="B46" i="12"/>
  <c r="C46" i="12" s="1"/>
  <c r="L46" i="12" s="1"/>
  <c r="B49" i="12"/>
  <c r="C49" i="12" s="1"/>
  <c r="L49" i="12" s="1"/>
  <c r="I3" i="6"/>
  <c r="I3" i="9"/>
  <c r="I3" i="10"/>
  <c r="I7" i="12" l="1"/>
  <c r="J7" i="12" s="1"/>
  <c r="I26" i="12"/>
  <c r="J26" i="12" s="1"/>
  <c r="I3" i="12"/>
  <c r="J3" i="12" s="1"/>
  <c r="I16" i="12"/>
  <c r="J16" i="12" s="1"/>
  <c r="P23" i="12"/>
  <c r="R23" i="12"/>
  <c r="S23" i="12"/>
  <c r="J17" i="12"/>
  <c r="R25" i="12"/>
  <c r="P25" i="12"/>
  <c r="S25" i="12"/>
  <c r="J13" i="12"/>
  <c r="J22" i="12"/>
  <c r="P12" i="12"/>
  <c r="R12" i="12"/>
  <c r="S12" i="12"/>
  <c r="J24" i="12"/>
  <c r="P19" i="12"/>
  <c r="S19" i="12"/>
  <c r="R19" i="12"/>
  <c r="P21" i="12"/>
  <c r="R21" i="12"/>
  <c r="S21" i="12"/>
  <c r="S14" i="12"/>
  <c r="P14" i="12"/>
  <c r="R14" i="12"/>
  <c r="J10" i="12"/>
  <c r="J27" i="12"/>
  <c r="N7" i="12"/>
  <c r="P7" i="12" s="1"/>
  <c r="J8" i="12"/>
  <c r="S18" i="12"/>
  <c r="P18" i="12"/>
  <c r="R18" i="12"/>
  <c r="R2" i="12"/>
  <c r="S2" i="12"/>
  <c r="P2" i="12"/>
  <c r="R24" i="12"/>
  <c r="P24" i="12"/>
  <c r="S24" i="12"/>
  <c r="R20" i="12"/>
  <c r="S20" i="12"/>
  <c r="P20" i="12"/>
  <c r="N26" i="12"/>
  <c r="R26" i="12" s="1"/>
  <c r="J12" i="12"/>
  <c r="S15" i="12"/>
  <c r="R15" i="12"/>
  <c r="P15" i="12"/>
  <c r="R9" i="12"/>
  <c r="P9" i="12"/>
  <c r="S9" i="12"/>
  <c r="O3" i="12"/>
  <c r="E4" i="12"/>
  <c r="P6" i="12"/>
  <c r="R6" i="12"/>
  <c r="S6" i="12"/>
  <c r="S26" i="12"/>
  <c r="P26" i="12"/>
  <c r="N3" i="12"/>
  <c r="J20" i="12"/>
  <c r="R27" i="12"/>
  <c r="P27" i="12"/>
  <c r="S27" i="12"/>
  <c r="P10" i="12"/>
  <c r="R10" i="12"/>
  <c r="S10" i="12"/>
  <c r="J23" i="12"/>
  <c r="J11" i="12"/>
  <c r="S17" i="12"/>
  <c r="R17" i="12"/>
  <c r="P17" i="12"/>
  <c r="N16" i="12"/>
  <c r="P16" i="12" s="1"/>
  <c r="J19" i="12"/>
  <c r="R8" i="12"/>
  <c r="P8" i="12"/>
  <c r="S8" i="12"/>
  <c r="P13" i="12"/>
  <c r="S13" i="12"/>
  <c r="R13" i="12"/>
  <c r="J14" i="12"/>
  <c r="S22" i="12"/>
  <c r="P22" i="12"/>
  <c r="R22" i="12"/>
  <c r="J21" i="12"/>
  <c r="P11" i="12"/>
  <c r="S11" i="12"/>
  <c r="R11" i="12"/>
  <c r="B4" i="12"/>
  <c r="C4" i="12" s="1"/>
  <c r="H4" i="12" s="1"/>
  <c r="K27" i="12"/>
  <c r="D8" i="4"/>
  <c r="D10" i="4"/>
  <c r="R16" i="12" l="1"/>
  <c r="S16" i="12"/>
  <c r="S7" i="12"/>
  <c r="R7" i="12"/>
  <c r="K26" i="12"/>
  <c r="Q31" i="12" s="1"/>
  <c r="J18" i="12"/>
  <c r="N4" i="12"/>
  <c r="G4" i="12"/>
  <c r="I4" i="12" s="1"/>
  <c r="R3" i="12"/>
  <c r="P3" i="12"/>
  <c r="S3" i="12"/>
  <c r="J9" i="12"/>
  <c r="L27" i="12"/>
  <c r="K22" i="12"/>
  <c r="X18" i="12" a="1"/>
  <c r="K24" i="12"/>
  <c r="K21" i="12"/>
  <c r="K19" i="12"/>
  <c r="K20" i="12"/>
  <c r="K23" i="12"/>
  <c r="K14" i="12"/>
  <c r="K12" i="12"/>
  <c r="K13" i="12"/>
  <c r="K10" i="12"/>
  <c r="K11" i="12"/>
  <c r="X9" i="12" a="1"/>
  <c r="X10" i="12" l="1"/>
  <c r="X11" i="12"/>
  <c r="X9" i="12"/>
  <c r="P31" i="12"/>
  <c r="X20" i="12"/>
  <c r="X18" i="12"/>
  <c r="X19" i="12"/>
  <c r="L26" i="12"/>
  <c r="Q32" i="12" s="1"/>
  <c r="Q39" i="12" s="1"/>
  <c r="J39" i="12" s="1"/>
  <c r="C10" i="23" s="1"/>
  <c r="S4" i="12"/>
  <c r="R4" i="12"/>
  <c r="P4" i="12"/>
  <c r="J4" i="12"/>
  <c r="L19" i="12"/>
  <c r="L21" i="12"/>
  <c r="L24" i="12"/>
  <c r="K4" i="12"/>
  <c r="L23" i="12"/>
  <c r="L22" i="12"/>
  <c r="L20" i="12"/>
  <c r="L12" i="12"/>
  <c r="L14" i="12"/>
  <c r="L11" i="12"/>
  <c r="L10" i="12"/>
  <c r="L13" i="12"/>
  <c r="Q49" i="12" l="1"/>
  <c r="J49" i="12" s="1"/>
  <c r="C20" i="23" s="1"/>
  <c r="Q37" i="12"/>
  <c r="J37" i="12" s="1"/>
  <c r="C8" i="23" s="1"/>
  <c r="Q40" i="12"/>
  <c r="J40" i="12" s="1"/>
  <c r="C11" i="23" s="1"/>
  <c r="Q42" i="12"/>
  <c r="J42" i="12" s="1"/>
  <c r="C13" i="23" s="1"/>
  <c r="K3" i="12"/>
  <c r="N31" i="12"/>
  <c r="Q45" i="12"/>
  <c r="J45" i="12" s="1"/>
  <c r="C16" i="23" s="1"/>
  <c r="Q34" i="12"/>
  <c r="J34" i="12" s="1"/>
  <c r="C5" i="23" s="1"/>
  <c r="Q38" i="12"/>
  <c r="J38" i="12" s="1"/>
  <c r="C9" i="23" s="1"/>
  <c r="Q48" i="12"/>
  <c r="J48" i="12" s="1"/>
  <c r="C19" i="23" s="1"/>
  <c r="Q46" i="12"/>
  <c r="J46" i="12" s="1"/>
  <c r="C17" i="23" s="1"/>
  <c r="Q43" i="12"/>
  <c r="J43" i="12" s="1"/>
  <c r="C14" i="23" s="1"/>
  <c r="Q35" i="12"/>
  <c r="J35" i="12" s="1"/>
  <c r="C6" i="23" s="1"/>
  <c r="Q36" i="12"/>
  <c r="J36" i="12" s="1"/>
  <c r="C7" i="23" s="1"/>
  <c r="Q47" i="12"/>
  <c r="J47" i="12" s="1"/>
  <c r="C18" i="23" s="1"/>
  <c r="Q41" i="12"/>
  <c r="J41" i="12" s="1"/>
  <c r="C12" i="23" s="1"/>
  <c r="Q44" i="12"/>
  <c r="J44" i="12" s="1"/>
  <c r="C15" i="23" s="1"/>
  <c r="L4" i="12"/>
  <c r="L3" i="12"/>
  <c r="N32" i="12" l="1"/>
  <c r="N38" i="12" s="1"/>
  <c r="G38" i="12" s="1"/>
  <c r="C9" i="10" s="1"/>
  <c r="N37" i="12"/>
  <c r="G37" i="12" s="1"/>
  <c r="C8" i="10" s="1"/>
  <c r="V9" i="12" a="1"/>
  <c r="N36" i="12" l="1"/>
  <c r="G36" i="12" s="1"/>
  <c r="C7" i="10" s="1"/>
  <c r="N35" i="12"/>
  <c r="G35" i="12" s="1"/>
  <c r="C6" i="10" s="1"/>
  <c r="N34" i="12"/>
  <c r="G34" i="12" s="1"/>
  <c r="C5" i="10" s="1"/>
  <c r="V9" i="12"/>
  <c r="AD9" i="12" a="1"/>
  <c r="AD9" i="12" s="1"/>
  <c r="V11" i="12"/>
  <c r="V10" i="12"/>
  <c r="H31" i="12"/>
  <c r="AE11" i="12" l="1"/>
  <c r="AD10" i="12"/>
  <c r="AF9" i="12"/>
  <c r="AF11" i="12"/>
  <c r="AE10" i="12"/>
  <c r="AD11" i="12"/>
  <c r="AF10" i="12"/>
  <c r="AE9" i="12"/>
  <c r="H32" i="12"/>
  <c r="W18" i="12" a="1"/>
  <c r="W20" i="12"/>
  <c r="W18" i="12"/>
  <c r="W19" i="12"/>
  <c r="J31" i="12"/>
  <c r="I31" i="12"/>
  <c r="J32" i="12"/>
  <c r="K18" i="12"/>
  <c r="L18" i="12"/>
  <c r="AB9" i="12" a="1"/>
  <c r="P32" i="12" l="1"/>
  <c r="AB11" i="12"/>
  <c r="AB10" i="12"/>
  <c r="AB9" i="12"/>
  <c r="AB18" i="12" a="1"/>
  <c r="AB20" i="12"/>
  <c r="AB18" i="12"/>
  <c r="AB19" i="12"/>
  <c r="V18" i="12" a="1"/>
  <c r="V18" i="12"/>
  <c r="AD18" i="12" s="1" a="1"/>
  <c r="AD18" i="12" s="1"/>
  <c r="Z18" i="12" s="1" a="1"/>
  <c r="V19" i="12"/>
  <c r="V20" i="12"/>
  <c r="K9" i="12"/>
  <c r="Z20" i="12" l="1"/>
  <c r="W32" i="12" s="1"/>
  <c r="Z19" i="12"/>
  <c r="W31" i="12" s="1"/>
  <c r="Z18" i="12"/>
  <c r="AD20" i="12"/>
  <c r="AE19" i="12"/>
  <c r="AF19" i="12"/>
  <c r="AF18" i="12"/>
  <c r="AE20" i="12"/>
  <c r="AF20" i="12"/>
  <c r="AD19" i="12"/>
  <c r="AE18" i="12"/>
  <c r="O31" i="12"/>
  <c r="L9" i="12"/>
  <c r="W9" i="12" a="1"/>
  <c r="O32" i="12" l="1"/>
  <c r="AH18" i="12" a="1"/>
  <c r="W30" i="12"/>
  <c r="W11" i="12"/>
  <c r="W10" i="12"/>
  <c r="W9" i="12"/>
  <c r="G31" i="12"/>
  <c r="AH19" i="12" l="1"/>
  <c r="AH20" i="12"/>
  <c r="AH18" i="12"/>
  <c r="G32" i="12"/>
  <c r="I32" i="12"/>
  <c r="W43" i="12"/>
  <c r="P43" i="12"/>
  <c r="I43" i="12" s="1"/>
  <c r="C14" i="9" s="1"/>
  <c r="W42" i="12"/>
  <c r="P42" i="12" s="1"/>
  <c r="W41" i="12"/>
  <c r="P41" i="12" s="1"/>
  <c r="I42" i="12"/>
  <c r="C13" i="9" s="1"/>
  <c r="W36" i="12"/>
  <c r="P36" i="12" s="1"/>
  <c r="I36" i="12" s="1"/>
  <c r="C7" i="9" s="1"/>
  <c r="W39" i="12"/>
  <c r="P39" i="12" s="1"/>
  <c r="I39" i="12" s="1"/>
  <c r="C10" i="9" s="1"/>
  <c r="W34" i="12"/>
  <c r="P34" i="12" s="1"/>
  <c r="I34" i="12" s="1"/>
  <c r="C5" i="9" s="1"/>
  <c r="W38" i="12"/>
  <c r="P38" i="12"/>
  <c r="I38" i="12" s="1"/>
  <c r="C9" i="9" s="1"/>
  <c r="W37" i="12"/>
  <c r="P37" i="12" s="1"/>
  <c r="I37" i="12" s="1"/>
  <c r="C8" i="9" s="1"/>
  <c r="W35" i="12"/>
  <c r="P35" i="12" s="1"/>
  <c r="I35" i="12" s="1"/>
  <c r="C6" i="9" s="1"/>
  <c r="I41" i="12"/>
  <c r="C12" i="9" s="1"/>
  <c r="W40" i="12"/>
  <c r="P40" i="12" s="1"/>
  <c r="I40" i="12" s="1"/>
  <c r="C11" i="9" s="1"/>
  <c r="Z9" i="12" l="1" a="1"/>
  <c r="Z11" i="12" s="1"/>
  <c r="V32" i="12" s="1"/>
  <c r="Z9" i="12"/>
  <c r="V30" i="12" s="1"/>
  <c r="Z10" i="12" l="1"/>
  <c r="V31" i="12" s="1"/>
  <c r="V39" i="12"/>
  <c r="O39" i="12" s="1"/>
  <c r="H39" i="12" s="1"/>
  <c r="C10" i="6" s="1"/>
  <c r="V37" i="12"/>
  <c r="O37" i="12" s="1"/>
  <c r="H37" i="12" s="1"/>
  <c r="C8" i="6" s="1"/>
  <c r="V38" i="12"/>
  <c r="O38" i="12" s="1"/>
  <c r="H38" i="12" s="1"/>
  <c r="C9" i="6" s="1"/>
  <c r="V36" i="12"/>
  <c r="O36" i="12" s="1"/>
  <c r="H36" i="12" s="1"/>
  <c r="C7" i="6" s="1"/>
  <c r="V34" i="12"/>
  <c r="O34" i="12" s="1"/>
  <c r="H34" i="12" s="1"/>
  <c r="C5" i="6" s="1"/>
  <c r="V35" i="12"/>
  <c r="O35" i="12" s="1"/>
  <c r="H35" i="12" s="1"/>
  <c r="C6" i="6" s="1"/>
  <c r="V40" i="12"/>
  <c r="O40" i="12" s="1"/>
  <c r="H40" i="12" s="1"/>
  <c r="C11" i="6" s="1"/>
  <c r="AH9" i="12" a="1"/>
  <c r="AH9" i="12" s="1"/>
  <c r="AH10" i="12" l="1"/>
  <c r="AH11" i="12"/>
</calcChain>
</file>

<file path=xl/sharedStrings.xml><?xml version="1.0" encoding="utf-8"?>
<sst xmlns="http://schemas.openxmlformats.org/spreadsheetml/2006/main" count="165" uniqueCount="87">
  <si>
    <t>1MD</t>
  </si>
  <si>
    <t>2MD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</si>
  <si>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</si>
  <si>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</si>
  <si>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</si>
  <si>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</si>
  <si>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</si>
  <si>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</si>
  <si>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</si>
  <si>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</si>
  <si>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</si>
  <si>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SND</t>
  </si>
  <si>
    <t>SWD</t>
  </si>
  <si>
    <t>2WD</t>
  </si>
  <si>
    <t>3WD</t>
  </si>
  <si>
    <t>3MD</t>
  </si>
  <si>
    <t>4MD</t>
  </si>
  <si>
    <t>5MD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</si>
  <si>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</si>
  <si>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</si>
  <si>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</si>
  <si>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</si>
  <si>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</si>
  <si>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</si>
  <si>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</si>
  <si>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</si>
  <si>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</si>
  <si>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</si>
  <si>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</si>
  <si>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_SYNTH1M_Quote</t>
  </si>
  <si>
    <t>1D</t>
  </si>
  <si>
    <t>6M</t>
  </si>
  <si>
    <t>Calendar</t>
  </si>
  <si>
    <t>Static</t>
  </si>
  <si>
    <t>Live</t>
  </si>
  <si>
    <t>SettlementDate</t>
  </si>
  <si>
    <t>_SYNTH6M_Quote</t>
  </si>
  <si>
    <t>6MD</t>
  </si>
  <si>
    <t>1YD</t>
  </si>
  <si>
    <t>_SYNTH1Y_Quote</t>
  </si>
  <si>
    <t>7M</t>
  </si>
  <si>
    <t>8M</t>
  </si>
  <si>
    <t>9M</t>
  </si>
  <si>
    <t>10M</t>
  </si>
  <si>
    <t>11M</t>
  </si>
  <si>
    <t>12M</t>
  </si>
  <si>
    <t>7MD</t>
  </si>
  <si>
    <t>8MD</t>
  </si>
  <si>
    <t>9MD</t>
  </si>
  <si>
    <t>10MD</t>
  </si>
  <si>
    <t>11MD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</si>
  <si>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</si>
  <si>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</si>
  <si>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</si>
  <si>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</si>
  <si>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</si>
  <si>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</si>
  <si>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</si>
  <si>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</si>
  <si>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</si>
  <si>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</si>
  <si>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</si>
  <si>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</si>
  <si>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</si>
  <si>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</si>
  <si>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</si>
  <si>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</si>
  <si>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</si>
  <si>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</si>
  <si>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</si>
  <si>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</si>
  <si>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</si>
  <si>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</si>
  <si>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</si>
  <si>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</si>
  <si>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</si>
  <si>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</si>
  <si>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</si>
  <si>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</si>
  <si>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External Link Cleaned Up</t>
  </si>
  <si>
    <t>UnitedKingdom::Exchange</t>
  </si>
  <si>
    <t>GBP</t>
  </si>
  <si>
    <t>Sonia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</si>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</sst>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ddd\,\ dd\-mmm\-yyyy\,\ h:mm:ss"/>
    <numFmt numFmtId="169" formatCode="ddd\,\ dd\-mmm\-yyyy\ h:mm:ss"/>
    <numFmt numFmtId="170" formatCode="#,##0.0;#,##0.0"/>
    <numFmt numFmtId="171" formatCode="_([$€-2]* #,##0.00_);_([$€-2]* \(#,##0.00\);_([$€-2]* &quot;-&quot;??_)"/>
    <numFmt numFmtId="172" formatCode="General_)"/>
    <numFmt numFmtId="173" formatCode="ddd\,\ dd\-mmm\-yyyy"/>
    <numFmt numFmtId="174" formatCode="0.0E+00"/>
  </numFmts>
  <fonts count="16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71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2" fontId="6" fillId="0" borderId="0"/>
    <xf numFmtId="9" fontId="1" fillId="0" borderId="0" applyFont="0" applyFill="0" applyBorder="0" applyAlignment="0" applyProtection="0"/>
    <xf numFmtId="170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200">
    <xf numFmtId="0" fontId="0" fillId="0" borderId="0" xfId="0"/>
    <xf numFmtId="0" fontId="7" fillId="0" borderId="0" xfId="0" applyFont="1"/>
    <xf numFmtId="165" fontId="7" fillId="0" borderId="1" xfId="8" applyNumberFormat="1" applyFont="1" applyBorder="1"/>
    <xf numFmtId="165" fontId="7" fillId="0" borderId="2" xfId="8" applyNumberFormat="1" applyFont="1" applyBorder="1"/>
    <xf numFmtId="165" fontId="7" fillId="0" borderId="3" xfId="8" applyNumberFormat="1" applyFont="1" applyBorder="1"/>
    <xf numFmtId="0" fontId="7" fillId="0" borderId="0" xfId="0" applyFont="1" applyBorder="1"/>
    <xf numFmtId="167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8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7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3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3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3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8" applyNumberFormat="1" applyFont="1" applyBorder="1"/>
    <xf numFmtId="165" fontId="8" fillId="3" borderId="0" xfId="8" applyNumberFormat="1" applyFont="1" applyFill="1" applyBorder="1"/>
    <xf numFmtId="165" fontId="8" fillId="0" borderId="4" xfId="8" applyNumberFormat="1" applyFont="1" applyBorder="1"/>
    <xf numFmtId="165" fontId="8" fillId="0" borderId="7" xfId="8" applyNumberFormat="1" applyFont="1" applyBorder="1"/>
    <xf numFmtId="165" fontId="8" fillId="3" borderId="8" xfId="8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15" xfId="0" applyFont="1" applyFill="1" applyBorder="1"/>
    <xf numFmtId="0" fontId="7" fillId="4" borderId="16" xfId="0" applyFont="1" applyFill="1" applyBorder="1"/>
    <xf numFmtId="0" fontId="7" fillId="4" borderId="17" xfId="6" applyFont="1" applyFill="1" applyBorder="1"/>
    <xf numFmtId="0" fontId="7" fillId="4" borderId="0" xfId="6" applyFont="1" applyFill="1"/>
    <xf numFmtId="0" fontId="7" fillId="4" borderId="18" xfId="0" applyFont="1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0" xfId="0" applyFont="1" applyFill="1" applyBorder="1"/>
    <xf numFmtId="0" fontId="7" fillId="4" borderId="20" xfId="6" applyFont="1" applyFill="1" applyBorder="1"/>
    <xf numFmtId="0" fontId="7" fillId="4" borderId="18" xfId="0" applyFont="1" applyFill="1" applyBorder="1" applyAlignment="1">
      <alignment horizontal="center"/>
    </xf>
    <xf numFmtId="0" fontId="7" fillId="0" borderId="0" xfId="0" applyFont="1" applyFill="1" applyBorder="1"/>
    <xf numFmtId="165" fontId="10" fillId="0" borderId="11" xfId="8" applyNumberFormat="1" applyFont="1" applyFill="1" applyBorder="1" applyAlignment="1">
      <alignment horizontal="center" vertical="center" wrapText="1"/>
    </xf>
    <xf numFmtId="166" fontId="10" fillId="0" borderId="13" xfId="8" applyNumberFormat="1" applyFont="1" applyFill="1" applyBorder="1" applyAlignment="1">
      <alignment horizontal="center" vertical="center" wrapText="1"/>
    </xf>
    <xf numFmtId="165" fontId="10" fillId="0" borderId="19" xfId="8" applyNumberFormat="1" applyFont="1" applyFill="1" applyBorder="1" applyAlignment="1">
      <alignment horizontal="center" vertical="center" wrapText="1"/>
    </xf>
    <xf numFmtId="165" fontId="10" fillId="0" borderId="12" xfId="8" applyNumberFormat="1" applyFont="1" applyFill="1" applyBorder="1" applyAlignment="1">
      <alignment horizontal="center" vertical="center" wrapText="1"/>
    </xf>
    <xf numFmtId="165" fontId="10" fillId="0" borderId="13" xfId="8" applyNumberFormat="1" applyFont="1" applyFill="1" applyBorder="1" applyAlignment="1">
      <alignment horizontal="center" vertical="center" wrapText="1"/>
    </xf>
    <xf numFmtId="0" fontId="7" fillId="0" borderId="8" xfId="8" applyNumberFormat="1" applyFont="1" applyFill="1" applyBorder="1" applyAlignment="1"/>
    <xf numFmtId="165" fontId="7" fillId="0" borderId="9" xfId="8" applyNumberFormat="1" applyFont="1" applyFill="1" applyBorder="1" applyAlignment="1"/>
    <xf numFmtId="165" fontId="7" fillId="0" borderId="2" xfId="8" applyNumberFormat="1" applyFont="1" applyBorder="1" applyAlignment="1"/>
    <xf numFmtId="165" fontId="7" fillId="0" borderId="8" xfId="8" applyNumberFormat="1" applyFont="1" applyFill="1" applyBorder="1" applyAlignment="1"/>
    <xf numFmtId="165" fontId="7" fillId="0" borderId="0" xfId="8" applyNumberFormat="1" applyFont="1" applyFill="1" applyBorder="1" applyAlignment="1"/>
    <xf numFmtId="0" fontId="7" fillId="0" borderId="6" xfId="8" applyNumberFormat="1" applyFont="1" applyFill="1" applyBorder="1" applyAlignment="1"/>
    <xf numFmtId="165" fontId="7" fillId="0" borderId="10" xfId="8" applyNumberFormat="1" applyFont="1" applyFill="1" applyBorder="1" applyAlignment="1"/>
    <xf numFmtId="165" fontId="7" fillId="0" borderId="3" xfId="8" applyNumberFormat="1" applyFont="1" applyBorder="1" applyAlignment="1"/>
    <xf numFmtId="165" fontId="7" fillId="0" borderId="6" xfId="8" applyNumberFormat="1" applyFont="1" applyFill="1" applyBorder="1" applyAlignment="1"/>
    <xf numFmtId="165" fontId="7" fillId="0" borderId="7" xfId="8" applyNumberFormat="1" applyFont="1" applyFill="1" applyBorder="1" applyAlignment="1"/>
    <xf numFmtId="0" fontId="7" fillId="4" borderId="21" xfId="6" applyFont="1" applyFill="1" applyBorder="1"/>
    <xf numFmtId="0" fontId="7" fillId="4" borderId="22" xfId="6" applyFont="1" applyFill="1" applyBorder="1"/>
    <xf numFmtId="0" fontId="7" fillId="4" borderId="23" xfId="6" applyFont="1" applyFill="1" applyBorder="1"/>
    <xf numFmtId="0" fontId="7" fillId="4" borderId="21" xfId="0" applyFont="1" applyFill="1" applyBorder="1"/>
    <xf numFmtId="0" fontId="7" fillId="4" borderId="22" xfId="0" applyFont="1" applyFill="1" applyBorder="1"/>
    <xf numFmtId="0" fontId="7" fillId="4" borderId="17" xfId="0" applyFont="1" applyFill="1" applyBorder="1"/>
    <xf numFmtId="0" fontId="11" fillId="4" borderId="0" xfId="0" applyFont="1" applyFill="1" applyBorder="1"/>
    <xf numFmtId="0" fontId="7" fillId="4" borderId="20" xfId="0" applyFont="1" applyFill="1" applyBorder="1"/>
    <xf numFmtId="0" fontId="7" fillId="4" borderId="0" xfId="4" applyFont="1" applyFill="1" applyBorder="1"/>
    <xf numFmtId="0" fontId="7" fillId="4" borderId="9" xfId="4" applyFont="1" applyFill="1" applyBorder="1"/>
    <xf numFmtId="0" fontId="7" fillId="6" borderId="0" xfId="5" applyFont="1" applyFill="1"/>
    <xf numFmtId="169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2" fillId="4" borderId="0" xfId="4" applyFont="1" applyFill="1" applyBorder="1" applyAlignment="1">
      <alignment horizontal="right"/>
    </xf>
    <xf numFmtId="168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4" borderId="7" xfId="4" applyFont="1" applyFill="1" applyBorder="1"/>
    <xf numFmtId="0" fontId="7" fillId="4" borderId="10" xfId="4" applyFont="1" applyFill="1" applyBorder="1"/>
    <xf numFmtId="0" fontId="7" fillId="7" borderId="0" xfId="4" applyFont="1" applyFill="1" applyBorder="1"/>
    <xf numFmtId="0" fontId="7" fillId="7" borderId="0" xfId="4" applyFont="1" applyFill="1"/>
    <xf numFmtId="0" fontId="7" fillId="4" borderId="8" xfId="4" applyFont="1" applyFill="1" applyBorder="1"/>
    <xf numFmtId="0" fontId="7" fillId="0" borderId="0" xfId="4" applyFont="1"/>
    <xf numFmtId="0" fontId="7" fillId="4" borderId="0" xfId="4" applyFont="1" applyFill="1" applyAlignment="1">
      <alignment horizontal="right"/>
    </xf>
    <xf numFmtId="0" fontId="8" fillId="4" borderId="0" xfId="4" applyFont="1" applyFill="1" applyAlignment="1">
      <alignment horizontal="right"/>
    </xf>
    <xf numFmtId="0" fontId="7" fillId="4" borderId="6" xfId="4" applyFont="1" applyFill="1" applyBorder="1"/>
    <xf numFmtId="0" fontId="7" fillId="4" borderId="0" xfId="4" applyFont="1" applyFill="1"/>
    <xf numFmtId="0" fontId="7" fillId="0" borderId="0" xfId="0" applyFont="1" applyAlignment="1">
      <alignment horizontal="right"/>
    </xf>
    <xf numFmtId="165" fontId="8" fillId="3" borderId="9" xfId="8" applyNumberFormat="1" applyFont="1" applyFill="1" applyBorder="1"/>
    <xf numFmtId="165" fontId="8" fillId="3" borderId="2" xfId="8" applyNumberFormat="1" applyFont="1" applyFill="1" applyBorder="1" applyAlignment="1"/>
    <xf numFmtId="165" fontId="8" fillId="3" borderId="5" xfId="8" applyNumberFormat="1" applyFont="1" applyFill="1" applyBorder="1"/>
    <xf numFmtId="165" fontId="8" fillId="3" borderId="1" xfId="8" applyNumberFormat="1" applyFont="1" applyFill="1" applyBorder="1" applyAlignment="1"/>
    <xf numFmtId="0" fontId="7" fillId="6" borderId="19" xfId="4" applyFont="1" applyFill="1" applyBorder="1" applyAlignment="1">
      <alignment horizontal="right"/>
    </xf>
    <xf numFmtId="167" fontId="7" fillId="4" borderId="13" xfId="8" applyNumberFormat="1" applyFont="1" applyFill="1" applyBorder="1" applyAlignment="1">
      <alignment horizontal="center"/>
    </xf>
    <xf numFmtId="165" fontId="7" fillId="0" borderId="1" xfId="8" applyNumberFormat="1" applyFont="1" applyBorder="1" applyAlignment="1"/>
    <xf numFmtId="0" fontId="7" fillId="0" borderId="8" xfId="8" applyNumberFormat="1" applyFont="1" applyFill="1" applyBorder="1" applyAlignment="1">
      <alignment horizontal="right"/>
    </xf>
    <xf numFmtId="0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Fill="1" applyBorder="1" applyAlignment="1">
      <alignment horizontal="right"/>
    </xf>
    <xf numFmtId="165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Border="1" applyAlignment="1"/>
    <xf numFmtId="173" fontId="7" fillId="0" borderId="4" xfId="0" applyNumberFormat="1" applyFont="1" applyBorder="1" applyAlignment="1"/>
    <xf numFmtId="173" fontId="7" fillId="0" borderId="7" xfId="0" applyNumberFormat="1" applyFont="1" applyBorder="1" applyAlignment="1"/>
    <xf numFmtId="173" fontId="7" fillId="0" borderId="0" xfId="0" applyNumberFormat="1" applyFont="1" applyBorder="1" applyAlignment="1"/>
    <xf numFmtId="173" fontId="7" fillId="0" borderId="9" xfId="0" applyNumberFormat="1" applyFont="1" applyBorder="1" applyAlignment="1"/>
    <xf numFmtId="173" fontId="7" fillId="4" borderId="13" xfId="8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10" fillId="6" borderId="19" xfId="0" applyFont="1" applyFill="1" applyBorder="1" applyProtection="1"/>
    <xf numFmtId="173" fontId="7" fillId="8" borderId="13" xfId="0" applyNumberFormat="1" applyFont="1" applyFill="1" applyBorder="1" applyAlignment="1" applyProtection="1">
      <alignment horizontal="right"/>
    </xf>
    <xf numFmtId="0" fontId="7" fillId="0" borderId="19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7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8" applyNumberFormat="1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8" applyNumberFormat="1" applyFont="1" applyFill="1" applyBorder="1" applyAlignment="1"/>
    <xf numFmtId="165" fontId="8" fillId="3" borderId="7" xfId="8" applyNumberFormat="1" applyFont="1" applyFill="1" applyBorder="1"/>
    <xf numFmtId="165" fontId="8" fillId="3" borderId="10" xfId="8" applyNumberFormat="1" applyFont="1" applyFill="1" applyBorder="1"/>
    <xf numFmtId="0" fontId="7" fillId="4" borderId="23" xfId="0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4" fontId="7" fillId="0" borderId="1" xfId="0" applyNumberFormat="1" applyFont="1" applyBorder="1"/>
    <xf numFmtId="174" fontId="7" fillId="0" borderId="2" xfId="0" applyNumberFormat="1" applyFont="1" applyBorder="1"/>
    <xf numFmtId="174" fontId="7" fillId="0" borderId="3" xfId="0" applyNumberFormat="1" applyFont="1" applyBorder="1"/>
    <xf numFmtId="174" fontId="7" fillId="0" borderId="14" xfId="0" applyNumberFormat="1" applyFont="1" applyBorder="1"/>
    <xf numFmtId="174" fontId="7" fillId="0" borderId="4" xfId="0" applyNumberFormat="1" applyFont="1" applyBorder="1"/>
    <xf numFmtId="174" fontId="7" fillId="0" borderId="5" xfId="0" applyNumberFormat="1" applyFont="1" applyBorder="1"/>
    <xf numFmtId="174" fontId="7" fillId="0" borderId="8" xfId="0" applyNumberFormat="1" applyFont="1" applyBorder="1"/>
    <xf numFmtId="174" fontId="7" fillId="0" borderId="0" xfId="0" applyNumberFormat="1" applyFont="1" applyBorder="1"/>
    <xf numFmtId="174" fontId="7" fillId="0" borderId="9" xfId="0" applyNumberFormat="1" applyFont="1" applyBorder="1"/>
    <xf numFmtId="174" fontId="7" fillId="0" borderId="6" xfId="0" applyNumberFormat="1" applyFont="1" applyBorder="1"/>
    <xf numFmtId="174" fontId="7" fillId="0" borderId="7" xfId="0" applyNumberFormat="1" applyFont="1" applyBorder="1"/>
    <xf numFmtId="174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5" fillId="0" borderId="0" xfId="0" applyFont="1"/>
    <xf numFmtId="0" fontId="7" fillId="9" borderId="8" xfId="0" applyFont="1" applyFill="1" applyBorder="1" applyAlignment="1"/>
    <xf numFmtId="173" fontId="7" fillId="9" borderId="0" xfId="0" applyNumberFormat="1" applyFont="1" applyFill="1" applyBorder="1" applyAlignment="1"/>
    <xf numFmtId="173" fontId="7" fillId="9" borderId="9" xfId="0" applyNumberFormat="1" applyFont="1" applyFill="1" applyBorder="1" applyAlignment="1"/>
    <xf numFmtId="165" fontId="7" fillId="9" borderId="8" xfId="0" applyNumberFormat="1" applyFont="1" applyFill="1" applyBorder="1" applyAlignment="1"/>
    <xf numFmtId="165" fontId="7" fillId="9" borderId="0" xfId="8" applyNumberFormat="1" applyFont="1" applyFill="1" applyBorder="1"/>
    <xf numFmtId="165" fontId="7" fillId="9" borderId="9" xfId="0" applyNumberFormat="1" applyFont="1" applyFill="1" applyBorder="1"/>
    <xf numFmtId="165" fontId="7" fillId="9" borderId="8" xfId="8" applyNumberFormat="1" applyFont="1" applyFill="1" applyBorder="1" applyAlignment="1"/>
    <xf numFmtId="0" fontId="7" fillId="9" borderId="14" xfId="0" applyFont="1" applyFill="1" applyBorder="1" applyAlignment="1"/>
    <xf numFmtId="173" fontId="7" fillId="9" borderId="4" xfId="0" applyNumberFormat="1" applyFont="1" applyFill="1" applyBorder="1" applyAlignment="1"/>
    <xf numFmtId="173" fontId="7" fillId="9" borderId="5" xfId="0" applyNumberFormat="1" applyFont="1" applyFill="1" applyBorder="1" applyAlignment="1"/>
    <xf numFmtId="165" fontId="7" fillId="9" borderId="14" xfId="0" applyNumberFormat="1" applyFont="1" applyFill="1" applyBorder="1" applyAlignment="1"/>
    <xf numFmtId="165" fontId="7" fillId="9" borderId="4" xfId="8" applyNumberFormat="1" applyFont="1" applyFill="1" applyBorder="1"/>
    <xf numFmtId="165" fontId="7" fillId="9" borderId="5" xfId="0" applyNumberFormat="1" applyFont="1" applyFill="1" applyBorder="1"/>
    <xf numFmtId="0" fontId="7" fillId="9" borderId="0" xfId="0" applyFont="1" applyFill="1"/>
    <xf numFmtId="0" fontId="7" fillId="9" borderId="0" xfId="0" applyFont="1" applyFill="1" applyBorder="1"/>
    <xf numFmtId="165" fontId="7" fillId="9" borderId="0" xfId="0" applyNumberFormat="1" applyFont="1" applyFill="1" applyBorder="1"/>
    <xf numFmtId="0" fontId="7" fillId="9" borderId="0" xfId="0" applyNumberFormat="1" applyFont="1" applyFill="1" applyBorder="1"/>
    <xf numFmtId="0" fontId="7" fillId="0" borderId="0" xfId="0" applyNumberFormat="1" applyFont="1" applyBorder="1"/>
    <xf numFmtId="165" fontId="7" fillId="0" borderId="0" xfId="8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9" borderId="0" xfId="0" quotePrefix="1" applyFont="1" applyFill="1" applyBorder="1"/>
    <xf numFmtId="0" fontId="15" fillId="0" borderId="14" xfId="0" applyFont="1" applyBorder="1" applyAlignment="1">
      <alignment horizontal="center"/>
    </xf>
    <xf numFmtId="165" fontId="7" fillId="0" borderId="4" xfId="0" applyNumberFormat="1" applyFont="1" applyBorder="1"/>
    <xf numFmtId="0" fontId="7" fillId="0" borderId="8" xfId="0" applyFont="1" applyBorder="1" applyAlignment="1">
      <alignment horizontal="center"/>
    </xf>
    <xf numFmtId="0" fontId="7" fillId="0" borderId="11" xfId="0" applyFont="1" applyBorder="1"/>
    <xf numFmtId="0" fontId="7" fillId="0" borderId="6" xfId="0" applyFont="1" applyFill="1" applyBorder="1" applyAlignment="1">
      <alignment horizontal="right"/>
    </xf>
    <xf numFmtId="0" fontId="8" fillId="0" borderId="0" xfId="0" applyNumberFormat="1" applyFont="1" applyBorder="1"/>
    <xf numFmtId="2" fontId="7" fillId="9" borderId="0" xfId="0" applyNumberFormat="1" applyFont="1" applyFill="1"/>
    <xf numFmtId="0" fontId="7" fillId="4" borderId="19" xfId="4" applyFont="1" applyFill="1" applyBorder="1" applyAlignment="1">
      <alignment horizontal="center"/>
    </xf>
    <xf numFmtId="169" fontId="7" fillId="4" borderId="19" xfId="4" applyNumberFormat="1" applyFont="1" applyFill="1" applyBorder="1" applyAlignment="1">
      <alignment horizontal="center"/>
    </xf>
    <xf numFmtId="167" fontId="7" fillId="4" borderId="19" xfId="8" applyNumberFormat="1" applyFont="1" applyFill="1" applyBorder="1" applyAlignment="1">
      <alignment horizontal="center"/>
    </xf>
    <xf numFmtId="1" fontId="7" fillId="4" borderId="19" xfId="4" applyNumberFormat="1" applyFont="1" applyFill="1" applyBorder="1" applyAlignment="1">
      <alignment horizontal="center"/>
    </xf>
    <xf numFmtId="173" fontId="7" fillId="4" borderId="19" xfId="8" applyNumberFormat="1" applyFont="1" applyFill="1" applyBorder="1" applyAlignment="1">
      <alignment horizontal="center"/>
    </xf>
    <xf numFmtId="0" fontId="13" fillId="10" borderId="11" xfId="5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</cellXfs>
  <cellStyles count="12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_TestSyntDisc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27872"/>
        <c:axId val="85329792"/>
      </c:scatterChart>
      <c:valAx>
        <c:axId val="8532787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329792"/>
        <c:crosses val="autoZero"/>
        <c:crossBetween val="midCat"/>
      </c:valAx>
      <c:valAx>
        <c:axId val="8532979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327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51040"/>
        <c:axId val="85385984"/>
      </c:scatterChart>
      <c:valAx>
        <c:axId val="8535104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385984"/>
        <c:crosses val="autoZero"/>
        <c:crossBetween val="midCat"/>
      </c:valAx>
      <c:valAx>
        <c:axId val="8538598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351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2</xdr:col>
          <xdr:colOff>1371600</xdr:colOff>
          <xdr:row>19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2</xdr:col>
          <xdr:colOff>1381125</xdr:colOff>
          <xdr:row>22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14</xdr:row>
      <xdr:rowOff>0</xdr:rowOff>
    </xdr:from>
    <xdr:to>
      <xdr:col>9</xdr:col>
      <xdr:colOff>0</xdr:colOff>
      <xdr:row>14</xdr:row>
      <xdr:rowOff>0</xdr:rowOff>
    </xdr:to>
    <xdr:graphicFrame macro="">
      <xdr:nvGraphicFramePr>
        <xdr:cNvPr id="717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20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194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TurnOfYear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  <sheetName val="Optimize1M"/>
      <sheetName val="Optimize3M"/>
      <sheetName val="Optimize6M"/>
      <sheetName val="Interpolated6M"/>
    </sheetNames>
    <sheetDataSet>
      <sheetData sheetId="0"/>
      <sheetData sheetId="1"/>
      <sheetData sheetId="2"/>
      <sheetData sheetId="3">
        <row r="23">
          <cell r="C23" t="str">
            <v>GBP_YC3MRH_3MD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5"/>
  <sheetViews>
    <sheetView tabSelected="1" workbookViewId="0"/>
  </sheetViews>
  <sheetFormatPr defaultColWidth="10.6640625" defaultRowHeight="11.25" x14ac:dyDescent="0.2"/>
  <cols>
    <col min="1" max="1" width="3.5" style="93" customWidth="1"/>
    <col min="2" max="2" width="6" style="93" customWidth="1"/>
    <col min="3" max="3" width="24.33203125" style="93" customWidth="1"/>
    <col min="4" max="4" width="28.6640625" style="93" bestFit="1" customWidth="1"/>
    <col min="5" max="5" width="32.33203125" style="93" bestFit="1" customWidth="1"/>
    <col min="6" max="6" width="6.33203125" style="93" customWidth="1"/>
    <col min="7" max="16384" width="10.6640625" style="93"/>
  </cols>
  <sheetData>
    <row r="1" spans="1:36" s="87" customFormat="1" x14ac:dyDescent="0.2">
      <c r="B1" s="87" t="str">
        <f>_xll.qlxlVersion(TRUE,EvaluationDate)</f>
        <v>QuantLibXL 1.4.0 - MS VC++ 9.0 - Multithreaded Dynamic Runtime library - Release Configuration - Feb  7 2014 15:33:58</v>
      </c>
    </row>
    <row r="2" spans="1:36" s="87" customFormat="1" ht="18.75" x14ac:dyDescent="0.2">
      <c r="B2" s="197" t="s">
        <v>62</v>
      </c>
      <c r="C2" s="198"/>
      <c r="D2" s="198"/>
      <c r="E2" s="198"/>
      <c r="F2" s="199"/>
    </row>
    <row r="3" spans="1:36" s="89" customFormat="1" x14ac:dyDescent="0.2">
      <c r="A3" s="87"/>
      <c r="B3" s="88"/>
      <c r="C3" s="76"/>
      <c r="D3" s="76"/>
      <c r="E3" s="76"/>
      <c r="F3" s="7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</row>
    <row r="4" spans="1:36" s="89" customFormat="1" x14ac:dyDescent="0.2">
      <c r="A4" s="87"/>
      <c r="B4" s="88"/>
      <c r="C4" s="99" t="s">
        <v>2</v>
      </c>
      <c r="D4" s="192" t="s">
        <v>81</v>
      </c>
      <c r="E4" s="76"/>
      <c r="F4" s="7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</row>
    <row r="5" spans="1:36" s="78" customFormat="1" x14ac:dyDescent="0.2">
      <c r="A5" s="87"/>
      <c r="B5" s="88"/>
      <c r="C5" s="99" t="s">
        <v>32</v>
      </c>
      <c r="D5" s="193" t="s">
        <v>80</v>
      </c>
      <c r="E5" s="76"/>
      <c r="F5" s="7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</row>
    <row r="6" spans="1:36" s="78" customFormat="1" x14ac:dyDescent="0.2">
      <c r="A6" s="87"/>
      <c r="B6" s="88"/>
      <c r="C6" s="99" t="s">
        <v>56</v>
      </c>
      <c r="D6" s="193" t="str">
        <f>IF(UPPER(Currency)&lt;&gt;"EUR","L","")&amp;"ibor"</f>
        <v>Libor</v>
      </c>
      <c r="E6" s="76"/>
      <c r="F6" s="7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</row>
    <row r="7" spans="1:36" s="89" customFormat="1" x14ac:dyDescent="0.2">
      <c r="A7" s="87"/>
      <c r="B7" s="88"/>
      <c r="C7" s="99" t="s">
        <v>54</v>
      </c>
      <c r="D7" s="194" t="s">
        <v>82</v>
      </c>
      <c r="E7" s="76"/>
      <c r="F7" s="7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</row>
    <row r="8" spans="1:36" s="89" customFormat="1" x14ac:dyDescent="0.2">
      <c r="A8" s="87"/>
      <c r="B8" s="88"/>
      <c r="C8" s="99" t="s">
        <v>3</v>
      </c>
      <c r="D8" s="195">
        <f>_xll.ohTrigger(Optimize1M!I3,Optimize3M!I3,Optimize6M!I3,Optimize1Y!I3)</f>
        <v>0</v>
      </c>
      <c r="E8" s="76"/>
      <c r="F8" s="7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</row>
    <row r="9" spans="1:36" s="89" customFormat="1" x14ac:dyDescent="0.2">
      <c r="A9" s="87"/>
      <c r="B9" s="88"/>
      <c r="C9" s="99" t="s">
        <v>84</v>
      </c>
      <c r="D9" s="193" t="s">
        <v>83</v>
      </c>
      <c r="E9" s="76"/>
      <c r="F9" s="7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</row>
    <row r="10" spans="1:36" s="89" customFormat="1" x14ac:dyDescent="0.2">
      <c r="A10" s="87"/>
      <c r="B10" s="88"/>
      <c r="C10" s="99" t="s">
        <v>35</v>
      </c>
      <c r="D10" s="196" t="e">
        <f>_xll.qlRateHelperEarliestDate('[1]3M'!C23,EvaluationDate)</f>
        <v>#NUM!</v>
      </c>
      <c r="E10" s="76"/>
      <c r="F10" s="7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</row>
    <row r="11" spans="1:36" s="89" customFormat="1" x14ac:dyDescent="0.2">
      <c r="A11" s="87"/>
      <c r="B11" s="88"/>
      <c r="C11" s="99" t="s">
        <v>86</v>
      </c>
      <c r="D11" s="196">
        <f>_xll.qlCalendarAdjust(Calendar,DATE(YEAR(SettlementDate),12,31),"Preceding")</f>
        <v>42004</v>
      </c>
      <c r="E11" s="76"/>
      <c r="F11" s="7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</row>
    <row r="12" spans="1:36" s="89" customFormat="1" x14ac:dyDescent="0.2">
      <c r="A12" s="87"/>
      <c r="B12" s="88"/>
      <c r="C12" s="99" t="s">
        <v>85</v>
      </c>
      <c r="D12" s="196">
        <f>_xll.qlCalendarAdjust(Calendar,DATE(YEAR(SettlementDate)+1,12,31),"Preceding")</f>
        <v>42369</v>
      </c>
      <c r="E12" s="76"/>
      <c r="F12" s="7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</row>
    <row r="13" spans="1:36" s="89" customFormat="1" x14ac:dyDescent="0.2">
      <c r="A13" s="87"/>
      <c r="B13" s="88"/>
      <c r="C13" s="76"/>
      <c r="D13" s="79"/>
      <c r="E13" s="76"/>
      <c r="F13" s="7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6" s="89" customFormat="1" x14ac:dyDescent="0.2">
      <c r="A14" s="87"/>
      <c r="B14" s="88"/>
      <c r="C14" s="99" t="s">
        <v>35</v>
      </c>
      <c r="D14" s="111">
        <f>_xll.qlCalendarAdvance(Calendar,EvaluationDate,"2D","f")</f>
        <v>41661</v>
      </c>
      <c r="E14" s="76"/>
      <c r="F14" s="7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</row>
    <row r="15" spans="1:36" s="89" customFormat="1" x14ac:dyDescent="0.2">
      <c r="A15" s="87"/>
      <c r="B15" s="88"/>
      <c r="C15" s="99" t="s">
        <v>61</v>
      </c>
      <c r="D15" s="100" t="str">
        <f>Currency&amp;IborType&amp;"YCON"</f>
        <v>GBPLiborYCON</v>
      </c>
      <c r="E15" s="76"/>
      <c r="F15" s="7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</row>
    <row r="16" spans="1:36" s="89" customFormat="1" x14ac:dyDescent="0.2">
      <c r="A16" s="87"/>
      <c r="B16" s="88"/>
      <c r="C16" s="99" t="s">
        <v>55</v>
      </c>
      <c r="D16" s="100" t="str">
        <f>_xll.qlDiscountingSwapEngine(,OisCurve,,,,,EvaluationDate)</f>
        <v>obj_00504#0003</v>
      </c>
      <c r="E16" s="76"/>
      <c r="F16" s="7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</row>
    <row r="17" spans="1:36" s="89" customFormat="1" x14ac:dyDescent="0.2">
      <c r="A17" s="87"/>
      <c r="B17" s="88"/>
      <c r="C17" s="76"/>
      <c r="D17" s="76"/>
      <c r="E17" s="76"/>
      <c r="F17" s="7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</row>
    <row r="18" spans="1:36" s="89" customFormat="1" x14ac:dyDescent="0.2">
      <c r="A18" s="87"/>
      <c r="B18" s="88"/>
      <c r="C18" s="80"/>
      <c r="D18" s="80"/>
      <c r="E18" s="80"/>
      <c r="F18" s="7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</row>
    <row r="19" spans="1:36" s="89" customFormat="1" x14ac:dyDescent="0.2">
      <c r="A19" s="87"/>
      <c r="B19" s="88"/>
      <c r="C19" s="80"/>
      <c r="D19" s="81" t="s">
        <v>4</v>
      </c>
      <c r="E19" s="82">
        <v>41659.752453703702</v>
      </c>
      <c r="F19" s="7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</row>
    <row r="20" spans="1:36" s="87" customFormat="1" x14ac:dyDescent="0.2">
      <c r="B20" s="88"/>
      <c r="C20" s="80"/>
      <c r="D20" s="90"/>
      <c r="E20" s="91"/>
      <c r="F20" s="77"/>
    </row>
    <row r="21" spans="1:36" s="87" customFormat="1" x14ac:dyDescent="0.2">
      <c r="B21" s="88"/>
      <c r="C21" s="80"/>
      <c r="D21" s="81"/>
      <c r="E21" s="91"/>
      <c r="F21" s="77"/>
    </row>
    <row r="22" spans="1:36" s="87" customFormat="1" x14ac:dyDescent="0.2">
      <c r="B22" s="88"/>
      <c r="C22" s="80"/>
      <c r="D22" s="81" t="s">
        <v>5</v>
      </c>
      <c r="E22" s="83" t="b">
        <v>0</v>
      </c>
      <c r="F22" s="77"/>
    </row>
    <row r="23" spans="1:36" s="87" customFormat="1" x14ac:dyDescent="0.2">
      <c r="B23" s="92"/>
      <c r="C23" s="84"/>
      <c r="D23" s="84"/>
      <c r="E23" s="84"/>
      <c r="F23" s="85"/>
    </row>
    <row r="24" spans="1:36" s="87" customFormat="1" x14ac:dyDescent="0.2">
      <c r="C24" s="86"/>
      <c r="D24" s="86"/>
      <c r="E24" s="86"/>
      <c r="F24" s="86"/>
    </row>
    <row r="25" spans="1:36" s="87" customFormat="1" x14ac:dyDescent="0.2">
      <c r="C25" s="86"/>
      <c r="D25" s="86"/>
      <c r="E25" s="86"/>
      <c r="F25" s="86"/>
    </row>
    <row r="26" spans="1:36" s="87" customFormat="1" x14ac:dyDescent="0.2">
      <c r="C26" s="86"/>
      <c r="D26" s="86"/>
      <c r="E26" s="86"/>
      <c r="F26" s="86"/>
    </row>
    <row r="27" spans="1:36" s="87" customFormat="1" x14ac:dyDescent="0.2">
      <c r="E27" s="86"/>
      <c r="F27" s="86"/>
    </row>
    <row r="28" spans="1:36" s="87" customFormat="1" x14ac:dyDescent="0.2">
      <c r="E28" s="86"/>
      <c r="F28" s="86"/>
    </row>
    <row r="29" spans="1:36" s="87" customFormat="1" x14ac:dyDescent="0.2">
      <c r="E29" s="86"/>
      <c r="F29" s="86"/>
    </row>
    <row r="30" spans="1:36" s="87" customFormat="1" x14ac:dyDescent="0.2"/>
    <row r="31" spans="1:36" s="87" customFormat="1" x14ac:dyDescent="0.2"/>
    <row r="32" spans="1:36" s="87" customFormat="1" x14ac:dyDescent="0.2"/>
    <row r="33" s="87" customFormat="1" x14ac:dyDescent="0.2"/>
    <row r="34" s="87" customFormat="1" x14ac:dyDescent="0.2"/>
    <row r="35" s="87" customFormat="1" x14ac:dyDescent="0.2"/>
    <row r="36" s="87" customFormat="1" x14ac:dyDescent="0.2"/>
    <row r="37" s="87" customFormat="1" x14ac:dyDescent="0.2"/>
    <row r="38" s="87" customFormat="1" x14ac:dyDescent="0.2"/>
    <row r="39" s="87" customFormat="1" x14ac:dyDescent="0.2"/>
    <row r="40" s="87" customFormat="1" x14ac:dyDescent="0.2"/>
    <row r="41" s="87" customFormat="1" x14ac:dyDescent="0.2"/>
    <row r="42" s="87" customFormat="1" x14ac:dyDescent="0.2"/>
    <row r="43" s="87" customFormat="1" x14ac:dyDescent="0.2"/>
    <row r="44" s="87" customFormat="1" x14ac:dyDescent="0.2"/>
    <row r="45" s="87" customFormat="1" x14ac:dyDescent="0.2"/>
    <row r="46" s="87" customFormat="1" x14ac:dyDescent="0.2"/>
    <row r="47" s="87" customFormat="1" x14ac:dyDescent="0.2"/>
    <row r="48" s="87" customFormat="1" x14ac:dyDescent="0.2"/>
    <row r="49" spans="2:6" s="87" customFormat="1" x14ac:dyDescent="0.2"/>
    <row r="50" spans="2:6" s="87" customFormat="1" x14ac:dyDescent="0.2"/>
    <row r="51" spans="2:6" s="87" customFormat="1" x14ac:dyDescent="0.2"/>
    <row r="52" spans="2:6" x14ac:dyDescent="0.2">
      <c r="B52" s="87"/>
      <c r="C52" s="87"/>
      <c r="D52" s="87"/>
      <c r="E52" s="87"/>
      <c r="F52" s="87"/>
    </row>
    <row r="53" spans="2:6" x14ac:dyDescent="0.2">
      <c r="B53" s="87"/>
      <c r="C53" s="87"/>
      <c r="D53" s="87"/>
      <c r="E53" s="87"/>
      <c r="F53" s="87"/>
    </row>
    <row r="54" spans="2:6" x14ac:dyDescent="0.2">
      <c r="B54" s="87"/>
      <c r="C54" s="87"/>
      <c r="D54" s="87"/>
      <c r="E54" s="87"/>
      <c r="F54" s="87"/>
    </row>
    <row r="55" spans="2:6" x14ac:dyDescent="0.2">
      <c r="B55" s="87"/>
      <c r="C55" s="87"/>
      <c r="D55" s="87"/>
      <c r="E55" s="87"/>
      <c r="F55" s="87"/>
    </row>
  </sheetData>
  <mergeCells count="1">
    <mergeCell ref="B2:F2"/>
  </mergeCells>
  <phoneticPr fontId="1" type="noConversion"/>
  <conditionalFormatting sqref="E22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2</xdr:col>
                <xdr:colOff>1381125</xdr:colOff>
                <xdr:row>22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2</xdr:col>
                <xdr:colOff>1371600</xdr:colOff>
                <xdr:row>19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>
      <selection activeCell="C2" sqref="C2"/>
    </sheetView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112"/>
      <c r="B1" s="49"/>
      <c r="C1" s="49"/>
      <c r="D1" s="113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</row>
    <row r="2" spans="1:26" x14ac:dyDescent="0.2">
      <c r="A2" s="112"/>
      <c r="B2" s="115" t="s">
        <v>57</v>
      </c>
      <c r="C2" s="116">
        <f>_xll.qlSettingsEvaluationDate()</f>
        <v>41659</v>
      </c>
      <c r="D2" s="113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</row>
    <row r="3" spans="1:26" x14ac:dyDescent="0.2">
      <c r="A3" s="112"/>
      <c r="B3" s="49"/>
      <c r="C3" s="49"/>
      <c r="D3" s="113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</row>
    <row r="4" spans="1:26" x14ac:dyDescent="0.2">
      <c r="A4" s="112"/>
      <c r="B4" s="115" t="s">
        <v>58</v>
      </c>
      <c r="C4" s="117" t="s">
        <v>79</v>
      </c>
      <c r="D4" s="113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</row>
    <row r="5" spans="1:26" x14ac:dyDescent="0.2">
      <c r="A5" s="112"/>
      <c r="B5" s="115" t="s">
        <v>63</v>
      </c>
      <c r="C5" s="117" t="s">
        <v>79</v>
      </c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</row>
    <row r="6" spans="1:26" x14ac:dyDescent="0.2">
      <c r="A6" s="118"/>
      <c r="B6" s="119"/>
      <c r="C6" s="119"/>
      <c r="D6" s="120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</row>
    <row r="7" spans="1:26" x14ac:dyDescent="0.2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</row>
    <row r="8" spans="1:26" x14ac:dyDescent="0.2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</row>
    <row r="9" spans="1:26" x14ac:dyDescent="0.2">
      <c r="A9" s="114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</row>
    <row r="10" spans="1:26" x14ac:dyDescent="0.2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</row>
    <row r="11" spans="1:26" x14ac:dyDescent="0.2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</row>
    <row r="12" spans="1:26" x14ac:dyDescent="0.2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</row>
    <row r="13" spans="1:26" x14ac:dyDescent="0.2">
      <c r="A13" s="114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</row>
    <row r="14" spans="1:26" x14ac:dyDescent="0.2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</row>
    <row r="15" spans="1:26" x14ac:dyDescent="0.2">
      <c r="A15" s="114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</row>
    <row r="16" spans="1:26" x14ac:dyDescent="0.2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</row>
    <row r="17" spans="1:26" x14ac:dyDescent="0.2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</row>
    <row r="18" spans="1:26" x14ac:dyDescent="0.2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</row>
    <row r="19" spans="1:26" x14ac:dyDescent="0.2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</row>
    <row r="20" spans="1:26" x14ac:dyDescent="0.2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</row>
    <row r="21" spans="1:26" x14ac:dyDescent="0.2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</row>
    <row r="22" spans="1:26" x14ac:dyDescent="0.2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</row>
    <row r="23" spans="1:26" x14ac:dyDescent="0.2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</row>
    <row r="24" spans="1:26" x14ac:dyDescent="0.2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</row>
    <row r="25" spans="1:26" x14ac:dyDescent="0.2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</row>
    <row r="26" spans="1:26" x14ac:dyDescent="0.2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</row>
    <row r="27" spans="1:26" x14ac:dyDescent="0.2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</row>
    <row r="28" spans="1:26" x14ac:dyDescent="0.2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</row>
    <row r="29" spans="1:26" x14ac:dyDescent="0.2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</row>
    <row r="30" spans="1:26" x14ac:dyDescent="0.2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</row>
    <row r="31" spans="1:26" x14ac:dyDescent="0.2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</row>
    <row r="32" spans="1:26" x14ac:dyDescent="0.2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</row>
    <row r="33" spans="1:26" x14ac:dyDescent="0.2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</row>
    <row r="34" spans="1:26" x14ac:dyDescent="0.2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</row>
    <row r="35" spans="1:26" x14ac:dyDescent="0.2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</row>
    <row r="36" spans="1:26" x14ac:dyDescent="0.2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</row>
    <row r="37" spans="1:26" x14ac:dyDescent="0.2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</row>
    <row r="38" spans="1:26" x14ac:dyDescent="0.2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</row>
    <row r="39" spans="1:26" x14ac:dyDescent="0.2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</row>
    <row r="40" spans="1:26" x14ac:dyDescent="0.2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</row>
    <row r="41" spans="1:26" x14ac:dyDescent="0.2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</row>
    <row r="42" spans="1:26" x14ac:dyDescent="0.2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</row>
    <row r="43" spans="1:26" x14ac:dyDescent="0.2">
      <c r="A43" s="114"/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</row>
    <row r="44" spans="1:26" x14ac:dyDescent="0.2">
      <c r="A44" s="114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26" x14ac:dyDescent="0.2">
      <c r="A45" s="114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</row>
    <row r="46" spans="1:26" x14ac:dyDescent="0.2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</row>
    <row r="47" spans="1:26" x14ac:dyDescent="0.2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</row>
    <row r="48" spans="1:26" x14ac:dyDescent="0.2">
      <c r="A48" s="114"/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</row>
    <row r="49" spans="1:26" x14ac:dyDescent="0.2">
      <c r="A49" s="114"/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</row>
    <row r="50" spans="1:26" x14ac:dyDescent="0.2">
      <c r="A50" s="114"/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</row>
    <row r="51" spans="1:26" x14ac:dyDescent="0.2">
      <c r="A51" s="114"/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</row>
    <row r="52" spans="1:26" x14ac:dyDescent="0.2">
      <c r="A52" s="114"/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</row>
    <row r="53" spans="1:26" x14ac:dyDescent="0.2">
      <c r="A53" s="114"/>
      <c r="B53" s="114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</row>
    <row r="54" spans="1:26" x14ac:dyDescent="0.2">
      <c r="A54" s="114"/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</row>
    <row r="55" spans="1:26" x14ac:dyDescent="0.2">
      <c r="A55" s="114"/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</row>
    <row r="56" spans="1:26" x14ac:dyDescent="0.2">
      <c r="A56" s="114"/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</row>
    <row r="57" spans="1:26" x14ac:dyDescent="0.2">
      <c r="A57" s="114"/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</row>
    <row r="58" spans="1:26" x14ac:dyDescent="0.2">
      <c r="A58" s="114"/>
      <c r="B58" s="114"/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</row>
    <row r="59" spans="1:26" x14ac:dyDescent="0.2">
      <c r="A59" s="114"/>
      <c r="B59" s="114"/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</row>
    <row r="60" spans="1:26" x14ac:dyDescent="0.2">
      <c r="A60" s="114"/>
      <c r="B60" s="114"/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</row>
    <row r="61" spans="1:26" x14ac:dyDescent="0.2">
      <c r="A61" s="114"/>
      <c r="B61" s="114"/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</row>
    <row r="62" spans="1:26" x14ac:dyDescent="0.2">
      <c r="A62" s="114"/>
      <c r="B62" s="1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</row>
    <row r="63" spans="1:26" x14ac:dyDescent="0.2">
      <c r="A63" s="114"/>
      <c r="B63" s="114"/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</row>
    <row r="64" spans="1:26" x14ac:dyDescent="0.2">
      <c r="A64" s="114"/>
      <c r="B64" s="114"/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</row>
    <row r="65" spans="1:26" x14ac:dyDescent="0.2">
      <c r="A65" s="114"/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</row>
    <row r="66" spans="1:26" x14ac:dyDescent="0.2">
      <c r="A66" s="114"/>
      <c r="B66" s="114"/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</row>
    <row r="67" spans="1:26" x14ac:dyDescent="0.2">
      <c r="A67" s="114"/>
      <c r="B67" s="114"/>
      <c r="C67" s="114"/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</row>
    <row r="68" spans="1:26" x14ac:dyDescent="0.2">
      <c r="A68" s="114"/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</row>
    <row r="69" spans="1:26" x14ac:dyDescent="0.2">
      <c r="A69" s="114"/>
      <c r="B69" s="114"/>
      <c r="C69" s="114"/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</row>
    <row r="70" spans="1:26" x14ac:dyDescent="0.2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</row>
    <row r="71" spans="1:26" x14ac:dyDescent="0.2">
      <c r="A71" s="114"/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</row>
    <row r="72" spans="1:26" x14ac:dyDescent="0.2">
      <c r="A72" s="114"/>
      <c r="B72" s="114"/>
      <c r="C72" s="114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</row>
    <row r="73" spans="1:26" x14ac:dyDescent="0.2">
      <c r="A73" s="114"/>
      <c r="B73" s="114"/>
      <c r="C73" s="114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</row>
    <row r="74" spans="1:26" x14ac:dyDescent="0.2">
      <c r="A74" s="114"/>
      <c r="B74" s="114"/>
      <c r="C74" s="114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</row>
    <row r="75" spans="1:26" x14ac:dyDescent="0.2">
      <c r="A75" s="114"/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</row>
    <row r="76" spans="1:26" x14ac:dyDescent="0.2">
      <c r="A76" s="114"/>
      <c r="B76" s="114"/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</row>
    <row r="77" spans="1:26" x14ac:dyDescent="0.2">
      <c r="A77" s="114"/>
      <c r="B77" s="114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</row>
    <row r="78" spans="1:26" x14ac:dyDescent="0.2">
      <c r="A78" s="114"/>
      <c r="B78" s="114"/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</row>
    <row r="79" spans="1:26" x14ac:dyDescent="0.2">
      <c r="A79" s="114"/>
      <c r="B79" s="114"/>
      <c r="C79" s="114"/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</row>
    <row r="80" spans="1:26" x14ac:dyDescent="0.2">
      <c r="A80" s="114"/>
      <c r="B80" s="114"/>
      <c r="C80" s="114"/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</row>
    <row r="81" spans="1:26" x14ac:dyDescent="0.2">
      <c r="A81" s="114"/>
      <c r="B81" s="114"/>
      <c r="C81" s="114"/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</row>
    <row r="82" spans="1:26" x14ac:dyDescent="0.2">
      <c r="A82" s="114"/>
      <c r="B82" s="114"/>
      <c r="C82" s="114"/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</row>
    <row r="83" spans="1:26" x14ac:dyDescent="0.2">
      <c r="A83" s="114"/>
      <c r="B83" s="114"/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</row>
    <row r="84" spans="1:26" x14ac:dyDescent="0.2">
      <c r="A84" s="114"/>
      <c r="B84" s="114"/>
      <c r="C84" s="114"/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</row>
    <row r="85" spans="1:26" x14ac:dyDescent="0.2">
      <c r="A85" s="114"/>
      <c r="B85" s="114"/>
      <c r="C85" s="114"/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</row>
    <row r="86" spans="1:26" x14ac:dyDescent="0.2">
      <c r="A86" s="114"/>
      <c r="B86" s="114"/>
      <c r="C86" s="114"/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</row>
    <row r="87" spans="1:26" x14ac:dyDescent="0.2">
      <c r="A87" s="114"/>
      <c r="B87" s="114"/>
      <c r="C87" s="114"/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</row>
    <row r="88" spans="1:26" x14ac:dyDescent="0.2">
      <c r="A88" s="114"/>
      <c r="B88" s="114"/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</row>
    <row r="89" spans="1:26" x14ac:dyDescent="0.2">
      <c r="A89" s="114"/>
      <c r="B89" s="114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</row>
    <row r="90" spans="1:26" x14ac:dyDescent="0.2">
      <c r="A90" s="114"/>
      <c r="B90" s="114"/>
      <c r="C90" s="114"/>
      <c r="D90" s="114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</row>
    <row r="91" spans="1:26" x14ac:dyDescent="0.2">
      <c r="A91" s="114"/>
      <c r="B91" s="114"/>
      <c r="C91" s="114"/>
      <c r="D91" s="114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</row>
    <row r="92" spans="1:26" x14ac:dyDescent="0.2">
      <c r="A92" s="114"/>
      <c r="B92" s="114"/>
      <c r="C92" s="114"/>
      <c r="D92" s="114"/>
      <c r="E92" s="114"/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4"/>
      <c r="Y92" s="114"/>
      <c r="Z92" s="114"/>
    </row>
    <row r="93" spans="1:26" x14ac:dyDescent="0.2">
      <c r="A93" s="114"/>
      <c r="B93" s="114"/>
      <c r="C93" s="114"/>
      <c r="D93" s="114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</row>
    <row r="94" spans="1:26" x14ac:dyDescent="0.2">
      <c r="A94" s="114"/>
      <c r="B94" s="114"/>
      <c r="C94" s="114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</row>
    <row r="95" spans="1:26" x14ac:dyDescent="0.2">
      <c r="A95" s="114"/>
      <c r="B95" s="114"/>
      <c r="C95" s="114"/>
      <c r="D95" s="114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  <c r="Y95" s="114"/>
      <c r="Z95" s="114"/>
    </row>
    <row r="96" spans="1:26" x14ac:dyDescent="0.2">
      <c r="A96" s="114"/>
      <c r="B96" s="114"/>
      <c r="C96" s="114"/>
      <c r="D96" s="114"/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</row>
    <row r="97" spans="1:26" x14ac:dyDescent="0.2">
      <c r="A97" s="114"/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</row>
    <row r="98" spans="1:26" x14ac:dyDescent="0.2">
      <c r="A98" s="114"/>
      <c r="B98" s="114"/>
      <c r="C98" s="114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4"/>
      <c r="Z98" s="114"/>
    </row>
    <row r="99" spans="1:26" x14ac:dyDescent="0.2">
      <c r="A99" s="114"/>
      <c r="B99" s="114"/>
      <c r="C99" s="114"/>
      <c r="D99" s="114"/>
      <c r="E99" s="114"/>
      <c r="F99" s="114"/>
      <c r="G99" s="114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</row>
    <row r="100" spans="1:26" x14ac:dyDescent="0.2">
      <c r="A100" s="114"/>
      <c r="B100" s="114"/>
      <c r="C100" s="114"/>
      <c r="D100" s="114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</row>
    <row r="101" spans="1:26" x14ac:dyDescent="0.2">
      <c r="A101" s="114"/>
      <c r="B101" s="114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</row>
    <row r="102" spans="1:26" x14ac:dyDescent="0.2">
      <c r="A102" s="114"/>
      <c r="B102" s="114"/>
      <c r="C102" s="114"/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</row>
    <row r="103" spans="1:26" x14ac:dyDescent="0.2">
      <c r="A103" s="114"/>
      <c r="B103" s="114"/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</row>
    <row r="104" spans="1:26" x14ac:dyDescent="0.2">
      <c r="A104" s="114"/>
      <c r="B104" s="114"/>
      <c r="C104" s="114"/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</row>
    <row r="105" spans="1:26" x14ac:dyDescent="0.2">
      <c r="A105" s="114"/>
      <c r="B105" s="114"/>
      <c r="C105" s="114"/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</row>
    <row r="106" spans="1:26" x14ac:dyDescent="0.2">
      <c r="A106" s="114"/>
      <c r="B106" s="114"/>
      <c r="C106" s="114"/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</row>
    <row r="107" spans="1:26" x14ac:dyDescent="0.2">
      <c r="A107" s="114"/>
      <c r="B107" s="114"/>
      <c r="C107" s="114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</row>
    <row r="108" spans="1:26" x14ac:dyDescent="0.2">
      <c r="A108" s="114"/>
      <c r="B108" s="114"/>
      <c r="C108" s="114"/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</row>
    <row r="109" spans="1:26" x14ac:dyDescent="0.2">
      <c r="A109" s="114"/>
      <c r="B109" s="114"/>
      <c r="C109" s="114"/>
      <c r="D109" s="114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</row>
    <row r="110" spans="1:26" x14ac:dyDescent="0.2">
      <c r="A110" s="114"/>
      <c r="B110" s="114"/>
      <c r="C110" s="114"/>
      <c r="D110" s="114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</row>
    <row r="111" spans="1:26" x14ac:dyDescent="0.2">
      <c r="A111" s="114"/>
      <c r="B111" s="114"/>
      <c r="C111" s="114"/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</row>
    <row r="112" spans="1:26" x14ac:dyDescent="0.2">
      <c r="A112" s="114"/>
      <c r="B112" s="114"/>
      <c r="C112" s="114"/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</row>
    <row r="113" spans="1:26" x14ac:dyDescent="0.2">
      <c r="A113" s="114"/>
      <c r="B113" s="114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</row>
    <row r="114" spans="1:26" x14ac:dyDescent="0.2">
      <c r="A114" s="114"/>
      <c r="B114" s="114"/>
      <c r="C114" s="114"/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</row>
    <row r="115" spans="1:26" x14ac:dyDescent="0.2">
      <c r="A115" s="114"/>
      <c r="B115" s="114"/>
      <c r="C115" s="114"/>
      <c r="D115" s="114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  <c r="Y115" s="114"/>
      <c r="Z115" s="114"/>
    </row>
    <row r="116" spans="1:26" x14ac:dyDescent="0.2">
      <c r="A116" s="114"/>
      <c r="B116" s="114"/>
      <c r="C116" s="114"/>
      <c r="D116" s="114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  <c r="Y116" s="114"/>
      <c r="Z116" s="114"/>
    </row>
    <row r="117" spans="1:26" x14ac:dyDescent="0.2">
      <c r="A117" s="114"/>
      <c r="B117" s="114"/>
      <c r="C117" s="114"/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</row>
    <row r="118" spans="1:26" x14ac:dyDescent="0.2">
      <c r="A118" s="114"/>
      <c r="B118" s="114"/>
      <c r="C118" s="114"/>
      <c r="D118" s="114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  <c r="Y118" s="114"/>
      <c r="Z118" s="114"/>
    </row>
    <row r="119" spans="1:26" x14ac:dyDescent="0.2">
      <c r="A119" s="114"/>
      <c r="B119" s="114"/>
      <c r="C119" s="114"/>
      <c r="D119" s="114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  <c r="Y119" s="114"/>
      <c r="Z119" s="114"/>
    </row>
    <row r="120" spans="1:26" x14ac:dyDescent="0.2">
      <c r="A120" s="114"/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  <c r="Y120" s="114"/>
      <c r="Z120" s="114"/>
    </row>
    <row r="121" spans="1:26" x14ac:dyDescent="0.2">
      <c r="A121" s="114"/>
      <c r="B121" s="114"/>
      <c r="C121" s="114"/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  <c r="Y121" s="114"/>
      <c r="Z121" s="114"/>
    </row>
    <row r="122" spans="1:26" x14ac:dyDescent="0.2">
      <c r="A122" s="114"/>
      <c r="B122" s="114"/>
      <c r="C122" s="114"/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  <c r="Y122" s="114"/>
      <c r="Z122" s="114"/>
    </row>
    <row r="123" spans="1:26" x14ac:dyDescent="0.2">
      <c r="A123" s="114"/>
      <c r="B123" s="114"/>
      <c r="C123" s="114"/>
      <c r="D123" s="114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</row>
    <row r="124" spans="1:26" x14ac:dyDescent="0.2">
      <c r="A124" s="114"/>
      <c r="B124" s="114"/>
      <c r="C124" s="114"/>
      <c r="D124" s="114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  <c r="Y124" s="114"/>
      <c r="Z124" s="114"/>
    </row>
    <row r="125" spans="1:26" x14ac:dyDescent="0.2">
      <c r="A125" s="114"/>
      <c r="B125" s="11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</row>
    <row r="126" spans="1:26" x14ac:dyDescent="0.2">
      <c r="A126" s="114"/>
      <c r="B126" s="114"/>
      <c r="C126" s="114"/>
      <c r="D126" s="114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</row>
    <row r="127" spans="1:26" x14ac:dyDescent="0.2">
      <c r="A127" s="114"/>
      <c r="B127" s="114"/>
      <c r="C127" s="114"/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</row>
    <row r="128" spans="1:26" x14ac:dyDescent="0.2">
      <c r="A128" s="114"/>
      <c r="B128" s="114"/>
      <c r="C128" s="114"/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</row>
    <row r="129" spans="1:26" x14ac:dyDescent="0.2">
      <c r="A129" s="114"/>
      <c r="B129" s="114"/>
      <c r="C129" s="114"/>
      <c r="D129" s="114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</row>
    <row r="130" spans="1:26" x14ac:dyDescent="0.2">
      <c r="A130" s="114"/>
      <c r="B130" s="114"/>
      <c r="C130" s="114"/>
      <c r="D130" s="114"/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4"/>
      <c r="Y130" s="114"/>
      <c r="Z130" s="114"/>
    </row>
    <row r="131" spans="1:26" x14ac:dyDescent="0.2">
      <c r="A131" s="114"/>
      <c r="B131" s="114"/>
      <c r="C131" s="114"/>
      <c r="D131" s="114"/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  <c r="R131" s="114"/>
      <c r="S131" s="114"/>
      <c r="T131" s="114"/>
      <c r="U131" s="114"/>
      <c r="V131" s="114"/>
      <c r="W131" s="114"/>
      <c r="X131" s="114"/>
      <c r="Y131" s="114"/>
      <c r="Z131" s="114"/>
    </row>
    <row r="132" spans="1:26" x14ac:dyDescent="0.2">
      <c r="A132" s="114"/>
      <c r="B132" s="114"/>
      <c r="C132" s="114"/>
      <c r="D132" s="114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</row>
    <row r="133" spans="1:26" x14ac:dyDescent="0.2">
      <c r="A133" s="114"/>
      <c r="B133" s="114"/>
      <c r="C133" s="114"/>
      <c r="D133" s="114"/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4"/>
      <c r="Y133" s="114"/>
      <c r="Z133" s="114"/>
    </row>
    <row r="134" spans="1:26" x14ac:dyDescent="0.2">
      <c r="A134" s="114"/>
      <c r="B134" s="114"/>
      <c r="C134" s="114"/>
      <c r="D134" s="114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4"/>
      <c r="Y134" s="114"/>
      <c r="Z134" s="114"/>
    </row>
    <row r="135" spans="1:26" x14ac:dyDescent="0.2">
      <c r="A135" s="114"/>
      <c r="B135" s="114"/>
      <c r="C135" s="114"/>
      <c r="D135" s="114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  <c r="R135" s="114"/>
      <c r="S135" s="114"/>
      <c r="T135" s="114"/>
      <c r="U135" s="114"/>
      <c r="V135" s="114"/>
      <c r="W135" s="114"/>
      <c r="X135" s="114"/>
      <c r="Y135" s="114"/>
      <c r="Z135" s="114"/>
    </row>
    <row r="136" spans="1:26" x14ac:dyDescent="0.2">
      <c r="A136" s="114"/>
      <c r="B136" s="114"/>
      <c r="C136" s="114"/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  <c r="W136" s="114"/>
      <c r="X136" s="114"/>
      <c r="Y136" s="114"/>
      <c r="Z136" s="114"/>
    </row>
    <row r="137" spans="1:26" x14ac:dyDescent="0.2">
      <c r="A137" s="114"/>
      <c r="B137" s="114"/>
      <c r="C137" s="114"/>
      <c r="D137" s="114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4"/>
      <c r="V137" s="114"/>
      <c r="W137" s="114"/>
      <c r="X137" s="114"/>
      <c r="Y137" s="114"/>
      <c r="Z137" s="114"/>
    </row>
    <row r="138" spans="1:26" x14ac:dyDescent="0.2">
      <c r="A138" s="114"/>
      <c r="B138" s="114"/>
      <c r="C138" s="114"/>
      <c r="D138" s="114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  <c r="R138" s="114"/>
      <c r="S138" s="114"/>
      <c r="T138" s="114"/>
      <c r="U138" s="114"/>
      <c r="V138" s="114"/>
      <c r="W138" s="114"/>
      <c r="X138" s="114"/>
      <c r="Y138" s="114"/>
      <c r="Z138" s="114"/>
    </row>
    <row r="139" spans="1:26" x14ac:dyDescent="0.2">
      <c r="A139" s="114"/>
      <c r="B139" s="114"/>
      <c r="C139" s="114"/>
      <c r="D139" s="114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</row>
    <row r="140" spans="1:26" x14ac:dyDescent="0.2">
      <c r="A140" s="114"/>
      <c r="B140" s="114"/>
      <c r="C140" s="114"/>
      <c r="D140" s="114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  <c r="R140" s="114"/>
      <c r="S140" s="114"/>
      <c r="T140" s="114"/>
      <c r="U140" s="114"/>
      <c r="V140" s="114"/>
      <c r="W140" s="114"/>
      <c r="X140" s="114"/>
      <c r="Y140" s="114"/>
      <c r="Z140" s="114"/>
    </row>
    <row r="141" spans="1:26" x14ac:dyDescent="0.2">
      <c r="A141" s="114"/>
      <c r="B141" s="114"/>
      <c r="C141" s="114"/>
      <c r="D141" s="114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4"/>
      <c r="Y141" s="114"/>
      <c r="Z141" s="114"/>
    </row>
    <row r="142" spans="1:26" x14ac:dyDescent="0.2">
      <c r="A142" s="114"/>
      <c r="B142" s="114"/>
      <c r="C142" s="114"/>
      <c r="D142" s="114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  <c r="R142" s="114"/>
      <c r="S142" s="114"/>
      <c r="T142" s="114"/>
      <c r="U142" s="114"/>
      <c r="V142" s="114"/>
      <c r="W142" s="114"/>
      <c r="X142" s="114"/>
      <c r="Y142" s="114"/>
      <c r="Z142" s="114"/>
    </row>
    <row r="143" spans="1:26" x14ac:dyDescent="0.2">
      <c r="A143" s="114"/>
      <c r="B143" s="114"/>
      <c r="C143" s="114"/>
      <c r="D143" s="114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  <c r="R143" s="114"/>
      <c r="S143" s="114"/>
      <c r="T143" s="114"/>
      <c r="U143" s="114"/>
      <c r="V143" s="114"/>
      <c r="W143" s="114"/>
      <c r="X143" s="114"/>
      <c r="Y143" s="114"/>
      <c r="Z143" s="114"/>
    </row>
    <row r="144" spans="1:26" x14ac:dyDescent="0.2">
      <c r="A144" s="114"/>
      <c r="B144" s="114"/>
      <c r="C144" s="114"/>
      <c r="D144" s="114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114"/>
      <c r="P144" s="114"/>
      <c r="Q144" s="114"/>
      <c r="R144" s="114"/>
      <c r="S144" s="114"/>
      <c r="T144" s="114"/>
      <c r="U144" s="114"/>
      <c r="V144" s="114"/>
      <c r="W144" s="114"/>
      <c r="X144" s="114"/>
      <c r="Y144" s="114"/>
      <c r="Z144" s="114"/>
    </row>
    <row r="145" spans="1:26" x14ac:dyDescent="0.2">
      <c r="A145" s="114"/>
      <c r="B145" s="114"/>
      <c r="C145" s="114"/>
      <c r="D145" s="114"/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114"/>
      <c r="P145" s="114"/>
      <c r="Q145" s="114"/>
      <c r="R145" s="114"/>
      <c r="S145" s="114"/>
      <c r="T145" s="114"/>
      <c r="U145" s="114"/>
      <c r="V145" s="114"/>
      <c r="W145" s="114"/>
      <c r="X145" s="114"/>
      <c r="Y145" s="114"/>
      <c r="Z145" s="114"/>
    </row>
    <row r="146" spans="1:26" x14ac:dyDescent="0.2">
      <c r="A146" s="114"/>
      <c r="B146" s="114"/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</row>
    <row r="147" spans="1:26" x14ac:dyDescent="0.2">
      <c r="A147" s="114"/>
      <c r="B147" s="114"/>
      <c r="C147" s="114"/>
      <c r="D147" s="114"/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114"/>
      <c r="P147" s="114"/>
      <c r="Q147" s="114"/>
      <c r="R147" s="114"/>
      <c r="S147" s="114"/>
      <c r="T147" s="114"/>
      <c r="U147" s="114"/>
      <c r="V147" s="114"/>
      <c r="W147" s="114"/>
      <c r="X147" s="114"/>
      <c r="Y147" s="114"/>
      <c r="Z147" s="114"/>
    </row>
    <row r="148" spans="1:26" x14ac:dyDescent="0.2">
      <c r="A148" s="114"/>
      <c r="B148" s="114"/>
      <c r="C148" s="114"/>
      <c r="D148" s="114"/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114"/>
      <c r="P148" s="114"/>
      <c r="Q148" s="114"/>
      <c r="R148" s="114"/>
      <c r="S148" s="114"/>
      <c r="T148" s="114"/>
      <c r="U148" s="114"/>
      <c r="V148" s="114"/>
      <c r="W148" s="114"/>
      <c r="X148" s="114"/>
      <c r="Y148" s="114"/>
      <c r="Z148" s="114"/>
    </row>
    <row r="149" spans="1:26" x14ac:dyDescent="0.2">
      <c r="A149" s="114"/>
      <c r="B149" s="114"/>
      <c r="C149" s="114"/>
      <c r="D149" s="114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</row>
    <row r="150" spans="1:26" x14ac:dyDescent="0.2">
      <c r="A150" s="114"/>
      <c r="B150" s="114"/>
      <c r="C150" s="114"/>
      <c r="D150" s="114"/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</row>
    <row r="151" spans="1:26" x14ac:dyDescent="0.2">
      <c r="A151" s="114"/>
      <c r="B151" s="114"/>
      <c r="C151" s="114"/>
      <c r="D151" s="114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</row>
    <row r="152" spans="1:26" x14ac:dyDescent="0.2">
      <c r="A152" s="114"/>
      <c r="B152" s="114"/>
      <c r="C152" s="114"/>
      <c r="D152" s="114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</row>
    <row r="153" spans="1:26" x14ac:dyDescent="0.2">
      <c r="A153" s="114"/>
      <c r="B153" s="114"/>
      <c r="C153" s="114"/>
      <c r="D153" s="114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</row>
    <row r="154" spans="1:26" x14ac:dyDescent="0.2">
      <c r="A154" s="114"/>
      <c r="B154" s="114"/>
      <c r="C154" s="114"/>
      <c r="D154" s="114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</row>
    <row r="155" spans="1:26" x14ac:dyDescent="0.2">
      <c r="A155" s="114"/>
      <c r="B155" s="114"/>
      <c r="C155" s="114"/>
      <c r="D155" s="114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</row>
    <row r="156" spans="1:26" x14ac:dyDescent="0.2">
      <c r="A156" s="114"/>
      <c r="B156" s="114"/>
      <c r="C156" s="114"/>
      <c r="D156" s="114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</row>
    <row r="157" spans="1:26" x14ac:dyDescent="0.2">
      <c r="A157" s="114"/>
      <c r="B157" s="114"/>
      <c r="C157" s="114"/>
      <c r="D157" s="114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</row>
    <row r="158" spans="1:26" x14ac:dyDescent="0.2">
      <c r="A158" s="114"/>
      <c r="B158" s="114"/>
      <c r="C158" s="114"/>
      <c r="D158" s="114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</row>
    <row r="159" spans="1:26" x14ac:dyDescent="0.2">
      <c r="A159" s="114"/>
      <c r="B159" s="114"/>
      <c r="C159" s="114"/>
      <c r="D159" s="114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</row>
    <row r="160" spans="1:26" x14ac:dyDescent="0.2">
      <c r="A160" s="114"/>
      <c r="B160" s="114"/>
      <c r="C160" s="114"/>
      <c r="D160" s="114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</row>
    <row r="161" spans="1:26" x14ac:dyDescent="0.2">
      <c r="A161" s="114"/>
      <c r="B161" s="114"/>
      <c r="C161" s="114"/>
      <c r="D161" s="114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</row>
    <row r="162" spans="1:26" x14ac:dyDescent="0.2">
      <c r="A162" s="114"/>
      <c r="B162" s="114"/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</row>
    <row r="163" spans="1:26" x14ac:dyDescent="0.2">
      <c r="A163" s="114"/>
      <c r="B163" s="114"/>
      <c r="C163" s="114"/>
      <c r="D163" s="114"/>
      <c r="E163" s="114"/>
      <c r="F163" s="114"/>
      <c r="G163" s="114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</row>
    <row r="164" spans="1:26" x14ac:dyDescent="0.2">
      <c r="A164" s="114"/>
      <c r="B164" s="114"/>
      <c r="C164" s="114"/>
      <c r="D164" s="114"/>
      <c r="E164" s="114"/>
      <c r="F164" s="114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</row>
    <row r="165" spans="1:26" x14ac:dyDescent="0.2">
      <c r="A165" s="114"/>
      <c r="B165" s="114"/>
      <c r="C165" s="114"/>
      <c r="D165" s="114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</row>
    <row r="166" spans="1:26" x14ac:dyDescent="0.2">
      <c r="A166" s="114"/>
      <c r="B166" s="114"/>
      <c r="C166" s="114"/>
      <c r="D166" s="114"/>
      <c r="E166" s="114"/>
      <c r="F166" s="114"/>
      <c r="G166" s="114"/>
      <c r="H166" s="114"/>
      <c r="I166" s="114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</row>
    <row r="167" spans="1:26" x14ac:dyDescent="0.2">
      <c r="A167" s="114"/>
      <c r="B167" s="114"/>
      <c r="C167" s="114"/>
      <c r="D167" s="114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</row>
    <row r="168" spans="1:26" x14ac:dyDescent="0.2">
      <c r="A168" s="114"/>
      <c r="B168" s="114"/>
      <c r="C168" s="114"/>
      <c r="D168" s="114"/>
      <c r="E168" s="114"/>
      <c r="F168" s="114"/>
      <c r="G168" s="114"/>
      <c r="H168" s="114"/>
      <c r="I168" s="114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</row>
    <row r="169" spans="1:26" x14ac:dyDescent="0.2">
      <c r="A169" s="114"/>
      <c r="B169" s="114"/>
      <c r="C169" s="114"/>
      <c r="D169" s="114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</row>
    <row r="170" spans="1:26" x14ac:dyDescent="0.2">
      <c r="A170" s="114"/>
      <c r="B170" s="114"/>
      <c r="C170" s="114"/>
      <c r="D170" s="114"/>
      <c r="E170" s="114"/>
      <c r="F170" s="114"/>
      <c r="G170" s="114"/>
      <c r="H170" s="114"/>
      <c r="I170" s="11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</row>
    <row r="171" spans="1:26" x14ac:dyDescent="0.2">
      <c r="A171" s="114"/>
      <c r="B171" s="114"/>
      <c r="C171" s="114"/>
      <c r="D171" s="114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</row>
    <row r="172" spans="1:26" x14ac:dyDescent="0.2">
      <c r="A172" s="114"/>
      <c r="B172" s="114"/>
      <c r="C172" s="114"/>
      <c r="D172" s="114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</row>
    <row r="173" spans="1:26" x14ac:dyDescent="0.2">
      <c r="A173" s="114"/>
      <c r="B173" s="114"/>
      <c r="C173" s="114"/>
      <c r="D173" s="114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</row>
    <row r="174" spans="1:26" x14ac:dyDescent="0.2">
      <c r="A174" s="114"/>
      <c r="B174" s="114"/>
      <c r="C174" s="114"/>
      <c r="D174" s="114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</row>
    <row r="175" spans="1:26" x14ac:dyDescent="0.2">
      <c r="A175" s="114"/>
      <c r="B175" s="114"/>
      <c r="C175" s="114"/>
      <c r="D175" s="114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</row>
    <row r="176" spans="1:26" x14ac:dyDescent="0.2">
      <c r="A176" s="114"/>
      <c r="B176" s="114"/>
      <c r="C176" s="114"/>
      <c r="D176" s="114"/>
      <c r="E176" s="114"/>
      <c r="F176" s="114"/>
      <c r="G176" s="114"/>
      <c r="H176" s="114"/>
      <c r="I176" s="114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</row>
    <row r="177" spans="1:26" x14ac:dyDescent="0.2">
      <c r="A177" s="114"/>
      <c r="B177" s="114"/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</row>
    <row r="178" spans="1:26" x14ac:dyDescent="0.2">
      <c r="A178" s="114"/>
      <c r="B178" s="114"/>
      <c r="C178" s="114"/>
      <c r="D178" s="114"/>
      <c r="E178" s="114"/>
      <c r="F178" s="114"/>
      <c r="G178" s="114"/>
      <c r="H178" s="114"/>
      <c r="I178" s="114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</row>
    <row r="179" spans="1:26" x14ac:dyDescent="0.2">
      <c r="A179" s="114"/>
      <c r="B179" s="114"/>
      <c r="C179" s="114"/>
      <c r="D179" s="114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</row>
    <row r="180" spans="1:26" x14ac:dyDescent="0.2">
      <c r="A180" s="114"/>
      <c r="B180" s="114"/>
      <c r="C180" s="114"/>
      <c r="D180" s="114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</row>
    <row r="181" spans="1:26" x14ac:dyDescent="0.2">
      <c r="A181" s="114"/>
      <c r="B181" s="114"/>
      <c r="C181" s="114"/>
      <c r="D181" s="114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</row>
    <row r="182" spans="1:26" x14ac:dyDescent="0.2">
      <c r="A182" s="114"/>
      <c r="B182" s="114"/>
      <c r="C182" s="114"/>
      <c r="D182" s="114"/>
      <c r="E182" s="114"/>
      <c r="F182" s="114"/>
      <c r="G182" s="114"/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</row>
    <row r="183" spans="1:26" x14ac:dyDescent="0.2">
      <c r="A183" s="114"/>
      <c r="B183" s="114"/>
      <c r="C183" s="114"/>
      <c r="D183" s="114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</row>
    <row r="184" spans="1:26" x14ac:dyDescent="0.2">
      <c r="A184" s="114"/>
      <c r="B184" s="114"/>
      <c r="C184" s="114"/>
      <c r="D184" s="114"/>
      <c r="E184" s="114"/>
      <c r="F184" s="114"/>
      <c r="G184" s="114"/>
      <c r="H184" s="114"/>
      <c r="I184" s="114"/>
      <c r="J184" s="114"/>
      <c r="K184" s="114"/>
      <c r="L184" s="114"/>
      <c r="M184" s="114"/>
      <c r="N184" s="114"/>
      <c r="O184" s="114"/>
      <c r="P184" s="114"/>
      <c r="Q184" s="114"/>
      <c r="R184" s="114"/>
      <c r="S184" s="114"/>
      <c r="T184" s="114"/>
      <c r="U184" s="114"/>
      <c r="V184" s="114"/>
      <c r="W184" s="114"/>
      <c r="X184" s="114"/>
      <c r="Y184" s="114"/>
      <c r="Z184" s="114"/>
    </row>
    <row r="185" spans="1:26" x14ac:dyDescent="0.2">
      <c r="A185" s="114"/>
      <c r="B185" s="114"/>
      <c r="C185" s="114"/>
      <c r="D185" s="114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4"/>
      <c r="Y185" s="114"/>
      <c r="Z185" s="114"/>
    </row>
    <row r="186" spans="1:26" x14ac:dyDescent="0.2">
      <c r="A186" s="114"/>
      <c r="B186" s="114"/>
      <c r="C186" s="114"/>
      <c r="D186" s="114"/>
      <c r="E186" s="114"/>
      <c r="F186" s="114"/>
      <c r="G186" s="114"/>
      <c r="H186" s="114"/>
      <c r="I186" s="114"/>
      <c r="J186" s="114"/>
      <c r="K186" s="114"/>
      <c r="L186" s="114"/>
      <c r="M186" s="114"/>
      <c r="N186" s="114"/>
      <c r="O186" s="114"/>
      <c r="P186" s="114"/>
      <c r="Q186" s="114"/>
      <c r="R186" s="114"/>
      <c r="S186" s="114"/>
      <c r="T186" s="114"/>
      <c r="U186" s="114"/>
      <c r="V186" s="114"/>
      <c r="W186" s="114"/>
      <c r="X186" s="114"/>
      <c r="Y186" s="114"/>
      <c r="Z186" s="114"/>
    </row>
    <row r="187" spans="1:26" x14ac:dyDescent="0.2">
      <c r="A187" s="114"/>
      <c r="B187" s="114"/>
      <c r="C187" s="114"/>
      <c r="D187" s="114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4"/>
      <c r="Y187" s="114"/>
      <c r="Z187" s="114"/>
    </row>
    <row r="188" spans="1:26" x14ac:dyDescent="0.2">
      <c r="A188" s="114"/>
      <c r="B188" s="114"/>
      <c r="C188" s="114"/>
      <c r="D188" s="114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</row>
    <row r="189" spans="1:26" x14ac:dyDescent="0.2">
      <c r="A189" s="114"/>
      <c r="B189" s="114"/>
      <c r="C189" s="114"/>
      <c r="D189" s="114"/>
      <c r="E189" s="114"/>
      <c r="F189" s="114"/>
      <c r="G189" s="114"/>
      <c r="H189" s="114"/>
      <c r="I189" s="114"/>
      <c r="J189" s="114"/>
      <c r="K189" s="114"/>
      <c r="L189" s="114"/>
      <c r="M189" s="114"/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4"/>
      <c r="Y189" s="114"/>
      <c r="Z189" s="114"/>
    </row>
    <row r="190" spans="1:26" x14ac:dyDescent="0.2">
      <c r="A190" s="114"/>
      <c r="B190" s="114"/>
      <c r="C190" s="114"/>
      <c r="D190" s="114"/>
      <c r="E190" s="114"/>
      <c r="F190" s="114"/>
      <c r="G190" s="114"/>
      <c r="H190" s="114"/>
      <c r="I190" s="114"/>
      <c r="J190" s="114"/>
      <c r="K190" s="114"/>
      <c r="L190" s="114"/>
      <c r="M190" s="114"/>
      <c r="N190" s="114"/>
      <c r="O190" s="114"/>
      <c r="P190" s="114"/>
      <c r="Q190" s="114"/>
      <c r="R190" s="114"/>
      <c r="S190" s="114"/>
      <c r="T190" s="114"/>
      <c r="U190" s="114"/>
      <c r="V190" s="114"/>
      <c r="W190" s="114"/>
      <c r="X190" s="114"/>
      <c r="Y190" s="114"/>
      <c r="Z190" s="114"/>
    </row>
    <row r="191" spans="1:26" x14ac:dyDescent="0.2">
      <c r="A191" s="114"/>
      <c r="B191" s="114"/>
      <c r="C191" s="114"/>
      <c r="D191" s="114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4"/>
      <c r="Y191" s="114"/>
      <c r="Z191" s="114"/>
    </row>
    <row r="192" spans="1:26" x14ac:dyDescent="0.2">
      <c r="A192" s="114"/>
      <c r="B192" s="114"/>
      <c r="C192" s="114"/>
      <c r="D192" s="114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</row>
    <row r="193" spans="1:26" x14ac:dyDescent="0.2">
      <c r="A193" s="114"/>
      <c r="B193" s="114"/>
      <c r="C193" s="114"/>
      <c r="D193" s="114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</row>
    <row r="194" spans="1:26" x14ac:dyDescent="0.2">
      <c r="A194" s="114"/>
      <c r="B194" s="114"/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4"/>
      <c r="Y194" s="114"/>
      <c r="Z194" s="114"/>
    </row>
    <row r="195" spans="1:26" x14ac:dyDescent="0.2">
      <c r="A195" s="114"/>
      <c r="B195" s="114"/>
      <c r="C195" s="114"/>
      <c r="D195" s="114"/>
      <c r="E195" s="114"/>
      <c r="F195" s="114"/>
      <c r="G195" s="114"/>
      <c r="H195" s="114"/>
      <c r="I195" s="114"/>
      <c r="J195" s="114"/>
      <c r="K195" s="114"/>
      <c r="L195" s="114"/>
      <c r="M195" s="114"/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4"/>
      <c r="Y195" s="114"/>
      <c r="Z195" s="114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topLeftCell="D1" workbookViewId="0">
      <selection activeCell="J14" sqref="J14"/>
    </sheetView>
  </sheetViews>
  <sheetFormatPr defaultRowHeight="11.25" outlineLevelCol="1" x14ac:dyDescent="0.2"/>
  <cols>
    <col min="1" max="1" width="3.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4" width="9.33203125" style="1" bestFit="1"/>
    <col min="15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53</v>
      </c>
      <c r="C1" s="18"/>
      <c r="D1" s="17" t="s">
        <v>26</v>
      </c>
      <c r="E1" s="18" t="s">
        <v>22</v>
      </c>
      <c r="F1" s="19" t="s">
        <v>21</v>
      </c>
      <c r="G1" s="18" t="s">
        <v>52</v>
      </c>
      <c r="H1" s="18" t="s">
        <v>64</v>
      </c>
      <c r="I1" s="20" t="s">
        <v>69</v>
      </c>
      <c r="K1" s="123" t="s">
        <v>73</v>
      </c>
      <c r="L1" s="123" t="s">
        <v>72</v>
      </c>
      <c r="M1" s="123"/>
      <c r="N1" s="94" t="s">
        <v>65</v>
      </c>
      <c r="O1" s="94" t="s">
        <v>66</v>
      </c>
      <c r="P1" s="94" t="s">
        <v>67</v>
      </c>
    </row>
    <row r="2" spans="1:34" x14ac:dyDescent="0.2">
      <c r="A2" s="1">
        <v>1</v>
      </c>
      <c r="B2" s="28" t="str">
        <f>_xll.qlMakeDatedOIS(,E2,F2,OvernightIndex,0,,,,EvaluationDate)</f>
        <v>obj_00509#0003</v>
      </c>
      <c r="C2" s="8" t="b">
        <f>_xll.qlInstrumentSetPricingEngine(B2,OisEngine)</f>
        <v>1</v>
      </c>
      <c r="D2" s="171" t="str">
        <f>Currency&amp;"_YCSTDRH_"&amp;A3&amp;"D"</f>
        <v>GBP_YCSTDRH_1MD</v>
      </c>
      <c r="E2" s="172">
        <f>_xll.qlRateHelperEarliestDate($D2,EvaluationDate)</f>
        <v>41682</v>
      </c>
      <c r="F2" s="173">
        <f>_xll.qlRateHelperLatestDate($D2,EvaluationDate)</f>
        <v>41710</v>
      </c>
      <c r="G2" s="174">
        <f>_xll.qlRateHelperRate($D2,AllTriggers)</f>
        <v>4.9249999999999997E-3</v>
      </c>
      <c r="H2" s="175" t="e">
        <f>_xll.qlOvernightIndexedSwapFairRate(B2,_xll.ohTrigger(C2,InterestRatesTrigger))</f>
        <v>#NUM!</v>
      </c>
      <c r="I2" s="176" t="e">
        <f>G2-H2</f>
        <v>#NUM!</v>
      </c>
      <c r="J2" s="177" t="b">
        <v>0</v>
      </c>
      <c r="K2" s="177"/>
      <c r="L2" s="177"/>
      <c r="M2" s="178"/>
      <c r="N2" s="180">
        <f t="shared" ref="N2:O4" si="0">E2-SettlementDate</f>
        <v>21</v>
      </c>
      <c r="O2" s="180">
        <f t="shared" si="0"/>
        <v>49</v>
      </c>
      <c r="P2" s="178">
        <f>(O2^2-N2^2)/(O2-N2)</f>
        <v>70</v>
      </c>
      <c r="Q2" s="177"/>
      <c r="R2" s="191">
        <f>(O2^3-N2^3)/3/(O2-N2)</f>
        <v>1290.3333333333335</v>
      </c>
      <c r="S2" s="191">
        <f>(O2+N2)/2</f>
        <v>35</v>
      </c>
      <c r="T2" s="191">
        <v>1</v>
      </c>
    </row>
    <row r="3" spans="1:34" x14ac:dyDescent="0.2">
      <c r="A3" s="1" t="str">
        <f>_xll.qlPeriodEquivalent(A2&amp;"M")</f>
        <v>1M</v>
      </c>
      <c r="B3" s="121" t="str">
        <f>_xll.qlMakeDatedOIS(,E3,F3,OvernightIndex,0,,,,EvaluationDate)</f>
        <v>obj_00516#0003</v>
      </c>
      <c r="C3" s="12" t="b">
        <f>_xll.qlInstrumentSetPricingEngine(B3,OisEngine)</f>
        <v>1</v>
      </c>
      <c r="D3" s="164" t="str">
        <f>PROPER(Currency&amp;IborType)&amp;A3&amp;"LastFixing_Quote"</f>
        <v>Gbplibor1MLastFixing_Quote</v>
      </c>
      <c r="E3" s="165">
        <f>E2</f>
        <v>41682</v>
      </c>
      <c r="F3" s="166">
        <f>F2</f>
        <v>41710</v>
      </c>
      <c r="G3" s="167">
        <f>_xll.qlQuoteValue(D3,AllTriggers)</f>
        <v>4.9249999999999997E-3</v>
      </c>
      <c r="H3" s="168" t="e">
        <f>_xll.qlOvernightIndexedSwapFairRate(B3,_xll.ohTrigger(C3,InterestRatesTrigger))</f>
        <v>#NUM!</v>
      </c>
      <c r="I3" s="169" t="e">
        <f t="shared" ref="I3:I27" si="1">G3-H3</f>
        <v>#NUM!</v>
      </c>
      <c r="J3" s="177" t="b">
        <f>NOT(ISERROR(I3))</f>
        <v>0</v>
      </c>
      <c r="K3" s="179" t="e">
        <f>K4</f>
        <v>#NUM!</v>
      </c>
      <c r="L3" s="168" t="e">
        <f>_xll.ohFilter($I$2:$I$3,$J$2:$J$3)-K3*_xll.ohFilter($P$2:$P$3,$J$2:$J$3)</f>
        <v>#NUM!</v>
      </c>
      <c r="M3" s="178"/>
      <c r="N3" s="180">
        <f t="shared" si="0"/>
        <v>21</v>
      </c>
      <c r="O3" s="180">
        <f t="shared" si="0"/>
        <v>49</v>
      </c>
      <c r="P3" s="178">
        <f>(O3^2-N3^2)/(O3-N3)</f>
        <v>70</v>
      </c>
      <c r="Q3" s="177"/>
      <c r="R3" s="191">
        <f>(O3^3-N3^3)/3/(O3-N3)</f>
        <v>1290.3333333333335</v>
      </c>
      <c r="S3" s="191">
        <f>(O3+N3)/2</f>
        <v>35</v>
      </c>
      <c r="T3" s="191">
        <v>1</v>
      </c>
    </row>
    <row r="4" spans="1:34" x14ac:dyDescent="0.2">
      <c r="B4" s="121" t="str">
        <f>_xll.qlMakeDatedOIS(,E4,F4,OvernightIndex,0,,,,EvaluationDate)</f>
        <v>obj_00523#0003</v>
      </c>
      <c r="C4" s="12" t="b">
        <f>_xll.qlInstrumentSetPricingEngine(B4,OisEngine)</f>
        <v>1</v>
      </c>
      <c r="D4" s="11" t="s">
        <v>70</v>
      </c>
      <c r="E4" s="109">
        <f>F3</f>
        <v>41710</v>
      </c>
      <c r="F4" s="110">
        <f>F5</f>
        <v>41743</v>
      </c>
      <c r="G4" s="27">
        <f>((1+G5*(F5-E5)/360)/(1+G3*(F3-E3)/360)-1)/(F4-E4)*360</f>
        <v>4.8769197475846812E-3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81">
        <f t="shared" si="0"/>
        <v>49</v>
      </c>
      <c r="O4" s="181">
        <f t="shared" si="0"/>
        <v>82</v>
      </c>
      <c r="P4" s="5">
        <f>(O4^2-N4^2)/(O4-N4)</f>
        <v>131</v>
      </c>
      <c r="R4" s="160">
        <f>(O4^3-N4^3)/3/(O4-N4)</f>
        <v>4381</v>
      </c>
      <c r="S4" s="160">
        <f>(O4+N4)/2</f>
        <v>65.5</v>
      </c>
      <c r="T4" s="160">
        <v>1</v>
      </c>
    </row>
    <row r="5" spans="1:34" x14ac:dyDescent="0.2">
      <c r="B5" s="121" t="str">
        <f>_xll.qlMakeDatedOIS(,E5,F5,OvernightIndex,0,,,,EvaluationDate)</f>
        <v>obj_00503#0003</v>
      </c>
      <c r="C5" s="12" t="b">
        <f>_xll.qlInstrumentSetPricingEngine(B5,OisEngine)</f>
        <v>1</v>
      </c>
      <c r="D5" s="9" t="str">
        <f>Currency&amp;"_YC1MRH_2X1S"</f>
        <v>GBP_YC1MRH_2X1S</v>
      </c>
      <c r="E5" s="109">
        <f>_xll.qlRateHelperEarliestDate($D5,EvaluationDate)</f>
        <v>41682</v>
      </c>
      <c r="F5" s="110">
        <f>_xll.qlRateHelperLatestDate($D5,EvaluationDate)</f>
        <v>41743</v>
      </c>
      <c r="G5" s="106">
        <f>_xll.qlRateHelperRate($D5,AllTriggers)</f>
        <v>4.8999999999999998E-3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82"/>
      <c r="L5" s="182"/>
      <c r="M5" s="183"/>
      <c r="N5" s="190"/>
      <c r="O5" s="181"/>
      <c r="P5" s="5"/>
      <c r="R5" s="160"/>
      <c r="S5" s="160"/>
      <c r="T5" s="160"/>
    </row>
    <row r="6" spans="1:34" x14ac:dyDescent="0.2">
      <c r="A6" s="1">
        <v>3</v>
      </c>
      <c r="B6" s="28" t="str">
        <f>_xll.qlMakeDatedOIS(,E6,F6,OvernightIndex,0,,,,EvaluationDate)</f>
        <v>obj_0050e#0003</v>
      </c>
      <c r="C6" s="8" t="b">
        <f>_xll.qlInstrumentSetPricingEngine(B6,OisEngine)</f>
        <v>1</v>
      </c>
      <c r="D6" s="171" t="str">
        <f>Currency&amp;"_YCSTDRH_"&amp;A7&amp;"D"</f>
        <v>GBP_YCSTDRH_3MD</v>
      </c>
      <c r="E6" s="172">
        <f>_xll.qlRateHelperEarliestDate($D6,EvaluationDate)</f>
        <v>41682</v>
      </c>
      <c r="F6" s="173">
        <f>_xll.qlRateHelperLatestDate($D6,EvaluationDate)</f>
        <v>41771</v>
      </c>
      <c r="G6" s="174">
        <f>_xll.qlRateHelperRate($D6,AllTriggers)</f>
        <v>5.0812999999999995E-3</v>
      </c>
      <c r="H6" s="175" t="e">
        <f>_xll.qlOvernightIndexedSwapFairRate(B6,_xll.ohTrigger(C6,InterestRatesTrigger))</f>
        <v>#NUM!</v>
      </c>
      <c r="I6" s="176" t="e">
        <f t="shared" si="1"/>
        <v>#NUM!</v>
      </c>
      <c r="J6" s="177" t="b">
        <v>0</v>
      </c>
      <c r="K6" s="178"/>
      <c r="L6" s="178"/>
      <c r="M6" s="178"/>
      <c r="N6" s="180">
        <f t="shared" ref="N6:N27" si="2">E6-SettlementDate</f>
        <v>21</v>
      </c>
      <c r="O6" s="180">
        <f t="shared" ref="O6:O27" si="3">F6-SettlementDate</f>
        <v>110</v>
      </c>
      <c r="P6" s="178">
        <f>(O6^2-N6^2)/(O6-N6)</f>
        <v>131</v>
      </c>
      <c r="Q6" s="177"/>
      <c r="R6" s="191">
        <f t="shared" ref="R6:R14" si="4">(O6^3-N6^3)/3/(O6-N6)</f>
        <v>4950.3333333333339</v>
      </c>
      <c r="S6" s="191">
        <f t="shared" ref="S6:S14" si="5">(O6+N6)/2</f>
        <v>65.5</v>
      </c>
      <c r="T6" s="191">
        <v>1</v>
      </c>
    </row>
    <row r="7" spans="1:34" x14ac:dyDescent="0.2">
      <c r="A7" s="1" t="str">
        <f>_xll.qlPeriodEquivalent(A6&amp;"M")</f>
        <v>3M</v>
      </c>
      <c r="B7" s="121" t="str">
        <f>_xll.qlMakeDatedOIS(,E7,F7,OvernightIndex,0,,,,EvaluationDate)</f>
        <v>obj_00520#0003</v>
      </c>
      <c r="C7" s="12" t="b">
        <f>_xll.qlInstrumentSetPricingEngine(B7,OisEngine)</f>
        <v>1</v>
      </c>
      <c r="D7" s="164" t="str">
        <f>PROPER(Currency&amp;IborType)&amp;A7&amp;"LastFixing_Quote"</f>
        <v>Gbplibor3MLastFixing_Quote</v>
      </c>
      <c r="E7" s="165">
        <f>E6</f>
        <v>41682</v>
      </c>
      <c r="F7" s="166">
        <f>F6</f>
        <v>41771</v>
      </c>
      <c r="G7" s="167">
        <f>_xll.qlQuoteValue(D7,AllTriggers)</f>
        <v>5.0812999999999995E-3</v>
      </c>
      <c r="H7" s="168" t="e">
        <f>_xll.qlOvernightIndexedSwapFairRate(B7,_xll.ohTrigger(C7,InterestRatesTrigger))</f>
        <v>#NUM!</v>
      </c>
      <c r="I7" s="169" t="e">
        <f t="shared" si="1"/>
        <v>#NUM!</v>
      </c>
      <c r="J7" s="177" t="b">
        <f>AND(ISERROR(I8),ISERROR(I9),NOT(ISERROR(I7)))</f>
        <v>0</v>
      </c>
      <c r="K7" s="184"/>
      <c r="L7" s="178"/>
      <c r="M7" s="178"/>
      <c r="N7" s="180">
        <f t="shared" si="2"/>
        <v>21</v>
      </c>
      <c r="O7" s="180">
        <f t="shared" si="3"/>
        <v>110</v>
      </c>
      <c r="P7" s="178">
        <f t="shared" ref="P7:P14" si="6">(O7^2-N7^2)/(O7-N7)</f>
        <v>131</v>
      </c>
      <c r="Q7" s="177"/>
      <c r="R7" s="191">
        <f t="shared" si="4"/>
        <v>4950.3333333333339</v>
      </c>
      <c r="S7" s="191">
        <f t="shared" si="5"/>
        <v>65.5</v>
      </c>
      <c r="T7" s="191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64" t="str">
        <f>Currency&amp;"_YC"&amp;A7&amp;"RH_T"&amp;A6&amp;"F1"</f>
        <v>GBP_YC3MRH_T3F1</v>
      </c>
      <c r="E8" s="165" t="e">
        <f>_xll.qlRateHelperEarliestDate($D8,EvaluationDate)</f>
        <v>#NUM!</v>
      </c>
      <c r="F8" s="166" t="e">
        <f>_xll.qlRateHelperLatestDate($D8,EvaluationDate)</f>
        <v>#NUM!</v>
      </c>
      <c r="G8" s="170" t="e">
        <f>_xll.qlRateHelperRate($D8,AllTriggers)</f>
        <v>#NUM!</v>
      </c>
      <c r="H8" s="168" t="e">
        <f>_xll.qlOvernightIndexedSwapFairRate(B8,_xll.ohTrigger(C8,InterestRatesTrigger))</f>
        <v>#VALUE!</v>
      </c>
      <c r="I8" s="169" t="e">
        <f t="shared" si="1"/>
        <v>#NUM!</v>
      </c>
      <c r="J8" s="177" t="e">
        <f>AND(E8&gt;E7,NOT(ISERROR(I8)))</f>
        <v>#NUM!</v>
      </c>
      <c r="K8" s="177"/>
      <c r="L8" s="177"/>
      <c r="M8" s="178"/>
      <c r="N8" s="180" t="e">
        <f t="shared" si="2"/>
        <v>#NUM!</v>
      </c>
      <c r="O8" s="180" t="e">
        <f t="shared" si="3"/>
        <v>#NUM!</v>
      </c>
      <c r="P8" s="178" t="e">
        <f t="shared" si="6"/>
        <v>#NUM!</v>
      </c>
      <c r="Q8" s="177"/>
      <c r="R8" s="191" t="e">
        <f t="shared" si="4"/>
        <v>#NUM!</v>
      </c>
      <c r="S8" s="191" t="e">
        <f t="shared" si="5"/>
        <v>#NUM!</v>
      </c>
      <c r="T8" s="191">
        <v>1</v>
      </c>
      <c r="AD8" s="1" t="s">
        <v>78</v>
      </c>
      <c r="AH8" s="1" t="s">
        <v>77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64" t="str">
        <f>Currency&amp;"_YC"&amp;A7&amp;"RH_TOM"&amp;A6&amp;"F1"</f>
        <v>GBP_YC3MRH_TOM3F1</v>
      </c>
      <c r="E9" s="165" t="e">
        <f>_xll.qlRateHelperEarliestDate($D9,EvaluationDate)</f>
        <v>#NUM!</v>
      </c>
      <c r="F9" s="166" t="e">
        <f>_xll.qlRateHelperLatestDate($D9,EvaluationDate)</f>
        <v>#NUM!</v>
      </c>
      <c r="G9" s="170" t="e">
        <f>_xll.qlRateHelperRate($D9,AllTriggers)</f>
        <v>#NUM!</v>
      </c>
      <c r="H9" s="168" t="e">
        <f>_xll.qlOvernightIndexedSwapFairRate(B9,_xll.ohTrigger(C9,InterestRatesTrigger))</f>
        <v>#VALUE!</v>
      </c>
      <c r="I9" s="169" t="e">
        <f t="shared" si="1"/>
        <v>#NUM!</v>
      </c>
      <c r="J9" s="177" t="b">
        <f>AND(NOT(J7),NOT(ISERROR(I9)))</f>
        <v>0</v>
      </c>
      <c r="K9" s="168" t="e">
        <f>AVERAGE(_xll.ohFilter(K10:K12,J10:J12))</f>
        <v>#NUM!</v>
      </c>
      <c r="L9" s="168" t="e">
        <f>_xll.ohFilter($I$6:$I$9,$J$6:$J$9)-K9*_xll.ohFilter($P$6:$P$9,$J$6:$J$9)</f>
        <v>#NUM!</v>
      </c>
      <c r="M9" s="178"/>
      <c r="N9" s="180" t="e">
        <f t="shared" si="2"/>
        <v>#NUM!</v>
      </c>
      <c r="O9" s="180" t="e">
        <f t="shared" si="3"/>
        <v>#NUM!</v>
      </c>
      <c r="P9" s="178" t="e">
        <f t="shared" si="6"/>
        <v>#NUM!</v>
      </c>
      <c r="Q9" s="177"/>
      <c r="R9" s="191" t="e">
        <f t="shared" si="4"/>
        <v>#NUM!</v>
      </c>
      <c r="S9" s="191" t="e">
        <f t="shared" si="5"/>
        <v>#NUM!</v>
      </c>
      <c r="T9" s="191">
        <v>1</v>
      </c>
      <c r="V9" s="151" t="e">
        <f t="array" ref="V9:V11">_xll.ohFilter(R6:R14,$J6:$J14)</f>
        <v>#NUM!</v>
      </c>
      <c r="W9" s="152" t="e">
        <f t="array" ref="W9:W11">_xll.ohFilter(S6:S14,$J6:$J14)</f>
        <v>#NUM!</v>
      </c>
      <c r="X9" s="153" t="e">
        <f t="array" ref="X9:X11">_xll.ohFilter(T6:T14,$J6:$J14)</f>
        <v>#NUM!</v>
      </c>
      <c r="Z9" s="136" t="e">
        <f t="array" ref="Z9:Z11">MMULT(AD9:AF11,AB9:AB11)</f>
        <v>#NUM!</v>
      </c>
      <c r="AB9" s="136" t="e">
        <f t="array" ref="AB9:AB11">_xll.ohFilter(I6:I14,$J6:$J14)</f>
        <v>#NUM!</v>
      </c>
      <c r="AD9" s="142" t="e">
        <f t="array" ref="AD9:AF11">MINVERSE(V9:X11)</f>
        <v>#NUM!</v>
      </c>
      <c r="AE9" s="143" t="e">
        <v>#NUM!</v>
      </c>
      <c r="AF9" s="144" t="e">
        <v>#NUM!</v>
      </c>
      <c r="AH9" s="139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109" t="e">
        <f>_xll.qlRateHelperEarliestDate($D10,EvaluationDate)</f>
        <v>#VALUE!</v>
      </c>
      <c r="F10" s="110" t="e">
        <f>_xll.qlRateHelperLatestDate($D10,EvaluationDate)</f>
        <v>#VALUE!</v>
      </c>
      <c r="G10" s="106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81" t="e">
        <f t="shared" si="2"/>
        <v>#VALUE!</v>
      </c>
      <c r="O10" s="181" t="e">
        <f t="shared" si="3"/>
        <v>#VALUE!</v>
      </c>
      <c r="P10" s="5" t="e">
        <f t="shared" si="6"/>
        <v>#VALUE!</v>
      </c>
      <c r="R10" s="160" t="e">
        <f t="shared" si="4"/>
        <v>#VALUE!</v>
      </c>
      <c r="S10" s="160" t="e">
        <f t="shared" si="5"/>
        <v>#VALUE!</v>
      </c>
      <c r="T10" s="160">
        <v>1</v>
      </c>
      <c r="V10" s="154" t="e">
        <v>#NUM!</v>
      </c>
      <c r="W10" s="155" t="e">
        <v>#NUM!</v>
      </c>
      <c r="X10" s="156" t="e">
        <v>#NUM!</v>
      </c>
      <c r="Y10" s="123" t="s">
        <v>74</v>
      </c>
      <c r="Z10" s="137" t="e">
        <v>#NUM!</v>
      </c>
      <c r="AA10" s="123" t="s">
        <v>75</v>
      </c>
      <c r="AB10" s="137" t="e">
        <v>#NUM!</v>
      </c>
      <c r="AD10" s="145" t="e">
        <v>#NUM!</v>
      </c>
      <c r="AE10" s="146" t="e">
        <v>#NUM!</v>
      </c>
      <c r="AF10" s="147" t="e">
        <v>#NUM!</v>
      </c>
      <c r="AH10" s="140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109" t="e">
        <f>_xll.qlRateHelperEarliestDate($D11,EvaluationDate)</f>
        <v>#VALUE!</v>
      </c>
      <c r="F11" s="110" t="e">
        <f>_xll.qlRateHelperLatestDate($D11,EvaluationDate)</f>
        <v>#VALUE!</v>
      </c>
      <c r="G11" s="106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81" t="e">
        <f t="shared" si="2"/>
        <v>#VALUE!</v>
      </c>
      <c r="O11" s="181" t="e">
        <f t="shared" si="3"/>
        <v>#VALUE!</v>
      </c>
      <c r="P11" s="5" t="e">
        <f t="shared" si="6"/>
        <v>#VALUE!</v>
      </c>
      <c r="R11" s="160" t="e">
        <f t="shared" si="4"/>
        <v>#VALUE!</v>
      </c>
      <c r="S11" s="160" t="e">
        <f t="shared" si="5"/>
        <v>#VALUE!</v>
      </c>
      <c r="T11" s="160">
        <v>1</v>
      </c>
      <c r="V11" s="157" t="e">
        <v>#NUM!</v>
      </c>
      <c r="W11" s="158" t="e">
        <v>#NUM!</v>
      </c>
      <c r="X11" s="159" t="e">
        <v>#NUM!</v>
      </c>
      <c r="Z11" s="138" t="e">
        <v>#NUM!</v>
      </c>
      <c r="AB11" s="138" t="e">
        <v>#NUM!</v>
      </c>
      <c r="AD11" s="148" t="e">
        <v>#NUM!</v>
      </c>
      <c r="AE11" s="149" t="e">
        <v>#NUM!</v>
      </c>
      <c r="AF11" s="150" t="e">
        <v>#NUM!</v>
      </c>
      <c r="AH11" s="141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GBP_YC3MRH_1x4F</v>
      </c>
      <c r="E12" s="109" t="e">
        <f>_xll.qlRateHelperEarliestDate($D12,EvaluationDate)</f>
        <v>#NUM!</v>
      </c>
      <c r="F12" s="110" t="e">
        <f>_xll.qlRateHelperLatestDate($D12,EvaluationDate)</f>
        <v>#NUM!</v>
      </c>
      <c r="G12" s="106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81" t="e">
        <f t="shared" si="2"/>
        <v>#NUM!</v>
      </c>
      <c r="O12" s="181" t="e">
        <f t="shared" si="3"/>
        <v>#NUM!</v>
      </c>
      <c r="P12" s="5" t="e">
        <f t="shared" si="6"/>
        <v>#NUM!</v>
      </c>
      <c r="R12" s="160" t="e">
        <f t="shared" si="4"/>
        <v>#NUM!</v>
      </c>
      <c r="S12" s="160" t="e">
        <f t="shared" si="5"/>
        <v>#NUM!</v>
      </c>
      <c r="T12" s="160">
        <v>1</v>
      </c>
      <c r="V12" s="160"/>
      <c r="W12" s="160"/>
      <c r="X12" s="160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GBP_YC3MRH_2x5F</v>
      </c>
      <c r="E13" s="109" t="e">
        <f>_xll.qlRateHelperEarliestDate($D13,EvaluationDate)</f>
        <v>#NUM!</v>
      </c>
      <c r="F13" s="110" t="e">
        <f>_xll.qlRateHelperLatestDate($D13,EvaluationDate)</f>
        <v>#NUM!</v>
      </c>
      <c r="G13" s="106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81" t="e">
        <f t="shared" si="2"/>
        <v>#NUM!</v>
      </c>
      <c r="O13" s="181" t="e">
        <f t="shared" si="3"/>
        <v>#NUM!</v>
      </c>
      <c r="P13" s="5" t="e">
        <f t="shared" si="6"/>
        <v>#NUM!</v>
      </c>
      <c r="R13" s="160" t="e">
        <f t="shared" si="4"/>
        <v>#NUM!</v>
      </c>
      <c r="S13" s="160" t="e">
        <f t="shared" si="5"/>
        <v>#NUM!</v>
      </c>
      <c r="T13" s="160">
        <v>1</v>
      </c>
      <c r="V13" s="160"/>
      <c r="W13" s="160"/>
      <c r="X13" s="160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GBP_YC3MRH_3x6F</v>
      </c>
      <c r="E14" s="109" t="e">
        <f>_xll.qlRateHelperEarliestDate($D14,EvaluationDate)</f>
        <v>#NUM!</v>
      </c>
      <c r="F14" s="110" t="e">
        <f>_xll.qlRateHelperLatestDate($D14,EvaluationDate)</f>
        <v>#NUM!</v>
      </c>
      <c r="G14" s="106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81" t="e">
        <f t="shared" si="2"/>
        <v>#NUM!</v>
      </c>
      <c r="O14" s="181" t="e">
        <f t="shared" si="3"/>
        <v>#NUM!</v>
      </c>
      <c r="P14" s="5" t="e">
        <f t="shared" si="6"/>
        <v>#NUM!</v>
      </c>
      <c r="R14" s="160" t="e">
        <f t="shared" si="4"/>
        <v>#NUM!</v>
      </c>
      <c r="S14" s="160" t="e">
        <f t="shared" si="5"/>
        <v>#NUM!</v>
      </c>
      <c r="T14" s="160">
        <v>1</v>
      </c>
      <c r="V14" s="160"/>
      <c r="W14" s="160"/>
      <c r="X14" s="160"/>
    </row>
    <row r="15" spans="1:34" x14ac:dyDescent="0.2">
      <c r="A15" s="1">
        <v>6</v>
      </c>
      <c r="B15" s="28" t="str">
        <f>_xll.qlMakeDatedOIS(,E15,F15,OvernightIndex,0,,,,EvaluationDate)</f>
        <v>obj_00502#0003</v>
      </c>
      <c r="C15" s="8" t="b">
        <f>_xll.qlInstrumentSetPricingEngine(B15,OisEngine)</f>
        <v>1</v>
      </c>
      <c r="D15" s="171" t="str">
        <f>Currency&amp;"_YCSTDRH_"&amp;A16&amp;"D"</f>
        <v>GBP_YCSTDRH_6MD</v>
      </c>
      <c r="E15" s="172">
        <f>_xll.qlRateHelperEarliestDate($D15,EvaluationDate)</f>
        <v>41682</v>
      </c>
      <c r="F15" s="173">
        <f>_xll.qlRateHelperLatestDate($D15,EvaluationDate)</f>
        <v>41863</v>
      </c>
      <c r="G15" s="174">
        <f>_xll.qlRateHelperRate($D15,AllTriggers)</f>
        <v>5.9175E-3</v>
      </c>
      <c r="H15" s="175" t="e">
        <f>_xll.qlOvernightIndexedSwapFairRate(B15,_xll.ohTrigger(C15,InterestRatesTrigger))</f>
        <v>#NUM!</v>
      </c>
      <c r="I15" s="176" t="e">
        <f t="shared" si="1"/>
        <v>#NUM!</v>
      </c>
      <c r="J15" s="177" t="b">
        <v>0</v>
      </c>
      <c r="K15" s="178"/>
      <c r="L15" s="178"/>
      <c r="M15" s="178"/>
      <c r="N15" s="180">
        <f t="shared" si="2"/>
        <v>21</v>
      </c>
      <c r="O15" s="180">
        <f t="shared" si="3"/>
        <v>202</v>
      </c>
      <c r="P15" s="178">
        <f t="shared" ref="P15:P27" si="7">(O15^2-N15^2)/(O15-N15)</f>
        <v>223</v>
      </c>
      <c r="Q15" s="177"/>
      <c r="R15" s="191">
        <f t="shared" ref="R15:R27" si="8">(O15^3-N15^3)/3/(O15-N15)</f>
        <v>15162.333333333334</v>
      </c>
      <c r="S15" s="191">
        <f t="shared" ref="S15:S27" si="9">(O15+N15)/2</f>
        <v>111.5</v>
      </c>
      <c r="T15" s="191">
        <v>1</v>
      </c>
    </row>
    <row r="16" spans="1:34" x14ac:dyDescent="0.2">
      <c r="A16" s="1" t="str">
        <f>_xll.qlPeriodEquivalent(A15&amp;"M")</f>
        <v>6M</v>
      </c>
      <c r="B16" s="121" t="str">
        <f>_xll.qlMakeDatedOIS(,E16,F16,OvernightIndex,0,,,,EvaluationDate)</f>
        <v>obj_00511#0003</v>
      </c>
      <c r="C16" s="12" t="b">
        <f>_xll.qlInstrumentSetPricingEngine(B16,OisEngine)</f>
        <v>1</v>
      </c>
      <c r="D16" s="164" t="str">
        <f>PROPER(Currency&amp;IborType)&amp;A16&amp;"LastFixing_Quote"</f>
        <v>Gbplibor6MLastFixing_Quote</v>
      </c>
      <c r="E16" s="165">
        <f>E15</f>
        <v>41682</v>
      </c>
      <c r="F16" s="166">
        <f>F15</f>
        <v>41863</v>
      </c>
      <c r="G16" s="167">
        <f>_xll.qlQuoteValue(D16,AllTriggers)</f>
        <v>5.9175E-3</v>
      </c>
      <c r="H16" s="168" t="e">
        <f>_xll.qlOvernightIndexedSwapFairRate(B16,_xll.ohTrigger(C16,InterestRatesTrigger))</f>
        <v>#NUM!</v>
      </c>
      <c r="I16" s="169" t="e">
        <f t="shared" si="1"/>
        <v>#NUM!</v>
      </c>
      <c r="J16" s="177" t="b">
        <f>AND(ISERROR(I17),ISERROR(I18),NOT(ISERROR(I16)))</f>
        <v>0</v>
      </c>
      <c r="K16" s="178"/>
      <c r="L16" s="178"/>
      <c r="M16" s="178"/>
      <c r="N16" s="180">
        <f t="shared" si="2"/>
        <v>21</v>
      </c>
      <c r="O16" s="180">
        <f t="shared" si="3"/>
        <v>202</v>
      </c>
      <c r="P16" s="178">
        <f t="shared" si="7"/>
        <v>223</v>
      </c>
      <c r="Q16" s="177"/>
      <c r="R16" s="191">
        <f t="shared" si="8"/>
        <v>15162.333333333334</v>
      </c>
      <c r="S16" s="191">
        <f t="shared" si="9"/>
        <v>111.5</v>
      </c>
      <c r="T16" s="191">
        <v>1</v>
      </c>
    </row>
    <row r="17" spans="1:34" x14ac:dyDescent="0.2">
      <c r="B17" s="29" t="str">
        <f>_xll.qlMakeDatedOIS(,E17,F17,OvernightIndex,0,,,,EvaluationDate)</f>
        <v>obj_00501#0003</v>
      </c>
      <c r="C17" s="12" t="b">
        <f>_xll.qlInstrumentSetPricingEngine(B17,OisEngine)</f>
        <v>1</v>
      </c>
      <c r="D17" s="164" t="str">
        <f>Currency&amp;"_YC"&amp;A16&amp;"RH_T"&amp;A15&amp;"F1"</f>
        <v>GBP_YC6MRH_T6F1</v>
      </c>
      <c r="E17" s="165">
        <f>_xll.qlRateHelperEarliestDate($D17,EvaluationDate)</f>
        <v>41682</v>
      </c>
      <c r="F17" s="166">
        <f>_xll.qlRateHelperLatestDate($D17,EvaluationDate)</f>
        <v>41863</v>
      </c>
      <c r="G17" s="167" t="e">
        <f>_xll.qlRateHelperRate($D17,AllTriggers)</f>
        <v>#NUM!</v>
      </c>
      <c r="H17" s="168" t="e">
        <f>_xll.qlOvernightIndexedSwapFairRate(B17,_xll.ohTrigger(C17,InterestRatesTrigger))</f>
        <v>#NUM!</v>
      </c>
      <c r="I17" s="169" t="e">
        <f t="shared" si="1"/>
        <v>#NUM!</v>
      </c>
      <c r="J17" s="177" t="b">
        <f>AND(E17&gt;E16,NOT(ISERROR(I17)))</f>
        <v>0</v>
      </c>
      <c r="K17" s="177"/>
      <c r="L17" s="177"/>
      <c r="M17" s="178"/>
      <c r="N17" s="180">
        <f t="shared" si="2"/>
        <v>21</v>
      </c>
      <c r="O17" s="180">
        <f t="shared" si="3"/>
        <v>202</v>
      </c>
      <c r="P17" s="178">
        <f t="shared" si="7"/>
        <v>223</v>
      </c>
      <c r="Q17" s="177"/>
      <c r="R17" s="191">
        <f t="shared" si="8"/>
        <v>15162.333333333334</v>
      </c>
      <c r="S17" s="191">
        <f t="shared" si="9"/>
        <v>111.5</v>
      </c>
      <c r="T17" s="191">
        <v>1</v>
      </c>
      <c r="AD17" s="1" t="s">
        <v>78</v>
      </c>
      <c r="AH17" s="1" t="s">
        <v>77</v>
      </c>
    </row>
    <row r="18" spans="1:34" x14ac:dyDescent="0.2">
      <c r="B18" s="29" t="str">
        <f>_xll.qlMakeDatedOIS(,E18,F18,OvernightIndex,0,,,,EvaluationDate)</f>
        <v>obj_00507#0003</v>
      </c>
      <c r="C18" s="12" t="b">
        <f>_xll.qlInstrumentSetPricingEngine(B18,OisEngine)</f>
        <v>1</v>
      </c>
      <c r="D18" s="164" t="str">
        <f>Currency&amp;"_YC"&amp;A16&amp;"RH_TOM"&amp;A15&amp;"F1"</f>
        <v>GBP_YC6MRH_TOM6F1</v>
      </c>
      <c r="E18" s="165">
        <f>_xll.qlRateHelperEarliestDate($D18,EvaluationDate)</f>
        <v>41683</v>
      </c>
      <c r="F18" s="166">
        <f>_xll.qlRateHelperLatestDate($D18,EvaluationDate)</f>
        <v>41864</v>
      </c>
      <c r="G18" s="167" t="e">
        <f>_xll.qlRateHelperRate($D18,AllTriggers)</f>
        <v>#NUM!</v>
      </c>
      <c r="H18" s="168" t="e">
        <f>_xll.qlOvernightIndexedSwapFairRate(B18,_xll.ohTrigger(C18,InterestRatesTrigger))</f>
        <v>#NUM!</v>
      </c>
      <c r="I18" s="169" t="e">
        <f t="shared" si="1"/>
        <v>#NUM!</v>
      </c>
      <c r="J18" s="177" t="b">
        <f>AND(NOT(J16),NOT(ISERROR(I18)))</f>
        <v>0</v>
      </c>
      <c r="K18" s="168">
        <f>AVERAGE(_xll.ohFilter(K19:K21,J19:J21))</f>
        <v>0</v>
      </c>
      <c r="L18" s="168">
        <f>_xll.ohFilter($I$15:$I$18,$J$15:$J$18)-K18*_xll.ohFilter($P$15:$P$18,$J$15:$J$18)</f>
        <v>0</v>
      </c>
      <c r="M18" s="178"/>
      <c r="N18" s="180">
        <f t="shared" si="2"/>
        <v>22</v>
      </c>
      <c r="O18" s="180">
        <f t="shared" si="3"/>
        <v>203</v>
      </c>
      <c r="P18" s="178">
        <f t="shared" si="7"/>
        <v>225</v>
      </c>
      <c r="Q18" s="177"/>
      <c r="R18" s="191">
        <f t="shared" si="8"/>
        <v>15386.333333333334</v>
      </c>
      <c r="S18" s="191">
        <f t="shared" si="9"/>
        <v>112.5</v>
      </c>
      <c r="T18" s="191">
        <v>1</v>
      </c>
      <c r="V18" s="151">
        <f t="array" ref="V18:V20">_xll.ohFilter(R15:R24,$J15:$J24)</f>
        <v>0</v>
      </c>
      <c r="W18" s="152">
        <f t="array" ref="W18:W20">_xll.ohFilter(S15:S24,$J15:$J24)</f>
        <v>0</v>
      </c>
      <c r="X18" s="153">
        <f t="array" ref="X18:X20">_xll.ohFilter(T15:T24,$J15:$J24)</f>
        <v>0</v>
      </c>
      <c r="Z18" s="136" t="e">
        <f t="array" ref="Z18:Z20">MMULT(AD18:AF20,AB18:AB20)</f>
        <v>#NUM!</v>
      </c>
      <c r="AB18" s="136">
        <f t="array" ref="AB18:AB20">_xll.ohFilter(I15:I24,$J15:$J24)</f>
        <v>0</v>
      </c>
      <c r="AD18" s="142" t="e">
        <f t="array" ref="AD18:AF20">MINVERSE(V18:X20)</f>
        <v>#NUM!</v>
      </c>
      <c r="AE18" s="143" t="e">
        <v>#NUM!</v>
      </c>
      <c r="AF18" s="144" t="e">
        <v>#NUM!</v>
      </c>
      <c r="AH18" s="139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obj_0050b#0003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GBP_YC6MRH_1x7F</v>
      </c>
      <c r="E19" s="109">
        <f>_xll.qlRateHelperEarliestDate($D19,EvaluationDate)</f>
        <v>41710</v>
      </c>
      <c r="F19" s="110">
        <f>_xll.qlRateHelperLatestDate($D19,EvaluationDate)</f>
        <v>41894</v>
      </c>
      <c r="G19" s="27">
        <f>_xll.qlRateHelperRate($D19,AllTriggers)</f>
        <v>6.5000000000000006E-3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81">
        <f t="shared" si="2"/>
        <v>49</v>
      </c>
      <c r="O19" s="181">
        <f t="shared" si="3"/>
        <v>233</v>
      </c>
      <c r="P19" s="5">
        <f t="shared" si="7"/>
        <v>282</v>
      </c>
      <c r="R19" s="160">
        <f t="shared" si="8"/>
        <v>22702.333333333336</v>
      </c>
      <c r="S19" s="160">
        <f t="shared" si="9"/>
        <v>141</v>
      </c>
      <c r="T19" s="160">
        <v>1</v>
      </c>
      <c r="V19" s="154">
        <v>0</v>
      </c>
      <c r="W19" s="155">
        <v>0</v>
      </c>
      <c r="X19" s="156">
        <v>0</v>
      </c>
      <c r="Y19" s="123" t="s">
        <v>74</v>
      </c>
      <c r="Z19" s="137" t="e">
        <v>#NUM!</v>
      </c>
      <c r="AA19" s="123" t="s">
        <v>75</v>
      </c>
      <c r="AB19" s="137">
        <v>0</v>
      </c>
      <c r="AD19" s="145" t="e">
        <v>#NUM!</v>
      </c>
      <c r="AE19" s="146" t="e">
        <v>#NUM!</v>
      </c>
      <c r="AF19" s="147" t="e">
        <v>#NUM!</v>
      </c>
      <c r="AH19" s="140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obj_00505#0003</v>
      </c>
      <c r="C20" s="12" t="b">
        <f>_xll.qlInstrumentSetPricingEngine(B20,OisEngine)</f>
        <v>1</v>
      </c>
      <c r="D20" s="11" t="str">
        <f t="shared" si="10"/>
        <v>GBP_YC6MRH_2x8F</v>
      </c>
      <c r="E20" s="109">
        <f>_xll.qlRateHelperEarliestDate($D20,EvaluationDate)</f>
        <v>41743</v>
      </c>
      <c r="F20" s="110">
        <f>_xll.qlRateHelperLatestDate($D20,EvaluationDate)</f>
        <v>41926</v>
      </c>
      <c r="G20" s="27">
        <f>_xll.qlRateHelperRate($D20,AllTriggers)</f>
        <v>6.45E-3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81">
        <f t="shared" si="2"/>
        <v>82</v>
      </c>
      <c r="O20" s="181">
        <f t="shared" si="3"/>
        <v>265</v>
      </c>
      <c r="P20" s="5">
        <f t="shared" si="7"/>
        <v>347</v>
      </c>
      <c r="R20" s="160">
        <f t="shared" si="8"/>
        <v>32893</v>
      </c>
      <c r="S20" s="160">
        <f t="shared" si="9"/>
        <v>173.5</v>
      </c>
      <c r="T20" s="160">
        <v>1</v>
      </c>
      <c r="V20" s="157">
        <v>0</v>
      </c>
      <c r="W20" s="158">
        <v>0</v>
      </c>
      <c r="X20" s="159">
        <v>0</v>
      </c>
      <c r="Z20" s="138" t="e">
        <v>#NUM!</v>
      </c>
      <c r="AB20" s="138">
        <v>0</v>
      </c>
      <c r="AD20" s="148" t="e">
        <v>#NUM!</v>
      </c>
      <c r="AE20" s="149" t="e">
        <v>#NUM!</v>
      </c>
      <c r="AF20" s="150" t="e">
        <v>#NUM!</v>
      </c>
      <c r="AH20" s="141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obj_0050c#0003</v>
      </c>
      <c r="C21" s="12" t="b">
        <f>_xll.qlInstrumentSetPricingEngine(B21,OisEngine)</f>
        <v>1</v>
      </c>
      <c r="D21" s="11" t="str">
        <f t="shared" si="10"/>
        <v>GBP_YC6MRH_3x9F</v>
      </c>
      <c r="E21" s="109">
        <f>_xll.qlRateHelperEarliestDate($D21,EvaluationDate)</f>
        <v>41771</v>
      </c>
      <c r="F21" s="110">
        <f>_xll.qlRateHelperLatestDate($D21,EvaluationDate)</f>
        <v>41955</v>
      </c>
      <c r="G21" s="27">
        <f>_xll.qlRateHelperRate($D21,AllTriggers)</f>
        <v>6.4000000000000003E-3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81">
        <f t="shared" si="2"/>
        <v>110</v>
      </c>
      <c r="O21" s="181">
        <f t="shared" si="3"/>
        <v>294</v>
      </c>
      <c r="P21" s="5">
        <f t="shared" si="7"/>
        <v>404</v>
      </c>
      <c r="R21" s="160">
        <f t="shared" si="8"/>
        <v>43625.333333333328</v>
      </c>
      <c r="S21" s="160">
        <f t="shared" si="9"/>
        <v>202</v>
      </c>
      <c r="T21" s="160">
        <v>1</v>
      </c>
      <c r="V21" s="160"/>
      <c r="W21" s="160"/>
      <c r="X21" s="160"/>
      <c r="AB21" s="122"/>
    </row>
    <row r="22" spans="1:34" x14ac:dyDescent="0.2">
      <c r="A22" s="1">
        <v>4</v>
      </c>
      <c r="B22" s="29" t="str">
        <f>_xll.qlMakeDatedOIS(,E22,F22,OvernightIndex,0,,,,EvaluationDate)</f>
        <v>obj_0050d#0003</v>
      </c>
      <c r="C22" s="12" t="b">
        <f>_xll.qlInstrumentSetPricingEngine(B22,OisEngine)</f>
        <v>1</v>
      </c>
      <c r="D22" s="11" t="str">
        <f t="shared" si="10"/>
        <v>GBP_YC6MRH_4x10F</v>
      </c>
      <c r="E22" s="109">
        <f>_xll.qlRateHelperEarliestDate($D22,EvaluationDate)</f>
        <v>41802</v>
      </c>
      <c r="F22" s="110">
        <f>_xll.qlRateHelperLatestDate($D22,EvaluationDate)</f>
        <v>41985</v>
      </c>
      <c r="G22" s="27">
        <f>_xll.qlRateHelperRate($D22,AllTriggers)</f>
        <v>6.3499999999999997E-3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81">
        <f t="shared" si="2"/>
        <v>141</v>
      </c>
      <c r="O22" s="181">
        <f t="shared" si="3"/>
        <v>324</v>
      </c>
      <c r="P22" s="5">
        <f t="shared" si="7"/>
        <v>465</v>
      </c>
      <c r="R22" s="160">
        <f t="shared" si="8"/>
        <v>56847</v>
      </c>
      <c r="S22" s="160">
        <f t="shared" si="9"/>
        <v>232.5</v>
      </c>
      <c r="T22" s="160">
        <v>1</v>
      </c>
      <c r="V22" s="160"/>
      <c r="W22" s="160"/>
      <c r="X22" s="160"/>
      <c r="AB22" s="122"/>
    </row>
    <row r="23" spans="1:34" x14ac:dyDescent="0.2">
      <c r="A23" s="1">
        <v>5</v>
      </c>
      <c r="B23" s="29" t="str">
        <f>_xll.qlMakeDatedOIS(,E23,F23,OvernightIndex,0,,,,EvaluationDate)</f>
        <v>obj_00506#0003</v>
      </c>
      <c r="C23" s="12" t="b">
        <f>_xll.qlInstrumentSetPricingEngine(B23,OisEngine)</f>
        <v>1</v>
      </c>
      <c r="D23" s="11" t="str">
        <f t="shared" si="10"/>
        <v>GBP_YC6MRH_5x11F</v>
      </c>
      <c r="E23" s="109">
        <f>_xll.qlRateHelperEarliestDate($D23,EvaluationDate)</f>
        <v>41834</v>
      </c>
      <c r="F23" s="110">
        <f>_xll.qlRateHelperLatestDate($D23,EvaluationDate)</f>
        <v>42018</v>
      </c>
      <c r="G23" s="27">
        <f>_xll.qlRateHelperRate($D23,AllTriggers)</f>
        <v>6.3499999999999997E-3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81">
        <f t="shared" si="2"/>
        <v>173</v>
      </c>
      <c r="O23" s="181">
        <f t="shared" si="3"/>
        <v>357</v>
      </c>
      <c r="P23" s="5">
        <f t="shared" si="7"/>
        <v>530</v>
      </c>
      <c r="R23" s="160">
        <f t="shared" si="8"/>
        <v>73046.333333333343</v>
      </c>
      <c r="S23" s="160">
        <f t="shared" si="9"/>
        <v>265</v>
      </c>
      <c r="T23" s="160">
        <v>1</v>
      </c>
      <c r="V23" s="160"/>
      <c r="W23" s="160"/>
      <c r="X23" s="160"/>
      <c r="AB23" s="122"/>
    </row>
    <row r="24" spans="1:34" x14ac:dyDescent="0.2">
      <c r="A24" s="1">
        <v>6</v>
      </c>
      <c r="B24" s="29" t="str">
        <f>_xll.qlMakeDatedOIS(,E24,F24,OvernightIndex,0,,,,EvaluationDate)</f>
        <v>obj_0050a#0003</v>
      </c>
      <c r="C24" s="12" t="b">
        <f>_xll.qlInstrumentSetPricingEngine(B24,OisEngine)</f>
        <v>1</v>
      </c>
      <c r="D24" s="11" t="str">
        <f t="shared" si="10"/>
        <v>GBP_YC6MRH_6x12F</v>
      </c>
      <c r="E24" s="109">
        <f>_xll.qlRateHelperEarliestDate($D24,EvaluationDate)</f>
        <v>41863</v>
      </c>
      <c r="F24" s="110">
        <f>_xll.qlRateHelperLatestDate($D24,EvaluationDate)</f>
        <v>42047</v>
      </c>
      <c r="G24" s="27">
        <f>_xll.qlRateHelperRate($D24,AllTriggers)</f>
        <v>6.3499999999999997E-3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81">
        <f t="shared" si="2"/>
        <v>202</v>
      </c>
      <c r="O24" s="181">
        <f t="shared" si="3"/>
        <v>386</v>
      </c>
      <c r="P24" s="5">
        <f t="shared" si="7"/>
        <v>588</v>
      </c>
      <c r="R24" s="160">
        <f t="shared" si="8"/>
        <v>89257.333333333343</v>
      </c>
      <c r="S24" s="160">
        <f t="shared" si="9"/>
        <v>294</v>
      </c>
      <c r="T24" s="160">
        <v>1</v>
      </c>
    </row>
    <row r="25" spans="1:34" x14ac:dyDescent="0.2">
      <c r="A25" s="1">
        <v>12</v>
      </c>
      <c r="B25" s="28" t="str">
        <f>_xll.qlMakeDatedOIS(,E25,F25,OvernightIndex,0,,,,EvaluationDate)</f>
        <v>obj_00508#0003</v>
      </c>
      <c r="C25" s="8" t="b">
        <f>_xll.qlInstrumentSetPricingEngine(B25,OisEngine)</f>
        <v>1</v>
      </c>
      <c r="D25" s="171" t="str">
        <f>Currency&amp;"_YCSTDRH_"&amp;A26&amp;"D"</f>
        <v>GBP_YCSTDRH_1YD</v>
      </c>
      <c r="E25" s="172">
        <f>_xll.qlRateHelperEarliestDate($D25,EvaluationDate)</f>
        <v>41682</v>
      </c>
      <c r="F25" s="173">
        <f>_xll.qlRateHelperLatestDate($D25,EvaluationDate)</f>
        <v>42047</v>
      </c>
      <c r="G25" s="174">
        <f>_xll.qlRateHelperRate($D25,AllTriggers)</f>
        <v>8.7938000000000009E-3</v>
      </c>
      <c r="H25" s="175" t="e">
        <f>_xll.qlOvernightIndexedSwapFairRate(B25,_xll.ohTrigger(C25,InterestRatesTrigger))</f>
        <v>#NUM!</v>
      </c>
      <c r="I25" s="176" t="e">
        <f t="shared" si="1"/>
        <v>#NUM!</v>
      </c>
      <c r="J25" s="177" t="b">
        <v>0</v>
      </c>
      <c r="K25" s="177"/>
      <c r="L25" s="177"/>
      <c r="M25" s="178"/>
      <c r="N25" s="180">
        <f t="shared" si="2"/>
        <v>21</v>
      </c>
      <c r="O25" s="180">
        <f t="shared" si="3"/>
        <v>386</v>
      </c>
      <c r="P25" s="178">
        <f t="shared" si="7"/>
        <v>407</v>
      </c>
      <c r="Q25" s="177"/>
      <c r="R25" s="191">
        <f t="shared" si="8"/>
        <v>52514.333333333336</v>
      </c>
      <c r="S25" s="191">
        <f t="shared" si="9"/>
        <v>203.5</v>
      </c>
      <c r="T25" s="191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obj_00519#0003</v>
      </c>
      <c r="C26" s="12" t="b">
        <f>_xll.qlInstrumentSetPricingEngine(B26,OisEngine)</f>
        <v>1</v>
      </c>
      <c r="D26" s="164" t="str">
        <f>PROPER(Currency&amp;IborType)&amp;A26&amp;"LastFixing_Quote"</f>
        <v>Gbplibor1YLastFixing_Quote</v>
      </c>
      <c r="E26" s="165">
        <f>E25</f>
        <v>41682</v>
      </c>
      <c r="F26" s="166">
        <f>F25</f>
        <v>42047</v>
      </c>
      <c r="G26" s="167">
        <f>_xll.qlQuoteValue(D26,AllTriggers)</f>
        <v>8.7938000000000009E-3</v>
      </c>
      <c r="H26" s="168" t="e">
        <f>_xll.qlOvernightIndexedSwapFairRate(B26,_xll.ohTrigger(C26,InterestRatesTrigger))</f>
        <v>#NUM!</v>
      </c>
      <c r="I26" s="169" t="e">
        <f t="shared" si="1"/>
        <v>#NUM!</v>
      </c>
      <c r="J26" s="177" t="b">
        <f>NOT(ISERROR(I26))</f>
        <v>0</v>
      </c>
      <c r="K26" s="179" t="e">
        <f>K27</f>
        <v>#NUM!</v>
      </c>
      <c r="L26" s="168" t="e">
        <f>L27</f>
        <v>#NUM!</v>
      </c>
      <c r="M26" s="178"/>
      <c r="N26" s="180">
        <f t="shared" si="2"/>
        <v>21</v>
      </c>
      <c r="O26" s="180">
        <f t="shared" si="3"/>
        <v>386</v>
      </c>
      <c r="P26" s="178">
        <f t="shared" si="7"/>
        <v>407</v>
      </c>
      <c r="Q26" s="177"/>
      <c r="R26" s="191">
        <f t="shared" si="8"/>
        <v>52514.333333333336</v>
      </c>
      <c r="S26" s="191">
        <f t="shared" si="9"/>
        <v>203.5</v>
      </c>
      <c r="T26" s="191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GBP_YC1YRH_12x24F</v>
      </c>
      <c r="E27" s="109" t="e">
        <f>_xll.qlRateHelperEarliestDate($D27,EvaluationDate)</f>
        <v>#NUM!</v>
      </c>
      <c r="F27" s="110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81" t="e">
        <f t="shared" si="2"/>
        <v>#NUM!</v>
      </c>
      <c r="O27" s="181" t="e">
        <f t="shared" si="3"/>
        <v>#NUM!</v>
      </c>
      <c r="P27" s="5" t="e">
        <f t="shared" si="7"/>
        <v>#NUM!</v>
      </c>
      <c r="R27" s="160" t="e">
        <f t="shared" si="8"/>
        <v>#NUM!</v>
      </c>
      <c r="S27" s="160" t="e">
        <f t="shared" si="9"/>
        <v>#NUM!</v>
      </c>
      <c r="T27" s="160">
        <v>1</v>
      </c>
    </row>
    <row r="28" spans="1:34" x14ac:dyDescent="0.2">
      <c r="B28" s="7"/>
      <c r="C28" s="7"/>
      <c r="D28" s="124"/>
      <c r="E28" s="124"/>
      <c r="F28" s="124"/>
      <c r="G28" s="124"/>
      <c r="H28" s="124"/>
      <c r="I28" s="125"/>
      <c r="O28" s="126"/>
      <c r="S28" s="126"/>
      <c r="T28" s="126"/>
      <c r="U28" s="126"/>
      <c r="V28" s="126"/>
      <c r="W28" s="126"/>
      <c r="X28" s="126"/>
      <c r="AA28" s="126"/>
    </row>
    <row r="29" spans="1:34" x14ac:dyDescent="0.2">
      <c r="G29" s="123" t="s">
        <v>68</v>
      </c>
      <c r="H29" s="123" t="s">
        <v>68</v>
      </c>
      <c r="I29" s="123" t="s">
        <v>68</v>
      </c>
      <c r="J29" s="123" t="s">
        <v>68</v>
      </c>
    </row>
    <row r="30" spans="1:34" x14ac:dyDescent="0.2">
      <c r="A30" s="6"/>
      <c r="B30" s="6"/>
      <c r="C30" s="6"/>
      <c r="D30" s="6"/>
      <c r="E30" s="6"/>
      <c r="F30" s="6"/>
      <c r="G30" s="123" t="b">
        <v>0</v>
      </c>
      <c r="H30" s="123" t="b">
        <v>0</v>
      </c>
      <c r="I30" s="123" t="b">
        <v>0</v>
      </c>
      <c r="J30" s="123" t="b">
        <v>0</v>
      </c>
      <c r="M30" s="163" t="s">
        <v>76</v>
      </c>
      <c r="O30" s="123" t="b">
        <v>1</v>
      </c>
      <c r="P30" s="123" t="b">
        <v>1</v>
      </c>
      <c r="U30" s="185" t="s">
        <v>76</v>
      </c>
      <c r="V30" s="186" t="e">
        <f>Z9</f>
        <v>#NUM!</v>
      </c>
      <c r="W30" s="13" t="e">
        <f>Z18</f>
        <v>#NUM!</v>
      </c>
    </row>
    <row r="31" spans="1:34" x14ac:dyDescent="0.2">
      <c r="F31" s="94" t="s">
        <v>60</v>
      </c>
      <c r="G31" s="37">
        <f>_xll.ohFilter(I2:I3,J2:J3)</f>
        <v>0</v>
      </c>
      <c r="H31" s="38" t="e">
        <f>_xll.ohFilter(I6:I9,J6:J9)</f>
        <v>#NUM!</v>
      </c>
      <c r="I31" s="38">
        <f>_xll.ohFilter(I15:I18,J15:J18)</f>
        <v>0</v>
      </c>
      <c r="J31" s="39">
        <f>_xll.ohFilter(I25:I26,J25:J26)</f>
        <v>0</v>
      </c>
      <c r="M31" s="123" t="s">
        <v>73</v>
      </c>
      <c r="N31" s="122" t="e">
        <f>K4</f>
        <v>#NUM!</v>
      </c>
      <c r="O31" s="122" t="e">
        <f>K9</f>
        <v>#NUM!</v>
      </c>
      <c r="P31" s="122" t="e">
        <f>AVERAGE(K19:K21)</f>
        <v>#NUM!</v>
      </c>
      <c r="Q31" s="122" t="e">
        <f>K26</f>
        <v>#NUM!</v>
      </c>
      <c r="U31" s="187" t="s">
        <v>73</v>
      </c>
      <c r="V31" s="131" t="e">
        <f>Z10</f>
        <v>#NUM!</v>
      </c>
      <c r="W31" s="16" t="e">
        <f>Z19</f>
        <v>#NUM!</v>
      </c>
    </row>
    <row r="32" spans="1:34" x14ac:dyDescent="0.2">
      <c r="F32" s="94" t="s">
        <v>59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>
        <f>IF(J31&lt;I31,I31,J31)</f>
        <v>0</v>
      </c>
      <c r="M32" s="123" t="s">
        <v>72</v>
      </c>
      <c r="N32" s="122" t="e">
        <f>L4</f>
        <v>#NUM!</v>
      </c>
      <c r="O32" s="122" t="e">
        <f>L9</f>
        <v>#NUM!</v>
      </c>
      <c r="P32" s="122">
        <f>L18</f>
        <v>0</v>
      </c>
      <c r="Q32" s="122" t="e">
        <f>L26</f>
        <v>#NUM!</v>
      </c>
      <c r="U32" s="187" t="s">
        <v>72</v>
      </c>
      <c r="V32" s="131" t="e">
        <f>Z11</f>
        <v>#NUM!</v>
      </c>
      <c r="W32" s="16" t="e">
        <f>Z20</f>
        <v>#NUM!</v>
      </c>
    </row>
    <row r="33" spans="2:23" x14ac:dyDescent="0.2">
      <c r="B33" s="17" t="s">
        <v>53</v>
      </c>
      <c r="C33" s="18"/>
      <c r="D33" s="17" t="s">
        <v>26</v>
      </c>
      <c r="E33" s="18" t="s">
        <v>22</v>
      </c>
      <c r="F33" s="19" t="s">
        <v>21</v>
      </c>
      <c r="G33" s="17" t="s">
        <v>24</v>
      </c>
      <c r="H33" s="18" t="s">
        <v>18</v>
      </c>
      <c r="I33" s="18" t="s">
        <v>31</v>
      </c>
      <c r="J33" s="20" t="s">
        <v>51</v>
      </c>
      <c r="K33" s="17" t="s">
        <v>71</v>
      </c>
      <c r="L33" s="20" t="s">
        <v>64</v>
      </c>
      <c r="N33" s="17" t="s">
        <v>24</v>
      </c>
      <c r="O33" s="18" t="s">
        <v>18</v>
      </c>
      <c r="P33" s="18" t="s">
        <v>31</v>
      </c>
      <c r="Q33" s="20" t="s">
        <v>51</v>
      </c>
      <c r="U33" s="188"/>
      <c r="V33" s="18" t="s">
        <v>18</v>
      </c>
      <c r="W33" s="20" t="s">
        <v>31</v>
      </c>
    </row>
    <row r="34" spans="2:23" x14ac:dyDescent="0.2">
      <c r="B34" s="28" t="str">
        <f>_xll.qlMakeDatedOIS(,E34,F34,OvernightIndex,0,,,,EvaluationDate)</f>
        <v>obj_0051c#0003</v>
      </c>
      <c r="C34" s="7" t="b">
        <f>_xll.qlInstrumentSetPricingEngine(B34,OisEngine)</f>
        <v>1</v>
      </c>
      <c r="D34" s="21" t="s">
        <v>30</v>
      </c>
      <c r="E34" s="107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127" t="e">
        <f t="shared" ref="K34:K49" si="15">F34-$E$8</f>
        <v>#NUM!</v>
      </c>
      <c r="L34" s="2" t="e">
        <f>_xll.qlOvernightIndexedSwapFairRate(B34,_xll.ohTrigger(C34,InterestRatesTrigger))</f>
        <v>#NUM!</v>
      </c>
      <c r="N34" s="130" t="e">
        <f>N$31*$K34+N$32</f>
        <v>#NUM!</v>
      </c>
      <c r="O34" s="131" t="e">
        <f t="shared" ref="O34:P40" si="16">IF(O$30,V34,O$31*$K34+O$32)</f>
        <v>#NUM!</v>
      </c>
      <c r="P34" s="131" t="e">
        <f t="shared" si="16"/>
        <v>#NUM!</v>
      </c>
      <c r="Q34" s="16" t="e">
        <f t="shared" ref="Q34:Q49" si="17">Q$31*$K34+Q$32</f>
        <v>#NUM!</v>
      </c>
      <c r="U34" s="21" t="s">
        <v>30</v>
      </c>
      <c r="V34" s="131" t="e">
        <f t="shared" ref="V34:W40" si="18">$K34*$K34/3*V$30+$K34/2*V$31+V$32</f>
        <v>#NUM!</v>
      </c>
      <c r="W34" s="16" t="e">
        <f t="shared" si="18"/>
        <v>#NUM!</v>
      </c>
    </row>
    <row r="35" spans="2:23" x14ac:dyDescent="0.2">
      <c r="B35" s="29" t="str">
        <f>_xll.qlMakeDatedOIS(,E35,F35,OvernightIndex,0,,,,EvaluationDate)</f>
        <v>obj_0051e#0003</v>
      </c>
      <c r="C35" s="5" t="b">
        <f>_xll.qlInstrumentSetPricingEngine(B35,OisEngine)</f>
        <v>1</v>
      </c>
      <c r="D35" s="23" t="s">
        <v>19</v>
      </c>
      <c r="E35" s="109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128" t="e">
        <f t="shared" si="15"/>
        <v>#NUM!</v>
      </c>
      <c r="L35" s="3" t="e">
        <f>_xll.qlOvernightIndexedSwapFairRate(B35,_xll.ohTrigger(C35,InterestRatesTrigger))</f>
        <v>#NUM!</v>
      </c>
      <c r="N35" s="130" t="e">
        <f>N$31*$K35+N$32</f>
        <v>#NUM!</v>
      </c>
      <c r="O35" s="131" t="e">
        <f t="shared" si="16"/>
        <v>#NUM!</v>
      </c>
      <c r="P35" s="131" t="e">
        <f t="shared" si="16"/>
        <v>#NUM!</v>
      </c>
      <c r="Q35" s="16" t="e">
        <f t="shared" si="17"/>
        <v>#NUM!</v>
      </c>
      <c r="U35" s="23" t="s">
        <v>19</v>
      </c>
      <c r="V35" s="131" t="e">
        <f t="shared" si="18"/>
        <v>#NUM!</v>
      </c>
      <c r="W35" s="16" t="e">
        <f t="shared" si="18"/>
        <v>#NUM!</v>
      </c>
    </row>
    <row r="36" spans="2:23" x14ac:dyDescent="0.2">
      <c r="B36" s="29" t="str">
        <f>_xll.qlMakeDatedOIS(,E36,F36,OvernightIndex,0,,,,EvaluationDate)</f>
        <v>obj_00517#0003</v>
      </c>
      <c r="C36" s="5" t="b">
        <f>_xll.qlInstrumentSetPricingEngine(B36,OisEngine)</f>
        <v>1</v>
      </c>
      <c r="D36" s="23" t="s">
        <v>20</v>
      </c>
      <c r="E36" s="109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128" t="e">
        <f t="shared" si="15"/>
        <v>#NUM!</v>
      </c>
      <c r="L36" s="3" t="e">
        <f>_xll.qlOvernightIndexedSwapFairRate(B36,_xll.ohTrigger(C36,InterestRatesTrigger))</f>
        <v>#NUM!</v>
      </c>
      <c r="N36" s="130" t="e">
        <f>N$31*$K36+N$32</f>
        <v>#NUM!</v>
      </c>
      <c r="O36" s="131" t="e">
        <f t="shared" si="16"/>
        <v>#NUM!</v>
      </c>
      <c r="P36" s="131" t="e">
        <f t="shared" si="16"/>
        <v>#NUM!</v>
      </c>
      <c r="Q36" s="16" t="e">
        <f t="shared" si="17"/>
        <v>#NUM!</v>
      </c>
      <c r="U36" s="23" t="s">
        <v>20</v>
      </c>
      <c r="V36" s="131" t="e">
        <f t="shared" si="18"/>
        <v>#NUM!</v>
      </c>
      <c r="W36" s="16" t="e">
        <f t="shared" si="18"/>
        <v>#NUM!</v>
      </c>
    </row>
    <row r="37" spans="2:23" x14ac:dyDescent="0.2">
      <c r="B37" s="30" t="str">
        <f>_xll.qlMakeDatedOIS(,E37,F37,OvernightIndex,0,,,,EvaluationDate)</f>
        <v>obj_0051b#0003</v>
      </c>
      <c r="C37" s="10" t="b">
        <f>_xll.qlInstrumentSetPricingEngine(B37,OisEngine)</f>
        <v>1</v>
      </c>
      <c r="D37" s="31" t="s">
        <v>23</v>
      </c>
      <c r="E37" s="108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129" t="e">
        <f t="shared" si="15"/>
        <v>#NUM!</v>
      </c>
      <c r="L37" s="4" t="e">
        <f>_xll.qlOvernightIndexedSwapFairRate(B37,_xll.ohTrigger(C37,InterestRatesTrigger))</f>
        <v>#NUM!</v>
      </c>
      <c r="N37" s="161" t="e">
        <f>N$31*$K37+N$32</f>
        <v>#NUM!</v>
      </c>
      <c r="O37" s="162" t="e">
        <f t="shared" si="16"/>
        <v>#NUM!</v>
      </c>
      <c r="P37" s="162" t="e">
        <f t="shared" si="16"/>
        <v>#NUM!</v>
      </c>
      <c r="Q37" s="14" t="e">
        <f t="shared" si="17"/>
        <v>#NUM!</v>
      </c>
      <c r="U37" s="31" t="s">
        <v>23</v>
      </c>
      <c r="V37" s="162" t="e">
        <f t="shared" si="18"/>
        <v>#NUM!</v>
      </c>
      <c r="W37" s="14" t="e">
        <f t="shared" si="18"/>
        <v>#NUM!</v>
      </c>
    </row>
    <row r="38" spans="2:23" x14ac:dyDescent="0.2">
      <c r="B38" s="29" t="str">
        <f>_xll.qlMakeDatedOIS(,E38,F38,OvernightIndex,0,,,,EvaluationDate)</f>
        <v>obj_00515#0003</v>
      </c>
      <c r="C38" s="5" t="b">
        <f>_xll.qlInstrumentSetPricingEngine(B38,OisEngine)</f>
        <v>1</v>
      </c>
      <c r="D38" s="23" t="s">
        <v>24</v>
      </c>
      <c r="E38" s="109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127" t="e">
        <f t="shared" si="15"/>
        <v>#NUM!</v>
      </c>
      <c r="L38" s="3" t="e">
        <f>_xll.qlOvernightIndexedSwapFairRate(B38,_xll.ohTrigger(C38,InterestRatesTrigger))</f>
        <v>#NUM!</v>
      </c>
      <c r="N38" s="130" t="e">
        <f>N$31*$K38+N$32</f>
        <v>#NUM!</v>
      </c>
      <c r="O38" s="131" t="e">
        <f t="shared" si="16"/>
        <v>#NUM!</v>
      </c>
      <c r="P38" s="131" t="e">
        <f t="shared" si="16"/>
        <v>#NUM!</v>
      </c>
      <c r="Q38" s="16" t="e">
        <f t="shared" si="17"/>
        <v>#NUM!</v>
      </c>
      <c r="U38" s="23" t="s">
        <v>24</v>
      </c>
      <c r="V38" s="131" t="e">
        <f t="shared" si="18"/>
        <v>#NUM!</v>
      </c>
      <c r="W38" s="16" t="e">
        <f t="shared" si="18"/>
        <v>#NUM!</v>
      </c>
    </row>
    <row r="39" spans="2:23" x14ac:dyDescent="0.2">
      <c r="B39" s="29" t="str">
        <f>_xll.qlMakeDatedOIS(,E39,F39,OvernightIndex,0,,,,EvaluationDate)</f>
        <v>obj_00518#0003</v>
      </c>
      <c r="C39" s="5" t="b">
        <f>_xll.qlInstrumentSetPricingEngine(B39,OisEngine)</f>
        <v>1</v>
      </c>
      <c r="D39" s="23" t="s">
        <v>25</v>
      </c>
      <c r="E39" s="109">
        <f t="shared" si="13"/>
        <v>41661</v>
      </c>
      <c r="F39" s="24">
        <f>_xll.qlCalendarAdvance(Calendar,SettlementDate,D39,"mf",TRUE)</f>
        <v>41722</v>
      </c>
      <c r="G39" s="98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128" t="e">
        <f t="shared" si="15"/>
        <v>#NUM!</v>
      </c>
      <c r="L39" s="3" t="e">
        <f>_xll.qlOvernightIndexedSwapFairRate(B39,_xll.ohTrigger(C39,InterestRatesTrigger))</f>
        <v>#NUM!</v>
      </c>
      <c r="N39" s="98"/>
      <c r="O39" s="131" t="e">
        <f t="shared" si="16"/>
        <v>#NUM!</v>
      </c>
      <c r="P39" s="131" t="e">
        <f t="shared" si="16"/>
        <v>#NUM!</v>
      </c>
      <c r="Q39" s="16" t="e">
        <f t="shared" si="17"/>
        <v>#NUM!</v>
      </c>
      <c r="U39" s="23" t="s">
        <v>25</v>
      </c>
      <c r="V39" s="131" t="e">
        <f t="shared" si="18"/>
        <v>#NUM!</v>
      </c>
      <c r="W39" s="16" t="e">
        <f t="shared" si="18"/>
        <v>#NUM!</v>
      </c>
    </row>
    <row r="40" spans="2:23" x14ac:dyDescent="0.2">
      <c r="B40" s="29" t="str">
        <f>_xll.qlMakeDatedOIS(,E40,F40,OvernightIndex,0,,,,EvaluationDate)</f>
        <v>obj_0051d#0003</v>
      </c>
      <c r="C40" s="5" t="b">
        <f>_xll.qlInstrumentSetPricingEngine(B40,OisEngine)</f>
        <v>1</v>
      </c>
      <c r="D40" s="23" t="s">
        <v>18</v>
      </c>
      <c r="E40" s="109">
        <f t="shared" si="13"/>
        <v>41661</v>
      </c>
      <c r="F40" s="24">
        <f>_xll.qlCalendarAdvance(Calendar,SettlementDate,D40,"mf",TRUE)</f>
        <v>41751</v>
      </c>
      <c r="G40" s="96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128" t="e">
        <f t="shared" si="15"/>
        <v>#NUM!</v>
      </c>
      <c r="L40" s="3" t="e">
        <f>_xll.qlOvernightIndexedSwapFairRate(B40,_xll.ohTrigger(C40,InterestRatesTrigger))</f>
        <v>#NUM!</v>
      </c>
      <c r="N40" s="96"/>
      <c r="O40" s="131" t="e">
        <f t="shared" si="16"/>
        <v>#NUM!</v>
      </c>
      <c r="P40" s="131" t="e">
        <f t="shared" si="16"/>
        <v>#NUM!</v>
      </c>
      <c r="Q40" s="16" t="e">
        <f t="shared" si="17"/>
        <v>#NUM!</v>
      </c>
      <c r="U40" s="23" t="s">
        <v>18</v>
      </c>
      <c r="V40" s="131" t="e">
        <f t="shared" si="18"/>
        <v>#NUM!</v>
      </c>
      <c r="W40" s="16" t="e">
        <f t="shared" si="18"/>
        <v>#NUM!</v>
      </c>
    </row>
    <row r="41" spans="2:23" x14ac:dyDescent="0.2">
      <c r="B41" s="29" t="str">
        <f>_xll.qlMakeDatedOIS(,E41,F41,OvernightIndex,0,,,,EvaluationDate)</f>
        <v>obj_0050f#0003</v>
      </c>
      <c r="C41" s="5" t="b">
        <f>_xll.qlInstrumentSetPricingEngine(B41,OisEngine)</f>
        <v>1</v>
      </c>
      <c r="D41" s="23" t="s">
        <v>27</v>
      </c>
      <c r="E41" s="109">
        <f t="shared" si="13"/>
        <v>41661</v>
      </c>
      <c r="F41" s="24">
        <f>_xll.qlCalendarAdvance(Calendar,SettlementDate,D41,"mf",TRUE)</f>
        <v>41781</v>
      </c>
      <c r="G41" s="36"/>
      <c r="H41" s="97"/>
      <c r="I41" s="32" t="e">
        <f t="shared" ref="I41:J43" si="20">$L41+IF(I$30,I$32,P41)</f>
        <v>#NUM!</v>
      </c>
      <c r="J41" s="32" t="e">
        <f t="shared" si="20"/>
        <v>#NUM!</v>
      </c>
      <c r="K41" s="128" t="e">
        <f t="shared" si="15"/>
        <v>#NUM!</v>
      </c>
      <c r="L41" s="3" t="e">
        <f>_xll.qlOvernightIndexedSwapFairRate(B41,_xll.ohTrigger(C41,InterestRatesTrigger))</f>
        <v>#NUM!</v>
      </c>
      <c r="N41" s="36"/>
      <c r="O41" s="97"/>
      <c r="P41" s="131" t="e">
        <f>IF(P$30,W41,P$31*$K41+P$32)</f>
        <v>#NUM!</v>
      </c>
      <c r="Q41" s="16" t="e">
        <f t="shared" si="17"/>
        <v>#NUM!</v>
      </c>
      <c r="U41" s="23" t="s">
        <v>27</v>
      </c>
      <c r="V41" s="131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obj_00513#0003</v>
      </c>
      <c r="C42" s="5" t="b">
        <f>_xll.qlInstrumentSetPricingEngine(B42,OisEngine)</f>
        <v>1</v>
      </c>
      <c r="D42" s="23" t="s">
        <v>28</v>
      </c>
      <c r="E42" s="109">
        <f t="shared" si="13"/>
        <v>41661</v>
      </c>
      <c r="F42" s="24">
        <f>_xll.qlCalendarAdvance(Calendar,SettlementDate,D42,"mf",TRUE)</f>
        <v>41813</v>
      </c>
      <c r="G42" s="36"/>
      <c r="H42" s="95"/>
      <c r="I42" s="32" t="e">
        <f t="shared" si="20"/>
        <v>#NUM!</v>
      </c>
      <c r="J42" s="32" t="e">
        <f t="shared" si="20"/>
        <v>#NUM!</v>
      </c>
      <c r="K42" s="128" t="e">
        <f t="shared" si="15"/>
        <v>#NUM!</v>
      </c>
      <c r="L42" s="3" t="e">
        <f>_xll.qlOvernightIndexedSwapFairRate(B42,_xll.ohTrigger(C42,InterestRatesTrigger))</f>
        <v>#NUM!</v>
      </c>
      <c r="N42" s="36"/>
      <c r="O42" s="95"/>
      <c r="P42" s="131" t="e">
        <f>IF(P$30,W42,P$31*$K42+P$32)</f>
        <v>#NUM!</v>
      </c>
      <c r="Q42" s="16" t="e">
        <f t="shared" si="17"/>
        <v>#NUM!</v>
      </c>
      <c r="U42" s="23" t="s">
        <v>28</v>
      </c>
      <c r="V42" s="131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obj_0051f#0003</v>
      </c>
      <c r="C43" s="5" t="b">
        <f>_xll.qlInstrumentSetPricingEngine(B43,OisEngine)</f>
        <v>1</v>
      </c>
      <c r="D43" s="25" t="s">
        <v>31</v>
      </c>
      <c r="E43" s="109">
        <f t="shared" si="13"/>
        <v>41661</v>
      </c>
      <c r="F43" s="24">
        <f>_xll.qlCalendarAdvance(Calendar,SettlementDate,D43,"mf",TRUE)</f>
        <v>41842</v>
      </c>
      <c r="G43" s="36"/>
      <c r="H43" s="95"/>
      <c r="I43" s="32" t="e">
        <f t="shared" si="20"/>
        <v>#NUM!</v>
      </c>
      <c r="J43" s="32" t="e">
        <f t="shared" si="20"/>
        <v>#NUM!</v>
      </c>
      <c r="K43" s="128" t="e">
        <f t="shared" si="15"/>
        <v>#NUM!</v>
      </c>
      <c r="L43" s="3" t="e">
        <f>_xll.qlOvernightIndexedSwapFairRate(B43,_xll.ohTrigger(C43,InterestRatesTrigger))</f>
        <v>#NUM!</v>
      </c>
      <c r="N43" s="36"/>
      <c r="O43" s="95"/>
      <c r="P43" s="131" t="e">
        <f>IF(P$30,W43,P$31*$K43+P$32)</f>
        <v>#NUM!</v>
      </c>
      <c r="Q43" s="16" t="e">
        <f t="shared" si="17"/>
        <v>#NUM!</v>
      </c>
      <c r="U43" s="189" t="s">
        <v>31</v>
      </c>
      <c r="V43" s="162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obj_00510#0003</v>
      </c>
      <c r="C44" s="5" t="b">
        <f>_xll.qlInstrumentSetPricingEngine(B44,OisEngine)</f>
        <v>1</v>
      </c>
      <c r="D44" s="25" t="s">
        <v>40</v>
      </c>
      <c r="E44" s="109">
        <f t="shared" si="13"/>
        <v>41661</v>
      </c>
      <c r="F44" s="24">
        <f>_xll.qlCalendarAdvance(Calendar,SettlementDate,D44,"mf",TRUE)</f>
        <v>41873</v>
      </c>
      <c r="G44" s="36"/>
      <c r="H44" s="33"/>
      <c r="I44" s="97"/>
      <c r="J44" s="32" t="e">
        <f t="shared" ref="J44:J49" si="21">$L44+IF(J$30,J$32,Q44)</f>
        <v>#NUM!</v>
      </c>
      <c r="K44" s="128" t="e">
        <f t="shared" si="15"/>
        <v>#NUM!</v>
      </c>
      <c r="L44" s="3" t="e">
        <f>_xll.qlOvernightIndexedSwapFairRate(B44,_xll.ohTrigger(C44,InterestRatesTrigger))</f>
        <v>#NUM!</v>
      </c>
      <c r="N44" s="36"/>
      <c r="O44" s="33"/>
      <c r="P44" s="97"/>
      <c r="Q44" s="16" t="e">
        <f t="shared" si="17"/>
        <v>#NUM!</v>
      </c>
    </row>
    <row r="45" spans="2:23" x14ac:dyDescent="0.2">
      <c r="B45" s="29" t="str">
        <f>_xll.qlMakeDatedOIS(,E45,F45,OvernightIndex,0,,,,EvaluationDate)</f>
        <v>obj_00512#0003</v>
      </c>
      <c r="C45" s="5" t="b">
        <f>_xll.qlInstrumentSetPricingEngine(B45,OisEngine)</f>
        <v>1</v>
      </c>
      <c r="D45" s="25" t="s">
        <v>41</v>
      </c>
      <c r="E45" s="109">
        <f t="shared" si="13"/>
        <v>41661</v>
      </c>
      <c r="F45" s="24">
        <f>_xll.qlCalendarAdvance(Calendar,SettlementDate,D45,"mf",TRUE)</f>
        <v>41904</v>
      </c>
      <c r="G45" s="36"/>
      <c r="H45" s="33"/>
      <c r="I45" s="95"/>
      <c r="J45" s="32" t="e">
        <f t="shared" si="21"/>
        <v>#NUM!</v>
      </c>
      <c r="K45" s="128" t="e">
        <f t="shared" si="15"/>
        <v>#NUM!</v>
      </c>
      <c r="L45" s="3" t="e">
        <f>_xll.qlOvernightIndexedSwapFairRate(B45,_xll.ohTrigger(C45,InterestRatesTrigger))</f>
        <v>#NUM!</v>
      </c>
      <c r="N45" s="36"/>
      <c r="O45" s="33"/>
      <c r="P45" s="95"/>
      <c r="Q45" s="16" t="e">
        <f t="shared" si="17"/>
        <v>#NUM!</v>
      </c>
    </row>
    <row r="46" spans="2:23" x14ac:dyDescent="0.2">
      <c r="B46" s="29" t="str">
        <f>_xll.qlMakeDatedOIS(,E46,F46,OvernightIndex,0,,,,EvaluationDate)</f>
        <v>obj_00521#0003</v>
      </c>
      <c r="C46" s="5" t="b">
        <f>_xll.qlInstrumentSetPricingEngine(B46,OisEngine)</f>
        <v>1</v>
      </c>
      <c r="D46" s="25" t="s">
        <v>42</v>
      </c>
      <c r="E46" s="109">
        <f t="shared" si="13"/>
        <v>41661</v>
      </c>
      <c r="F46" s="24">
        <f>_xll.qlCalendarAdvance(Calendar,SettlementDate,D46,"mf",TRUE)</f>
        <v>41934</v>
      </c>
      <c r="G46" s="36"/>
      <c r="H46" s="33"/>
      <c r="I46" s="95"/>
      <c r="J46" s="32" t="e">
        <f t="shared" si="21"/>
        <v>#NUM!</v>
      </c>
      <c r="K46" s="128" t="e">
        <f t="shared" si="15"/>
        <v>#NUM!</v>
      </c>
      <c r="L46" s="3" t="e">
        <f>_xll.qlOvernightIndexedSwapFairRate(B46,_xll.ohTrigger(C46,InterestRatesTrigger))</f>
        <v>#NUM!</v>
      </c>
      <c r="N46" s="36"/>
      <c r="O46" s="33"/>
      <c r="P46" s="95"/>
      <c r="Q46" s="16" t="e">
        <f t="shared" si="17"/>
        <v>#NUM!</v>
      </c>
    </row>
    <row r="47" spans="2:23" x14ac:dyDescent="0.2">
      <c r="B47" s="29" t="str">
        <f>_xll.qlMakeDatedOIS(,E47,F47,OvernightIndex,0,,,,EvaluationDate)</f>
        <v>obj_0051a#0003</v>
      </c>
      <c r="C47" s="5" t="b">
        <f>_xll.qlInstrumentSetPricingEngine(B47,OisEngine)</f>
        <v>1</v>
      </c>
      <c r="D47" s="25" t="s">
        <v>43</v>
      </c>
      <c r="E47" s="109">
        <f t="shared" si="13"/>
        <v>41661</v>
      </c>
      <c r="F47" s="24">
        <f>_xll.qlCalendarAdvance(Calendar,SettlementDate,D47,"mf",TRUE)</f>
        <v>41967</v>
      </c>
      <c r="G47" s="36"/>
      <c r="H47" s="33"/>
      <c r="I47" s="95"/>
      <c r="J47" s="32" t="e">
        <f t="shared" si="21"/>
        <v>#NUM!</v>
      </c>
      <c r="K47" s="128" t="e">
        <f t="shared" si="15"/>
        <v>#NUM!</v>
      </c>
      <c r="L47" s="3" t="e">
        <f>_xll.qlOvernightIndexedSwapFairRate(B47,_xll.ohTrigger(C47,InterestRatesTrigger))</f>
        <v>#NUM!</v>
      </c>
      <c r="N47" s="36"/>
      <c r="O47" s="33"/>
      <c r="P47" s="95"/>
      <c r="Q47" s="16" t="e">
        <f t="shared" si="17"/>
        <v>#NUM!</v>
      </c>
    </row>
    <row r="48" spans="2:23" x14ac:dyDescent="0.2">
      <c r="B48" s="29" t="str">
        <f>_xll.qlMakeDatedOIS(,E48,F48,OvernightIndex,0,,,,EvaluationDate)</f>
        <v>obj_00514#0003</v>
      </c>
      <c r="C48" s="5" t="b">
        <f>_xll.qlInstrumentSetPricingEngine(B48,OisEngine)</f>
        <v>1</v>
      </c>
      <c r="D48" s="25" t="s">
        <v>44</v>
      </c>
      <c r="E48" s="109">
        <f t="shared" si="13"/>
        <v>41661</v>
      </c>
      <c r="F48" s="24">
        <f>_xll.qlCalendarAdvance(Calendar,SettlementDate,D48,"mf",TRUE)</f>
        <v>41995</v>
      </c>
      <c r="G48" s="36"/>
      <c r="H48" s="33"/>
      <c r="I48" s="95"/>
      <c r="J48" s="32" t="e">
        <f t="shared" si="21"/>
        <v>#NUM!</v>
      </c>
      <c r="K48" s="128" t="e">
        <f t="shared" si="15"/>
        <v>#NUM!</v>
      </c>
      <c r="L48" s="3" t="e">
        <f>_xll.qlOvernightIndexedSwapFairRate(B48,_xll.ohTrigger(C48,InterestRatesTrigger))</f>
        <v>#NUM!</v>
      </c>
      <c r="N48" s="36"/>
      <c r="O48" s="33"/>
      <c r="P48" s="95"/>
      <c r="Q48" s="16" t="e">
        <f t="shared" si="17"/>
        <v>#NUM!</v>
      </c>
    </row>
    <row r="49" spans="2:17" x14ac:dyDescent="0.2">
      <c r="B49" s="30" t="str">
        <f>_xll.qlMakeDatedOIS(,E49,F49,OvernightIndex,0,,,,EvaluationDate)</f>
        <v>obj_00522#0003</v>
      </c>
      <c r="C49" s="10" t="b">
        <f>_xll.qlInstrumentSetPricingEngine(B49,OisEngine)</f>
        <v>1</v>
      </c>
      <c r="D49" s="25" t="s">
        <v>45</v>
      </c>
      <c r="E49" s="109">
        <f t="shared" si="13"/>
        <v>41661</v>
      </c>
      <c r="F49" s="24">
        <f>_xll.qlCalendarAdvance(Calendar,SettlementDate,D49,"mf",TRUE)</f>
        <v>42026</v>
      </c>
      <c r="G49" s="36"/>
      <c r="H49" s="33"/>
      <c r="I49" s="95"/>
      <c r="J49" s="32" t="e">
        <f t="shared" si="21"/>
        <v>#NUM!</v>
      </c>
      <c r="K49" s="128" t="e">
        <f t="shared" si="15"/>
        <v>#NUM!</v>
      </c>
      <c r="L49" s="3" t="e">
        <f>_xll.qlOvernightIndexedSwapFairRate(B49,_xll.ohTrigger(C49,InterestRatesTrigger))</f>
        <v>#NUM!</v>
      </c>
      <c r="N49" s="132"/>
      <c r="O49" s="133"/>
      <c r="P49" s="134"/>
      <c r="Q49" s="14" t="e">
        <f t="shared" si="17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customWidth="1"/>
    <col min="10" max="10" width="6.6640625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29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_xll.ohTrigger(I5:I8)</f>
        <v>0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 t="e">
        <f>Calculation!G34</f>
        <v>#NUM!</v>
      </c>
      <c r="D5" s="46"/>
      <c r="E5" s="60">
        <v>4.7795858032327809E-3</v>
      </c>
      <c r="F5" s="46"/>
      <c r="G5" s="61" t="str">
        <f>Currency&amp;$B5&amp;$H$2</f>
        <v>GBPSND_SYNTH1M_Quote</v>
      </c>
      <c r="H5" s="62">
        <f t="array" ref="H5:H9">QuoteStatic</f>
        <v>4.7795858032327809E-3</v>
      </c>
      <c r="I5" s="59" t="e">
        <f>_xll.qlSimpleQuoteSetValue($G5,ROUND($H5,6),EvaluationDate)</f>
        <v>#NUM!</v>
      </c>
      <c r="J5" s="50"/>
    </row>
    <row r="6" spans="1:10" x14ac:dyDescent="0.2">
      <c r="A6" s="51"/>
      <c r="B6" s="58" t="s">
        <v>12</v>
      </c>
      <c r="C6" s="59" t="e">
        <f>Calculation!G35</f>
        <v>#NUM!</v>
      </c>
      <c r="D6" s="46"/>
      <c r="E6" s="60">
        <v>4.7862770428389574E-3</v>
      </c>
      <c r="F6" s="46"/>
      <c r="G6" s="61" t="str">
        <f>Currency&amp;$B6&amp;$H$2</f>
        <v>GBPSWD_SYNTH1M_Quote</v>
      </c>
      <c r="H6" s="62">
        <v>4.7862770428389574E-3</v>
      </c>
      <c r="I6" s="59" t="e">
        <f>_xll.qlSimpleQuoteSetValue($G6,ROUND($H6,6),EvaluationDate)</f>
        <v>#NUM!</v>
      </c>
      <c r="J6" s="50"/>
    </row>
    <row r="7" spans="1:10" x14ac:dyDescent="0.2">
      <c r="A7" s="51"/>
      <c r="B7" s="58" t="s">
        <v>13</v>
      </c>
      <c r="C7" s="59" t="e">
        <f>Calculation!G36</f>
        <v>#NUM!</v>
      </c>
      <c r="D7" s="46"/>
      <c r="E7" s="60">
        <v>4.7972436601899805E-3</v>
      </c>
      <c r="F7" s="46"/>
      <c r="G7" s="61" t="str">
        <f>Currency&amp;$B7&amp;$H$2</f>
        <v>GBP2WD_SYNTH1M_Quote</v>
      </c>
      <c r="H7" s="62">
        <v>4.7972436601899805E-3</v>
      </c>
      <c r="I7" s="59" t="e">
        <f>_xll.qlSimpleQuoteSetValue($G7,ROUND($H7,6),EvaluationDate)</f>
        <v>#NUM!</v>
      </c>
      <c r="J7" s="50"/>
    </row>
    <row r="8" spans="1:10" x14ac:dyDescent="0.2">
      <c r="A8" s="51"/>
      <c r="B8" s="63" t="s">
        <v>14</v>
      </c>
      <c r="C8" s="64" t="e">
        <f>Calculation!G37</f>
        <v>#NUM!</v>
      </c>
      <c r="D8" s="46"/>
      <c r="E8" s="65">
        <v>4.8114643180104649E-3</v>
      </c>
      <c r="F8" s="46"/>
      <c r="G8" s="66" t="str">
        <f>Currency&amp;$B8&amp;$H$2</f>
        <v>GBP3WD_SYNTH1M_Quote</v>
      </c>
      <c r="H8" s="67">
        <v>4.8114643180104649E-3</v>
      </c>
      <c r="I8" s="64" t="e">
        <f>_xll.qlSimpleQuoteSetValue($G8,ROUND($H8,6),EvaluationDate)</f>
        <v>#NUM!</v>
      </c>
      <c r="J8" s="50"/>
    </row>
    <row r="9" spans="1:10" x14ac:dyDescent="0.2">
      <c r="A9" s="51"/>
      <c r="B9" s="63" t="s">
        <v>0</v>
      </c>
      <c r="C9" s="64" t="e">
        <f>Calculation!G38</f>
        <v>#NUM!</v>
      </c>
      <c r="D9" s="46"/>
      <c r="E9" s="65">
        <v>4.8314348152008945E-3</v>
      </c>
      <c r="F9" s="46"/>
      <c r="G9" s="66" t="str">
        <f>Currency&amp;$B9&amp;$H$2</f>
        <v>GBP1MD_SYNTH1M_Quote</v>
      </c>
      <c r="H9" s="67">
        <v>4.8314348152008945E-3</v>
      </c>
      <c r="I9" s="64" t="e">
        <f>_xll.qlSimpleQuoteSetValue($G9,ROUND($H9,6),EvaluationDate)</f>
        <v>#NUM!</v>
      </c>
      <c r="J9" s="50"/>
    </row>
    <row r="10" spans="1:10" ht="12" thickBot="1" x14ac:dyDescent="0.25">
      <c r="A10" s="71"/>
      <c r="B10" s="72"/>
      <c r="C10" s="72"/>
      <c r="D10" s="72"/>
      <c r="E10" s="72"/>
      <c r="F10" s="72"/>
      <c r="G10" s="72"/>
      <c r="H10" s="72"/>
      <c r="I10" s="72"/>
      <c r="J10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2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bestFit="1" customWidth="1"/>
    <col min="10" max="10" width="7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7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_xll.ohTrigger(I5:I10)</f>
        <v>0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 t="e">
        <f>Calculation!H34</f>
        <v>#NUM!</v>
      </c>
      <c r="D5" s="46"/>
      <c r="E5" s="60">
        <v>4.9224161855878868E-3</v>
      </c>
      <c r="F5" s="46"/>
      <c r="G5" s="61" t="str">
        <f t="shared" ref="G5:G11" si="0">Currency&amp;$B5&amp;$H$2</f>
        <v>GBPSND_SYNTH3M_Quote</v>
      </c>
      <c r="H5" s="62">
        <f t="array" ref="H5:H11">QuoteStatic</f>
        <v>4.9224161855878868E-3</v>
      </c>
      <c r="I5" s="59" t="e">
        <f>_xll.qlSimpleQuoteSetValue($G5,ROUND($H5,6),EvaluationDate)</f>
        <v>#NUM!</v>
      </c>
      <c r="J5" s="50"/>
    </row>
    <row r="6" spans="1:10" x14ac:dyDescent="0.2">
      <c r="A6" s="51"/>
      <c r="B6" s="58" t="s">
        <v>12</v>
      </c>
      <c r="C6" s="59" t="e">
        <f>Calculation!H35</f>
        <v>#NUM!</v>
      </c>
      <c r="D6" s="46"/>
      <c r="E6" s="60">
        <v>4.944501266400868E-3</v>
      </c>
      <c r="F6" s="46"/>
      <c r="G6" s="61" t="str">
        <f t="shared" si="0"/>
        <v>GBPSWD_SYNTH3M_Quote</v>
      </c>
      <c r="H6" s="62">
        <v>4.944501266400868E-3</v>
      </c>
      <c r="I6" s="59" t="e">
        <f>_xll.qlSimpleQuoteSetValue($G6,ROUND($H6,6),EvaluationDate)</f>
        <v>#NUM!</v>
      </c>
      <c r="J6" s="50"/>
    </row>
    <row r="7" spans="1:10" x14ac:dyDescent="0.2">
      <c r="A7" s="51"/>
      <c r="B7" s="58" t="s">
        <v>13</v>
      </c>
      <c r="C7" s="59" t="e">
        <f>Calculation!H36</f>
        <v>#NUM!</v>
      </c>
      <c r="D7" s="46"/>
      <c r="E7" s="60">
        <v>4.9724332769387255E-3</v>
      </c>
      <c r="F7" s="46"/>
      <c r="G7" s="61" t="str">
        <f t="shared" si="0"/>
        <v>GBP2WD_SYNTH3M_Quote</v>
      </c>
      <c r="H7" s="62">
        <v>4.9724332769387255E-3</v>
      </c>
      <c r="I7" s="59" t="e">
        <f>_xll.qlSimpleQuoteSetValue($G7,ROUND($H7,6),EvaluationDate)</f>
        <v>#NUM!</v>
      </c>
      <c r="J7" s="50"/>
    </row>
    <row r="8" spans="1:10" x14ac:dyDescent="0.2">
      <c r="A8" s="51"/>
      <c r="B8" s="63" t="s">
        <v>14</v>
      </c>
      <c r="C8" s="64" t="e">
        <f>Calculation!H37</f>
        <v>#NUM!</v>
      </c>
      <c r="D8" s="46"/>
      <c r="E8" s="65">
        <v>5.002548771400237E-3</v>
      </c>
      <c r="F8" s="46"/>
      <c r="G8" s="66" t="str">
        <f t="shared" si="0"/>
        <v>GBP3WD_SYNTH3M_Quote</v>
      </c>
      <c r="H8" s="67">
        <v>5.002548771400237E-3</v>
      </c>
      <c r="I8" s="64" t="e">
        <f>_xll.qlSimpleQuoteSetValue($G8,ROUND($H8,6),EvaluationDate)</f>
        <v>#NUM!</v>
      </c>
      <c r="J8" s="50"/>
    </row>
    <row r="9" spans="1:10" x14ac:dyDescent="0.2">
      <c r="A9" s="51"/>
      <c r="B9" s="58" t="s">
        <v>0</v>
      </c>
      <c r="C9" s="59" t="e">
        <f>Calculation!H38</f>
        <v>#NUM!</v>
      </c>
      <c r="D9" s="46"/>
      <c r="E9" s="60">
        <v>5.0472768773993319E-3</v>
      </c>
      <c r="F9" s="46"/>
      <c r="G9" s="61" t="str">
        <f t="shared" si="0"/>
        <v>GBP1MD_SYNTH3M_Quote</v>
      </c>
      <c r="H9" s="62">
        <v>5.0472768773993319E-3</v>
      </c>
      <c r="I9" s="59" t="e">
        <f>_xll.qlSimpleQuoteSetValue($G9,ROUND($H9,6),EvaluationDate)</f>
        <v>#NUM!</v>
      </c>
      <c r="J9" s="50"/>
    </row>
    <row r="10" spans="1:10" x14ac:dyDescent="0.2">
      <c r="A10" s="51"/>
      <c r="B10" s="58" t="s">
        <v>1</v>
      </c>
      <c r="C10" s="59" t="e">
        <f>Calculation!H39</f>
        <v>#NUM!</v>
      </c>
      <c r="D10" s="46"/>
      <c r="E10" s="60">
        <v>5.1354749417787879E-3</v>
      </c>
      <c r="F10" s="46"/>
      <c r="G10" s="61" t="str">
        <f t="shared" si="0"/>
        <v>GBP2MD_SYNTH3M_Quote</v>
      </c>
      <c r="H10" s="62">
        <v>5.1354749417787879E-3</v>
      </c>
      <c r="I10" s="59" t="e">
        <f>_xll.qlSimpleQuoteSetValue($G10,ROUND($H10,6),EvaluationDate)</f>
        <v>#NUM!</v>
      </c>
      <c r="J10" s="50"/>
    </row>
    <row r="11" spans="1:10" x14ac:dyDescent="0.2">
      <c r="A11" s="51"/>
      <c r="B11" s="63" t="s">
        <v>15</v>
      </c>
      <c r="C11" s="64" t="e">
        <f>Calculation!H40</f>
        <v>#NUM!</v>
      </c>
      <c r="D11" s="46"/>
      <c r="E11" s="65">
        <v>5.2069486309975228E-3</v>
      </c>
      <c r="F11" s="46"/>
      <c r="G11" s="66" t="str">
        <f t="shared" si="0"/>
        <v>GBP3MD_SYNTH3M_Quote</v>
      </c>
      <c r="H11" s="67">
        <v>5.2069486309975228E-3</v>
      </c>
      <c r="I11" s="64" t="e">
        <f>_xll.qlSimpleQuoteSetValue($G11,ROUND($H11,6),EvaluationDate)</f>
        <v>#NUM!</v>
      </c>
      <c r="J11" s="50"/>
    </row>
    <row r="12" spans="1:10" ht="12" thickBot="1" x14ac:dyDescent="0.25">
      <c r="A12" s="68"/>
      <c r="B12" s="69"/>
      <c r="C12" s="69"/>
      <c r="D12" s="69"/>
      <c r="E12" s="69"/>
      <c r="F12" s="69"/>
      <c r="G12" s="69"/>
      <c r="H12" s="69"/>
      <c r="I12" s="69"/>
      <c r="J12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workbookViewId="0">
      <selection activeCell="I3" sqref="I3"/>
    </sheetView>
  </sheetViews>
  <sheetFormatPr defaultRowHeight="11.25" x14ac:dyDescent="0.2"/>
  <cols>
    <col min="1" max="1" width="3.6640625" style="1" customWidth="1"/>
    <col min="2" max="2" width="4.6640625" style="1" bestFit="1" customWidth="1"/>
    <col min="3" max="3" width="9.33203125" style="1" bestFit="1"/>
    <col min="4" max="4" width="8.33203125" style="1" bestFit="1" customWidth="1"/>
    <col min="5" max="5" width="9.33203125" style="1" bestFit="1"/>
    <col min="6" max="6" width="6.6640625" style="1" bestFit="1" customWidth="1"/>
    <col min="7" max="7" width="25" style="1" bestFit="1" customWidth="1"/>
    <col min="8" max="8" width="17.83203125" style="1" bestFit="1" customWidth="1"/>
    <col min="9" max="9" width="12.6640625" style="1" customWidth="1"/>
    <col min="10" max="10" width="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36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0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58" t="s">
        <v>11</v>
      </c>
      <c r="C5" s="59" t="e">
        <f>Calculation!I34</f>
        <v>#NUM!</v>
      </c>
      <c r="D5" s="46"/>
      <c r="E5" s="101">
        <v>5.7005884382688894E-3</v>
      </c>
      <c r="F5" s="46"/>
      <c r="G5" s="61" t="str">
        <f t="shared" ref="G5:G14" si="0">Currency&amp;$B5&amp;$H$2</f>
        <v>GBPSND_SYNTH6M_Quote</v>
      </c>
      <c r="H5" s="62">
        <f t="array" ref="H5:H14">QuoteStatic</f>
        <v>5.7005884382688894E-3</v>
      </c>
      <c r="I5" s="59" t="e">
        <f>_xll.qlSimpleQuoteSetValue($G5,ROUND($H5,6),EvaluationDate)</f>
        <v>#NUM!</v>
      </c>
      <c r="J5" s="75"/>
    </row>
    <row r="6" spans="1:10" x14ac:dyDescent="0.2">
      <c r="A6" s="44"/>
      <c r="B6" s="58" t="s">
        <v>12</v>
      </c>
      <c r="C6" s="59" t="e">
        <f>Calculation!I35</f>
        <v>#NUM!</v>
      </c>
      <c r="D6" s="46"/>
      <c r="E6" s="60">
        <v>5.7157014188899367E-3</v>
      </c>
      <c r="F6" s="46"/>
      <c r="G6" s="61" t="str">
        <f t="shared" si="0"/>
        <v>GBPSWD_SYNTH6M_Quote</v>
      </c>
      <c r="H6" s="62">
        <v>5.7157014188899367E-3</v>
      </c>
      <c r="I6" s="59" t="e">
        <f>_xll.qlSimpleQuoteSetValue($G6,ROUND($H6,6),EvaluationDate)</f>
        <v>#NUM!</v>
      </c>
      <c r="J6" s="75"/>
    </row>
    <row r="7" spans="1:10" x14ac:dyDescent="0.2">
      <c r="A7" s="44"/>
      <c r="B7" s="58" t="s">
        <v>13</v>
      </c>
      <c r="C7" s="59" t="e">
        <f>Calculation!I36</f>
        <v>#NUM!</v>
      </c>
      <c r="D7" s="46"/>
      <c r="E7" s="60">
        <v>5.736181640625615E-3</v>
      </c>
      <c r="F7" s="46"/>
      <c r="G7" s="61" t="str">
        <f t="shared" si="0"/>
        <v>GBP2WD_SYNTH6M_Quote</v>
      </c>
      <c r="H7" s="62">
        <v>5.736181640625615E-3</v>
      </c>
      <c r="I7" s="59" t="e">
        <f>_xll.qlSimpleQuoteSetValue($G7,ROUND($H7,6),EvaluationDate)</f>
        <v>#NUM!</v>
      </c>
      <c r="J7" s="75"/>
    </row>
    <row r="8" spans="1:10" x14ac:dyDescent="0.2">
      <c r="A8" s="44"/>
      <c r="B8" s="58" t="s">
        <v>14</v>
      </c>
      <c r="C8" s="59" t="e">
        <f>Calculation!I37</f>
        <v>#NUM!</v>
      </c>
      <c r="D8" s="46"/>
      <c r="E8" s="60">
        <v>5.7595801611493918E-3</v>
      </c>
      <c r="F8" s="46"/>
      <c r="G8" s="61" t="str">
        <f t="shared" si="0"/>
        <v>GBP3WD_SYNTH6M_Quote</v>
      </c>
      <c r="H8" s="62">
        <v>5.7595801611493918E-3</v>
      </c>
      <c r="I8" s="59" t="e">
        <f>_xll.qlSimpleQuoteSetValue($G8,ROUND($H8,6),EvaluationDate)</f>
        <v>#NUM!</v>
      </c>
      <c r="J8" s="75"/>
    </row>
    <row r="9" spans="1:10" x14ac:dyDescent="0.2">
      <c r="A9" s="44"/>
      <c r="B9" s="58" t="s">
        <v>0</v>
      </c>
      <c r="C9" s="59" t="e">
        <f>Calculation!I38</f>
        <v>#NUM!</v>
      </c>
      <c r="D9" s="46"/>
      <c r="E9" s="60">
        <v>5.7945030239602577E-3</v>
      </c>
      <c r="F9" s="46"/>
      <c r="G9" s="61" t="str">
        <f t="shared" si="0"/>
        <v>GBP1MD_SYNTH6M_Quote</v>
      </c>
      <c r="H9" s="62">
        <v>5.7945030239602577E-3</v>
      </c>
      <c r="I9" s="59" t="e">
        <f>_xll.qlSimpleQuoteSetValue($G9,ROUND($H9,6),EvaluationDate)</f>
        <v>#NUM!</v>
      </c>
      <c r="J9" s="75"/>
    </row>
    <row r="10" spans="1:10" x14ac:dyDescent="0.2">
      <c r="A10" s="44"/>
      <c r="B10" s="58" t="s">
        <v>1</v>
      </c>
      <c r="C10" s="59" t="e">
        <f>Calculation!I39</f>
        <v>#NUM!</v>
      </c>
      <c r="D10" s="46"/>
      <c r="E10" s="60">
        <v>5.8682200717322429E-3</v>
      </c>
      <c r="F10" s="46"/>
      <c r="G10" s="61" t="str">
        <f t="shared" si="0"/>
        <v>GBP2MD_SYNTH6M_Quote</v>
      </c>
      <c r="H10" s="62">
        <v>5.8682200717322429E-3</v>
      </c>
      <c r="I10" s="59" t="e">
        <f>_xll.qlSimpleQuoteSetValue($G10,ROUND($H10,6),EvaluationDate)</f>
        <v>#NUM!</v>
      </c>
      <c r="J10" s="75"/>
    </row>
    <row r="11" spans="1:10" x14ac:dyDescent="0.2">
      <c r="A11" s="44"/>
      <c r="B11" s="58" t="s">
        <v>15</v>
      </c>
      <c r="C11" s="59" t="e">
        <f>Calculation!I40</f>
        <v>#NUM!</v>
      </c>
      <c r="D11" s="46"/>
      <c r="E11" s="60">
        <v>5.937089942433289E-3</v>
      </c>
      <c r="F11" s="46"/>
      <c r="G11" s="61" t="str">
        <f t="shared" si="0"/>
        <v>GBP3MD_SYNTH6M_Quote</v>
      </c>
      <c r="H11" s="62">
        <v>5.937089942433289E-3</v>
      </c>
      <c r="I11" s="59" t="e">
        <f>_xll.qlSimpleQuoteSetValue($G11,ROUND($H11,6),EvaluationDate)</f>
        <v>#NUM!</v>
      </c>
      <c r="J11" s="75"/>
    </row>
    <row r="12" spans="1:10" x14ac:dyDescent="0.2">
      <c r="A12" s="44"/>
      <c r="B12" s="58" t="s">
        <v>16</v>
      </c>
      <c r="C12" s="59" t="e">
        <f>Calculation!I41</f>
        <v>#NUM!</v>
      </c>
      <c r="D12" s="46"/>
      <c r="E12" s="60">
        <v>6.0188630808270405E-3</v>
      </c>
      <c r="F12" s="46"/>
      <c r="G12" s="61" t="str">
        <f t="shared" si="0"/>
        <v>GBP4MD_SYNTH6M_Quote</v>
      </c>
      <c r="H12" s="62">
        <v>6.0188630808270405E-3</v>
      </c>
      <c r="I12" s="59" t="e">
        <f>_xll.qlSimpleQuoteSetValue($G12,ROUND($H12,6),EvaluationDate)</f>
        <v>#NUM!</v>
      </c>
      <c r="J12" s="75"/>
    </row>
    <row r="13" spans="1:10" x14ac:dyDescent="0.2">
      <c r="A13" s="44"/>
      <c r="B13" s="58" t="s">
        <v>17</v>
      </c>
      <c r="C13" s="59" t="e">
        <f>Calculation!I42</f>
        <v>#NUM!</v>
      </c>
      <c r="D13" s="46"/>
      <c r="E13" s="60">
        <v>6.0962262264280705E-3</v>
      </c>
      <c r="F13" s="46"/>
      <c r="G13" s="61" t="str">
        <f t="shared" si="0"/>
        <v>GBP5MD_SYNTH6M_Quote</v>
      </c>
      <c r="H13" s="62">
        <v>6.0962262264280705E-3</v>
      </c>
      <c r="I13" s="59" t="e">
        <f>_xll.qlSimpleQuoteSetValue($G13,ROUND($H13,6),EvaluationDate)</f>
        <v>#NUM!</v>
      </c>
      <c r="J13" s="75"/>
    </row>
    <row r="14" spans="1:10" x14ac:dyDescent="0.2">
      <c r="A14" s="44"/>
      <c r="B14" s="63" t="s">
        <v>37</v>
      </c>
      <c r="C14" s="64" t="e">
        <f>Calculation!I43</f>
        <v>#NUM!</v>
      </c>
      <c r="D14" s="46"/>
      <c r="E14" s="65">
        <v>6.1604064443264691E-3</v>
      </c>
      <c r="F14" s="46"/>
      <c r="G14" s="66" t="str">
        <f t="shared" si="0"/>
        <v>GBP6MD_SYNTH6M_Quote</v>
      </c>
      <c r="H14" s="67">
        <v>6.1604064443264691E-3</v>
      </c>
      <c r="I14" s="59" t="e">
        <f>_xll.qlSimpleQuoteSetValue($G14,ROUND($H14,6),EvaluationDate)</f>
        <v>#NUM!</v>
      </c>
      <c r="J14" s="75"/>
    </row>
    <row r="15" spans="1:10" ht="12" thickBot="1" x14ac:dyDescent="0.25">
      <c r="A15" s="71"/>
      <c r="B15" s="72"/>
      <c r="C15" s="72"/>
      <c r="D15" s="72"/>
      <c r="E15" s="72"/>
      <c r="F15" s="72"/>
      <c r="G15" s="72"/>
      <c r="H15" s="72"/>
      <c r="I15" s="72"/>
      <c r="J15" s="135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I5" sqref="I5"/>
    </sheetView>
  </sheetViews>
  <sheetFormatPr defaultRowHeight="11.25" x14ac:dyDescent="0.2"/>
  <cols>
    <col min="1" max="1" width="3.6640625" style="1" customWidth="1"/>
    <col min="2" max="2" width="5.83203125" style="1" bestFit="1" customWidth="1"/>
    <col min="3" max="3" width="9.33203125" style="1" bestFit="1"/>
    <col min="4" max="4" width="16.1640625" style="1" customWidth="1"/>
    <col min="5" max="5" width="9.33203125" style="1" bestFit="1"/>
    <col min="6" max="6" width="16.1640625" style="1" customWidth="1"/>
    <col min="7" max="7" width="26.33203125" style="1" bestFit="1" customWidth="1"/>
    <col min="8" max="8" width="17.83203125" style="1" bestFit="1" customWidth="1"/>
    <col min="9" max="9" width="10.5" style="1" bestFit="1" customWidth="1"/>
    <col min="10" max="10" width="7.3320312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39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0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102" t="s">
        <v>11</v>
      </c>
      <c r="C5" s="59" t="e">
        <f>Calculation!J34</f>
        <v>#NUM!</v>
      </c>
      <c r="D5" s="46"/>
      <c r="E5" s="60">
        <v>8.0677936208601309E-3</v>
      </c>
      <c r="F5" s="46"/>
      <c r="G5" s="104" t="str">
        <f t="shared" ref="G5:G20" si="0">Currency&amp;$B5&amp;$H$2</f>
        <v>GBPSND_SYNTH1Y_Quote</v>
      </c>
      <c r="H5" s="62">
        <f t="array" ref="H5:H20">QuoteStatic</f>
        <v>8.0677936208601309E-3</v>
      </c>
      <c r="I5" s="59" t="e">
        <f>_xll.qlSimpleQuoteSetValue($G5,ROUND($H5,6),EvaluationDate)</f>
        <v>#NUM!</v>
      </c>
      <c r="J5" s="75"/>
    </row>
    <row r="6" spans="1:10" x14ac:dyDescent="0.2">
      <c r="A6" s="44"/>
      <c r="B6" s="102" t="s">
        <v>12</v>
      </c>
      <c r="C6" s="59" t="e">
        <f>Calculation!J35</f>
        <v>#NUM!</v>
      </c>
      <c r="D6" s="46"/>
      <c r="E6" s="60">
        <v>8.07361903447394E-3</v>
      </c>
      <c r="F6" s="46"/>
      <c r="G6" s="104" t="str">
        <f t="shared" si="0"/>
        <v>GBPSWD_SYNTH1Y_Quote</v>
      </c>
      <c r="H6" s="62">
        <v>8.07361903447394E-3</v>
      </c>
      <c r="I6" s="59" t="e">
        <f>_xll.qlSimpleQuoteSetValue($G6,ROUND($H6,6),EvaluationDate)</f>
        <v>#NUM!</v>
      </c>
      <c r="J6" s="75"/>
    </row>
    <row r="7" spans="1:10" x14ac:dyDescent="0.2">
      <c r="A7" s="44"/>
      <c r="B7" s="102" t="s">
        <v>13</v>
      </c>
      <c r="C7" s="59" t="e">
        <f>Calculation!J36</f>
        <v>#NUM!</v>
      </c>
      <c r="D7" s="46"/>
      <c r="E7" s="60">
        <v>8.0835755215005363E-3</v>
      </c>
      <c r="F7" s="46"/>
      <c r="G7" s="104" t="str">
        <f t="shared" si="0"/>
        <v>GBP2WD_SYNTH1Y_Quote</v>
      </c>
      <c r="H7" s="62">
        <v>8.0835755215005363E-3</v>
      </c>
      <c r="I7" s="59" t="e">
        <f>_xll.qlSimpleQuoteSetValue($G7,ROUND($H7,6),EvaluationDate)</f>
        <v>#NUM!</v>
      </c>
      <c r="J7" s="75"/>
    </row>
    <row r="8" spans="1:10" x14ac:dyDescent="0.2">
      <c r="A8" s="44"/>
      <c r="B8" s="102" t="s">
        <v>14</v>
      </c>
      <c r="C8" s="59" t="e">
        <f>Calculation!J37</f>
        <v>#NUM!</v>
      </c>
      <c r="D8" s="46"/>
      <c r="E8" s="60">
        <v>8.0967860489965914E-3</v>
      </c>
      <c r="F8" s="46"/>
      <c r="G8" s="104" t="str">
        <f t="shared" si="0"/>
        <v>GBP3WD_SYNTH1Y_Quote</v>
      </c>
      <c r="H8" s="62">
        <v>8.0967860489965914E-3</v>
      </c>
      <c r="I8" s="59" t="e">
        <f>_xll.qlSimpleQuoteSetValue($G8,ROUND($H8,6),EvaluationDate)</f>
        <v>#NUM!</v>
      </c>
      <c r="J8" s="75"/>
    </row>
    <row r="9" spans="1:10" x14ac:dyDescent="0.2">
      <c r="A9" s="44"/>
      <c r="B9" s="103" t="s">
        <v>0</v>
      </c>
      <c r="C9" s="64" t="e">
        <f>Calculation!J38</f>
        <v>#NUM!</v>
      </c>
      <c r="D9" s="46"/>
      <c r="E9" s="65">
        <v>8.1150248942022871E-3</v>
      </c>
      <c r="F9" s="46"/>
      <c r="G9" s="105" t="str">
        <f t="shared" si="0"/>
        <v>GBP1MD_SYNTH1Y_Quote</v>
      </c>
      <c r="H9" s="67">
        <v>8.1150248942022871E-3</v>
      </c>
      <c r="I9" s="64" t="e">
        <f>_xll.qlSimpleQuoteSetValue($G9,ROUND($H9,6),EvaluationDate)</f>
        <v>#NUM!</v>
      </c>
      <c r="J9" s="75"/>
    </row>
    <row r="10" spans="1:10" x14ac:dyDescent="0.2">
      <c r="A10" s="44"/>
      <c r="B10" s="102" t="s">
        <v>1</v>
      </c>
      <c r="C10" s="59" t="e">
        <f>Calculation!J39</f>
        <v>#NUM!</v>
      </c>
      <c r="D10" s="46"/>
      <c r="E10" s="60">
        <v>8.1536496153492063E-3</v>
      </c>
      <c r="F10" s="46"/>
      <c r="G10" s="104" t="str">
        <f t="shared" si="0"/>
        <v>GBP2MD_SYNTH1Y_Quote</v>
      </c>
      <c r="H10" s="62">
        <v>8.1536496153492063E-3</v>
      </c>
      <c r="I10" s="59" t="e">
        <f>_xll.qlSimpleQuoteSetValue($G10,ROUND($H10,6),EvaluationDate)</f>
        <v>#NUM!</v>
      </c>
      <c r="J10" s="75"/>
    </row>
    <row r="11" spans="1:10" x14ac:dyDescent="0.2">
      <c r="A11" s="51"/>
      <c r="B11" s="102" t="s">
        <v>15</v>
      </c>
      <c r="C11" s="59" t="e">
        <f>Calculation!J40</f>
        <v>#NUM!</v>
      </c>
      <c r="D11" s="46"/>
      <c r="E11" s="60">
        <v>8.1918369334670615E-3</v>
      </c>
      <c r="F11" s="46"/>
      <c r="G11" s="104" t="str">
        <f t="shared" si="0"/>
        <v>GBP3MD_SYNTH1Y_Quote</v>
      </c>
      <c r="H11" s="62">
        <v>8.1918369334670615E-3</v>
      </c>
      <c r="I11" s="59" t="e">
        <f>_xll.qlSimpleQuoteSetValue($G11,ROUND($H11,6),EvaluationDate)</f>
        <v>#NUM!</v>
      </c>
      <c r="J11" s="75"/>
    </row>
    <row r="12" spans="1:10" x14ac:dyDescent="0.2">
      <c r="A12" s="51"/>
      <c r="B12" s="102" t="s">
        <v>16</v>
      </c>
      <c r="C12" s="59" t="e">
        <f>Calculation!J41</f>
        <v>#NUM!</v>
      </c>
      <c r="D12" s="46"/>
      <c r="E12" s="60">
        <v>8.2479334061006902E-3</v>
      </c>
      <c r="F12" s="46"/>
      <c r="G12" s="104" t="str">
        <f t="shared" si="0"/>
        <v>GBP4MD_SYNTH1Y_Quote</v>
      </c>
      <c r="H12" s="62">
        <v>8.2479334061006902E-3</v>
      </c>
      <c r="I12" s="59" t="e">
        <f>_xll.qlSimpleQuoteSetValue($G12,ROUND($H12,6),EvaluationDate)</f>
        <v>#NUM!</v>
      </c>
      <c r="J12" s="75"/>
    </row>
    <row r="13" spans="1:10" x14ac:dyDescent="0.2">
      <c r="A13" s="51"/>
      <c r="B13" s="102" t="s">
        <v>17</v>
      </c>
      <c r="C13" s="59" t="e">
        <f>Calculation!J42</f>
        <v>#NUM!</v>
      </c>
      <c r="D13" s="46"/>
      <c r="E13" s="60">
        <v>8.3047051643040763E-3</v>
      </c>
      <c r="F13" s="46"/>
      <c r="G13" s="104" t="str">
        <f t="shared" si="0"/>
        <v>GBP5MD_SYNTH1Y_Quote</v>
      </c>
      <c r="H13" s="62">
        <v>8.3047051643040763E-3</v>
      </c>
      <c r="I13" s="59" t="e">
        <f>_xll.qlSimpleQuoteSetValue($G13,ROUND($H13,6),EvaluationDate)</f>
        <v>#NUM!</v>
      </c>
      <c r="J13" s="75"/>
    </row>
    <row r="14" spans="1:10" x14ac:dyDescent="0.2">
      <c r="A14" s="51"/>
      <c r="B14" s="102" t="s">
        <v>37</v>
      </c>
      <c r="C14" s="59" t="e">
        <f>Calculation!J43</f>
        <v>#NUM!</v>
      </c>
      <c r="D14" s="46"/>
      <c r="E14" s="60">
        <v>8.3562849173154964E-3</v>
      </c>
      <c r="F14" s="46"/>
      <c r="G14" s="104" t="str">
        <f t="shared" si="0"/>
        <v>GBP6MD_SYNTH1Y_Quote</v>
      </c>
      <c r="H14" s="62">
        <v>8.3562849173154964E-3</v>
      </c>
      <c r="I14" s="59" t="e">
        <f>_xll.qlSimpleQuoteSetValue($G14,ROUND($H14,6),EvaluationDate)</f>
        <v>#NUM!</v>
      </c>
      <c r="J14" s="75"/>
    </row>
    <row r="15" spans="1:10" x14ac:dyDescent="0.2">
      <c r="A15" s="51"/>
      <c r="B15" s="102" t="s">
        <v>46</v>
      </c>
      <c r="C15" s="59" t="e">
        <f>Calculation!J44</f>
        <v>#NUM!</v>
      </c>
      <c r="D15" s="46"/>
      <c r="E15" s="60">
        <v>8.4258248592594242E-3</v>
      </c>
      <c r="F15" s="46"/>
      <c r="G15" s="104" t="str">
        <f t="shared" si="0"/>
        <v>GBP7MD_SYNTH1Y_Quote</v>
      </c>
      <c r="H15" s="62">
        <v>8.4258248592594242E-3</v>
      </c>
      <c r="I15" s="59" t="e">
        <f>_xll.qlSimpleQuoteSetValue($G15,ROUND($H15,6),EvaluationDate)</f>
        <v>#NUM!</v>
      </c>
      <c r="J15" s="75"/>
    </row>
    <row r="16" spans="1:10" x14ac:dyDescent="0.2">
      <c r="A16" s="51"/>
      <c r="B16" s="102" t="s">
        <v>47</v>
      </c>
      <c r="C16" s="59" t="e">
        <f>Calculation!J45</f>
        <v>#NUM!</v>
      </c>
      <c r="D16" s="46"/>
      <c r="E16" s="60">
        <v>8.5023975968061306E-3</v>
      </c>
      <c r="F16" s="46"/>
      <c r="G16" s="104" t="str">
        <f t="shared" si="0"/>
        <v>GBP8MD_SYNTH1Y_Quote</v>
      </c>
      <c r="H16" s="62">
        <v>8.5023975968061306E-3</v>
      </c>
      <c r="I16" s="59" t="e">
        <f>_xll.qlSimpleQuoteSetValue($G16,ROUND($H16,6),EvaluationDate)</f>
        <v>#NUM!</v>
      </c>
      <c r="J16" s="75"/>
    </row>
    <row r="17" spans="1:10" x14ac:dyDescent="0.2">
      <c r="A17" s="51"/>
      <c r="B17" s="102" t="s">
        <v>48</v>
      </c>
      <c r="C17" s="59" t="e">
        <f>Calculation!J46</f>
        <v>#NUM!</v>
      </c>
      <c r="D17" s="46"/>
      <c r="E17" s="60">
        <v>8.5994260831540534E-3</v>
      </c>
      <c r="F17" s="46"/>
      <c r="G17" s="104" t="str">
        <f t="shared" si="0"/>
        <v>GBP9MD_SYNTH1Y_Quote</v>
      </c>
      <c r="H17" s="62">
        <v>8.5994260831540534E-3</v>
      </c>
      <c r="I17" s="59" t="e">
        <f>_xll.qlSimpleQuoteSetValue($G17,ROUND($H17,6),EvaluationDate)</f>
        <v>#NUM!</v>
      </c>
      <c r="J17" s="75"/>
    </row>
    <row r="18" spans="1:10" x14ac:dyDescent="0.2">
      <c r="A18" s="51"/>
      <c r="B18" s="102" t="s">
        <v>49</v>
      </c>
      <c r="C18" s="59" t="e">
        <f>Calculation!J47</f>
        <v>#NUM!</v>
      </c>
      <c r="D18" s="46"/>
      <c r="E18" s="60">
        <v>8.7165115326190423E-3</v>
      </c>
      <c r="F18" s="46"/>
      <c r="G18" s="104" t="str">
        <f t="shared" si="0"/>
        <v>GBP10MD_SYNTH1Y_Quote</v>
      </c>
      <c r="H18" s="62">
        <v>8.7165115326190423E-3</v>
      </c>
      <c r="I18" s="59" t="e">
        <f>_xll.qlSimpleQuoteSetValue($G18,ROUND($H18,6),EvaluationDate)</f>
        <v>#NUM!</v>
      </c>
      <c r="J18" s="75"/>
    </row>
    <row r="19" spans="1:10" x14ac:dyDescent="0.2">
      <c r="A19" s="51"/>
      <c r="B19" s="102" t="s">
        <v>50</v>
      </c>
      <c r="C19" s="59" t="e">
        <f>Calculation!J48</f>
        <v>#NUM!</v>
      </c>
      <c r="D19" s="46"/>
      <c r="E19" s="60">
        <v>8.8410220545805922E-3</v>
      </c>
      <c r="F19" s="46"/>
      <c r="G19" s="104" t="str">
        <f t="shared" si="0"/>
        <v>GBP11MD_SYNTH1Y_Quote</v>
      </c>
      <c r="H19" s="62">
        <v>8.8410220545805922E-3</v>
      </c>
      <c r="I19" s="59" t="e">
        <f>_xll.qlSimpleQuoteSetValue($G19,ROUND($H19,6),EvaluationDate)</f>
        <v>#NUM!</v>
      </c>
      <c r="J19" s="75"/>
    </row>
    <row r="20" spans="1:10" x14ac:dyDescent="0.2">
      <c r="A20" s="51"/>
      <c r="B20" s="103" t="s">
        <v>38</v>
      </c>
      <c r="C20" s="64" t="e">
        <f>Calculation!J49</f>
        <v>#NUM!</v>
      </c>
      <c r="D20" s="46"/>
      <c r="E20" s="65">
        <v>8.995339002353938E-3</v>
      </c>
      <c r="F20" s="46"/>
      <c r="G20" s="105" t="str">
        <f t="shared" si="0"/>
        <v>GBP1YD_SYNTH1Y_Quote</v>
      </c>
      <c r="H20" s="67">
        <v>8.995339002353938E-3</v>
      </c>
      <c r="I20" s="64" t="e">
        <f>_xll.qlSimpleQuoteSetValue($G20,ROUND($H20,6),EvaluationDate)</f>
        <v>#NUM!</v>
      </c>
      <c r="J20" s="75"/>
    </row>
    <row r="21" spans="1:10" ht="12" thickBot="1" x14ac:dyDescent="0.25">
      <c r="A21" s="71"/>
      <c r="B21" s="72"/>
      <c r="C21" s="72"/>
      <c r="D21" s="72"/>
      <c r="E21" s="72"/>
      <c r="F21" s="72"/>
      <c r="G21" s="72"/>
      <c r="H21" s="72"/>
      <c r="I21" s="72"/>
      <c r="J21" s="135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General Settings</vt:lpstr>
      <vt:lpstr>Triggers</vt:lpstr>
      <vt:lpstr>Calculation</vt:lpstr>
      <vt:lpstr>Optimize1M</vt:lpstr>
      <vt:lpstr>Optimize3M</vt:lpstr>
      <vt:lpstr>Optimize6M</vt:lpstr>
      <vt:lpstr>Optimize1Y</vt:lpstr>
      <vt:lpstr>AllTriggers</vt:lpstr>
      <vt:lpstr>Calendar</vt:lpstr>
      <vt:lpstr>Currency</vt:lpstr>
      <vt:lpstr>DayCounter</vt:lpstr>
      <vt:lpstr>EvaluationDate</vt:lpstr>
      <vt:lpstr>GENERAL_SETTINGS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Optimize1M!Quote</vt:lpstr>
      <vt:lpstr>Optimize1Y!Quote</vt:lpstr>
      <vt:lpstr>Optimize3M!Quote</vt:lpstr>
      <vt:lpstr>Optimize6M!Quote</vt:lpstr>
      <vt:lpstr>Optimize1M!QuoteLive</vt:lpstr>
      <vt:lpstr>Optimize1Y!QuoteLive</vt:lpstr>
      <vt:lpstr>Optimize3M!QuoteLive</vt:lpstr>
      <vt:lpstr>Optimize6M!QuoteLive</vt:lpstr>
      <vt:lpstr>Optimize1M!QuoteStatic</vt:lpstr>
      <vt:lpstr>Optimize1Y!QuoteStatic</vt:lpstr>
      <vt:lpstr>Optimize3M!QuoteStatic</vt:lpstr>
      <vt:lpstr>Optimize6M!QuoteStatic</vt:lpstr>
      <vt:lpstr>SettlementDate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2014-02-12T12:42:35Z</dcterms:modified>
</cp:coreProperties>
</file>
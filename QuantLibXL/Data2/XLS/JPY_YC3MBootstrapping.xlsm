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300" windowHeight="828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RateHelpers!$K$2:$K$113</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RateHelpers!$E$2:$E$113</definedName>
    <definedName name="RateHelpersIncluded">RateHelpers!$I$2:$I$113</definedName>
    <definedName name="RateHelpersPriority">RateHelpers!$J$2:$J$113</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SwapsFromBasis!$O$10:$Q$14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H6" i="17" l="1"/>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U39" i="18" a="1"/>
  <c r="U19" i="18" a="1"/>
  <c r="M39" i="18"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0" i="18"/>
  <c r="B16" i="18"/>
  <c r="B14" i="18"/>
  <c r="C3" i="18"/>
  <c r="B7" i="18"/>
  <c r="B12" i="18"/>
  <c r="B9" i="18"/>
  <c r="B4" i="18"/>
  <c r="B15" i="18"/>
  <c r="B11" i="18"/>
  <c r="X19" i="18"/>
  <c r="X20" i="18" s="1"/>
  <c r="C5" i="18"/>
  <c r="C4" i="18"/>
  <c r="Y19" i="18"/>
  <c r="B8" i="18"/>
  <c r="B6" i="18"/>
  <c r="B5" i="18"/>
  <c r="B13" i="18"/>
  <c r="X21" i="18"/>
  <c r="Y20" i="18"/>
  <c r="X22" i="18"/>
  <c r="Y21" i="18"/>
  <c r="Y22" i="18"/>
  <c r="X23" i="18"/>
  <c r="X24" i="18"/>
  <c r="Y23" i="18"/>
  <c r="Y24" i="18"/>
  <c r="X25" i="18"/>
  <c r="X26" i="18"/>
  <c r="Y25" i="18"/>
  <c r="Y26" i="18"/>
  <c r="X27" i="18"/>
  <c r="X28" i="18"/>
  <c r="Y27" i="18"/>
  <c r="X29" i="18"/>
  <c r="Y28" i="18"/>
  <c r="X30" i="18"/>
  <c r="Y29" i="18"/>
  <c r="Y30" i="18"/>
  <c r="X31" i="18"/>
  <c r="Y31" i="18"/>
  <c r="X32" i="18"/>
  <c r="Y32" i="18"/>
  <c r="X33" i="18"/>
  <c r="X34" i="18"/>
  <c r="Y33" i="18"/>
  <c r="X35" i="18"/>
  <c r="Y34" i="18"/>
  <c r="Y35" i="18"/>
  <c r="X36" i="18"/>
  <c r="Y36" i="18"/>
  <c r="X37" i="18"/>
  <c r="Y37" i="18"/>
  <c r="X38" i="18"/>
  <c r="Y38" i="18"/>
  <c r="X39" i="18"/>
  <c r="Y39" i="18"/>
  <c r="X40" i="18"/>
  <c r="X41" i="18"/>
  <c r="Y40" i="18"/>
  <c r="X42" i="18"/>
  <c r="Y41" i="18"/>
  <c r="Y42" i="18"/>
  <c r="X43" i="18"/>
  <c r="X44" i="18"/>
  <c r="Y43" i="18"/>
  <c r="X45" i="18"/>
  <c r="Y44" i="18"/>
  <c r="Y45" i="18"/>
  <c r="X46" i="18"/>
  <c r="X47" i="18"/>
  <c r="Y46" i="18"/>
  <c r="Y47" i="18"/>
  <c r="X48" i="18"/>
  <c r="X49" i="18"/>
  <c r="Y48" i="18"/>
  <c r="Y49" i="18"/>
  <c r="X50" i="18"/>
  <c r="X51" i="18"/>
  <c r="Y50" i="18"/>
  <c r="Y51" i="18"/>
  <c r="X52" i="18"/>
  <c r="Y52" i="18"/>
  <c r="X53" i="18"/>
  <c r="Y53" i="18"/>
  <c r="X54" i="18"/>
  <c r="X55" i="18"/>
  <c r="Y54" i="18"/>
  <c r="Y55" i="18"/>
  <c r="X56" i="18"/>
  <c r="X57" i="18"/>
  <c r="Y56" i="18"/>
  <c r="X58" i="18"/>
  <c r="Y57" i="18"/>
  <c r="Y58" i="18"/>
  <c r="X59" i="18"/>
  <c r="X60" i="18"/>
  <c r="Y59" i="18"/>
  <c r="Y60" i="18"/>
  <c r="X61" i="18"/>
  <c r="X62" i="18"/>
  <c r="Y61" i="18"/>
  <c r="Y62" i="18"/>
  <c r="X63" i="18"/>
  <c r="Y63" i="18"/>
  <c r="X64" i="18"/>
  <c r="X65" i="18"/>
  <c r="Y64" i="18"/>
  <c r="X66" i="18"/>
  <c r="Y65" i="18"/>
  <c r="Y66" i="18"/>
  <c r="X67" i="18"/>
  <c r="Y67" i="18"/>
  <c r="X68" i="18"/>
  <c r="Y68" i="18"/>
  <c r="X69" i="18"/>
  <c r="X70" i="18"/>
  <c r="Y69" i="18"/>
  <c r="Y70" i="18"/>
  <c r="X71" i="18"/>
  <c r="Y71" i="18"/>
  <c r="X72" i="18"/>
  <c r="X73" i="18"/>
  <c r="Y72" i="18"/>
  <c r="Y73" i="18"/>
  <c r="X74" i="18"/>
  <c r="X75" i="18"/>
  <c r="Y74" i="18"/>
  <c r="Y75" i="18"/>
  <c r="X76" i="18"/>
  <c r="X77" i="18"/>
  <c r="Y76" i="18"/>
  <c r="Y77" i="18"/>
  <c r="X78" i="18"/>
  <c r="X79" i="18"/>
  <c r="Y78" i="18"/>
  <c r="Y79" i="18"/>
  <c r="X80" i="18"/>
  <c r="Y80" i="18"/>
  <c r="X81" i="18"/>
  <c r="X82" i="18"/>
  <c r="Y81" i="18"/>
  <c r="X83" i="18"/>
  <c r="Y82" i="18"/>
  <c r="Y83" i="18"/>
  <c r="X84" i="18"/>
  <c r="Y84" i="18"/>
  <c r="X85" i="18"/>
  <c r="X86" i="18"/>
  <c r="Y85" i="18"/>
  <c r="Y86" i="18"/>
  <c r="X87" i="18"/>
  <c r="Y87" i="18"/>
  <c r="X88" i="18"/>
  <c r="X89" i="18"/>
  <c r="Y88" i="18"/>
  <c r="Y89" i="18"/>
  <c r="X90" i="18"/>
  <c r="Y90" i="18"/>
  <c r="X91" i="18"/>
  <c r="Y91" i="18"/>
  <c r="X92" i="18"/>
  <c r="X93" i="18"/>
  <c r="Y92" i="18"/>
  <c r="Y93" i="18"/>
  <c r="X94" i="18"/>
  <c r="X95" i="18"/>
  <c r="Y94" i="18"/>
  <c r="X96" i="18"/>
  <c r="Y95" i="18"/>
  <c r="Y96" i="18"/>
  <c r="X97" i="18"/>
  <c r="X98" i="18"/>
  <c r="Y97" i="18"/>
  <c r="Y98" i="18"/>
  <c r="X99" i="18"/>
  <c r="Y99" i="18"/>
  <c r="X100" i="18"/>
  <c r="Y100" i="18"/>
  <c r="X101" i="18"/>
  <c r="Y101" i="18"/>
  <c r="X102" i="18"/>
  <c r="Y102" i="18"/>
  <c r="X103" i="18"/>
  <c r="X104" i="18"/>
  <c r="Y103" i="18"/>
  <c r="Y104" i="18"/>
  <c r="X105" i="18"/>
  <c r="X106" i="18"/>
  <c r="Y105" i="18"/>
  <c r="Y106" i="18"/>
  <c r="X107" i="18"/>
  <c r="Y107" i="18"/>
  <c r="X108" i="18"/>
  <c r="X109" i="18"/>
  <c r="Y108" i="18"/>
  <c r="Y109" i="18"/>
  <c r="X110" i="18"/>
  <c r="X111" i="18"/>
  <c r="Y110" i="18"/>
  <c r="X112" i="18"/>
  <c r="Y111" i="18"/>
  <c r="Y112" i="18"/>
  <c r="X113" i="18"/>
  <c r="X114" i="18"/>
  <c r="Y113" i="18"/>
  <c r="X115" i="18"/>
  <c r="Y114" i="18"/>
  <c r="Y115" i="18"/>
  <c r="X116" i="18"/>
  <c r="Y116" i="18"/>
  <c r="X117" i="18"/>
  <c r="Y117" i="18"/>
  <c r="X118" i="18"/>
  <c r="Y118" i="18"/>
  <c r="X119" i="18"/>
  <c r="Y119" i="18"/>
  <c r="X120" i="18"/>
  <c r="Y120" i="18"/>
  <c r="X121" i="18"/>
  <c r="Y121" i="18"/>
  <c r="X122" i="18"/>
  <c r="Y122" i="18"/>
  <c r="X123" i="18"/>
  <c r="Y123" i="18"/>
  <c r="X124" i="18"/>
  <c r="X125" i="18"/>
  <c r="Y124" i="18"/>
  <c r="Y125" i="18"/>
  <c r="X126" i="18"/>
  <c r="Y126" i="18"/>
  <c r="X127" i="18"/>
  <c r="X128" i="18"/>
  <c r="Y127" i="18"/>
  <c r="Y128" i="18"/>
  <c r="X129" i="18"/>
  <c r="X130" i="18"/>
  <c r="Y129" i="18"/>
  <c r="Y130" i="18"/>
  <c r="X131" i="18"/>
  <c r="X132" i="18"/>
  <c r="Y131" i="18"/>
  <c r="Y132" i="18"/>
  <c r="X133" i="18"/>
  <c r="X134" i="18"/>
  <c r="Y133" i="18"/>
  <c r="Y134" i="18"/>
  <c r="X135" i="18"/>
  <c r="Y135" i="18"/>
  <c r="X136" i="18"/>
  <c r="X137" i="18"/>
  <c r="Y136" i="18"/>
  <c r="Y137" i="18"/>
  <c r="X138" i="18"/>
  <c r="Y138" i="18"/>
  <c r="X139" i="18"/>
  <c r="Y139" i="18"/>
  <c r="X140" i="18"/>
  <c r="X141" i="18"/>
  <c r="Y140" i="18"/>
  <c r="Y141" i="18"/>
  <c r="X142" i="18"/>
  <c r="X143" i="18"/>
  <c r="Y142" i="18"/>
  <c r="Y143" i="18"/>
  <c r="X144" i="18"/>
  <c r="Y144" i="18"/>
  <c r="X145" i="18"/>
  <c r="X146" i="18"/>
  <c r="Y145" i="18"/>
  <c r="Y146" i="18"/>
  <c r="X147" i="18"/>
  <c r="X148" i="18"/>
  <c r="Y147" i="18"/>
  <c r="Y148" i="18"/>
  <c r="X149" i="18"/>
  <c r="Y149" i="18"/>
  <c r="X150" i="18"/>
  <c r="Y150" i="18"/>
  <c r="X151" i="18"/>
  <c r="X152" i="18"/>
  <c r="Y151" i="18"/>
  <c r="Y152" i="18"/>
  <c r="X153" i="18"/>
  <c r="X154" i="18"/>
  <c r="Y153" i="18"/>
  <c r="X155" i="18"/>
  <c r="Y154" i="18"/>
  <c r="Y155" i="18"/>
  <c r="X156" i="18"/>
  <c r="X157" i="18"/>
  <c r="Y156" i="18"/>
  <c r="Y157" i="18"/>
  <c r="X158" i="18"/>
  <c r="Y158" i="18"/>
  <c r="X159" i="18"/>
  <c r="Y159" i="18"/>
  <c r="X160" i="18"/>
  <c r="Y160" i="18"/>
  <c r="X161" i="18"/>
  <c r="X162" i="18"/>
  <c r="Y161" i="18"/>
  <c r="X163" i="18"/>
  <c r="Y162" i="18"/>
  <c r="Y163" i="18"/>
  <c r="X164" i="18"/>
  <c r="X165" i="18"/>
  <c r="Y164" i="18"/>
  <c r="Y165" i="18"/>
  <c r="X166" i="18"/>
  <c r="Y166" i="18"/>
  <c r="X167" i="18"/>
  <c r="X168" i="18"/>
  <c r="Y167" i="18"/>
  <c r="Y168" i="18"/>
  <c r="X169" i="18"/>
  <c r="Y169" i="18"/>
  <c r="X170" i="18"/>
  <c r="X171" i="18"/>
  <c r="Y170" i="18"/>
  <c r="Y171" i="18"/>
  <c r="X172" i="18"/>
  <c r="X173" i="18"/>
  <c r="Y172" i="18"/>
  <c r="X174" i="18"/>
  <c r="Y173" i="18"/>
  <c r="Y174" i="18"/>
  <c r="X175" i="18"/>
  <c r="X176" i="18"/>
  <c r="Y175" i="18"/>
  <c r="Y176" i="18"/>
  <c r="X177" i="18"/>
  <c r="X178" i="18"/>
  <c r="Y177" i="18"/>
  <c r="Y178" i="18"/>
  <c r="X179" i="18"/>
  <c r="Y179" i="18"/>
  <c r="X180" i="18"/>
  <c r="X181" i="18"/>
  <c r="Y180" i="18"/>
  <c r="Y181" i="18"/>
  <c r="X182" i="18"/>
  <c r="Y182" i="18"/>
  <c r="X183" i="18"/>
  <c r="Y183" i="18"/>
  <c r="X184" i="18"/>
  <c r="Y184" i="18"/>
  <c r="X185" i="18"/>
  <c r="Y185" i="18"/>
  <c r="X186" i="18"/>
  <c r="X187" i="18"/>
  <c r="Y186" i="18"/>
  <c r="Y187" i="18"/>
  <c r="X188" i="18"/>
  <c r="X189" i="18"/>
  <c r="Y188" i="18"/>
  <c r="Y189" i="18"/>
  <c r="X190" i="18"/>
  <c r="X191" i="18"/>
  <c r="Y190" i="18"/>
  <c r="Y191" i="18"/>
  <c r="X192" i="18"/>
  <c r="Y192" i="18"/>
  <c r="X193" i="18"/>
  <c r="X194" i="18"/>
  <c r="Y193" i="18"/>
  <c r="Y194" i="18"/>
  <c r="X195" i="18"/>
  <c r="Y195" i="18"/>
  <c r="X196" i="18"/>
  <c r="Y196" i="18"/>
  <c r="X197" i="18"/>
  <c r="X198" i="18"/>
  <c r="Y197" i="18"/>
  <c r="Y198" i="18"/>
  <c r="X199" i="18"/>
  <c r="Y199" i="18"/>
  <c r="X200" i="18"/>
  <c r="Y200" i="18"/>
  <c r="X201" i="18"/>
  <c r="Y201" i="18"/>
  <c r="X202" i="18"/>
  <c r="Y202" i="18"/>
  <c r="X203" i="18"/>
  <c r="Y203" i="18"/>
  <c r="X204" i="18"/>
  <c r="X205" i="18"/>
  <c r="Y204" i="18"/>
  <c r="Y205" i="18"/>
  <c r="X206" i="18"/>
  <c r="X207" i="18"/>
  <c r="Y206" i="18"/>
  <c r="Y207" i="18"/>
  <c r="X208" i="18"/>
  <c r="Y208" i="18"/>
  <c r="X209" i="18"/>
  <c r="X210" i="18"/>
  <c r="Y209" i="18"/>
  <c r="X211" i="18"/>
  <c r="Y210" i="18"/>
  <c r="Y211" i="18"/>
  <c r="X212" i="18"/>
  <c r="X213" i="18"/>
  <c r="Y212" i="18"/>
  <c r="Y213" i="18"/>
  <c r="X214" i="18"/>
  <c r="Y214" i="18"/>
  <c r="X215" i="18"/>
  <c r="X216" i="18"/>
  <c r="Y215" i="18"/>
  <c r="X217" i="18"/>
  <c r="Y216" i="18"/>
  <c r="Y217" i="18"/>
  <c r="X218" i="18"/>
  <c r="Y218" i="18"/>
  <c r="X219" i="18"/>
  <c r="Y219" i="18"/>
  <c r="X220" i="18"/>
  <c r="X221" i="18"/>
  <c r="Y220" i="18"/>
  <c r="Y221" i="18"/>
  <c r="X222" i="18"/>
  <c r="Y222" i="18"/>
  <c r="X223" i="18"/>
  <c r="X224" i="18"/>
  <c r="Y223" i="18"/>
  <c r="Y224" i="18"/>
  <c r="X225" i="18"/>
  <c r="X226" i="18"/>
  <c r="Y225" i="18"/>
  <c r="X227" i="18"/>
  <c r="Y226" i="18"/>
  <c r="Y227" i="18"/>
  <c r="X228" i="18"/>
  <c r="Y228" i="18"/>
  <c r="X229" i="18"/>
  <c r="X230" i="18"/>
  <c r="Y229" i="18"/>
  <c r="Y230" i="18"/>
  <c r="X231" i="18"/>
  <c r="Y231" i="18"/>
  <c r="X232" i="18"/>
  <c r="X233" i="18"/>
  <c r="Y232" i="18"/>
  <c r="Y233" i="18"/>
  <c r="X234" i="18"/>
  <c r="Y234" i="18"/>
  <c r="X235" i="18"/>
  <c r="Y235" i="18"/>
  <c r="X236" i="18"/>
  <c r="X237" i="18"/>
  <c r="Y236" i="18"/>
  <c r="Y237" i="18"/>
  <c r="X238" i="18"/>
  <c r="Y238" i="18"/>
  <c r="X239" i="18"/>
  <c r="Y239" i="18"/>
  <c r="X240" i="18"/>
  <c r="Y240" i="18"/>
  <c r="X241" i="18"/>
  <c r="X242" i="18"/>
  <c r="Y241" i="18"/>
  <c r="Y242" i="18"/>
  <c r="X243" i="18"/>
  <c r="Y243" i="18"/>
  <c r="X244" i="18"/>
  <c r="Y244" i="18"/>
  <c r="X245" i="18"/>
  <c r="X246" i="18"/>
  <c r="Y245" i="18"/>
  <c r="Y246" i="18"/>
  <c r="X247" i="18"/>
  <c r="Y247" i="18"/>
  <c r="X248" i="18"/>
  <c r="Y248" i="18"/>
  <c r="X249" i="18"/>
  <c r="X250" i="18"/>
  <c r="Y249" i="18"/>
  <c r="Y250" i="18"/>
  <c r="X251" i="18"/>
  <c r="Y251" i="18"/>
  <c r="X252" i="18"/>
  <c r="X253" i="18"/>
  <c r="Y252" i="18"/>
  <c r="X254" i="18"/>
  <c r="Y253" i="18"/>
  <c r="Y254" i="18"/>
  <c r="X255" i="18"/>
  <c r="Y255" i="18"/>
  <c r="X256" i="18"/>
  <c r="Y256" i="18"/>
  <c r="X257" i="18"/>
  <c r="X258" i="18"/>
  <c r="Y257" i="18"/>
  <c r="Y258" i="18"/>
  <c r="X259" i="18"/>
  <c r="X260" i="18"/>
  <c r="Y259" i="18"/>
  <c r="Y260" i="18"/>
  <c r="X261" i="18"/>
  <c r="Y261" i="18"/>
  <c r="X262" i="18"/>
  <c r="Y262" i="18"/>
  <c r="X263" i="18"/>
  <c r="Y263" i="18"/>
  <c r="X264" i="18"/>
  <c r="Y264" i="18"/>
  <c r="X265" i="18"/>
  <c r="X266" i="18"/>
  <c r="Y265" i="18"/>
  <c r="Y266" i="18"/>
  <c r="X267" i="18"/>
  <c r="Y267" i="18"/>
  <c r="X268" i="18"/>
  <c r="X269" i="18"/>
  <c r="Y268" i="18"/>
  <c r="X270" i="18"/>
  <c r="Y269" i="18"/>
  <c r="Y270" i="18"/>
  <c r="X271" i="18"/>
  <c r="X272" i="18"/>
  <c r="Y271" i="18"/>
  <c r="Y272" i="18"/>
  <c r="X273" i="18"/>
  <c r="X274" i="18"/>
  <c r="Y273" i="18"/>
  <c r="Y274" i="18"/>
  <c r="X275" i="18"/>
  <c r="Y275" i="18"/>
  <c r="X276" i="18"/>
  <c r="Y276" i="18"/>
  <c r="X277" i="18"/>
  <c r="Y277" i="18"/>
  <c r="X278" i="18"/>
  <c r="Y278" i="18"/>
  <c r="X279" i="18"/>
  <c r="Y279" i="18"/>
  <c r="X280" i="18"/>
  <c r="Y280" i="18"/>
  <c r="X281" i="18"/>
  <c r="Y281" i="18"/>
  <c r="X282" i="18"/>
  <c r="X283" i="18"/>
  <c r="Y282" i="18"/>
  <c r="Y283" i="18"/>
  <c r="X284" i="18"/>
  <c r="X285" i="18"/>
  <c r="Y284" i="18"/>
  <c r="X286" i="18"/>
  <c r="Y285" i="18"/>
  <c r="X287" i="18"/>
  <c r="Y286" i="18"/>
  <c r="X288" i="18"/>
  <c r="Y287" i="18"/>
  <c r="Y288" i="18"/>
  <c r="X289" i="18"/>
  <c r="X290" i="18"/>
  <c r="Y289" i="18"/>
  <c r="X291" i="18"/>
  <c r="Y290" i="18"/>
  <c r="Y291" i="18"/>
  <c r="X292" i="18"/>
  <c r="X293" i="18"/>
  <c r="Y292" i="18"/>
  <c r="Y293" i="18"/>
  <c r="X294" i="18"/>
  <c r="Y294" i="18"/>
  <c r="X295" i="18"/>
  <c r="X296" i="18"/>
  <c r="Y295" i="18"/>
  <c r="Y296" i="18"/>
  <c r="X297" i="18"/>
  <c r="Y297" i="18"/>
  <c r="X298" i="18"/>
  <c r="Y298" i="18"/>
  <c r="X299" i="18"/>
  <c r="Y299" i="18"/>
  <c r="X300" i="18"/>
  <c r="X301" i="18"/>
  <c r="Y300" i="18"/>
  <c r="Y301" i="18"/>
  <c r="X302" i="18"/>
  <c r="Y302" i="18"/>
  <c r="X303" i="18"/>
  <c r="X304" i="18"/>
  <c r="Y303" i="18"/>
  <c r="Y304" i="18"/>
  <c r="X305" i="18"/>
  <c r="X306" i="18"/>
  <c r="Y305" i="18"/>
  <c r="Y306" i="18"/>
  <c r="X307" i="18"/>
  <c r="Y307" i="18"/>
  <c r="X308" i="18"/>
  <c r="X309" i="18"/>
  <c r="Y308" i="18"/>
  <c r="Y309" i="18"/>
  <c r="X310" i="18"/>
  <c r="Y310" i="18"/>
  <c r="X311" i="18"/>
  <c r="X312" i="18"/>
  <c r="Y311" i="18"/>
  <c r="Y312" i="18"/>
  <c r="X313" i="18"/>
  <c r="Y313" i="18"/>
  <c r="X314" i="18"/>
  <c r="X315" i="18"/>
  <c r="Y314" i="18"/>
  <c r="Y315" i="18"/>
  <c r="X316" i="18"/>
  <c r="X317" i="18"/>
  <c r="Y316" i="18"/>
  <c r="Y317" i="18"/>
  <c r="X318" i="18"/>
  <c r="Y318" i="18"/>
  <c r="X319" i="18"/>
  <c r="X320" i="18"/>
  <c r="Y319" i="18"/>
  <c r="Y320" i="18"/>
  <c r="X321" i="18"/>
  <c r="X322" i="18"/>
  <c r="Y321" i="18"/>
  <c r="Y322" i="18"/>
  <c r="X323" i="18"/>
  <c r="X324" i="18"/>
  <c r="Y323" i="18"/>
  <c r="Y324" i="18"/>
  <c r="X325" i="18"/>
  <c r="Y325" i="18"/>
  <c r="X326" i="18"/>
  <c r="Y326" i="18"/>
  <c r="X327" i="18"/>
  <c r="Y327" i="18"/>
  <c r="X328" i="18"/>
  <c r="X329" i="18"/>
  <c r="Y328" i="18"/>
  <c r="Y329" i="18"/>
  <c r="X330" i="18"/>
  <c r="Y330" i="18"/>
  <c r="X331" i="18"/>
  <c r="Y331" i="18"/>
  <c r="X332" i="18"/>
  <c r="X333" i="18"/>
  <c r="Y332" i="18"/>
  <c r="Y333" i="18"/>
  <c r="X334" i="18"/>
  <c r="Y334" i="18"/>
  <c r="X335" i="18"/>
  <c r="X336" i="18"/>
  <c r="Y335" i="18"/>
  <c r="Y336" i="18"/>
  <c r="X337" i="18"/>
  <c r="X338" i="18"/>
  <c r="Y337" i="18"/>
  <c r="Y338" i="18"/>
  <c r="X339" i="18"/>
  <c r="X340" i="18"/>
  <c r="Y339" i="18"/>
  <c r="Y340" i="18"/>
  <c r="X341" i="18"/>
  <c r="Y341" i="18"/>
  <c r="X342" i="18"/>
  <c r="Y342" i="18"/>
  <c r="X343" i="18"/>
  <c r="X344" i="18"/>
  <c r="Y343" i="18"/>
  <c r="Y344" i="18"/>
  <c r="X345" i="18"/>
  <c r="Y345" i="18"/>
  <c r="X346" i="18"/>
  <c r="X347" i="18"/>
  <c r="Y346" i="18"/>
  <c r="Y347" i="18"/>
  <c r="X348" i="18"/>
  <c r="X349" i="18"/>
  <c r="Y348" i="18"/>
  <c r="X350" i="18"/>
  <c r="Y349" i="18"/>
  <c r="Y350" i="18"/>
  <c r="X351" i="18"/>
  <c r="X352" i="18"/>
  <c r="Y351" i="18"/>
  <c r="Y352" i="18"/>
  <c r="X353" i="18"/>
  <c r="X354" i="18"/>
  <c r="Y353" i="18"/>
  <c r="X355" i="18"/>
  <c r="Y354" i="18"/>
  <c r="Y355" i="18"/>
  <c r="X356" i="18"/>
  <c r="X357" i="18"/>
  <c r="Y356" i="18"/>
  <c r="Y357" i="18"/>
  <c r="X358" i="18"/>
  <c r="Y358" i="18"/>
  <c r="X359" i="18"/>
  <c r="Y359" i="18"/>
  <c r="X360" i="18"/>
  <c r="Y360" i="18"/>
  <c r="X361" i="18"/>
  <c r="Y361" i="18"/>
  <c r="X362" i="18"/>
  <c r="Y362" i="18"/>
  <c r="X363" i="18"/>
  <c r="Y363" i="18"/>
  <c r="X364" i="18"/>
  <c r="X365" i="18"/>
  <c r="Y364" i="18"/>
  <c r="Y365" i="18"/>
  <c r="X366" i="18"/>
  <c r="Y366" i="18"/>
  <c r="X367" i="18"/>
  <c r="X368" i="18"/>
  <c r="Y367" i="18"/>
  <c r="Y368" i="18"/>
  <c r="X369" i="18"/>
  <c r="Y369" i="18"/>
  <c r="X370" i="18"/>
  <c r="Y370" i="18"/>
  <c r="X371" i="18"/>
  <c r="X372" i="18"/>
  <c r="Y371" i="18"/>
  <c r="Y372" i="18"/>
  <c r="X373" i="18"/>
  <c r="X374" i="18"/>
  <c r="Y373" i="18"/>
  <c r="Y374" i="18"/>
  <c r="X375" i="18"/>
  <c r="X376" i="18"/>
  <c r="Y375" i="18"/>
  <c r="Y376" i="18"/>
  <c r="X377" i="18"/>
  <c r="Y377" i="18"/>
  <c r="X378" i="18"/>
  <c r="Y378" i="18"/>
  <c r="X379" i="18"/>
  <c r="Y379" i="18"/>
  <c r="X380" i="18"/>
  <c r="Y380" i="18"/>
  <c r="X381" i="18"/>
  <c r="X382" i="18"/>
  <c r="Y381" i="18"/>
  <c r="Y382" i="18"/>
  <c r="X383" i="18"/>
  <c r="X384" i="18"/>
  <c r="Y383" i="18"/>
  <c r="Y384" i="18"/>
  <c r="X385" i="18"/>
  <c r="Y385" i="18"/>
  <c r="X386" i="18"/>
  <c r="Y386" i="18"/>
  <c r="X387" i="18"/>
  <c r="Y387" i="18"/>
  <c r="X388" i="18"/>
  <c r="X389" i="18"/>
  <c r="Y388" i="18"/>
  <c r="Y389" i="18"/>
  <c r="X390" i="18"/>
  <c r="Y390" i="18"/>
  <c r="X391" i="18"/>
  <c r="X392" i="18"/>
  <c r="Y391" i="18"/>
  <c r="Y392" i="18"/>
  <c r="X393" i="18"/>
  <c r="Y393" i="18"/>
  <c r="X394" i="18"/>
  <c r="Y394" i="18"/>
  <c r="X395" i="18"/>
  <c r="X396" i="18"/>
  <c r="Y395" i="18"/>
  <c r="Y396" i="18"/>
  <c r="X397" i="18"/>
  <c r="X398" i="18"/>
  <c r="Y397" i="18"/>
  <c r="Y398" i="18"/>
  <c r="X399" i="18"/>
  <c r="X400" i="18"/>
  <c r="Y399" i="18"/>
  <c r="X401" i="18"/>
  <c r="Y400" i="18"/>
  <c r="Y401" i="18"/>
  <c r="X402" i="18"/>
  <c r="Y402" i="18"/>
  <c r="X403" i="18"/>
  <c r="Y403" i="18"/>
  <c r="X404" i="18"/>
  <c r="Y404" i="18"/>
  <c r="X405" i="18"/>
  <c r="Y405" i="18"/>
  <c r="X406" i="18"/>
  <c r="Y406" i="18"/>
  <c r="X407" i="18"/>
  <c r="Y407" i="18"/>
  <c r="X408" i="18"/>
  <c r="Y408" i="18"/>
  <c r="X409" i="18"/>
  <c r="Y409" i="18"/>
  <c r="X410" i="18"/>
  <c r="Y410" i="18"/>
  <c r="X411" i="18"/>
  <c r="Y411" i="18"/>
  <c r="X412" i="18"/>
  <c r="Y412" i="18"/>
  <c r="X413" i="18"/>
  <c r="X414" i="18"/>
  <c r="Y413" i="18"/>
  <c r="Y414" i="18"/>
  <c r="X415" i="18"/>
  <c r="X416" i="18"/>
  <c r="Y415" i="18"/>
  <c r="Y416" i="18"/>
  <c r="X417" i="18"/>
  <c r="Y417" i="18"/>
  <c r="X418" i="18"/>
  <c r="Y418" i="18"/>
  <c r="X419" i="18"/>
  <c r="Y419" i="18"/>
  <c r="X420" i="18"/>
  <c r="X421" i="18"/>
  <c r="Y420" i="18"/>
  <c r="Y421" i="18"/>
  <c r="X422" i="18"/>
  <c r="Y422" i="18"/>
  <c r="X423" i="18"/>
  <c r="Y423" i="18"/>
  <c r="X424" i="18"/>
  <c r="X425" i="18"/>
  <c r="Y424" i="18"/>
  <c r="Y425" i="18"/>
  <c r="X426" i="18"/>
  <c r="Y426" i="18"/>
  <c r="X427" i="18"/>
  <c r="Y427" i="18"/>
  <c r="X428" i="18"/>
  <c r="X429" i="18"/>
  <c r="Y428" i="18"/>
  <c r="Y429" i="18"/>
  <c r="X430" i="18"/>
  <c r="Y430" i="18"/>
  <c r="X431" i="18"/>
  <c r="X432" i="18"/>
  <c r="Y431" i="18"/>
  <c r="Y432" i="18"/>
  <c r="X433" i="18"/>
  <c r="X434" i="18"/>
  <c r="Y433" i="18"/>
  <c r="Y434" i="18"/>
  <c r="X435" i="18"/>
  <c r="Y435" i="18"/>
  <c r="X436" i="18"/>
  <c r="X437" i="18"/>
  <c r="Y436" i="18"/>
  <c r="Y437" i="18"/>
  <c r="X438" i="18"/>
  <c r="X439" i="18"/>
  <c r="Y438" i="18"/>
  <c r="Y439" i="18"/>
  <c r="X440" i="18"/>
  <c r="Y440" i="18"/>
  <c r="X441" i="18"/>
  <c r="Y441" i="18"/>
  <c r="X442" i="18"/>
  <c r="X443" i="18"/>
  <c r="Y442" i="18"/>
  <c r="Y443" i="18"/>
  <c r="X444" i="18"/>
  <c r="X445" i="18"/>
  <c r="Y444" i="18"/>
  <c r="X446" i="18"/>
  <c r="Y445" i="18"/>
  <c r="Y446" i="18"/>
  <c r="X447" i="18"/>
  <c r="X448" i="18"/>
  <c r="Y447" i="18"/>
  <c r="X449" i="18"/>
  <c r="Y448" i="18"/>
  <c r="Y449" i="18"/>
  <c r="X450" i="18"/>
  <c r="X451" i="18"/>
  <c r="Y450" i="18"/>
  <c r="Y451" i="18"/>
  <c r="X452" i="18"/>
  <c r="X453" i="18"/>
  <c r="Y452" i="18"/>
  <c r="Y453" i="18"/>
  <c r="X454" i="18"/>
  <c r="X455" i="18"/>
  <c r="Y454" i="18"/>
  <c r="Y455" i="18"/>
  <c r="X456" i="18"/>
  <c r="Y456" i="18"/>
  <c r="X457" i="18"/>
  <c r="Y457" i="18"/>
  <c r="X458" i="18"/>
  <c r="Y458" i="18"/>
  <c r="X459" i="18"/>
  <c r="Y459" i="18"/>
  <c r="X460" i="18"/>
  <c r="Y460" i="18"/>
  <c r="X461" i="18"/>
  <c r="Y461" i="18"/>
  <c r="X462" i="18"/>
  <c r="Y462" i="18"/>
  <c r="X463" i="18"/>
  <c r="X464" i="18"/>
  <c r="Y463" i="18"/>
  <c r="X465" i="18"/>
  <c r="Y464" i="18"/>
  <c r="Y465" i="18"/>
  <c r="X466" i="18"/>
  <c r="Y466" i="18"/>
  <c r="X467" i="18"/>
  <c r="Y467" i="18"/>
  <c r="X468" i="18"/>
  <c r="X469" i="18"/>
  <c r="Y468" i="18"/>
  <c r="Y469" i="18"/>
  <c r="X470" i="18"/>
  <c r="X471" i="18"/>
  <c r="Y470" i="18"/>
  <c r="Y471" i="18"/>
  <c r="X472" i="18"/>
  <c r="Y472" i="18"/>
  <c r="X473" i="18"/>
  <c r="Y473" i="18"/>
  <c r="X474" i="18"/>
  <c r="Y474" i="18"/>
  <c r="X475" i="18"/>
  <c r="Y475" i="18"/>
  <c r="X476" i="18"/>
  <c r="Y476" i="18"/>
  <c r="X477" i="18"/>
  <c r="Y477" i="18"/>
  <c r="X478" i="18"/>
  <c r="Y478" i="18"/>
  <c r="X479" i="18"/>
  <c r="X480" i="18"/>
  <c r="Y479" i="18"/>
  <c r="Y480" i="18"/>
  <c r="X481" i="18"/>
  <c r="Y481" i="18"/>
  <c r="X482" i="18"/>
  <c r="Y482" i="18"/>
  <c r="X483" i="18"/>
  <c r="Y483" i="18"/>
  <c r="X484" i="18"/>
  <c r="X485" i="18"/>
  <c r="Y484" i="18"/>
  <c r="Y485" i="18"/>
  <c r="X486" i="18"/>
  <c r="X487" i="18"/>
  <c r="Y486" i="18"/>
  <c r="X488" i="18"/>
  <c r="Y487" i="18"/>
  <c r="Y488" i="18"/>
  <c r="X489" i="18"/>
  <c r="Y489" i="18"/>
  <c r="X490" i="18"/>
  <c r="X491" i="18"/>
  <c r="Y490" i="18"/>
  <c r="Y491" i="18"/>
  <c r="X492" i="18"/>
  <c r="X493" i="18"/>
  <c r="Y492" i="18"/>
  <c r="Y493" i="18"/>
  <c r="X494" i="18"/>
  <c r="Y494" i="18"/>
  <c r="X495" i="18"/>
  <c r="X496" i="18"/>
  <c r="Y495" i="18"/>
  <c r="Y496" i="18"/>
  <c r="X497" i="18"/>
  <c r="Y497" i="18"/>
  <c r="X498" i="18"/>
  <c r="X499" i="18"/>
  <c r="Y498" i="18"/>
  <c r="Y499" i="18"/>
  <c r="X500" i="18"/>
  <c r="X501" i="18"/>
  <c r="Y500" i="18"/>
  <c r="X502" i="18"/>
  <c r="Y501" i="18"/>
  <c r="Y502" i="18"/>
  <c r="X503" i="18"/>
  <c r="X504" i="18"/>
  <c r="Y503" i="18"/>
  <c r="Y504" i="18"/>
  <c r="X505" i="18"/>
  <c r="Y505" i="18"/>
  <c r="X506" i="18"/>
  <c r="Y506" i="18"/>
  <c r="X507" i="18"/>
  <c r="X508" i="18"/>
  <c r="Y507" i="18"/>
  <c r="Y508" i="18"/>
  <c r="X509" i="18"/>
  <c r="X510" i="18"/>
  <c r="Y509" i="18"/>
  <c r="Y510" i="18"/>
  <c r="X511" i="18"/>
  <c r="X512" i="18"/>
  <c r="Y511" i="18"/>
  <c r="Y512" i="18"/>
  <c r="X513" i="18"/>
  <c r="Y513" i="18"/>
  <c r="X514" i="18"/>
  <c r="Y514" i="18"/>
  <c r="X515" i="18"/>
  <c r="Y515" i="18"/>
  <c r="X516" i="18"/>
  <c r="X517" i="18"/>
  <c r="Y516" i="18"/>
  <c r="X518" i="18"/>
  <c r="Y517" i="18"/>
  <c r="Y518" i="18"/>
  <c r="X519" i="18"/>
  <c r="Y519" i="18"/>
  <c r="X520" i="18"/>
  <c r="Y520" i="18"/>
  <c r="X521" i="18"/>
  <c r="Y521" i="18"/>
  <c r="X522" i="18"/>
  <c r="Y522" i="18"/>
  <c r="X523" i="18"/>
  <c r="X524" i="18"/>
  <c r="Y523" i="18"/>
  <c r="X525" i="18"/>
  <c r="Y524" i="18"/>
  <c r="Y525" i="18"/>
  <c r="X526" i="18"/>
  <c r="Y526" i="18"/>
  <c r="X527" i="18"/>
  <c r="X528" i="18"/>
  <c r="Y527" i="18"/>
  <c r="Y528" i="18"/>
  <c r="X529" i="18"/>
  <c r="X530" i="18"/>
  <c r="Y529" i="18"/>
  <c r="Y530" i="18"/>
  <c r="X531" i="18"/>
  <c r="Y531" i="18"/>
  <c r="X532" i="18"/>
  <c r="X533" i="18"/>
  <c r="Y532" i="18"/>
  <c r="X534" i="18"/>
  <c r="Y533" i="18"/>
  <c r="Y534" i="18"/>
  <c r="X535" i="18"/>
  <c r="Y535" i="18"/>
  <c r="X536" i="18"/>
  <c r="Y536" i="18"/>
  <c r="X537" i="18"/>
  <c r="Y537" i="18"/>
  <c r="X538" i="18"/>
  <c r="X539" i="18"/>
  <c r="Y538" i="18"/>
  <c r="Y539" i="18"/>
  <c r="X540" i="18"/>
  <c r="Y540" i="18"/>
  <c r="X541" i="18"/>
  <c r="Y541" i="18"/>
  <c r="X542" i="18"/>
  <c r="Y542" i="18"/>
  <c r="X543" i="18"/>
  <c r="X544" i="18"/>
  <c r="Y543" i="18"/>
  <c r="Y544" i="18"/>
  <c r="X545" i="18"/>
  <c r="Y545" i="18"/>
  <c r="X546" i="18"/>
  <c r="X547" i="18"/>
  <c r="Y546" i="18"/>
  <c r="Y547" i="18"/>
  <c r="X548" i="18"/>
  <c r="Y548" i="18"/>
  <c r="X549" i="18"/>
  <c r="X550" i="18"/>
  <c r="Y549" i="18"/>
  <c r="Y550" i="18"/>
  <c r="X551" i="18"/>
  <c r="X552" i="18"/>
  <c r="Y551" i="18"/>
  <c r="Y552" i="18"/>
  <c r="X553" i="18"/>
  <c r="Y553" i="18"/>
  <c r="X554" i="18"/>
  <c r="X555" i="18"/>
  <c r="Y554" i="18"/>
  <c r="Y555" i="18"/>
  <c r="X556" i="18"/>
  <c r="Y556" i="18"/>
  <c r="X557" i="18"/>
  <c r="Y557" i="18"/>
  <c r="X558" i="18"/>
  <c r="Y558" i="18"/>
  <c r="X559" i="18"/>
  <c r="X560" i="18"/>
  <c r="Y559" i="18"/>
  <c r="Y560" i="18"/>
  <c r="X561" i="18"/>
  <c r="Y561" i="18"/>
  <c r="X562" i="18"/>
  <c r="X563" i="18"/>
  <c r="Y562" i="18"/>
  <c r="Y563" i="18"/>
  <c r="X564" i="18"/>
  <c r="Y564" i="18"/>
  <c r="X565" i="18"/>
  <c r="Y565" i="18"/>
  <c r="X566" i="18"/>
  <c r="X567" i="18"/>
  <c r="Y566" i="18"/>
  <c r="Y567" i="18"/>
  <c r="X568" i="18"/>
  <c r="X569" i="18"/>
  <c r="Y568" i="18"/>
  <c r="Y569" i="18"/>
  <c r="X570" i="18"/>
  <c r="X571" i="18"/>
  <c r="Y570" i="18"/>
  <c r="Y571" i="18"/>
  <c r="X572" i="18"/>
  <c r="Y572" i="18"/>
  <c r="X573" i="18"/>
  <c r="Y573" i="18"/>
  <c r="X574" i="18"/>
  <c r="Y574" i="18"/>
  <c r="X575" i="18"/>
  <c r="X576" i="18"/>
  <c r="Y575" i="18"/>
  <c r="Y576" i="18"/>
  <c r="X577" i="18"/>
  <c r="X578" i="18"/>
  <c r="Y577" i="18"/>
  <c r="Y578" i="18"/>
  <c r="X579" i="18"/>
  <c r="Y579" i="18"/>
  <c r="X580" i="18"/>
  <c r="Y580" i="18"/>
  <c r="X581" i="18"/>
  <c r="Y581" i="18"/>
  <c r="X582" i="18"/>
  <c r="X583" i="18"/>
  <c r="Y582" i="18"/>
  <c r="Y583" i="18"/>
  <c r="X584" i="18"/>
  <c r="Y584" i="18"/>
  <c r="X585" i="18"/>
  <c r="Y585" i="18"/>
  <c r="X586" i="18"/>
  <c r="X587" i="18"/>
  <c r="Y586" i="18"/>
  <c r="Y587" i="18"/>
  <c r="X588" i="18"/>
  <c r="X589" i="18"/>
  <c r="Y588" i="18"/>
  <c r="Y589" i="18"/>
  <c r="X590" i="18"/>
  <c r="Y590" i="18"/>
  <c r="X591" i="18"/>
  <c r="X592" i="18"/>
  <c r="Y591" i="18"/>
  <c r="Y592" i="18"/>
  <c r="X593" i="18"/>
  <c r="Y593" i="18"/>
  <c r="X594" i="18"/>
  <c r="Y594" i="18"/>
  <c r="X595" i="18"/>
  <c r="Y595" i="18"/>
  <c r="X596" i="18"/>
  <c r="Y596" i="18"/>
  <c r="X597" i="18"/>
  <c r="Y597" i="18"/>
  <c r="X598" i="18"/>
  <c r="Y598" i="18"/>
  <c r="X599" i="18"/>
  <c r="Y599" i="18"/>
  <c r="X600" i="18"/>
  <c r="Y600" i="18"/>
  <c r="X601" i="18"/>
  <c r="Y601" i="18"/>
  <c r="X602" i="18"/>
  <c r="X603" i="18"/>
  <c r="Y602" i="18"/>
  <c r="X604" i="18"/>
  <c r="Y603" i="18"/>
  <c r="X605" i="18"/>
  <c r="Y604" i="18"/>
  <c r="X606" i="18"/>
  <c r="Y605" i="18"/>
  <c r="Y606" i="18"/>
  <c r="X607" i="18"/>
  <c r="X608" i="18"/>
  <c r="Y607" i="18"/>
  <c r="X609" i="18"/>
  <c r="Y608" i="18"/>
  <c r="Y609" i="18"/>
  <c r="X610" i="18"/>
  <c r="Y610" i="18"/>
  <c r="X611" i="18"/>
  <c r="X612" i="18"/>
  <c r="Y611" i="18"/>
  <c r="Y612" i="18"/>
  <c r="X613" i="18"/>
  <c r="Y613" i="18"/>
  <c r="X614" i="18"/>
  <c r="Y614" i="18"/>
  <c r="X615" i="18"/>
  <c r="Y615" i="18"/>
  <c r="X616" i="18"/>
  <c r="Y616" i="18"/>
  <c r="X617" i="18"/>
  <c r="Y617" i="18"/>
  <c r="X618" i="18"/>
  <c r="X619" i="18"/>
  <c r="Y618" i="18"/>
  <c r="Y619" i="18"/>
  <c r="X620" i="18"/>
  <c r="Y620" i="18"/>
  <c r="X621" i="18"/>
  <c r="X622" i="18"/>
  <c r="Y621" i="18"/>
  <c r="Y622" i="18"/>
  <c r="X623" i="18"/>
  <c r="X624" i="18"/>
  <c r="Y623" i="18"/>
  <c r="Y624" i="18"/>
  <c r="X625" i="18"/>
  <c r="X626" i="18"/>
  <c r="Y625" i="18"/>
  <c r="Y626" i="18"/>
  <c r="X627" i="18"/>
  <c r="X628" i="18"/>
  <c r="Y627" i="18"/>
  <c r="Y628" i="18"/>
  <c r="X629" i="18"/>
  <c r="Y629" i="18"/>
  <c r="X630" i="18"/>
  <c r="Y630" i="18"/>
  <c r="X631" i="18"/>
  <c r="Y631" i="18"/>
  <c r="X632" i="18"/>
  <c r="Y632" i="18"/>
  <c r="X633" i="18"/>
  <c r="Y633" i="18"/>
  <c r="X634" i="18"/>
  <c r="X635" i="18"/>
  <c r="Y634" i="18"/>
  <c r="Y635" i="18"/>
  <c r="X636" i="18"/>
  <c r="Y636" i="18"/>
  <c r="X637" i="18"/>
  <c r="Y637" i="18"/>
  <c r="X638" i="18"/>
  <c r="Y638" i="18"/>
  <c r="X639" i="18"/>
  <c r="X640" i="18"/>
  <c r="Y639" i="18"/>
  <c r="Y640" i="18"/>
  <c r="X641" i="18"/>
  <c r="X642" i="18"/>
  <c r="Y641" i="18"/>
  <c r="Y642" i="18"/>
  <c r="X643" i="18"/>
  <c r="Y643" i="18"/>
  <c r="X644" i="18"/>
  <c r="Y644" i="18"/>
  <c r="X645" i="18"/>
  <c r="X646" i="18"/>
  <c r="Y645" i="18"/>
  <c r="Y646" i="18"/>
  <c r="X647" i="18"/>
  <c r="X648" i="18"/>
  <c r="Y647" i="18"/>
  <c r="Y648" i="18"/>
  <c r="X649" i="18"/>
  <c r="Y649" i="18"/>
  <c r="X650" i="18"/>
  <c r="X651" i="18"/>
  <c r="Y650" i="18"/>
  <c r="Y651" i="18"/>
  <c r="X652" i="18"/>
  <c r="Y652" i="18"/>
  <c r="X653" i="18"/>
  <c r="Y653" i="18"/>
  <c r="X654" i="18"/>
  <c r="Y654" i="18"/>
  <c r="X655" i="18"/>
  <c r="X656" i="18"/>
  <c r="Y655" i="18"/>
  <c r="X657" i="18"/>
  <c r="Y656" i="18"/>
  <c r="Y657" i="18"/>
  <c r="X658" i="18"/>
  <c r="Y658" i="18"/>
  <c r="X659" i="18"/>
  <c r="Y659" i="18"/>
  <c r="X660" i="18"/>
  <c r="Y660" i="18"/>
  <c r="X661" i="18"/>
  <c r="X662" i="18"/>
  <c r="Y661" i="18"/>
  <c r="Y662" i="18"/>
  <c r="X663" i="18"/>
  <c r="Y663" i="18"/>
  <c r="X664" i="18"/>
  <c r="X665" i="18"/>
  <c r="Y664" i="18"/>
  <c r="Y665" i="18"/>
  <c r="X666" i="18"/>
  <c r="X667" i="18"/>
  <c r="Y666" i="18"/>
  <c r="X668" i="18"/>
  <c r="Y667" i="18"/>
  <c r="Y668" i="18"/>
  <c r="X669" i="18"/>
  <c r="Y669" i="18"/>
  <c r="X670" i="18"/>
  <c r="Y670" i="18"/>
  <c r="X671" i="18"/>
  <c r="X672" i="18"/>
  <c r="Y671" i="18"/>
  <c r="Y672" i="18"/>
  <c r="X673" i="18"/>
  <c r="Y673" i="18"/>
  <c r="X674" i="18"/>
  <c r="X675" i="18"/>
  <c r="Y674" i="18"/>
  <c r="Y675" i="18"/>
  <c r="X676" i="18"/>
  <c r="Y676" i="18"/>
  <c r="X677" i="18"/>
  <c r="Y677" i="18"/>
  <c r="X678" i="18"/>
  <c r="Y678" i="18"/>
  <c r="X679" i="18"/>
  <c r="Y679" i="18"/>
  <c r="X680" i="18"/>
  <c r="X681" i="18"/>
  <c r="Y680" i="18"/>
  <c r="Y681" i="18"/>
  <c r="X682" i="18"/>
  <c r="X683" i="18"/>
  <c r="Y682" i="18"/>
  <c r="X684" i="18"/>
  <c r="Y683" i="18"/>
  <c r="X685" i="18"/>
  <c r="Y684" i="18"/>
  <c r="Y685" i="18"/>
  <c r="X686" i="18"/>
  <c r="Y686" i="18"/>
  <c r="X687" i="18"/>
  <c r="X688" i="18"/>
  <c r="Y687" i="18"/>
  <c r="Y688" i="18"/>
  <c r="X689" i="18"/>
  <c r="Y689" i="18"/>
  <c r="X690" i="18"/>
  <c r="X691" i="18"/>
  <c r="Y690" i="18"/>
  <c r="Y691" i="18"/>
  <c r="X692" i="18"/>
  <c r="Y692" i="18"/>
  <c r="X693" i="18"/>
  <c r="Y693" i="18"/>
  <c r="X694" i="18"/>
  <c r="Y694" i="18"/>
  <c r="X695" i="18"/>
  <c r="Y695" i="18"/>
  <c r="X696" i="18"/>
  <c r="Y696" i="18"/>
  <c r="X697" i="18"/>
  <c r="Y697" i="18"/>
  <c r="X698" i="18"/>
  <c r="X699" i="18"/>
  <c r="Y698" i="18"/>
  <c r="Y699" i="18"/>
  <c r="X700" i="18"/>
  <c r="X701" i="18"/>
  <c r="Y700" i="18"/>
  <c r="X702" i="18"/>
  <c r="Y701" i="18"/>
  <c r="Y702" i="18"/>
  <c r="X703" i="18"/>
  <c r="X704" i="18"/>
  <c r="Y703" i="18"/>
  <c r="Y704" i="18"/>
  <c r="X705" i="18"/>
  <c r="Y705" i="18"/>
  <c r="X706" i="18"/>
  <c r="Y706" i="18"/>
  <c r="X707" i="18"/>
  <c r="X708" i="18"/>
  <c r="Y707" i="18"/>
  <c r="Y708" i="18"/>
  <c r="X709" i="18"/>
  <c r="X710" i="18"/>
  <c r="Y709" i="18"/>
  <c r="Y710" i="18"/>
  <c r="X711" i="18"/>
  <c r="Y711" i="18"/>
  <c r="X712" i="18"/>
  <c r="X713" i="18"/>
  <c r="Y712" i="18"/>
  <c r="Y713" i="18"/>
  <c r="X714" i="18"/>
  <c r="X715" i="18"/>
  <c r="Y714" i="18"/>
  <c r="Y715" i="18"/>
  <c r="X716" i="18"/>
  <c r="Y716" i="18"/>
  <c r="X717" i="18"/>
  <c r="X718" i="18"/>
  <c r="Y717" i="18"/>
  <c r="Y718" i="18"/>
  <c r="X719" i="18"/>
  <c r="X720" i="18"/>
  <c r="Y719" i="18"/>
  <c r="Y720" i="18"/>
  <c r="X721" i="18"/>
  <c r="X722" i="18"/>
  <c r="Y721" i="18"/>
  <c r="Y722" i="18"/>
  <c r="X723" i="18"/>
  <c r="Y723" i="18"/>
  <c r="X724" i="18"/>
  <c r="Y724" i="18"/>
  <c r="X725" i="18"/>
  <c r="Y725" i="18"/>
  <c r="X726" i="18"/>
  <c r="Y726" i="18"/>
  <c r="X727" i="18"/>
  <c r="Y727" i="18"/>
  <c r="X728" i="18"/>
  <c r="X729" i="18"/>
  <c r="Y728" i="18"/>
  <c r="Y729" i="18"/>
  <c r="X730" i="18"/>
  <c r="X731" i="18"/>
  <c r="Y730" i="18"/>
  <c r="X732" i="18"/>
  <c r="Y731" i="18"/>
  <c r="Y732" i="18"/>
  <c r="X733" i="18"/>
  <c r="X734" i="18"/>
  <c r="Y733" i="18"/>
  <c r="Y734" i="18"/>
  <c r="X735" i="18"/>
  <c r="X736" i="18"/>
  <c r="Y735" i="18"/>
  <c r="X737" i="18"/>
  <c r="Y736" i="18"/>
  <c r="X738" i="18"/>
  <c r="Y737" i="18"/>
  <c r="Y738" i="18"/>
  <c r="X739" i="18"/>
  <c r="Y739" i="18"/>
  <c r="X740" i="18"/>
  <c r="Y740" i="18"/>
  <c r="X741" i="18"/>
  <c r="Y741" i="18"/>
  <c r="X742" i="18"/>
  <c r="Y742" i="18"/>
  <c r="X743" i="18"/>
  <c r="Y743" i="18"/>
  <c r="X744" i="18"/>
  <c r="Y744" i="18"/>
  <c r="X745" i="18"/>
  <c r="Y745" i="18"/>
  <c r="X746" i="18"/>
  <c r="X747" i="18"/>
  <c r="Y746" i="18"/>
  <c r="X748" i="18"/>
  <c r="Y747" i="18"/>
  <c r="Y748" i="18"/>
  <c r="X749" i="18"/>
  <c r="X750" i="18"/>
  <c r="Y749" i="18"/>
  <c r="Y750" i="18"/>
  <c r="X751" i="18"/>
  <c r="X752" i="18"/>
  <c r="Y751" i="18"/>
  <c r="Y752" i="18"/>
  <c r="X753" i="18"/>
  <c r="Y753" i="18"/>
  <c r="X754" i="18"/>
  <c r="Y754" i="18"/>
  <c r="X755" i="18"/>
  <c r="Y755" i="18"/>
  <c r="X756" i="18"/>
  <c r="Y756" i="18"/>
  <c r="X757" i="18"/>
  <c r="X758" i="18"/>
  <c r="Y757" i="18"/>
  <c r="Y758" i="18"/>
  <c r="X759" i="18"/>
  <c r="Y759" i="18"/>
  <c r="X760" i="18"/>
  <c r="Y760" i="18"/>
  <c r="X761" i="18"/>
  <c r="Y761" i="18"/>
  <c r="X762" i="18"/>
  <c r="X763" i="18"/>
  <c r="Y762" i="18"/>
  <c r="Y763" i="18"/>
  <c r="X764" i="18"/>
  <c r="X765" i="18"/>
  <c r="Y764" i="18"/>
  <c r="X766" i="18"/>
  <c r="Y765" i="18"/>
  <c r="Y766" i="18"/>
  <c r="X767" i="18"/>
  <c r="X768" i="18"/>
  <c r="Y767" i="18"/>
  <c r="Y768" i="18"/>
  <c r="X769" i="18"/>
  <c r="X770" i="18"/>
  <c r="Y769" i="18"/>
  <c r="Y770" i="18"/>
  <c r="X771" i="18"/>
  <c r="X772" i="18"/>
  <c r="Y771" i="18"/>
  <c r="Y772" i="18"/>
  <c r="X773" i="18"/>
  <c r="Y773" i="18"/>
  <c r="X774" i="18"/>
  <c r="Y774" i="18"/>
  <c r="X775" i="18"/>
  <c r="Y775" i="18"/>
  <c r="X776" i="18"/>
  <c r="Y776" i="18"/>
  <c r="X777" i="18"/>
  <c r="Y777" i="18"/>
  <c r="X778" i="18"/>
  <c r="X779" i="18"/>
  <c r="Y778" i="18"/>
  <c r="Y779" i="18"/>
  <c r="X780" i="18"/>
  <c r="X781" i="18"/>
  <c r="Y780" i="18"/>
  <c r="X782" i="18"/>
  <c r="Y781" i="18"/>
  <c r="Y782" i="18"/>
  <c r="X783" i="18"/>
  <c r="X784" i="18"/>
  <c r="Y783" i="18"/>
  <c r="Y784" i="18"/>
  <c r="X785" i="18"/>
  <c r="X786" i="18"/>
  <c r="Y785" i="18"/>
  <c r="Y786" i="18"/>
  <c r="X787" i="18"/>
  <c r="Y787" i="18"/>
  <c r="X788" i="18"/>
  <c r="Y788" i="18"/>
  <c r="X789" i="18"/>
  <c r="Y789" i="18"/>
  <c r="X790" i="18"/>
  <c r="Y790" i="18"/>
  <c r="X791" i="18"/>
  <c r="Y791" i="18"/>
  <c r="X792" i="18"/>
  <c r="X793" i="18"/>
  <c r="Y792" i="18"/>
  <c r="Y793" i="18"/>
  <c r="X794" i="18"/>
  <c r="X795" i="18"/>
  <c r="Y794" i="18"/>
  <c r="Y795" i="18"/>
  <c r="X796" i="18"/>
  <c r="Y796" i="18"/>
  <c r="X797" i="18"/>
  <c r="X798" i="18"/>
  <c r="Y797" i="18"/>
  <c r="Y798" i="18"/>
  <c r="X799" i="18"/>
  <c r="X800" i="18"/>
  <c r="Y799" i="18"/>
  <c r="X801" i="18"/>
  <c r="Y800" i="18"/>
  <c r="Y801" i="18"/>
  <c r="X802" i="18"/>
  <c r="Y802" i="18"/>
  <c r="X803" i="18"/>
  <c r="X804" i="18"/>
  <c r="Y803" i="18"/>
  <c r="Y804" i="18"/>
  <c r="X805" i="18"/>
  <c r="X806" i="18"/>
  <c r="Y805" i="18"/>
  <c r="Y806" i="18"/>
  <c r="X807" i="18"/>
  <c r="Y807" i="18"/>
  <c r="X808" i="18"/>
  <c r="Y808" i="18"/>
  <c r="X809" i="18"/>
  <c r="Y809" i="18"/>
  <c r="X810" i="18"/>
  <c r="X811" i="18"/>
  <c r="Y810" i="18"/>
  <c r="X812" i="18"/>
  <c r="Y811" i="18"/>
  <c r="Y812" i="18"/>
  <c r="X813" i="18"/>
  <c r="X814" i="18"/>
  <c r="Y813" i="18"/>
  <c r="Y814" i="18"/>
  <c r="X815" i="18"/>
  <c r="X816" i="18"/>
  <c r="Y815" i="18"/>
  <c r="X817" i="18"/>
  <c r="Y816" i="18"/>
  <c r="Y817" i="18"/>
  <c r="X818" i="18"/>
  <c r="X819" i="18"/>
  <c r="Y818" i="18"/>
  <c r="Y819" i="18"/>
  <c r="X820" i="18"/>
  <c r="Y820" i="18"/>
  <c r="X821" i="18"/>
  <c r="X822" i="18"/>
  <c r="Y821" i="18"/>
  <c r="Y822" i="18"/>
  <c r="X823" i="18"/>
  <c r="Y823" i="18"/>
  <c r="X824" i="18"/>
  <c r="Y824" i="18"/>
  <c r="X825" i="18"/>
  <c r="Y825" i="18"/>
  <c r="X826" i="18"/>
  <c r="X827" i="18"/>
  <c r="Y826" i="18"/>
  <c r="Y827" i="18"/>
  <c r="X828" i="18"/>
  <c r="X829" i="18"/>
  <c r="Y828" i="18"/>
  <c r="X830" i="18"/>
  <c r="Y829" i="18"/>
  <c r="Y830" i="18"/>
  <c r="X831" i="18"/>
  <c r="X832" i="18"/>
  <c r="Y831" i="18"/>
  <c r="X833" i="18"/>
  <c r="Y832" i="18"/>
  <c r="X834" i="18"/>
  <c r="Y833" i="18"/>
  <c r="Y834" i="18"/>
  <c r="X835" i="18"/>
  <c r="X836" i="18"/>
  <c r="Y835" i="18"/>
  <c r="Y836" i="18"/>
  <c r="X837" i="18"/>
  <c r="Y837" i="18"/>
  <c r="X838" i="18"/>
  <c r="Y838" i="18"/>
  <c r="X839" i="18"/>
  <c r="Y839" i="18"/>
  <c r="X840" i="18"/>
  <c r="Y840" i="18"/>
  <c r="X841" i="18"/>
  <c r="Y841" i="18"/>
  <c r="X842" i="18"/>
  <c r="X843" i="18"/>
  <c r="Y842" i="18"/>
  <c r="Y843" i="18"/>
  <c r="X844" i="18"/>
  <c r="Y844" i="18"/>
  <c r="X845" i="18"/>
  <c r="X846" i="18"/>
  <c r="Y845" i="18"/>
  <c r="Y846" i="18"/>
  <c r="X847" i="18"/>
  <c r="X848" i="18"/>
  <c r="Y847" i="18"/>
  <c r="Y848" i="18"/>
  <c r="X849" i="18"/>
  <c r="X850" i="18"/>
  <c r="Y849" i="18"/>
  <c r="Y850" i="18"/>
  <c r="X851" i="18"/>
  <c r="X852" i="18"/>
  <c r="Y851" i="18"/>
  <c r="Y852" i="18"/>
  <c r="X853" i="18"/>
  <c r="Y853" i="18"/>
  <c r="X854" i="18"/>
  <c r="Y854" i="18"/>
  <c r="X855" i="18"/>
  <c r="Y855" i="18"/>
  <c r="X856" i="18"/>
  <c r="X857" i="18"/>
  <c r="Y856" i="18"/>
  <c r="Y857" i="18"/>
  <c r="X858" i="18"/>
  <c r="X859" i="18"/>
  <c r="Y858" i="18"/>
  <c r="Y859" i="18"/>
  <c r="X860" i="18"/>
  <c r="X861" i="18"/>
  <c r="Y860" i="18"/>
  <c r="X862" i="18"/>
  <c r="Y861" i="18"/>
  <c r="Y862" i="18"/>
  <c r="X863" i="18"/>
  <c r="X864" i="18"/>
  <c r="Y863" i="18"/>
  <c r="X865" i="18"/>
  <c r="Y864" i="18"/>
  <c r="X866" i="18"/>
  <c r="Y865" i="18"/>
  <c r="X867" i="18"/>
  <c r="Y866" i="18"/>
  <c r="Y867" i="18"/>
  <c r="X868" i="18"/>
  <c r="Y868" i="18"/>
  <c r="X869" i="18"/>
  <c r="Y869" i="18"/>
  <c r="X870" i="18"/>
  <c r="Y870" i="18"/>
  <c r="X871" i="18"/>
  <c r="Y871" i="18"/>
  <c r="X872" i="18"/>
  <c r="X873" i="18"/>
  <c r="Y872" i="18"/>
  <c r="Y873" i="18"/>
  <c r="X874" i="18"/>
  <c r="X875" i="18"/>
  <c r="Y874" i="18"/>
  <c r="Y875" i="18"/>
  <c r="X876" i="18"/>
  <c r="Y876" i="18"/>
  <c r="X877" i="18"/>
  <c r="X878" i="18"/>
  <c r="Y877" i="18"/>
  <c r="Y878" i="18"/>
  <c r="X879" i="18"/>
  <c r="X880" i="18"/>
  <c r="Y879" i="18"/>
  <c r="Y880" i="18"/>
  <c r="X881" i="18"/>
  <c r="Y881" i="18"/>
  <c r="X882" i="18"/>
  <c r="Y882" i="18"/>
  <c r="X883" i="18"/>
  <c r="Y883" i="18"/>
  <c r="X884" i="18"/>
  <c r="Y884" i="18"/>
  <c r="X885" i="18"/>
  <c r="X886" i="18"/>
  <c r="Y885" i="18"/>
  <c r="X887" i="18"/>
  <c r="Y886" i="18"/>
  <c r="X888" i="18"/>
  <c r="Y887" i="18"/>
  <c r="X889" i="18"/>
  <c r="Y888" i="18"/>
  <c r="X890" i="18"/>
  <c r="Y889" i="18"/>
  <c r="Y890" i="18"/>
  <c r="X891" i="18"/>
  <c r="X892" i="18"/>
  <c r="Y891" i="18"/>
  <c r="Y892" i="18"/>
  <c r="X893" i="18"/>
  <c r="X894" i="18"/>
  <c r="Y893" i="18"/>
  <c r="X895" i="18"/>
  <c r="Y894" i="18"/>
  <c r="Y895" i="18"/>
  <c r="X896" i="18"/>
  <c r="Y896" i="18"/>
  <c r="X897" i="18"/>
  <c r="Y897" i="18"/>
  <c r="X898" i="18"/>
  <c r="Y898" i="18"/>
  <c r="X899" i="18"/>
  <c r="Y899" i="18"/>
  <c r="X900" i="18"/>
  <c r="X901" i="18"/>
  <c r="Y900" i="18"/>
  <c r="Y901" i="18"/>
  <c r="X902" i="18"/>
  <c r="X903" i="18"/>
  <c r="Y902" i="18"/>
  <c r="Y903" i="18"/>
  <c r="X904" i="18"/>
  <c r="Y904" i="18"/>
  <c r="X905" i="18"/>
  <c r="Y905" i="18"/>
  <c r="X906" i="18"/>
  <c r="Y906" i="18"/>
  <c r="X907" i="18"/>
  <c r="Y907" i="18"/>
  <c r="X908" i="18"/>
  <c r="X909" i="18"/>
  <c r="Y908" i="18"/>
  <c r="X910" i="18"/>
  <c r="Y909" i="18"/>
  <c r="X911" i="18"/>
  <c r="Y910" i="18"/>
  <c r="X912" i="18"/>
  <c r="Y911" i="18"/>
  <c r="Y912" i="18"/>
  <c r="X913" i="18"/>
  <c r="Y913" i="18"/>
  <c r="X914" i="18"/>
  <c r="Y914" i="18"/>
  <c r="X915" i="18"/>
  <c r="Y915" i="18"/>
  <c r="X916" i="18"/>
  <c r="Y916" i="18"/>
  <c r="X917" i="18"/>
  <c r="Y917" i="18"/>
  <c r="X918" i="18"/>
  <c r="X919" i="18"/>
  <c r="Y918" i="18"/>
  <c r="X920" i="18"/>
  <c r="Y919" i="18"/>
  <c r="Y920" i="18"/>
  <c r="X921" i="18"/>
  <c r="Y921" i="18"/>
  <c r="X922" i="18"/>
  <c r="Y922" i="18"/>
  <c r="X923" i="18"/>
  <c r="X924" i="18"/>
  <c r="Y923" i="18"/>
  <c r="Y924" i="18"/>
  <c r="X925" i="18"/>
  <c r="X926" i="18"/>
  <c r="Y925" i="18"/>
  <c r="Y926" i="18"/>
  <c r="X927" i="18"/>
  <c r="Y927" i="18"/>
  <c r="X928" i="18"/>
  <c r="Y928" i="18"/>
  <c r="X929" i="18"/>
  <c r="Y929" i="18"/>
  <c r="X930" i="18"/>
  <c r="Y930" i="18"/>
  <c r="X931" i="18"/>
  <c r="X932" i="18"/>
  <c r="Y931" i="18"/>
  <c r="X933" i="18"/>
  <c r="Y932" i="18"/>
  <c r="Y933" i="18"/>
  <c r="X934" i="18"/>
  <c r="X935" i="18"/>
  <c r="Y934" i="18"/>
  <c r="Y935" i="18"/>
  <c r="X936" i="18"/>
  <c r="X937" i="18"/>
  <c r="Y936" i="18"/>
  <c r="Y937" i="18"/>
  <c r="X938" i="18"/>
  <c r="X939" i="18"/>
  <c r="Y938" i="18"/>
  <c r="Y939" i="18"/>
  <c r="X940" i="18"/>
  <c r="Y940" i="18"/>
  <c r="X941" i="18"/>
  <c r="Y941" i="18"/>
  <c r="X942" i="18"/>
  <c r="X943" i="18"/>
  <c r="Y942" i="18"/>
  <c r="Y943" i="18"/>
  <c r="X944" i="18"/>
  <c r="Y944" i="18"/>
  <c r="X945" i="18"/>
  <c r="Y945" i="18"/>
  <c r="X946" i="18"/>
  <c r="X947" i="18"/>
  <c r="Y946" i="18"/>
  <c r="Y947" i="18"/>
  <c r="X948" i="18"/>
  <c r="Y948" i="18"/>
  <c r="X949" i="18"/>
  <c r="Y949" i="18"/>
  <c r="X950" i="18"/>
  <c r="X951" i="18"/>
  <c r="Y950" i="18"/>
  <c r="X952" i="18"/>
  <c r="Y951" i="18"/>
  <c r="Y952" i="18"/>
  <c r="X953" i="18"/>
  <c r="X954" i="18"/>
  <c r="Y953" i="18"/>
  <c r="X955" i="18"/>
  <c r="Y954" i="18"/>
  <c r="Y955" i="18"/>
  <c r="X956" i="18"/>
  <c r="Y956" i="18"/>
  <c r="X957" i="18"/>
  <c r="Y957" i="18"/>
  <c r="X958" i="18"/>
  <c r="Y958" i="18"/>
  <c r="X959" i="18"/>
  <c r="X960" i="18"/>
  <c r="Y959" i="18"/>
  <c r="Y960" i="18"/>
  <c r="X961" i="18"/>
  <c r="X962" i="18"/>
  <c r="Y961" i="18"/>
  <c r="Y962" i="18"/>
  <c r="X963" i="18"/>
  <c r="Y963" i="18"/>
  <c r="X964" i="18"/>
  <c r="Y964" i="18"/>
  <c r="X965" i="18"/>
  <c r="Y965" i="18"/>
  <c r="X966" i="18"/>
  <c r="X967" i="18"/>
  <c r="Y966" i="18"/>
  <c r="Y967" i="18"/>
  <c r="X968" i="18"/>
  <c r="X969" i="18"/>
  <c r="Y968" i="18"/>
  <c r="Y969" i="18"/>
  <c r="X970" i="18"/>
  <c r="X971" i="18"/>
  <c r="Y970" i="18"/>
  <c r="Y971" i="18"/>
  <c r="X972" i="18"/>
  <c r="X973" i="18"/>
  <c r="Y972" i="18"/>
  <c r="Y973" i="18"/>
  <c r="X974" i="18"/>
  <c r="Y974" i="18"/>
  <c r="X975" i="18"/>
  <c r="Y975" i="18"/>
  <c r="X976" i="18"/>
  <c r="Y976" i="18"/>
  <c r="X977" i="18"/>
  <c r="X978" i="18"/>
  <c r="Y977" i="18"/>
  <c r="Y978" i="18"/>
  <c r="X979" i="18"/>
  <c r="Y979" i="18"/>
  <c r="X980" i="18"/>
  <c r="Y980" i="18"/>
  <c r="X981" i="18"/>
  <c r="Y981" i="18"/>
  <c r="X982" i="18"/>
  <c r="X983" i="18"/>
  <c r="Y982" i="18"/>
  <c r="Y983" i="18"/>
  <c r="X984" i="18"/>
  <c r="X985" i="18"/>
  <c r="Y984" i="18"/>
  <c r="X986" i="18"/>
  <c r="Y985" i="18"/>
  <c r="Y986" i="18"/>
  <c r="X987" i="18"/>
  <c r="X988" i="18"/>
  <c r="Y987" i="18"/>
  <c r="X989" i="18"/>
  <c r="Y988" i="18"/>
  <c r="Y989" i="18"/>
  <c r="X990" i="18"/>
  <c r="Y990" i="18"/>
  <c r="X991" i="18"/>
  <c r="Y991" i="18"/>
  <c r="X992" i="18"/>
  <c r="Y992" i="18"/>
  <c r="X993" i="18"/>
  <c r="X994" i="18"/>
  <c r="Y993" i="18"/>
  <c r="Y994" i="18"/>
  <c r="X995" i="18"/>
  <c r="X996" i="18"/>
  <c r="Y995" i="18"/>
  <c r="X997" i="18"/>
  <c r="Y996" i="18"/>
  <c r="Y997" i="18"/>
  <c r="X998" i="18"/>
  <c r="X999" i="18"/>
  <c r="Y998" i="18"/>
  <c r="Y999" i="18"/>
  <c r="X1000" i="18"/>
  <c r="Y1000" i="18"/>
  <c r="X1001" i="18"/>
  <c r="X1002" i="18"/>
  <c r="Y1001" i="18"/>
  <c r="Y1002" i="18"/>
  <c r="X1003" i="18"/>
  <c r="X1004" i="18"/>
  <c r="Y1003" i="18"/>
  <c r="Y1004" i="18"/>
  <c r="X1005" i="18"/>
  <c r="X1006" i="18"/>
  <c r="Y1005" i="18"/>
  <c r="Y1006" i="18"/>
  <c r="X1007" i="18"/>
  <c r="X1008" i="18"/>
  <c r="Y1007" i="18"/>
  <c r="Y1008" i="18"/>
  <c r="X1009" i="18"/>
  <c r="Y1009" i="18"/>
  <c r="X1010" i="18"/>
  <c r="X1011" i="18"/>
  <c r="Y1010" i="18"/>
  <c r="Y1011" i="18"/>
  <c r="X1012" i="18"/>
  <c r="Y1012" i="18"/>
  <c r="X1013" i="18"/>
  <c r="Y1013" i="18"/>
  <c r="X1014" i="18"/>
  <c r="X1015" i="18"/>
  <c r="Y1014" i="18"/>
  <c r="Y1015" i="18"/>
  <c r="X1016" i="18"/>
  <c r="Y1016" i="18"/>
  <c r="X1017" i="18"/>
  <c r="Y1017" i="18"/>
  <c r="X1018" i="18"/>
  <c r="Y1018" i="18"/>
  <c r="X1019" i="18"/>
  <c r="X1020" i="18"/>
  <c r="Y1019" i="18"/>
  <c r="Y1020" i="18"/>
  <c r="X1021" i="18"/>
  <c r="X1022" i="18"/>
  <c r="Y1021" i="18"/>
  <c r="X1023" i="18"/>
  <c r="Y1022" i="18"/>
  <c r="Y1023" i="18"/>
  <c r="X1024" i="18"/>
  <c r="Y1024" i="18"/>
  <c r="X1025" i="18"/>
  <c r="X1026" i="18"/>
  <c r="Y1025" i="18"/>
  <c r="Y1026" i="18"/>
  <c r="X1027" i="18"/>
  <c r="X1028" i="18"/>
  <c r="Y1027" i="18"/>
  <c r="X1029" i="18"/>
  <c r="Y1028" i="18"/>
  <c r="Y1029" i="18"/>
  <c r="X1030" i="18"/>
  <c r="X1031" i="18"/>
  <c r="Y1030" i="18"/>
  <c r="Y1031" i="18"/>
  <c r="X1032" i="18"/>
  <c r="Y1032" i="18"/>
  <c r="X1033" i="18"/>
  <c r="Y1033" i="18"/>
  <c r="X1034" i="18"/>
  <c r="Y1034" i="18"/>
  <c r="X1035" i="18"/>
  <c r="X1036" i="18"/>
  <c r="Y1035" i="18"/>
  <c r="Y1036" i="18"/>
  <c r="X1037" i="18"/>
  <c r="Y1037" i="18"/>
  <c r="X1038" i="18"/>
  <c r="Y1038" i="18"/>
  <c r="X1039" i="18"/>
  <c r="Y1039" i="18"/>
  <c r="X1040" i="18"/>
  <c r="Y1040" i="18"/>
  <c r="X1041" i="18"/>
  <c r="X1042" i="18"/>
  <c r="Y1041" i="18"/>
  <c r="Y1042" i="18"/>
  <c r="X1043" i="18"/>
  <c r="Y1043" i="18"/>
  <c r="X1044" i="18"/>
  <c r="X1045" i="18"/>
  <c r="Y1044" i="18"/>
  <c r="Y1045" i="18"/>
  <c r="X1046" i="18"/>
  <c r="X1047" i="18"/>
  <c r="Y1046" i="18"/>
  <c r="X1048" i="18"/>
  <c r="Y1047" i="18"/>
  <c r="Y1048" i="18"/>
  <c r="X1049" i="18"/>
  <c r="Y1049" i="18"/>
  <c r="X1050" i="18"/>
  <c r="Y1050" i="18"/>
  <c r="X1051" i="18"/>
  <c r="X1052" i="18"/>
  <c r="Y1051" i="18"/>
  <c r="Y1052" i="18"/>
  <c r="X1053" i="18"/>
  <c r="Y1053" i="18"/>
  <c r="X1054" i="18"/>
  <c r="X1055" i="18"/>
  <c r="Y1054" i="18"/>
  <c r="Y1055" i="18"/>
  <c r="X1056" i="18"/>
  <c r="Y1056" i="18"/>
  <c r="X1057" i="18"/>
  <c r="Y1057" i="18"/>
  <c r="X1058" i="18"/>
  <c r="Y1058" i="18"/>
  <c r="X1059" i="18"/>
  <c r="Y1059" i="18"/>
  <c r="X1060" i="18"/>
  <c r="X1061" i="18"/>
  <c r="Y1060" i="18"/>
  <c r="Y1061" i="18"/>
  <c r="X1062" i="18"/>
  <c r="X1063" i="18"/>
  <c r="Y1062" i="18"/>
  <c r="X1064" i="18"/>
  <c r="Y1063" i="18"/>
  <c r="X1065" i="18"/>
  <c r="Y1064" i="18"/>
  <c r="Y1065" i="18"/>
  <c r="X1066" i="18"/>
  <c r="Y1066" i="18"/>
  <c r="X1067" i="18"/>
  <c r="X1068" i="18"/>
  <c r="Y1067" i="18"/>
  <c r="Y1068" i="18"/>
  <c r="X1069" i="18"/>
  <c r="Y1069" i="18"/>
  <c r="X1070" i="18"/>
  <c r="Y1070" i="18"/>
  <c r="X1071" i="18"/>
  <c r="X1072" i="18"/>
  <c r="Y1071" i="18"/>
  <c r="Y1072" i="18"/>
  <c r="X1073" i="18"/>
  <c r="Y1073" i="18"/>
  <c r="X1074" i="18"/>
  <c r="X1075" i="18"/>
  <c r="Y1074" i="18"/>
  <c r="Y1075" i="18"/>
  <c r="X1076" i="18"/>
  <c r="Y1076" i="18"/>
  <c r="X1077" i="18"/>
  <c r="Y1077" i="18"/>
  <c r="X1078" i="18"/>
  <c r="X1079" i="18"/>
  <c r="Y1078" i="18"/>
  <c r="Y1079" i="18"/>
  <c r="X1080" i="18"/>
  <c r="X1081" i="18"/>
  <c r="Y1080" i="18"/>
  <c r="X1082" i="18"/>
  <c r="Y1081" i="18"/>
  <c r="Y1082" i="18"/>
  <c r="X1083" i="18"/>
  <c r="X1084" i="18"/>
  <c r="Y1083" i="18"/>
  <c r="X1085" i="18"/>
  <c r="Y1084" i="18"/>
  <c r="Y1085" i="18"/>
  <c r="X1086" i="18"/>
  <c r="X1087" i="18"/>
  <c r="Y1086" i="18"/>
  <c r="Y1087" i="18"/>
  <c r="X1088" i="18"/>
  <c r="Y1088" i="18"/>
  <c r="X1089" i="18"/>
  <c r="X1090" i="18"/>
  <c r="Y1089" i="18"/>
  <c r="X1091" i="18"/>
  <c r="Y1090" i="18"/>
  <c r="Y1091" i="18"/>
  <c r="X1092" i="18"/>
  <c r="Y1092" i="18"/>
  <c r="X1093" i="18"/>
  <c r="Y1093" i="18"/>
  <c r="X1094" i="18"/>
  <c r="X1095" i="18"/>
  <c r="Y1094" i="18"/>
  <c r="Y1095" i="18"/>
  <c r="X1096" i="18"/>
  <c r="Y1096" i="18"/>
  <c r="X1097" i="18"/>
  <c r="X1098" i="18"/>
  <c r="Y1097" i="18"/>
  <c r="Y1098" i="18"/>
  <c r="X1099" i="18"/>
  <c r="X1100" i="18"/>
  <c r="Y1099" i="18"/>
  <c r="X1101" i="18"/>
  <c r="Y1100" i="18"/>
  <c r="X1102" i="18"/>
  <c r="Y1101" i="18"/>
  <c r="Y1102" i="18"/>
  <c r="X1103" i="18"/>
  <c r="X1104" i="18"/>
  <c r="Y1103" i="18"/>
  <c r="Y1104" i="18"/>
  <c r="X1105" i="18"/>
  <c r="Y1105" i="18"/>
  <c r="X1106" i="18"/>
  <c r="X1107" i="18"/>
  <c r="Y1106" i="18"/>
  <c r="X1108" i="18"/>
  <c r="Y1107" i="18"/>
  <c r="Y1108" i="18"/>
  <c r="X1109" i="18"/>
  <c r="Y1109" i="18"/>
  <c r="X1110" i="18"/>
  <c r="X1111" i="18"/>
  <c r="Y1110" i="18"/>
  <c r="Y1111" i="18"/>
  <c r="X1112" i="18"/>
  <c r="Y1112" i="18"/>
  <c r="X1113" i="18"/>
  <c r="Y1113" i="18"/>
  <c r="X1114" i="18"/>
  <c r="Y1114" i="18"/>
  <c r="X1115" i="18"/>
  <c r="X1116" i="18"/>
  <c r="Y1115" i="18"/>
  <c r="Y1116" i="18"/>
  <c r="X1117" i="18"/>
  <c r="Y1117" i="18"/>
  <c r="X1118" i="18"/>
  <c r="Y1118" i="18"/>
  <c r="X1119" i="18"/>
  <c r="X1120" i="18"/>
  <c r="Y1119" i="18"/>
  <c r="Y1120" i="18"/>
  <c r="X1121" i="18"/>
  <c r="Y1121" i="18"/>
  <c r="X1122" i="18"/>
  <c r="Y1122" i="18"/>
  <c r="X1123" i="18"/>
  <c r="X1124" i="18"/>
  <c r="Y1123" i="18"/>
  <c r="Y1124" i="18"/>
  <c r="X1125" i="18"/>
  <c r="Y1125" i="18"/>
  <c r="X1126" i="18"/>
  <c r="X1127" i="18"/>
  <c r="Y1126" i="18"/>
  <c r="X1128" i="18"/>
  <c r="Y1127" i="18"/>
  <c r="Y1128" i="18"/>
  <c r="X1129" i="18"/>
  <c r="Y1129" i="18"/>
  <c r="X1130" i="18"/>
  <c r="Y1130" i="18"/>
  <c r="X1131" i="18"/>
  <c r="X1132" i="18"/>
  <c r="Y1131" i="18"/>
  <c r="Y1132" i="18"/>
  <c r="X1133" i="18"/>
  <c r="X1134" i="18"/>
  <c r="Y1133" i="18"/>
  <c r="Y1134" i="18"/>
  <c r="X1135" i="18"/>
  <c r="Y1135" i="18"/>
  <c r="X1136" i="18"/>
  <c r="Y1136" i="18"/>
  <c r="X1137" i="18"/>
  <c r="Y1137" i="18"/>
  <c r="X1138" i="18"/>
  <c r="Y1138" i="18"/>
  <c r="X1139" i="18"/>
  <c r="X1140" i="18"/>
  <c r="Y1139" i="18"/>
  <c r="Y1140" i="18"/>
  <c r="X1141" i="18"/>
  <c r="Y1141" i="18"/>
  <c r="X1142" i="18"/>
  <c r="X1143" i="18"/>
  <c r="Y1142" i="18"/>
  <c r="X1144" i="18"/>
  <c r="Y1143" i="18"/>
  <c r="Y1144" i="18"/>
  <c r="X1145" i="18"/>
  <c r="X1146" i="18"/>
  <c r="Y1145" i="18"/>
  <c r="Y1146" i="18"/>
  <c r="X1147" i="18"/>
  <c r="X1148" i="18"/>
  <c r="Y1147" i="18"/>
  <c r="Y1148" i="18"/>
  <c r="X1149" i="18"/>
  <c r="Y1149" i="18"/>
  <c r="X1150" i="18"/>
  <c r="X1151" i="18"/>
  <c r="Y1150" i="18"/>
  <c r="Y1151" i="18"/>
  <c r="X1152" i="18"/>
  <c r="Y1152" i="18"/>
  <c r="X1153" i="18"/>
  <c r="Y1153" i="18"/>
  <c r="X1154" i="18"/>
  <c r="Y1154" i="18"/>
  <c r="X1155" i="18"/>
  <c r="Y1155" i="18"/>
  <c r="X1156" i="18"/>
  <c r="Y1156" i="18"/>
  <c r="X1157" i="18"/>
  <c r="Y1157" i="18"/>
  <c r="X1158" i="18"/>
  <c r="X1159" i="18"/>
  <c r="Y1158" i="18"/>
  <c r="X1160" i="18"/>
  <c r="Y1159" i="18"/>
  <c r="X1161" i="18"/>
  <c r="Y1160" i="18"/>
  <c r="Y1161" i="18"/>
  <c r="X1162" i="18"/>
  <c r="Y1162" i="18"/>
  <c r="X1163" i="18"/>
  <c r="X1164" i="18"/>
  <c r="Y1163" i="18"/>
  <c r="Y1164" i="18"/>
  <c r="X1165" i="18"/>
  <c r="X1166" i="18"/>
  <c r="Y1165" i="18"/>
  <c r="Y1166" i="18"/>
  <c r="X1167" i="18"/>
  <c r="X1168" i="18"/>
  <c r="Y1167" i="18"/>
  <c r="Y1168" i="18"/>
  <c r="X1169" i="18"/>
  <c r="Y1169" i="18"/>
  <c r="X1170" i="18"/>
  <c r="Y1170" i="18"/>
  <c r="X1171" i="18"/>
  <c r="Y1171" i="18"/>
  <c r="X1172" i="18"/>
  <c r="X1173" i="18"/>
  <c r="Y1172" i="18"/>
  <c r="Y1173" i="18"/>
  <c r="X1174" i="18"/>
  <c r="X1175" i="18"/>
  <c r="Y1174" i="18"/>
  <c r="Y1175" i="18"/>
  <c r="X1176" i="18"/>
  <c r="X1177" i="18"/>
  <c r="Y1176" i="18"/>
  <c r="X1178" i="18"/>
  <c r="Y1177" i="18"/>
  <c r="Y1178" i="18"/>
  <c r="X1179" i="18"/>
  <c r="X1180" i="18"/>
  <c r="Y1179" i="18"/>
  <c r="Y1180" i="18"/>
  <c r="X1181" i="18"/>
  <c r="Y1181" i="18"/>
  <c r="X1182" i="18"/>
  <c r="X1183" i="18"/>
  <c r="Y1182" i="18"/>
  <c r="X1184" i="18"/>
  <c r="Y1183" i="18"/>
  <c r="Y1184" i="18"/>
  <c r="X1185" i="18"/>
  <c r="Y1185" i="18"/>
  <c r="X1186" i="18"/>
  <c r="X1187" i="18"/>
  <c r="Y1186" i="18"/>
  <c r="Y1187" i="18"/>
  <c r="X1188" i="18"/>
  <c r="Y1188" i="18"/>
  <c r="X1189" i="18"/>
  <c r="Y1189" i="18"/>
  <c r="X1190" i="18"/>
  <c r="X1191" i="18"/>
  <c r="Y1190" i="18"/>
  <c r="Y1191" i="18"/>
  <c r="X1192" i="18"/>
  <c r="Y1192" i="18"/>
  <c r="X1193" i="18"/>
  <c r="X1194" i="18"/>
  <c r="Y1193" i="18"/>
  <c r="Y1194" i="18"/>
  <c r="X1195" i="18"/>
  <c r="X1196" i="18"/>
  <c r="Y1195" i="18"/>
  <c r="X1197" i="18"/>
  <c r="Y1196" i="18"/>
  <c r="X1198" i="18"/>
  <c r="Y1197" i="18"/>
  <c r="Y1198" i="18"/>
  <c r="X1199" i="18"/>
  <c r="Y1199" i="18"/>
  <c r="X1200" i="18"/>
  <c r="Y1200" i="18"/>
  <c r="X1201" i="18"/>
  <c r="X1202" i="18"/>
  <c r="Y1201" i="18"/>
  <c r="Y1202" i="18"/>
  <c r="X1203" i="18"/>
  <c r="Y1203" i="18"/>
  <c r="X1204" i="18"/>
  <c r="Y1204" i="18"/>
  <c r="X1205" i="18"/>
  <c r="Y1205" i="18"/>
  <c r="X1206" i="18"/>
  <c r="X1207" i="18"/>
  <c r="Y1206" i="18"/>
  <c r="Y1207" i="18"/>
  <c r="X1208" i="18"/>
  <c r="X1209" i="18"/>
  <c r="Y1208" i="18"/>
  <c r="X1210" i="18"/>
  <c r="Y1209" i="18"/>
  <c r="Y1210" i="18"/>
  <c r="X1211" i="18"/>
  <c r="X1212" i="18"/>
  <c r="Y1211" i="18"/>
  <c r="X1213" i="18"/>
  <c r="Y1212" i="18"/>
  <c r="Y1213" i="18"/>
  <c r="X1214" i="18"/>
  <c r="Y1214" i="18"/>
  <c r="X1215" i="18"/>
  <c r="X1216" i="18"/>
  <c r="Y1215" i="18"/>
  <c r="Y1216" i="18"/>
  <c r="X1217" i="18"/>
  <c r="Y1217" i="18"/>
  <c r="X1218" i="18"/>
  <c r="Y1218" i="18"/>
  <c r="X1219" i="18"/>
  <c r="Y1219" i="18"/>
  <c r="X1220" i="18"/>
  <c r="Y1220" i="18"/>
  <c r="X1221" i="18"/>
  <c r="Y1221" i="18"/>
  <c r="X1222" i="18"/>
  <c r="X1223" i="18"/>
  <c r="Y1222" i="18"/>
  <c r="Y1223" i="18"/>
  <c r="X1224" i="18"/>
  <c r="X1225" i="18"/>
  <c r="Y1224" i="18"/>
  <c r="X1226" i="18"/>
  <c r="Y1225" i="18"/>
  <c r="Y1226" i="18"/>
  <c r="X1227" i="18"/>
  <c r="X1228" i="18"/>
  <c r="Y1227" i="18"/>
  <c r="Y1228" i="18"/>
  <c r="X1229" i="18"/>
  <c r="X1230" i="18"/>
  <c r="Y1229" i="18"/>
  <c r="X1231" i="18"/>
  <c r="Y1230" i="18"/>
  <c r="Y1231" i="18"/>
  <c r="X1232" i="18"/>
  <c r="Y1232" i="18"/>
  <c r="X1233" i="18"/>
  <c r="Y1233" i="18"/>
  <c r="X1234" i="18"/>
  <c r="X1235" i="18"/>
  <c r="Y1234" i="18"/>
  <c r="Y1235" i="18"/>
  <c r="X1236" i="18"/>
  <c r="X1237" i="18"/>
  <c r="Y1236" i="18"/>
  <c r="Y1237" i="18"/>
  <c r="X1238" i="18"/>
  <c r="X1239" i="18"/>
  <c r="Y1238" i="18"/>
  <c r="Y1239" i="18"/>
  <c r="X1240" i="18"/>
  <c r="X1241" i="18"/>
  <c r="Y1240" i="18"/>
  <c r="X1242" i="18"/>
  <c r="Y1241" i="18"/>
  <c r="X1243" i="18"/>
  <c r="Y1242" i="18"/>
  <c r="Y1243" i="18"/>
  <c r="X1244" i="18"/>
  <c r="X1245" i="18"/>
  <c r="Y1244" i="18"/>
  <c r="Y1245" i="18"/>
  <c r="X1246" i="18"/>
  <c r="Y1246" i="18"/>
  <c r="X1247" i="18"/>
  <c r="Y1247" i="18"/>
  <c r="X1248" i="18"/>
  <c r="Y1248" i="18"/>
  <c r="X1249" i="18"/>
  <c r="X1250" i="18"/>
  <c r="Y1249" i="18"/>
  <c r="Y1250" i="18"/>
  <c r="X1251" i="18"/>
  <c r="X1252" i="18"/>
  <c r="Y1251" i="18"/>
  <c r="Y1252" i="18"/>
  <c r="X1253" i="18"/>
  <c r="Y1253" i="18"/>
  <c r="X1254" i="18"/>
  <c r="Y1254" i="18"/>
  <c r="X1255" i="18"/>
  <c r="X1256" i="18"/>
  <c r="Y1255" i="18"/>
  <c r="Y1256" i="18"/>
  <c r="X1257" i="18"/>
  <c r="Y1257" i="18"/>
  <c r="X1258" i="18"/>
  <c r="X1259" i="18"/>
  <c r="Y1258" i="18"/>
  <c r="Y1259" i="18"/>
  <c r="X1260" i="18"/>
  <c r="Y1260" i="18"/>
  <c r="X1261" i="18"/>
  <c r="Y1261" i="18"/>
  <c r="X1262" i="18"/>
  <c r="Y1262" i="18"/>
  <c r="X1263" i="18"/>
  <c r="Y1263" i="18"/>
  <c r="X1264" i="18"/>
  <c r="X1265" i="18"/>
  <c r="Y1264" i="18"/>
  <c r="Y1265" i="18"/>
  <c r="X1266" i="18"/>
  <c r="X1267" i="18"/>
  <c r="Y1266" i="18"/>
  <c r="X1268" i="18"/>
  <c r="Y1267" i="18"/>
  <c r="Y1268" i="18"/>
  <c r="X1269" i="18"/>
  <c r="Y1269" i="18"/>
  <c r="X1270" i="18"/>
  <c r="X1271" i="18"/>
  <c r="Y1270" i="18"/>
  <c r="Y1271" i="18"/>
  <c r="X1272" i="18"/>
  <c r="X1273" i="18"/>
  <c r="Y1272" i="18"/>
  <c r="Y1273" i="18"/>
  <c r="X1274" i="18"/>
  <c r="X1275" i="18"/>
  <c r="Y1274" i="18"/>
  <c r="Y1275" i="18"/>
  <c r="X1276" i="18"/>
  <c r="X1277" i="18"/>
  <c r="Y1276" i="18"/>
  <c r="Y1277" i="18"/>
  <c r="X1278" i="18"/>
  <c r="Y1278" i="18"/>
  <c r="X1279" i="18"/>
  <c r="X1280" i="18"/>
  <c r="Y1279" i="18"/>
  <c r="Y1280" i="18"/>
  <c r="X1281" i="18"/>
  <c r="X1282" i="18"/>
  <c r="Y1281" i="18"/>
  <c r="Y1282" i="18"/>
  <c r="X1283" i="18"/>
  <c r="X1284" i="18"/>
  <c r="Y1283" i="18"/>
  <c r="Y1284" i="18"/>
  <c r="X1285" i="18"/>
  <c r="Y1285" i="18"/>
  <c r="X1286" i="18"/>
  <c r="Y1286" i="18"/>
  <c r="X1287" i="18"/>
  <c r="Y1287" i="18"/>
  <c r="X1288" i="18"/>
  <c r="Y1288" i="18"/>
  <c r="X1289" i="18"/>
  <c r="X1290" i="18"/>
  <c r="Y1289" i="18"/>
  <c r="X1291" i="18"/>
  <c r="Y1290" i="18"/>
  <c r="Y1291" i="18"/>
  <c r="X1292" i="18"/>
  <c r="Y1292" i="18"/>
  <c r="X1293" i="18"/>
  <c r="Y1293" i="18"/>
  <c r="X1294" i="18"/>
  <c r="Y1294" i="18"/>
  <c r="X1295" i="18"/>
  <c r="Y1295" i="18"/>
  <c r="X1296" i="18"/>
  <c r="Y1296" i="18"/>
  <c r="X1297" i="18"/>
  <c r="Y1297" i="18"/>
  <c r="X1298" i="18"/>
  <c r="X1299" i="18"/>
  <c r="Y1298" i="18"/>
  <c r="Y1299" i="18"/>
  <c r="X1300" i="18"/>
  <c r="Y1300" i="18"/>
  <c r="X1301" i="18"/>
  <c r="X1302" i="18"/>
  <c r="Y1301" i="18"/>
  <c r="X1303" i="18"/>
  <c r="Y1302" i="18"/>
  <c r="Y1303" i="18"/>
  <c r="X1304" i="18"/>
  <c r="X1305" i="18"/>
  <c r="Y1304" i="18"/>
  <c r="Y1305" i="18"/>
  <c r="X1306" i="18"/>
  <c r="X1307" i="18"/>
  <c r="Y1306" i="18"/>
  <c r="Y1307" i="18"/>
  <c r="X1308" i="18"/>
  <c r="Y1308" i="18"/>
  <c r="X1309" i="18"/>
  <c r="X1310" i="18"/>
  <c r="Y1309" i="18"/>
  <c r="Y1310" i="18"/>
  <c r="X1311" i="18"/>
  <c r="Y1311" i="18"/>
  <c r="X1312" i="18"/>
  <c r="X1313" i="18"/>
  <c r="Y1312" i="18"/>
  <c r="Y1313" i="18"/>
  <c r="X1314" i="18"/>
  <c r="Y1314" i="18"/>
  <c r="X1315" i="18"/>
  <c r="X1316" i="18"/>
  <c r="Y1315" i="18"/>
  <c r="Y1316" i="18"/>
  <c r="X1317" i="18"/>
  <c r="Y1317" i="18"/>
  <c r="X1318" i="18"/>
  <c r="Y1318" i="18"/>
  <c r="X1319" i="18"/>
  <c r="X1320" i="18"/>
  <c r="Y1319" i="18"/>
  <c r="Y1320" i="18"/>
  <c r="X1321" i="18"/>
  <c r="Y1321" i="18"/>
  <c r="X1322" i="18"/>
  <c r="X1323" i="18"/>
  <c r="Y1322" i="18"/>
  <c r="X1324" i="18"/>
  <c r="Y1323" i="18"/>
  <c r="Y1324" i="18"/>
  <c r="X1325" i="18"/>
  <c r="Y1325" i="18"/>
  <c r="X1326" i="18"/>
  <c r="Y1326" i="18"/>
  <c r="X1327" i="18"/>
  <c r="Y1327" i="18"/>
  <c r="X1328" i="18"/>
  <c r="Y1328" i="18"/>
  <c r="X1329" i="18"/>
  <c r="X1330" i="18"/>
  <c r="Y1329" i="18"/>
  <c r="Y1330" i="18"/>
  <c r="X1331" i="18"/>
  <c r="Y1331" i="18"/>
  <c r="X1332" i="18"/>
  <c r="Y1332" i="18"/>
  <c r="X1333" i="18"/>
  <c r="Y1333" i="18"/>
  <c r="X1334" i="18"/>
  <c r="Y1334" i="18"/>
  <c r="X1335" i="18"/>
  <c r="X1336" i="18"/>
  <c r="Y1335" i="18"/>
  <c r="Y1336" i="18"/>
  <c r="X1337" i="18"/>
  <c r="Y1337" i="18"/>
  <c r="X1338" i="18"/>
  <c r="X1339" i="18"/>
  <c r="Y1338" i="18"/>
  <c r="Y1339" i="18"/>
  <c r="X1340" i="18"/>
  <c r="X1341" i="18"/>
  <c r="Y1340" i="18"/>
  <c r="Y1341" i="18"/>
  <c r="X1342" i="18"/>
  <c r="X1343" i="18"/>
  <c r="Y1342" i="18"/>
  <c r="Y1343" i="18"/>
  <c r="X1344" i="18"/>
  <c r="Y1344" i="18"/>
  <c r="X1345" i="18"/>
  <c r="Y1345" i="18"/>
  <c r="X1346" i="18"/>
  <c r="X1347" i="18"/>
  <c r="Y1346" i="18"/>
  <c r="Y1347" i="18"/>
  <c r="X1348" i="18"/>
  <c r="Y1348" i="18"/>
  <c r="X1349" i="18"/>
  <c r="Y1349" i="18"/>
  <c r="X1350" i="18"/>
  <c r="Y1350" i="18"/>
  <c r="X1351" i="18"/>
  <c r="Y1351" i="18"/>
  <c r="X1352" i="18"/>
  <c r="Y1352" i="18"/>
  <c r="X1353" i="18"/>
  <c r="Y1353" i="18"/>
  <c r="X1354" i="18"/>
  <c r="X1355" i="18"/>
  <c r="Y1354" i="18"/>
  <c r="X1356" i="18"/>
  <c r="Y1355" i="18"/>
  <c r="Y1356" i="18"/>
  <c r="X1357" i="18"/>
  <c r="X1358" i="18"/>
  <c r="Y1357" i="18"/>
  <c r="Y1358" i="18"/>
  <c r="X1359" i="18"/>
  <c r="X1360" i="18"/>
  <c r="Y1359" i="18"/>
  <c r="Y1360" i="18"/>
  <c r="X1361" i="18"/>
  <c r="X1362" i="18"/>
  <c r="Y1361" i="18"/>
  <c r="Y1362" i="18"/>
  <c r="X1363" i="18"/>
  <c r="X1364" i="18"/>
  <c r="Y1363" i="18"/>
  <c r="Y1364" i="18"/>
  <c r="X1365" i="18"/>
  <c r="Y1365" i="18"/>
  <c r="X1366" i="18"/>
  <c r="Y1366" i="18"/>
  <c r="X1367" i="18"/>
  <c r="X1368" i="18"/>
  <c r="Y1367" i="18"/>
  <c r="Y1368" i="18"/>
  <c r="X1369" i="18"/>
  <c r="Y1369" i="18"/>
  <c r="X1370" i="18"/>
  <c r="X1371" i="18"/>
  <c r="Y1370" i="18"/>
  <c r="Y1371" i="18"/>
  <c r="X1372" i="18"/>
  <c r="Y1372" i="18"/>
  <c r="X1373" i="18"/>
  <c r="X1374" i="18"/>
  <c r="Y1373" i="18"/>
  <c r="Y1374" i="18"/>
  <c r="X1375" i="18"/>
  <c r="X1376" i="18"/>
  <c r="Y1375" i="18"/>
  <c r="X1377" i="18"/>
  <c r="Y1376" i="18"/>
  <c r="Y1377" i="18"/>
  <c r="X1378" i="18"/>
  <c r="Y1378" i="18"/>
  <c r="X1379" i="18"/>
  <c r="X1380" i="18"/>
  <c r="Y1379" i="18"/>
  <c r="Y1380" i="18"/>
  <c r="X1381" i="18"/>
  <c r="Y1381" i="18"/>
  <c r="X1382" i="18"/>
  <c r="X1383" i="18"/>
  <c r="Y1382" i="18"/>
  <c r="Y1383" i="18"/>
  <c r="X1384" i="18"/>
  <c r="X1385" i="18"/>
  <c r="Y1384" i="18"/>
  <c r="Y1385" i="18"/>
  <c r="X1386" i="18"/>
  <c r="X1387" i="18"/>
  <c r="Y1386" i="18"/>
  <c r="Y1387" i="18"/>
  <c r="X1388" i="18"/>
  <c r="X1389" i="18"/>
  <c r="Y1388" i="18"/>
  <c r="Y1389" i="18"/>
  <c r="X1390" i="18"/>
  <c r="Y1390" i="18"/>
  <c r="X1391" i="18"/>
  <c r="X1392" i="18"/>
  <c r="Y1391" i="18"/>
  <c r="Y1392" i="18"/>
  <c r="X1393" i="18"/>
  <c r="Y1393" i="18"/>
  <c r="X1394" i="18"/>
  <c r="X1395" i="18"/>
  <c r="Y1394" i="18"/>
  <c r="Y1395" i="18"/>
  <c r="X1396" i="18"/>
  <c r="Y1396" i="18"/>
  <c r="X1397" i="18"/>
  <c r="Y1397" i="18"/>
  <c r="X1398" i="18"/>
  <c r="X1399" i="18"/>
  <c r="Y1398" i="18"/>
  <c r="Y1399" i="18"/>
  <c r="X1400" i="18"/>
  <c r="X1401" i="18"/>
  <c r="Y1400" i="18"/>
  <c r="Y1401" i="18"/>
  <c r="X1402" i="18"/>
  <c r="X1403" i="18"/>
  <c r="Y1402" i="18"/>
  <c r="Y1403" i="18"/>
  <c r="X1404" i="18"/>
  <c r="Y1404" i="18"/>
  <c r="X1405" i="18"/>
  <c r="Y1405" i="18"/>
  <c r="X1406" i="18"/>
  <c r="X1407" i="18"/>
  <c r="Y1406" i="18"/>
  <c r="X1408" i="18"/>
  <c r="Y1407" i="18"/>
  <c r="Y1408" i="18"/>
  <c r="X1409" i="18"/>
  <c r="Y1409" i="18"/>
  <c r="X1410" i="18"/>
  <c r="Y1410" i="18"/>
  <c r="X1411" i="18"/>
  <c r="Y1411" i="18"/>
  <c r="X1412" i="18"/>
  <c r="Y1412" i="18"/>
  <c r="X1413" i="18"/>
  <c r="Y1413" i="18"/>
  <c r="X1414" i="18"/>
  <c r="X1415" i="18"/>
  <c r="Y1414" i="18"/>
  <c r="Y1415" i="18"/>
  <c r="X1416" i="18"/>
  <c r="Y1416" i="18"/>
  <c r="X1417" i="18"/>
  <c r="Y1417" i="18"/>
  <c r="X1418" i="18"/>
  <c r="X1419" i="18"/>
  <c r="Y1418" i="18"/>
  <c r="X1420" i="18"/>
  <c r="Y1419" i="18"/>
  <c r="Y1420" i="18"/>
  <c r="X1421" i="18"/>
  <c r="Y1421" i="18"/>
  <c r="X1422" i="18"/>
  <c r="X1423" i="18"/>
  <c r="Y1422" i="18"/>
  <c r="X1424" i="18"/>
  <c r="Y1423" i="18"/>
  <c r="Y1424" i="18"/>
  <c r="X1425" i="18"/>
  <c r="Y1425" i="18"/>
  <c r="X1426" i="18"/>
  <c r="Y1426" i="18"/>
  <c r="X1427" i="18"/>
  <c r="Y1427" i="18"/>
  <c r="X1428" i="18"/>
  <c r="Y1428" i="18"/>
  <c r="X1429" i="18"/>
  <c r="Y1429" i="18"/>
  <c r="X1430" i="18"/>
  <c r="Y1430" i="18"/>
  <c r="X1431" i="18"/>
  <c r="Y1431" i="18"/>
  <c r="X1432" i="18"/>
  <c r="Y1432" i="18"/>
  <c r="X1433" i="18"/>
  <c r="Y1433" i="18"/>
  <c r="X1434" i="18"/>
  <c r="X1435" i="18"/>
  <c r="Y1434" i="18"/>
  <c r="X1436" i="18"/>
  <c r="Y1435" i="18"/>
  <c r="Y1436" i="18"/>
  <c r="X1437" i="18"/>
  <c r="X1438" i="18"/>
  <c r="Y1437" i="18"/>
  <c r="Y1438" i="18"/>
  <c r="X1439" i="18"/>
  <c r="X1440" i="18"/>
  <c r="Y1439" i="18"/>
  <c r="Y1440" i="18"/>
  <c r="X1441" i="18"/>
  <c r="X1442" i="18"/>
  <c r="Y1441" i="18"/>
  <c r="X1443" i="18"/>
  <c r="Y1442" i="18"/>
  <c r="Y1443" i="18"/>
  <c r="X1444" i="18"/>
  <c r="Y1444" i="18"/>
  <c r="X1445" i="18"/>
  <c r="Y1445" i="18"/>
  <c r="X1446" i="18"/>
  <c r="Y1446" i="18"/>
  <c r="X1447" i="18"/>
  <c r="Y1447" i="18"/>
  <c r="X1448" i="18"/>
  <c r="X1449" i="18"/>
  <c r="Y1448" i="18"/>
  <c r="Y1449" i="18"/>
  <c r="X1450" i="18"/>
  <c r="X1451" i="18"/>
  <c r="Y1450" i="18"/>
  <c r="Y1451" i="18"/>
  <c r="X1452" i="18"/>
  <c r="Y1452" i="18"/>
  <c r="X1453" i="18"/>
  <c r="X1454" i="18"/>
  <c r="Y1453" i="18"/>
  <c r="X1455" i="18"/>
  <c r="Y1454" i="18"/>
  <c r="X1456" i="18"/>
  <c r="Y1455" i="18"/>
  <c r="Y1456" i="18"/>
  <c r="X1457" i="18"/>
  <c r="X1458" i="18"/>
  <c r="Y1457" i="18"/>
  <c r="Y1458" i="18"/>
  <c r="X1459" i="18"/>
  <c r="X1460" i="18"/>
  <c r="Y1459" i="18"/>
  <c r="Y1460" i="18"/>
  <c r="X1461" i="18"/>
  <c r="X1462" i="18"/>
  <c r="Y1461" i="18"/>
  <c r="Y1462" i="18"/>
  <c r="X1463" i="18"/>
  <c r="Y1463" i="18"/>
  <c r="X1464" i="18"/>
  <c r="Y1464" i="18"/>
  <c r="X1465" i="18"/>
  <c r="Y1465" i="18"/>
  <c r="X1466" i="18"/>
  <c r="X1467" i="18"/>
  <c r="Y1466" i="18"/>
  <c r="Y1467" i="18"/>
  <c r="X1468" i="18"/>
  <c r="Y1468" i="18"/>
  <c r="X1469" i="18"/>
  <c r="X1470" i="18"/>
  <c r="Y1469" i="18"/>
  <c r="X1471" i="18"/>
  <c r="Y1470" i="18"/>
  <c r="X1472" i="18"/>
  <c r="Y1471" i="18"/>
  <c r="Y1472" i="18"/>
  <c r="X1473" i="18"/>
  <c r="Y1473" i="18"/>
  <c r="X1474" i="18"/>
  <c r="X1475" i="18"/>
  <c r="Y1474" i="18"/>
  <c r="Y1475" i="18"/>
  <c r="X1476" i="18"/>
  <c r="Y1476" i="18"/>
  <c r="X1477" i="18"/>
  <c r="X1478" i="18"/>
  <c r="Y1477" i="18"/>
  <c r="Y1478" i="18"/>
  <c r="X1479" i="18"/>
  <c r="Y1479" i="18"/>
  <c r="X1480" i="18"/>
  <c r="Y1480" i="18"/>
  <c r="X1481" i="18"/>
  <c r="Y1481" i="18"/>
  <c r="X1482" i="18"/>
  <c r="X1483" i="18"/>
  <c r="Y1482" i="18"/>
  <c r="X1484" i="18"/>
  <c r="Y1483" i="18"/>
  <c r="Y1484" i="18"/>
  <c r="X1485" i="18"/>
  <c r="X1486" i="18"/>
  <c r="Y1485" i="18"/>
  <c r="Y1486" i="18"/>
  <c r="X1487" i="18"/>
  <c r="X1488" i="18"/>
  <c r="Y1487" i="18"/>
  <c r="Y1488" i="18"/>
  <c r="X1489" i="18"/>
  <c r="Y1489" i="18"/>
  <c r="X1490" i="18"/>
  <c r="X1491" i="18"/>
  <c r="Y1490" i="18"/>
  <c r="Y1491" i="18"/>
  <c r="X1492" i="18"/>
  <c r="Y1492" i="18"/>
  <c r="X1493" i="18"/>
  <c r="X1494" i="18"/>
  <c r="Y1493" i="18"/>
  <c r="Y1494" i="18"/>
  <c r="X1495" i="18"/>
  <c r="Y1495" i="18"/>
  <c r="X1496" i="18"/>
  <c r="Y1496" i="18"/>
  <c r="X1497" i="18"/>
  <c r="Y1497" i="18"/>
  <c r="X1498" i="18"/>
  <c r="X1499" i="18"/>
  <c r="Y1498" i="18"/>
  <c r="Y1499" i="18"/>
  <c r="X1500" i="18"/>
  <c r="Y1500" i="18"/>
  <c r="X1501" i="18"/>
  <c r="X1502" i="18"/>
  <c r="Y1501" i="18"/>
  <c r="Y1502" i="18"/>
  <c r="X1503" i="18"/>
  <c r="X1504" i="18"/>
  <c r="Y1503" i="18"/>
  <c r="Y1504" i="18"/>
  <c r="X1505" i="18"/>
  <c r="Y1505" i="18"/>
  <c r="X1506" i="18"/>
  <c r="X1507" i="18"/>
  <c r="Y1506" i="18"/>
  <c r="Y1507" i="18"/>
  <c r="X1508" i="18"/>
  <c r="Y1508" i="18"/>
  <c r="X1509" i="18"/>
  <c r="X1510" i="18"/>
  <c r="Y1509" i="18"/>
  <c r="Y1510" i="18"/>
  <c r="X1511" i="18"/>
  <c r="Y1511" i="18"/>
  <c r="X1512" i="18"/>
  <c r="X1513" i="18"/>
  <c r="Y1512" i="18"/>
  <c r="Y1513" i="18"/>
  <c r="X1514" i="18"/>
  <c r="X1515" i="18"/>
  <c r="Y1514" i="18"/>
  <c r="Y1515" i="18"/>
  <c r="X1516" i="18"/>
  <c r="Y1516" i="18"/>
  <c r="X1517" i="18"/>
  <c r="X1518" i="18"/>
  <c r="Y1517" i="18"/>
  <c r="Y1518" i="18"/>
  <c r="X1519" i="18"/>
  <c r="X1520" i="18"/>
  <c r="Y1519" i="18"/>
  <c r="Y1520" i="18"/>
  <c r="X1521" i="18"/>
  <c r="X1522" i="18"/>
  <c r="Y1521" i="18"/>
  <c r="Y1522" i="18"/>
  <c r="X1523" i="18"/>
  <c r="X1524" i="18"/>
  <c r="Y1523" i="18"/>
  <c r="Y1524" i="18"/>
  <c r="X1525" i="18"/>
  <c r="Y1525" i="18"/>
  <c r="X1526" i="18"/>
  <c r="X1527" i="18"/>
  <c r="Y1526" i="18"/>
  <c r="Y1527" i="18"/>
  <c r="X1528" i="18"/>
  <c r="Y1528" i="18"/>
  <c r="X1529" i="18"/>
  <c r="Y1529" i="18"/>
  <c r="X1530" i="18"/>
  <c r="X1531" i="18"/>
  <c r="Y1530" i="18"/>
  <c r="Y1531" i="18"/>
  <c r="X1532" i="18"/>
  <c r="Y1532" i="18"/>
  <c r="X1533" i="18"/>
  <c r="X1534" i="18"/>
  <c r="Y1533" i="18"/>
  <c r="Y1534" i="18"/>
  <c r="X1535" i="18"/>
  <c r="X1536" i="18"/>
  <c r="Y1535" i="18"/>
  <c r="Y1536" i="18"/>
  <c r="X1537" i="18"/>
  <c r="X1538" i="18"/>
  <c r="Y1537" i="18"/>
  <c r="Y1538" i="18"/>
  <c r="X1539" i="18"/>
  <c r="Y1539" i="18"/>
  <c r="X1540" i="18"/>
  <c r="Y1540" i="18"/>
  <c r="X1541" i="18"/>
  <c r="X1542" i="18"/>
  <c r="Y1541" i="18"/>
  <c r="X1543" i="18"/>
  <c r="Y1542" i="18"/>
  <c r="Y1543" i="18"/>
  <c r="X1544" i="18"/>
  <c r="X1545" i="18"/>
  <c r="Y1544" i="18"/>
  <c r="Y1545" i="18"/>
  <c r="X1546" i="18"/>
  <c r="X1547" i="18"/>
  <c r="Y1546" i="18"/>
  <c r="X1548" i="18"/>
  <c r="Y1547" i="18"/>
  <c r="Y1548" i="18"/>
  <c r="X1549" i="18"/>
  <c r="X1550" i="18"/>
  <c r="Y1549" i="18"/>
  <c r="Y1550" i="18"/>
  <c r="X1551" i="18"/>
  <c r="X1552" i="18"/>
  <c r="Y1551" i="18"/>
  <c r="Y1552" i="18"/>
  <c r="X1553" i="18"/>
  <c r="Y1553" i="18"/>
  <c r="X1554" i="18"/>
  <c r="X1555" i="18"/>
  <c r="Y1554" i="18"/>
  <c r="Y1555" i="18"/>
  <c r="X1556" i="18"/>
  <c r="Y1556" i="18"/>
  <c r="X1557" i="18"/>
  <c r="Y1557" i="18"/>
  <c r="X1558" i="18"/>
  <c r="Y1558" i="18"/>
  <c r="X1559" i="18"/>
  <c r="Y1559" i="18"/>
  <c r="X1560" i="18"/>
  <c r="Y1560" i="18"/>
  <c r="X1561" i="18"/>
  <c r="Y1561" i="18"/>
  <c r="X1562" i="18"/>
  <c r="X1563" i="18"/>
  <c r="Y1562" i="18"/>
  <c r="X1564" i="18"/>
  <c r="Y1563" i="18"/>
  <c r="Y1564" i="18"/>
  <c r="X1565" i="18"/>
  <c r="X1566" i="18"/>
  <c r="Y1565" i="18"/>
  <c r="Y1566" i="18"/>
  <c r="X1567" i="18"/>
  <c r="X1568" i="18"/>
  <c r="Y1567" i="18"/>
  <c r="Y1568" i="18"/>
  <c r="X1569" i="18"/>
  <c r="X1570" i="18"/>
  <c r="Y1569" i="18"/>
  <c r="Y1570" i="18"/>
  <c r="X1571" i="18"/>
  <c r="Y1571" i="18"/>
  <c r="X1572" i="18"/>
  <c r="Y1572" i="18"/>
  <c r="X1573" i="18"/>
  <c r="X1574" i="18"/>
  <c r="Y1573" i="18"/>
  <c r="Y1574" i="18"/>
  <c r="X1575" i="18"/>
  <c r="Y1575" i="18"/>
  <c r="X1576" i="18"/>
  <c r="Y1576" i="18"/>
  <c r="X1577" i="18"/>
  <c r="Y1577" i="18"/>
  <c r="X1578" i="18"/>
  <c r="X1579" i="18"/>
  <c r="Y1578" i="18"/>
  <c r="Y1579" i="18"/>
  <c r="X1580" i="18"/>
  <c r="Y1580" i="18"/>
  <c r="X1581" i="18"/>
  <c r="X1582" i="18"/>
  <c r="Y1581" i="18"/>
  <c r="Y1582" i="18"/>
  <c r="X1583" i="18"/>
  <c r="X1584" i="18"/>
  <c r="Y1583" i="18"/>
  <c r="Y1584" i="18"/>
  <c r="X1585" i="18"/>
  <c r="Y1585" i="18"/>
  <c r="X1586" i="18"/>
  <c r="Y1586" i="18"/>
  <c r="X1587" i="18"/>
  <c r="X1588" i="18"/>
  <c r="Y1587" i="18"/>
  <c r="Y1588" i="18"/>
  <c r="X1589" i="18"/>
  <c r="Y1589" i="18"/>
  <c r="X1590" i="18"/>
  <c r="X1591" i="18"/>
  <c r="Y1590" i="18"/>
  <c r="Y1591" i="18"/>
  <c r="X1592" i="18"/>
  <c r="Y1592" i="18"/>
  <c r="X1593" i="18"/>
  <c r="Y1593" i="18"/>
  <c r="X1594" i="18"/>
  <c r="X1595" i="18"/>
  <c r="Y1594" i="18"/>
  <c r="Y1595" i="18"/>
  <c r="X1596" i="18"/>
  <c r="Y1596" i="18"/>
  <c r="X1597" i="18"/>
  <c r="X1598" i="18"/>
  <c r="Y1597" i="18"/>
  <c r="Y1598" i="18"/>
  <c r="X1599" i="18"/>
  <c r="X1600" i="18"/>
  <c r="Y1599" i="18"/>
  <c r="X1601" i="18"/>
  <c r="Y1600" i="18"/>
  <c r="X1602" i="18"/>
  <c r="Y1601" i="18"/>
  <c r="Y1602" i="18"/>
  <c r="X1603" i="18"/>
  <c r="Y1603" i="18"/>
  <c r="X1604" i="18"/>
  <c r="Y1604" i="18"/>
  <c r="X1605" i="18"/>
  <c r="Y1605" i="18"/>
  <c r="X1606" i="18"/>
  <c r="X1607" i="18"/>
  <c r="Y1606" i="18"/>
  <c r="Y1607" i="18"/>
  <c r="X1608" i="18"/>
  <c r="X1609" i="18"/>
  <c r="Y1608" i="18"/>
  <c r="Y1609" i="18"/>
  <c r="X1610" i="18"/>
  <c r="X1611" i="18"/>
  <c r="Y1610" i="18"/>
  <c r="X1612" i="18"/>
  <c r="Y1611" i="18"/>
  <c r="Y1612" i="18"/>
  <c r="X1613" i="18"/>
  <c r="X1614" i="18"/>
  <c r="Y1613" i="18"/>
  <c r="Y1614" i="18"/>
  <c r="X1615" i="18"/>
  <c r="X1616" i="18"/>
  <c r="Y1615" i="18"/>
  <c r="X1617" i="18"/>
  <c r="Y1616" i="18"/>
  <c r="Y1617" i="18"/>
  <c r="X1618" i="18"/>
  <c r="X1619" i="18"/>
  <c r="Y1618" i="18"/>
  <c r="Y1619" i="18"/>
  <c r="X1620" i="18"/>
  <c r="Y1620" i="18"/>
  <c r="X1621" i="18"/>
  <c r="Y1621" i="18"/>
  <c r="X1622" i="18"/>
  <c r="Y1622" i="18"/>
  <c r="X1623" i="18"/>
  <c r="Y1623" i="18"/>
  <c r="X1624" i="18"/>
  <c r="Y1624" i="18"/>
  <c r="X1625" i="18"/>
  <c r="Y1625" i="18"/>
  <c r="X1626" i="18"/>
  <c r="X1627" i="18"/>
  <c r="Y1626" i="18"/>
  <c r="X1628" i="18"/>
  <c r="Y1627" i="18"/>
  <c r="Y1628" i="18"/>
  <c r="X1629" i="18"/>
  <c r="X1630" i="18"/>
  <c r="Y1629" i="18"/>
  <c r="Y1630" i="18"/>
  <c r="X1631" i="18"/>
  <c r="X1632" i="18"/>
  <c r="Y1631" i="18"/>
  <c r="Y1632" i="18"/>
  <c r="X1633" i="18"/>
  <c r="Y1633" i="18"/>
  <c r="X1634" i="18"/>
  <c r="Y1634" i="18"/>
  <c r="X1635" i="18"/>
  <c r="Y1635" i="18"/>
  <c r="X1636" i="18"/>
  <c r="Y1636" i="18"/>
  <c r="X1637" i="18"/>
  <c r="X1638" i="18"/>
  <c r="Y1637" i="18"/>
  <c r="Y1638" i="18"/>
  <c r="X1639" i="18"/>
  <c r="Y1639" i="18"/>
  <c r="X1640" i="18"/>
  <c r="Y1640" i="18"/>
  <c r="X1641" i="18"/>
  <c r="Y1641" i="18"/>
  <c r="X1642" i="18"/>
  <c r="X1643" i="18"/>
  <c r="Y1642" i="18"/>
  <c r="Y1643" i="18"/>
  <c r="X1644" i="18"/>
  <c r="X1645" i="18"/>
  <c r="Y1644" i="18"/>
  <c r="X1646" i="18"/>
  <c r="Y1645" i="18"/>
  <c r="Y1646" i="18"/>
  <c r="X1647" i="18"/>
  <c r="X1648" i="18"/>
  <c r="Y1647" i="18"/>
  <c r="Y1648" i="18"/>
  <c r="X1649" i="18"/>
  <c r="Y1649" i="18"/>
  <c r="X1650" i="18"/>
  <c r="Y1650" i="18"/>
  <c r="X1651" i="18"/>
  <c r="Y1651" i="18"/>
  <c r="X1652" i="18"/>
  <c r="Y1652" i="18"/>
  <c r="X1653" i="18"/>
  <c r="Y1653" i="18"/>
  <c r="X1654" i="18"/>
  <c r="X1655" i="18"/>
  <c r="Y1654" i="18"/>
  <c r="Y1655" i="18"/>
  <c r="X1656" i="18"/>
  <c r="Y1656" i="18"/>
  <c r="X1657" i="18"/>
  <c r="Y1657" i="18"/>
  <c r="X1658" i="18"/>
  <c r="X1659" i="18"/>
  <c r="Y1658" i="18"/>
  <c r="X1660" i="18"/>
  <c r="Y1659" i="18"/>
  <c r="Y1660" i="18"/>
  <c r="X1661" i="18"/>
  <c r="X1662" i="18"/>
  <c r="Y1661" i="18"/>
  <c r="Y1662" i="18"/>
  <c r="X1663" i="18"/>
  <c r="Y1663" i="18"/>
  <c r="X1664" i="18"/>
  <c r="X1665" i="18"/>
  <c r="Y1664" i="18"/>
  <c r="Y1665" i="18"/>
  <c r="X1666" i="18"/>
  <c r="Y1666" i="18"/>
  <c r="X1667" i="18"/>
  <c r="X1668" i="18"/>
  <c r="Y1667" i="18"/>
  <c r="Y1668" i="18"/>
  <c r="X1669" i="18"/>
  <c r="Y1669" i="18"/>
  <c r="X1670" i="18"/>
  <c r="Y1670" i="18"/>
  <c r="X1671" i="18"/>
  <c r="Y1671" i="18"/>
  <c r="X1672" i="18"/>
  <c r="Y1672" i="18"/>
  <c r="X1673" i="18"/>
  <c r="X1674" i="18"/>
  <c r="Y1673" i="18"/>
  <c r="Y1674" i="18"/>
  <c r="X1675" i="18"/>
  <c r="X1676" i="18"/>
  <c r="Y1675" i="18"/>
  <c r="Y1676" i="18"/>
  <c r="X1677" i="18"/>
  <c r="X1678" i="18"/>
  <c r="Y1677" i="18"/>
  <c r="X1679" i="18"/>
  <c r="Y1678" i="18"/>
  <c r="Y1679" i="18"/>
  <c r="X1680" i="18"/>
  <c r="Y1680" i="18"/>
  <c r="X1681" i="18"/>
  <c r="X1682" i="18"/>
  <c r="Y1681" i="18"/>
  <c r="Y1682" i="18"/>
  <c r="X1683" i="18"/>
  <c r="Y1683" i="18"/>
  <c r="X1684" i="18"/>
  <c r="X1685" i="18"/>
  <c r="Y1684" i="18"/>
  <c r="Y1685" i="18"/>
  <c r="X1686" i="18"/>
  <c r="Y1686" i="18"/>
  <c r="X1687" i="18"/>
  <c r="Y1687" i="18"/>
  <c r="X1688" i="18"/>
  <c r="Y1688" i="18"/>
  <c r="X1689" i="18"/>
  <c r="Y1689" i="18"/>
  <c r="X1690" i="18"/>
  <c r="Y1690" i="18"/>
  <c r="X1691" i="18"/>
  <c r="X1692" i="18"/>
  <c r="Y1691" i="18"/>
  <c r="X1693" i="18"/>
  <c r="Y1692" i="18"/>
  <c r="Y1693" i="18"/>
  <c r="X1694" i="18"/>
  <c r="X1695" i="18"/>
  <c r="Y1694" i="18"/>
  <c r="Y1695" i="18"/>
  <c r="X1696" i="18"/>
  <c r="Y1696" i="18"/>
  <c r="X1697" i="18"/>
  <c r="Y1697" i="18"/>
  <c r="X1698" i="18"/>
  <c r="X1699" i="18"/>
  <c r="Y1698" i="18"/>
  <c r="X1700" i="18"/>
  <c r="Y1699" i="18"/>
  <c r="Y1700" i="18"/>
  <c r="X1701" i="18"/>
  <c r="Y1701" i="18"/>
  <c r="X1702" i="18"/>
  <c r="Y1702" i="18"/>
  <c r="X1703" i="18"/>
  <c r="Y1703" i="18"/>
  <c r="X1704" i="18"/>
  <c r="X1705" i="18"/>
  <c r="Y1704" i="18"/>
  <c r="Y1705" i="18"/>
  <c r="X1706" i="18"/>
  <c r="Y1706" i="18"/>
  <c r="X1707" i="18"/>
  <c r="X1708" i="18"/>
  <c r="Y1707" i="18"/>
  <c r="Y1708" i="18"/>
  <c r="X1709" i="18"/>
  <c r="X1710" i="18"/>
  <c r="Y1709" i="18"/>
  <c r="Y1710" i="18"/>
  <c r="X1711" i="18"/>
  <c r="X1712" i="18"/>
  <c r="Y1711" i="18"/>
  <c r="Y1712" i="18"/>
  <c r="X1713" i="18"/>
  <c r="Y1713" i="18"/>
  <c r="X1714" i="18"/>
  <c r="Y1714" i="18"/>
  <c r="X1715" i="18"/>
  <c r="X1716" i="18"/>
  <c r="Y1715" i="18"/>
  <c r="X1717" i="18"/>
  <c r="Y1716" i="18"/>
  <c r="Y1717" i="18"/>
  <c r="X1718" i="18"/>
  <c r="Y1718" i="18"/>
  <c r="X1719" i="18"/>
  <c r="Y1719" i="18"/>
  <c r="X1720" i="18"/>
  <c r="Y1720" i="18"/>
  <c r="X1721" i="18"/>
  <c r="Y1721" i="18"/>
  <c r="X1722" i="18"/>
  <c r="X1723" i="18"/>
  <c r="Y1722" i="18"/>
  <c r="X1724" i="18"/>
  <c r="Y1723" i="18"/>
  <c r="X1725" i="18"/>
  <c r="Y1724" i="18"/>
  <c r="Y1725" i="18"/>
  <c r="X1726" i="18"/>
  <c r="X1727" i="18"/>
  <c r="Y1726" i="18"/>
  <c r="Y1727" i="18"/>
  <c r="X1728" i="18"/>
  <c r="Y1728" i="18"/>
  <c r="X1729" i="18"/>
  <c r="Y1729" i="18"/>
  <c r="X1730" i="18"/>
  <c r="Y1730" i="18"/>
  <c r="X1731" i="18"/>
  <c r="Y1731" i="18"/>
  <c r="X1732" i="18"/>
  <c r="X1733" i="18"/>
  <c r="Y1732" i="18"/>
  <c r="Y1733" i="18"/>
  <c r="X1734" i="18"/>
  <c r="Y1734" i="18"/>
  <c r="X1735" i="18"/>
  <c r="Y1735" i="18"/>
  <c r="X1736" i="18"/>
  <c r="Y1736" i="18"/>
  <c r="X1737" i="18"/>
  <c r="Y1737" i="18"/>
  <c r="X1738" i="18"/>
  <c r="X1739" i="18"/>
  <c r="Y1738" i="18"/>
  <c r="X1740" i="18"/>
  <c r="Y1739" i="18"/>
  <c r="Y1740" i="18"/>
  <c r="X1741" i="18"/>
  <c r="X1742" i="18"/>
  <c r="Y1741" i="18"/>
  <c r="Y1742" i="18"/>
  <c r="X1743" i="18"/>
  <c r="X1744" i="18"/>
  <c r="Y1743" i="18"/>
  <c r="Y1744" i="18"/>
  <c r="X1745" i="18"/>
  <c r="X1746" i="18"/>
  <c r="Y1745" i="18"/>
  <c r="Y1746" i="18"/>
  <c r="X1747" i="18"/>
  <c r="Y1747" i="18"/>
  <c r="X1748" i="18"/>
  <c r="Y1748" i="18"/>
  <c r="X1749" i="18"/>
  <c r="Y1749" i="18"/>
  <c r="X1750" i="18"/>
  <c r="Y1750" i="18"/>
  <c r="X1751" i="18"/>
  <c r="Y1751" i="18"/>
  <c r="X1752" i="18"/>
  <c r="X1753" i="18"/>
  <c r="Y1752" i="18"/>
  <c r="Y1753" i="18"/>
  <c r="X1754" i="18"/>
  <c r="Y1754" i="18"/>
  <c r="X1755" i="18"/>
  <c r="X1756" i="18"/>
  <c r="Y1755" i="18"/>
  <c r="Y1756" i="18"/>
  <c r="X1757" i="18"/>
  <c r="Y1757" i="18"/>
  <c r="X1758" i="18"/>
  <c r="X1759" i="18"/>
  <c r="Y1758" i="18"/>
  <c r="Y1759" i="18"/>
  <c r="X1760" i="18"/>
  <c r="Y1760" i="18"/>
  <c r="X1761" i="18"/>
  <c r="Y1761" i="18"/>
  <c r="X1762" i="18"/>
  <c r="X1763" i="18"/>
  <c r="Y1762" i="18"/>
  <c r="Y1763" i="18"/>
  <c r="X1764" i="18"/>
  <c r="Y1764" i="18"/>
  <c r="X1765" i="18"/>
  <c r="Y1765" i="18"/>
  <c r="X1766" i="18"/>
  <c r="Y1766" i="18"/>
  <c r="X1767" i="18"/>
  <c r="Y1767" i="18"/>
  <c r="X1768" i="18"/>
  <c r="X1769" i="18"/>
  <c r="Y1768" i="18"/>
  <c r="Y1769" i="18"/>
  <c r="X1770" i="18"/>
  <c r="Y1770" i="18"/>
  <c r="X1771" i="18"/>
  <c r="X1772" i="18"/>
  <c r="Y1771" i="18"/>
  <c r="Y1772" i="18"/>
  <c r="X1773" i="18"/>
  <c r="Y1773" i="18"/>
  <c r="X1774" i="18"/>
  <c r="Y1774" i="18"/>
  <c r="X1775" i="18"/>
  <c r="Y1775" i="18"/>
  <c r="X1776" i="18"/>
  <c r="X1777" i="18"/>
  <c r="Y1776" i="18"/>
  <c r="Y1777" i="18"/>
  <c r="X1778" i="18"/>
  <c r="Y1778" i="18"/>
  <c r="X1779" i="18"/>
  <c r="Y1779" i="18"/>
  <c r="X1780" i="18"/>
  <c r="Y1780" i="18"/>
  <c r="X1781" i="18"/>
  <c r="Y1781" i="18"/>
  <c r="X1782" i="18"/>
  <c r="Y1782" i="18"/>
  <c r="X1783" i="18"/>
  <c r="Y1783" i="18"/>
  <c r="X1784" i="18"/>
  <c r="Y1784" i="18"/>
  <c r="X1785" i="18"/>
  <c r="Y1785" i="18"/>
  <c r="X1786" i="18"/>
  <c r="Y1786" i="18"/>
  <c r="X1787" i="18"/>
  <c r="X1788" i="18"/>
  <c r="Y1787" i="18"/>
  <c r="Y1788" i="18"/>
  <c r="X1789" i="18"/>
  <c r="Y1789" i="18"/>
  <c r="X1790" i="18"/>
  <c r="Y1790" i="18"/>
  <c r="X1791" i="18"/>
  <c r="Y1791" i="18"/>
  <c r="X1792" i="18"/>
  <c r="X1793" i="18"/>
  <c r="Y1792" i="18"/>
  <c r="Y1793" i="18"/>
  <c r="X1794" i="18"/>
  <c r="Y1794" i="18"/>
  <c r="X1795" i="18"/>
  <c r="Y1795" i="18"/>
  <c r="X1796" i="18"/>
  <c r="Y1796" i="18"/>
  <c r="X1797" i="18"/>
  <c r="Y1797" i="18"/>
  <c r="X1798" i="18"/>
  <c r="Y1798" i="18"/>
  <c r="X1799" i="18"/>
  <c r="Y1799" i="18"/>
  <c r="X1800" i="18"/>
  <c r="X1801" i="18"/>
  <c r="Y1800" i="18"/>
  <c r="X1802" i="18"/>
  <c r="Y1801" i="18"/>
  <c r="Y1802" i="18"/>
  <c r="X1803" i="18"/>
  <c r="X1804" i="18"/>
  <c r="Y1803" i="18"/>
  <c r="Y1804" i="18"/>
  <c r="X1805" i="18"/>
  <c r="Y1805" i="18"/>
  <c r="X1806" i="18"/>
  <c r="Y1806" i="18"/>
  <c r="X1807" i="18"/>
  <c r="Y1807" i="18"/>
  <c r="X1808" i="18"/>
  <c r="X1809" i="18"/>
  <c r="Y1808" i="18"/>
  <c r="X1810" i="18"/>
  <c r="Y1809" i="18"/>
  <c r="Y1810" i="18"/>
  <c r="X1811" i="18"/>
  <c r="Y1811" i="18"/>
  <c r="X1812" i="18"/>
  <c r="Y1812" i="18"/>
  <c r="X1813" i="18"/>
  <c r="Y1813" i="18"/>
  <c r="X1814" i="18"/>
  <c r="Y1814" i="18"/>
  <c r="X1815" i="18"/>
  <c r="X1816" i="18"/>
  <c r="Y1815" i="18"/>
  <c r="Y1816" i="18"/>
  <c r="X1817" i="18"/>
  <c r="Y1817" i="18"/>
  <c r="X1818" i="18"/>
  <c r="Y1818" i="18"/>
  <c r="X1819" i="18"/>
  <c r="X1820" i="18"/>
  <c r="Y1819" i="18"/>
  <c r="Y1820" i="18"/>
  <c r="X1821" i="18"/>
  <c r="X1822" i="18"/>
  <c r="Y1821" i="18"/>
  <c r="Y1822" i="18"/>
  <c r="X1823" i="18"/>
  <c r="Y1823" i="18"/>
  <c r="X1824" i="18"/>
  <c r="X1825" i="18"/>
  <c r="Y1824" i="18"/>
  <c r="X1826" i="18"/>
  <c r="Y1825" i="18"/>
  <c r="Y1826" i="18"/>
  <c r="X1827" i="18"/>
  <c r="X1828" i="18"/>
  <c r="Y1827" i="18"/>
  <c r="X1829" i="18"/>
  <c r="Y1828" i="18"/>
  <c r="Y1829" i="18"/>
  <c r="X1830" i="18"/>
  <c r="Y1830" i="18"/>
  <c r="X1831" i="18"/>
  <c r="X1832" i="18"/>
  <c r="Y1831" i="18"/>
  <c r="Y1832" i="18"/>
  <c r="X1833" i="18"/>
  <c r="X1834" i="18"/>
  <c r="Y1833" i="18"/>
  <c r="Y1834" i="18"/>
  <c r="X1835" i="18"/>
  <c r="X1836" i="18"/>
  <c r="Y1835" i="18"/>
  <c r="Y1836" i="18"/>
  <c r="X1837" i="18"/>
  <c r="X1838" i="18"/>
  <c r="Y1837" i="18"/>
  <c r="Y1838" i="18"/>
  <c r="X1839" i="18"/>
  <c r="X1840" i="18"/>
  <c r="Y1839" i="18"/>
  <c r="X1841" i="18"/>
  <c r="Y1840" i="18"/>
  <c r="X1842" i="18"/>
  <c r="Y1841" i="18"/>
  <c r="Y1842" i="18"/>
  <c r="X1843" i="18"/>
  <c r="X1844" i="18"/>
  <c r="Y1843" i="18"/>
  <c r="Y1844" i="18"/>
  <c r="X1845" i="18"/>
  <c r="Y1845" i="18"/>
  <c r="X1846" i="18"/>
  <c r="X1847" i="18"/>
  <c r="Y1846" i="18"/>
  <c r="Y1847" i="18"/>
  <c r="X1848" i="18"/>
  <c r="Y1848" i="18"/>
  <c r="X1849" i="18"/>
  <c r="X1850" i="18"/>
  <c r="Y1849" i="18"/>
  <c r="Y1850" i="18"/>
  <c r="X1851" i="18"/>
  <c r="X1852" i="18"/>
  <c r="Y1851" i="18"/>
  <c r="X1853" i="18"/>
  <c r="Y1852" i="18"/>
  <c r="X1854" i="18"/>
  <c r="Y1853" i="18"/>
  <c r="X1855" i="18"/>
  <c r="Y1854" i="18"/>
  <c r="Y1855" i="18"/>
  <c r="X1856" i="18"/>
  <c r="X1857" i="18"/>
  <c r="Y1856" i="18"/>
  <c r="Y1857" i="18"/>
  <c r="X1858" i="18"/>
  <c r="Y1858" i="18"/>
  <c r="X1859" i="18"/>
  <c r="Y1859" i="18"/>
  <c r="X1860" i="18"/>
  <c r="Y1860" i="18"/>
  <c r="X1861" i="18"/>
  <c r="Y1861" i="18"/>
  <c r="X1862" i="18"/>
  <c r="Y1862" i="18"/>
  <c r="X1863" i="18"/>
  <c r="Y1863" i="18"/>
  <c r="X1864" i="18"/>
  <c r="Y1864" i="18"/>
  <c r="X1865" i="18"/>
  <c r="X1866" i="18"/>
  <c r="Y1865" i="18"/>
  <c r="Y1866" i="18"/>
  <c r="X1867" i="18"/>
  <c r="X1868" i="18"/>
  <c r="Y1867" i="18"/>
  <c r="X1869" i="18"/>
  <c r="Y1868" i="18"/>
  <c r="X1870" i="18"/>
  <c r="Y1869" i="18"/>
  <c r="X1871" i="18"/>
  <c r="Y1870" i="18"/>
  <c r="Y1871" i="18"/>
  <c r="X1872" i="18"/>
  <c r="X1873" i="18"/>
  <c r="Y1872" i="18"/>
  <c r="Y1873" i="18"/>
  <c r="X1874" i="18"/>
  <c r="Y1874" i="18"/>
  <c r="X1875" i="18"/>
  <c r="Y1875" i="18"/>
  <c r="X1876" i="18"/>
  <c r="Y1876" i="18"/>
  <c r="X1877" i="18"/>
  <c r="Y1877" i="18"/>
  <c r="X1878" i="18"/>
  <c r="Y1878" i="18"/>
  <c r="X1879" i="18"/>
  <c r="Y1879" i="18"/>
  <c r="X1880" i="18"/>
  <c r="Y1880" i="18"/>
  <c r="X1881" i="18"/>
  <c r="Y1881" i="18"/>
  <c r="X1882" i="18"/>
  <c r="Y1882" i="18"/>
  <c r="X1883" i="18"/>
  <c r="X1884" i="18"/>
  <c r="Y1883" i="18"/>
  <c r="Y1884" i="18"/>
  <c r="X1885" i="18"/>
  <c r="X1886" i="18"/>
  <c r="Y1885" i="18"/>
  <c r="X1887" i="18"/>
  <c r="Y1886" i="18"/>
  <c r="Y1887" i="18"/>
  <c r="X1888" i="18"/>
  <c r="X1889" i="18"/>
  <c r="Y1888" i="18"/>
  <c r="X1890" i="18"/>
  <c r="Y1889" i="18"/>
  <c r="Y1890" i="18"/>
  <c r="X1891" i="18"/>
  <c r="Y1891" i="18"/>
  <c r="X1892" i="18"/>
  <c r="Y1892" i="18"/>
  <c r="X1893" i="18"/>
  <c r="Y1893" i="18"/>
  <c r="X1894" i="18"/>
  <c r="Y1894" i="18"/>
  <c r="X1895" i="18"/>
  <c r="X1896" i="18"/>
  <c r="Y1895" i="18"/>
  <c r="Y1896" i="18"/>
  <c r="X1897" i="18"/>
  <c r="Y1897" i="18"/>
  <c r="X1898" i="18"/>
  <c r="Y1898" i="18"/>
  <c r="X1899" i="18"/>
  <c r="X1900" i="18"/>
  <c r="Y1899" i="18"/>
  <c r="Y1900" i="18"/>
  <c r="X1901" i="18"/>
  <c r="Y1901" i="18"/>
  <c r="X1902" i="18"/>
  <c r="X1903" i="18"/>
  <c r="Y1902" i="18"/>
  <c r="Y1903" i="18"/>
  <c r="X1904" i="18"/>
  <c r="X1905" i="18"/>
  <c r="Y1904" i="18"/>
  <c r="X1906" i="18"/>
  <c r="Y1905" i="18"/>
  <c r="Y1906" i="18"/>
  <c r="X1907" i="18"/>
  <c r="X1908" i="18"/>
  <c r="Y1907" i="18"/>
  <c r="Y1908" i="18"/>
  <c r="X1909" i="18"/>
  <c r="Y1909" i="18"/>
  <c r="X1910" i="18"/>
  <c r="Y1910" i="18"/>
  <c r="X1911" i="18"/>
  <c r="Y1911" i="18"/>
  <c r="X1912" i="18"/>
  <c r="Y1912" i="18"/>
  <c r="X1913" i="18"/>
  <c r="X1914" i="18"/>
  <c r="Y1913" i="18"/>
  <c r="Y1914" i="18"/>
  <c r="X1915" i="18"/>
  <c r="X1916" i="18"/>
  <c r="Y1915" i="18"/>
  <c r="Y1916" i="18"/>
  <c r="X1917" i="18"/>
  <c r="X1918" i="18"/>
  <c r="Y1917" i="18"/>
  <c r="X1919" i="18"/>
  <c r="Y1918" i="18"/>
  <c r="Y1919" i="18"/>
  <c r="X1920" i="18"/>
  <c r="X1921" i="18"/>
  <c r="Y1920" i="18"/>
  <c r="X1922" i="18"/>
  <c r="Y1921" i="18"/>
  <c r="Y1922" i="18"/>
  <c r="X1923" i="18"/>
  <c r="X1924" i="18"/>
  <c r="Y1923" i="18"/>
  <c r="X1925" i="18"/>
  <c r="Y1924" i="18"/>
  <c r="Y1925" i="18"/>
  <c r="X1926" i="18"/>
  <c r="Y1926" i="18"/>
  <c r="X1927" i="18"/>
  <c r="Y1927" i="18"/>
  <c r="X1928" i="18"/>
  <c r="Y1928" i="18"/>
  <c r="X1929" i="18"/>
  <c r="Y1929" i="18"/>
  <c r="X1930" i="18"/>
  <c r="Y1930" i="18"/>
  <c r="X1931" i="18"/>
  <c r="X1932" i="18"/>
  <c r="Y1931" i="18"/>
  <c r="Y1932" i="18"/>
  <c r="X1933" i="18"/>
  <c r="X1934" i="18"/>
  <c r="Y1933" i="18"/>
  <c r="X1935" i="18"/>
  <c r="Y1934" i="18"/>
  <c r="Y1935" i="18"/>
  <c r="X1936" i="18"/>
  <c r="X1937" i="18"/>
  <c r="Y1936" i="18"/>
  <c r="Y1937" i="18"/>
  <c r="X1938" i="18"/>
  <c r="Y1938" i="18"/>
  <c r="X1939" i="18"/>
  <c r="Y1939" i="18"/>
  <c r="X1940" i="18"/>
  <c r="X1941" i="18"/>
  <c r="Y1940" i="18"/>
  <c r="Y1941" i="18"/>
  <c r="X1942" i="18"/>
  <c r="X1943" i="18"/>
  <c r="Y1942" i="18"/>
  <c r="Y1943" i="18"/>
  <c r="X1944" i="18"/>
  <c r="Y1944" i="18"/>
  <c r="X1945" i="18"/>
  <c r="Y1945" i="18"/>
  <c r="X1946" i="18"/>
  <c r="Y1946" i="18"/>
  <c r="X1947" i="18"/>
  <c r="X1948" i="18"/>
  <c r="Y1947" i="18"/>
  <c r="X1949" i="18"/>
  <c r="Y1948" i="18"/>
  <c r="X1950" i="18"/>
  <c r="Y1949" i="18"/>
  <c r="X1951" i="18"/>
  <c r="Y1950" i="18"/>
  <c r="Y1951" i="18"/>
  <c r="X1952" i="18"/>
  <c r="X1953" i="18"/>
  <c r="Y1952" i="18"/>
  <c r="Y1953" i="18"/>
  <c r="X1954" i="18"/>
  <c r="Y1954" i="18"/>
  <c r="X1955" i="18"/>
  <c r="X1956" i="18"/>
  <c r="Y1955" i="18"/>
  <c r="Y1956" i="18"/>
  <c r="X1957" i="18"/>
  <c r="Y1957" i="18"/>
  <c r="X1958" i="18"/>
  <c r="Y1958" i="18"/>
  <c r="X1959" i="18"/>
  <c r="X1960" i="18"/>
  <c r="Y1959" i="18"/>
  <c r="Y1960" i="18"/>
  <c r="X1961" i="18"/>
  <c r="Y1961" i="18"/>
  <c r="X1962" i="18"/>
  <c r="Y1962" i="18"/>
  <c r="X1963" i="18"/>
  <c r="X1964" i="18"/>
  <c r="Y1963" i="18"/>
  <c r="Y1964" i="18"/>
  <c r="X1965" i="18"/>
  <c r="Y1965" i="18"/>
  <c r="X1966" i="18"/>
  <c r="X1967" i="18"/>
  <c r="Y1966" i="18"/>
  <c r="Y1967" i="18"/>
  <c r="X1968" i="18"/>
  <c r="X1969" i="18"/>
  <c r="Y1968" i="18"/>
  <c r="X1970" i="18"/>
  <c r="Y1969" i="18"/>
  <c r="Y1970" i="18"/>
  <c r="X1971" i="18"/>
  <c r="Y1971" i="18"/>
  <c r="X1972" i="18"/>
  <c r="Y1972" i="18"/>
  <c r="X1973" i="18"/>
  <c r="Y1973" i="18"/>
  <c r="X1974" i="18"/>
  <c r="Y1974" i="18"/>
  <c r="X1975" i="18"/>
  <c r="Y1975" i="18"/>
  <c r="X1976" i="18"/>
  <c r="Y1976" i="18"/>
  <c r="X1977" i="18"/>
  <c r="Y1977" i="18"/>
  <c r="X1978" i="18"/>
  <c r="Y1978" i="18"/>
  <c r="X1979" i="18"/>
  <c r="X1980" i="18"/>
  <c r="Y1979" i="18"/>
  <c r="X1981" i="18"/>
  <c r="Y1980" i="18"/>
  <c r="Y1981" i="18"/>
  <c r="X1982" i="18"/>
  <c r="X1983" i="18"/>
  <c r="Y1982" i="18"/>
  <c r="Y1983" i="18"/>
  <c r="X1984" i="18"/>
  <c r="X1985" i="18"/>
  <c r="Y1984" i="18"/>
  <c r="Y1985" i="18"/>
  <c r="X1986" i="18"/>
  <c r="Y1986" i="18"/>
  <c r="X1987" i="18"/>
  <c r="X1988" i="18"/>
  <c r="Y1987" i="18"/>
  <c r="X1989" i="18"/>
  <c r="Y1988" i="18"/>
  <c r="Y1989" i="18"/>
  <c r="X1990" i="18"/>
  <c r="Y1990" i="18"/>
  <c r="X1991" i="18"/>
  <c r="Y1991" i="18"/>
  <c r="X1992" i="18"/>
  <c r="Y1992" i="18"/>
  <c r="X1993" i="18"/>
  <c r="X1994" i="18"/>
  <c r="Y1993" i="18"/>
  <c r="Y1994" i="18"/>
  <c r="X1995" i="18"/>
  <c r="X1996" i="18"/>
  <c r="Y1995" i="18"/>
  <c r="Y1996" i="18"/>
  <c r="X1997" i="18"/>
  <c r="Y1997" i="18"/>
  <c r="X1998" i="18"/>
  <c r="Y1998" i="18"/>
  <c r="X1999" i="18"/>
  <c r="Y1999" i="18"/>
  <c r="X2000" i="18"/>
  <c r="Y2000" i="18"/>
  <c r="X2001" i="18"/>
  <c r="X2002" i="18"/>
  <c r="Y2001" i="18"/>
  <c r="Y2002" i="18"/>
  <c r="X2003" i="18"/>
  <c r="Y2003" i="18"/>
  <c r="X2004" i="18"/>
  <c r="Y2004" i="18"/>
  <c r="X2005" i="18"/>
  <c r="X2006" i="18"/>
  <c r="Y2005" i="18"/>
  <c r="Y2006" i="18"/>
  <c r="X2007" i="18"/>
  <c r="Y2007" i="18"/>
  <c r="X2008" i="18"/>
  <c r="Y2008" i="18"/>
  <c r="X2009" i="18"/>
  <c r="X2010" i="18"/>
  <c r="Y2009" i="18"/>
  <c r="X2011" i="18"/>
  <c r="Y2010" i="18"/>
  <c r="Y2011" i="18"/>
  <c r="X2012" i="18"/>
  <c r="X2013" i="18"/>
  <c r="Y2012" i="18"/>
  <c r="X2014" i="18"/>
  <c r="Y2013" i="18"/>
  <c r="Y2014" i="18"/>
  <c r="X2015" i="18"/>
  <c r="Y2015" i="18"/>
  <c r="X2016" i="18"/>
  <c r="Y2016" i="18"/>
  <c r="X2017" i="18"/>
  <c r="Y2017" i="18"/>
  <c r="X2018" i="18"/>
  <c r="X2019" i="18"/>
  <c r="Y2018" i="18"/>
  <c r="Y2019" i="18"/>
  <c r="X2020" i="18"/>
  <c r="Y2020" i="18"/>
  <c r="X2021" i="18"/>
  <c r="Y2021" i="18"/>
  <c r="X2022" i="18"/>
  <c r="Y2022" i="18"/>
  <c r="X2023" i="18"/>
  <c r="Y2023" i="18"/>
  <c r="X2024" i="18"/>
  <c r="Y2024" i="18"/>
  <c r="X2025" i="18"/>
  <c r="X2026" i="18"/>
  <c r="Y2025" i="18"/>
  <c r="Y2026" i="18"/>
  <c r="X2027" i="18"/>
  <c r="X2028" i="18"/>
  <c r="Y2027" i="18"/>
  <c r="Y2028" i="18"/>
  <c r="X2029" i="18"/>
  <c r="X2030" i="18"/>
  <c r="Y2029" i="18"/>
  <c r="Y2030" i="18"/>
  <c r="X2031" i="18"/>
  <c r="Y2031" i="18"/>
  <c r="X2032" i="18"/>
  <c r="Y2032" i="18"/>
  <c r="X2033" i="18"/>
  <c r="Y2033" i="18"/>
  <c r="X2034" i="18"/>
  <c r="Y2034" i="18"/>
  <c r="X2035" i="18"/>
  <c r="Y2035" i="18"/>
  <c r="X2036" i="18"/>
  <c r="X2037" i="18"/>
  <c r="Y2036" i="18"/>
  <c r="Y2037" i="18"/>
  <c r="X2038" i="18"/>
  <c r="Y2038" i="18"/>
  <c r="X2039" i="18"/>
  <c r="Y2039" i="18"/>
  <c r="X2040" i="18"/>
  <c r="Y2040" i="18"/>
  <c r="X2041" i="18"/>
  <c r="X2042" i="18"/>
  <c r="Y2041" i="18"/>
  <c r="Y2042" i="18"/>
  <c r="X2043" i="18"/>
  <c r="X2044" i="18"/>
  <c r="Y2043" i="18"/>
  <c r="X2045" i="18"/>
  <c r="Y2044" i="18"/>
  <c r="Y2045" i="18"/>
  <c r="X2046" i="18"/>
  <c r="Y2046" i="18"/>
  <c r="X2047" i="18"/>
  <c r="Y2047" i="18"/>
  <c r="X2048" i="18"/>
  <c r="X2049" i="18"/>
  <c r="Y2048" i="18"/>
  <c r="Y2049" i="18"/>
  <c r="X2050" i="18"/>
  <c r="Y2050" i="18"/>
  <c r="X2051" i="18"/>
  <c r="Y2051" i="18"/>
  <c r="X2052" i="18"/>
  <c r="X2053" i="18"/>
  <c r="Y2052" i="18"/>
  <c r="Y2053" i="18"/>
  <c r="X2054" i="18"/>
  <c r="Y2054" i="18"/>
  <c r="X2055" i="18"/>
  <c r="X2056" i="18"/>
  <c r="Y2055" i="18"/>
  <c r="Y2056" i="18"/>
  <c r="X2057" i="18"/>
  <c r="X2058" i="18"/>
  <c r="Y2057" i="18"/>
  <c r="X2059" i="18"/>
  <c r="Y2058" i="18"/>
  <c r="X2060" i="18"/>
  <c r="Y2059" i="18"/>
  <c r="X2061" i="18"/>
  <c r="Y2060" i="18"/>
  <c r="X2062" i="18"/>
  <c r="Y2061" i="18"/>
  <c r="Y2062" i="18"/>
  <c r="X2063" i="18"/>
  <c r="Y2063" i="18"/>
  <c r="X2064" i="18"/>
  <c r="Y2064" i="18"/>
  <c r="X2065" i="18"/>
  <c r="Y2065" i="18"/>
  <c r="X2066" i="18"/>
  <c r="Y2066" i="18"/>
  <c r="X2067" i="18"/>
  <c r="Y2067" i="18"/>
  <c r="X2068" i="18"/>
  <c r="Y2068" i="18"/>
  <c r="X2069" i="18"/>
  <c r="X2070" i="18"/>
  <c r="Y2069" i="18"/>
  <c r="Y2070" i="18"/>
  <c r="X2071" i="18"/>
  <c r="Y2071" i="18"/>
  <c r="X2072" i="18"/>
  <c r="Y2072" i="18"/>
  <c r="X2073" i="18"/>
  <c r="X2074" i="18"/>
  <c r="Y2073" i="18"/>
  <c r="Y2074" i="18"/>
  <c r="X2075" i="18"/>
  <c r="X2076" i="18"/>
  <c r="Y2075" i="18"/>
  <c r="Y2076" i="18"/>
  <c r="X2077" i="18"/>
  <c r="Y2077" i="18"/>
  <c r="X2078" i="18"/>
  <c r="X2079" i="18"/>
  <c r="Y2078" i="18"/>
  <c r="X2080" i="18"/>
  <c r="Y2079" i="18"/>
  <c r="Y2080" i="18"/>
  <c r="X2081" i="18"/>
  <c r="Y2081" i="18"/>
  <c r="X2082" i="18"/>
  <c r="Y2082" i="18"/>
  <c r="X2083" i="18"/>
  <c r="Y2083" i="18"/>
  <c r="X2084" i="18"/>
  <c r="X2085" i="18"/>
  <c r="Y2084" i="18"/>
  <c r="Y2085" i="18"/>
  <c r="X2086" i="18"/>
  <c r="X2087" i="18"/>
  <c r="Y2086" i="18"/>
  <c r="Y2087" i="18"/>
  <c r="X2088" i="18"/>
  <c r="Y2088" i="18"/>
  <c r="X2089" i="18"/>
  <c r="X2090" i="18"/>
  <c r="Y2089" i="18"/>
  <c r="Y2090" i="18"/>
  <c r="X2091" i="18"/>
  <c r="Y2091" i="18"/>
  <c r="X2092" i="18"/>
  <c r="X2093" i="18"/>
  <c r="Y2092" i="18"/>
  <c r="Y2093" i="18"/>
  <c r="X2094" i="18"/>
  <c r="Y2094" i="18"/>
  <c r="X2095" i="18"/>
  <c r="Y2095" i="18"/>
  <c r="X2096" i="18"/>
  <c r="X2097" i="18"/>
  <c r="Y2096" i="18"/>
  <c r="Y2097" i="18"/>
  <c r="X2098" i="18"/>
  <c r="Y2098" i="18"/>
  <c r="X2099" i="18"/>
  <c r="Y2099" i="18"/>
  <c r="X2100" i="18"/>
  <c r="Y2100" i="18"/>
  <c r="X2101" i="18"/>
  <c r="X2102" i="18"/>
  <c r="Y2101" i="18"/>
  <c r="Y2102" i="18"/>
  <c r="X2103" i="18"/>
  <c r="X2104" i="18"/>
  <c r="Y2103" i="18"/>
  <c r="X2105" i="18"/>
  <c r="Y2104" i="18"/>
  <c r="X2106" i="18"/>
  <c r="Y2105" i="18"/>
  <c r="Y2106" i="18"/>
  <c r="X2107" i="18"/>
  <c r="Y2107" i="18"/>
  <c r="X2108" i="18"/>
  <c r="Y2108" i="18"/>
  <c r="X2109" i="18"/>
  <c r="X2110" i="18"/>
  <c r="Y2109" i="18"/>
  <c r="Y2110" i="18"/>
  <c r="X2111" i="18"/>
  <c r="Y2111" i="18"/>
  <c r="X2112" i="18"/>
  <c r="Y2112" i="18"/>
  <c r="X2113" i="18"/>
  <c r="Y2113" i="18"/>
  <c r="X2114" i="18"/>
  <c r="Y2114" i="18"/>
  <c r="X2115" i="18"/>
  <c r="Y2115" i="18"/>
  <c r="X2116" i="18"/>
  <c r="Y2116" i="18"/>
  <c r="X2117" i="18"/>
  <c r="Y2117" i="18"/>
  <c r="X2118" i="18"/>
  <c r="X2119" i="18"/>
  <c r="Y2118" i="18"/>
  <c r="Y2119" i="18"/>
  <c r="X2120" i="18"/>
  <c r="X2121" i="18"/>
  <c r="Y2120" i="18"/>
  <c r="X2122" i="18"/>
  <c r="Y2121" i="18"/>
  <c r="Y2122" i="18"/>
  <c r="X2123" i="18"/>
  <c r="Y2123" i="18"/>
  <c r="X2124" i="18"/>
  <c r="Y2124" i="18"/>
  <c r="X2125" i="18"/>
  <c r="Y2125" i="18"/>
  <c r="X2126" i="18"/>
  <c r="X2127" i="18"/>
  <c r="Y2126" i="18"/>
  <c r="X2128" i="18"/>
  <c r="Y2127" i="18"/>
  <c r="Y2128" i="18"/>
  <c r="X2129" i="18"/>
  <c r="Y2129" i="18"/>
  <c r="X2130" i="18"/>
  <c r="Y2130" i="18"/>
  <c r="X2131" i="18"/>
  <c r="Y2131" i="18"/>
  <c r="X2132" i="18"/>
  <c r="X2133" i="18"/>
  <c r="Y2132" i="18"/>
  <c r="Y2133" i="18"/>
  <c r="X2134" i="18"/>
  <c r="X2135" i="18"/>
  <c r="Y2134" i="18"/>
  <c r="X2136" i="18"/>
  <c r="Y2135" i="18"/>
  <c r="Y2136" i="18"/>
  <c r="X2137" i="18"/>
  <c r="X2138" i="18"/>
  <c r="Y2137" i="18"/>
  <c r="Y2138" i="18"/>
  <c r="X2139" i="18"/>
  <c r="X2140" i="18"/>
  <c r="Y2139" i="18"/>
  <c r="Y2140" i="18"/>
  <c r="X2141" i="18"/>
  <c r="Y2141" i="18"/>
  <c r="X2142" i="18"/>
  <c r="Y2142" i="18"/>
  <c r="X2143" i="18"/>
  <c r="X2144" i="18"/>
  <c r="Y2143" i="18"/>
  <c r="Y2144" i="18"/>
  <c r="X2145" i="18"/>
  <c r="Y2145" i="18"/>
  <c r="X2146" i="18"/>
  <c r="X2147" i="18"/>
  <c r="Y2146" i="18"/>
  <c r="Y2147" i="18"/>
  <c r="X2148" i="18"/>
  <c r="Y2148" i="18"/>
  <c r="X2149" i="18"/>
  <c r="X2150" i="18"/>
  <c r="Y2149" i="18"/>
  <c r="X2151" i="18"/>
  <c r="Y2150" i="18"/>
  <c r="X2152" i="18"/>
  <c r="Y2151" i="18"/>
  <c r="X2153" i="18"/>
  <c r="Y2152" i="18"/>
  <c r="X2154" i="18"/>
  <c r="Y2153" i="18"/>
  <c r="Y2154" i="18"/>
  <c r="X2155" i="18"/>
  <c r="Y2155" i="18"/>
  <c r="X2156" i="18"/>
  <c r="Y2156" i="18"/>
  <c r="X2157" i="18"/>
  <c r="Y2157" i="18"/>
  <c r="X2158" i="18"/>
  <c r="Y2158" i="18"/>
  <c r="X2159" i="18"/>
  <c r="Y2159" i="18"/>
  <c r="X2160" i="18"/>
  <c r="X2161" i="18"/>
  <c r="Y2160" i="18"/>
  <c r="Y2161" i="18"/>
  <c r="X2162" i="18"/>
  <c r="Y2162" i="18"/>
  <c r="X2163" i="18"/>
  <c r="Y2163" i="18"/>
  <c r="X2164" i="18"/>
  <c r="Y2164" i="18"/>
  <c r="X2165" i="18"/>
  <c r="Y2165" i="18"/>
  <c r="X2166" i="18"/>
  <c r="X2167" i="18"/>
  <c r="Y2166" i="18"/>
  <c r="Y2167" i="18"/>
  <c r="X2168" i="18"/>
  <c r="Y2168" i="18"/>
  <c r="X2169" i="18"/>
  <c r="X2170" i="18"/>
  <c r="Y2169" i="18"/>
  <c r="Y2170" i="18"/>
  <c r="X2171" i="18"/>
  <c r="Y2171" i="18"/>
  <c r="X2172" i="18"/>
  <c r="Y2172" i="18"/>
  <c r="X2173" i="18"/>
  <c r="X2174" i="18"/>
  <c r="Y2173" i="18"/>
  <c r="Y2174" i="18"/>
  <c r="X2175" i="18"/>
  <c r="X2176" i="18"/>
  <c r="Y2175" i="18"/>
  <c r="Y2176" i="18"/>
  <c r="X2177" i="18"/>
  <c r="X2178" i="18"/>
  <c r="Y2177" i="18"/>
  <c r="Y2178" i="18"/>
  <c r="X2179" i="18"/>
  <c r="Y2179" i="18"/>
  <c r="X2180" i="18"/>
  <c r="Y2180" i="18"/>
  <c r="X2181" i="18"/>
  <c r="Y2181" i="18"/>
  <c r="X2182" i="18"/>
  <c r="Y2182" i="18"/>
  <c r="X2183" i="18"/>
  <c r="X2184" i="18"/>
  <c r="Y2183" i="18"/>
  <c r="X2185" i="18"/>
  <c r="Y2184" i="18"/>
  <c r="X2186" i="18"/>
  <c r="Y2185" i="18"/>
  <c r="Y2186" i="18"/>
  <c r="X2187" i="18"/>
  <c r="X2188" i="18"/>
  <c r="Y2187" i="18"/>
  <c r="Y2188" i="18"/>
  <c r="X2189" i="18"/>
  <c r="Y2189" i="18"/>
  <c r="X2190" i="18"/>
  <c r="X2191" i="18"/>
  <c r="Y2190" i="18"/>
  <c r="Y2191" i="18"/>
  <c r="X2192" i="18"/>
  <c r="X2193" i="18"/>
  <c r="Y2192" i="18"/>
  <c r="Y2193" i="18"/>
  <c r="X2194" i="18"/>
  <c r="X2195" i="18"/>
  <c r="Y2194" i="18"/>
  <c r="Y2195" i="18"/>
  <c r="X2196" i="18"/>
  <c r="Y2196" i="18"/>
  <c r="X2197" i="18"/>
  <c r="Y2197" i="18"/>
  <c r="X2198" i="18"/>
  <c r="Y2198" i="18"/>
  <c r="X2199" i="18"/>
  <c r="Y2199" i="18"/>
  <c r="X2200" i="18"/>
  <c r="X2201" i="18"/>
  <c r="Y2200" i="18"/>
  <c r="X2202" i="18"/>
  <c r="Y2201" i="18"/>
  <c r="Y2202" i="18"/>
  <c r="X2203" i="18"/>
  <c r="X2204" i="18"/>
  <c r="Y2203" i="18"/>
  <c r="Y2204" i="18"/>
  <c r="X2205" i="18"/>
  <c r="Y2205" i="18"/>
  <c r="X2206" i="18"/>
  <c r="Y2206" i="18"/>
  <c r="X2207" i="18"/>
  <c r="Y2207" i="18"/>
  <c r="X2208" i="18"/>
  <c r="Y2208" i="18"/>
  <c r="X2209" i="18"/>
  <c r="X2210" i="18"/>
  <c r="Y2209" i="18"/>
  <c r="Y2210" i="18"/>
  <c r="X2211" i="18"/>
  <c r="Y2211" i="18"/>
  <c r="X2212" i="18"/>
  <c r="Y2212" i="18"/>
  <c r="X2213" i="18"/>
  <c r="X2214" i="18"/>
  <c r="Y2213" i="18"/>
  <c r="Y2214" i="18"/>
  <c r="X2215" i="18"/>
  <c r="X2216" i="18"/>
  <c r="Y2215" i="18"/>
  <c r="Y2216" i="18"/>
  <c r="X2217" i="18"/>
  <c r="X2218" i="18"/>
  <c r="Y2217" i="18"/>
  <c r="X2219" i="18"/>
  <c r="Y2218" i="18"/>
  <c r="Y2219" i="18"/>
  <c r="X2220" i="18"/>
  <c r="Y2220" i="18"/>
  <c r="X2221" i="18"/>
  <c r="Y2221" i="18"/>
  <c r="X2222" i="18"/>
  <c r="Y2222" i="18"/>
  <c r="X2223" i="18"/>
  <c r="X2224" i="18"/>
  <c r="Y2223" i="18"/>
  <c r="Y2224" i="18"/>
  <c r="X2225" i="18"/>
  <c r="X2226" i="18"/>
  <c r="Y2225" i="18"/>
  <c r="X2227" i="18"/>
  <c r="Y2226" i="18"/>
  <c r="Y2227" i="18"/>
  <c r="X2228" i="18"/>
  <c r="Y2228" i="18"/>
  <c r="X2229" i="18"/>
  <c r="Y2229" i="18"/>
  <c r="X2230" i="18"/>
  <c r="Y2230" i="18"/>
  <c r="X2231" i="18"/>
  <c r="Y2231" i="18"/>
  <c r="X2232" i="18"/>
  <c r="Y2232" i="18"/>
  <c r="X2233" i="18"/>
  <c r="X2234" i="18"/>
  <c r="Y2233" i="18"/>
  <c r="X2235" i="18"/>
  <c r="Y2234" i="18"/>
  <c r="Y2235" i="18"/>
  <c r="X2236" i="18"/>
  <c r="Y2236" i="18"/>
  <c r="X2237" i="18"/>
  <c r="X2238" i="18"/>
  <c r="Y2237" i="18"/>
  <c r="X2239" i="18"/>
  <c r="Y2238" i="18"/>
  <c r="Y2239" i="18"/>
  <c r="X2240" i="18"/>
  <c r="X2241" i="18"/>
  <c r="Y2240" i="18"/>
  <c r="X2242" i="18"/>
  <c r="Y2241" i="18"/>
  <c r="Y2242" i="18"/>
  <c r="X2243" i="18"/>
  <c r="Y2243" i="18"/>
  <c r="X2244" i="18"/>
  <c r="Y2244" i="18"/>
  <c r="X2245" i="18"/>
  <c r="Y2245" i="18"/>
  <c r="X2246" i="18"/>
  <c r="Y2246" i="18"/>
  <c r="X2247" i="18"/>
  <c r="Y2247" i="18"/>
  <c r="X2248" i="18"/>
  <c r="X2249" i="18"/>
  <c r="Y2248" i="18"/>
  <c r="X2250" i="18"/>
  <c r="Y2249" i="18"/>
  <c r="Y2250" i="18"/>
  <c r="X2251" i="18"/>
  <c r="Y2251" i="18"/>
  <c r="X2252" i="18"/>
  <c r="X2253" i="18"/>
  <c r="Y2252" i="18"/>
  <c r="Y2253" i="18"/>
  <c r="X2254" i="18"/>
  <c r="X2255" i="18"/>
  <c r="Y2254" i="18"/>
  <c r="Y2255" i="18"/>
  <c r="X2256" i="18"/>
  <c r="X2257" i="18"/>
  <c r="Y2256" i="18"/>
  <c r="Y2257" i="18"/>
  <c r="X2258" i="18"/>
  <c r="X2259" i="18"/>
  <c r="Y2258" i="18"/>
  <c r="Y2259" i="18"/>
  <c r="X2260" i="18"/>
  <c r="Y2260" i="18"/>
  <c r="X2261" i="18"/>
  <c r="X2262" i="18"/>
  <c r="Y2261" i="18"/>
  <c r="Y2262" i="18"/>
  <c r="X2263" i="18"/>
  <c r="Y2263" i="18"/>
  <c r="X2264" i="18"/>
  <c r="X2265" i="18"/>
  <c r="Y2264" i="18"/>
  <c r="X2266" i="18"/>
  <c r="Y2265" i="18"/>
  <c r="Y2266" i="18"/>
  <c r="X2267" i="18"/>
  <c r="Y2267" i="18"/>
  <c r="X2268" i="18"/>
  <c r="X2269" i="18"/>
  <c r="Y2268" i="18"/>
  <c r="Y2269" i="18"/>
  <c r="X2270" i="18"/>
  <c r="X2271" i="18"/>
  <c r="Y2270" i="18"/>
  <c r="Y2271" i="18"/>
  <c r="X2272" i="18"/>
  <c r="Y2272" i="18"/>
  <c r="X2273" i="18"/>
  <c r="Y2273" i="18"/>
  <c r="X2274" i="18"/>
  <c r="Y2274" i="18"/>
  <c r="X2275" i="18"/>
  <c r="Y2275" i="18"/>
  <c r="X2276" i="18"/>
  <c r="X2277" i="18"/>
  <c r="Y2276" i="18"/>
  <c r="Y2277" i="18"/>
  <c r="X2278" i="18"/>
  <c r="Y2278" i="18"/>
  <c r="X2279" i="18"/>
  <c r="Y2279" i="18"/>
  <c r="X2280" i="18"/>
  <c r="Y2280" i="18"/>
  <c r="X2281" i="18"/>
  <c r="X2282" i="18"/>
  <c r="Y2281" i="18"/>
  <c r="X2283" i="18"/>
  <c r="Y2282" i="18"/>
  <c r="Y2283" i="18"/>
  <c r="X2284" i="18"/>
  <c r="X2285" i="18"/>
  <c r="Y2284" i="18"/>
  <c r="Y2285" i="18"/>
  <c r="X2286" i="18"/>
  <c r="Y2286" i="18"/>
  <c r="X2287" i="18"/>
  <c r="Y2287" i="18"/>
  <c r="X2288" i="18"/>
  <c r="X2289" i="18"/>
  <c r="Y2288" i="18"/>
  <c r="Y2289" i="18"/>
  <c r="X2290" i="18"/>
  <c r="X2291" i="18"/>
  <c r="Y2290" i="18"/>
  <c r="Y2291" i="18"/>
  <c r="X2292" i="18"/>
  <c r="X2293" i="18"/>
  <c r="Y2292" i="18"/>
  <c r="Y2293" i="18"/>
  <c r="X2294" i="18"/>
  <c r="Y2294" i="18"/>
  <c r="X2295" i="18"/>
  <c r="Y2295" i="18"/>
  <c r="X2296" i="18"/>
  <c r="Y2296" i="18"/>
  <c r="X2297" i="18"/>
  <c r="X2298" i="18"/>
  <c r="Y2297" i="18"/>
  <c r="X2299" i="18"/>
  <c r="Y2298" i="18"/>
  <c r="Y2299" i="18"/>
  <c r="X2300" i="18"/>
  <c r="X2301" i="18"/>
  <c r="Y2300" i="18"/>
  <c r="Y2301" i="18"/>
  <c r="X2302" i="18"/>
  <c r="X2303" i="18"/>
  <c r="Y2302" i="18"/>
  <c r="Y2303" i="18"/>
  <c r="X2304" i="18"/>
  <c r="X2305" i="18"/>
  <c r="Y2304" i="18"/>
  <c r="X2306" i="18"/>
  <c r="Y2305" i="18"/>
  <c r="Y2306" i="18"/>
  <c r="X2307" i="18"/>
  <c r="Y2307" i="18"/>
  <c r="X2308" i="18"/>
  <c r="Y2308" i="18"/>
  <c r="X2309" i="18"/>
  <c r="Y2309" i="18"/>
  <c r="X2310" i="18"/>
  <c r="Y2310" i="18"/>
  <c r="X2311" i="18"/>
  <c r="Y2311" i="18"/>
  <c r="X2312" i="18"/>
  <c r="Y2312" i="18"/>
  <c r="X2313" i="18"/>
  <c r="X2314" i="18"/>
  <c r="Y2313" i="18"/>
  <c r="X2315" i="18"/>
  <c r="Y2314" i="18"/>
  <c r="Y2315" i="18"/>
  <c r="X2316" i="18"/>
  <c r="X2317" i="18"/>
  <c r="Y2316" i="18"/>
  <c r="Y2317" i="18"/>
  <c r="X2318" i="18"/>
  <c r="Y2318" i="18"/>
  <c r="X2319" i="18"/>
  <c r="X2320" i="18"/>
  <c r="Y2319" i="18"/>
  <c r="Y2320" i="18"/>
  <c r="X2321" i="18"/>
  <c r="Y2321" i="18"/>
  <c r="X2322" i="18"/>
  <c r="Y2322" i="18"/>
  <c r="X2323" i="18"/>
  <c r="Y2323" i="18"/>
  <c r="X2324" i="18"/>
  <c r="Y2324" i="18"/>
  <c r="X2325" i="18"/>
  <c r="X2326" i="18"/>
  <c r="Y2325" i="18"/>
  <c r="Y2326" i="18"/>
  <c r="X2327" i="18"/>
  <c r="Y2327" i="18"/>
  <c r="X2328" i="18"/>
  <c r="Y2328" i="18"/>
  <c r="X2329" i="18"/>
  <c r="X2330" i="18"/>
  <c r="Y2329" i="18"/>
  <c r="Y2330" i="18"/>
  <c r="X2331" i="18"/>
  <c r="X2332" i="18"/>
  <c r="Y2331" i="18"/>
  <c r="X2333" i="18"/>
  <c r="Y2332" i="18"/>
  <c r="Y2333" i="18"/>
  <c r="X2334" i="18"/>
  <c r="Y2334" i="18"/>
  <c r="X2335" i="18"/>
  <c r="Y2335" i="18"/>
  <c r="X2336" i="18"/>
  <c r="Y2336" i="18"/>
  <c r="X2337" i="18"/>
  <c r="X2338" i="18"/>
  <c r="Y2337" i="18"/>
  <c r="X2339" i="18"/>
  <c r="Y2338" i="18"/>
  <c r="Y2339" i="18"/>
  <c r="X2340" i="18"/>
  <c r="Y2340" i="18"/>
  <c r="X2341" i="18"/>
  <c r="Y2341" i="18"/>
  <c r="X2342" i="18"/>
  <c r="Y2342" i="18"/>
  <c r="X2343" i="18"/>
  <c r="X2344" i="18"/>
  <c r="Y2343" i="18"/>
  <c r="Y2344" i="18"/>
  <c r="X2345" i="18"/>
  <c r="X2346" i="18"/>
  <c r="Y2345" i="18"/>
  <c r="Y2346" i="18"/>
  <c r="X2347" i="18"/>
  <c r="Y2347" i="18"/>
  <c r="X2348" i="18"/>
  <c r="X2349" i="18"/>
  <c r="Y2348" i="18"/>
  <c r="X2350" i="18"/>
  <c r="Y2349" i="18"/>
  <c r="Y2350" i="18"/>
  <c r="X2351" i="18"/>
  <c r="Y2351" i="18"/>
  <c r="X2352" i="18"/>
  <c r="Y2352" i="18"/>
  <c r="X2353" i="18"/>
  <c r="Y2353" i="18"/>
  <c r="X2354" i="18"/>
  <c r="Y2354" i="18"/>
  <c r="X2355" i="18"/>
  <c r="Y2355" i="18"/>
  <c r="X2356" i="18"/>
  <c r="Y2356" i="18"/>
  <c r="X2357" i="18"/>
  <c r="Y2357" i="18"/>
  <c r="X2358" i="18"/>
  <c r="Y2358" i="18"/>
  <c r="X2359" i="18"/>
  <c r="X2360" i="18"/>
  <c r="Y2359" i="18"/>
  <c r="Y2360" i="18"/>
  <c r="X2361" i="18"/>
  <c r="X2362" i="18"/>
  <c r="Y2361" i="18"/>
  <c r="Y2362" i="18"/>
  <c r="X2363" i="18"/>
  <c r="Y2363" i="18"/>
  <c r="X2364" i="18"/>
  <c r="X2365" i="18"/>
  <c r="Y2364" i="18"/>
  <c r="X2366" i="18"/>
  <c r="Y2365" i="18"/>
  <c r="Y2366" i="18"/>
  <c r="X2367" i="18"/>
  <c r="Y2367" i="18"/>
  <c r="X2368" i="18"/>
  <c r="Y2368" i="18"/>
  <c r="X2369" i="18"/>
  <c r="Y2369" i="18"/>
  <c r="X2370" i="18"/>
  <c r="X2371" i="18"/>
  <c r="Y2370" i="18"/>
  <c r="Y2371" i="18"/>
  <c r="X2372" i="18"/>
  <c r="Y2372" i="18"/>
  <c r="X2373" i="18"/>
  <c r="Y2373" i="18"/>
  <c r="X2374" i="18"/>
  <c r="Y2374" i="18"/>
  <c r="X2375" i="18"/>
  <c r="Y2375" i="18"/>
  <c r="X2376" i="18"/>
  <c r="Y2376" i="18"/>
  <c r="X2377" i="18"/>
  <c r="X2378" i="18"/>
  <c r="Y2377" i="18"/>
  <c r="X2379" i="18"/>
  <c r="Y2378" i="18"/>
  <c r="Y2379" i="18"/>
  <c r="X2380" i="18"/>
  <c r="X2381" i="18"/>
  <c r="Y2380" i="18"/>
  <c r="Y2381" i="18"/>
  <c r="X2382" i="18"/>
  <c r="Y2382" i="18"/>
  <c r="X2383" i="18"/>
  <c r="X2384" i="18"/>
  <c r="Y2383" i="18"/>
  <c r="Y2384" i="18"/>
  <c r="X2385" i="18"/>
  <c r="Y2385" i="18"/>
  <c r="X2386" i="18"/>
  <c r="X2387" i="18"/>
  <c r="Y2386" i="18"/>
  <c r="Y2387" i="18"/>
  <c r="X2388" i="18"/>
  <c r="Y2388" i="18"/>
  <c r="X2389" i="18"/>
  <c r="Y2389" i="18"/>
  <c r="X2390" i="18"/>
  <c r="Y2390" i="18"/>
  <c r="X2391" i="18"/>
  <c r="Y2391" i="18"/>
  <c r="X2392" i="18"/>
  <c r="X2393" i="18"/>
  <c r="Y2392" i="18"/>
  <c r="X2394" i="18"/>
  <c r="Y2393" i="18"/>
  <c r="Y2394" i="18"/>
  <c r="X2395" i="18"/>
  <c r="Y2395" i="18"/>
  <c r="X2396" i="18"/>
  <c r="X2397" i="18"/>
  <c r="Y2396" i="18"/>
  <c r="Y2397" i="18"/>
  <c r="X2398" i="18"/>
  <c r="X2399" i="18"/>
  <c r="Y2398" i="18"/>
  <c r="Y2399" i="18"/>
  <c r="X2400" i="18"/>
  <c r="Y2400" i="18"/>
  <c r="X2401" i="18"/>
  <c r="Y2401" i="18"/>
  <c r="X2402" i="18"/>
  <c r="Y2402" i="18"/>
  <c r="X2403" i="18"/>
  <c r="Y2403" i="18"/>
  <c r="X2404" i="18"/>
  <c r="X2405" i="18"/>
  <c r="Y2404" i="18"/>
  <c r="Y2405" i="18"/>
  <c r="X2406" i="18"/>
  <c r="Y2406" i="18"/>
  <c r="X2407" i="18"/>
  <c r="Y2407" i="18"/>
  <c r="X2408" i="18"/>
  <c r="Y2408" i="18"/>
  <c r="X2409" i="18"/>
  <c r="X2410" i="18"/>
  <c r="Y2409" i="18"/>
  <c r="X2411" i="18"/>
  <c r="Y2410" i="18"/>
  <c r="X2412" i="18"/>
  <c r="Y2411" i="18"/>
  <c r="X2413" i="18"/>
  <c r="Y2412" i="18"/>
  <c r="Y2413" i="18"/>
  <c r="X2414" i="18"/>
  <c r="X2415" i="18"/>
  <c r="Y2414" i="18"/>
  <c r="Y2415" i="18"/>
  <c r="X2416" i="18"/>
  <c r="X2417" i="18"/>
  <c r="Y2416" i="18"/>
  <c r="Y2417" i="18"/>
  <c r="X2418" i="18"/>
  <c r="Y2418" i="18"/>
  <c r="X2419" i="18"/>
  <c r="X2420" i="18"/>
  <c r="Y2419" i="18"/>
  <c r="X2421" i="18"/>
  <c r="Y2420" i="18"/>
  <c r="X2422" i="18"/>
  <c r="Y2421" i="18"/>
  <c r="Y2422" i="18"/>
  <c r="X2423" i="18"/>
  <c r="X2424" i="18"/>
  <c r="Y2423" i="18"/>
  <c r="X2425" i="18"/>
  <c r="Y2424" i="18"/>
  <c r="Y2425" i="18"/>
  <c r="X2426" i="18"/>
  <c r="Y2426" i="18"/>
  <c r="X2427" i="18"/>
  <c r="Y2427" i="18"/>
  <c r="X2428" i="18"/>
  <c r="Y2428" i="18"/>
  <c r="X2429" i="18"/>
  <c r="Y2429" i="18"/>
  <c r="X2430" i="18"/>
  <c r="Y2430" i="18"/>
  <c r="X2431" i="18"/>
  <c r="Y2431" i="18"/>
  <c r="X2432" i="18"/>
  <c r="Y2432" i="18"/>
  <c r="X2433" i="18"/>
  <c r="X2434" i="18"/>
  <c r="Y2433" i="18"/>
  <c r="Y2434" i="18"/>
  <c r="X2435" i="18"/>
  <c r="Y2435" i="18"/>
  <c r="X2436" i="18"/>
  <c r="X2437" i="18"/>
  <c r="Y2436" i="18"/>
  <c r="X2438" i="18"/>
  <c r="Y2437" i="18"/>
  <c r="X2439" i="18"/>
  <c r="Y2438" i="18"/>
  <c r="X2440" i="18"/>
  <c r="Y2439" i="18"/>
  <c r="X2441" i="18"/>
  <c r="Y2440" i="18"/>
  <c r="Y2441" i="18"/>
  <c r="X2442" i="18"/>
  <c r="Y2442" i="18"/>
  <c r="X2443" i="18"/>
  <c r="Y2443" i="18"/>
  <c r="X2444" i="18"/>
  <c r="Y2444" i="18"/>
  <c r="X2445" i="18"/>
  <c r="X2446" i="18"/>
  <c r="Y2445" i="18"/>
  <c r="X2447" i="18"/>
  <c r="Y2446" i="18"/>
  <c r="Y2447" i="18"/>
  <c r="X2448" i="18"/>
  <c r="Y2448" i="18"/>
  <c r="X2449" i="18"/>
  <c r="X2450" i="18"/>
  <c r="Y2449" i="18"/>
  <c r="Y2450" i="18"/>
  <c r="X2451" i="18"/>
  <c r="Y2451" i="18"/>
  <c r="X2452" i="18"/>
  <c r="Y2452" i="18"/>
  <c r="X2453" i="18"/>
  <c r="Y2453" i="18"/>
  <c r="X2454" i="18"/>
  <c r="X2455" i="18"/>
  <c r="Y2454" i="18"/>
  <c r="X2456" i="18"/>
  <c r="Y2455" i="18"/>
  <c r="X2457" i="18"/>
  <c r="Y2456" i="18"/>
  <c r="Y2457" i="18"/>
  <c r="X2458" i="18"/>
  <c r="Y2458" i="18"/>
  <c r="X2459" i="18"/>
  <c r="Y2459" i="18"/>
  <c r="X2460" i="18"/>
  <c r="Y2460" i="18"/>
  <c r="X2461" i="18"/>
  <c r="Y2461" i="18"/>
  <c r="X2462" i="18"/>
  <c r="X2463" i="18"/>
  <c r="Y2462" i="18"/>
  <c r="X2464" i="18"/>
  <c r="Y2463" i="18"/>
  <c r="Y2464" i="18"/>
  <c r="X2465" i="18"/>
  <c r="Y2465" i="18"/>
  <c r="X2466" i="18"/>
  <c r="Y2466" i="18"/>
  <c r="X2467" i="18"/>
  <c r="Y2467" i="18"/>
  <c r="X2468" i="18"/>
  <c r="Y2468" i="18"/>
  <c r="X2469" i="18"/>
  <c r="Y2469" i="18"/>
  <c r="X2470" i="18"/>
  <c r="Y2470" i="18"/>
  <c r="X2471" i="18"/>
  <c r="X2472" i="18"/>
  <c r="Y2471" i="18"/>
  <c r="X2473" i="18"/>
  <c r="Y2472" i="18"/>
  <c r="Y2473" i="18"/>
  <c r="X2474" i="18"/>
  <c r="Y2474" i="18"/>
  <c r="X2475" i="18"/>
  <c r="X2476" i="18"/>
  <c r="Y2475" i="18"/>
  <c r="Y2476" i="18"/>
  <c r="X2477" i="18"/>
  <c r="Y2477" i="18"/>
  <c r="X2478" i="18"/>
  <c r="Y2478" i="18"/>
  <c r="X2479" i="18"/>
  <c r="Y2479" i="18"/>
  <c r="X2480" i="18"/>
  <c r="X2481" i="18"/>
  <c r="Y2480" i="18"/>
  <c r="X2482" i="18"/>
  <c r="Y2481" i="18"/>
  <c r="Y2482" i="18"/>
  <c r="X2483" i="18"/>
  <c r="X2484" i="18"/>
  <c r="Y2483" i="18"/>
  <c r="Y2484" i="18"/>
  <c r="X2485" i="18"/>
  <c r="Y2485" i="18"/>
  <c r="X2486" i="18"/>
  <c r="Y2486" i="18"/>
  <c r="X2487" i="18"/>
  <c r="Y2487" i="18"/>
  <c r="X2488" i="18"/>
  <c r="X2489" i="18"/>
  <c r="Y2488" i="18"/>
  <c r="X2490" i="18"/>
  <c r="Y2489" i="18"/>
  <c r="Y2490" i="18"/>
  <c r="X2491" i="18"/>
  <c r="Y2491" i="18"/>
  <c r="X2492" i="18"/>
  <c r="Y2492" i="18"/>
  <c r="X2493" i="18"/>
  <c r="Y2493" i="18"/>
  <c r="X2494" i="18"/>
  <c r="X2495" i="18"/>
  <c r="Y2494" i="18"/>
  <c r="X2496" i="18"/>
  <c r="Y2495" i="18"/>
  <c r="Y2496" i="18"/>
  <c r="X2497" i="18"/>
  <c r="X2498" i="18"/>
  <c r="Y2497" i="18"/>
  <c r="Y2498" i="18"/>
  <c r="X2499" i="18"/>
  <c r="Y2499" i="18"/>
  <c r="X2500" i="18"/>
  <c r="X2501" i="18"/>
  <c r="Y2500" i="18"/>
  <c r="Y2501" i="18"/>
  <c r="X2502" i="18"/>
  <c r="Y2502" i="18"/>
  <c r="X2503" i="18"/>
  <c r="Y2503" i="18"/>
  <c r="X2504" i="18"/>
  <c r="X2505" i="18"/>
  <c r="Y2504" i="18"/>
  <c r="X2506" i="18"/>
  <c r="Y2505" i="18"/>
  <c r="X2507" i="18"/>
  <c r="Y2506" i="18"/>
  <c r="Y2507" i="18"/>
  <c r="X2508" i="18"/>
  <c r="Y2508" i="18"/>
  <c r="X2509" i="18"/>
  <c r="Y2509" i="18"/>
  <c r="X2510" i="18"/>
  <c r="Y2510" i="18"/>
  <c r="X2511" i="18"/>
  <c r="X2512" i="18"/>
  <c r="Y2511" i="18"/>
  <c r="Y2512" i="18"/>
  <c r="X2513" i="18"/>
  <c r="Y2513" i="18"/>
  <c r="X2514" i="18"/>
  <c r="Y2514" i="18"/>
  <c r="X2515" i="18"/>
  <c r="Y2515" i="18"/>
  <c r="X2516" i="18"/>
  <c r="Y2516" i="18"/>
  <c r="X2517" i="18"/>
  <c r="X2518" i="18"/>
  <c r="Y2517" i="18"/>
  <c r="Y2518" i="18"/>
  <c r="X2519" i="18"/>
  <c r="Y2519" i="18"/>
  <c r="X2520" i="18"/>
  <c r="X2521" i="18"/>
  <c r="Y2520" i="18"/>
  <c r="Y2521" i="18"/>
  <c r="X2522" i="18"/>
  <c r="X2523" i="18"/>
  <c r="Y2522" i="18"/>
  <c r="X2524" i="18"/>
  <c r="Y2523" i="18"/>
  <c r="Y2524" i="18"/>
  <c r="X2525" i="18"/>
  <c r="Y2525" i="18"/>
  <c r="X2526" i="18"/>
  <c r="Y2526" i="18"/>
  <c r="X2527" i="18"/>
  <c r="Y2527" i="18"/>
  <c r="X2528" i="18"/>
  <c r="X2529" i="18"/>
  <c r="Y2528" i="18"/>
  <c r="Y2529" i="18"/>
  <c r="X2530" i="18"/>
  <c r="Y2530" i="18"/>
  <c r="X2531" i="18"/>
  <c r="Y2531" i="18"/>
  <c r="X2532" i="18"/>
  <c r="Y2532" i="18"/>
  <c r="X2533" i="18"/>
  <c r="Y2533" i="18"/>
  <c r="X2534" i="18"/>
  <c r="Y2534" i="18"/>
  <c r="X2535" i="18"/>
  <c r="Y2535" i="18"/>
  <c r="X2536" i="18"/>
  <c r="X2537" i="18"/>
  <c r="Y2536" i="18"/>
  <c r="X2538" i="18"/>
  <c r="Y2537" i="18"/>
  <c r="Y2538" i="18"/>
  <c r="X2539" i="18"/>
  <c r="X2540" i="18"/>
  <c r="Y2539" i="18"/>
  <c r="Y2540" i="18"/>
  <c r="X2541" i="18"/>
  <c r="Y2541" i="18"/>
  <c r="X2542" i="18"/>
  <c r="Y2542" i="18"/>
  <c r="X2543" i="18"/>
  <c r="Y2543" i="18"/>
  <c r="X2544" i="18"/>
  <c r="Y2544" i="18"/>
  <c r="X2545" i="18"/>
  <c r="X2546" i="18"/>
  <c r="Y2545" i="18"/>
  <c r="Y2546" i="18"/>
  <c r="X2547" i="18"/>
  <c r="Y2547" i="18"/>
  <c r="X2548" i="18"/>
  <c r="Y2548" i="18"/>
  <c r="X2549" i="18"/>
  <c r="Y2549" i="18"/>
  <c r="X2550" i="18"/>
  <c r="Y2550" i="18"/>
  <c r="X2551" i="18"/>
  <c r="X2552" i="18"/>
  <c r="Y2551" i="18"/>
  <c r="X2553" i="18"/>
  <c r="Y2552" i="18"/>
  <c r="Y2553" i="18"/>
  <c r="X2554" i="18"/>
  <c r="X2555" i="18"/>
  <c r="Y2554" i="18"/>
  <c r="Y2555" i="18"/>
  <c r="X2556" i="18"/>
  <c r="X2557" i="18"/>
  <c r="Y2556" i="18"/>
  <c r="Y2557" i="18"/>
  <c r="X2558" i="18"/>
  <c r="X2559" i="18"/>
  <c r="Y2558" i="18"/>
  <c r="Y2559" i="18"/>
  <c r="X2560" i="18"/>
  <c r="Y2560" i="18"/>
  <c r="X2561" i="18"/>
  <c r="Y2561" i="18"/>
  <c r="X2562" i="18"/>
  <c r="Y2562" i="18"/>
  <c r="X2563" i="18"/>
  <c r="X2564" i="18"/>
  <c r="Y2563" i="18"/>
  <c r="Y2564" i="18"/>
  <c r="X2565" i="18"/>
  <c r="Y2565" i="18"/>
  <c r="X2566" i="18"/>
  <c r="X2567" i="18"/>
  <c r="Y2566" i="18"/>
  <c r="Y2567" i="18"/>
  <c r="X2568" i="18"/>
  <c r="X2569" i="18"/>
  <c r="Y2568" i="18"/>
  <c r="Y2569" i="18"/>
  <c r="X2570" i="18"/>
  <c r="Y2570" i="18"/>
  <c r="X2571" i="18"/>
  <c r="X2572" i="18"/>
  <c r="Y2571" i="18"/>
  <c r="X2573" i="18"/>
  <c r="Y2572" i="18"/>
  <c r="Y2573" i="18"/>
  <c r="X2574" i="18"/>
  <c r="Y2574" i="18"/>
  <c r="X2575" i="18"/>
  <c r="Y2575" i="18"/>
  <c r="X2576" i="18"/>
  <c r="Y2576" i="18"/>
  <c r="X2577" i="18"/>
  <c r="Y2577" i="18"/>
  <c r="X2578" i="18"/>
  <c r="Y2578" i="18"/>
  <c r="X2579" i="18"/>
  <c r="X2580" i="18"/>
  <c r="Y2579" i="18"/>
  <c r="Y2580" i="18"/>
  <c r="X2581" i="18"/>
  <c r="Y2581" i="18"/>
  <c r="X2582" i="18"/>
  <c r="Y2582" i="18"/>
  <c r="X2583" i="18"/>
  <c r="Y2583" i="18"/>
  <c r="X2584" i="18"/>
  <c r="X2585" i="18"/>
  <c r="Y2584" i="18"/>
  <c r="X2586" i="18"/>
  <c r="Y2585" i="18"/>
  <c r="X2587" i="18"/>
  <c r="Y2586" i="18"/>
  <c r="X2588" i="18"/>
  <c r="Y2587" i="18"/>
  <c r="X2589" i="18"/>
  <c r="Y2588" i="18"/>
  <c r="Y2589" i="18"/>
  <c r="X2590" i="18"/>
  <c r="Y2590" i="18"/>
  <c r="X2591" i="18"/>
  <c r="X2592" i="18"/>
  <c r="Y2591" i="18"/>
  <c r="Y2592" i="18"/>
  <c r="X2593" i="18"/>
  <c r="Y2593" i="18"/>
  <c r="X2594" i="18"/>
  <c r="Y2594" i="18"/>
  <c r="X2595" i="18"/>
  <c r="Y2595" i="18"/>
  <c r="X2596" i="18"/>
  <c r="X2597" i="18"/>
  <c r="Y2596" i="18"/>
  <c r="Y2597" i="18"/>
  <c r="X2598" i="18"/>
  <c r="Y2598" i="18"/>
  <c r="X2599" i="18"/>
  <c r="Y2599" i="18"/>
  <c r="X2600" i="18"/>
  <c r="X2601" i="18"/>
  <c r="Y2600" i="18"/>
  <c r="Y2601" i="18"/>
  <c r="X2602" i="18"/>
  <c r="X2603" i="18"/>
  <c r="Y2602" i="18"/>
  <c r="Y2603" i="18"/>
  <c r="X2604" i="18"/>
  <c r="Y2604" i="18"/>
  <c r="X2605" i="18"/>
  <c r="X2606" i="18"/>
  <c r="Y2605" i="18"/>
  <c r="Y2606" i="18"/>
  <c r="X2607" i="18"/>
  <c r="Y2607" i="18"/>
  <c r="X2608" i="18"/>
  <c r="X2609" i="18"/>
  <c r="Y2608" i="18"/>
  <c r="Y2609" i="18"/>
  <c r="X2610" i="18"/>
  <c r="Y2610" i="18"/>
  <c r="X2611" i="18"/>
  <c r="X2612" i="18"/>
  <c r="Y2611" i="18"/>
  <c r="Y2612" i="18"/>
  <c r="X2613" i="18"/>
  <c r="X2614" i="18"/>
  <c r="Y2613" i="18"/>
  <c r="X2615" i="18"/>
  <c r="Y2614" i="18"/>
  <c r="Y2615" i="18"/>
  <c r="X2616" i="18"/>
  <c r="X2617" i="18"/>
  <c r="Y2616" i="18"/>
  <c r="Y2617" i="18"/>
  <c r="X2618" i="18"/>
  <c r="Y2618" i="18"/>
  <c r="X2619" i="18"/>
  <c r="X2620" i="18"/>
  <c r="Y2619" i="18"/>
  <c r="Y2620" i="18"/>
  <c r="X2621" i="18"/>
  <c r="X2622" i="18"/>
  <c r="Y2621" i="18"/>
  <c r="Y2622" i="18"/>
  <c r="X2623" i="18"/>
  <c r="Y2623" i="18"/>
  <c r="X2624" i="18"/>
  <c r="Y2624" i="18"/>
  <c r="X2625" i="18"/>
  <c r="X2626" i="18"/>
  <c r="Y2625" i="18"/>
  <c r="Y2626" i="18"/>
  <c r="X2627" i="18"/>
  <c r="Y2627" i="18"/>
  <c r="X2628" i="18"/>
  <c r="Y2628" i="18"/>
  <c r="X2629" i="18"/>
  <c r="Y2629" i="18"/>
  <c r="X2630" i="18"/>
  <c r="X2631" i="18"/>
  <c r="Y2630" i="18"/>
  <c r="X2632" i="18"/>
  <c r="Y2631" i="18"/>
  <c r="X2633" i="18"/>
  <c r="Y2632" i="18"/>
  <c r="Y2633" i="18"/>
  <c r="X2634" i="18"/>
  <c r="Y2634" i="18"/>
  <c r="X2635" i="18"/>
  <c r="X2636" i="18"/>
  <c r="Y2635" i="18"/>
  <c r="X2637" i="18"/>
  <c r="Y2636" i="18"/>
  <c r="Y2637" i="18"/>
  <c r="X2638" i="18"/>
  <c r="Y2638" i="18"/>
  <c r="X2639" i="18"/>
  <c r="Y2639" i="18"/>
  <c r="X2640" i="18"/>
  <c r="X2641" i="18"/>
  <c r="Y2640" i="18"/>
  <c r="X2642" i="18"/>
  <c r="Y2641" i="18"/>
  <c r="Y2642" i="18"/>
  <c r="X2643" i="18"/>
  <c r="Y2643" i="18"/>
  <c r="X2644" i="18"/>
  <c r="X2645" i="18"/>
  <c r="Y2644" i="18"/>
  <c r="Y2645" i="18"/>
  <c r="X2646" i="18"/>
  <c r="X2647" i="18"/>
  <c r="Y2646" i="18"/>
  <c r="X2648" i="18"/>
  <c r="Y2647" i="18"/>
  <c r="X2649" i="18"/>
  <c r="Y2648" i="18"/>
  <c r="Y2649" i="18"/>
  <c r="X2650" i="18"/>
  <c r="Y2650" i="18"/>
  <c r="X2651" i="18"/>
  <c r="X2652" i="18"/>
  <c r="Y2651" i="18"/>
  <c r="Y2652" i="18"/>
  <c r="X2653" i="18"/>
  <c r="X2654" i="18"/>
  <c r="Y2653" i="18"/>
  <c r="Y2654" i="18"/>
  <c r="X2655" i="18"/>
  <c r="Y2655" i="18"/>
  <c r="X2656" i="18"/>
  <c r="Y2656" i="18"/>
  <c r="X2657" i="18"/>
  <c r="Y2657" i="18"/>
  <c r="X2658" i="18"/>
  <c r="Y2658" i="18"/>
  <c r="X2659" i="18"/>
  <c r="Y2659" i="18"/>
  <c r="X2660" i="18"/>
  <c r="Y2660" i="18"/>
  <c r="X2661" i="18"/>
  <c r="Y2661" i="18"/>
  <c r="X2662" i="18"/>
  <c r="X2663" i="18"/>
  <c r="Y2662" i="18"/>
  <c r="Y2663" i="18"/>
  <c r="X2664" i="18"/>
  <c r="X2665" i="18"/>
  <c r="Y2664" i="18"/>
  <c r="Y2665" i="18"/>
  <c r="X2666" i="18"/>
  <c r="X2667" i="18"/>
  <c r="Y2666" i="18"/>
  <c r="Y2667" i="18"/>
  <c r="X2668" i="18"/>
  <c r="X2669" i="18"/>
  <c r="Y2668" i="18"/>
  <c r="Y2669" i="18"/>
  <c r="X2670" i="18"/>
  <c r="Y2670" i="18"/>
  <c r="X2671" i="18"/>
  <c r="Y2671" i="18"/>
  <c r="X2672" i="18"/>
  <c r="X2673" i="18"/>
  <c r="Y2672" i="18"/>
  <c r="X2674" i="18"/>
  <c r="Y2673" i="18"/>
  <c r="Y2674" i="18"/>
  <c r="X2675" i="18"/>
  <c r="Y2675" i="18"/>
  <c r="X2676" i="18"/>
  <c r="Y2676" i="18"/>
  <c r="X2677" i="18"/>
  <c r="X2678" i="18"/>
  <c r="Y2677" i="18"/>
  <c r="Y2678" i="18"/>
  <c r="X2679" i="18"/>
  <c r="Y2679" i="18"/>
  <c r="X2680" i="18"/>
  <c r="Y2680" i="18"/>
  <c r="X2681" i="18"/>
  <c r="X2682" i="18"/>
  <c r="Y2681" i="18"/>
  <c r="Y2682" i="18"/>
  <c r="X2683" i="18"/>
  <c r="Y2683" i="18"/>
  <c r="X2684" i="18"/>
  <c r="Y2684" i="18"/>
  <c r="X2685" i="18"/>
  <c r="X2686" i="18"/>
  <c r="Y2685" i="18"/>
  <c r="Y2686" i="18"/>
  <c r="X2687" i="18"/>
  <c r="Y2687" i="18"/>
  <c r="X2688" i="18"/>
  <c r="X2689" i="18"/>
  <c r="Y2688" i="18"/>
  <c r="Y2689" i="18"/>
  <c r="X2690" i="18"/>
  <c r="X2691" i="18"/>
  <c r="Y2690" i="18"/>
  <c r="Y2691" i="18"/>
  <c r="X2692" i="18"/>
  <c r="Y2692" i="18"/>
  <c r="X2693" i="18"/>
  <c r="X2694" i="18"/>
  <c r="Y2693" i="18"/>
  <c r="X2695" i="18"/>
  <c r="Y2694" i="18"/>
  <c r="Y2695" i="18"/>
  <c r="X2696" i="18"/>
  <c r="Y2696" i="18"/>
  <c r="X2697" i="18"/>
  <c r="Y2697" i="18"/>
  <c r="X2698" i="18"/>
  <c r="X2699" i="18"/>
  <c r="Y2698" i="18"/>
  <c r="X2700" i="18"/>
  <c r="Y2699" i="18"/>
  <c r="Y2700" i="18"/>
  <c r="X2701" i="18"/>
  <c r="Y2701" i="18"/>
  <c r="X2702" i="18"/>
  <c r="Y2702" i="18"/>
  <c r="X2703" i="18"/>
  <c r="Y2703" i="18"/>
  <c r="X2704" i="18"/>
  <c r="X2705" i="18"/>
  <c r="Y2704" i="18"/>
  <c r="Y2705" i="18"/>
  <c r="X2706" i="18"/>
  <c r="Y2706" i="18"/>
  <c r="X2707" i="18"/>
  <c r="X2708" i="18"/>
  <c r="Y2707" i="18"/>
  <c r="X2709" i="18"/>
  <c r="Y2708" i="18"/>
  <c r="X2710" i="18"/>
  <c r="Y2709" i="18"/>
  <c r="Y2710" i="18"/>
  <c r="X2711" i="18"/>
  <c r="X2712" i="18"/>
  <c r="Y2711" i="18"/>
  <c r="Y2712" i="18"/>
  <c r="X2713" i="18"/>
  <c r="Y2713" i="18"/>
  <c r="X2714" i="18"/>
  <c r="Y2714" i="18"/>
  <c r="X2715" i="18"/>
  <c r="Y2715" i="18"/>
  <c r="X2716" i="18"/>
  <c r="X2717" i="18"/>
  <c r="Y2716" i="18"/>
  <c r="Y2717" i="18"/>
  <c r="X2718" i="18"/>
  <c r="Y2718" i="18"/>
  <c r="X2719" i="18"/>
  <c r="Y2719" i="18"/>
  <c r="X2720" i="18"/>
  <c r="X2721" i="18"/>
  <c r="Y2720" i="18"/>
  <c r="X2722" i="18"/>
  <c r="Y2721" i="18"/>
  <c r="Y2722" i="18"/>
  <c r="X2723" i="18"/>
  <c r="Y2723" i="18"/>
  <c r="X2724" i="18"/>
  <c r="X2725" i="18"/>
  <c r="Y2724" i="18"/>
  <c r="X2726" i="18"/>
  <c r="Y2725" i="18"/>
  <c r="Y2726" i="18"/>
  <c r="X2727" i="18"/>
  <c r="X2728" i="18"/>
  <c r="Y2727" i="18"/>
  <c r="X2729" i="18"/>
  <c r="Y2728" i="18"/>
  <c r="Y2729" i="18"/>
  <c r="X2730" i="18"/>
  <c r="Y2730" i="18"/>
  <c r="X2731" i="18"/>
  <c r="Y2731" i="18"/>
  <c r="X2732" i="18"/>
  <c r="Y2732" i="18"/>
  <c r="X2733" i="18"/>
  <c r="X2734" i="18"/>
  <c r="Y2733" i="18"/>
  <c r="X2735" i="18"/>
  <c r="Y2734" i="18"/>
  <c r="Y2735" i="18"/>
  <c r="X2736" i="18"/>
  <c r="Y2736" i="18"/>
  <c r="X2737" i="18"/>
  <c r="X2738" i="18"/>
  <c r="Y2737" i="18"/>
  <c r="X2739" i="18"/>
  <c r="Y2738" i="18"/>
  <c r="Y2739" i="18"/>
  <c r="X2740" i="18"/>
  <c r="Y2740" i="18"/>
  <c r="X2741" i="18"/>
  <c r="X2742" i="18"/>
  <c r="Y2741" i="18"/>
  <c r="X2743" i="18"/>
  <c r="Y2742" i="18"/>
  <c r="Y2743" i="18"/>
  <c r="X2744" i="18"/>
  <c r="Y2744" i="18"/>
  <c r="X2745" i="18"/>
  <c r="Y2745" i="18"/>
  <c r="X2746" i="18"/>
  <c r="X2747" i="18"/>
  <c r="Y2746" i="18"/>
  <c r="X2748" i="18"/>
  <c r="Y2747" i="18"/>
  <c r="Y2748" i="18"/>
  <c r="X2749" i="18"/>
  <c r="Y2749" i="18"/>
  <c r="X2750" i="18"/>
  <c r="X2751" i="18"/>
  <c r="Y2750" i="18"/>
  <c r="Y2751" i="18"/>
  <c r="X2752" i="18"/>
  <c r="Y2752" i="18"/>
  <c r="X2753" i="18"/>
  <c r="X2754" i="18"/>
  <c r="Y2753" i="18"/>
  <c r="X2755" i="18"/>
  <c r="Y2754" i="18"/>
  <c r="X2756" i="18"/>
  <c r="Y2755" i="18"/>
  <c r="Y2756" i="18"/>
  <c r="X2757" i="18"/>
  <c r="X2758" i="18"/>
  <c r="Y2757" i="18"/>
  <c r="Y2758" i="18"/>
  <c r="X2759" i="18"/>
  <c r="X2760" i="18"/>
  <c r="Y2759" i="18"/>
  <c r="Y2760" i="18"/>
  <c r="X2761" i="18"/>
  <c r="Y2761" i="18"/>
  <c r="X2762" i="18"/>
  <c r="Y2762" i="18"/>
  <c r="X2763" i="18"/>
  <c r="X2764" i="18"/>
  <c r="Y2763" i="18"/>
  <c r="X2765" i="18"/>
  <c r="Y2764" i="18"/>
  <c r="Y2765" i="18"/>
  <c r="X2766" i="18"/>
  <c r="Y2766" i="18"/>
  <c r="X2767" i="18"/>
  <c r="Y2767" i="18"/>
  <c r="X2768" i="18"/>
  <c r="X2769" i="18"/>
  <c r="Y2768" i="18"/>
  <c r="Y2769" i="18"/>
  <c r="X2770" i="18"/>
  <c r="X2771" i="18"/>
  <c r="Y2770" i="18"/>
  <c r="Y2771" i="18"/>
  <c r="X2772" i="18"/>
  <c r="X2773" i="18"/>
  <c r="Y2772" i="18"/>
  <c r="X2774" i="18"/>
  <c r="Y2773" i="18"/>
  <c r="Y2774" i="18"/>
  <c r="X2775" i="18"/>
  <c r="Y2775" i="18"/>
  <c r="X2776" i="18"/>
  <c r="X2777" i="18"/>
  <c r="Y2776" i="18"/>
  <c r="Y2777" i="18"/>
  <c r="X2778" i="18"/>
  <c r="Y2778" i="18"/>
  <c r="X2779" i="18"/>
  <c r="X2780" i="18"/>
  <c r="Y2779" i="18"/>
  <c r="Y2780" i="18"/>
  <c r="X2781" i="18"/>
  <c r="X2782" i="18"/>
  <c r="Y2781" i="18"/>
  <c r="Y2782" i="18"/>
  <c r="X2783" i="18"/>
  <c r="Y2783" i="18"/>
  <c r="X2784" i="18"/>
  <c r="Y2784" i="18"/>
  <c r="X2785" i="18"/>
  <c r="X2786" i="18"/>
  <c r="Y2785" i="18"/>
  <c r="Y2786" i="18"/>
  <c r="X2787" i="18"/>
  <c r="X2788" i="18"/>
  <c r="Y2787" i="18"/>
  <c r="Y2788" i="18"/>
  <c r="X2789" i="18"/>
  <c r="X2790" i="18"/>
  <c r="Y2789" i="18"/>
  <c r="Y2790" i="18"/>
  <c r="X2791" i="18"/>
  <c r="Y2791" i="18"/>
  <c r="X2792" i="18"/>
  <c r="Y2792" i="18"/>
  <c r="X2793" i="18"/>
  <c r="Y2793" i="18"/>
  <c r="X2794" i="18"/>
  <c r="X2795" i="18"/>
  <c r="Y2794" i="18"/>
  <c r="X2796" i="18"/>
  <c r="Y2795" i="18"/>
  <c r="Y2796" i="18"/>
  <c r="X2797" i="18"/>
  <c r="Y2797" i="18"/>
  <c r="X2798" i="18"/>
  <c r="X2799" i="18"/>
  <c r="Y2798" i="18"/>
  <c r="Y2799" i="18"/>
  <c r="X2800" i="18"/>
  <c r="Y2800" i="18"/>
  <c r="X2801" i="18"/>
  <c r="Y2801" i="18"/>
  <c r="X2802" i="18"/>
  <c r="X2803" i="18"/>
  <c r="Y2802" i="18"/>
  <c r="Y2803" i="18"/>
  <c r="X2804" i="18"/>
  <c r="Y2804" i="18"/>
  <c r="X2805" i="18"/>
  <c r="X2806" i="18"/>
  <c r="Y2805" i="18"/>
  <c r="Y2806" i="18"/>
  <c r="X2807" i="18"/>
  <c r="Y2807" i="18"/>
  <c r="X2808" i="18"/>
  <c r="Y2808" i="18"/>
  <c r="X2809" i="18"/>
  <c r="Y2809" i="18"/>
  <c r="X2810" i="18"/>
  <c r="X2811" i="18"/>
  <c r="Y2810" i="18"/>
  <c r="Y2811" i="18"/>
  <c r="X2812" i="18"/>
  <c r="Y2812" i="18"/>
  <c r="X2813" i="18"/>
  <c r="X2814" i="18"/>
  <c r="Y2813" i="18"/>
  <c r="Y2814" i="18"/>
  <c r="X2815" i="18"/>
  <c r="Y2815" i="18"/>
  <c r="X2816" i="18"/>
  <c r="X2817" i="18"/>
  <c r="Y2816" i="18"/>
  <c r="Y2817" i="18"/>
  <c r="X2818" i="18"/>
  <c r="Y2818" i="18"/>
  <c r="X2819" i="18"/>
  <c r="X2820" i="18"/>
  <c r="Y2819" i="18"/>
  <c r="Y2820" i="18"/>
  <c r="X2821" i="18"/>
  <c r="X2822" i="18"/>
  <c r="Y2821" i="18"/>
  <c r="Y2822" i="18"/>
  <c r="X2823" i="18"/>
  <c r="X2824" i="18"/>
  <c r="Y2823" i="18"/>
  <c r="Y2824" i="18"/>
  <c r="X2825" i="18"/>
  <c r="Y2825" i="18"/>
  <c r="X2826" i="18"/>
  <c r="X2827" i="18"/>
  <c r="Y2826" i="18"/>
  <c r="Y2827" i="18"/>
  <c r="X2828" i="18"/>
  <c r="Y2828" i="18"/>
  <c r="X2829" i="18"/>
  <c r="Y2829" i="18"/>
  <c r="X2830" i="18"/>
  <c r="Y2830" i="18"/>
  <c r="X2831" i="18"/>
  <c r="Y2831" i="18"/>
  <c r="X2832" i="18"/>
  <c r="Y2832" i="18"/>
  <c r="X2833" i="18"/>
  <c r="X2834" i="18"/>
  <c r="Y2833" i="18"/>
  <c r="X2835" i="18"/>
  <c r="Y2834" i="18"/>
  <c r="Y2835" i="18"/>
  <c r="X2836" i="18"/>
  <c r="Y2836" i="18"/>
  <c r="X2837" i="18"/>
  <c r="X2838" i="18"/>
  <c r="Y2837" i="18"/>
  <c r="Y2838" i="18"/>
  <c r="X2839" i="18"/>
  <c r="Y2839" i="18"/>
  <c r="X2840" i="18"/>
  <c r="Y2840" i="18"/>
  <c r="X2841" i="18"/>
  <c r="Y2841" i="18"/>
  <c r="X2842" i="18"/>
  <c r="X2843" i="18"/>
  <c r="Y2842" i="18"/>
  <c r="X2844" i="18"/>
  <c r="Y2843" i="18"/>
  <c r="X2845" i="18"/>
  <c r="Y2844" i="18"/>
  <c r="Y2845" i="18"/>
  <c r="X2846" i="18"/>
  <c r="Y2846" i="18"/>
  <c r="X2847" i="18"/>
  <c r="Y2847" i="18"/>
  <c r="X2848" i="18"/>
  <c r="Y2848" i="18"/>
  <c r="X2849" i="18"/>
  <c r="Y2849" i="18"/>
  <c r="X2850" i="18"/>
  <c r="Y2850" i="18"/>
  <c r="X2851" i="18"/>
  <c r="Y2851" i="18"/>
  <c r="X2852" i="18"/>
  <c r="Y2852" i="18"/>
  <c r="X2853" i="18"/>
  <c r="X2854" i="18"/>
  <c r="Y2853" i="18"/>
  <c r="X2855" i="18"/>
  <c r="Y2854" i="18"/>
  <c r="Y2855" i="18"/>
  <c r="X2856" i="18"/>
  <c r="X2857" i="18"/>
  <c r="Y2856" i="18"/>
  <c r="Y2857" i="18"/>
  <c r="X2858" i="18"/>
  <c r="Y2858" i="18"/>
  <c r="X2859" i="18"/>
  <c r="Y2859" i="18"/>
  <c r="X2860" i="18"/>
  <c r="Y2860" i="18"/>
  <c r="X2861" i="18"/>
  <c r="Y2861" i="18"/>
  <c r="X2862" i="18"/>
  <c r="X2863" i="18"/>
  <c r="Y2862" i="18"/>
  <c r="Y2863" i="18"/>
  <c r="X2864" i="18"/>
  <c r="Y2864" i="18"/>
  <c r="X2865" i="18"/>
  <c r="Y2865" i="18"/>
  <c r="X2866" i="18"/>
  <c r="Y2866" i="18"/>
  <c r="X2867" i="18"/>
  <c r="X2868" i="18"/>
  <c r="Y2867" i="18"/>
  <c r="Y2868" i="18"/>
  <c r="X2869" i="18"/>
  <c r="X2870" i="18"/>
  <c r="Y2869" i="18"/>
  <c r="Y2870" i="18"/>
  <c r="X2871" i="18"/>
  <c r="X2872" i="18"/>
  <c r="Y2871" i="18"/>
  <c r="X2873" i="18"/>
  <c r="Y2872" i="18"/>
  <c r="Y2873" i="18"/>
  <c r="X2874" i="18"/>
  <c r="X2875" i="18"/>
  <c r="Y2874" i="18"/>
  <c r="X2876" i="18"/>
  <c r="Y2875" i="18"/>
  <c r="X2877" i="18"/>
  <c r="Y2876" i="18"/>
  <c r="X2878" i="18"/>
  <c r="Y2877" i="18"/>
  <c r="X2879" i="18"/>
  <c r="Y2878" i="18"/>
  <c r="Y2879" i="18"/>
  <c r="X2880" i="18"/>
  <c r="Y2880" i="18"/>
  <c r="X2881" i="18"/>
  <c r="Y2881" i="18"/>
  <c r="X2882" i="18"/>
  <c r="Y2882" i="18"/>
  <c r="X2883" i="18"/>
  <c r="X2884" i="18"/>
  <c r="Y2883" i="18"/>
  <c r="Y2884" i="18"/>
  <c r="X2885" i="18"/>
  <c r="X2886" i="18"/>
  <c r="Y2885" i="18"/>
  <c r="Y2886" i="18"/>
  <c r="X2887" i="18"/>
  <c r="X2888" i="18"/>
  <c r="Y2887" i="18"/>
  <c r="X2889" i="18"/>
  <c r="Y2888" i="18"/>
  <c r="Y2889" i="18"/>
  <c r="X2890" i="18"/>
  <c r="X2891" i="18"/>
  <c r="Y2890" i="18"/>
  <c r="Y2891" i="18"/>
  <c r="X2892" i="18"/>
  <c r="Y2892" i="18"/>
  <c r="X2893" i="18"/>
  <c r="X2894" i="18"/>
  <c r="Y2893" i="18"/>
  <c r="X2895" i="18"/>
  <c r="Y2894" i="18"/>
  <c r="Y2895" i="18"/>
  <c r="X2896" i="18"/>
  <c r="X2897" i="18"/>
  <c r="Y2896" i="18"/>
  <c r="X2898" i="18"/>
  <c r="Y2897" i="18"/>
  <c r="Y2898" i="18"/>
  <c r="X2899" i="18"/>
  <c r="X2900" i="18"/>
  <c r="Y2899" i="18"/>
  <c r="Y2900" i="18"/>
  <c r="X2901" i="18"/>
  <c r="X2902" i="18"/>
  <c r="Y2901" i="18"/>
  <c r="X2903" i="18"/>
  <c r="Y2902" i="18"/>
  <c r="Y2903" i="18"/>
  <c r="X2904" i="18"/>
  <c r="X2905" i="18"/>
  <c r="Y2904" i="18"/>
  <c r="Y2905" i="18"/>
  <c r="X2906" i="18"/>
  <c r="X2907" i="18"/>
  <c r="Y2906" i="18"/>
  <c r="Y2907" i="18"/>
  <c r="X2908" i="18"/>
  <c r="X2909" i="18"/>
  <c r="Y2908" i="18"/>
  <c r="Y2909" i="18"/>
  <c r="X2910" i="18"/>
  <c r="Y2910" i="18"/>
  <c r="X2911" i="18"/>
  <c r="Y2911" i="18"/>
  <c r="X2912" i="18"/>
  <c r="X2913" i="18"/>
  <c r="Y2912" i="18"/>
  <c r="Y2913" i="18"/>
  <c r="X2914" i="18"/>
  <c r="Y2914" i="18"/>
  <c r="X2915" i="18"/>
  <c r="Y2915" i="18"/>
  <c r="X2916" i="18"/>
  <c r="Y2916" i="18"/>
  <c r="X2917" i="18"/>
  <c r="X2918" i="18"/>
  <c r="Y2917" i="18"/>
  <c r="Y2918" i="18"/>
  <c r="X2919" i="18"/>
  <c r="Y2919" i="18"/>
  <c r="X2920" i="18"/>
  <c r="X2921" i="18"/>
  <c r="Y2920" i="18"/>
  <c r="Y2921" i="18"/>
  <c r="X2922" i="18"/>
  <c r="X2923" i="18"/>
  <c r="Y2922" i="18"/>
  <c r="X2924" i="18"/>
  <c r="Y2923" i="18"/>
  <c r="Y2924" i="18"/>
  <c r="X2925" i="18"/>
  <c r="Y2925" i="18"/>
  <c r="X2926" i="18"/>
  <c r="Y2926" i="18"/>
  <c r="X2927" i="18"/>
  <c r="Y2927" i="18"/>
  <c r="X2928" i="18"/>
  <c r="Y2928" i="18"/>
  <c r="X2929" i="18"/>
  <c r="Y2929" i="18"/>
  <c r="X2930" i="18"/>
  <c r="Y2930" i="18"/>
  <c r="X2931" i="18"/>
  <c r="Y2931" i="18"/>
  <c r="X2932" i="18"/>
  <c r="Y2932" i="18"/>
  <c r="X2933" i="18"/>
  <c r="X2934" i="18"/>
  <c r="Y2933" i="18"/>
  <c r="Y2934" i="18"/>
  <c r="X2935" i="18"/>
  <c r="Y2935" i="18"/>
  <c r="X2936" i="18"/>
  <c r="X2937" i="18"/>
  <c r="Y2936" i="18"/>
  <c r="Y2937" i="18"/>
  <c r="X2938" i="18"/>
  <c r="X2939" i="18"/>
  <c r="Y2938" i="18"/>
  <c r="Y2939" i="18"/>
  <c r="X2940" i="18"/>
  <c r="X2941" i="18"/>
  <c r="Y2940" i="18"/>
  <c r="Y2941" i="18"/>
  <c r="X2942" i="18"/>
  <c r="Y2942" i="18"/>
  <c r="X2943" i="18"/>
  <c r="Y2943" i="18"/>
  <c r="X2944" i="18"/>
  <c r="Y2944" i="18"/>
  <c r="X2945" i="18"/>
  <c r="Y2945" i="18"/>
  <c r="X2946" i="18"/>
  <c r="Y2946" i="18"/>
  <c r="X2947" i="18"/>
  <c r="X2948" i="18"/>
  <c r="Y2947" i="18"/>
  <c r="Y2948" i="18"/>
  <c r="X2949" i="18"/>
  <c r="X2950" i="18"/>
  <c r="Y2949" i="18"/>
  <c r="Y2950" i="18"/>
  <c r="X2951" i="18"/>
  <c r="X2952" i="18"/>
  <c r="Y2951" i="18"/>
  <c r="X2953" i="18"/>
  <c r="Y2952" i="18"/>
  <c r="Y2953" i="18"/>
  <c r="X2954" i="18"/>
  <c r="X2955" i="18"/>
  <c r="Y2954" i="18"/>
  <c r="X2956" i="18"/>
  <c r="Y2955" i="18"/>
  <c r="X2957" i="18"/>
  <c r="Y2956" i="18"/>
  <c r="Y2957" i="18"/>
  <c r="X2958" i="18"/>
  <c r="X2959" i="18"/>
  <c r="Y2958" i="18"/>
  <c r="Y2959" i="18"/>
  <c r="X2960" i="18"/>
  <c r="Y2960" i="18"/>
  <c r="X2961" i="18"/>
  <c r="X2962" i="18"/>
  <c r="Y2961" i="18"/>
  <c r="Y2962" i="18"/>
  <c r="X2963" i="18"/>
  <c r="X2964" i="18"/>
  <c r="Y2963" i="18"/>
  <c r="Y2964" i="18"/>
  <c r="X2965" i="18"/>
  <c r="X2966" i="18"/>
  <c r="Y2965" i="18"/>
  <c r="Y2966" i="18"/>
  <c r="X2967" i="18"/>
  <c r="Y2967" i="18"/>
  <c r="X2968" i="18"/>
  <c r="X2969" i="18"/>
  <c r="Y2968" i="18"/>
  <c r="Y2969" i="18"/>
  <c r="X2970" i="18"/>
  <c r="X2971" i="18"/>
  <c r="Y2970" i="18"/>
  <c r="Y2971" i="18"/>
  <c r="X2972" i="18"/>
  <c r="X2973" i="18"/>
  <c r="Y2972" i="18"/>
  <c r="X2974" i="18"/>
  <c r="Y2973" i="18"/>
  <c r="Y2974" i="18"/>
  <c r="X2975" i="18"/>
  <c r="Y2975" i="18"/>
  <c r="X2976" i="18"/>
  <c r="X2977" i="18"/>
  <c r="Y2976" i="18"/>
  <c r="Y2977" i="18"/>
  <c r="X2978" i="18"/>
  <c r="Y2978" i="18"/>
  <c r="X2979" i="18"/>
  <c r="X2980" i="18"/>
  <c r="Y2979" i="18"/>
  <c r="Y2980" i="18"/>
  <c r="X2981" i="18"/>
  <c r="Y2981" i="18"/>
  <c r="X2982" i="18"/>
  <c r="X2983" i="18"/>
  <c r="Y2982" i="18"/>
  <c r="Y2983" i="18"/>
  <c r="X2984" i="18"/>
  <c r="Y2984" i="18"/>
  <c r="X2985" i="18"/>
  <c r="X2986" i="18"/>
  <c r="Y2985" i="18"/>
  <c r="Y2986" i="18"/>
  <c r="X2987" i="18"/>
  <c r="Y2987" i="18"/>
  <c r="X2988" i="18"/>
  <c r="X2989" i="18"/>
  <c r="Y2988" i="18"/>
  <c r="Y2989" i="18"/>
  <c r="X2990" i="18"/>
  <c r="Y2990" i="18"/>
  <c r="X2991" i="18"/>
  <c r="X2992" i="18"/>
  <c r="Y2991" i="18"/>
  <c r="X2993" i="18"/>
  <c r="Y2992" i="18"/>
  <c r="Y2993" i="18"/>
  <c r="X2994" i="18"/>
  <c r="X2995" i="18"/>
  <c r="Y2994" i="18"/>
  <c r="Y2995" i="18"/>
  <c r="X2996" i="18"/>
  <c r="Y2996" i="18"/>
  <c r="X2997" i="18"/>
  <c r="Y2997" i="18"/>
  <c r="X2998" i="18"/>
  <c r="Y2998" i="18"/>
  <c r="X2999" i="18"/>
  <c r="Y2999" i="18"/>
  <c r="X3000" i="18"/>
  <c r="X3001" i="18"/>
  <c r="Y3000" i="18"/>
  <c r="Y3001" i="18"/>
  <c r="X3002" i="18"/>
  <c r="Y3002" i="18"/>
  <c r="X3003" i="18"/>
  <c r="Y3003" i="18"/>
  <c r="X3004" i="18"/>
  <c r="Y3004" i="18"/>
  <c r="X3005" i="18"/>
  <c r="Y3005" i="18"/>
  <c r="X3006" i="18"/>
  <c r="X3007" i="18"/>
  <c r="Y3006" i="18"/>
  <c r="Y3007" i="18"/>
  <c r="X3008" i="18"/>
  <c r="X3009" i="18"/>
  <c r="Y3008" i="18"/>
  <c r="Y3009" i="18"/>
  <c r="X3010" i="18"/>
  <c r="Y3010" i="18"/>
  <c r="X3011" i="18"/>
  <c r="Y3011" i="18"/>
  <c r="X3012" i="18"/>
  <c r="Y3012" i="18"/>
  <c r="X3013" i="18"/>
  <c r="X3014" i="18"/>
  <c r="Y3013" i="18"/>
  <c r="Y3014" i="18"/>
  <c r="X3015" i="18"/>
  <c r="Y3015" i="18"/>
  <c r="X3016" i="18"/>
  <c r="X3017" i="18"/>
  <c r="Y3016" i="18"/>
  <c r="Y3017" i="18"/>
  <c r="X3018" i="18"/>
  <c r="Y3018" i="18"/>
  <c r="X3019" i="18"/>
  <c r="X3020" i="18"/>
  <c r="Y3019" i="18"/>
  <c r="Y3020" i="18"/>
  <c r="X3021" i="18"/>
  <c r="Y3021" i="18"/>
  <c r="X3022" i="18"/>
  <c r="X3023" i="18"/>
  <c r="Y3022" i="18"/>
  <c r="Y3023" i="18"/>
  <c r="X3024" i="18"/>
  <c r="X3025" i="18"/>
  <c r="Y3024" i="18"/>
  <c r="Y3025" i="18"/>
  <c r="X3026" i="18"/>
  <c r="X3027" i="18"/>
  <c r="Y3026" i="18"/>
  <c r="X3028" i="18"/>
  <c r="Y3027" i="18"/>
  <c r="Y3028" i="18"/>
  <c r="X3029" i="18"/>
  <c r="X3030" i="18"/>
  <c r="Y3029" i="18"/>
  <c r="X3031" i="18"/>
  <c r="Y3030" i="18"/>
  <c r="Y3031" i="18"/>
  <c r="X3032" i="18"/>
  <c r="Y3032" i="18"/>
  <c r="X3033" i="18"/>
  <c r="Y3033" i="18"/>
  <c r="X3034" i="18"/>
  <c r="Y3034" i="18"/>
  <c r="X3035" i="18"/>
  <c r="X3036" i="18"/>
  <c r="Y3035" i="18"/>
  <c r="Y3036" i="18"/>
  <c r="X3037" i="18"/>
  <c r="Y3037" i="18"/>
  <c r="X3038" i="18"/>
  <c r="Y3038" i="18"/>
  <c r="X3039" i="18"/>
  <c r="Y3039" i="18"/>
  <c r="X3040" i="18"/>
  <c r="X3041" i="18"/>
  <c r="Y3040" i="18"/>
  <c r="X3042" i="18"/>
  <c r="Y3041" i="18"/>
  <c r="Y3042" i="18"/>
  <c r="X3043" i="18"/>
  <c r="X3044" i="18"/>
  <c r="Y3043" i="18"/>
  <c r="Y3044" i="18"/>
  <c r="X3045" i="18"/>
  <c r="X3046" i="18"/>
  <c r="Y3045" i="18"/>
  <c r="Y3046" i="18"/>
  <c r="X3047" i="18"/>
  <c r="X3048" i="18"/>
  <c r="Y3047" i="18"/>
  <c r="Y3048" i="18"/>
  <c r="X3049" i="18"/>
  <c r="Y3049" i="18"/>
  <c r="X3050" i="18"/>
  <c r="Y3050" i="18"/>
  <c r="X3051" i="18"/>
  <c r="Y3051" i="18"/>
  <c r="X3052" i="18"/>
  <c r="Y3052" i="18"/>
  <c r="X3053" i="18"/>
  <c r="Y3053" i="18"/>
  <c r="X3054" i="18"/>
  <c r="X3055" i="18"/>
  <c r="Y3054" i="18"/>
  <c r="Y3055" i="18"/>
  <c r="X3056" i="18"/>
  <c r="X3057" i="18"/>
  <c r="Y3056" i="18"/>
  <c r="X3058" i="18"/>
  <c r="Y3057" i="18"/>
  <c r="X3059" i="18"/>
  <c r="Y3058" i="18"/>
  <c r="X3060" i="18"/>
  <c r="Y3059" i="18"/>
  <c r="Y3060" i="18"/>
  <c r="X3061" i="18"/>
  <c r="X3062" i="18"/>
  <c r="Y3061" i="18"/>
  <c r="Y3062" i="18"/>
  <c r="X3063" i="18"/>
  <c r="X3064" i="18"/>
  <c r="Y3063" i="18"/>
  <c r="X3065" i="18"/>
  <c r="Y3064" i="18"/>
  <c r="X3066" i="18"/>
  <c r="Y3065" i="18"/>
  <c r="Y3066" i="18"/>
  <c r="X3067" i="18"/>
  <c r="Y3067" i="18"/>
  <c r="X3068" i="18"/>
  <c r="X3069" i="18"/>
  <c r="Y3068" i="18"/>
  <c r="Y3069" i="18"/>
  <c r="X3070" i="18"/>
  <c r="Y3070" i="18"/>
  <c r="X3071" i="18"/>
  <c r="Y3071" i="18"/>
  <c r="X3072" i="18"/>
  <c r="X3073" i="18"/>
  <c r="Y3072" i="18"/>
  <c r="X3074" i="18"/>
  <c r="Y3073" i="18"/>
  <c r="Y3074" i="18"/>
  <c r="X3075" i="18"/>
  <c r="X3076" i="18"/>
  <c r="Y3075" i="18"/>
  <c r="Y3076" i="18"/>
  <c r="X3077" i="18"/>
  <c r="X3078" i="18"/>
  <c r="Y3077" i="18"/>
  <c r="Y3078" i="18"/>
  <c r="X3079" i="18"/>
  <c r="Y3079" i="18"/>
  <c r="X3080" i="18"/>
  <c r="X3081" i="18"/>
  <c r="Y3080" i="18"/>
  <c r="Y3081" i="18"/>
  <c r="X3082" i="18"/>
  <c r="Y3082" i="18"/>
  <c r="X3083" i="18"/>
  <c r="X3084" i="18"/>
  <c r="Y3083" i="18"/>
  <c r="Y3084" i="18"/>
  <c r="X3085" i="18"/>
  <c r="Y3085" i="18"/>
  <c r="X3086" i="18"/>
  <c r="Y3086" i="18"/>
  <c r="X3087" i="18"/>
  <c r="Y3087" i="18"/>
  <c r="X3088" i="18"/>
  <c r="X3089" i="18"/>
  <c r="Y3088" i="18"/>
  <c r="Y3089" i="18"/>
  <c r="X3090" i="18"/>
  <c r="Y3090" i="18"/>
  <c r="X3091" i="18"/>
  <c r="X3092" i="18"/>
  <c r="Y3091" i="18"/>
  <c r="Y3092" i="18"/>
  <c r="X3093" i="18"/>
  <c r="X3094" i="18"/>
  <c r="Y3093" i="18"/>
  <c r="X3095" i="18"/>
  <c r="Y3094" i="18"/>
  <c r="Y3095" i="18"/>
  <c r="X3096" i="18"/>
  <c r="Y3096" i="18"/>
  <c r="X3097" i="18"/>
  <c r="Y3097" i="18"/>
  <c r="X3098" i="18"/>
  <c r="Y3098" i="18"/>
  <c r="X3099" i="18"/>
  <c r="Y3099" i="18"/>
  <c r="X3100" i="18"/>
  <c r="Y3100" i="18"/>
  <c r="X3101" i="18"/>
  <c r="Y3101" i="18"/>
  <c r="X3102" i="18"/>
  <c r="Y3102" i="18"/>
  <c r="X3103" i="18"/>
  <c r="Y3103" i="18"/>
  <c r="X3104" i="18"/>
  <c r="X3105" i="18"/>
  <c r="Y3104" i="18"/>
  <c r="Y3105" i="18"/>
  <c r="X3106" i="18"/>
  <c r="Y3106" i="18"/>
  <c r="X3107" i="18"/>
  <c r="X3108" i="18"/>
  <c r="Y3107" i="18"/>
  <c r="Y3108" i="18"/>
  <c r="X3109" i="18"/>
  <c r="X3110" i="18"/>
  <c r="Y3109" i="18"/>
  <c r="Y3110" i="18"/>
  <c r="X3111" i="18"/>
  <c r="X3112" i="18"/>
  <c r="Y3111" i="18"/>
  <c r="X3113" i="18"/>
  <c r="Y3112" i="18"/>
  <c r="Y3113" i="18"/>
  <c r="X3114" i="18"/>
  <c r="Y3114" i="18"/>
  <c r="X3115" i="18"/>
  <c r="Y3115" i="18"/>
  <c r="X3116" i="18"/>
  <c r="Y3116" i="18"/>
  <c r="X3117" i="18"/>
  <c r="Y3117" i="18"/>
  <c r="X3118" i="18"/>
  <c r="X3119" i="18"/>
  <c r="Y3118" i="18"/>
  <c r="Y3119" i="18"/>
  <c r="X3120" i="18"/>
  <c r="X3121" i="18"/>
  <c r="Y3120" i="18"/>
  <c r="X3122" i="18"/>
  <c r="Y3121" i="18"/>
  <c r="X3123" i="18"/>
  <c r="Y3122" i="18"/>
  <c r="X3124" i="18"/>
  <c r="Y3123" i="18"/>
  <c r="Y3124" i="18"/>
  <c r="X3125" i="18"/>
  <c r="X3126" i="18"/>
  <c r="Y3125" i="18"/>
  <c r="Y3126" i="18"/>
  <c r="X3127" i="18"/>
  <c r="Y3127" i="18"/>
  <c r="X3128" i="18"/>
  <c r="Y3128" i="18"/>
  <c r="X3129" i="18"/>
  <c r="X3130" i="18"/>
  <c r="Y3129" i="18"/>
  <c r="Y3130" i="18"/>
  <c r="X3131" i="18"/>
  <c r="Y3131" i="18"/>
  <c r="X3132" i="18"/>
  <c r="X3133" i="18"/>
  <c r="Y3132" i="18"/>
  <c r="Y3133" i="18"/>
  <c r="X3134" i="18"/>
  <c r="Y3134" i="18"/>
  <c r="X3135" i="18"/>
  <c r="Y3135" i="18"/>
  <c r="X3136" i="18"/>
  <c r="X3137" i="18"/>
  <c r="Y3136" i="18"/>
  <c r="Y3137" i="18"/>
  <c r="X3138" i="18"/>
  <c r="Y3138" i="18"/>
  <c r="X3139" i="18"/>
  <c r="X3140" i="18"/>
  <c r="Y3139" i="18"/>
  <c r="Y3140" i="18"/>
  <c r="X3141" i="18"/>
  <c r="X3142" i="18"/>
  <c r="Y3141" i="18"/>
  <c r="Y3142" i="18"/>
  <c r="X3143" i="18"/>
  <c r="Y3143" i="18"/>
  <c r="X3144" i="18"/>
  <c r="X3145" i="18"/>
  <c r="Y3144" i="18"/>
  <c r="Y3145" i="18"/>
  <c r="X3146" i="18"/>
  <c r="Y3146" i="18"/>
  <c r="X3147" i="18"/>
  <c r="X3148" i="18"/>
  <c r="Y3147" i="18"/>
  <c r="Y3148" i="18"/>
  <c r="X3149" i="18"/>
  <c r="Y3149" i="18"/>
  <c r="X3150" i="18"/>
  <c r="X3151" i="18"/>
  <c r="Y3150" i="18"/>
  <c r="Y3151" i="18"/>
  <c r="X3152" i="18"/>
  <c r="X3153" i="18"/>
  <c r="Y3152" i="18"/>
  <c r="Y3153" i="18"/>
  <c r="X3154" i="18"/>
  <c r="Y3154" i="18"/>
  <c r="X3155" i="18"/>
  <c r="X3156" i="18"/>
  <c r="Y3155" i="18"/>
  <c r="Y3156" i="18"/>
  <c r="X3157" i="18"/>
  <c r="X3158" i="18"/>
  <c r="Y3157" i="18"/>
  <c r="X3159" i="18"/>
  <c r="Y3158" i="18"/>
  <c r="Y3159" i="18"/>
  <c r="X3160" i="18"/>
  <c r="Y3160" i="18"/>
  <c r="X3161" i="18"/>
  <c r="Y3161" i="18"/>
  <c r="X3162" i="18"/>
  <c r="Y3162" i="18"/>
  <c r="X3163" i="18"/>
  <c r="Y3163" i="18"/>
  <c r="X3164" i="18"/>
  <c r="Y3164" i="18"/>
  <c r="X3165" i="18"/>
  <c r="Y3165" i="18"/>
  <c r="X3166" i="18"/>
  <c r="Y3166" i="18"/>
  <c r="X3167" i="18"/>
  <c r="Y3167" i="18"/>
  <c r="X3168" i="18"/>
  <c r="X3169" i="18"/>
  <c r="Y3168" i="18"/>
  <c r="Y3169" i="18"/>
  <c r="X3170" i="18"/>
  <c r="Y3170" i="18"/>
  <c r="X3171" i="18"/>
  <c r="X3172" i="18"/>
  <c r="Y3171" i="18"/>
  <c r="Y3172" i="18"/>
  <c r="X3173" i="18"/>
  <c r="X3174" i="18"/>
  <c r="Y3173" i="18"/>
  <c r="Y3174" i="18"/>
  <c r="X3175" i="18"/>
  <c r="X3176" i="18"/>
  <c r="Y3175" i="18"/>
  <c r="Y3176" i="18"/>
  <c r="X3177" i="18"/>
  <c r="X3178" i="18"/>
  <c r="Y3177" i="18"/>
  <c r="Y3178" i="18"/>
  <c r="X3179" i="18"/>
  <c r="Y3179" i="18"/>
  <c r="X3180" i="18"/>
  <c r="X3181" i="18"/>
  <c r="Y3180" i="18"/>
  <c r="Y3181" i="18"/>
  <c r="X3182" i="18"/>
  <c r="X3183" i="18"/>
  <c r="Y3182" i="18"/>
  <c r="Y3183" i="18"/>
  <c r="X3184" i="18"/>
  <c r="X3185" i="18"/>
  <c r="Y3184" i="18"/>
  <c r="Y3185" i="18"/>
  <c r="X3186" i="18"/>
  <c r="X3187" i="18"/>
  <c r="Y3186" i="18"/>
  <c r="X3188" i="18"/>
  <c r="Y3187" i="18"/>
  <c r="Y3188" i="18"/>
  <c r="X3189" i="18"/>
  <c r="X3190" i="18"/>
  <c r="Y3189" i="18"/>
  <c r="Y3190" i="18"/>
  <c r="X3191" i="18"/>
  <c r="Y3191" i="18"/>
  <c r="X3192" i="18"/>
  <c r="Y3192" i="18"/>
  <c r="X3193" i="18"/>
  <c r="X3194" i="18"/>
  <c r="Y3193" i="18"/>
  <c r="Y3194" i="18"/>
  <c r="X3195" i="18"/>
  <c r="Y3195" i="18"/>
  <c r="X3196" i="18"/>
  <c r="X3197" i="18"/>
  <c r="Y3196" i="18"/>
  <c r="Y3197" i="18"/>
  <c r="X3198" i="18"/>
  <c r="Y3198" i="18"/>
  <c r="X3199" i="18"/>
  <c r="Y3199" i="18"/>
  <c r="X3200" i="18"/>
  <c r="X3201" i="18"/>
  <c r="Y3200" i="18"/>
  <c r="X3202" i="18"/>
  <c r="Y3201" i="18"/>
  <c r="Y3202" i="18"/>
  <c r="X3203" i="18"/>
  <c r="X3204" i="18"/>
  <c r="Y3203" i="18"/>
  <c r="Y3204" i="18"/>
  <c r="X3205" i="18"/>
  <c r="X3206" i="18"/>
  <c r="Y3205" i="18"/>
  <c r="X3207" i="18"/>
  <c r="Y3206" i="18"/>
  <c r="Y3207" i="18"/>
  <c r="X3208" i="18"/>
  <c r="Y3208" i="18"/>
  <c r="X3209" i="18"/>
  <c r="Y3209" i="18"/>
  <c r="X3210" i="18"/>
  <c r="Y3210" i="18"/>
  <c r="X3211" i="18"/>
  <c r="X3212" i="18"/>
  <c r="Y3211" i="18"/>
  <c r="Y3212" i="18"/>
  <c r="X3213" i="18"/>
  <c r="Y3213" i="18"/>
  <c r="X3214" i="18"/>
  <c r="Y3214" i="18"/>
  <c r="X3215" i="18"/>
  <c r="Y3215" i="18"/>
  <c r="X3216" i="18"/>
  <c r="X3217" i="18"/>
  <c r="Y3216" i="18"/>
  <c r="Y3217" i="18"/>
  <c r="X3218" i="18"/>
  <c r="Y3218" i="18"/>
  <c r="X3219" i="18"/>
  <c r="X3220" i="18"/>
  <c r="Y3219" i="18"/>
  <c r="Y3220" i="18"/>
  <c r="X3221" i="18"/>
  <c r="X3222" i="18"/>
  <c r="Y3221" i="18"/>
  <c r="Y3222" i="18"/>
  <c r="X3223" i="18"/>
  <c r="Y3223" i="18"/>
  <c r="X3224" i="18"/>
  <c r="Y3224" i="18"/>
  <c r="X3225" i="18"/>
  <c r="Y3225" i="18"/>
  <c r="X3226" i="18"/>
  <c r="Y3226" i="18"/>
  <c r="X3227" i="18"/>
  <c r="X3228" i="18"/>
  <c r="Y3227" i="18"/>
  <c r="Y3228" i="18"/>
  <c r="X3229" i="18"/>
  <c r="Y3229" i="18"/>
  <c r="X3230" i="18"/>
  <c r="Y3230" i="18"/>
  <c r="X3231" i="18"/>
  <c r="Y3231" i="18"/>
  <c r="X3232" i="18"/>
  <c r="X3233" i="18"/>
  <c r="Y3232" i="18"/>
  <c r="Y3233" i="18"/>
  <c r="X3234" i="18"/>
  <c r="Y3234" i="18"/>
  <c r="X3235" i="18"/>
  <c r="X3236" i="18"/>
  <c r="Y3235" i="18"/>
  <c r="Y3236" i="18"/>
  <c r="X3237" i="18"/>
  <c r="X3238" i="18"/>
  <c r="Y3237" i="18"/>
  <c r="Y3238" i="18"/>
  <c r="X3239" i="18"/>
  <c r="X3240" i="18"/>
  <c r="Y3239" i="18"/>
  <c r="X3241" i="18"/>
  <c r="Y3240" i="18"/>
  <c r="Y3241" i="18"/>
  <c r="X3242" i="18"/>
  <c r="Y3242" i="18"/>
  <c r="X3243" i="18"/>
  <c r="Y3243" i="18"/>
  <c r="X3244" i="18"/>
  <c r="Y3244" i="18"/>
  <c r="X3245" i="18"/>
  <c r="Y3245" i="18"/>
  <c r="X3246" i="18"/>
  <c r="X3247" i="18"/>
  <c r="Y3246" i="18"/>
  <c r="Y3247" i="18"/>
  <c r="X3248" i="18"/>
  <c r="X3249" i="18"/>
  <c r="Y3248" i="18"/>
  <c r="X3250" i="18"/>
  <c r="Y3249" i="18"/>
  <c r="Y3250" i="18"/>
  <c r="X3251" i="18"/>
  <c r="X3252" i="18"/>
  <c r="Y3251" i="18"/>
  <c r="Y3252" i="18"/>
  <c r="X3253" i="18"/>
  <c r="X3254" i="18"/>
  <c r="Y3253" i="18"/>
  <c r="X3255" i="18"/>
  <c r="Y3254" i="18"/>
  <c r="Y3255" i="18"/>
  <c r="X3256" i="18"/>
  <c r="Y3256" i="18"/>
  <c r="X3257" i="18"/>
  <c r="Y3257" i="18"/>
  <c r="X3258" i="18"/>
  <c r="Y3258" i="18"/>
  <c r="X3259" i="18"/>
  <c r="Y3259" i="18"/>
  <c r="X3260" i="18"/>
  <c r="X3261" i="18"/>
  <c r="Y3260" i="18"/>
  <c r="Y3261" i="18"/>
  <c r="X3262" i="18"/>
  <c r="Y3262" i="18"/>
  <c r="X3263" i="18"/>
  <c r="Y3263" i="18"/>
  <c r="X3264" i="18"/>
  <c r="X3265" i="18"/>
  <c r="Y3264" i="18"/>
  <c r="Y3265" i="18"/>
  <c r="X3266" i="18"/>
  <c r="Y3266" i="18"/>
  <c r="X3267" i="18"/>
  <c r="X3268" i="18"/>
  <c r="Y3267" i="18"/>
  <c r="Y3268" i="18"/>
  <c r="X3269" i="18"/>
  <c r="X3270" i="18"/>
  <c r="Y3269" i="18"/>
  <c r="Y3270" i="18"/>
  <c r="X3271" i="18"/>
  <c r="Y3271" i="18"/>
  <c r="X3272" i="18"/>
  <c r="Y3272" i="18"/>
  <c r="X3273" i="18"/>
  <c r="Y3273" i="18"/>
  <c r="X3274" i="18"/>
  <c r="Y3274" i="18"/>
  <c r="X3275" i="18"/>
  <c r="X3276" i="18"/>
  <c r="Y3275" i="18"/>
  <c r="Y3276" i="18"/>
  <c r="X3277" i="18"/>
  <c r="Y3277" i="18"/>
  <c r="X3278" i="18"/>
  <c r="Y3278" i="18"/>
  <c r="X3279" i="18"/>
  <c r="Y3279" i="18"/>
  <c r="X3280" i="18"/>
  <c r="X3281" i="18"/>
  <c r="Y3280" i="18"/>
  <c r="Y3281" i="18"/>
  <c r="X3282" i="18"/>
  <c r="Y3282" i="18"/>
  <c r="X3283" i="18"/>
  <c r="X3284" i="18"/>
  <c r="Y3283" i="18"/>
  <c r="Y3284" i="18"/>
  <c r="X3285" i="18"/>
  <c r="X3286" i="18"/>
  <c r="Y3285" i="18"/>
  <c r="Y3286" i="18"/>
  <c r="X3287" i="18"/>
  <c r="Y3287" i="18"/>
  <c r="X3288" i="18"/>
  <c r="Y3288" i="18"/>
  <c r="X3289" i="18"/>
  <c r="Y3289" i="18"/>
  <c r="X3290" i="18"/>
  <c r="Y3290" i="18"/>
  <c r="X3291" i="18"/>
  <c r="Y3291" i="18"/>
  <c r="X3292" i="18"/>
  <c r="Y3292" i="18"/>
  <c r="X3293" i="18"/>
  <c r="Y3293" i="18"/>
  <c r="X3294" i="18"/>
  <c r="Y3294" i="18"/>
  <c r="X3295" i="18"/>
  <c r="Y3295" i="18"/>
  <c r="X3296" i="18"/>
  <c r="X3297" i="18"/>
  <c r="Y3296" i="18"/>
  <c r="Y3297" i="18"/>
  <c r="X3298" i="18"/>
  <c r="X3299" i="18"/>
  <c r="Y3298" i="18"/>
  <c r="X3300" i="18"/>
  <c r="Y3299" i="18"/>
  <c r="Y3300" i="18"/>
  <c r="X3301" i="18"/>
  <c r="X3302" i="18"/>
  <c r="Y3301" i="18"/>
  <c r="Y3302" i="18"/>
  <c r="X3303" i="18"/>
  <c r="X3304" i="18"/>
  <c r="Y3303" i="18"/>
  <c r="X3305" i="18"/>
  <c r="Y3304" i="18"/>
  <c r="Y3305" i="18"/>
  <c r="X3306" i="18"/>
  <c r="Y3306" i="18"/>
  <c r="X3307" i="18"/>
  <c r="Y3307" i="18"/>
  <c r="X3308" i="18"/>
  <c r="Y3308" i="18"/>
  <c r="X3309" i="18"/>
  <c r="Y3309" i="18"/>
  <c r="X3310" i="18"/>
  <c r="X3311" i="18"/>
  <c r="Y3310" i="18"/>
  <c r="Y3311" i="18"/>
  <c r="X3312" i="18"/>
  <c r="X3313" i="18"/>
  <c r="Y3312" i="18"/>
  <c r="Y3313" i="18"/>
  <c r="X3314" i="18"/>
  <c r="Y3314" i="18"/>
  <c r="X3315" i="18"/>
  <c r="X3316" i="18"/>
  <c r="Y3315" i="18"/>
  <c r="Y3316" i="18"/>
  <c r="X3317" i="18"/>
  <c r="X3318" i="18"/>
  <c r="Y3317" i="18"/>
  <c r="Y3318" i="18"/>
  <c r="X3319" i="18"/>
  <c r="Y3319" i="18"/>
  <c r="X3320" i="18"/>
  <c r="Y3320" i="18"/>
  <c r="X3321" i="18"/>
  <c r="Y3321" i="18"/>
  <c r="X3322" i="18"/>
  <c r="Y3322" i="18"/>
  <c r="X3323" i="18"/>
  <c r="Y3323" i="18"/>
  <c r="X3324" i="18"/>
  <c r="X3325" i="18"/>
  <c r="Y3324" i="18"/>
  <c r="Y3325" i="18"/>
  <c r="X3326" i="18"/>
  <c r="Y3326" i="18"/>
  <c r="X3327" i="18"/>
  <c r="Y3327" i="18"/>
  <c r="X3328" i="18"/>
  <c r="X3329" i="18"/>
  <c r="Y3328" i="18"/>
  <c r="Y3329" i="18"/>
  <c r="X3330" i="18"/>
  <c r="Y3330" i="18"/>
  <c r="X3331" i="18"/>
  <c r="X3332" i="18"/>
  <c r="Y3331" i="18"/>
  <c r="Y3332" i="18"/>
  <c r="X3333" i="18"/>
  <c r="X3334" i="18"/>
  <c r="Y3333" i="18"/>
  <c r="Y3334" i="18"/>
  <c r="X3335" i="18"/>
  <c r="X3336" i="18"/>
  <c r="Y3335" i="18"/>
  <c r="Y3336" i="18"/>
  <c r="X3337" i="18"/>
  <c r="X3338" i="18"/>
  <c r="Y3337" i="18"/>
  <c r="Y3338" i="18"/>
  <c r="X3339" i="18"/>
  <c r="X3340" i="18"/>
  <c r="Y3339" i="18"/>
  <c r="Y3340" i="18"/>
  <c r="X3341" i="18"/>
  <c r="Y3341" i="18"/>
  <c r="X3342" i="18"/>
  <c r="Y3342" i="18"/>
  <c r="X3343" i="18"/>
  <c r="Y3343" i="18"/>
  <c r="X3344" i="18"/>
  <c r="X3345" i="18"/>
  <c r="Y3344" i="18"/>
  <c r="Y3345" i="18"/>
  <c r="X3346" i="18"/>
  <c r="X3347" i="18"/>
  <c r="Y3346" i="18"/>
  <c r="Y3347" i="18"/>
  <c r="X3348" i="18"/>
  <c r="Y3348" i="18"/>
  <c r="X3349" i="18"/>
  <c r="X3350" i="18"/>
  <c r="Y3349" i="18"/>
  <c r="X3351" i="18"/>
  <c r="Y3350" i="18"/>
  <c r="Y3351" i="18"/>
  <c r="X3352" i="18"/>
  <c r="Y3352" i="18"/>
  <c r="X3353" i="18"/>
  <c r="Y3353" i="18"/>
  <c r="X3354" i="18"/>
  <c r="Y3354" i="18"/>
  <c r="X3355" i="18"/>
  <c r="Y3355" i="18"/>
  <c r="X3356" i="18"/>
  <c r="X3357" i="18"/>
  <c r="Y3356" i="18"/>
  <c r="Y3357" i="18"/>
  <c r="X3358" i="18"/>
  <c r="X3359" i="18"/>
  <c r="Y3358" i="18"/>
  <c r="Y3359" i="18"/>
  <c r="X3360" i="18"/>
  <c r="X3361" i="18"/>
  <c r="Y3360" i="18"/>
  <c r="Y3361" i="18"/>
  <c r="X3362" i="18"/>
  <c r="Y3362" i="18"/>
  <c r="X3363" i="18"/>
  <c r="Y3363" i="18"/>
  <c r="X3364" i="18"/>
  <c r="Y3364" i="18"/>
  <c r="X3365" i="18"/>
  <c r="X3366" i="18"/>
  <c r="Y3365" i="18"/>
  <c r="X3367" i="18"/>
  <c r="Y3366" i="18"/>
  <c r="X3368" i="18"/>
  <c r="Y3367" i="18"/>
  <c r="X3369" i="18"/>
  <c r="Y3368" i="18"/>
  <c r="Y3369" i="18"/>
  <c r="X3370" i="18"/>
  <c r="Y3370" i="18"/>
  <c r="X3371" i="18"/>
  <c r="Y3371" i="18"/>
  <c r="X3372" i="18"/>
  <c r="X3373" i="18"/>
  <c r="Y3372" i="18"/>
  <c r="Y3373" i="18"/>
  <c r="X3374" i="18"/>
  <c r="X3375" i="18"/>
  <c r="Y3374" i="18"/>
  <c r="Y3375" i="18"/>
  <c r="X3376" i="18"/>
  <c r="X3377" i="18"/>
  <c r="Y3376" i="18"/>
  <c r="Y3377" i="18"/>
  <c r="X3378" i="18"/>
  <c r="Y3378" i="18"/>
  <c r="X3379" i="18"/>
  <c r="Y3379" i="18"/>
  <c r="X3380" i="18"/>
  <c r="Y3380" i="18"/>
  <c r="X3381" i="18"/>
  <c r="X3382" i="18"/>
  <c r="Y3381" i="18"/>
  <c r="X3383" i="18"/>
  <c r="Y3382" i="18"/>
  <c r="Y3383" i="18"/>
  <c r="X3384" i="18"/>
  <c r="Y3384" i="18"/>
  <c r="X3385" i="18"/>
  <c r="Y3385" i="18"/>
  <c r="X3386" i="18"/>
  <c r="Y3386" i="18"/>
  <c r="X3387" i="18"/>
  <c r="Y3387" i="18"/>
  <c r="X3388" i="18"/>
  <c r="Y3388" i="18"/>
  <c r="X3389" i="18"/>
  <c r="Y3389" i="18"/>
  <c r="X3390" i="18"/>
  <c r="Y3390" i="18"/>
  <c r="X3391" i="18"/>
  <c r="Y3391" i="18"/>
  <c r="X3392" i="18"/>
  <c r="X3393" i="18"/>
  <c r="Y3392" i="18"/>
  <c r="Y3393" i="18"/>
  <c r="X3394" i="18"/>
  <c r="Y3394" i="18"/>
  <c r="X3395" i="18"/>
  <c r="Y3395" i="18"/>
  <c r="X3396" i="18"/>
  <c r="Y3396" i="18"/>
  <c r="X3397" i="18"/>
  <c r="X3398" i="18"/>
  <c r="Y3397" i="18"/>
  <c r="Y3398" i="18"/>
  <c r="X3399" i="18"/>
  <c r="X3400" i="18"/>
  <c r="Y3399" i="18"/>
  <c r="Y3400" i="18"/>
  <c r="X3401" i="18"/>
  <c r="Y3401" i="18"/>
  <c r="X3402" i="18"/>
  <c r="Y3402" i="18"/>
  <c r="X3403" i="18"/>
  <c r="Y3403" i="18"/>
  <c r="X3404" i="18"/>
  <c r="Y3404" i="18"/>
  <c r="X3405" i="18"/>
  <c r="Y3405" i="18"/>
  <c r="X3406" i="18"/>
  <c r="Y3406" i="18"/>
  <c r="X3407" i="18"/>
  <c r="Y3407" i="18"/>
  <c r="X3408" i="18"/>
  <c r="X3409" i="18"/>
  <c r="Y3408" i="18"/>
  <c r="X3410" i="18"/>
  <c r="Y3409" i="18"/>
  <c r="Y3410" i="18"/>
  <c r="X3411" i="18"/>
  <c r="Y3411" i="18"/>
  <c r="X3412" i="18"/>
  <c r="Y3412" i="18"/>
  <c r="X3413" i="18"/>
  <c r="X3414" i="18"/>
  <c r="Y3413" i="18"/>
  <c r="X3415" i="18"/>
  <c r="Y3414" i="18"/>
  <c r="Y3415" i="18"/>
  <c r="X3416" i="18"/>
  <c r="Y3416" i="18"/>
  <c r="X3417" i="18"/>
  <c r="Y3417" i="18"/>
  <c r="X3418" i="18"/>
  <c r="Y3418" i="18"/>
  <c r="X3419" i="18"/>
  <c r="X3420" i="18"/>
  <c r="Y3419" i="18"/>
  <c r="Y3420" i="18"/>
  <c r="X3421" i="18"/>
  <c r="Y3421" i="18"/>
  <c r="X3422" i="18"/>
  <c r="Y3422" i="18"/>
  <c r="X3423" i="18"/>
  <c r="Y3423" i="18"/>
  <c r="X3424" i="18"/>
  <c r="X3425" i="18"/>
  <c r="Y3424" i="18"/>
  <c r="Y3425" i="18"/>
  <c r="X3426" i="18"/>
  <c r="Y3426" i="18"/>
  <c r="X3427" i="18"/>
  <c r="Y3427" i="18"/>
  <c r="X3428" i="18"/>
  <c r="Y3428" i="18"/>
  <c r="X3429" i="18"/>
  <c r="X3430" i="18"/>
  <c r="Y3429" i="18"/>
  <c r="Y3430" i="18"/>
  <c r="X3431" i="18"/>
  <c r="Y3431" i="18"/>
  <c r="X3432" i="18"/>
  <c r="X3433" i="18"/>
  <c r="Y3432" i="18"/>
  <c r="Y3433" i="18"/>
  <c r="X3434" i="18"/>
  <c r="Y3434" i="18"/>
  <c r="X3435" i="18"/>
  <c r="Y3435" i="18"/>
  <c r="X3436" i="18"/>
  <c r="Y3436" i="18"/>
  <c r="X3437" i="18"/>
  <c r="Y3437" i="18"/>
  <c r="X3438" i="18"/>
  <c r="Y3438" i="18"/>
  <c r="X3439" i="18"/>
  <c r="Y3439" i="18"/>
  <c r="X3440" i="18"/>
  <c r="X3441" i="18"/>
  <c r="Y3440" i="18"/>
  <c r="Y3441" i="18"/>
  <c r="X3442" i="18"/>
  <c r="Y3442" i="18"/>
  <c r="X3443" i="18"/>
  <c r="Y3443" i="18"/>
  <c r="X3444" i="18"/>
  <c r="Y3444" i="18"/>
  <c r="X3445" i="18"/>
  <c r="X3446" i="18"/>
  <c r="Y3445" i="18"/>
  <c r="Y3446" i="18"/>
  <c r="X3447" i="18"/>
  <c r="Y3447" i="18"/>
  <c r="X3448" i="18"/>
  <c r="Y3448" i="18"/>
  <c r="X3449" i="18"/>
  <c r="Y3449" i="18"/>
  <c r="X3450" i="18"/>
  <c r="Y3450" i="18"/>
  <c r="X3451" i="18"/>
  <c r="Y3451" i="18"/>
  <c r="X3452" i="18"/>
  <c r="Y3452" i="18"/>
  <c r="X3453" i="18"/>
  <c r="Y3453" i="18"/>
  <c r="X3454" i="18"/>
  <c r="Y3454" i="18"/>
  <c r="X3455" i="18"/>
  <c r="Y3455" i="18"/>
  <c r="X3456" i="18"/>
  <c r="X3457" i="18"/>
  <c r="Y3456" i="18"/>
  <c r="Y3457" i="18"/>
  <c r="X3458" i="18"/>
  <c r="Y3458" i="18"/>
  <c r="X3459" i="18"/>
  <c r="Y3459" i="18"/>
  <c r="X3460" i="18"/>
  <c r="Y3460" i="18"/>
  <c r="X3461" i="18"/>
  <c r="X3462" i="18"/>
  <c r="Y3461" i="18"/>
  <c r="Y3462" i="18"/>
  <c r="X3463" i="18"/>
  <c r="Y3463" i="18"/>
  <c r="X3464" i="18"/>
  <c r="Y3464" i="18"/>
  <c r="X3465" i="18"/>
  <c r="Y3465" i="18"/>
  <c r="X3466" i="18"/>
  <c r="Y3466" i="18"/>
  <c r="X3467" i="18"/>
  <c r="X3468" i="18"/>
  <c r="Y3467" i="18"/>
  <c r="Y3468" i="18"/>
  <c r="X3469" i="18"/>
  <c r="Y3469" i="18"/>
  <c r="X3470" i="18"/>
  <c r="Y3470" i="18"/>
  <c r="X3471" i="18"/>
  <c r="Y3471" i="18"/>
  <c r="X3472" i="18"/>
  <c r="X3473" i="18"/>
  <c r="Y3472" i="18"/>
  <c r="Y3473" i="18"/>
  <c r="X3474" i="18"/>
  <c r="X3475" i="18"/>
  <c r="Y3474" i="18"/>
  <c r="Y3475" i="18"/>
  <c r="X3476" i="18"/>
  <c r="Y3476" i="18"/>
  <c r="X3477" i="18"/>
  <c r="X3478" i="18"/>
  <c r="Y3477" i="18"/>
  <c r="Y3478" i="18"/>
  <c r="X3479" i="18"/>
  <c r="Y3479" i="18"/>
  <c r="X3480" i="18"/>
  <c r="Y3480" i="18"/>
  <c r="X3481" i="18"/>
  <c r="Y3481" i="18"/>
  <c r="X3482" i="18"/>
  <c r="Y3482" i="18"/>
  <c r="X3483" i="18"/>
  <c r="Y3483" i="18"/>
  <c r="X3484" i="18"/>
  <c r="X3485" i="18"/>
  <c r="Y3484" i="18"/>
  <c r="Y3485" i="18"/>
  <c r="X3486" i="18"/>
  <c r="Y3486" i="18"/>
  <c r="X3487" i="18"/>
  <c r="Y3487" i="18"/>
  <c r="X3488" i="18"/>
  <c r="X3489" i="18"/>
  <c r="Y3488" i="18"/>
  <c r="Y3489" i="18"/>
  <c r="X3490" i="18"/>
  <c r="Y3490" i="18"/>
  <c r="X3491" i="18"/>
  <c r="Y3491" i="18"/>
  <c r="X3492" i="18"/>
  <c r="Y3492" i="18"/>
  <c r="X3493" i="18"/>
  <c r="X3494" i="18"/>
  <c r="Y3493" i="18"/>
  <c r="X3495" i="18"/>
  <c r="Y3494" i="18"/>
  <c r="Y3495" i="18"/>
  <c r="X3496" i="18"/>
  <c r="Y3496" i="18"/>
  <c r="X3497" i="18"/>
  <c r="Y3497" i="18"/>
  <c r="X3498" i="18"/>
  <c r="Y3498" i="18"/>
  <c r="X3499" i="18"/>
  <c r="Y3499" i="18"/>
  <c r="X3500" i="18"/>
  <c r="Y3500" i="18"/>
  <c r="X3501" i="18"/>
  <c r="Y3501" i="18"/>
  <c r="X3502" i="18"/>
  <c r="Y3502" i="18"/>
  <c r="X3503" i="18"/>
  <c r="Y3503" i="18"/>
  <c r="X3504" i="18"/>
  <c r="X3505" i="18"/>
  <c r="Y3504" i="18"/>
  <c r="Y3505" i="18"/>
  <c r="X3506" i="18"/>
  <c r="Y3506" i="18"/>
  <c r="X3507" i="18"/>
  <c r="Y3507" i="18"/>
  <c r="X3508" i="18"/>
  <c r="Y3508" i="18"/>
  <c r="X3509" i="18"/>
  <c r="X3510" i="18"/>
  <c r="Y3509" i="18"/>
  <c r="Y3510" i="18"/>
  <c r="X3511" i="18"/>
  <c r="Y3511" i="18"/>
  <c r="X3512" i="18"/>
  <c r="X3513" i="18"/>
  <c r="Y3512" i="18"/>
  <c r="Y3513" i="18"/>
  <c r="X3514" i="18"/>
  <c r="Y3514" i="18"/>
  <c r="X3515" i="18"/>
  <c r="Y3515" i="18"/>
  <c r="X3516" i="18"/>
  <c r="X3517" i="18"/>
  <c r="Y3516" i="18"/>
  <c r="Y3517" i="18"/>
  <c r="X3518" i="18"/>
  <c r="Y3518" i="18"/>
  <c r="X3519" i="18"/>
  <c r="Y3519" i="18"/>
  <c r="X3520" i="18"/>
  <c r="X3521" i="18"/>
  <c r="Y3520" i="18"/>
  <c r="Y3521" i="18"/>
  <c r="X3522" i="18"/>
  <c r="X3523" i="18"/>
  <c r="Y3522" i="18"/>
  <c r="Y3523" i="18"/>
  <c r="X3524" i="18"/>
  <c r="Y3524" i="18"/>
  <c r="X3525" i="18"/>
  <c r="X3526" i="18"/>
  <c r="Y3525" i="18"/>
  <c r="Y3526" i="18"/>
  <c r="X3527" i="18"/>
  <c r="Y3527" i="18"/>
  <c r="X3528" i="18"/>
  <c r="Y3528" i="18"/>
  <c r="X3529" i="18"/>
  <c r="Y3529" i="18"/>
  <c r="X3530" i="18"/>
  <c r="Y3530" i="18"/>
  <c r="X3531" i="18"/>
  <c r="Y3531" i="18"/>
  <c r="X3532" i="18"/>
  <c r="X3533" i="18"/>
  <c r="Y3532" i="18"/>
  <c r="Y3533" i="18"/>
  <c r="X3534" i="18"/>
  <c r="Y3534" i="18"/>
  <c r="X3535" i="18"/>
  <c r="Y3535" i="18"/>
  <c r="X3536" i="18"/>
  <c r="X3537" i="18"/>
  <c r="Y3536" i="18"/>
  <c r="Y3537" i="18"/>
  <c r="X3538" i="18"/>
  <c r="Y3538" i="18"/>
  <c r="X3539" i="18"/>
  <c r="Y3539" i="18"/>
  <c r="X3540" i="18"/>
  <c r="Y3540" i="18"/>
  <c r="X3541" i="18"/>
  <c r="X3542" i="18"/>
  <c r="Y3541" i="18"/>
  <c r="X3543" i="18"/>
  <c r="Y3542" i="18"/>
  <c r="Y3543" i="18"/>
  <c r="X3544" i="18"/>
  <c r="Y3544" i="18"/>
  <c r="X3545" i="18"/>
  <c r="Y3545" i="18"/>
  <c r="X3546" i="18"/>
  <c r="Y3546" i="18"/>
  <c r="X3547" i="18"/>
  <c r="Y3547" i="18"/>
  <c r="X3548" i="18"/>
  <c r="Y3548" i="18"/>
  <c r="X3549" i="18"/>
  <c r="Y3549" i="18"/>
  <c r="X3550" i="18"/>
  <c r="Y3550" i="18"/>
  <c r="X3551" i="18"/>
  <c r="Y3551" i="18"/>
  <c r="X3552" i="18"/>
  <c r="Y3552" i="18"/>
  <c r="E8" i="18" l="1"/>
  <c r="E15" i="18"/>
  <c r="E3" i="18"/>
  <c r="E9" i="18"/>
  <c r="E7" i="18"/>
  <c r="E5" i="18"/>
  <c r="E4" i="18"/>
  <c r="E12" i="18"/>
  <c r="E10" i="18"/>
  <c r="E6" i="18"/>
  <c r="E14" i="18"/>
  <c r="E13" i="18"/>
  <c r="E11" i="18"/>
  <c r="E16" i="18"/>
  <c r="C11" i="18"/>
  <c r="C12" i="18"/>
  <c r="C6" i="18"/>
  <c r="C10" i="18"/>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80" i="5"/>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6" i="17"/>
  <c r="C13" i="18" l="1"/>
  <c r="C7" i="18"/>
  <c r="B7" i="17"/>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B39" i="17" s="1"/>
  <c r="D6" i="17"/>
  <c r="K3" i="17"/>
  <c r="J2" i="17"/>
  <c r="K2" i="17" s="1"/>
  <c r="L3" i="17"/>
  <c r="K4" i="17"/>
  <c r="C8" i="18" l="1"/>
  <c r="C14" i="18"/>
  <c r="D7" i="17"/>
  <c r="J7" i="17" s="1"/>
  <c r="J6" i="17"/>
  <c r="F6" i="17"/>
  <c r="L4" i="17"/>
  <c r="D8" i="17" l="1"/>
  <c r="J8" i="17" s="1"/>
  <c r="F7" i="17"/>
  <c r="C9" i="18"/>
  <c r="C16" i="18" s="1"/>
  <c r="C15" i="18"/>
  <c r="F8" i="17" l="1"/>
  <c r="D9" i="17"/>
  <c r="J9" i="17" s="1"/>
  <c r="F9" i="17"/>
  <c r="D10" i="17"/>
  <c r="J10" i="17" s="1"/>
  <c r="D11" i="17" l="1"/>
  <c r="J11" i="17" s="1"/>
  <c r="F10" i="17"/>
  <c r="F11" i="17" l="1"/>
  <c r="D12" i="17"/>
  <c r="J12" i="17" s="1"/>
  <c r="D13" i="17" l="1"/>
  <c r="J13" i="17" s="1"/>
  <c r="F12" i="17"/>
  <c r="D14" i="17" l="1"/>
  <c r="J14" i="17" s="1"/>
  <c r="F13" i="17"/>
  <c r="D15" i="17" l="1"/>
  <c r="J15" i="17" s="1"/>
  <c r="F14" i="17"/>
  <c r="F15" i="17" l="1"/>
  <c r="D16" i="17"/>
  <c r="J16" i="17" s="1"/>
  <c r="F16" i="17" l="1"/>
  <c r="D17" i="17"/>
  <c r="J17" i="17" s="1"/>
  <c r="D18" i="17" l="1"/>
  <c r="J18" i="17" s="1"/>
  <c r="F17" i="17"/>
  <c r="F18" i="17" l="1"/>
  <c r="D19" i="17"/>
  <c r="J19" i="17" s="1"/>
  <c r="D20" i="17" l="1"/>
  <c r="J20" i="17" s="1"/>
  <c r="F19" i="17"/>
  <c r="F20" i="17" l="1"/>
  <c r="D21" i="17"/>
  <c r="J21" i="17" s="1"/>
  <c r="D22" i="17" l="1"/>
  <c r="J22" i="17" s="1"/>
  <c r="F21" i="17"/>
  <c r="F22" i="17" l="1"/>
  <c r="D23" i="17"/>
  <c r="J23" i="17" s="1"/>
  <c r="F23" i="17" l="1"/>
  <c r="D24" i="17"/>
  <c r="J24" i="17" s="1"/>
  <c r="D25" i="17" l="1"/>
  <c r="J25" i="17" s="1"/>
  <c r="F24" i="17"/>
  <c r="F25" i="17" l="1"/>
  <c r="D26" i="17"/>
  <c r="J26" i="17" s="1"/>
  <c r="D27" i="17" l="1"/>
  <c r="J27" i="17" s="1"/>
  <c r="F26" i="17"/>
  <c r="F27" i="17" l="1"/>
  <c r="D28" i="17"/>
  <c r="J28" i="17" s="1"/>
  <c r="D29" i="17" l="1"/>
  <c r="J29" i="17" s="1"/>
  <c r="F28" i="17"/>
  <c r="D30" i="17" l="1"/>
  <c r="J30" i="17" s="1"/>
  <c r="F29" i="17"/>
  <c r="D31" i="17" l="1"/>
  <c r="J31" i="17" s="1"/>
  <c r="F30" i="17"/>
  <c r="D32" i="17" l="1"/>
  <c r="J32" i="17" s="1"/>
  <c r="F31" i="17"/>
  <c r="F32" i="17" l="1"/>
  <c r="D33" i="17"/>
  <c r="J33" i="17" s="1"/>
  <c r="D34" i="17" l="1"/>
  <c r="J34" i="17" s="1"/>
  <c r="F33" i="17"/>
  <c r="F34" i="17" l="1"/>
  <c r="D35" i="17"/>
  <c r="J35" i="17" s="1"/>
  <c r="D36" i="17" l="1"/>
  <c r="J36" i="17" s="1"/>
  <c r="F35" i="17"/>
  <c r="F36" i="17" l="1"/>
  <c r="D37" i="17"/>
  <c r="J37" i="17" s="1"/>
  <c r="D38" i="17" l="1"/>
  <c r="J38" i="17" s="1"/>
  <c r="F37" i="17"/>
  <c r="D39" i="17" l="1"/>
  <c r="J39" i="17" s="1"/>
  <c r="F38" i="17"/>
  <c r="F39" i="17" l="1"/>
  <c r="F8" i="9" l="1"/>
  <c r="F9" i="9"/>
  <c r="F10" i="9"/>
  <c r="F11" i="9"/>
  <c r="F12" i="9"/>
  <c r="F13" i="9"/>
  <c r="E8" i="9"/>
  <c r="E9" i="9"/>
  <c r="E10" i="9"/>
  <c r="E11" i="9"/>
  <c r="E12" i="9"/>
  <c r="E13" i="9"/>
  <c r="D13" i="9"/>
  <c r="D12" i="9"/>
  <c r="D11" i="9"/>
  <c r="D10" i="9"/>
  <c r="D9" i="9"/>
  <c r="D8" i="9"/>
  <c r="G9" i="9"/>
  <c r="H9" i="9"/>
  <c r="G13" i="9"/>
  <c r="G10" i="9"/>
  <c r="G11" i="9"/>
  <c r="G8" i="9"/>
  <c r="G12" i="9"/>
  <c r="E19" i="5" l="1"/>
  <c r="E17" i="5"/>
  <c r="E15" i="5"/>
  <c r="E18" i="5"/>
  <c r="E16" i="5"/>
  <c r="E14" i="5"/>
  <c r="M15" i="6"/>
  <c r="K39" i="17"/>
  <c r="K38" i="17"/>
  <c r="K37" i="17"/>
  <c r="K36" i="17"/>
  <c r="K35" i="17"/>
  <c r="K34" i="17"/>
  <c r="K33" i="17"/>
  <c r="K32" i="17"/>
  <c r="K31" i="17"/>
  <c r="K30" i="17"/>
  <c r="K29" i="17"/>
  <c r="K28" i="17"/>
  <c r="K27" i="17"/>
  <c r="K26" i="17"/>
  <c r="K25" i="17"/>
  <c r="K24" i="17"/>
  <c r="K23" i="17"/>
  <c r="K22" i="17"/>
  <c r="K21" i="17"/>
  <c r="K20" i="17"/>
  <c r="K19" i="17"/>
  <c r="K18" i="17"/>
  <c r="K17" i="17"/>
  <c r="K16" i="17"/>
  <c r="K15" i="17"/>
  <c r="K14" i="17"/>
  <c r="K13" i="17"/>
  <c r="K12" i="17"/>
  <c r="K11" i="17"/>
  <c r="K10" i="17"/>
  <c r="K9" i="17"/>
  <c r="K8" i="17"/>
  <c r="K7" i="17"/>
  <c r="K6" i="17"/>
  <c r="L14" i="17"/>
  <c r="L29" i="17"/>
  <c r="L26" i="17"/>
  <c r="L15" i="17"/>
  <c r="L11" i="17"/>
  <c r="L9" i="17"/>
  <c r="F19" i="5"/>
  <c r="L35" i="17"/>
  <c r="L24" i="17"/>
  <c r="L39" i="17"/>
  <c r="H10" i="9"/>
  <c r="F15" i="5"/>
  <c r="F16" i="5"/>
  <c r="L38" i="17"/>
  <c r="L30" i="17"/>
  <c r="H12" i="9"/>
  <c r="L6" i="17"/>
  <c r="L31" i="17"/>
  <c r="L25" i="17"/>
  <c r="L10" i="17"/>
  <c r="L36" i="17"/>
  <c r="L27" i="17"/>
  <c r="D3" i="11" a="1"/>
  <c r="L34" i="17"/>
  <c r="H13" i="9"/>
  <c r="H11" i="9"/>
  <c r="L23" i="17"/>
  <c r="F18" i="5"/>
  <c r="L37" i="17"/>
  <c r="L17" i="17"/>
  <c r="F17" i="5"/>
  <c r="L7" i="17"/>
  <c r="L28" i="17"/>
  <c r="L8" i="17"/>
  <c r="L13" i="17"/>
  <c r="L19" i="17"/>
  <c r="L21" i="17"/>
  <c r="L20" i="17"/>
  <c r="F14" i="5"/>
  <c r="L33" i="17"/>
  <c r="L22" i="17"/>
  <c r="H8" i="9"/>
  <c r="L32" i="17"/>
  <c r="L18" i="17"/>
  <c r="L16" i="17"/>
  <c r="L12" i="17"/>
  <c r="E80" i="5" l="1"/>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84" i="5"/>
  <c r="F95" i="5"/>
  <c r="F91" i="5"/>
  <c r="F103" i="5"/>
  <c r="F113" i="5"/>
  <c r="F111" i="5"/>
  <c r="F107" i="5"/>
  <c r="F97" i="5"/>
  <c r="F85" i="5"/>
  <c r="F88" i="5"/>
  <c r="F108" i="5"/>
  <c r="F102" i="5"/>
  <c r="F86" i="5"/>
  <c r="F100" i="5"/>
  <c r="F92" i="5"/>
  <c r="F96" i="5"/>
  <c r="F82" i="5"/>
  <c r="F94" i="5"/>
  <c r="F87" i="5"/>
  <c r="F104" i="5"/>
  <c r="F98" i="5"/>
  <c r="F99" i="5"/>
  <c r="F112" i="5"/>
  <c r="F93" i="5"/>
  <c r="F81" i="5"/>
  <c r="F89" i="5"/>
  <c r="F106" i="5"/>
  <c r="F83" i="5"/>
  <c r="F105" i="5"/>
  <c r="F109" i="5"/>
  <c r="F80" i="5"/>
  <c r="F90" i="5"/>
  <c r="F110" i="5"/>
  <c r="F101" i="5"/>
  <c r="G80" i="5"/>
  <c r="I80" i="5" l="1"/>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19" i="11"/>
  <c r="H39" i="11"/>
  <c r="H42" i="11"/>
  <c r="H5" i="11"/>
  <c r="H34" i="11"/>
  <c r="H12" i="11"/>
  <c r="H43" i="11"/>
  <c r="H37" i="11"/>
  <c r="H29" i="11"/>
  <c r="H26" i="11"/>
  <c r="H25" i="11"/>
  <c r="H16" i="11"/>
  <c r="H15" i="11"/>
  <c r="H14" i="11"/>
  <c r="H41" i="11"/>
  <c r="H20" i="11"/>
  <c r="H7" i="11"/>
  <c r="H3" i="11"/>
  <c r="H27" i="11"/>
  <c r="H28" i="11"/>
  <c r="H18" i="11"/>
  <c r="H35" i="11"/>
  <c r="H8" i="11"/>
  <c r="H10" i="11"/>
  <c r="H21" i="11"/>
  <c r="H9" i="11"/>
  <c r="H44" i="11"/>
  <c r="H24" i="11"/>
  <c r="H38" i="11"/>
  <c r="H31" i="11"/>
  <c r="H6" i="11"/>
  <c r="H32" i="11"/>
  <c r="H23" i="11"/>
  <c r="H17" i="11"/>
  <c r="H4" i="11"/>
  <c r="H30" i="11"/>
  <c r="H13" i="11"/>
  <c r="H33" i="11"/>
  <c r="H22" i="11"/>
  <c r="H11" i="11"/>
  <c r="H36" i="11"/>
  <c r="H40"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I18" i="11"/>
  <c r="I15" i="11"/>
  <c r="I36" i="11"/>
  <c r="I41" i="11"/>
  <c r="F48" i="5"/>
  <c r="F29" i="5"/>
  <c r="F28" i="5"/>
  <c r="I28" i="11"/>
  <c r="F59" i="5"/>
  <c r="I12" i="11"/>
  <c r="F50" i="5"/>
  <c r="F49" i="5"/>
  <c r="I21" i="11"/>
  <c r="F20" i="5"/>
  <c r="F55" i="5"/>
  <c r="I22" i="11"/>
  <c r="I3" i="11"/>
  <c r="F41" i="5"/>
  <c r="I17" i="11"/>
  <c r="I4" i="11"/>
  <c r="I11" i="11"/>
  <c r="F42" i="5"/>
  <c r="I14" i="11"/>
  <c r="I19" i="11"/>
  <c r="I34" i="11"/>
  <c r="F43" i="5"/>
  <c r="F25" i="5"/>
  <c r="F45" i="5"/>
  <c r="F33" i="5"/>
  <c r="F23" i="5"/>
  <c r="I5" i="11"/>
  <c r="I26" i="11"/>
  <c r="F27" i="5"/>
  <c r="I43" i="11"/>
  <c r="F52" i="5"/>
  <c r="I7" i="11"/>
  <c r="I29" i="11"/>
  <c r="I31" i="11"/>
  <c r="F44" i="5"/>
  <c r="I8" i="11"/>
  <c r="I42" i="11"/>
  <c r="I35" i="11"/>
  <c r="F35" i="5"/>
  <c r="F31" i="5"/>
  <c r="F54" i="5"/>
  <c r="F60" i="5"/>
  <c r="I37" i="11"/>
  <c r="I24" i="11"/>
  <c r="F30" i="5"/>
  <c r="F53" i="5"/>
  <c r="F22" i="5"/>
  <c r="I33" i="11"/>
  <c r="F58" i="5"/>
  <c r="I38" i="11"/>
  <c r="I20" i="11"/>
  <c r="I10" i="11"/>
  <c r="I27" i="11"/>
  <c r="F51" i="5"/>
  <c r="I39" i="11"/>
  <c r="I9" i="11"/>
  <c r="I25" i="11"/>
  <c r="F61" i="5"/>
  <c r="F38" i="5"/>
  <c r="I6" i="11"/>
  <c r="I23" i="11"/>
  <c r="F26" i="5"/>
  <c r="I16" i="11"/>
  <c r="I40" i="11"/>
  <c r="F21" i="5"/>
  <c r="F40" i="5"/>
  <c r="F56" i="5"/>
  <c r="F34" i="5"/>
  <c r="F36" i="5"/>
  <c r="F37" i="5"/>
  <c r="I44" i="11"/>
  <c r="F57" i="5"/>
  <c r="F32" i="5"/>
  <c r="F47" i="5"/>
  <c r="I30" i="11"/>
  <c r="I32" i="11"/>
  <c r="F46" i="5"/>
  <c r="F24" i="5"/>
  <c r="I13" i="11"/>
  <c r="F39" i="5"/>
  <c r="E3" i="9" l="1"/>
  <c r="F1" i="9"/>
  <c r="G1" i="9" s="1"/>
  <c r="E4" i="9"/>
  <c r="E6" i="9"/>
  <c r="E5" i="9"/>
  <c r="E7" i="9"/>
  <c r="G5" i="9"/>
  <c r="H5" i="9"/>
  <c r="G4" i="9"/>
  <c r="G7" i="9"/>
  <c r="G3" i="9"/>
  <c r="G6" i="9"/>
  <c r="H6" i="9" s="1"/>
  <c r="H4" i="9"/>
  <c r="E11" i="5" l="1"/>
  <c r="E12" i="5"/>
  <c r="E10" i="5"/>
  <c r="E9" i="5"/>
  <c r="E13" i="5"/>
  <c r="I1" i="7"/>
  <c r="J1" i="7" s="1"/>
  <c r="I3" i="7"/>
  <c r="I4" i="7"/>
  <c r="I5" i="7"/>
  <c r="I6" i="7"/>
  <c r="I7" i="7"/>
  <c r="I8" i="7"/>
  <c r="F1" i="7"/>
  <c r="I9" i="7"/>
  <c r="G2" i="9"/>
  <c r="H3" i="7"/>
  <c r="D4" i="7"/>
  <c r="H4" i="7"/>
  <c r="E9" i="7"/>
  <c r="F11" i="5"/>
  <c r="H9" i="7"/>
  <c r="F10" i="5"/>
  <c r="D7" i="7"/>
  <c r="H7" i="7"/>
  <c r="G8" i="7"/>
  <c r="D8" i="7"/>
  <c r="D3" i="7"/>
  <c r="E4" i="7"/>
  <c r="F12" i="5"/>
  <c r="H7" i="9"/>
  <c r="E6" i="7"/>
  <c r="G7" i="7"/>
  <c r="H6" i="7"/>
  <c r="F13" i="5"/>
  <c r="E8" i="7"/>
  <c r="G9" i="7"/>
  <c r="E7" i="7"/>
  <c r="D6" i="7"/>
  <c r="H8" i="7"/>
  <c r="E5" i="7"/>
  <c r="F8" i="7"/>
  <c r="E3" i="7"/>
  <c r="H5" i="7"/>
  <c r="D9" i="7"/>
  <c r="F9" i="5"/>
  <c r="F7" i="7"/>
  <c r="D5" i="7"/>
  <c r="F9" i="7"/>
  <c r="J2" i="7" l="1"/>
  <c r="J8" i="7"/>
  <c r="J5" i="7"/>
  <c r="J3" i="7"/>
  <c r="J7" i="7"/>
  <c r="J6" i="7"/>
  <c r="H3" i="9"/>
  <c r="J9" i="7"/>
  <c r="H2" i="9"/>
  <c r="J4" i="7"/>
  <c r="E3" i="5" l="1"/>
  <c r="E6" i="5"/>
  <c r="E4" i="5"/>
  <c r="E7" i="5"/>
  <c r="E2" i="5"/>
  <c r="E8" i="5"/>
  <c r="E5" i="5"/>
  <c r="D7" i="6"/>
  <c r="D8" i="6"/>
  <c r="D22" i="6"/>
  <c r="D9" i="5"/>
  <c r="D10" i="5"/>
  <c r="D11" i="5"/>
  <c r="D12" i="5"/>
  <c r="D13" i="5"/>
  <c r="D14" i="5"/>
  <c r="D15" i="5"/>
  <c r="D16" i="5"/>
  <c r="D17" i="5"/>
  <c r="D18" i="5"/>
  <c r="D19" i="5"/>
  <c r="D6" i="6"/>
  <c r="F8" i="5"/>
  <c r="K7" i="7"/>
  <c r="F7" i="5"/>
  <c r="F6" i="5"/>
  <c r="F5" i="5"/>
  <c r="K3" i="7"/>
  <c r="F4" i="5"/>
  <c r="K9" i="7"/>
  <c r="F2" i="5"/>
  <c r="D20" i="5" a="1"/>
  <c r="K6" i="7"/>
  <c r="D20" i="6"/>
  <c r="K8" i="7"/>
  <c r="K4" i="7"/>
  <c r="K2" i="7"/>
  <c r="B1" i="6"/>
  <c r="F3" i="5"/>
  <c r="K5" i="7"/>
  <c r="D9" i="6" l="1"/>
  <c r="D16" i="6"/>
  <c r="D19" i="6"/>
  <c r="C21" i="5"/>
  <c r="E19" i="6"/>
  <c r="C20" i="5"/>
  <c r="D21" i="5"/>
  <c r="D20" i="5"/>
  <c r="E20" i="6"/>
  <c r="C22" i="5"/>
  <c r="D22" i="5"/>
  <c r="C23" i="5" l="1"/>
  <c r="D23" i="5"/>
  <c r="G22" i="5"/>
  <c r="L21" i="5"/>
  <c r="G7" i="5"/>
  <c r="L17" i="5"/>
  <c r="G10" i="5"/>
  <c r="G14" i="5"/>
  <c r="G13" i="5"/>
  <c r="G17" i="5"/>
  <c r="L11" i="5"/>
  <c r="G5" i="5"/>
  <c r="L13" i="5"/>
  <c r="M6" i="5"/>
  <c r="G8" i="5"/>
  <c r="G19" i="5"/>
  <c r="M21" i="5"/>
  <c r="M9" i="5"/>
  <c r="L8" i="5"/>
  <c r="L19" i="5"/>
  <c r="G21" i="5"/>
  <c r="G12" i="5"/>
  <c r="H20" i="5"/>
  <c r="M2" i="5"/>
  <c r="L16" i="5"/>
  <c r="M5" i="5"/>
  <c r="M15" i="5"/>
  <c r="M14" i="5"/>
  <c r="G20" i="5"/>
  <c r="M7" i="5"/>
  <c r="M10" i="5"/>
  <c r="M11" i="5"/>
  <c r="G2" i="5"/>
  <c r="L5" i="5"/>
  <c r="M4" i="5"/>
  <c r="M12" i="5"/>
  <c r="G4" i="5"/>
  <c r="L9" i="5"/>
  <c r="G3" i="5"/>
  <c r="L4" i="5"/>
  <c r="L3" i="5"/>
  <c r="L18" i="5"/>
  <c r="G16" i="5"/>
  <c r="L14" i="5"/>
  <c r="L12" i="5"/>
  <c r="L22" i="5"/>
  <c r="G9" i="5"/>
  <c r="L7" i="5"/>
  <c r="M13" i="5"/>
  <c r="M20" i="5"/>
  <c r="L20" i="5"/>
  <c r="M18" i="5"/>
  <c r="G15" i="5"/>
  <c r="M17" i="5"/>
  <c r="G6" i="5"/>
  <c r="L2" i="5"/>
  <c r="L15" i="5"/>
  <c r="G11" i="5"/>
  <c r="M3" i="5"/>
  <c r="M16" i="5"/>
  <c r="H22" i="5"/>
  <c r="L10" i="5"/>
  <c r="G18" i="5"/>
  <c r="M22" i="5"/>
  <c r="L6" i="5"/>
  <c r="M8" i="5"/>
  <c r="M19" i="5"/>
  <c r="H21" i="5"/>
  <c r="M19" i="18" l="1" a="1"/>
  <c r="C24" i="5"/>
  <c r="D24" i="5"/>
  <c r="M24" i="18"/>
  <c r="M30" i="18"/>
  <c r="M31" i="18"/>
  <c r="M33" i="18"/>
  <c r="M20" i="18"/>
  <c r="M36" i="18"/>
  <c r="M23" i="18"/>
  <c r="M26" i="18"/>
  <c r="M32" i="18"/>
  <c r="M21" i="18"/>
  <c r="M25" i="18"/>
  <c r="M27" i="18"/>
  <c r="M34" i="18"/>
  <c r="M28" i="18"/>
  <c r="M22" i="18"/>
  <c r="M35" i="18"/>
  <c r="M29" i="18"/>
  <c r="M19" i="18"/>
  <c r="M23" i="5"/>
  <c r="G23" i="5"/>
  <c r="L23" i="5"/>
  <c r="H23" i="5"/>
  <c r="N24" i="18"/>
  <c r="O24" i="18"/>
  <c r="P24" i="18"/>
  <c r="P30" i="18"/>
  <c r="N30" i="18"/>
  <c r="O30" i="18"/>
  <c r="O31" i="18"/>
  <c r="N31" i="18"/>
  <c r="P31" i="18"/>
  <c r="P33" i="18"/>
  <c r="O33" i="18"/>
  <c r="N33" i="18"/>
  <c r="P20" i="18"/>
  <c r="N20" i="18"/>
  <c r="O20" i="18"/>
  <c r="N36" i="18"/>
  <c r="O36" i="18"/>
  <c r="P36" i="18"/>
  <c r="P23" i="18"/>
  <c r="N23" i="18"/>
  <c r="O23" i="18"/>
  <c r="O26" i="18"/>
  <c r="P26" i="18"/>
  <c r="N26" i="18"/>
  <c r="P32" i="18"/>
  <c r="O32" i="18"/>
  <c r="N32" i="18"/>
  <c r="P21" i="18"/>
  <c r="N21" i="18"/>
  <c r="O21" i="18"/>
  <c r="N25" i="18"/>
  <c r="O25" i="18"/>
  <c r="P25" i="18"/>
  <c r="O27" i="18"/>
  <c r="N27" i="18"/>
  <c r="P27" i="18"/>
  <c r="N34" i="18"/>
  <c r="O34" i="18"/>
  <c r="P34" i="18"/>
  <c r="N28" i="18"/>
  <c r="O28" i="18"/>
  <c r="P28" i="18"/>
  <c r="O22" i="18"/>
  <c r="P22" i="18"/>
  <c r="N22" i="18"/>
  <c r="N35" i="18"/>
  <c r="O35" i="18"/>
  <c r="P35" i="18"/>
  <c r="P29" i="18"/>
  <c r="N29" i="18"/>
  <c r="O29" i="18"/>
  <c r="N19" i="18"/>
  <c r="O19" i="18"/>
  <c r="P19" i="18"/>
  <c r="C25" i="5" l="1"/>
  <c r="D25" i="5"/>
  <c r="M24" i="5"/>
  <c r="G24" i="5"/>
  <c r="H24" i="5"/>
  <c r="L24" i="5"/>
  <c r="C26" i="5" l="1"/>
  <c r="D26" i="5"/>
  <c r="H25" i="5"/>
  <c r="M25" i="5"/>
  <c r="G25" i="5"/>
  <c r="L25" i="5"/>
  <c r="C27" i="5" l="1"/>
  <c r="D27" i="5"/>
  <c r="H26" i="5"/>
  <c r="M26" i="5"/>
  <c r="L26" i="5"/>
  <c r="G26" i="5"/>
  <c r="C28" i="5" l="1"/>
  <c r="D28" i="5"/>
  <c r="G27" i="5"/>
  <c r="H27" i="5"/>
  <c r="M27" i="5"/>
  <c r="L27" i="5"/>
  <c r="C29" i="5" l="1"/>
  <c r="D29" i="5"/>
  <c r="L28" i="5"/>
  <c r="G28" i="5"/>
  <c r="M28" i="5"/>
  <c r="H28" i="5"/>
  <c r="C30" i="5" l="1"/>
  <c r="D30" i="5"/>
  <c r="L29" i="5"/>
  <c r="G29" i="5"/>
  <c r="M29" i="5"/>
  <c r="H29" i="5"/>
  <c r="C31" i="5" l="1"/>
  <c r="D31" i="5"/>
  <c r="L30" i="5"/>
  <c r="H30" i="5"/>
  <c r="M30" i="5"/>
  <c r="G30" i="5"/>
  <c r="C32" i="5" l="1"/>
  <c r="D32" i="5"/>
  <c r="C33" i="5"/>
  <c r="D33" i="5"/>
  <c r="H31" i="5"/>
  <c r="M31" i="5"/>
  <c r="G31" i="5"/>
  <c r="L31" i="5"/>
  <c r="C34" i="5" l="1"/>
  <c r="D34" i="5"/>
  <c r="L33" i="5"/>
  <c r="M33" i="5"/>
  <c r="G32" i="5"/>
  <c r="M32" i="5"/>
  <c r="L32" i="5"/>
  <c r="H33" i="5"/>
  <c r="H32" i="5"/>
  <c r="G33" i="5"/>
  <c r="C35" i="5" l="1"/>
  <c r="D35" i="5"/>
  <c r="M34" i="5"/>
  <c r="H34" i="5"/>
  <c r="G34" i="5"/>
  <c r="L34" i="5"/>
  <c r="C36" i="5" l="1"/>
  <c r="D36" i="5"/>
  <c r="H35" i="5"/>
  <c r="M35" i="5"/>
  <c r="G35" i="5"/>
  <c r="L35" i="5"/>
  <c r="C37" i="5" l="1"/>
  <c r="D37" i="5"/>
  <c r="G36" i="5"/>
  <c r="M36" i="5"/>
  <c r="H36" i="5"/>
  <c r="L36" i="5"/>
  <c r="C38" i="5" l="1"/>
  <c r="D38" i="5"/>
  <c r="G37" i="5"/>
  <c r="M37" i="5"/>
  <c r="L37" i="5"/>
  <c r="H37" i="5"/>
  <c r="C39" i="5" l="1"/>
  <c r="D39" i="5"/>
  <c r="M38" i="5"/>
  <c r="L38" i="5"/>
  <c r="G38" i="5"/>
  <c r="H38" i="5"/>
  <c r="C40" i="5" l="1"/>
  <c r="D40" i="5"/>
  <c r="H39" i="5"/>
  <c r="G39" i="5"/>
  <c r="L39" i="5"/>
  <c r="M39" i="5"/>
  <c r="C41" i="5" l="1"/>
  <c r="D41" i="5"/>
  <c r="G40" i="5"/>
  <c r="M40" i="5"/>
  <c r="L40" i="5"/>
  <c r="H40" i="5"/>
  <c r="C42" i="5" l="1"/>
  <c r="D42" i="5"/>
  <c r="G41" i="5"/>
  <c r="H41" i="5"/>
  <c r="M41" i="5"/>
  <c r="L41" i="5"/>
  <c r="C43" i="5" l="1"/>
  <c r="D43" i="5"/>
  <c r="H42" i="5"/>
  <c r="L42" i="5"/>
  <c r="G42" i="5"/>
  <c r="M42" i="5"/>
  <c r="C44" i="5" l="1"/>
  <c r="D44" i="5"/>
  <c r="G43" i="5"/>
  <c r="H43" i="5"/>
  <c r="L43" i="5"/>
  <c r="M43" i="5"/>
  <c r="C45" i="5" l="1"/>
  <c r="D45" i="5"/>
  <c r="H44" i="5"/>
  <c r="G44" i="5"/>
  <c r="L44" i="5"/>
  <c r="M44" i="5"/>
  <c r="C46" i="5" l="1"/>
  <c r="D46" i="5"/>
  <c r="L45" i="5"/>
  <c r="M45" i="5"/>
  <c r="H45" i="5"/>
  <c r="G45" i="5"/>
  <c r="C47" i="5" l="1"/>
  <c r="D47" i="5"/>
  <c r="M46" i="5"/>
  <c r="H46" i="5"/>
  <c r="G46" i="5"/>
  <c r="L46" i="5"/>
  <c r="C48" i="5" l="1"/>
  <c r="D48" i="5"/>
  <c r="H47" i="5"/>
  <c r="M47" i="5"/>
  <c r="G47" i="5"/>
  <c r="L47" i="5"/>
  <c r="C49" i="5" l="1"/>
  <c r="D49" i="5"/>
  <c r="H48" i="5"/>
  <c r="M48" i="5"/>
  <c r="L48" i="5"/>
  <c r="G48" i="5"/>
  <c r="C50" i="5" l="1"/>
  <c r="D50" i="5"/>
  <c r="M49" i="5"/>
  <c r="L49" i="5"/>
  <c r="G49" i="5"/>
  <c r="H49" i="5"/>
  <c r="C51" i="5" l="1"/>
  <c r="D51" i="5"/>
  <c r="L50" i="5"/>
  <c r="G50" i="5"/>
  <c r="M50" i="5"/>
  <c r="H50" i="5"/>
  <c r="C52" i="5" l="1"/>
  <c r="D52" i="5"/>
  <c r="M51" i="5"/>
  <c r="G51" i="5"/>
  <c r="H51" i="5"/>
  <c r="L51" i="5"/>
  <c r="C53" i="5" l="1"/>
  <c r="D53" i="5"/>
  <c r="C54" i="5"/>
  <c r="D54" i="5"/>
  <c r="L52" i="5"/>
  <c r="M52" i="5"/>
  <c r="H52" i="5"/>
  <c r="G52" i="5"/>
  <c r="C55" i="5" l="1"/>
  <c r="D55" i="5"/>
  <c r="L53" i="5"/>
  <c r="M53" i="5"/>
  <c r="G53" i="5"/>
  <c r="G54" i="5"/>
  <c r="H53" i="5"/>
  <c r="L54" i="5"/>
  <c r="H54" i="5"/>
  <c r="M54" i="5"/>
  <c r="C56" i="5" l="1"/>
  <c r="D56" i="5"/>
  <c r="G55" i="5"/>
  <c r="H55" i="5"/>
  <c r="L55" i="5"/>
  <c r="M55" i="5"/>
  <c r="C57" i="5" l="1"/>
  <c r="D57" i="5"/>
  <c r="C58" i="5"/>
  <c r="D58" i="5"/>
  <c r="C59" i="5"/>
  <c r="D59" i="5"/>
  <c r="M56" i="5"/>
  <c r="H56" i="5"/>
  <c r="L56" i="5"/>
  <c r="G56" i="5"/>
  <c r="C60" i="5" l="1"/>
  <c r="D60" i="5"/>
  <c r="C61" i="5"/>
  <c r="D61" i="5"/>
  <c r="G59" i="5"/>
  <c r="M57" i="5"/>
  <c r="M59" i="5"/>
  <c r="L57" i="5"/>
  <c r="M58" i="5"/>
  <c r="H59" i="5"/>
  <c r="G58" i="5"/>
  <c r="H57" i="5"/>
  <c r="L58" i="5"/>
  <c r="H58" i="5"/>
  <c r="L59" i="5"/>
  <c r="G57" i="5"/>
  <c r="E62" i="5" l="1"/>
  <c r="E63" i="5"/>
  <c r="E64" i="5"/>
  <c r="E65" i="5"/>
  <c r="E66" i="5"/>
  <c r="E67" i="5"/>
  <c r="E68" i="5"/>
  <c r="E69" i="5"/>
  <c r="E70" i="5"/>
  <c r="E71" i="5"/>
  <c r="E72" i="5"/>
  <c r="E73" i="5"/>
  <c r="E74" i="5"/>
  <c r="E75" i="5"/>
  <c r="E76" i="5"/>
  <c r="E77" i="5"/>
  <c r="E78" i="5"/>
  <c r="E79" i="5"/>
  <c r="F75" i="5"/>
  <c r="F74" i="5"/>
  <c r="F78" i="5"/>
  <c r="F70" i="5"/>
  <c r="F73" i="5"/>
  <c r="F67" i="5"/>
  <c r="F64" i="5"/>
  <c r="F62" i="5"/>
  <c r="F79" i="5"/>
  <c r="F69" i="5"/>
  <c r="F76" i="5"/>
  <c r="F65" i="5"/>
  <c r="F72" i="5"/>
  <c r="F66" i="5"/>
  <c r="F77" i="5"/>
  <c r="F68" i="5"/>
  <c r="F63" i="5"/>
  <c r="F71" i="5"/>
  <c r="L68" i="5"/>
  <c r="M76" i="5"/>
  <c r="L78" i="5"/>
  <c r="G66" i="5"/>
  <c r="L76" i="5"/>
  <c r="M75" i="5"/>
  <c r="L79" i="5"/>
  <c r="G68" i="5"/>
  <c r="H63" i="5"/>
  <c r="H76" i="5"/>
  <c r="L63" i="5"/>
  <c r="H79" i="5"/>
  <c r="L60" i="5"/>
  <c r="G62" i="5"/>
  <c r="L72" i="5"/>
  <c r="L64" i="5"/>
  <c r="H71" i="5"/>
  <c r="M62" i="5"/>
  <c r="G67" i="5"/>
  <c r="L75" i="5"/>
  <c r="G75" i="5"/>
  <c r="H70" i="5"/>
  <c r="H67" i="5"/>
  <c r="L77" i="5"/>
  <c r="G78" i="5"/>
  <c r="M71" i="5"/>
  <c r="M74" i="5"/>
  <c r="M77" i="5"/>
  <c r="M66" i="5"/>
  <c r="H72" i="5"/>
  <c r="M60" i="5"/>
  <c r="G70" i="5"/>
  <c r="M78" i="5"/>
  <c r="G76" i="5"/>
  <c r="M79" i="5"/>
  <c r="H60" i="5"/>
  <c r="H77" i="5"/>
  <c r="H75" i="5"/>
  <c r="M67" i="5"/>
  <c r="G61" i="5"/>
  <c r="H66" i="5"/>
  <c r="G72" i="5"/>
  <c r="L74" i="5"/>
  <c r="H73" i="5"/>
  <c r="H78" i="5"/>
  <c r="L71" i="5"/>
  <c r="G74" i="5"/>
  <c r="M61" i="5"/>
  <c r="M68" i="5"/>
  <c r="G73" i="5"/>
  <c r="L66" i="5"/>
  <c r="M65" i="5"/>
  <c r="G63" i="5"/>
  <c r="L61" i="5"/>
  <c r="G77" i="5"/>
  <c r="G64" i="5"/>
  <c r="L73" i="5"/>
  <c r="H61" i="5"/>
  <c r="M72" i="5"/>
  <c r="M69" i="5"/>
  <c r="G60" i="5"/>
  <c r="G79" i="5"/>
  <c r="G71" i="5"/>
  <c r="G65" i="5"/>
  <c r="L70" i="5"/>
  <c r="M63" i="5"/>
  <c r="M73" i="5"/>
  <c r="H68" i="5"/>
  <c r="L65" i="5"/>
  <c r="M64" i="5"/>
  <c r="M70" i="5"/>
  <c r="H64" i="5"/>
  <c r="L62" i="5"/>
  <c r="H69" i="5"/>
  <c r="L69" i="5"/>
  <c r="H74" i="5"/>
  <c r="H65" i="5"/>
  <c r="G69" i="5"/>
  <c r="L67" i="5"/>
  <c r="H62" i="5"/>
  <c r="B80" i="5" l="1"/>
  <c r="C80" i="5"/>
  <c r="B81" i="5" l="1"/>
  <c r="C81" i="5"/>
  <c r="M80" i="5"/>
  <c r="L80" i="5"/>
  <c r="H80" i="5"/>
  <c r="B82" i="5" l="1"/>
  <c r="C82" i="5"/>
  <c r="L81" i="5"/>
  <c r="H81" i="5"/>
  <c r="G81" i="5"/>
  <c r="M81" i="5"/>
  <c r="I81" i="5" l="1"/>
  <c r="B83" i="5"/>
  <c r="C83" i="5"/>
  <c r="L82" i="5"/>
  <c r="H82" i="5"/>
  <c r="G82" i="5"/>
  <c r="M82" i="5"/>
  <c r="I82" i="5" l="1"/>
  <c r="B84" i="5"/>
  <c r="C84" i="5"/>
  <c r="G83" i="5"/>
  <c r="H83" i="5"/>
  <c r="M83" i="5"/>
  <c r="L83" i="5"/>
  <c r="I83" i="5" l="1"/>
  <c r="B85" i="5"/>
  <c r="C85" i="5"/>
  <c r="M84" i="5"/>
  <c r="L84" i="5"/>
  <c r="H84" i="5"/>
  <c r="G84" i="5"/>
  <c r="I84" i="5" l="1"/>
  <c r="B86" i="5"/>
  <c r="C86" i="5"/>
  <c r="G85" i="5"/>
  <c r="M85" i="5"/>
  <c r="H85" i="5"/>
  <c r="L85" i="5"/>
  <c r="I85" i="5" l="1"/>
  <c r="B87" i="5"/>
  <c r="C87" i="5"/>
  <c r="G86" i="5"/>
  <c r="H86" i="5"/>
  <c r="L86" i="5"/>
  <c r="M86" i="5"/>
  <c r="I86" i="5" l="1"/>
  <c r="B88" i="5"/>
  <c r="C88" i="5"/>
  <c r="L87" i="5"/>
  <c r="G87" i="5"/>
  <c r="M87" i="5"/>
  <c r="H87" i="5"/>
  <c r="I87" i="5" l="1"/>
  <c r="B89" i="5"/>
  <c r="C89" i="5"/>
  <c r="G88" i="5"/>
  <c r="M88" i="5"/>
  <c r="L88" i="5"/>
  <c r="H88" i="5"/>
  <c r="I88" i="5" l="1"/>
  <c r="B90" i="5"/>
  <c r="C90" i="5"/>
  <c r="M89" i="5"/>
  <c r="G89" i="5"/>
  <c r="H89" i="5"/>
  <c r="L89" i="5"/>
  <c r="I89" i="5" l="1"/>
  <c r="B91" i="5"/>
  <c r="C91" i="5"/>
  <c r="G90" i="5"/>
  <c r="H90" i="5"/>
  <c r="M90" i="5"/>
  <c r="L90" i="5"/>
  <c r="I90" i="5" l="1"/>
  <c r="B92" i="5"/>
  <c r="C92" i="5"/>
  <c r="M91" i="5"/>
  <c r="L91" i="5"/>
  <c r="H91" i="5"/>
  <c r="G91" i="5"/>
  <c r="I91" i="5" l="1"/>
  <c r="B93" i="5"/>
  <c r="C93" i="5"/>
  <c r="G92" i="5"/>
  <c r="M92" i="5"/>
  <c r="H92" i="5"/>
  <c r="L92" i="5"/>
  <c r="I92" i="5" l="1"/>
  <c r="B94" i="5"/>
  <c r="C94" i="5"/>
  <c r="G93" i="5"/>
  <c r="L93" i="5"/>
  <c r="M93" i="5"/>
  <c r="H93" i="5"/>
  <c r="I93" i="5" l="1"/>
  <c r="B95" i="5"/>
  <c r="C95" i="5"/>
  <c r="M94" i="5"/>
  <c r="H94" i="5"/>
  <c r="L94" i="5"/>
  <c r="G94" i="5"/>
  <c r="I94" i="5" l="1"/>
  <c r="B96" i="5"/>
  <c r="C96" i="5"/>
  <c r="L95" i="5"/>
  <c r="H95" i="5"/>
  <c r="M95" i="5"/>
  <c r="G95" i="5"/>
  <c r="I95" i="5" l="1"/>
  <c r="B97" i="5"/>
  <c r="C97" i="5"/>
  <c r="M96" i="5"/>
  <c r="L96" i="5"/>
  <c r="G96" i="5"/>
  <c r="H96" i="5"/>
  <c r="I96" i="5" l="1"/>
  <c r="B98" i="5"/>
  <c r="C98" i="5"/>
  <c r="G97" i="5"/>
  <c r="H97" i="5"/>
  <c r="M97" i="5"/>
  <c r="L97" i="5"/>
  <c r="I97" i="5" l="1"/>
  <c r="B99" i="5"/>
  <c r="C99" i="5"/>
  <c r="G98" i="5"/>
  <c r="H98" i="5"/>
  <c r="L98" i="5"/>
  <c r="M98" i="5"/>
  <c r="I98" i="5" l="1"/>
  <c r="B100" i="5"/>
  <c r="C100" i="5"/>
  <c r="G99" i="5"/>
  <c r="L99" i="5"/>
  <c r="M99" i="5"/>
  <c r="H99" i="5"/>
  <c r="I99" i="5" l="1"/>
  <c r="B101" i="5"/>
  <c r="C101" i="5"/>
  <c r="L100" i="5"/>
  <c r="M100" i="5"/>
  <c r="G100" i="5"/>
  <c r="H100" i="5"/>
  <c r="I100" i="5" l="1"/>
  <c r="B102" i="5"/>
  <c r="C102" i="5"/>
  <c r="H101" i="5"/>
  <c r="G101" i="5"/>
  <c r="L101" i="5"/>
  <c r="M101" i="5"/>
  <c r="I101" i="5" l="1"/>
  <c r="B103" i="5"/>
  <c r="C103" i="5"/>
  <c r="M102" i="5"/>
  <c r="L102" i="5"/>
  <c r="G102" i="5"/>
  <c r="H102" i="5"/>
  <c r="I102" i="5" l="1"/>
  <c r="B104" i="5"/>
  <c r="C104" i="5"/>
  <c r="G103" i="5"/>
  <c r="M103" i="5"/>
  <c r="L103" i="5"/>
  <c r="H103" i="5"/>
  <c r="I103" i="5" l="1"/>
  <c r="B105" i="5"/>
  <c r="C105" i="5"/>
  <c r="L104" i="5"/>
  <c r="M104" i="5"/>
  <c r="H104" i="5"/>
  <c r="G104" i="5"/>
  <c r="I104" i="5" l="1"/>
  <c r="B106" i="5"/>
  <c r="C106" i="5"/>
  <c r="M105" i="5"/>
  <c r="L105" i="5"/>
  <c r="H105" i="5"/>
  <c r="G105" i="5"/>
  <c r="I105" i="5" l="1"/>
  <c r="B107" i="5"/>
  <c r="C107" i="5"/>
  <c r="L106" i="5"/>
  <c r="H106" i="5"/>
  <c r="M106" i="5"/>
  <c r="G106" i="5"/>
  <c r="I106" i="5" l="1"/>
  <c r="B108" i="5"/>
  <c r="C108" i="5"/>
  <c r="G107" i="5"/>
  <c r="H107" i="5"/>
  <c r="L107" i="5"/>
  <c r="M107" i="5"/>
  <c r="I107" i="5" l="1"/>
  <c r="B109" i="5"/>
  <c r="C109" i="5"/>
  <c r="G108" i="5"/>
  <c r="H108" i="5"/>
  <c r="M108" i="5"/>
  <c r="L108" i="5"/>
  <c r="I108" i="5" l="1"/>
  <c r="B110" i="5"/>
  <c r="C110" i="5"/>
  <c r="H109" i="5"/>
  <c r="M109" i="5"/>
  <c r="L109" i="5"/>
  <c r="G109" i="5"/>
  <c r="I109" i="5" l="1"/>
  <c r="B111" i="5"/>
  <c r="C111" i="5"/>
  <c r="H110" i="5"/>
  <c r="G110" i="5"/>
  <c r="M110" i="5"/>
  <c r="L110" i="5"/>
  <c r="I110" i="5" l="1"/>
  <c r="B112" i="5"/>
  <c r="C112" i="5"/>
  <c r="L111" i="5"/>
  <c r="G111" i="5"/>
  <c r="M111" i="5"/>
  <c r="H111" i="5"/>
  <c r="I111" i="5" l="1"/>
  <c r="B113" i="5"/>
  <c r="C113" i="5"/>
  <c r="G112" i="5"/>
  <c r="L112" i="5"/>
  <c r="M112" i="5"/>
  <c r="H112" i="5"/>
  <c r="L113" i="5"/>
  <c r="H113" i="5"/>
  <c r="G113" i="5"/>
  <c r="M113" i="5"/>
  <c r="M54" i="18"/>
  <c r="M70" i="18"/>
  <c r="M68" i="18"/>
  <c r="M50" i="18"/>
  <c r="M67" i="18"/>
  <c r="M53" i="18"/>
  <c r="M63" i="18"/>
  <c r="M69" i="18"/>
  <c r="M66" i="18"/>
  <c r="M49" i="18"/>
  <c r="M52" i="18"/>
  <c r="M48" i="18"/>
  <c r="M51" i="18"/>
  <c r="M39" i="18"/>
  <c r="M47" i="18"/>
  <c r="M57" i="18"/>
  <c r="M59" i="18"/>
  <c r="M46" i="18"/>
  <c r="M41" i="18"/>
  <c r="M55" i="18"/>
  <c r="M74" i="18"/>
  <c r="M61" i="18"/>
  <c r="M72" i="18"/>
  <c r="M71" i="18"/>
  <c r="M45" i="18"/>
  <c r="M56" i="18"/>
  <c r="M58" i="18"/>
  <c r="M65" i="18"/>
  <c r="M40" i="18"/>
  <c r="M64" i="18"/>
  <c r="M73" i="18"/>
  <c r="M62" i="18"/>
  <c r="M42" i="18"/>
  <c r="M60" i="18"/>
  <c r="M44" i="18"/>
  <c r="M75" i="18"/>
  <c r="M43" i="18"/>
  <c r="N54" i="18"/>
  <c r="O54" i="18"/>
  <c r="O70" i="18"/>
  <c r="N70" i="18"/>
  <c r="N68" i="18"/>
  <c r="O68" i="18"/>
  <c r="N50" i="18"/>
  <c r="O50" i="18"/>
  <c r="N67" i="18"/>
  <c r="O67" i="18"/>
  <c r="N53" i="18"/>
  <c r="O53" i="18"/>
  <c r="N63" i="18"/>
  <c r="O63" i="18"/>
  <c r="N69" i="18"/>
  <c r="O69" i="18"/>
  <c r="O66" i="18"/>
  <c r="N66" i="18"/>
  <c r="O49" i="18"/>
  <c r="N49" i="18"/>
  <c r="O52" i="18"/>
  <c r="N52" i="18"/>
  <c r="N48" i="18"/>
  <c r="O48" i="18"/>
  <c r="N51" i="18"/>
  <c r="O51" i="18"/>
  <c r="N39" i="18"/>
  <c r="O39" i="18"/>
  <c r="N47" i="18"/>
  <c r="O47" i="18"/>
  <c r="N57" i="18"/>
  <c r="O57" i="18"/>
  <c r="O59" i="18"/>
  <c r="N59" i="18"/>
  <c r="O46" i="18"/>
  <c r="N46" i="18"/>
  <c r="N41" i="18"/>
  <c r="O41" i="18"/>
  <c r="O55" i="18"/>
  <c r="N55" i="18"/>
  <c r="N74" i="18"/>
  <c r="O74" i="18"/>
  <c r="O61" i="18"/>
  <c r="N61" i="18"/>
  <c r="N72" i="18"/>
  <c r="O72" i="18"/>
  <c r="N71" i="18"/>
  <c r="O71" i="18"/>
  <c r="O45" i="18"/>
  <c r="N45" i="18"/>
  <c r="N56" i="18"/>
  <c r="O56" i="18"/>
  <c r="N58" i="18"/>
  <c r="O58" i="18"/>
  <c r="O65" i="18"/>
  <c r="N65" i="18"/>
  <c r="N40" i="18"/>
  <c r="O40" i="18"/>
  <c r="O64" i="18"/>
  <c r="N64" i="18"/>
  <c r="O73" i="18"/>
  <c r="N73" i="18"/>
  <c r="O62" i="18"/>
  <c r="N62" i="18"/>
  <c r="N42" i="18"/>
  <c r="O42" i="18"/>
  <c r="O60" i="18"/>
  <c r="N60" i="18"/>
  <c r="O44" i="18"/>
  <c r="N44" i="18"/>
  <c r="N75" i="18"/>
  <c r="O75" i="18"/>
  <c r="O43" i="18"/>
  <c r="N43" i="18"/>
  <c r="Q43" i="18" l="1"/>
  <c r="Q75" i="18"/>
  <c r="Q44" i="18"/>
  <c r="Q60" i="18"/>
  <c r="Q42" i="18"/>
  <c r="Q62" i="18"/>
  <c r="Q73" i="18"/>
  <c r="Q64" i="18"/>
  <c r="Q40" i="18"/>
  <c r="Q65" i="18"/>
  <c r="Q58" i="18"/>
  <c r="Q56" i="18"/>
  <c r="Q45" i="18"/>
  <c r="Q71" i="18"/>
  <c r="Q72" i="18"/>
  <c r="Q61" i="18"/>
  <c r="Q74" i="18"/>
  <c r="Q55" i="18"/>
  <c r="Q41" i="18"/>
  <c r="Q46" i="18"/>
  <c r="Q59" i="18"/>
  <c r="Q57" i="18"/>
  <c r="Q47" i="18"/>
  <c r="Q39" i="18"/>
  <c r="Q51" i="18"/>
  <c r="Q48" i="18"/>
  <c r="Q52" i="18"/>
  <c r="Q49" i="18"/>
  <c r="Q66" i="18"/>
  <c r="Q69" i="18"/>
  <c r="Q63" i="18"/>
  <c r="Q53" i="18"/>
  <c r="Q67" i="18"/>
  <c r="Q50" i="18"/>
  <c r="Q68" i="18"/>
  <c r="Q70" i="18"/>
  <c r="Q54" i="18"/>
  <c r="I113" i="5"/>
  <c r="I112" i="5"/>
  <c r="H2" i="11"/>
  <c r="R74" i="18"/>
  <c r="S74" i="18" s="1"/>
  <c r="R67" i="18"/>
  <c r="S67" i="18" s="1"/>
  <c r="R60" i="18"/>
  <c r="S60" i="18" s="1"/>
  <c r="R64" i="18"/>
  <c r="S64" i="18" s="1"/>
  <c r="R65" i="18"/>
  <c r="S65" i="18" s="1"/>
  <c r="R66" i="18"/>
  <c r="S66" i="18" s="1"/>
  <c r="R69" i="18"/>
  <c r="S69" i="18" s="1"/>
  <c r="R61" i="18"/>
  <c r="S61" i="18" s="1"/>
  <c r="R75" i="18"/>
  <c r="S75" i="18" s="1"/>
  <c r="R55" i="18"/>
  <c r="S55" i="18" s="1"/>
  <c r="R62" i="18"/>
  <c r="S62" i="18" s="1"/>
  <c r="R56" i="18"/>
  <c r="S56" i="18" s="1"/>
  <c r="R72" i="18"/>
  <c r="S72" i="18" s="1"/>
  <c r="R68" i="18"/>
  <c r="S68" i="18" s="1"/>
  <c r="R70" i="18"/>
  <c r="S70" i="18" s="1"/>
  <c r="R59" i="18"/>
  <c r="S59" i="18" s="1"/>
  <c r="R57" i="18"/>
  <c r="S57" i="18" s="1"/>
  <c r="R73" i="18"/>
  <c r="S73" i="18" s="1"/>
  <c r="R58" i="18"/>
  <c r="S58" i="18" s="1"/>
  <c r="R71" i="18"/>
  <c r="S71" i="18" s="1"/>
  <c r="R63" i="18"/>
  <c r="S63" i="18" s="1"/>
  <c r="D2" i="4" a="1"/>
  <c r="I2" i="1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H116" i="4"/>
  <c r="F105" i="4"/>
  <c r="H30" i="4"/>
  <c r="H42" i="4"/>
  <c r="F117" i="4"/>
  <c r="I46" i="4"/>
  <c r="I109" i="4"/>
  <c r="G32" i="4"/>
  <c r="G84" i="4"/>
  <c r="H90" i="4"/>
  <c r="G115" i="4"/>
  <c r="I110" i="4"/>
  <c r="I112" i="4"/>
  <c r="H71" i="4"/>
  <c r="G96" i="4"/>
  <c r="G67" i="4"/>
  <c r="H36" i="4"/>
  <c r="G117" i="4"/>
  <c r="I33" i="4"/>
  <c r="H33" i="4"/>
  <c r="E89" i="4"/>
  <c r="G8" i="4"/>
  <c r="E39" i="4"/>
  <c r="E77" i="4"/>
  <c r="H66" i="4"/>
  <c r="H51" i="4"/>
  <c r="F82" i="4"/>
  <c r="E121" i="4"/>
  <c r="H59" i="4"/>
  <c r="H2" i="4"/>
  <c r="I34" i="4"/>
  <c r="I76" i="4"/>
  <c r="I8" i="4"/>
  <c r="G85" i="4"/>
  <c r="E125" i="4"/>
  <c r="E85" i="4"/>
  <c r="G114" i="4"/>
  <c r="I102" i="4"/>
  <c r="H119" i="4"/>
  <c r="I100" i="4"/>
  <c r="H65" i="4"/>
  <c r="E106" i="4"/>
  <c r="F113" i="4"/>
  <c r="I105" i="4"/>
  <c r="G37" i="4"/>
  <c r="H111" i="4"/>
  <c r="H37" i="4"/>
  <c r="E55" i="4"/>
  <c r="H104" i="4"/>
  <c r="E44" i="4"/>
  <c r="G70" i="4"/>
  <c r="I85" i="4"/>
  <c r="F111" i="4"/>
  <c r="I55" i="4"/>
  <c r="I89" i="4"/>
  <c r="H56" i="4"/>
  <c r="G9" i="4"/>
  <c r="E7" i="4"/>
  <c r="G35" i="4"/>
  <c r="F83" i="4"/>
  <c r="E24" i="4"/>
  <c r="F112" i="4"/>
  <c r="H69" i="4"/>
  <c r="I44" i="4"/>
  <c r="H62" i="4"/>
  <c r="G43" i="4"/>
  <c r="G110" i="4"/>
  <c r="I59" i="4"/>
  <c r="H43" i="4"/>
  <c r="H10" i="4"/>
  <c r="I40" i="4"/>
  <c r="H13" i="4"/>
  <c r="G25" i="4"/>
  <c r="G53" i="4"/>
  <c r="E88" i="4"/>
  <c r="F8" i="4"/>
  <c r="F43" i="4"/>
  <c r="E75" i="4"/>
  <c r="F123" i="4"/>
  <c r="G64" i="4"/>
  <c r="G10" i="4"/>
  <c r="F58" i="4"/>
  <c r="H123" i="4"/>
  <c r="H99" i="4"/>
  <c r="F30" i="4"/>
  <c r="F102" i="4"/>
  <c r="G86" i="4"/>
  <c r="E117" i="4"/>
  <c r="E5" i="4"/>
  <c r="H77" i="4"/>
  <c r="E31" i="4"/>
  <c r="F55" i="4"/>
  <c r="I104" i="4"/>
  <c r="I78" i="4"/>
  <c r="F80" i="4"/>
  <c r="E26" i="4"/>
  <c r="F13" i="4"/>
  <c r="I66" i="4"/>
  <c r="E38" i="4"/>
  <c r="H27" i="4"/>
  <c r="E54" i="4"/>
  <c r="G76" i="4"/>
  <c r="I101" i="4"/>
  <c r="H11" i="4"/>
  <c r="G107" i="4"/>
  <c r="F75" i="4"/>
  <c r="F44" i="4"/>
  <c r="I91" i="4"/>
  <c r="G58" i="4"/>
  <c r="I37" i="4"/>
  <c r="F104" i="4"/>
  <c r="E15" i="4"/>
  <c r="I82" i="4"/>
  <c r="E68" i="4"/>
  <c r="F49" i="4"/>
  <c r="G13" i="4"/>
  <c r="I95" i="4"/>
  <c r="I50" i="4"/>
  <c r="E16" i="4"/>
  <c r="E90" i="4"/>
  <c r="F15" i="4"/>
  <c r="I54" i="4"/>
  <c r="E19" i="4"/>
  <c r="F74" i="4"/>
  <c r="I96" i="4"/>
  <c r="I42" i="4"/>
  <c r="G61" i="4"/>
  <c r="H124" i="4"/>
  <c r="E80" i="4"/>
  <c r="G11" i="4"/>
  <c r="I47" i="4"/>
  <c r="F47" i="4"/>
  <c r="E2" i="4"/>
  <c r="H40" i="4"/>
  <c r="F5" i="4"/>
  <c r="H15" i="4"/>
  <c r="E103" i="4"/>
  <c r="G66" i="4"/>
  <c r="E42" i="4"/>
  <c r="I92" i="4"/>
  <c r="E99" i="4"/>
  <c r="I86" i="4"/>
  <c r="E41" i="4"/>
  <c r="H73" i="4"/>
  <c r="G42" i="4"/>
  <c r="H29" i="4"/>
  <c r="I93" i="4"/>
  <c r="G93" i="4"/>
  <c r="E83" i="4"/>
  <c r="H67" i="4"/>
  <c r="I36" i="4"/>
  <c r="F37" i="4"/>
  <c r="F54" i="4"/>
  <c r="E52" i="4"/>
  <c r="H18" i="4"/>
  <c r="I111" i="4"/>
  <c r="H68" i="4"/>
  <c r="I106" i="4"/>
  <c r="E22" i="4"/>
  <c r="E123" i="4"/>
  <c r="F24" i="4"/>
  <c r="G62" i="4"/>
  <c r="I3" i="4"/>
  <c r="F84" i="4"/>
  <c r="I75" i="4"/>
  <c r="E63" i="4"/>
  <c r="F73" i="4"/>
  <c r="F122" i="4"/>
  <c r="E100" i="4"/>
  <c r="F126" i="4"/>
  <c r="G123" i="4"/>
  <c r="I65" i="4"/>
  <c r="I32" i="4"/>
  <c r="F60" i="4"/>
  <c r="I124" i="4"/>
  <c r="E33" i="4"/>
  <c r="F95" i="4"/>
  <c r="G59" i="4"/>
  <c r="E81" i="4"/>
  <c r="I70" i="4"/>
  <c r="E13" i="4"/>
  <c r="I38" i="4"/>
  <c r="E18" i="4"/>
  <c r="G87" i="4"/>
  <c r="E118" i="4"/>
  <c r="G83" i="4"/>
  <c r="I64" i="4"/>
  <c r="G44" i="4"/>
  <c r="I18" i="4"/>
  <c r="G5" i="4"/>
  <c r="H96" i="4"/>
  <c r="F94" i="4"/>
  <c r="I63" i="4"/>
  <c r="E95" i="4"/>
  <c r="G65" i="4"/>
  <c r="F35" i="4"/>
  <c r="E94" i="4"/>
  <c r="F93" i="4"/>
  <c r="F92" i="4"/>
  <c r="I5" i="4"/>
  <c r="G6" i="4"/>
  <c r="I16" i="4"/>
  <c r="E46" i="4"/>
  <c r="H107" i="4"/>
  <c r="G68" i="4"/>
  <c r="H54" i="4"/>
  <c r="F106" i="4"/>
  <c r="F19" i="4"/>
  <c r="I71" i="4"/>
  <c r="F107" i="4"/>
  <c r="E102" i="4"/>
  <c r="G82" i="4"/>
  <c r="F38" i="4"/>
  <c r="F42" i="4"/>
  <c r="H45" i="4"/>
  <c r="G36" i="4"/>
  <c r="F72" i="4"/>
  <c r="I56" i="4"/>
  <c r="F9" i="4"/>
  <c r="I60" i="4"/>
  <c r="F125" i="4"/>
  <c r="E82" i="4"/>
  <c r="I79" i="4"/>
  <c r="I30" i="4"/>
  <c r="G109" i="4"/>
  <c r="H105" i="4"/>
  <c r="I43" i="4"/>
  <c r="E36" i="4"/>
  <c r="E58" i="4"/>
  <c r="E84" i="4"/>
  <c r="F119" i="4"/>
  <c r="H103" i="4"/>
  <c r="I2" i="4"/>
  <c r="I6" i="4"/>
  <c r="G40" i="4"/>
  <c r="G90" i="4"/>
  <c r="E71" i="4"/>
  <c r="E34" i="4"/>
  <c r="H55" i="4"/>
  <c r="H35" i="4"/>
  <c r="H95" i="4"/>
  <c r="E113" i="4"/>
  <c r="H12" i="4"/>
  <c r="G7" i="4"/>
  <c r="I14" i="4"/>
  <c r="G49" i="4"/>
  <c r="E78" i="4"/>
  <c r="E64" i="4"/>
  <c r="I19" i="4"/>
  <c r="I35" i="4"/>
  <c r="I81" i="4"/>
  <c r="G48" i="4"/>
  <c r="F115" i="4"/>
  <c r="G3" i="4"/>
  <c r="G56" i="4"/>
  <c r="H47" i="4"/>
  <c r="G98" i="4"/>
  <c r="G113" i="4"/>
  <c r="E70" i="4"/>
  <c r="G91" i="4"/>
  <c r="E28" i="4"/>
  <c r="E29" i="4"/>
  <c r="E27" i="4"/>
  <c r="G27" i="4"/>
  <c r="H79" i="4"/>
  <c r="I125" i="4"/>
  <c r="E116" i="4"/>
  <c r="E59" i="4"/>
  <c r="I58" i="4"/>
  <c r="H23" i="4"/>
  <c r="G97" i="4"/>
  <c r="F64" i="4"/>
  <c r="H24" i="4"/>
  <c r="E76" i="4"/>
  <c r="F50" i="4"/>
  <c r="I121" i="4"/>
  <c r="E9" i="4"/>
  <c r="E86" i="4"/>
  <c r="F89" i="4"/>
  <c r="F99" i="4"/>
  <c r="E74" i="4"/>
  <c r="H75" i="4"/>
  <c r="G29" i="4"/>
  <c r="E104" i="4"/>
  <c r="F57" i="4"/>
  <c r="H28" i="4"/>
  <c r="H39" i="4"/>
  <c r="F116" i="4"/>
  <c r="G30" i="4"/>
  <c r="G22" i="4"/>
  <c r="E110" i="4"/>
  <c r="H17" i="4"/>
  <c r="F51" i="4"/>
  <c r="I118" i="4"/>
  <c r="G99" i="4"/>
  <c r="F32" i="4"/>
  <c r="H31" i="4"/>
  <c r="I80" i="4"/>
  <c r="G34" i="4"/>
  <c r="I69" i="4"/>
  <c r="H121" i="4"/>
  <c r="E112" i="4"/>
  <c r="G31" i="4"/>
  <c r="G38" i="4"/>
  <c r="F48" i="4"/>
  <c r="I114" i="4"/>
  <c r="F36" i="4"/>
  <c r="H58" i="4"/>
  <c r="G106" i="4"/>
  <c r="G78" i="4"/>
  <c r="F65" i="4"/>
  <c r="G55" i="4"/>
  <c r="E97" i="4"/>
  <c r="I122" i="4"/>
  <c r="I99" i="4"/>
  <c r="G92" i="4"/>
  <c r="E10" i="4"/>
  <c r="H57" i="4"/>
  <c r="F14" i="4"/>
  <c r="H126" i="4"/>
  <c r="E57" i="4"/>
  <c r="G79" i="4"/>
  <c r="E51" i="4"/>
  <c r="F34" i="4"/>
  <c r="F70" i="4"/>
  <c r="I11" i="4"/>
  <c r="G77" i="4"/>
  <c r="F71" i="4"/>
  <c r="F6" i="4"/>
  <c r="I53" i="4"/>
  <c r="F20" i="4"/>
  <c r="G51" i="4"/>
  <c r="I68" i="4"/>
  <c r="F86" i="4"/>
  <c r="E60" i="4"/>
  <c r="G73" i="4"/>
  <c r="E73" i="4"/>
  <c r="H32" i="4"/>
  <c r="E12" i="4"/>
  <c r="G26" i="4"/>
  <c r="H46" i="4"/>
  <c r="G94" i="4"/>
  <c r="G60" i="4"/>
  <c r="I45" i="4"/>
  <c r="H63" i="4"/>
  <c r="F46" i="4"/>
  <c r="E56" i="4"/>
  <c r="G95" i="4"/>
  <c r="G50" i="4"/>
  <c r="G23" i="4"/>
  <c r="I51" i="4"/>
  <c r="H93" i="4"/>
  <c r="G14" i="4"/>
  <c r="F4" i="4"/>
  <c r="F16" i="4"/>
  <c r="G21" i="4"/>
  <c r="G116" i="4"/>
  <c r="H34" i="4"/>
  <c r="F77" i="4"/>
  <c r="G118" i="4"/>
  <c r="G121" i="4"/>
  <c r="F81" i="4"/>
  <c r="I7" i="4"/>
  <c r="E53" i="4"/>
  <c r="G112" i="4"/>
  <c r="I84" i="4"/>
  <c r="H125" i="4"/>
  <c r="E6" i="4"/>
  <c r="F21" i="4"/>
  <c r="H4" i="4"/>
  <c r="H61" i="4"/>
  <c r="E119" i="4"/>
  <c r="F103" i="4"/>
  <c r="I29" i="4"/>
  <c r="H82" i="4"/>
  <c r="E92" i="4"/>
  <c r="H109" i="4"/>
  <c r="G89" i="4"/>
  <c r="H85" i="4"/>
  <c r="E107" i="4"/>
  <c r="E62" i="4"/>
  <c r="G52" i="4"/>
  <c r="I22" i="4"/>
  <c r="G47" i="4"/>
  <c r="I4" i="4"/>
  <c r="H115" i="4"/>
  <c r="E3" i="4"/>
  <c r="F11" i="4"/>
  <c r="G103" i="4"/>
  <c r="H94" i="4"/>
  <c r="F26" i="4"/>
  <c r="F101" i="4"/>
  <c r="E96" i="4"/>
  <c r="I10" i="4"/>
  <c r="I12" i="4"/>
  <c r="H3" i="4"/>
  <c r="E20" i="4"/>
  <c r="H81" i="4"/>
  <c r="H122" i="4"/>
  <c r="H8" i="4"/>
  <c r="E14" i="4"/>
  <c r="F52" i="4"/>
  <c r="H6" i="4"/>
  <c r="I28" i="4"/>
  <c r="I20" i="4"/>
  <c r="I67" i="4"/>
  <c r="F97" i="4"/>
  <c r="I57" i="4"/>
  <c r="E65" i="4"/>
  <c r="I27" i="4"/>
  <c r="G12" i="4"/>
  <c r="H100" i="4"/>
  <c r="E72" i="4"/>
  <c r="E32" i="4"/>
  <c r="I13" i="4"/>
  <c r="E37" i="4"/>
  <c r="G88" i="4"/>
  <c r="I21" i="4"/>
  <c r="I61" i="4"/>
  <c r="E61" i="4"/>
  <c r="F22" i="4"/>
  <c r="F109" i="4"/>
  <c r="F23" i="4"/>
  <c r="I90" i="4"/>
  <c r="E124" i="4"/>
  <c r="I52" i="4"/>
  <c r="F79" i="4"/>
  <c r="G46" i="4"/>
  <c r="F114" i="4"/>
  <c r="F67" i="4"/>
  <c r="F41" i="4"/>
  <c r="I73" i="4"/>
  <c r="G19" i="4"/>
  <c r="G17" i="4"/>
  <c r="I107" i="4"/>
  <c r="F62" i="4"/>
  <c r="F27" i="4"/>
  <c r="G69" i="4"/>
  <c r="H20" i="4"/>
  <c r="H97" i="4"/>
  <c r="F31" i="4"/>
  <c r="E114" i="4"/>
  <c r="I77" i="4"/>
  <c r="H108" i="4"/>
  <c r="F108" i="4"/>
  <c r="E93" i="4"/>
  <c r="G101" i="4"/>
  <c r="F7" i="4"/>
  <c r="I83" i="4"/>
  <c r="I15" i="4"/>
  <c r="I103" i="4"/>
  <c r="E23" i="4"/>
  <c r="E111" i="4"/>
  <c r="G24" i="4"/>
  <c r="E25" i="4"/>
  <c r="I39" i="4"/>
  <c r="H41" i="4"/>
  <c r="F91" i="4"/>
  <c r="H52" i="4"/>
  <c r="F66" i="4"/>
  <c r="F98" i="4"/>
  <c r="F56" i="4"/>
  <c r="E101" i="4"/>
  <c r="F121" i="4"/>
  <c r="F61" i="4"/>
  <c r="I24" i="4"/>
  <c r="G100" i="4"/>
  <c r="I120" i="4"/>
  <c r="F39" i="4"/>
  <c r="H16" i="4"/>
  <c r="E40" i="4"/>
  <c r="I62" i="4"/>
  <c r="E48" i="4"/>
  <c r="F10" i="4"/>
  <c r="F96" i="4"/>
  <c r="E91" i="4"/>
  <c r="I117" i="4"/>
  <c r="H7" i="4"/>
  <c r="G120" i="4"/>
  <c r="H72" i="4"/>
  <c r="I113" i="4"/>
  <c r="G102" i="4"/>
  <c r="H74" i="4"/>
  <c r="H117" i="4"/>
  <c r="E47" i="4"/>
  <c r="H70" i="4"/>
  <c r="G119" i="4"/>
  <c r="I49" i="4"/>
  <c r="E115" i="4"/>
  <c r="F3" i="4"/>
  <c r="G15" i="4"/>
  <c r="F88" i="4"/>
  <c r="H92" i="4"/>
  <c r="H22" i="4"/>
  <c r="I119" i="4"/>
  <c r="H91" i="4"/>
  <c r="F76" i="4"/>
  <c r="F59" i="4"/>
  <c r="I9" i="4"/>
  <c r="H26" i="4"/>
  <c r="H112" i="4"/>
  <c r="H86" i="4"/>
  <c r="H89" i="4"/>
  <c r="H113" i="4"/>
  <c r="E35" i="4"/>
  <c r="H5" i="4"/>
  <c r="F53" i="4"/>
  <c r="I94" i="4"/>
  <c r="H120" i="4"/>
  <c r="G33" i="4"/>
  <c r="I116" i="4"/>
  <c r="F2" i="4"/>
  <c r="E69" i="4"/>
  <c r="H80" i="4"/>
  <c r="G57" i="4"/>
  <c r="G108" i="4"/>
  <c r="H9" i="4"/>
  <c r="H48" i="4"/>
  <c r="E122" i="4"/>
  <c r="H21" i="4"/>
  <c r="E45" i="4"/>
  <c r="I98" i="4"/>
  <c r="G20" i="4"/>
  <c r="H98" i="4"/>
  <c r="G124" i="4"/>
  <c r="I74" i="4"/>
  <c r="I41" i="4"/>
  <c r="I87" i="4"/>
  <c r="E66" i="4"/>
  <c r="F17" i="4"/>
  <c r="I23" i="4"/>
  <c r="E50" i="4"/>
  <c r="I25" i="4"/>
  <c r="G45" i="4"/>
  <c r="G126" i="4"/>
  <c r="G28" i="4"/>
  <c r="G104" i="4"/>
  <c r="I88" i="4"/>
  <c r="H44" i="4"/>
  <c r="E67" i="4"/>
  <c r="E98" i="4"/>
  <c r="E87" i="4"/>
  <c r="E49" i="4"/>
  <c r="I48" i="4"/>
  <c r="F120" i="4"/>
  <c r="E105" i="4"/>
  <c r="H118" i="4"/>
  <c r="E108" i="4"/>
  <c r="E120" i="4"/>
  <c r="B6" i="4"/>
  <c r="E79" i="4"/>
  <c r="I123" i="4"/>
  <c r="I108" i="4"/>
  <c r="H83" i="4"/>
  <c r="G16" i="4"/>
  <c r="F29" i="4"/>
  <c r="G72" i="4"/>
  <c r="H53" i="4"/>
  <c r="H19" i="4"/>
  <c r="F78" i="4"/>
  <c r="F85" i="4"/>
  <c r="G105" i="4"/>
  <c r="I115" i="4"/>
  <c r="H84" i="4"/>
  <c r="H102" i="4"/>
  <c r="F87" i="4"/>
  <c r="H14" i="4"/>
  <c r="G74" i="4"/>
  <c r="G4" i="4"/>
  <c r="G54" i="4"/>
  <c r="F90" i="4"/>
  <c r="F69" i="4"/>
  <c r="G81" i="4"/>
  <c r="F100" i="4"/>
  <c r="F110" i="4"/>
  <c r="E43" i="4"/>
  <c r="H38" i="4"/>
  <c r="F25" i="4"/>
  <c r="G125" i="4"/>
  <c r="H101" i="4"/>
  <c r="I26" i="4"/>
  <c r="H60" i="4"/>
  <c r="G122" i="4"/>
  <c r="G2" i="4"/>
  <c r="F124" i="4"/>
  <c r="G18" i="4"/>
  <c r="G63" i="4"/>
  <c r="F68" i="4"/>
  <c r="H49" i="4"/>
  <c r="G111" i="4"/>
  <c r="H50" i="4"/>
  <c r="F12" i="4"/>
  <c r="H114" i="4"/>
  <c r="F63" i="4"/>
  <c r="I97" i="4"/>
  <c r="I126" i="4"/>
  <c r="H110" i="4"/>
  <c r="E4" i="4"/>
  <c r="G75" i="4"/>
  <c r="F118" i="4"/>
  <c r="E30" i="4"/>
  <c r="E11" i="4"/>
  <c r="E8" i="4"/>
  <c r="G71" i="4"/>
  <c r="F18" i="4"/>
  <c r="H64" i="4"/>
  <c r="G80" i="4"/>
  <c r="I31" i="4"/>
  <c r="H76" i="4"/>
  <c r="G41" i="4"/>
  <c r="F45" i="4"/>
  <c r="F40" i="4"/>
  <c r="E21" i="4"/>
  <c r="G39" i="4"/>
  <c r="E126" i="4"/>
  <c r="H25" i="4"/>
  <c r="I17" i="4"/>
  <c r="F33" i="4"/>
  <c r="H106" i="4"/>
  <c r="H88" i="4"/>
  <c r="H87" i="4"/>
  <c r="E17" i="4"/>
  <c r="I72" i="4"/>
  <c r="H78" i="4"/>
  <c r="F28" i="4"/>
  <c r="E109" i="4"/>
  <c r="C27" i="6" l="1"/>
  <c r="A7" i="4"/>
  <c r="B7" i="4" s="1"/>
  <c r="D14" i="6"/>
  <c r="C26" i="6"/>
  <c r="J1" i="4" a="1"/>
  <c r="D29" i="6"/>
  <c r="R48" i="18"/>
  <c r="S48" i="18" s="1"/>
  <c r="R54" i="18"/>
  <c r="S54" i="18" s="1"/>
  <c r="R43" i="18"/>
  <c r="S43" i="18" s="1"/>
  <c r="R53" i="18"/>
  <c r="S53" i="18" s="1"/>
  <c r="R39" i="18"/>
  <c r="S39" i="18" s="1"/>
  <c r="R40" i="18"/>
  <c r="S40" i="18" s="1"/>
  <c r="R52" i="18"/>
  <c r="S52" i="18" s="1"/>
  <c r="R49" i="18"/>
  <c r="S49" i="18" s="1"/>
  <c r="R51" i="18"/>
  <c r="S51" i="18" s="1"/>
  <c r="R47" i="18"/>
  <c r="S47" i="18" s="1"/>
  <c r="R41" i="18"/>
  <c r="S41" i="18" s="1"/>
  <c r="R42" i="18"/>
  <c r="S42" i="18" s="1"/>
  <c r="P68" i="18"/>
  <c r="P65" i="18"/>
  <c r="P51" i="18"/>
  <c r="P52" i="18"/>
  <c r="P56" i="18"/>
  <c r="P49" i="18"/>
  <c r="P71" i="18"/>
  <c r="P43" i="18"/>
  <c r="P73" i="18"/>
  <c r="P55" i="18"/>
  <c r="P48" i="18"/>
  <c r="P64" i="18"/>
  <c r="P66" i="18"/>
  <c r="P70" i="18"/>
  <c r="P42" i="18"/>
  <c r="P69" i="18"/>
  <c r="P74" i="18"/>
  <c r="P63" i="18"/>
  <c r="P40" i="18"/>
  <c r="P67" i="18"/>
  <c r="P39" i="18"/>
  <c r="P53" i="18"/>
  <c r="P72" i="18"/>
  <c r="P54" i="18"/>
  <c r="P41" i="18"/>
  <c r="P47" i="18"/>
  <c r="R46" i="18"/>
  <c r="S46" i="18" s="1"/>
  <c r="R50" i="18"/>
  <c r="S50" i="18" s="1"/>
  <c r="R45" i="18"/>
  <c r="S45" i="18" s="1"/>
  <c r="R44" i="18"/>
  <c r="S44" i="18" s="1"/>
  <c r="P44" i="18"/>
  <c r="P45" i="18"/>
  <c r="P50" i="18"/>
  <c r="P46" i="18"/>
  <c r="P57" i="18"/>
  <c r="P60" i="18"/>
  <c r="P75" i="18"/>
  <c r="P62" i="18"/>
  <c r="P61" i="18"/>
  <c r="P59" i="18"/>
  <c r="P58" i="18"/>
  <c r="Z16" i="18"/>
  <c r="AA16" i="18"/>
  <c r="R32" i="18"/>
  <c r="S32" i="18" s="1"/>
  <c r="R33" i="18"/>
  <c r="S33" i="18" s="1"/>
  <c r="Z19" i="18" a="1"/>
  <c r="R36" i="18"/>
  <c r="S36" i="18" s="1"/>
  <c r="R34" i="18"/>
  <c r="S34" i="18" s="1"/>
  <c r="R21" i="18"/>
  <c r="S21" i="18" s="1"/>
  <c r="R22" i="18"/>
  <c r="S22" i="18" s="1"/>
  <c r="R19" i="18"/>
  <c r="S19" i="18" s="1"/>
  <c r="R29" i="18"/>
  <c r="S29" i="18" s="1"/>
  <c r="R30" i="18"/>
  <c r="S30" i="18" s="1"/>
  <c r="R26" i="18"/>
  <c r="S26" i="18" s="1"/>
  <c r="R27" i="18"/>
  <c r="S27" i="18" s="1"/>
  <c r="R28" i="18"/>
  <c r="S28" i="18" s="1"/>
  <c r="R20" i="18"/>
  <c r="S20" i="18" s="1"/>
  <c r="R35" i="18"/>
  <c r="S35" i="18" s="1"/>
  <c r="R23" i="18"/>
  <c r="S23" i="18" s="1"/>
  <c r="R24" i="18"/>
  <c r="S24" i="18" s="1"/>
  <c r="R25" i="18"/>
  <c r="S25" i="18" s="1"/>
  <c r="R31" i="18"/>
  <c r="S31" i="18" s="1"/>
  <c r="T31" i="18" l="1"/>
  <c r="T25" i="18"/>
  <c r="T24" i="18"/>
  <c r="T23" i="18"/>
  <c r="T35" i="18"/>
  <c r="T20" i="18"/>
  <c r="T28" i="18"/>
  <c r="T27" i="18"/>
  <c r="T26" i="18"/>
  <c r="T30" i="18"/>
  <c r="T29" i="18"/>
  <c r="T19" i="18"/>
  <c r="T22" i="18"/>
  <c r="T21" i="18"/>
  <c r="T34" i="18"/>
  <c r="T36" i="18"/>
  <c r="Z3547" i="18"/>
  <c r="Z3291" i="18"/>
  <c r="Z3035" i="18"/>
  <c r="Z2779" i="18"/>
  <c r="Z3321" i="18"/>
  <c r="Z3065" i="18"/>
  <c r="Z2809" i="18"/>
  <c r="Z3265" i="18"/>
  <c r="Z2973" i="18"/>
  <c r="Z2692" i="18"/>
  <c r="Z2436" i="18"/>
  <c r="Z2180" i="18"/>
  <c r="Z1924" i="18"/>
  <c r="Z1668" i="18"/>
  <c r="Z3464" i="18"/>
  <c r="Z3172" i="18"/>
  <c r="Z2880" i="18"/>
  <c r="Z2611" i="18"/>
  <c r="Z2355" i="18"/>
  <c r="Z2099" i="18"/>
  <c r="Z1843" i="18"/>
  <c r="Z1587" i="18"/>
  <c r="Z3354" i="18"/>
  <c r="Z3061" i="18"/>
  <c r="Z2771" i="18"/>
  <c r="Z2514" i="18"/>
  <c r="Z2258" i="18"/>
  <c r="Z2002" i="18"/>
  <c r="Z1746" i="18"/>
  <c r="Z3535" i="18"/>
  <c r="Z3176" i="18"/>
  <c r="Z2816" i="18"/>
  <c r="Z2495" i="18"/>
  <c r="Z2182" i="18"/>
  <c r="Z1866" i="18"/>
  <c r="Z1550" i="18"/>
  <c r="Z1284" i="18"/>
  <c r="Z1028" i="18"/>
  <c r="Z772" i="18"/>
  <c r="Z516" i="18"/>
  <c r="Z260" i="18"/>
  <c r="Z3534" i="18"/>
  <c r="Z3175" i="18"/>
  <c r="Z2815" i="18"/>
  <c r="Z2494" i="18"/>
  <c r="Z2181" i="18"/>
  <c r="Z1865" i="18"/>
  <c r="Z1549" i="18"/>
  <c r="Z1283" i="18"/>
  <c r="Z1027" i="18"/>
  <c r="Z771" i="18"/>
  <c r="Z515" i="18"/>
  <c r="Z259" i="18"/>
  <c r="Z3533" i="18"/>
  <c r="Z3174" i="18"/>
  <c r="Z2814" i="18"/>
  <c r="Z2493" i="18"/>
  <c r="Z2177" i="18"/>
  <c r="Z1864" i="18"/>
  <c r="Z1548" i="18"/>
  <c r="Z1282" i="18"/>
  <c r="Z1026" i="18"/>
  <c r="Z770" i="18"/>
  <c r="Z514" i="18"/>
  <c r="Z258" i="18"/>
  <c r="Z3524" i="18"/>
  <c r="Z3077" i="18"/>
  <c r="Z2655" i="18"/>
  <c r="Z2267" i="18"/>
  <c r="Z1879" i="18"/>
  <c r="Z1494" i="18"/>
  <c r="Z1177" i="18"/>
  <c r="Z861" i="18"/>
  <c r="Z545" i="18"/>
  <c r="Z232" i="18"/>
  <c r="Z2214" i="18"/>
  <c r="Z3162" i="18"/>
  <c r="Z2726" i="18"/>
  <c r="Z2341" i="18"/>
  <c r="Z1950" i="18"/>
  <c r="Z1562" i="18"/>
  <c r="Z1233" i="18"/>
  <c r="Z920" i="18"/>
  <c r="Z604" i="18"/>
  <c r="Z288" i="18"/>
  <c r="Z3531" i="18"/>
  <c r="Z3275" i="18"/>
  <c r="Z3019" i="18"/>
  <c r="Z2763" i="18"/>
  <c r="Z3305" i="18"/>
  <c r="Z3049" i="18"/>
  <c r="Z3539" i="18"/>
  <c r="Z3247" i="18"/>
  <c r="Z2954" i="18"/>
  <c r="Z2676" i="18"/>
  <c r="Z2420" i="18"/>
  <c r="Z2164" i="18"/>
  <c r="Z1908" i="18"/>
  <c r="Z1652" i="18"/>
  <c r="Z3446" i="18"/>
  <c r="Z3154" i="18"/>
  <c r="Z2862" i="18"/>
  <c r="Z2595" i="18"/>
  <c r="Z2339" i="18"/>
  <c r="Z2083" i="18"/>
  <c r="Z1827" i="18"/>
  <c r="Z1571" i="18"/>
  <c r="Z3335" i="18"/>
  <c r="Z3043" i="18"/>
  <c r="Z2754" i="18"/>
  <c r="Z2498" i="18"/>
  <c r="Z2242" i="18"/>
  <c r="Z1986" i="18"/>
  <c r="Z1730" i="18"/>
  <c r="Z3512" i="18"/>
  <c r="Z3152" i="18"/>
  <c r="Z2794" i="18"/>
  <c r="Z2476" i="18"/>
  <c r="Z2160" i="18"/>
  <c r="Z1847" i="18"/>
  <c r="Z1531" i="18"/>
  <c r="Z1268" i="18"/>
  <c r="Z1012" i="18"/>
  <c r="Z756" i="18"/>
  <c r="Z500" i="18"/>
  <c r="Z244" i="18"/>
  <c r="Z3511" i="18"/>
  <c r="Z3151" i="18"/>
  <c r="Z2793" i="18"/>
  <c r="Z2475" i="18"/>
  <c r="Z2159" i="18"/>
  <c r="Z1846" i="18"/>
  <c r="Z1530" i="18"/>
  <c r="Z1267" i="18"/>
  <c r="Z1011" i="18"/>
  <c r="Z755" i="18"/>
  <c r="Z499" i="18"/>
  <c r="Z243" i="18"/>
  <c r="Z3510" i="18"/>
  <c r="Z3150" i="18"/>
  <c r="Z2792" i="18"/>
  <c r="Z2474" i="18"/>
  <c r="Z2158" i="18"/>
  <c r="Z1845" i="18"/>
  <c r="Z1529" i="18"/>
  <c r="Z1266" i="18"/>
  <c r="Z1010" i="18"/>
  <c r="Z754" i="18"/>
  <c r="Z498" i="18"/>
  <c r="Z242" i="18"/>
  <c r="Z3495" i="18"/>
  <c r="Z3053" i="18"/>
  <c r="Z2630" i="18"/>
  <c r="Z2245" i="18"/>
  <c r="Z1854" i="18"/>
  <c r="Z1471" i="18"/>
  <c r="Z1158" i="18"/>
  <c r="Z842" i="18"/>
  <c r="Z526" i="18"/>
  <c r="Z213" i="18"/>
  <c r="Z2117" i="18"/>
  <c r="Z3134" i="18"/>
  <c r="Z2701" i="18"/>
  <c r="Z2313" i="18"/>
  <c r="Z1928" i="18"/>
  <c r="Z1537" i="18"/>
  <c r="Z1214" i="18"/>
  <c r="Z901" i="18"/>
  <c r="Z585" i="18"/>
  <c r="Z269" i="18"/>
  <c r="Z3515" i="18"/>
  <c r="Z3259" i="18"/>
  <c r="Z3003" i="18"/>
  <c r="Z3545" i="18"/>
  <c r="Z3289" i="18"/>
  <c r="Z3033" i="18"/>
  <c r="Z3521" i="18"/>
  <c r="Z3229" i="18"/>
  <c r="Z2935" i="18"/>
  <c r="Z2660" i="18"/>
  <c r="Z2404" i="18"/>
  <c r="Z2148" i="18"/>
  <c r="Z1892" i="18"/>
  <c r="Z1636" i="18"/>
  <c r="Z3428" i="18"/>
  <c r="Z3136" i="18"/>
  <c r="Z2844" i="18"/>
  <c r="Z2579" i="18"/>
  <c r="Z2323" i="18"/>
  <c r="Z2067" i="18"/>
  <c r="Z1811" i="18"/>
  <c r="Z1555" i="18"/>
  <c r="Z3317" i="18"/>
  <c r="Z3025" i="18"/>
  <c r="Z2738" i="18"/>
  <c r="Z2482" i="18"/>
  <c r="Z2226" i="18"/>
  <c r="Z1970" i="18"/>
  <c r="Z1714" i="18"/>
  <c r="Z3491" i="18"/>
  <c r="Z3130" i="18"/>
  <c r="Z2774" i="18"/>
  <c r="Z2457" i="18"/>
  <c r="Z2141" i="18"/>
  <c r="Z1825" i="18"/>
  <c r="Z1512" i="18"/>
  <c r="Z1252" i="18"/>
  <c r="Z996" i="18"/>
  <c r="Z740" i="18"/>
  <c r="Z484" i="18"/>
  <c r="Z228" i="18"/>
  <c r="Z3490" i="18"/>
  <c r="Z3128" i="18"/>
  <c r="Z2770" i="18"/>
  <c r="Z2456" i="18"/>
  <c r="Z2140" i="18"/>
  <c r="Z1824" i="18"/>
  <c r="Z1511" i="18"/>
  <c r="Z1251" i="18"/>
  <c r="Z995" i="18"/>
  <c r="Z739" i="18"/>
  <c r="Z483" i="18"/>
  <c r="Z227" i="18"/>
  <c r="Z3489" i="18"/>
  <c r="Z3127" i="18"/>
  <c r="Z2769" i="18"/>
  <c r="Z2455" i="18"/>
  <c r="Z2139" i="18"/>
  <c r="Z1823" i="18"/>
  <c r="Z1510" i="18"/>
  <c r="Z1250" i="18"/>
  <c r="Z994" i="18"/>
  <c r="Z738" i="18"/>
  <c r="Z482" i="18"/>
  <c r="Z226" i="18"/>
  <c r="Z3471" i="18"/>
  <c r="Z3024" i="18"/>
  <c r="Z2605" i="18"/>
  <c r="Z2217" i="18"/>
  <c r="Z1832" i="18"/>
  <c r="Z1452" i="18"/>
  <c r="Z1136" i="18"/>
  <c r="Z823" i="18"/>
  <c r="Z507" i="18"/>
  <c r="Z191" i="18"/>
  <c r="Z3549" i="18"/>
  <c r="Z3105" i="18"/>
  <c r="Z2679" i="18"/>
  <c r="Z2288" i="18"/>
  <c r="Z1900" i="18"/>
  <c r="Z1515" i="18"/>
  <c r="Z1195" i="18"/>
  <c r="Z879" i="18"/>
  <c r="Z566" i="18"/>
  <c r="Z250" i="18"/>
  <c r="Z3499" i="18"/>
  <c r="Z3243" i="18"/>
  <c r="Z2987" i="18"/>
  <c r="Z3529" i="18"/>
  <c r="Z3273" i="18"/>
  <c r="Z3017" i="18"/>
  <c r="Z3503" i="18"/>
  <c r="Z3210" i="18"/>
  <c r="Z2917" i="18"/>
  <c r="Z3483" i="18"/>
  <c r="Z3227" i="18"/>
  <c r="Z2971" i="18"/>
  <c r="Z3513" i="18"/>
  <c r="Z3257" i="18"/>
  <c r="Z3001" i="18"/>
  <c r="Z3485" i="18"/>
  <c r="Z3191" i="18"/>
  <c r="Z2899" i="18"/>
  <c r="Z3467" i="18"/>
  <c r="Z3211" i="18"/>
  <c r="Z2955" i="18"/>
  <c r="Z3497" i="18"/>
  <c r="Z3241" i="18"/>
  <c r="Z2985" i="18"/>
  <c r="Z3466" i="18"/>
  <c r="Z3173" i="18"/>
  <c r="Z2881" i="18"/>
  <c r="Z3451" i="18"/>
  <c r="Z3195" i="18"/>
  <c r="Z2939" i="18"/>
  <c r="Z3481" i="18"/>
  <c r="Z3225" i="18"/>
  <c r="Z2969" i="18"/>
  <c r="Z3447" i="18"/>
  <c r="Z3155" i="18"/>
  <c r="Z2863" i="18"/>
  <c r="Z3435" i="18"/>
  <c r="Z3179" i="18"/>
  <c r="Z2923" i="18"/>
  <c r="Z3465" i="18"/>
  <c r="Z3209" i="18"/>
  <c r="Z2953" i="18"/>
  <c r="Z3429" i="18"/>
  <c r="Z3137" i="18"/>
  <c r="Z2845" i="18"/>
  <c r="Z2580" i="18"/>
  <c r="Z2324" i="18"/>
  <c r="Z2068" i="18"/>
  <c r="Z1812" i="18"/>
  <c r="Z1556" i="18"/>
  <c r="Z3336" i="18"/>
  <c r="Z3044" i="18"/>
  <c r="Z2755" i="18"/>
  <c r="Z2499" i="18"/>
  <c r="Z2243" i="18"/>
  <c r="Z1987" i="18"/>
  <c r="Z1731" i="18"/>
  <c r="Z3519" i="18"/>
  <c r="Z3226" i="18"/>
  <c r="Z2933" i="18"/>
  <c r="Z2658" i="18"/>
  <c r="Z2402" i="18"/>
  <c r="Z2146" i="18"/>
  <c r="Z1890" i="18"/>
  <c r="Z1634" i="18"/>
  <c r="Z3379" i="18"/>
  <c r="Z3018" i="18"/>
  <c r="Z2672" i="18"/>
  <c r="Z2359" i="18"/>
  <c r="Z2043" i="18"/>
  <c r="Z1727" i="18"/>
  <c r="Z1428" i="18"/>
  <c r="Z1172" i="18"/>
  <c r="Z916" i="18"/>
  <c r="Z660" i="18"/>
  <c r="Z404" i="18"/>
  <c r="Z148" i="18"/>
  <c r="Z3378" i="18"/>
  <c r="Z3016" i="18"/>
  <c r="Z2671" i="18"/>
  <c r="Z2358" i="18"/>
  <c r="Z2042" i="18"/>
  <c r="Z1726" i="18"/>
  <c r="Z1427" i="18"/>
  <c r="Z1171" i="18"/>
  <c r="Z915" i="18"/>
  <c r="Z659" i="18"/>
  <c r="Z403" i="18"/>
  <c r="Z147" i="18"/>
  <c r="Z3377" i="18"/>
  <c r="Z3015" i="18"/>
  <c r="Z2670" i="18"/>
  <c r="Z2357" i="18"/>
  <c r="Z2041" i="18"/>
  <c r="Z1725" i="18"/>
  <c r="Z1426" i="18"/>
  <c r="Z1170" i="18"/>
  <c r="Z914" i="18"/>
  <c r="Z658" i="18"/>
  <c r="Z402" i="18"/>
  <c r="Z146" i="18"/>
  <c r="Z3328" i="18"/>
  <c r="Z2887" i="18"/>
  <c r="Z2486" i="18"/>
  <c r="Z2095" i="18"/>
  <c r="Z1710" i="18"/>
  <c r="Z1354" i="18"/>
  <c r="Z1038" i="18"/>
  <c r="Z725" i="18"/>
  <c r="Z409" i="18"/>
  <c r="Z93" i="18"/>
  <c r="Z3412" i="18"/>
  <c r="Z2965" i="18"/>
  <c r="Z2557" i="18"/>
  <c r="Z2169" i="18"/>
  <c r="Z1781" i="18"/>
  <c r="Z1413" i="18"/>
  <c r="Z1097" i="18"/>
  <c r="Z781" i="18"/>
  <c r="Z465" i="18"/>
  <c r="Z152" i="18"/>
  <c r="Z3307" i="18"/>
  <c r="Z2795" i="18"/>
  <c r="Z3081" i="18"/>
  <c r="Z3283" i="18"/>
  <c r="Z2708" i="18"/>
  <c r="Z2340" i="18"/>
  <c r="Z2004" i="18"/>
  <c r="Z1684" i="18"/>
  <c r="Z3356" i="18"/>
  <c r="Z2972" i="18"/>
  <c r="Z2627" i="18"/>
  <c r="Z2259" i="18"/>
  <c r="Z1923" i="18"/>
  <c r="Z1603" i="18"/>
  <c r="Z3245" i="18"/>
  <c r="Z2861" i="18"/>
  <c r="Z2530" i="18"/>
  <c r="Z2162" i="18"/>
  <c r="Z1826" i="18"/>
  <c r="Z1506" i="18"/>
  <c r="Z3040" i="18"/>
  <c r="Z2593" i="18"/>
  <c r="Z2201" i="18"/>
  <c r="Z1749" i="18"/>
  <c r="Z1364" i="18"/>
  <c r="Z1044" i="18"/>
  <c r="Z676" i="18"/>
  <c r="Z340" i="18"/>
  <c r="Z20" i="18"/>
  <c r="Z3039" i="18"/>
  <c r="Z2592" i="18"/>
  <c r="Z2200" i="18"/>
  <c r="Z1745" i="18"/>
  <c r="Z1363" i="18"/>
  <c r="Z1043" i="18"/>
  <c r="Z675" i="18"/>
  <c r="Z339" i="18"/>
  <c r="Z19" i="18"/>
  <c r="Z3038" i="18"/>
  <c r="Z2591" i="18"/>
  <c r="Z2199" i="18"/>
  <c r="Z1744" i="18"/>
  <c r="Z1362" i="18"/>
  <c r="Z1042" i="18"/>
  <c r="Z674" i="18"/>
  <c r="Z338" i="18"/>
  <c r="Z3550" i="18"/>
  <c r="Z2913" i="18"/>
  <c r="Z2389" i="18"/>
  <c r="Z1901" i="18"/>
  <c r="Z1373" i="18"/>
  <c r="Z959" i="18"/>
  <c r="Z567" i="18"/>
  <c r="Z112" i="18"/>
  <c r="Z3298" i="18"/>
  <c r="Z2748" i="18"/>
  <c r="Z2191" i="18"/>
  <c r="Z1681" i="18"/>
  <c r="Z1255" i="18"/>
  <c r="Z800" i="18"/>
  <c r="Z389" i="18"/>
  <c r="Z2828" i="18"/>
  <c r="Z3244" i="18"/>
  <c r="Z2800" i="18"/>
  <c r="Z2409" i="18"/>
  <c r="Z2021" i="18"/>
  <c r="Z1633" i="18"/>
  <c r="Z1292" i="18"/>
  <c r="Z976" i="18"/>
  <c r="Z663" i="18"/>
  <c r="Z347" i="18"/>
  <c r="Z31" i="18"/>
  <c r="Z3296" i="18"/>
  <c r="Z2699" i="18"/>
  <c r="Z3434" i="18"/>
  <c r="Z2988" i="18"/>
  <c r="Z2576" i="18"/>
  <c r="Z2188" i="18"/>
  <c r="Z3294" i="18"/>
  <c r="Z2850" i="18"/>
  <c r="Z2453" i="18"/>
  <c r="Z2065" i="18"/>
  <c r="Z3123" i="18"/>
  <c r="Z2695" i="18"/>
  <c r="Z2304" i="18"/>
  <c r="Z3419" i="18"/>
  <c r="Z2891" i="18"/>
  <c r="Z3161" i="18"/>
  <c r="Z3357" i="18"/>
  <c r="Z2756" i="18"/>
  <c r="Z2372" i="18"/>
  <c r="Z2020" i="18"/>
  <c r="Z1620" i="18"/>
  <c r="Z3300" i="18"/>
  <c r="Z2916" i="18"/>
  <c r="Z2515" i="18"/>
  <c r="Z2163" i="18"/>
  <c r="Z1779" i="18"/>
  <c r="Z3463" i="18"/>
  <c r="Z3079" i="18"/>
  <c r="Z2642" i="18"/>
  <c r="Z2306" i="18"/>
  <c r="Z1922" i="18"/>
  <c r="Z1570" i="18"/>
  <c r="Z3108" i="18"/>
  <c r="Z2634" i="18"/>
  <c r="Z2220" i="18"/>
  <c r="Z1708" i="18"/>
  <c r="Z1332" i="18"/>
  <c r="Z948" i="18"/>
  <c r="Z596" i="18"/>
  <c r="Z212" i="18"/>
  <c r="Z3331" i="18"/>
  <c r="Z2858" i="18"/>
  <c r="Z2377" i="18"/>
  <c r="Z1944" i="18"/>
  <c r="Z1475" i="18"/>
  <c r="Z1123" i="18"/>
  <c r="Z787" i="18"/>
  <c r="Z387" i="18"/>
  <c r="Z51" i="18"/>
  <c r="Z3059" i="18"/>
  <c r="Z2572" i="18"/>
  <c r="Z2101" i="18"/>
  <c r="Z1665" i="18"/>
  <c r="Z1298" i="18"/>
  <c r="Z898" i="18"/>
  <c r="Z562" i="18"/>
  <c r="Z178" i="18"/>
  <c r="Z3217" i="18"/>
  <c r="Z2583" i="18"/>
  <c r="Z2048" i="18"/>
  <c r="Z1541" i="18"/>
  <c r="Z1057" i="18"/>
  <c r="Z624" i="18"/>
  <c r="Z153" i="18"/>
  <c r="Z3327" i="18"/>
  <c r="Z2654" i="18"/>
  <c r="Z2119" i="18"/>
  <c r="Z1612" i="18"/>
  <c r="Z1116" i="18"/>
  <c r="Z683" i="18"/>
  <c r="Z209" i="18"/>
  <c r="Z3493" i="18"/>
  <c r="Z3022" i="18"/>
  <c r="Z2581" i="18"/>
  <c r="Z2168" i="18"/>
  <c r="Z1755" i="18"/>
  <c r="Z1371" i="18"/>
  <c r="Z1036" i="18"/>
  <c r="Z701" i="18"/>
  <c r="Z366" i="18"/>
  <c r="Z3185" i="18"/>
  <c r="Z3159" i="18"/>
  <c r="Z2624" i="18"/>
  <c r="Z3324" i="18"/>
  <c r="Z2851" i="18"/>
  <c r="Z2429" i="18"/>
  <c r="Z3543" i="18"/>
  <c r="Z3072" i="18"/>
  <c r="Z2622" i="18"/>
  <c r="Z2209" i="18"/>
  <c r="Z3260" i="18"/>
  <c r="Z2791" i="18"/>
  <c r="Z2379" i="18"/>
  <c r="Z3222" i="18"/>
  <c r="Z2471" i="18"/>
  <c r="Z1872" i="18"/>
  <c r="Z1417" i="18"/>
  <c r="Z1029" i="18"/>
  <c r="Z638" i="18"/>
  <c r="Z253" i="18"/>
  <c r="Z3221" i="18"/>
  <c r="Z2470" i="18"/>
  <c r="Z1871" i="18"/>
  <c r="Z1416" i="18"/>
  <c r="Z1025" i="18"/>
  <c r="Z637" i="18"/>
  <c r="Z252" i="18"/>
  <c r="Z3206" i="18"/>
  <c r="Z2469" i="18"/>
  <c r="Z1870" i="18"/>
  <c r="Z1415" i="18"/>
  <c r="Z1024" i="18"/>
  <c r="Z636" i="18"/>
  <c r="Z248" i="18"/>
  <c r="Z3251" i="18"/>
  <c r="Z2496" i="18"/>
  <c r="Z1893" i="18"/>
  <c r="Z1429" i="18"/>
  <c r="Z1041" i="18"/>
  <c r="Z653" i="18"/>
  <c r="Z265" i="18"/>
  <c r="Z2960" i="18"/>
  <c r="Z2038" i="18"/>
  <c r="Z1421" i="18"/>
  <c r="Z904" i="18"/>
  <c r="Z383" i="18"/>
  <c r="Z2832" i="18"/>
  <c r="Z1350" i="18"/>
  <c r="Z283" i="18"/>
  <c r="Z961" i="18"/>
  <c r="Z698" i="18"/>
  <c r="Z2682" i="18"/>
  <c r="Z1208" i="18"/>
  <c r="Z1499" i="18"/>
  <c r="Z886" i="18"/>
  <c r="Z3440" i="18"/>
  <c r="Z1132" i="18"/>
  <c r="Z908" i="18"/>
  <c r="Z2762" i="18"/>
  <c r="Z1916" i="18"/>
  <c r="Z1323" i="18"/>
  <c r="Z806" i="18"/>
  <c r="Z285" i="18"/>
  <c r="Z1087" i="18"/>
  <c r="Z410" i="18"/>
  <c r="Z2463" i="18"/>
  <c r="Z1053" i="18"/>
  <c r="Z1542" i="18"/>
  <c r="Z2681" i="18"/>
  <c r="Z1178" i="18"/>
  <c r="Z266" i="18"/>
  <c r="Z1398" i="18"/>
  <c r="Z521" i="18"/>
  <c r="Z3090" i="18"/>
  <c r="Z2133" i="18"/>
  <c r="Z1481" i="18"/>
  <c r="Z966" i="18"/>
  <c r="Z449" i="18"/>
  <c r="Z3029" i="18"/>
  <c r="Z1321" i="18"/>
  <c r="Z254" i="18"/>
  <c r="Z829" i="18"/>
  <c r="Z3474" i="18"/>
  <c r="Z1867" i="18"/>
  <c r="Z633" i="18"/>
  <c r="Z2330" i="18"/>
  <c r="Z753" i="18"/>
  <c r="Z1697" i="18"/>
  <c r="Z3182" i="18"/>
  <c r="Z2847" i="18"/>
  <c r="Z2269" i="18"/>
  <c r="Z1607" i="18"/>
  <c r="Z1164" i="18"/>
  <c r="Z1737" i="18"/>
  <c r="Z685" i="18"/>
  <c r="Z42" i="18"/>
  <c r="Z2440" i="18"/>
  <c r="Z2946" i="18"/>
  <c r="Z1594" i="18"/>
  <c r="Z460" i="18"/>
  <c r="Z2718" i="18"/>
  <c r="Z2543" i="18"/>
  <c r="Z1526" i="18"/>
  <c r="Z3403" i="18"/>
  <c r="Z2875" i="18"/>
  <c r="Z3145" i="18"/>
  <c r="Z3338" i="18"/>
  <c r="Z2740" i="18"/>
  <c r="Z2356" i="18"/>
  <c r="Z1988" i="18"/>
  <c r="Z1604" i="18"/>
  <c r="Z3282" i="18"/>
  <c r="Z2898" i="18"/>
  <c r="Z2483" i="18"/>
  <c r="Z2147" i="18"/>
  <c r="Z1763" i="18"/>
  <c r="Z3445" i="18"/>
  <c r="Z3007" i="18"/>
  <c r="Z2626" i="18"/>
  <c r="Z2290" i="18"/>
  <c r="Z1906" i="18"/>
  <c r="Z1554" i="18"/>
  <c r="Z3087" i="18"/>
  <c r="Z2615" i="18"/>
  <c r="Z2122" i="18"/>
  <c r="Z1689" i="18"/>
  <c r="Z1316" i="18"/>
  <c r="Z932" i="18"/>
  <c r="Z580" i="18"/>
  <c r="Z196" i="18"/>
  <c r="Z3310" i="18"/>
  <c r="Z2836" i="18"/>
  <c r="Z2336" i="18"/>
  <c r="Z1925" i="18"/>
  <c r="Z1459" i="18"/>
  <c r="Z1107" i="18"/>
  <c r="Z723" i="18"/>
  <c r="Z371" i="18"/>
  <c r="Z35" i="18"/>
  <c r="Z2994" i="18"/>
  <c r="Z2553" i="18"/>
  <c r="Z2079" i="18"/>
  <c r="Z1646" i="18"/>
  <c r="Z1234" i="18"/>
  <c r="Z882" i="18"/>
  <c r="Z546" i="18"/>
  <c r="Z162" i="18"/>
  <c r="Z3188" i="18"/>
  <c r="Z2558" i="18"/>
  <c r="Z2026" i="18"/>
  <c r="Z1516" i="18"/>
  <c r="Z1019" i="18"/>
  <c r="Z605" i="18"/>
  <c r="Z134" i="18"/>
  <c r="Z3272" i="18"/>
  <c r="Z2629" i="18"/>
  <c r="Z2094" i="18"/>
  <c r="Z1584" i="18"/>
  <c r="Z1078" i="18"/>
  <c r="Z664" i="18"/>
  <c r="Z190" i="18"/>
  <c r="Z3461" i="18"/>
  <c r="Z2993" i="18"/>
  <c r="Z2556" i="18"/>
  <c r="Z2143" i="18"/>
  <c r="Z1733" i="18"/>
  <c r="Z1352" i="18"/>
  <c r="Z1017" i="18"/>
  <c r="Z682" i="18"/>
  <c r="Z328" i="18"/>
  <c r="Z3387" i="18"/>
  <c r="Z2859" i="18"/>
  <c r="Z3129" i="18"/>
  <c r="Z3319" i="18"/>
  <c r="Z2724" i="18"/>
  <c r="Z2308" i="18"/>
  <c r="Z1972" i="18"/>
  <c r="Z1588" i="18"/>
  <c r="Z3264" i="18"/>
  <c r="Z2824" i="18"/>
  <c r="Z2467" i="18"/>
  <c r="Z2131" i="18"/>
  <c r="Z1747" i="18"/>
  <c r="Z3427" i="18"/>
  <c r="Z2989" i="18"/>
  <c r="Z2610" i="18"/>
  <c r="Z2274" i="18"/>
  <c r="Z1874" i="18"/>
  <c r="Z1538" i="18"/>
  <c r="Z3064" i="18"/>
  <c r="Z2574" i="18"/>
  <c r="Z2103" i="18"/>
  <c r="Z1670" i="18"/>
  <c r="Z1300" i="18"/>
  <c r="Z900" i="18"/>
  <c r="Z564" i="18"/>
  <c r="Z180" i="18"/>
  <c r="Z3287" i="18"/>
  <c r="Z2750" i="18"/>
  <c r="Z2317" i="18"/>
  <c r="Z1903" i="18"/>
  <c r="Z1443" i="18"/>
  <c r="Z1091" i="18"/>
  <c r="Z707" i="18"/>
  <c r="Z355" i="18"/>
  <c r="Z3468" i="18"/>
  <c r="Z2968" i="18"/>
  <c r="Z2534" i="18"/>
  <c r="Z2060" i="18"/>
  <c r="Z1627" i="18"/>
  <c r="Z1218" i="18"/>
  <c r="Z866" i="18"/>
  <c r="Z530" i="18"/>
  <c r="Z130" i="18"/>
  <c r="Z3164" i="18"/>
  <c r="Z2533" i="18"/>
  <c r="Z1998" i="18"/>
  <c r="Z1433" i="18"/>
  <c r="Z1000" i="18"/>
  <c r="Z586" i="18"/>
  <c r="Z74" i="18"/>
  <c r="Z3248" i="18"/>
  <c r="Z2604" i="18"/>
  <c r="Z2072" i="18"/>
  <c r="Z1489" i="18"/>
  <c r="Z1056" i="18"/>
  <c r="Z645" i="18"/>
  <c r="Z171" i="18"/>
  <c r="Z3437" i="18"/>
  <c r="Z2964" i="18"/>
  <c r="Z2528" i="18"/>
  <c r="Z2118" i="18"/>
  <c r="Z1705" i="18"/>
  <c r="Z1333" i="18"/>
  <c r="Z998" i="18"/>
  <c r="Z641" i="18"/>
  <c r="Z309" i="18"/>
  <c r="Z2577" i="18"/>
  <c r="Z3371" i="18"/>
  <c r="Z2843" i="18"/>
  <c r="Z3113" i="18"/>
  <c r="Z3301" i="18"/>
  <c r="Z2644" i="18"/>
  <c r="Z2292" i="18"/>
  <c r="Z1956" i="18"/>
  <c r="Z1572" i="18"/>
  <c r="Z3246" i="18"/>
  <c r="Z2806" i="18"/>
  <c r="Z2451" i="18"/>
  <c r="Z2115" i="18"/>
  <c r="Z1715" i="18"/>
  <c r="Z3409" i="18"/>
  <c r="Z2970" i="18"/>
  <c r="Z2594" i="18"/>
  <c r="Z2210" i="18"/>
  <c r="Z1858" i="18"/>
  <c r="Z1522" i="18"/>
  <c r="Z2996" i="18"/>
  <c r="Z2555" i="18"/>
  <c r="Z2081" i="18"/>
  <c r="Z1648" i="18"/>
  <c r="Z1236" i="18"/>
  <c r="Z884" i="18"/>
  <c r="Z548" i="18"/>
  <c r="Z3355" i="18"/>
  <c r="Z2827" i="18"/>
  <c r="Z3097" i="18"/>
  <c r="Z3119" i="18"/>
  <c r="Z2628" i="18"/>
  <c r="Z2276" i="18"/>
  <c r="Z1940" i="18"/>
  <c r="Z1540" i="18"/>
  <c r="Z3228" i="18"/>
  <c r="Z2789" i="18"/>
  <c r="Z2435" i="18"/>
  <c r="Z2051" i="18"/>
  <c r="Z1699" i="18"/>
  <c r="Z3391" i="18"/>
  <c r="Z2951" i="18"/>
  <c r="Z2578" i="18"/>
  <c r="Z2194" i="18"/>
  <c r="Z1842" i="18"/>
  <c r="Z3470" i="18"/>
  <c r="Z2975" i="18"/>
  <c r="Z2536" i="18"/>
  <c r="Z2062" i="18"/>
  <c r="Z1629" i="18"/>
  <c r="Z1220" i="18"/>
  <c r="Z868" i="18"/>
  <c r="Z532" i="18"/>
  <c r="Z3339" i="18"/>
  <c r="Z2811" i="18"/>
  <c r="Z2937" i="18"/>
  <c r="Z3101" i="18"/>
  <c r="Z2612" i="18"/>
  <c r="Z2260" i="18"/>
  <c r="Z1876" i="18"/>
  <c r="Z1524" i="18"/>
  <c r="Z3208" i="18"/>
  <c r="Z2772" i="18"/>
  <c r="Z2419" i="18"/>
  <c r="Z2035" i="18"/>
  <c r="Z1683" i="18"/>
  <c r="Z3373" i="18"/>
  <c r="Z2915" i="18"/>
  <c r="Z2562" i="18"/>
  <c r="Z2178" i="18"/>
  <c r="Z1810" i="18"/>
  <c r="Z3444" i="18"/>
  <c r="Z2949" i="18"/>
  <c r="Z2517" i="18"/>
  <c r="Z2024" i="18"/>
  <c r="Z1610" i="18"/>
  <c r="Z1204" i="18"/>
  <c r="Z852" i="18"/>
  <c r="Z3323" i="18"/>
  <c r="Z3449" i="18"/>
  <c r="Z2921" i="18"/>
  <c r="Z3082" i="18"/>
  <c r="Z2596" i="18"/>
  <c r="Z2244" i="18"/>
  <c r="Z1860" i="18"/>
  <c r="Z1508" i="18"/>
  <c r="Z3190" i="18"/>
  <c r="Z2739" i="18"/>
  <c r="Z2403" i="18"/>
  <c r="Z2019" i="18"/>
  <c r="Z1667" i="18"/>
  <c r="Z3299" i="18"/>
  <c r="Z2897" i="18"/>
  <c r="Z2546" i="18"/>
  <c r="Z2130" i="18"/>
  <c r="Z1794" i="18"/>
  <c r="Z3423" i="18"/>
  <c r="Z2928" i="18"/>
  <c r="Z2438" i="18"/>
  <c r="Z2005" i="18"/>
  <c r="Z1591" i="18"/>
  <c r="Z1188" i="18"/>
  <c r="Z836" i="18"/>
  <c r="Z3163" i="18"/>
  <c r="Z3433" i="18"/>
  <c r="Z2905" i="18"/>
  <c r="Z3063" i="18"/>
  <c r="Z2564" i="18"/>
  <c r="Z2228" i="18"/>
  <c r="Z1844" i="18"/>
  <c r="Z1492" i="18"/>
  <c r="Z3118" i="18"/>
  <c r="Z2723" i="18"/>
  <c r="Z2387" i="18"/>
  <c r="Z2003" i="18"/>
  <c r="Z1651" i="18"/>
  <c r="Z3281" i="18"/>
  <c r="Z2879" i="18"/>
  <c r="Z2466" i="18"/>
  <c r="Z2114" i="18"/>
  <c r="Z1778" i="18"/>
  <c r="Z3400" i="18"/>
  <c r="Z2906" i="18"/>
  <c r="Z2416" i="18"/>
  <c r="Z1983" i="18"/>
  <c r="Z1569" i="18"/>
  <c r="Z1156" i="18"/>
  <c r="Z820" i="18"/>
  <c r="Z436" i="18"/>
  <c r="Z84" i="18"/>
  <c r="Z3107" i="18"/>
  <c r="Z2633" i="18"/>
  <c r="Z2219" i="18"/>
  <c r="Z1707" i="18"/>
  <c r="Z1331" i="18"/>
  <c r="Z947" i="18"/>
  <c r="Z595" i="18"/>
  <c r="Z211" i="18"/>
  <c r="Z3330" i="18"/>
  <c r="Z2856" i="18"/>
  <c r="Z2376" i="18"/>
  <c r="Z1943" i="18"/>
  <c r="Z1474" i="18"/>
  <c r="Z1122" i="18"/>
  <c r="Z786" i="18"/>
  <c r="Z386" i="18"/>
  <c r="Z50" i="18"/>
  <c r="Z2942" i="18"/>
  <c r="Z2364" i="18"/>
  <c r="Z1782" i="18"/>
  <c r="Z1294" i="18"/>
  <c r="Z880" i="18"/>
  <c r="Z390" i="18"/>
  <c r="Z2602" i="18"/>
  <c r="Z3023" i="18"/>
  <c r="Z2460" i="18"/>
  <c r="Z1878" i="18"/>
  <c r="Z1372" i="18"/>
  <c r="Z958" i="18"/>
  <c r="Z487" i="18"/>
  <c r="Z54" i="18"/>
  <c r="Z3297" i="18"/>
  <c r="Z2829" i="18"/>
  <c r="Z2384" i="18"/>
  <c r="Z1974" i="18"/>
  <c r="Z1561" i="18"/>
  <c r="Z1213" i="18"/>
  <c r="Z878" i="18"/>
  <c r="Z543" i="18"/>
  <c r="Z208" i="18"/>
  <c r="Z3518" i="18"/>
  <c r="Z2963" i="18"/>
  <c r="Z2264" i="18"/>
  <c r="Z3126" i="18"/>
  <c r="Z2673" i="18"/>
  <c r="Z2263" i="18"/>
  <c r="Z3347" i="18"/>
  <c r="Z2876" i="18"/>
  <c r="Z2428" i="18"/>
  <c r="Z3509" i="18"/>
  <c r="Z3041" i="18"/>
  <c r="Z2598" i="18"/>
  <c r="Z2185" i="18"/>
  <c r="Z2870" i="18"/>
  <c r="Z2173" i="18"/>
  <c r="Z1664" i="18"/>
  <c r="Z1245" i="18"/>
  <c r="Z857" i="18"/>
  <c r="Z472" i="18"/>
  <c r="Z81" i="18"/>
  <c r="Z2869" i="18"/>
  <c r="Z2172" i="18"/>
  <c r="Z1663" i="18"/>
  <c r="Z1244" i="18"/>
  <c r="Z856" i="18"/>
  <c r="Z471" i="18"/>
  <c r="Z80" i="18"/>
  <c r="Z2868" i="18"/>
  <c r="Z2171" i="18"/>
  <c r="Z1662" i="18"/>
  <c r="Z1243" i="18"/>
  <c r="Z855" i="18"/>
  <c r="Z470" i="18"/>
  <c r="Z79" i="18"/>
  <c r="Z2896" i="18"/>
  <c r="Z2198" i="18"/>
  <c r="Z1679" i="18"/>
  <c r="Z1260" i="18"/>
  <c r="Z872" i="18"/>
  <c r="Z481" i="18"/>
  <c r="Z96" i="18"/>
  <c r="Z2540" i="18"/>
  <c r="Z1761" i="18"/>
  <c r="Z1192" i="18"/>
  <c r="Z677" i="18"/>
  <c r="Z160" i="18"/>
  <c r="Z1994" i="18"/>
  <c r="Z895" i="18"/>
  <c r="Z1869" i="18"/>
  <c r="Z411" i="18"/>
  <c r="Z312" i="18"/>
  <c r="Z1896" i="18"/>
  <c r="Z529" i="18"/>
  <c r="Z3315" i="18"/>
  <c r="Z2616" i="18"/>
  <c r="Z1133" i="18"/>
  <c r="Z2900" i="18"/>
  <c r="Z3361" i="18"/>
  <c r="Z2366" i="18"/>
  <c r="Z1642" i="18"/>
  <c r="Z1094" i="18"/>
  <c r="Z576" i="18"/>
  <c r="Z63" i="18"/>
  <c r="Z731" i="18"/>
  <c r="Z149" i="18"/>
  <c r="Z1704" i="18"/>
  <c r="Z536" i="18"/>
  <c r="Z77" i="18"/>
  <c r="Z1977" i="18"/>
  <c r="Z334" i="18"/>
  <c r="Z1167" i="18"/>
  <c r="Z2150" i="18"/>
  <c r="Z937" i="18"/>
  <c r="Z2656" i="18"/>
  <c r="Z1836" i="18"/>
  <c r="Z1257" i="18"/>
  <c r="Z737" i="18"/>
  <c r="Z220" i="18"/>
  <c r="Z2129" i="18"/>
  <c r="Z865" i="18"/>
  <c r="Z1553" i="18"/>
  <c r="Z282" i="18"/>
  <c r="Z2688" i="18"/>
  <c r="Z1309" i="18"/>
  <c r="Z49" i="18"/>
  <c r="Z1621" i="18"/>
  <c r="Z174" i="18"/>
  <c r="Z1013" i="18"/>
  <c r="Z1368" i="18"/>
  <c r="Z1040" i="18"/>
  <c r="Z651" i="18"/>
  <c r="Z198" i="18"/>
  <c r="Z1675" i="18"/>
  <c r="Z2918" i="18"/>
  <c r="Z1850" i="18"/>
  <c r="Z1495" i="18"/>
  <c r="Z3536" i="18"/>
  <c r="Z2465" i="18"/>
  <c r="Z1046" i="18"/>
  <c r="Z1813" i="18"/>
  <c r="Z1166" i="18"/>
  <c r="Z777" i="18"/>
  <c r="Z3475" i="18"/>
  <c r="Z3147" i="18"/>
  <c r="Z2889" i="18"/>
  <c r="Z2548" i="18"/>
  <c r="Z1828" i="18"/>
  <c r="Z3100" i="18"/>
  <c r="Z2371" i="18"/>
  <c r="Z1635" i="18"/>
  <c r="Z2842" i="18"/>
  <c r="Z2098" i="18"/>
  <c r="Z3358" i="18"/>
  <c r="Z2397" i="18"/>
  <c r="Z1493" i="18"/>
  <c r="Z804" i="18"/>
  <c r="Z292" i="18"/>
  <c r="Z3219" i="18"/>
  <c r="Z2554" i="18"/>
  <c r="Z1982" i="18"/>
  <c r="Z1379" i="18"/>
  <c r="Z883" i="18"/>
  <c r="Z435" i="18"/>
  <c r="Z3398" i="18"/>
  <c r="Z2730" i="18"/>
  <c r="Z2218" i="18"/>
  <c r="Z1567" i="18"/>
  <c r="Z1074" i="18"/>
  <c r="Z594" i="18"/>
  <c r="Z82" i="18"/>
  <c r="Z2802" i="18"/>
  <c r="Z2123" i="18"/>
  <c r="Z1335" i="18"/>
  <c r="Z763" i="18"/>
  <c r="Z251" i="18"/>
  <c r="Z3076" i="18"/>
  <c r="Z2385" i="18"/>
  <c r="Z1659" i="18"/>
  <c r="Z999" i="18"/>
  <c r="Z408" i="18"/>
  <c r="Z3548" i="18"/>
  <c r="Z2885" i="18"/>
  <c r="Z2312" i="18"/>
  <c r="Z1802" i="18"/>
  <c r="Z1254" i="18"/>
  <c r="Z821" i="18"/>
  <c r="Z407" i="18"/>
  <c r="Z2286" i="18"/>
  <c r="Z2992" i="18"/>
  <c r="Z3544" i="18"/>
  <c r="Z3020" i="18"/>
  <c r="Z2504" i="18"/>
  <c r="Z2044" i="18"/>
  <c r="Z3014" i="18"/>
  <c r="Z2525" i="18"/>
  <c r="Z3541" i="18"/>
  <c r="Z2983" i="18"/>
  <c r="Z2501" i="18"/>
  <c r="Z3365" i="18"/>
  <c r="Z2519" i="18"/>
  <c r="Z1816" i="18"/>
  <c r="Z1320" i="18"/>
  <c r="Z885" i="18"/>
  <c r="Z422" i="18"/>
  <c r="Z3457" i="18"/>
  <c r="Z2599" i="18"/>
  <c r="Z1905" i="18"/>
  <c r="Z1366" i="18"/>
  <c r="Z928" i="18"/>
  <c r="Z493" i="18"/>
  <c r="Z30" i="18"/>
  <c r="Z2684" i="18"/>
  <c r="Z1960" i="18"/>
  <c r="Z1437" i="18"/>
  <c r="Z974" i="18"/>
  <c r="Z539" i="18"/>
  <c r="Z104" i="18"/>
  <c r="Z2804" i="18"/>
  <c r="Z2039" i="18"/>
  <c r="Z1502" i="18"/>
  <c r="Z1066" i="18"/>
  <c r="Z606" i="18"/>
  <c r="Z168" i="18"/>
  <c r="Z2590" i="18"/>
  <c r="Z1678" i="18"/>
  <c r="Z1065" i="18"/>
  <c r="Z480" i="18"/>
  <c r="Z3131" i="18"/>
  <c r="Z2873" i="18"/>
  <c r="Z2532" i="18"/>
  <c r="Z1796" i="18"/>
  <c r="Z3080" i="18"/>
  <c r="Z2307" i="18"/>
  <c r="Z1619" i="18"/>
  <c r="Z2823" i="18"/>
  <c r="Z2082" i="18"/>
  <c r="Z3332" i="18"/>
  <c r="Z2378" i="18"/>
  <c r="Z1476" i="18"/>
  <c r="Z788" i="18"/>
  <c r="Z276" i="18"/>
  <c r="Z3198" i="18"/>
  <c r="Z2535" i="18"/>
  <c r="Z1963" i="18"/>
  <c r="Z1347" i="18"/>
  <c r="Z867" i="18"/>
  <c r="Z419" i="18"/>
  <c r="Z3351" i="18"/>
  <c r="Z2711" i="18"/>
  <c r="Z2120" i="18"/>
  <c r="Z1490" i="18"/>
  <c r="Z1058" i="18"/>
  <c r="Z578" i="18"/>
  <c r="Z66" i="18"/>
  <c r="Z2778" i="18"/>
  <c r="Z2073" i="18"/>
  <c r="Z1313" i="18"/>
  <c r="Z744" i="18"/>
  <c r="Z172" i="18"/>
  <c r="Z3052" i="18"/>
  <c r="Z2363" i="18"/>
  <c r="Z1637" i="18"/>
  <c r="Z977" i="18"/>
  <c r="Z367" i="18"/>
  <c r="Z3522" i="18"/>
  <c r="Z3115" i="18"/>
  <c r="Z2857" i="18"/>
  <c r="Z2516" i="18"/>
  <c r="Z1780" i="18"/>
  <c r="Z3062" i="18"/>
  <c r="Z2291" i="18"/>
  <c r="Z1539" i="18"/>
  <c r="Z2805" i="18"/>
  <c r="Z2066" i="18"/>
  <c r="Z3311" i="18"/>
  <c r="Z2337" i="18"/>
  <c r="Z1460" i="18"/>
  <c r="Z724" i="18"/>
  <c r="Z164" i="18"/>
  <c r="Z3086" i="18"/>
  <c r="Z2513" i="18"/>
  <c r="Z1884" i="18"/>
  <c r="Z1315" i="18"/>
  <c r="Z851" i="18"/>
  <c r="Z323" i="18"/>
  <c r="Z3309" i="18"/>
  <c r="Z2689" i="18"/>
  <c r="Z2022" i="18"/>
  <c r="Z1458" i="18"/>
  <c r="Z978" i="18"/>
  <c r="Z466" i="18"/>
  <c r="Z34" i="18"/>
  <c r="Z2752" i="18"/>
  <c r="Z1976" i="18"/>
  <c r="Z1275" i="18"/>
  <c r="Z703" i="18"/>
  <c r="Z55" i="18"/>
  <c r="Z2997" i="18"/>
  <c r="Z2266" i="18"/>
  <c r="Z1470" i="18"/>
  <c r="Z939" i="18"/>
  <c r="Z348" i="18"/>
  <c r="Z3408" i="18"/>
  <c r="Z2776" i="18"/>
  <c r="Z2265" i="18"/>
  <c r="Z1680" i="18"/>
  <c r="Z1194" i="18"/>
  <c r="Z780" i="18"/>
  <c r="Z287" i="18"/>
  <c r="Z3546" i="18"/>
  <c r="Z2910" i="18"/>
  <c r="Z3488" i="18"/>
  <c r="Z2936" i="18"/>
  <c r="Z2454" i="18"/>
  <c r="Z3487" i="18"/>
  <c r="Z2961" i="18"/>
  <c r="Z2478" i="18"/>
  <c r="Z3456" i="18"/>
  <c r="Z2930" i="18"/>
  <c r="Z2448" i="18"/>
  <c r="Z3261" i="18"/>
  <c r="Z2391" i="18"/>
  <c r="Z1754" i="18"/>
  <c r="Z1270" i="18"/>
  <c r="Z810" i="18"/>
  <c r="Z375" i="18"/>
  <c r="Z3364" i="18"/>
  <c r="Z2518" i="18"/>
  <c r="Z1815" i="18"/>
  <c r="Z1319" i="18"/>
  <c r="Z881" i="18"/>
  <c r="Z421" i="18"/>
  <c r="Z3455" i="18"/>
  <c r="Z2597" i="18"/>
  <c r="Z1898" i="18"/>
  <c r="Z1365" i="18"/>
  <c r="Z927" i="18"/>
  <c r="Z492" i="18"/>
  <c r="Z29" i="18"/>
  <c r="Z2714" i="18"/>
  <c r="Z1980" i="18"/>
  <c r="Z1454" i="18"/>
  <c r="Z991" i="18"/>
  <c r="Z556" i="18"/>
  <c r="Z121" i="18"/>
  <c r="Z2423" i="18"/>
  <c r="Z1599" i="18"/>
  <c r="Z1001" i="18"/>
  <c r="Z416" i="18"/>
  <c r="Z3099" i="18"/>
  <c r="Z2841" i="18"/>
  <c r="Z2500" i="18"/>
  <c r="Z1764" i="18"/>
  <c r="Z3026" i="18"/>
  <c r="Z2275" i="18"/>
  <c r="Z3083" i="18"/>
  <c r="Z2825" i="18"/>
  <c r="Z2484" i="18"/>
  <c r="Z1748" i="18"/>
  <c r="Z3008" i="18"/>
  <c r="Z2227" i="18"/>
  <c r="Z3067" i="18"/>
  <c r="Z3411" i="18"/>
  <c r="Z2468" i="18"/>
  <c r="Z1732" i="18"/>
  <c r="Z2990" i="18"/>
  <c r="Z2211" i="18"/>
  <c r="Z3051" i="18"/>
  <c r="Z3393" i="18"/>
  <c r="Z2452" i="18"/>
  <c r="Z1716" i="18"/>
  <c r="Z2952" i="18"/>
  <c r="Z2195" i="18"/>
  <c r="Z3385" i="18"/>
  <c r="Z3009" i="18"/>
  <c r="Z2132" i="18"/>
  <c r="Z3502" i="18"/>
  <c r="Z2675" i="18"/>
  <c r="Z1939" i="18"/>
  <c r="Z3189" i="18"/>
  <c r="Z2418" i="18"/>
  <c r="Z1682" i="18"/>
  <c r="Z2837" i="18"/>
  <c r="Z1926" i="18"/>
  <c r="Z1108" i="18"/>
  <c r="Z420" i="18"/>
  <c r="Z3443" i="18"/>
  <c r="Z2731" i="18"/>
  <c r="Z2121" i="18"/>
  <c r="Z1609" i="18"/>
  <c r="Z1075" i="18"/>
  <c r="Z579" i="18"/>
  <c r="Z115" i="18"/>
  <c r="Z2947" i="18"/>
  <c r="Z2335" i="18"/>
  <c r="Z1785" i="18"/>
  <c r="Z1202" i="18"/>
  <c r="Z722" i="18"/>
  <c r="Z290" i="18"/>
  <c r="Z3138" i="18"/>
  <c r="Z2342" i="18"/>
  <c r="Z1638" i="18"/>
  <c r="Z981" i="18"/>
  <c r="Z368" i="18"/>
  <c r="Z3462" i="18"/>
  <c r="Z2582" i="18"/>
  <c r="Z1853" i="18"/>
  <c r="Z1274" i="18"/>
  <c r="Z623" i="18"/>
  <c r="Z32" i="18"/>
  <c r="Z3133" i="18"/>
  <c r="Z2506" i="18"/>
  <c r="Z1949" i="18"/>
  <c r="Z1450" i="18"/>
  <c r="Z957" i="18"/>
  <c r="Z524" i="18"/>
  <c r="Z110" i="18"/>
  <c r="Z3238" i="18"/>
  <c r="Z2505" i="18"/>
  <c r="Z3213" i="18"/>
  <c r="Z2698" i="18"/>
  <c r="Z2213" i="18"/>
  <c r="Z3212" i="18"/>
  <c r="Z2697" i="18"/>
  <c r="Z2234" i="18"/>
  <c r="Z3205" i="18"/>
  <c r="Z2667" i="18"/>
  <c r="Z2207" i="18"/>
  <c r="Z2781" i="18"/>
  <c r="Z2027" i="18"/>
  <c r="Z1486" i="18"/>
  <c r="Z1051" i="18"/>
  <c r="Z591" i="18"/>
  <c r="Z156" i="18"/>
  <c r="Z2920" i="18"/>
  <c r="Z2088" i="18"/>
  <c r="Z1545" i="18"/>
  <c r="Z1100" i="18"/>
  <c r="Z662" i="18"/>
  <c r="Z202" i="18"/>
  <c r="Z3011" i="18"/>
  <c r="Z2206" i="18"/>
  <c r="Z1600" i="18"/>
  <c r="Z1146" i="18"/>
  <c r="Z711" i="18"/>
  <c r="Z273" i="18"/>
  <c r="Z3144" i="18"/>
  <c r="Z2326" i="18"/>
  <c r="Z1713" i="18"/>
  <c r="Z1210" i="18"/>
  <c r="Z775" i="18"/>
  <c r="Z337" i="18"/>
  <c r="Z3032" i="18"/>
  <c r="Z1959" i="18"/>
  <c r="Z1289" i="18"/>
  <c r="Z710" i="18"/>
  <c r="Z95" i="18"/>
  <c r="Z1717" i="18"/>
  <c r="Z2907" i="18"/>
  <c r="Z2388" i="18"/>
  <c r="Z2934" i="18"/>
  <c r="Z1523" i="18"/>
  <c r="Z2674" i="18"/>
  <c r="Z1650" i="18"/>
  <c r="Z2318" i="18"/>
  <c r="Z1348" i="18"/>
  <c r="Z372" i="18"/>
  <c r="Z3060" i="18"/>
  <c r="Z2279" i="18"/>
  <c r="Z1568" i="18"/>
  <c r="Z835" i="18"/>
  <c r="Z179" i="18"/>
  <c r="Z2903" i="18"/>
  <c r="Z2000" i="18"/>
  <c r="Z1346" i="18"/>
  <c r="Z690" i="18"/>
  <c r="Z3439" i="18"/>
  <c r="Z2461" i="18"/>
  <c r="Z1585" i="18"/>
  <c r="Z684" i="18"/>
  <c r="Z2311" i="18"/>
  <c r="Z2507" i="18"/>
  <c r="Z1451" i="18"/>
  <c r="Z743" i="18"/>
  <c r="Z2527" i="18"/>
  <c r="Z2853" i="18"/>
  <c r="Z2190" i="18"/>
  <c r="Z1488" i="18"/>
  <c r="Z919" i="18"/>
  <c r="Z426" i="18"/>
  <c r="Z3460" i="18"/>
  <c r="Z2677" i="18"/>
  <c r="Z3184" i="18"/>
  <c r="Z2551" i="18"/>
  <c r="Z3458" i="18"/>
  <c r="Z2797" i="18"/>
  <c r="Z2262" i="18"/>
  <c r="Z3094" i="18"/>
  <c r="Z2473" i="18"/>
  <c r="Z3069" i="18"/>
  <c r="Z2089" i="18"/>
  <c r="Z1439" i="18"/>
  <c r="Z907" i="18"/>
  <c r="Z325" i="18"/>
  <c r="Z3068" i="18"/>
  <c r="Z2055" i="18"/>
  <c r="Z1438" i="18"/>
  <c r="Z831" i="18"/>
  <c r="Z321" i="18"/>
  <c r="Z3066" i="18"/>
  <c r="Z2054" i="18"/>
  <c r="Z1387" i="18"/>
  <c r="Z830" i="18"/>
  <c r="Z320" i="18"/>
  <c r="Z3054" i="18"/>
  <c r="Z2076" i="18"/>
  <c r="Z1382" i="18"/>
  <c r="Z847" i="18"/>
  <c r="Z315" i="18"/>
  <c r="Z2710" i="18"/>
  <c r="Z1560" i="18"/>
  <c r="Z839" i="18"/>
  <c r="Z125" i="18"/>
  <c r="Z1596" i="18"/>
  <c r="Z413" i="18"/>
  <c r="Z893" i="18"/>
  <c r="Z1212" i="18"/>
  <c r="Z2059" i="18"/>
  <c r="Z462" i="18"/>
  <c r="Z2012" i="18"/>
  <c r="Z943" i="18"/>
  <c r="Z1849" i="18"/>
  <c r="Z714" i="18"/>
  <c r="Z2589" i="18"/>
  <c r="Z1719" i="18"/>
  <c r="Z1064" i="18"/>
  <c r="Z479" i="18"/>
  <c r="Z1948" i="18"/>
  <c r="Z475" i="18"/>
  <c r="Z2348" i="18"/>
  <c r="Z827" i="18"/>
  <c r="Z400" i="18"/>
  <c r="Z1895" i="18"/>
  <c r="Z2497" i="18"/>
  <c r="Z138" i="18"/>
  <c r="Z874" i="18"/>
  <c r="Z3030" i="18"/>
  <c r="Z1995" i="18"/>
  <c r="Z1322" i="18"/>
  <c r="Z705" i="18"/>
  <c r="Z123" i="18"/>
  <c r="Z1640" i="18"/>
  <c r="Z380" i="18"/>
  <c r="Z767" i="18"/>
  <c r="Z3078" i="18"/>
  <c r="Z1441" i="18"/>
  <c r="Z3526" i="18"/>
  <c r="Z1338" i="18"/>
  <c r="Z2445" i="18"/>
  <c r="Z140" i="18"/>
  <c r="Z2492" i="18"/>
  <c r="Z1457" i="18"/>
  <c r="Z583" i="18"/>
  <c r="Z1047" i="18"/>
  <c r="Z1889" i="18"/>
  <c r="Z875" i="18"/>
  <c r="Z165" i="18"/>
  <c r="Z2890" i="18"/>
  <c r="Z2865" i="18"/>
  <c r="Z2375" i="18"/>
  <c r="Z1007" i="18"/>
  <c r="Z3232" i="18"/>
  <c r="Z3142" i="18"/>
  <c r="Z2176" i="18"/>
  <c r="Z1505" i="18"/>
  <c r="Z795" i="18"/>
  <c r="Z1303" i="18"/>
  <c r="Z846" i="18"/>
  <c r="Z2783" i="18"/>
  <c r="Z455" i="18"/>
  <c r="Z2569" i="18"/>
  <c r="Z1789" i="18"/>
  <c r="Z1211" i="18"/>
  <c r="Z696" i="18"/>
  <c r="Z182" i="18"/>
  <c r="Z2867" i="18"/>
  <c r="Z1979" i="18"/>
  <c r="Z1374" i="18"/>
  <c r="Z854" i="18"/>
  <c r="Z336" i="18"/>
  <c r="Z3055" i="18"/>
  <c r="Z2325" i="18"/>
  <c r="Z778" i="18"/>
  <c r="Z2782" i="18"/>
  <c r="Z97" i="18"/>
  <c r="Z3417" i="18"/>
  <c r="Z2212" i="18"/>
  <c r="Z2707" i="18"/>
  <c r="Z1507" i="18"/>
  <c r="Z2450" i="18"/>
  <c r="Z1618" i="18"/>
  <c r="Z2299" i="18"/>
  <c r="Z1140" i="18"/>
  <c r="Z356" i="18"/>
  <c r="Z2995" i="18"/>
  <c r="Z1491" i="18"/>
  <c r="Z819" i="18"/>
  <c r="Z163" i="18"/>
  <c r="Z2882" i="18"/>
  <c r="Z1981" i="18"/>
  <c r="Z1330" i="18"/>
  <c r="Z642" i="18"/>
  <c r="Z3413" i="18"/>
  <c r="Z2439" i="18"/>
  <c r="Z1563" i="18"/>
  <c r="Z665" i="18"/>
  <c r="Z3523" i="18"/>
  <c r="Z2485" i="18"/>
  <c r="Z1432" i="18"/>
  <c r="Z721" i="18"/>
  <c r="Z2361" i="18"/>
  <c r="Z2747" i="18"/>
  <c r="Z2093" i="18"/>
  <c r="Z1469" i="18"/>
  <c r="Z897" i="18"/>
  <c r="Z385" i="18"/>
  <c r="Z3436" i="18"/>
  <c r="Z2649" i="18"/>
  <c r="Z3401" i="18"/>
  <c r="Z2196" i="18"/>
  <c r="Z2691" i="18"/>
  <c r="Z3537" i="18"/>
  <c r="Z2434" i="18"/>
  <c r="Z3369" i="18"/>
  <c r="Z2116" i="18"/>
  <c r="Z2659" i="18"/>
  <c r="Z3501" i="18"/>
  <c r="Z2386" i="18"/>
  <c r="Z1586" i="18"/>
  <c r="Z2261" i="18"/>
  <c r="Z1092" i="18"/>
  <c r="Z308" i="18"/>
  <c r="Z3353" i="18"/>
  <c r="Z2100" i="18"/>
  <c r="Z2643" i="18"/>
  <c r="Z3482" i="18"/>
  <c r="Z2370" i="18"/>
  <c r="Z3288" i="18"/>
  <c r="Z2239" i="18"/>
  <c r="Z1076" i="18"/>
  <c r="Z132" i="18"/>
  <c r="Z3337" i="18"/>
  <c r="Z2084" i="18"/>
  <c r="Z2563" i="18"/>
  <c r="Z3263" i="18"/>
  <c r="Z2354" i="18"/>
  <c r="Z3267" i="18"/>
  <c r="Z1964" i="18"/>
  <c r="Z1060" i="18"/>
  <c r="Z116" i="18"/>
  <c r="Z3193" i="18"/>
  <c r="Z2052" i="18"/>
  <c r="Z2547" i="18"/>
  <c r="Z3207" i="18"/>
  <c r="Z2338" i="18"/>
  <c r="Z3242" i="18"/>
  <c r="Z1945" i="18"/>
  <c r="Z980" i="18"/>
  <c r="Z100" i="18"/>
  <c r="Z3177" i="18"/>
  <c r="Z2036" i="18"/>
  <c r="Z2531" i="18"/>
  <c r="Z3171" i="18"/>
  <c r="Z2322" i="18"/>
  <c r="Z3220" i="18"/>
  <c r="Z1904" i="18"/>
  <c r="Z964" i="18"/>
  <c r="Z68" i="18"/>
  <c r="Z2712" i="18"/>
  <c r="Z2001" i="18"/>
  <c r="Z1203" i="18"/>
  <c r="Z563" i="18"/>
  <c r="Z3421" i="18"/>
  <c r="Z2512" i="18"/>
  <c r="Z1766" i="18"/>
  <c r="Z1090" i="18"/>
  <c r="Z370" i="18"/>
  <c r="Z3109" i="18"/>
  <c r="Z2145" i="18"/>
  <c r="Z1196" i="18"/>
  <c r="Z349" i="18"/>
  <c r="Z3187" i="18"/>
  <c r="Z2047" i="18"/>
  <c r="Z1176" i="18"/>
  <c r="Z427" i="18"/>
  <c r="Z3271" i="18"/>
  <c r="Z2603" i="18"/>
  <c r="Z1877" i="18"/>
  <c r="Z1232" i="18"/>
  <c r="Z720" i="18"/>
  <c r="Z151" i="18"/>
  <c r="Z3103" i="18"/>
  <c r="Z2167" i="18"/>
  <c r="Z2877" i="18"/>
  <c r="Z2310" i="18"/>
  <c r="Z3183" i="18"/>
  <c r="Z2575" i="18"/>
  <c r="Z3430" i="18"/>
  <c r="Z2819" i="18"/>
  <c r="Z2232" i="18"/>
  <c r="Z2641" i="18"/>
  <c r="Z1788" i="18"/>
  <c r="Z1173" i="18"/>
  <c r="Z666" i="18"/>
  <c r="Z106" i="18"/>
  <c r="Z2640" i="18"/>
  <c r="Z1753" i="18"/>
  <c r="Z1169" i="18"/>
  <c r="Z615" i="18"/>
  <c r="Z105" i="18"/>
  <c r="Z2559" i="18"/>
  <c r="Z1752" i="18"/>
  <c r="Z1168" i="18"/>
  <c r="Z614" i="18"/>
  <c r="Z57" i="18"/>
  <c r="Z2586" i="18"/>
  <c r="Z1772" i="18"/>
  <c r="Z1163" i="18"/>
  <c r="Z631" i="18"/>
  <c r="Z3425" i="18"/>
  <c r="Z2136" i="18"/>
  <c r="Z1259" i="18"/>
  <c r="Z551" i="18"/>
  <c r="Z2646" i="18"/>
  <c r="Z1089" i="18"/>
  <c r="Z2075" i="18"/>
  <c r="Z247" i="18"/>
  <c r="Z3389" i="18"/>
  <c r="Z1435" i="18"/>
  <c r="Z1936" i="18"/>
  <c r="Z557" i="18"/>
  <c r="Z1729" i="18"/>
  <c r="Z3303" i="18"/>
  <c r="Z3230" i="18"/>
  <c r="Z2134" i="18"/>
  <c r="Z1420" i="18"/>
  <c r="Z838" i="18"/>
  <c r="Z221" i="18"/>
  <c r="Z314" i="18"/>
  <c r="Z216" i="18"/>
  <c r="Z1551" i="18"/>
  <c r="Z215" i="18"/>
  <c r="Z2984" i="18"/>
  <c r="Z1272" i="18"/>
  <c r="Z2785" i="18"/>
  <c r="Z3110" i="18"/>
  <c r="Z1296" i="18"/>
  <c r="Z2538" i="18"/>
  <c r="Z1676" i="18"/>
  <c r="Z1063" i="18"/>
  <c r="Z478" i="18"/>
  <c r="Z2704" i="18"/>
  <c r="Z1062" i="18"/>
  <c r="Z1712" i="18"/>
  <c r="Z120" i="18"/>
  <c r="Z2293" i="18"/>
  <c r="Z862" i="18"/>
  <c r="Z2509" i="18"/>
  <c r="Z597" i="18"/>
  <c r="Z1240" i="18"/>
  <c r="Z1578" i="18"/>
  <c r="Z749" i="18"/>
  <c r="Z3170" i="18"/>
  <c r="Z1765" i="18"/>
  <c r="Z2057" i="18"/>
  <c r="Z264" i="18"/>
  <c r="Z2320" i="18"/>
  <c r="Z520" i="18"/>
  <c r="Z2233" i="18"/>
  <c r="Z205" i="18"/>
  <c r="Z200" i="18"/>
  <c r="Z2840" i="18"/>
  <c r="Z1067" i="18"/>
  <c r="Z2696" i="18"/>
  <c r="Z1868" i="18"/>
  <c r="Z1280" i="18"/>
  <c r="Z237" i="18"/>
  <c r="Z44" i="18"/>
  <c r="Z1930" i="18"/>
  <c r="Z41" i="18"/>
  <c r="Z3140" i="18"/>
  <c r="Z2174" i="18"/>
  <c r="Z1503" i="18"/>
  <c r="Z987" i="18"/>
  <c r="Z473" i="18"/>
  <c r="Z3454" i="18"/>
  <c r="Z2447" i="18"/>
  <c r="Z1702" i="18"/>
  <c r="Z1145" i="18"/>
  <c r="Z630" i="18"/>
  <c r="Z113" i="18"/>
  <c r="Z1430" i="18"/>
  <c r="Z71" i="18"/>
  <c r="Z1769" i="18"/>
  <c r="Z1034" i="18"/>
  <c r="Z3375" i="18"/>
  <c r="Z1700" i="18"/>
  <c r="Z2179" i="18"/>
  <c r="Z3153" i="18"/>
  <c r="Z2050" i="18"/>
  <c r="Z3199" i="18"/>
  <c r="Z1885" i="18"/>
  <c r="Z708" i="18"/>
  <c r="Z52" i="18"/>
  <c r="Z2693" i="18"/>
  <c r="Z1805" i="18"/>
  <c r="Z1187" i="18"/>
  <c r="Z547" i="18"/>
  <c r="Z3286" i="18"/>
  <c r="Z2433" i="18"/>
  <c r="Z1706" i="18"/>
  <c r="Z962" i="18"/>
  <c r="Z354" i="18"/>
  <c r="Z2998" i="18"/>
  <c r="Z1951" i="18"/>
  <c r="Z1117" i="18"/>
  <c r="Z330" i="18"/>
  <c r="Z2941" i="18"/>
  <c r="Z2025" i="18"/>
  <c r="Z1157" i="18"/>
  <c r="Z329" i="18"/>
  <c r="Z3215" i="18"/>
  <c r="Z2481" i="18"/>
  <c r="Z1852" i="18"/>
  <c r="Z1175" i="18"/>
  <c r="Z622" i="18"/>
  <c r="Z129" i="18"/>
  <c r="Z3074" i="18"/>
  <c r="Z3045" i="18"/>
  <c r="Z1907" i="18"/>
  <c r="Z1762" i="18"/>
  <c r="Z1412" i="18"/>
  <c r="Z3352" i="18"/>
  <c r="Z2238" i="18"/>
  <c r="Z1219" i="18"/>
  <c r="Z307" i="18"/>
  <c r="Z2835" i="18"/>
  <c r="Z1804" i="18"/>
  <c r="Z834" i="18"/>
  <c r="Z3384" i="18"/>
  <c r="Z2170" i="18"/>
  <c r="Z921" i="18"/>
  <c r="Z3494" i="18"/>
  <c r="Z2144" i="18"/>
  <c r="Z860" i="18"/>
  <c r="Z2236" i="18"/>
  <c r="Z2625" i="18"/>
  <c r="Z1611" i="18"/>
  <c r="Z859" i="18"/>
  <c r="Z170" i="18"/>
  <c r="Z2852" i="18"/>
  <c r="Z3237" i="18"/>
  <c r="Z2479" i="18"/>
  <c r="Z3322" i="18"/>
  <c r="Z2600" i="18"/>
  <c r="Z3370" i="18"/>
  <c r="Z2645" i="18"/>
  <c r="Z3314" i="18"/>
  <c r="Z2128" i="18"/>
  <c r="Z1367" i="18"/>
  <c r="Z735" i="18"/>
  <c r="Z128" i="18"/>
  <c r="Z2425" i="18"/>
  <c r="Z1601" i="18"/>
  <c r="Z975" i="18"/>
  <c r="Z346" i="18"/>
  <c r="Z2919" i="18"/>
  <c r="Z1839" i="18"/>
  <c r="Z1193" i="18"/>
  <c r="Z561" i="18"/>
  <c r="Z3394" i="18"/>
  <c r="Z2246" i="18"/>
  <c r="Z1404" i="18"/>
  <c r="Z797" i="18"/>
  <c r="Z193" i="18"/>
  <c r="Z2197" i="18"/>
  <c r="Z1162" i="18"/>
  <c r="Z319" i="18"/>
  <c r="Z1914" i="18"/>
  <c r="Z477" i="18"/>
  <c r="Z732" i="18"/>
  <c r="Z183" i="18"/>
  <c r="Z1500" i="18"/>
  <c r="Z913" i="18"/>
  <c r="Z2981" i="18"/>
  <c r="Z137" i="18"/>
  <c r="Z1102" i="18"/>
  <c r="Z2487" i="18"/>
  <c r="Z1521" i="18"/>
  <c r="Z870" i="18"/>
  <c r="Z159" i="18"/>
  <c r="Z634" i="18"/>
  <c r="Z2944" i="18"/>
  <c r="Z891" i="18"/>
  <c r="Z3525" i="18"/>
  <c r="Z1466" i="18"/>
  <c r="Z3180" i="18"/>
  <c r="Z2373" i="18"/>
  <c r="Z3420" i="18"/>
  <c r="Z2186" i="18"/>
  <c r="Z1351" i="18"/>
  <c r="Z640" i="18"/>
  <c r="Z3418" i="18"/>
  <c r="Z1127" i="18"/>
  <c r="Z1381" i="18"/>
  <c r="Z766" i="18"/>
  <c r="Z1672" i="18"/>
  <c r="Z145" i="18"/>
  <c r="Z1179" i="18"/>
  <c r="Z1535" i="18"/>
  <c r="Z1773" i="18"/>
  <c r="Z394" i="18"/>
  <c r="Z1887" i="18"/>
  <c r="Z3477" i="18"/>
  <c r="Z2152" i="18"/>
  <c r="Z490" i="18"/>
  <c r="Z1199" i="18"/>
  <c r="Z2350" i="18"/>
  <c r="Z2271" i="18"/>
  <c r="Z2204" i="18"/>
  <c r="Z1035" i="18"/>
  <c r="Z3203" i="18"/>
  <c r="Z2074" i="18"/>
  <c r="Z1377" i="18"/>
  <c r="Z790" i="18"/>
  <c r="Z2728" i="18"/>
  <c r="Z748" i="18"/>
  <c r="Z1131" i="18"/>
  <c r="Z2635" i="18"/>
  <c r="Z1703" i="18"/>
  <c r="Z1084" i="18"/>
  <c r="Z502" i="18"/>
  <c r="Z3333" i="18"/>
  <c r="Z2225" i="18"/>
  <c r="Z1468" i="18"/>
  <c r="Z889" i="18"/>
  <c r="Z272" i="18"/>
  <c r="Z2105" i="18"/>
  <c r="Z297" i="18"/>
  <c r="Z1165" i="18"/>
  <c r="Z40" i="18"/>
  <c r="Z3027" i="18"/>
  <c r="Z1891" i="18"/>
  <c r="Z1698" i="18"/>
  <c r="Z1396" i="18"/>
  <c r="Z3266" i="18"/>
  <c r="Z2102" i="18"/>
  <c r="Z1155" i="18"/>
  <c r="Z291" i="18"/>
  <c r="Z2749" i="18"/>
  <c r="Z1687" i="18"/>
  <c r="Z818" i="18"/>
  <c r="Z3360" i="18"/>
  <c r="Z1929" i="18"/>
  <c r="Z902" i="18"/>
  <c r="Z3438" i="18"/>
  <c r="Z1997" i="18"/>
  <c r="Z841" i="18"/>
  <c r="Z2142" i="18"/>
  <c r="Z2459" i="18"/>
  <c r="Z1583" i="18"/>
  <c r="Z840" i="18"/>
  <c r="Z91" i="18"/>
  <c r="Z2775" i="18"/>
  <c r="Z3158" i="18"/>
  <c r="Z2407" i="18"/>
  <c r="Z3268" i="18"/>
  <c r="Z2550" i="18"/>
  <c r="Z3345" i="18"/>
  <c r="Z2620" i="18"/>
  <c r="Z3168" i="18"/>
  <c r="Z2056" i="18"/>
  <c r="Z1342" i="18"/>
  <c r="Z713" i="18"/>
  <c r="Z59" i="18"/>
  <c r="Z2390" i="18"/>
  <c r="Z1576" i="18"/>
  <c r="Z953" i="18"/>
  <c r="Z299" i="18"/>
  <c r="Z2817" i="18"/>
  <c r="Z1814" i="18"/>
  <c r="Z1121" i="18"/>
  <c r="Z517" i="18"/>
  <c r="Z3343" i="18"/>
  <c r="Z2153" i="18"/>
  <c r="Z1357" i="18"/>
  <c r="Z750" i="18"/>
  <c r="Z143" i="18"/>
  <c r="Z2086" i="18"/>
  <c r="Z1130" i="18"/>
  <c r="Z286" i="18"/>
  <c r="Z1835" i="18"/>
  <c r="Z351" i="18"/>
  <c r="Z635" i="18"/>
  <c r="Z24" i="18"/>
  <c r="Z1370" i="18"/>
  <c r="Z693" i="18"/>
  <c r="Z2205" i="18"/>
  <c r="Z3500" i="18"/>
  <c r="Z552" i="18"/>
  <c r="Z2422" i="18"/>
  <c r="Z1482" i="18"/>
  <c r="Z773" i="18"/>
  <c r="Z124" i="18"/>
  <c r="Z601" i="18"/>
  <c r="Z2753" i="18"/>
  <c r="Z765" i="18"/>
  <c r="Z3452" i="18"/>
  <c r="Z1401" i="18"/>
  <c r="Z2443" i="18"/>
  <c r="Z1920" i="18"/>
  <c r="Z3346" i="18"/>
  <c r="Z2078" i="18"/>
  <c r="Z1287" i="18"/>
  <c r="Z608" i="18"/>
  <c r="Z3223" i="18"/>
  <c r="Z992" i="18"/>
  <c r="Z1317" i="18"/>
  <c r="Z119" i="18"/>
  <c r="Z1592" i="18"/>
  <c r="Z3329" i="18"/>
  <c r="Z1111" i="18"/>
  <c r="Z1434" i="18"/>
  <c r="Z1206" i="18"/>
  <c r="Z235" i="18"/>
  <c r="Z1397" i="18"/>
  <c r="Z3280" i="18"/>
  <c r="Z1653" i="18"/>
  <c r="Z263" i="18"/>
  <c r="Z1005" i="18"/>
  <c r="Z2183" i="18"/>
  <c r="Z1498" i="18"/>
  <c r="Z2009" i="18"/>
  <c r="Z489" i="18"/>
  <c r="Z3084" i="18"/>
  <c r="Z1345" i="18"/>
  <c r="Z3252" i="18"/>
  <c r="Z2270" i="18"/>
  <c r="Z554" i="18"/>
  <c r="Z873" i="18"/>
  <c r="Z2520" i="18"/>
  <c r="Z1671" i="18"/>
  <c r="Z1052" i="18"/>
  <c r="Z438" i="18"/>
  <c r="Z3255" i="18"/>
  <c r="Z2161" i="18"/>
  <c r="Z1436" i="18"/>
  <c r="Z824" i="18"/>
  <c r="Z239" i="18"/>
  <c r="Z1855" i="18"/>
  <c r="Z3178" i="18"/>
  <c r="Z909" i="18"/>
  <c r="Z423" i="18"/>
  <c r="Z2431" i="18"/>
  <c r="Z2006" i="18"/>
  <c r="Z3453" i="18"/>
  <c r="Z528" i="18"/>
  <c r="Z2490" i="18"/>
  <c r="Z391" i="18"/>
  <c r="Z2305" i="18"/>
  <c r="Z741" i="18"/>
  <c r="Z94" i="18"/>
  <c r="Z572" i="18"/>
  <c r="Z2636" i="18"/>
  <c r="Z697" i="18"/>
  <c r="Z3388" i="18"/>
  <c r="Z1369" i="18"/>
  <c r="Z1690" i="18"/>
  <c r="Z3284" i="18"/>
  <c r="Z2033" i="18"/>
  <c r="Z1225" i="18"/>
  <c r="Z575" i="18"/>
  <c r="Z2892" i="18"/>
  <c r="Z933" i="18"/>
  <c r="Z1249" i="18"/>
  <c r="Z3530" i="18"/>
  <c r="Z1504" i="18"/>
  <c r="Z950" i="18"/>
  <c r="Z1337" i="18"/>
  <c r="Z1045" i="18"/>
  <c r="Z43" i="18"/>
  <c r="Z1200" i="18"/>
  <c r="Z3089" i="18"/>
  <c r="Z1461" i="18"/>
  <c r="Z3367" i="18"/>
  <c r="Z776" i="18"/>
  <c r="Z2125" i="18"/>
  <c r="Z945" i="18"/>
  <c r="Z1770" i="18"/>
  <c r="Z233" i="18"/>
  <c r="Z3006" i="18"/>
  <c r="Z1989" i="18"/>
  <c r="Z1310" i="18"/>
  <c r="Z2982" i="18"/>
  <c r="Z360" i="18"/>
  <c r="Z649" i="18"/>
  <c r="Z2462" i="18"/>
  <c r="Z1624" i="18"/>
  <c r="Z1020" i="18"/>
  <c r="Z405" i="18"/>
  <c r="Z3196" i="18"/>
  <c r="Z2108" i="18"/>
  <c r="Z1403" i="18"/>
  <c r="Z792" i="18"/>
  <c r="Z207" i="18"/>
  <c r="Z1655" i="18"/>
  <c r="Z2784" i="18"/>
  <c r="Z650" i="18"/>
  <c r="Z294" i="18"/>
  <c r="Z1589" i="18"/>
  <c r="Z782" i="18"/>
  <c r="Z762" i="18"/>
  <c r="Z2362" i="18"/>
  <c r="Z761" i="18"/>
  <c r="Z2721" i="18"/>
  <c r="Z2360" i="18"/>
  <c r="Z2406" i="18"/>
  <c r="Z2545" i="18"/>
  <c r="Z1965" i="18"/>
  <c r="Z616" i="18"/>
  <c r="Z2300" i="18"/>
  <c r="Z809" i="18"/>
  <c r="Z2729" i="18"/>
  <c r="Z1071" i="18"/>
  <c r="Z2011" i="18"/>
  <c r="Z700" i="18"/>
  <c r="Z1917" i="18"/>
  <c r="Z222" i="18"/>
  <c r="Z157" i="18"/>
  <c r="Z1144" i="18"/>
  <c r="Z3552" i="18"/>
  <c r="Z709" i="18"/>
  <c r="Z2230" i="18"/>
  <c r="Z3320" i="18"/>
  <c r="Z1527" i="18"/>
  <c r="Z549" i="18"/>
  <c r="Z1152" i="18"/>
  <c r="Z2999" i="18"/>
  <c r="Z1143" i="18"/>
  <c r="Z3037" i="18"/>
  <c r="Z1302" i="18"/>
  <c r="Z3476" i="18"/>
  <c r="Z1573" i="18"/>
  <c r="Z2945" i="18"/>
  <c r="Z2735" i="18"/>
  <c r="Z166" i="18"/>
  <c r="Z1582" i="18"/>
  <c r="Z3139" i="18"/>
  <c r="Z757" i="18"/>
  <c r="Z2374" i="18"/>
  <c r="Z3326" i="18"/>
  <c r="Z2030" i="18"/>
  <c r="Z706" i="18"/>
  <c r="Z3359" i="18"/>
  <c r="Z3350" i="18"/>
  <c r="Z1514" i="18"/>
  <c r="Z53" i="18"/>
  <c r="Z3073" i="18"/>
  <c r="Z3157" i="18"/>
  <c r="Z3292" i="18"/>
  <c r="Z3028" i="18"/>
  <c r="Z1223" i="18"/>
  <c r="Z3507" i="18"/>
  <c r="Z1485" i="18"/>
  <c r="Z224" i="18"/>
  <c r="Z1721" i="18"/>
  <c r="Z3200" i="18"/>
  <c r="Z1307" i="18"/>
  <c r="Z3362" i="18"/>
  <c r="Z1033" i="18"/>
  <c r="Z1519" i="18"/>
  <c r="Z508" i="18"/>
  <c r="Z364" i="18"/>
  <c r="Z1532" i="18"/>
  <c r="Z1456" i="18"/>
  <c r="Z2249" i="18"/>
  <c r="Z1385" i="18"/>
  <c r="Z38" i="18"/>
  <c r="Z600" i="18"/>
  <c r="Z1110" i="18"/>
  <c r="Z1692" i="18"/>
  <c r="Z3224" i="18"/>
  <c r="Z1190" i="18"/>
  <c r="Z2587" i="18"/>
  <c r="Z768" i="18"/>
  <c r="Z3340" i="18"/>
  <c r="Z853" i="18"/>
  <c r="Z848" i="18"/>
  <c r="Z3253" i="18"/>
  <c r="Z2979" i="18"/>
  <c r="Z107" i="18"/>
  <c r="Z2839" i="18"/>
  <c r="Z1947" i="18"/>
  <c r="Z1736" i="18"/>
  <c r="Z2399" i="18"/>
  <c r="Z376" i="18"/>
  <c r="Z1339" i="18"/>
  <c r="Z1271" i="18"/>
  <c r="Z161" i="18"/>
  <c r="Z2991" i="18"/>
  <c r="Z1875" i="18"/>
  <c r="Z1666" i="18"/>
  <c r="Z1380" i="18"/>
  <c r="Z3240" i="18"/>
  <c r="Z2080" i="18"/>
  <c r="Z1139" i="18"/>
  <c r="Z275" i="18"/>
  <c r="Z2651" i="18"/>
  <c r="Z1608" i="18"/>
  <c r="Z802" i="18"/>
  <c r="Z3302" i="18"/>
  <c r="Z1807" i="18"/>
  <c r="Z801" i="18"/>
  <c r="Z3383" i="18"/>
  <c r="Z1975" i="18"/>
  <c r="Z822" i="18"/>
  <c r="Z3382" i="18"/>
  <c r="Z1536" i="18"/>
  <c r="Z799" i="18"/>
  <c r="Z72" i="18"/>
  <c r="Z2746" i="18"/>
  <c r="Z3102" i="18"/>
  <c r="Z2382" i="18"/>
  <c r="Z3236" i="18"/>
  <c r="Z2503" i="18"/>
  <c r="Z3316" i="18"/>
  <c r="Z2570" i="18"/>
  <c r="Z3120" i="18"/>
  <c r="Z1993" i="18"/>
  <c r="Z1295" i="18"/>
  <c r="Z688" i="18"/>
  <c r="Z37" i="18"/>
  <c r="Z2345" i="18"/>
  <c r="Z1517" i="18"/>
  <c r="Z906" i="18"/>
  <c r="Z277" i="18"/>
  <c r="Z2766" i="18"/>
  <c r="Z1783" i="18"/>
  <c r="Z1099" i="18"/>
  <c r="Z442" i="18"/>
  <c r="Z3293" i="18"/>
  <c r="Z2109" i="18"/>
  <c r="Z1329" i="18"/>
  <c r="Z728" i="18"/>
  <c r="Z3486" i="18"/>
  <c r="Z1095" i="18"/>
  <c r="Z257" i="18"/>
  <c r="Z1793" i="18"/>
  <c r="Z219" i="18"/>
  <c r="Z573" i="18"/>
  <c r="Z1305" i="18"/>
  <c r="Z1931" i="18"/>
  <c r="Z1449" i="18"/>
  <c r="Z2010" i="18"/>
  <c r="Z3194" i="18"/>
  <c r="Z1969" i="18"/>
  <c r="Z1757" i="18"/>
  <c r="Z417" i="18"/>
  <c r="Z3254" i="18"/>
  <c r="Z537" i="18"/>
  <c r="Z1957" i="18"/>
  <c r="Z1376" i="18"/>
  <c r="Z1006" i="18"/>
  <c r="Z2031" i="18"/>
  <c r="Z1248" i="18"/>
  <c r="Z3528" i="18"/>
  <c r="Z955" i="18"/>
  <c r="Z2063" i="18"/>
  <c r="Z175" i="18"/>
  <c r="Z424" i="18"/>
  <c r="Z1431" i="18"/>
  <c r="Z3047" i="18"/>
  <c r="Z2332" i="18"/>
  <c r="Z3125" i="18"/>
  <c r="Z2381" i="18"/>
  <c r="Z3234" i="18"/>
  <c r="Z2523" i="18"/>
  <c r="Z2977" i="18"/>
  <c r="Z1934" i="18"/>
  <c r="Z1198" i="18"/>
  <c r="Z569" i="18"/>
  <c r="Z3415" i="18"/>
  <c r="Z2252" i="18"/>
  <c r="Z1463" i="18"/>
  <c r="Z2826" i="18"/>
  <c r="Z1859" i="18"/>
  <c r="Z1602" i="18"/>
  <c r="Z1124" i="18"/>
  <c r="Z2974" i="18"/>
  <c r="Z2061" i="18"/>
  <c r="Z1059" i="18"/>
  <c r="Z195" i="18"/>
  <c r="Z2632" i="18"/>
  <c r="Z3274" i="18"/>
  <c r="Z1831" i="18"/>
  <c r="Z2807" i="18"/>
  <c r="Z1795" i="18"/>
  <c r="Z2884" i="18"/>
  <c r="Z692" i="18"/>
  <c r="Z2948" i="18"/>
  <c r="Z2023" i="18"/>
  <c r="Z979" i="18"/>
  <c r="Z131" i="18"/>
  <c r="Z2613" i="18"/>
  <c r="Z1442" i="18"/>
  <c r="Z626" i="18"/>
  <c r="Z3249" i="18"/>
  <c r="Z1735" i="18"/>
  <c r="Z646" i="18"/>
  <c r="Z3216" i="18"/>
  <c r="Z1803" i="18"/>
  <c r="Z702" i="18"/>
  <c r="Z2334" i="18"/>
  <c r="Z2790" i="18"/>
  <c r="Z3135" i="18"/>
  <c r="Z2860" i="18"/>
  <c r="Z644" i="18"/>
  <c r="Z2927" i="18"/>
  <c r="Z1786" i="18"/>
  <c r="Z963" i="18"/>
  <c r="Z99" i="18"/>
  <c r="Z2414" i="18"/>
  <c r="Z1410" i="18"/>
  <c r="Z610" i="18"/>
  <c r="Z2966" i="18"/>
  <c r="Z1685" i="18"/>
  <c r="Z488" i="18"/>
  <c r="Z2912" i="18"/>
  <c r="Z1756" i="18"/>
  <c r="Z544" i="18"/>
  <c r="Z3186" i="18"/>
  <c r="Z2287" i="18"/>
  <c r="Z1409" i="18"/>
  <c r="Z2773" i="18"/>
  <c r="Z3117" i="18"/>
  <c r="Z2751" i="18"/>
  <c r="Z628" i="18"/>
  <c r="Z2904" i="18"/>
  <c r="Z1767" i="18"/>
  <c r="Z931" i="18"/>
  <c r="Z83" i="18"/>
  <c r="Z2395" i="18"/>
  <c r="Z1394" i="18"/>
  <c r="Z450" i="18"/>
  <c r="Z2855" i="18"/>
  <c r="Z1660" i="18"/>
  <c r="Z469" i="18"/>
  <c r="Z2886" i="18"/>
  <c r="Z1734" i="18"/>
  <c r="Z525" i="18"/>
  <c r="Z3160" i="18"/>
  <c r="Z2240" i="18"/>
  <c r="Z1390" i="18"/>
  <c r="Z3538" i="18"/>
  <c r="Z3098" i="18"/>
  <c r="Z2732" i="18"/>
  <c r="Z612" i="18"/>
  <c r="Z2883" i="18"/>
  <c r="Z1688" i="18"/>
  <c r="Z899" i="18"/>
  <c r="Z67" i="18"/>
  <c r="Z2316" i="18"/>
  <c r="Z1378" i="18"/>
  <c r="Z434" i="18"/>
  <c r="Z2831" i="18"/>
  <c r="Z1613" i="18"/>
  <c r="Z447" i="18"/>
  <c r="Z2854" i="18"/>
  <c r="Z1709" i="18"/>
  <c r="Z506" i="18"/>
  <c r="Z3104" i="18"/>
  <c r="Z2215" i="18"/>
  <c r="Z1311" i="18"/>
  <c r="Z565" i="18"/>
  <c r="Z3492" i="18"/>
  <c r="Z2383" i="18"/>
  <c r="Z2822" i="18"/>
  <c r="Z2166" i="18"/>
  <c r="Z2986" i="18"/>
  <c r="Z2309" i="18"/>
  <c r="Z3070" i="18"/>
  <c r="Z2351" i="18"/>
  <c r="Z2734" i="18"/>
  <c r="Z1723" i="18"/>
  <c r="Z1101" i="18"/>
  <c r="Z494" i="18"/>
  <c r="Z3167" i="18"/>
  <c r="Z2017" i="18"/>
  <c r="Z1291" i="18"/>
  <c r="Z712" i="18"/>
  <c r="Z58" i="18"/>
  <c r="Z2380" i="18"/>
  <c r="Z1544" i="18"/>
  <c r="Z905" i="18"/>
  <c r="Z298" i="18"/>
  <c r="Z2849" i="18"/>
  <c r="Z1834" i="18"/>
  <c r="Z1141" i="18"/>
  <c r="Z509" i="18"/>
  <c r="Z3092" i="18"/>
  <c r="Z1720" i="18"/>
  <c r="Z807" i="18"/>
  <c r="Z3542" i="18"/>
  <c r="Z1224" i="18"/>
  <c r="Z1674" i="18"/>
  <c r="Z26" i="18"/>
  <c r="Z2567" i="18"/>
  <c r="Z694" i="18"/>
  <c r="Z1817" i="18"/>
  <c r="Z103" i="18"/>
  <c r="Z262" i="18"/>
  <c r="Z3156" i="18"/>
  <c r="Z1999" i="18"/>
  <c r="Z1226" i="18"/>
  <c r="Z550" i="18"/>
  <c r="Z1792" i="18"/>
  <c r="Z343" i="18"/>
  <c r="Z1822" i="18"/>
  <c r="Z86" i="18"/>
  <c r="Z2566" i="18"/>
  <c r="Z558" i="18"/>
  <c r="Z588" i="18"/>
  <c r="Z715" i="18"/>
  <c r="Z2833" i="18"/>
  <c r="Z1759" i="18"/>
  <c r="Z1031" i="18"/>
  <c r="Z352" i="18"/>
  <c r="Z2032" i="18"/>
  <c r="Z510" i="18"/>
  <c r="Z699" i="18"/>
  <c r="Z2810" i="18"/>
  <c r="Z1021" i="18"/>
  <c r="Z2224" i="18"/>
  <c r="Z335" i="18"/>
  <c r="Z625" i="18"/>
  <c r="Z139" i="18"/>
  <c r="Z1263" i="18"/>
  <c r="Z2978" i="18"/>
  <c r="Z3386" i="18"/>
  <c r="Z3504" i="18"/>
  <c r="Z1297" i="18"/>
  <c r="Z3204" i="18"/>
  <c r="Z1184" i="18"/>
  <c r="Z2053" i="18"/>
  <c r="Z425" i="18"/>
  <c r="Z1686" i="18"/>
  <c r="Z2637" i="18"/>
  <c r="Z1750" i="18"/>
  <c r="Z1054" i="18"/>
  <c r="Z1696" i="18"/>
  <c r="Z620" i="18"/>
  <c r="Z1262" i="18"/>
  <c r="Z3276" i="18"/>
  <c r="Z2110" i="18"/>
  <c r="Z1405" i="18"/>
  <c r="Z826" i="18"/>
  <c r="Z241" i="18"/>
  <c r="Z2803" i="18"/>
  <c r="Z1861" i="18"/>
  <c r="Z1209" i="18"/>
  <c r="Z598" i="18"/>
  <c r="Z22" i="18"/>
  <c r="Z592" i="18"/>
  <c r="Z1301" i="18"/>
  <c r="Z2489" i="18"/>
  <c r="Z326" i="18"/>
  <c r="Z3520" i="18"/>
  <c r="Z2788" i="18"/>
  <c r="Z2713" i="18"/>
  <c r="Z468" i="18"/>
  <c r="Z2652" i="18"/>
  <c r="Z1669" i="18"/>
  <c r="Z803" i="18"/>
  <c r="Z3442" i="18"/>
  <c r="Z2297" i="18"/>
  <c r="Z1314" i="18"/>
  <c r="Z418" i="18"/>
  <c r="Z2727" i="18"/>
  <c r="Z1414" i="18"/>
  <c r="Z428" i="18"/>
  <c r="Z2830" i="18"/>
  <c r="Z1391" i="18"/>
  <c r="Z446" i="18"/>
  <c r="Z3075" i="18"/>
  <c r="Z2071" i="18"/>
  <c r="Z1273" i="18"/>
  <c r="Z505" i="18"/>
  <c r="Z3407" i="18"/>
  <c r="Z2333" i="18"/>
  <c r="Z2798" i="18"/>
  <c r="Z2138" i="18"/>
  <c r="Z2932" i="18"/>
  <c r="Z2284" i="18"/>
  <c r="Z3012" i="18"/>
  <c r="Z2329" i="18"/>
  <c r="Z2686" i="18"/>
  <c r="Z1695" i="18"/>
  <c r="Z1073" i="18"/>
  <c r="Z444" i="18"/>
  <c r="Z3116" i="18"/>
  <c r="Z1992" i="18"/>
  <c r="Z1269" i="18"/>
  <c r="Z687" i="18"/>
  <c r="Z3506" i="18"/>
  <c r="Z2344" i="18"/>
  <c r="Z1513" i="18"/>
  <c r="Z877" i="18"/>
  <c r="Z223" i="18"/>
  <c r="Z2759" i="18"/>
  <c r="Z1800" i="18"/>
  <c r="Z1113" i="18"/>
  <c r="Z459" i="18"/>
  <c r="Z2895" i="18"/>
  <c r="Z1643" i="18"/>
  <c r="Z774" i="18"/>
  <c r="Z3344" i="18"/>
  <c r="Z1159" i="18"/>
  <c r="Z1509" i="18"/>
  <c r="Z1119" i="18"/>
  <c r="Z2446" i="18"/>
  <c r="Z629" i="18"/>
  <c r="Z1616" i="18"/>
  <c r="Z2914" i="18"/>
  <c r="Z69" i="18"/>
  <c r="Z3091" i="18"/>
  <c r="Z1958" i="18"/>
  <c r="Z1191" i="18"/>
  <c r="Z512" i="18"/>
  <c r="Z1630" i="18"/>
  <c r="Z313" i="18"/>
  <c r="Z1625" i="18"/>
  <c r="Z3057" i="18"/>
  <c r="Z2502" i="18"/>
  <c r="Z461" i="18"/>
  <c r="Z361" i="18"/>
  <c r="Z295" i="18"/>
  <c r="Z2761" i="18"/>
  <c r="Z1718" i="18"/>
  <c r="Z993" i="18"/>
  <c r="Z317" i="18"/>
  <c r="Z1953" i="18"/>
  <c r="Z448" i="18"/>
  <c r="Z602" i="18"/>
  <c r="Z2571" i="18"/>
  <c r="Z956" i="18"/>
  <c r="Z2107" i="18"/>
  <c r="Z271" i="18"/>
  <c r="Z496" i="18"/>
  <c r="Z3250" i="18"/>
  <c r="Z1104" i="18"/>
  <c r="Z2607" i="18"/>
  <c r="Z2617" i="18"/>
  <c r="Z3111" i="18"/>
  <c r="Z1103" i="18"/>
  <c r="Z3143" i="18"/>
  <c r="Z1014" i="18"/>
  <c r="Z1574" i="18"/>
  <c r="Z199" i="18"/>
  <c r="Z1325" i="18"/>
  <c r="Z2584" i="18"/>
  <c r="Z1711" i="18"/>
  <c r="Z1022" i="18"/>
  <c r="Z1465" i="18"/>
  <c r="Z429" i="18"/>
  <c r="Z971" i="18"/>
  <c r="Z3201" i="18"/>
  <c r="Z2064" i="18"/>
  <c r="Z1375" i="18"/>
  <c r="Z793" i="18"/>
  <c r="Z214" i="18"/>
  <c r="Z2741" i="18"/>
  <c r="Z1820" i="18"/>
  <c r="Z1180" i="18"/>
  <c r="Z560" i="18"/>
  <c r="Z888" i="18"/>
  <c r="Z398" i="18"/>
  <c r="Z1039" i="18"/>
  <c r="Z2149" i="18"/>
  <c r="Z261" i="18"/>
  <c r="Z3484" i="18"/>
  <c r="Z2722" i="18"/>
  <c r="Z2694" i="18"/>
  <c r="Z452" i="18"/>
  <c r="Z2614" i="18"/>
  <c r="Z1647" i="18"/>
  <c r="Z691" i="18"/>
  <c r="Z3262" i="18"/>
  <c r="Z2278" i="18"/>
  <c r="Z1186" i="18"/>
  <c r="Z322" i="18"/>
  <c r="Z2702" i="18"/>
  <c r="Z1392" i="18"/>
  <c r="Z311" i="18"/>
  <c r="Z2801" i="18"/>
  <c r="Z1353" i="18"/>
  <c r="Z310" i="18"/>
  <c r="Z3050" i="18"/>
  <c r="Z2046" i="18"/>
  <c r="Z1153" i="18"/>
  <c r="Z486" i="18"/>
  <c r="Z3381" i="18"/>
  <c r="Z3517" i="18"/>
  <c r="Z2768" i="18"/>
  <c r="Z2113" i="18"/>
  <c r="Z2908" i="18"/>
  <c r="Z2187" i="18"/>
  <c r="Z2959" i="18"/>
  <c r="Z2282" i="18"/>
  <c r="Z2606" i="18"/>
  <c r="Z1639" i="18"/>
  <c r="Z1004" i="18"/>
  <c r="Z397" i="18"/>
  <c r="Z3013" i="18"/>
  <c r="Z1961" i="18"/>
  <c r="Z1222" i="18"/>
  <c r="Z590" i="18"/>
  <c r="Z3414" i="18"/>
  <c r="Z2296" i="18"/>
  <c r="Z1484" i="18"/>
  <c r="Z808" i="18"/>
  <c r="Z201" i="18"/>
  <c r="Z2666" i="18"/>
  <c r="Z1741" i="18"/>
  <c r="Z1088" i="18"/>
  <c r="Z437" i="18"/>
  <c r="Z2838" i="18"/>
  <c r="Z1525" i="18"/>
  <c r="Z745" i="18"/>
  <c r="Z3146" i="18"/>
  <c r="Z1030" i="18"/>
  <c r="Z1408" i="18"/>
  <c r="Z960" i="18"/>
  <c r="Z2273" i="18"/>
  <c r="Z365" i="18"/>
  <c r="Z1400" i="18"/>
  <c r="Z2491" i="18"/>
  <c r="Z2662" i="18"/>
  <c r="Z3031" i="18"/>
  <c r="Z1881" i="18"/>
  <c r="Z1161" i="18"/>
  <c r="Z453" i="18"/>
  <c r="Z1446" i="18"/>
  <c r="Z281" i="18"/>
  <c r="Z1473" i="18"/>
  <c r="Z2394" i="18"/>
  <c r="Z2328" i="18"/>
  <c r="Z173" i="18"/>
  <c r="Z3306" i="18"/>
  <c r="Z101" i="18"/>
  <c r="Z2705" i="18"/>
  <c r="Z1641" i="18"/>
  <c r="Z934" i="18"/>
  <c r="Z284" i="18"/>
  <c r="Z1873" i="18"/>
  <c r="Z316" i="18"/>
  <c r="Z538" i="18"/>
  <c r="Z2521" i="18"/>
  <c r="Z794" i="18"/>
  <c r="Z2014" i="18"/>
  <c r="Z109" i="18"/>
  <c r="Z431" i="18"/>
  <c r="Z2104" i="18"/>
  <c r="Z845" i="18"/>
  <c r="Z2255" i="18"/>
  <c r="Z1336" i="18"/>
  <c r="Z2609" i="18"/>
  <c r="Z941" i="18"/>
  <c r="Z3088" i="18"/>
  <c r="Z2106" i="18"/>
  <c r="Z1328" i="18"/>
  <c r="Z3304" i="18"/>
  <c r="Z811" i="18"/>
  <c r="Z2522" i="18"/>
  <c r="Z1673" i="18"/>
  <c r="Z989" i="18"/>
  <c r="Z1142" i="18"/>
  <c r="Z167" i="18"/>
  <c r="Z680" i="18"/>
  <c r="Z3071" i="18"/>
  <c r="Z2028" i="18"/>
  <c r="Z1343" i="18"/>
  <c r="Z764" i="18"/>
  <c r="Z144" i="18"/>
  <c r="Z2683" i="18"/>
  <c r="Z1776" i="18"/>
  <c r="Z1112" i="18"/>
  <c r="Z533" i="18"/>
  <c r="Z2393" i="18"/>
  <c r="Z204" i="18"/>
  <c r="Z522" i="18"/>
  <c r="Z1919" i="18"/>
  <c r="Z3410" i="18"/>
  <c r="Z1768" i="18"/>
  <c r="Z1411" i="18"/>
  <c r="Z2256" i="18"/>
  <c r="Z114" i="18"/>
  <c r="Z33" i="18"/>
  <c r="Z231" i="18"/>
  <c r="Z1777" i="18"/>
  <c r="Z189" i="18"/>
  <c r="Z3348" i="18"/>
  <c r="Z3432" i="18"/>
  <c r="Z2090" i="18"/>
  <c r="Z3508" i="18"/>
  <c r="Z1518" i="18"/>
  <c r="Z225" i="18"/>
  <c r="Z1722" i="18"/>
  <c r="Z518" i="18"/>
  <c r="Z2251" i="18"/>
  <c r="Z1002" i="18"/>
  <c r="Z3448" i="18"/>
  <c r="Z1564" i="18"/>
  <c r="Z384" i="18"/>
  <c r="Z1799" i="18"/>
  <c r="Z192" i="18"/>
  <c r="Z607" i="18"/>
  <c r="Z1790" i="18"/>
  <c r="Z303" i="18"/>
  <c r="Z652" i="18"/>
  <c r="Z1261" i="18"/>
  <c r="Z1677" i="18"/>
  <c r="Z382" i="18"/>
  <c r="Z378" i="18"/>
  <c r="Z439" i="18"/>
  <c r="Z1738" i="18"/>
  <c r="Z972" i="18"/>
  <c r="Z2588" i="18"/>
  <c r="Z1128" i="18"/>
  <c r="Z28" i="18"/>
  <c r="Z2412" i="18"/>
  <c r="Z2175" i="18"/>
  <c r="Z2619" i="18"/>
  <c r="Z1081" i="18"/>
  <c r="Z876" i="18"/>
  <c r="Z1358" i="18"/>
  <c r="Z2151" i="18"/>
  <c r="Z3342" i="18"/>
  <c r="Z3514" i="18"/>
  <c r="Z1808" i="18"/>
  <c r="Z2405" i="18"/>
  <c r="Z1086" i="18"/>
  <c r="Z1497" i="18"/>
  <c r="Z1724" i="18"/>
  <c r="Z1910" i="18"/>
  <c r="Z729" i="18"/>
  <c r="Z3000" i="18"/>
  <c r="Z1501" i="18"/>
  <c r="Z401" i="18"/>
  <c r="Z1771" i="18"/>
  <c r="Z3169" i="18"/>
  <c r="Z3392" i="18"/>
  <c r="Z1444" i="18"/>
  <c r="Z1395" i="18"/>
  <c r="Z2237" i="18"/>
  <c r="Z98" i="18"/>
  <c r="Z3270" i="18"/>
  <c r="Z133" i="18"/>
  <c r="Z1658" i="18"/>
  <c r="Z2799" i="18"/>
  <c r="Z3295" i="18"/>
  <c r="Z3405" i="18"/>
  <c r="Z3480" i="18"/>
  <c r="Z3472" i="18"/>
  <c r="Z1464" i="18"/>
  <c r="Z203" i="18"/>
  <c r="Z1694" i="18"/>
  <c r="Z443" i="18"/>
  <c r="Z2126" i="18"/>
  <c r="Z952" i="18"/>
  <c r="Z3093" i="18"/>
  <c r="Z1533" i="18"/>
  <c r="Z362" i="18"/>
  <c r="Z1483" i="18"/>
  <c r="Z64" i="18"/>
  <c r="Z542" i="18"/>
  <c r="Z924" i="18"/>
  <c r="Z206" i="18"/>
  <c r="Z332" i="18"/>
  <c r="Z3479" i="18"/>
  <c r="Z1598" i="18"/>
  <c r="Z353" i="18"/>
  <c r="Z246" i="18"/>
  <c r="Z377" i="18"/>
  <c r="Z1579" i="18"/>
  <c r="Z587" i="18"/>
  <c r="Z2477" i="18"/>
  <c r="Z1093" i="18"/>
  <c r="Z2472" i="18"/>
  <c r="Z1913" i="18"/>
  <c r="Z2111" i="18"/>
  <c r="Z1857" i="18"/>
  <c r="Z849" i="18"/>
  <c r="Z555" i="18"/>
  <c r="Z970" i="18"/>
  <c r="Z1649" i="18"/>
  <c r="Z3279" i="18"/>
  <c r="Z3505" i="18"/>
  <c r="Z1566" i="18"/>
  <c r="Z2349" i="18"/>
  <c r="Z925" i="18"/>
  <c r="Z1264" i="18"/>
  <c r="Z1393" i="18"/>
  <c r="Z1863" i="18"/>
  <c r="Z667" i="18"/>
  <c r="Z2931" i="18"/>
  <c r="Z1306" i="18"/>
  <c r="Z369" i="18"/>
  <c r="Z1425" i="18"/>
  <c r="Z1644" i="18"/>
  <c r="Z1971" i="18"/>
  <c r="Z36" i="18"/>
  <c r="Z643" i="18"/>
  <c r="Z1902" i="18"/>
  <c r="Z2411" i="18"/>
  <c r="Z2777" i="18"/>
  <c r="Z73" i="18"/>
  <c r="Z1096" i="18"/>
  <c r="Z3349" i="18"/>
  <c r="Z2909" i="18"/>
  <c r="Z3046" i="18"/>
  <c r="Z3149" i="18"/>
  <c r="Z2820" i="18"/>
  <c r="Z1126" i="18"/>
  <c r="Z3258" i="18"/>
  <c r="Z1341" i="18"/>
  <c r="Z177" i="18"/>
  <c r="Z1991" i="18"/>
  <c r="Z733" i="18"/>
  <c r="Z2631" i="18"/>
  <c r="Z1238" i="18"/>
  <c r="Z218" i="18"/>
  <c r="Z1356" i="18"/>
  <c r="Z2537" i="18"/>
  <c r="Z2585" i="18"/>
  <c r="Z3124" i="18"/>
  <c r="Z2618" i="18"/>
  <c r="Z1327" i="18"/>
  <c r="Z2958" i="18"/>
  <c r="Z1288" i="18"/>
  <c r="Z188" i="18"/>
  <c r="Z25" i="18"/>
  <c r="Z1276" i="18"/>
  <c r="Z655" i="18"/>
  <c r="Z1359" i="18"/>
  <c r="Z2303" i="18"/>
  <c r="Z837" i="18"/>
  <c r="Z1758" i="18"/>
  <c r="Z990" i="18"/>
  <c r="Z1743" i="18"/>
  <c r="Z1467" i="18"/>
  <c r="Z45" i="18"/>
  <c r="Z1691" i="18"/>
  <c r="Z1774" i="18"/>
  <c r="Z1069" i="18"/>
  <c r="Z2758" i="18"/>
  <c r="Z1008" i="18"/>
  <c r="Z2202" i="18"/>
  <c r="Z2124" i="18"/>
  <c r="Z817" i="18"/>
  <c r="Z2846" i="18"/>
  <c r="Z3334" i="18"/>
  <c r="Z1547" i="18"/>
  <c r="Z570" i="18"/>
  <c r="Z2510" i="18"/>
  <c r="Z1083" i="18"/>
  <c r="Z78" i="18"/>
  <c r="Z523" i="18"/>
  <c r="Z843" i="18"/>
  <c r="Z1955" i="18"/>
  <c r="Z3469" i="18"/>
  <c r="Z627" i="18"/>
  <c r="Z1883" i="18"/>
  <c r="Z2314" i="18"/>
  <c r="Z2529" i="18"/>
  <c r="Z3214" i="18"/>
  <c r="Z1077" i="18"/>
  <c r="Z3325" i="18"/>
  <c r="Z2745" i="18"/>
  <c r="Z2821" i="18"/>
  <c r="Z2901" i="18"/>
  <c r="Z2561" i="18"/>
  <c r="Z982" i="18"/>
  <c r="Z2976" i="18"/>
  <c r="Z1197" i="18"/>
  <c r="Z155" i="18"/>
  <c r="Z1932" i="18"/>
  <c r="Z686" i="18"/>
  <c r="Z2541" i="18"/>
  <c r="Z1185" i="18"/>
  <c r="Z3290" i="18"/>
  <c r="Z1324" i="18"/>
  <c r="Z2417" i="18"/>
  <c r="Z1349" i="18"/>
  <c r="Z2929" i="18"/>
  <c r="Z2690" i="18"/>
  <c r="Z3399" i="18"/>
  <c r="Z531" i="18"/>
  <c r="Z1138" i="18"/>
  <c r="Z2192" i="18"/>
  <c r="Z2410" i="18"/>
  <c r="Z2911" i="18"/>
  <c r="Z938" i="18"/>
  <c r="Z3048" i="18"/>
  <c r="Z2648" i="18"/>
  <c r="Z2744" i="18"/>
  <c r="Z2848" i="18"/>
  <c r="Z2346" i="18"/>
  <c r="Z929" i="18"/>
  <c r="Z2780" i="18"/>
  <c r="Z1125" i="18"/>
  <c r="Z3363" i="18"/>
  <c r="Z1631" i="18"/>
  <c r="Z589" i="18"/>
  <c r="Z2413" i="18"/>
  <c r="Z969" i="18"/>
  <c r="Z3165" i="18"/>
  <c r="Z968" i="18"/>
  <c r="Z2184" i="18"/>
  <c r="Z1217" i="18"/>
  <c r="Z2156" i="18"/>
  <c r="Z2786" i="18"/>
  <c r="Z393" i="18"/>
  <c r="Z2709" i="18"/>
  <c r="Z1032" i="18"/>
  <c r="Z2295" i="18"/>
  <c r="Z2070" i="18"/>
  <c r="Z559" i="18"/>
  <c r="Z1534" i="18"/>
  <c r="Z3095" i="18"/>
  <c r="Z1880" i="18"/>
  <c r="Z672" i="18"/>
  <c r="Z1418" i="18"/>
  <c r="Z379" i="18"/>
  <c r="Z1085" i="18"/>
  <c r="Z656" i="18"/>
  <c r="Z2222" i="18"/>
  <c r="Z70" i="18"/>
  <c r="Z1009" i="18"/>
  <c r="Z1967" i="18"/>
  <c r="Z2524" i="18"/>
  <c r="Z3235" i="18"/>
  <c r="Z358" i="18"/>
  <c r="Z1791" i="18"/>
  <c r="Z2444" i="18"/>
  <c r="Z1201" i="18"/>
  <c r="Z2871" i="18"/>
  <c r="Z1308" i="18"/>
  <c r="Z305" i="18"/>
  <c r="Z2277" i="18"/>
  <c r="Z986" i="18"/>
  <c r="Z76" i="18"/>
  <c r="Z1614" i="18"/>
  <c r="Z135" i="18"/>
  <c r="Z3374" i="18"/>
  <c r="Z2415" i="18"/>
  <c r="Z2926" i="18"/>
  <c r="Z1237" i="18"/>
  <c r="Z1037" i="18"/>
  <c r="Z742" i="18"/>
  <c r="Z3459" i="18"/>
  <c r="Z2767" i="18"/>
  <c r="Z2401" i="18"/>
  <c r="Z1148" i="18"/>
  <c r="Z2208" i="18"/>
  <c r="Z396" i="18"/>
  <c r="Z1340" i="18"/>
  <c r="Z3496" i="18"/>
  <c r="Z922" i="18"/>
  <c r="Z1882" i="18"/>
  <c r="Z2077" i="18"/>
  <c r="Z88" i="18"/>
  <c r="Z1207" i="18"/>
  <c r="Z456" i="18"/>
  <c r="Z1798" i="18"/>
  <c r="Z2760" i="18"/>
  <c r="Z1406" i="18"/>
  <c r="Z2058" i="18"/>
  <c r="Z1229" i="18"/>
  <c r="Z1558" i="18"/>
  <c r="Z90" i="18"/>
  <c r="Z926" i="18"/>
  <c r="Z503" i="18"/>
  <c r="Z2013" i="18"/>
  <c r="Z457" i="18"/>
  <c r="Z75" i="18"/>
  <c r="Z1455" i="18"/>
  <c r="Z717" i="18"/>
  <c r="Z3341" i="18"/>
  <c r="Z1216" i="18"/>
  <c r="Z2321" i="18"/>
  <c r="Z2687" i="18"/>
  <c r="Z890" i="18"/>
  <c r="Z2398" i="18"/>
  <c r="Z727" i="18"/>
  <c r="Z751" i="18"/>
  <c r="Z679" i="18"/>
  <c r="Z3318" i="18"/>
  <c r="Z2396" i="18"/>
  <c r="Z1962" i="18"/>
  <c r="Z1215" i="18"/>
  <c r="Z1018" i="18"/>
  <c r="Z603" i="18"/>
  <c r="Z3406" i="18"/>
  <c r="Z2719" i="18"/>
  <c r="Z2254" i="18"/>
  <c r="Z954" i="18"/>
  <c r="Z2127" i="18"/>
  <c r="Z374" i="18"/>
  <c r="Z1318" i="18"/>
  <c r="Z3002" i="18"/>
  <c r="Z894" i="18"/>
  <c r="Z1838" i="18"/>
  <c r="Z1447" i="18"/>
  <c r="Z863" i="18"/>
  <c r="Z108" i="18"/>
  <c r="Z2319" i="18"/>
  <c r="Z1760" i="18"/>
  <c r="Z798" i="18"/>
  <c r="Z1344" i="18"/>
  <c r="Z1818" i="18"/>
  <c r="Z1068" i="18"/>
  <c r="Z1520" i="18"/>
  <c r="Z62" i="18"/>
  <c r="Z441" i="18"/>
  <c r="Z406" i="18"/>
  <c r="Z1856" i="18"/>
  <c r="Z296" i="18"/>
  <c r="Z3372" i="18"/>
  <c r="Z3404" i="18"/>
  <c r="Z458" i="18"/>
  <c r="Z3278" i="18"/>
  <c r="Z1183" i="18"/>
  <c r="Z1496" i="18"/>
  <c r="Z2347" i="18"/>
  <c r="Z858" i="18"/>
  <c r="Z2343" i="18"/>
  <c r="Z695" i="18"/>
  <c r="Z3112" i="18"/>
  <c r="Z197" i="18"/>
  <c r="Z2706" i="18"/>
  <c r="Z2298" i="18"/>
  <c r="Z1921" i="18"/>
  <c r="Z1098" i="18"/>
  <c r="Z111" i="18"/>
  <c r="Z584" i="18"/>
  <c r="Z3380" i="18"/>
  <c r="Z2669" i="18"/>
  <c r="Z2157" i="18"/>
  <c r="Z832" i="18"/>
  <c r="Z1933" i="18"/>
  <c r="Z127" i="18"/>
  <c r="Z1290" i="18"/>
  <c r="Z2950" i="18"/>
  <c r="Z825" i="18"/>
  <c r="Z1453" i="18"/>
  <c r="Z1383" i="18"/>
  <c r="Z3277" i="18"/>
  <c r="Z2327" i="18"/>
  <c r="Z2040" i="18"/>
  <c r="Z1559" i="18"/>
  <c r="Z864" i="18"/>
  <c r="Z1279" i="18"/>
  <c r="Z984" i="18"/>
  <c r="Z2369" i="18"/>
  <c r="Z1448" i="18"/>
  <c r="Z2352" i="18"/>
  <c r="Z217" i="18"/>
  <c r="Z342" i="18"/>
  <c r="Z719" i="18"/>
  <c r="Z2902" i="18"/>
  <c r="Z2549" i="18"/>
  <c r="Z3010" i="18"/>
  <c r="Z2980" i="18"/>
  <c r="Z2888" i="18"/>
  <c r="Z184" i="18"/>
  <c r="Z942" i="18"/>
  <c r="Z2283" i="18"/>
  <c r="Z632" i="18"/>
  <c r="Z2015" i="18"/>
  <c r="Z657" i="18"/>
  <c r="Z1105" i="18"/>
  <c r="Z65" i="18"/>
  <c r="Z2257" i="18"/>
  <c r="Z1079" i="18"/>
  <c r="Z92" i="18"/>
  <c r="Z464" i="18"/>
  <c r="Z3269" i="18"/>
  <c r="Z2647" i="18"/>
  <c r="Z2135" i="18"/>
  <c r="Z785" i="18"/>
  <c r="Z1840" i="18"/>
  <c r="Z3312" i="18"/>
  <c r="Z1265" i="18"/>
  <c r="Z2449" i="18"/>
  <c r="Z1386" i="18"/>
  <c r="Z1286" i="18"/>
  <c r="Z668" i="18"/>
  <c r="Z1239" i="18"/>
  <c r="Z1801" i="18"/>
  <c r="Z1355" i="18"/>
  <c r="Z670" i="18"/>
  <c r="Z1182" i="18"/>
  <c r="Z816" i="18"/>
  <c r="Z1848" i="18"/>
  <c r="Z1419" i="18"/>
  <c r="Z2247" i="18"/>
  <c r="Z60" i="18"/>
  <c r="Z245" i="18"/>
  <c r="Z302" i="18"/>
  <c r="Z2441" i="18"/>
  <c r="Z1137" i="18"/>
  <c r="Z2813" i="18"/>
  <c r="Z2442" i="18"/>
  <c r="Z2812" i="18"/>
  <c r="Z118" i="18"/>
  <c r="Z3431" i="18"/>
  <c r="Z2229" i="18"/>
  <c r="Z599" i="18"/>
  <c r="Z1941" i="18"/>
  <c r="Z814" i="18"/>
  <c r="Z229" i="18"/>
  <c r="Z2353" i="18"/>
  <c r="Z1784" i="18"/>
  <c r="Z3256" i="18"/>
  <c r="Z2368" i="18"/>
  <c r="Z581" i="18"/>
  <c r="Z965" i="18"/>
  <c r="Z474" i="18"/>
  <c r="Z1606" i="18"/>
  <c r="Z476" i="18"/>
  <c r="Z3121" i="18"/>
  <c r="Z1384" i="18"/>
  <c r="Z1151" i="18"/>
  <c r="Z2924" i="18"/>
  <c r="Z911" i="18"/>
  <c r="Z1360" i="18"/>
  <c r="Z3056" i="18"/>
  <c r="Z535" i="18"/>
  <c r="Z463" i="18"/>
  <c r="Z3166" i="18"/>
  <c r="Z534" i="18"/>
  <c r="Z936" i="18"/>
  <c r="Z833" i="18"/>
  <c r="Z2796" i="18"/>
  <c r="Z718" i="18"/>
  <c r="Z1422" i="18"/>
  <c r="Z1129" i="18"/>
  <c r="Z150" i="18"/>
  <c r="Z988" i="18"/>
  <c r="Z1973" i="18"/>
  <c r="Z3551" i="18"/>
  <c r="Z1160" i="18"/>
  <c r="Z1480" i="18"/>
  <c r="Z892" i="18"/>
  <c r="Z2737" i="18"/>
  <c r="Z2565" i="18"/>
  <c r="Z812" i="18"/>
  <c r="Z491" i="18"/>
  <c r="Z2638" i="18"/>
  <c r="Z813" i="18"/>
  <c r="Z2464" i="18"/>
  <c r="Z1645" i="18"/>
  <c r="Z1942" i="18"/>
  <c r="Z341" i="18"/>
  <c r="Z1740" i="18"/>
  <c r="Z1809" i="18"/>
  <c r="Z871" i="18"/>
  <c r="Z363" i="18"/>
  <c r="Z997" i="18"/>
  <c r="Z828" i="18"/>
  <c r="Z1174" i="18"/>
  <c r="Z1253" i="18"/>
  <c r="Z1775" i="18"/>
  <c r="Z392" i="18"/>
  <c r="Z619" i="18"/>
  <c r="Z2154" i="18"/>
  <c r="Z279" i="18"/>
  <c r="Z331" i="18"/>
  <c r="Z2508" i="18"/>
  <c r="Z2085" i="18"/>
  <c r="Z2787" i="18"/>
  <c r="Z61" i="18"/>
  <c r="Z267" i="18"/>
  <c r="Z1477" i="18"/>
  <c r="Z1149" i="18"/>
  <c r="Z3498" i="18"/>
  <c r="Z1293" i="18"/>
  <c r="Z1115" i="18"/>
  <c r="Z3376" i="18"/>
  <c r="Z2685" i="18"/>
  <c r="Z1575" i="18"/>
  <c r="Z2956" i="18"/>
  <c r="Z844" i="18"/>
  <c r="Z2272" i="18"/>
  <c r="Z1478" i="18"/>
  <c r="Z654" i="18"/>
  <c r="Z3034" i="18"/>
  <c r="Z3042" i="18"/>
  <c r="Z3532" i="18"/>
  <c r="Z1445" i="18"/>
  <c r="Z1070" i="18"/>
  <c r="Z2808" i="18"/>
  <c r="Z1114" i="18"/>
  <c r="Z2621" i="18"/>
  <c r="Z951" i="18"/>
  <c r="Z1109" i="18"/>
  <c r="Z1487" i="18"/>
  <c r="Z2437" i="18"/>
  <c r="Z3085" i="18"/>
  <c r="Z1256" i="18"/>
  <c r="Z1135" i="18"/>
  <c r="Z1055" i="18"/>
  <c r="Z2458" i="18"/>
  <c r="Z3096" i="18"/>
  <c r="Z2426" i="18"/>
  <c r="Z1389" i="18"/>
  <c r="Z2560" i="18"/>
  <c r="Z1462" i="18"/>
  <c r="Z2250" i="18"/>
  <c r="Z2302" i="18"/>
  <c r="Z185" i="18"/>
  <c r="Z46" i="18"/>
  <c r="Z618" i="18"/>
  <c r="Z1837" i="18"/>
  <c r="Z256" i="18"/>
  <c r="Z1911" i="18"/>
  <c r="Z2155" i="18"/>
  <c r="Z2716" i="18"/>
  <c r="Z1597" i="18"/>
  <c r="Z158" i="18"/>
  <c r="Z1061" i="18"/>
  <c r="Z571" i="18"/>
  <c r="Z2223" i="18"/>
  <c r="Z1888" i="18"/>
  <c r="Z3397" i="18"/>
  <c r="Z918" i="18"/>
  <c r="Z1984" i="18"/>
  <c r="Z433" i="18"/>
  <c r="Z412" i="18"/>
  <c r="Z3478" i="18"/>
  <c r="Z1990" i="18"/>
  <c r="Z327" i="18"/>
  <c r="Z304" i="18"/>
  <c r="Z3197" i="18"/>
  <c r="Z415" i="18"/>
  <c r="Z1915" i="18"/>
  <c r="Z1150" i="18"/>
  <c r="Z359" i="18"/>
  <c r="Z3308" i="18"/>
  <c r="Z1015" i="18"/>
  <c r="Z2289" i="18"/>
  <c r="Z2480" i="18"/>
  <c r="Z1546" i="18"/>
  <c r="Z1016" i="18"/>
  <c r="Z344" i="18"/>
  <c r="Z2037" i="18"/>
  <c r="Z234" i="18"/>
  <c r="Z730" i="18"/>
  <c r="Z540" i="18"/>
  <c r="Z2665" i="18"/>
  <c r="Z2743" i="18"/>
  <c r="Z1228" i="18"/>
  <c r="Z501" i="18"/>
  <c r="Z3416" i="18"/>
  <c r="Z1221" i="18"/>
  <c r="Z1227" i="18"/>
  <c r="Z1080" i="18"/>
  <c r="Z1258" i="18"/>
  <c r="Z1118" i="18"/>
  <c r="Z617" i="18"/>
  <c r="Z1557" i="18"/>
  <c r="Z2866" i="18"/>
  <c r="Z2045" i="18"/>
  <c r="Z2703" i="18"/>
  <c r="Z2757" i="18"/>
  <c r="Z2203" i="18"/>
  <c r="Z1897" i="18"/>
  <c r="Z2049" i="18"/>
  <c r="Z2281" i="18"/>
  <c r="Z1617" i="18"/>
  <c r="Z736" i="18"/>
  <c r="Z3424" i="18"/>
  <c r="Z280" i="18"/>
  <c r="Z896" i="18"/>
  <c r="Z3202" i="18"/>
  <c r="Z1935" i="18"/>
  <c r="Z1424" i="18"/>
  <c r="Z2294" i="18"/>
  <c r="Z1821" i="18"/>
  <c r="Z1661" i="18"/>
  <c r="Z1312" i="18"/>
  <c r="Z716" i="18"/>
  <c r="Z1968" i="18"/>
  <c r="Z3192" i="18"/>
  <c r="Z582" i="18"/>
  <c r="Z3058" i="18"/>
  <c r="Z2573" i="18"/>
  <c r="Z126" i="18"/>
  <c r="Z318" i="18"/>
  <c r="Z1797" i="18"/>
  <c r="Z2736" i="18"/>
  <c r="Z944" i="18"/>
  <c r="Z333" i="18"/>
  <c r="Z1407" i="18"/>
  <c r="Z2568" i="18"/>
  <c r="Z2034" i="18"/>
  <c r="Z1154" i="18"/>
  <c r="Z678" i="18"/>
  <c r="Z2018" i="18"/>
  <c r="Z1628" i="18"/>
  <c r="Z1106" i="18"/>
  <c r="Z940" i="18"/>
  <c r="Z2940" i="18"/>
  <c r="Z445" i="18"/>
  <c r="Z2962" i="18"/>
  <c r="Z760" i="18"/>
  <c r="Z1954" i="18"/>
  <c r="Z1590" i="18"/>
  <c r="Z946" i="18"/>
  <c r="Z289" i="18"/>
  <c r="Z2725" i="18"/>
  <c r="Z268" i="18"/>
  <c r="Z2720" i="18"/>
  <c r="Z2331" i="18"/>
  <c r="Z2922" i="18"/>
  <c r="Z541" i="18"/>
  <c r="Z1632" i="18"/>
  <c r="Z1049" i="18"/>
  <c r="Z1938" i="18"/>
  <c r="Z1299" i="18"/>
  <c r="Z930" i="18"/>
  <c r="Z270" i="18"/>
  <c r="Z2700" i="18"/>
  <c r="Z249" i="18"/>
  <c r="Z2623" i="18"/>
  <c r="Z2165" i="18"/>
  <c r="Z2427" i="18"/>
  <c r="Z519" i="18"/>
  <c r="Z1388" i="18"/>
  <c r="Z3114" i="18"/>
  <c r="Z783" i="18"/>
  <c r="Z1952" i="18"/>
  <c r="Z1978" i="18"/>
  <c r="Z2653" i="18"/>
  <c r="Z1235" i="18"/>
  <c r="Z850" i="18"/>
  <c r="Z2878" i="18"/>
  <c r="Z2678" i="18"/>
  <c r="Z230" i="18"/>
  <c r="Z2601" i="18"/>
  <c r="Z2137" i="18"/>
  <c r="Z2301" i="18"/>
  <c r="Z350" i="18"/>
  <c r="Z1147" i="18"/>
  <c r="Z2967" i="18"/>
  <c r="Z758" i="18"/>
  <c r="Z1918" i="18"/>
  <c r="Z293" i="18"/>
  <c r="Z648" i="18"/>
  <c r="Z671" i="18"/>
  <c r="Z1819" i="18"/>
  <c r="Z169" i="18"/>
  <c r="Z3285" i="18"/>
  <c r="Z967" i="18"/>
  <c r="Z669" i="18"/>
  <c r="Z1937" i="18"/>
  <c r="Z815" i="18"/>
  <c r="Z3148" i="18"/>
  <c r="Z869" i="18"/>
  <c r="Z1189" i="18"/>
  <c r="Z3005" i="18"/>
  <c r="Z1701" i="18"/>
  <c r="Z689" i="18"/>
  <c r="Z3426" i="18"/>
  <c r="Z1230" i="18"/>
  <c r="Z1833" i="18"/>
  <c r="Z3036" i="18"/>
  <c r="Z2231" i="18"/>
  <c r="Z1894" i="18"/>
  <c r="Z3366" i="18"/>
  <c r="Z1742" i="18"/>
  <c r="Z117" i="18"/>
  <c r="Z1622" i="18"/>
  <c r="Z142" i="18"/>
  <c r="Z102" i="18"/>
  <c r="Z2280" i="18"/>
  <c r="Z611" i="18"/>
  <c r="Z306" i="18"/>
  <c r="Z2430" i="18"/>
  <c r="Z2650" i="18"/>
  <c r="Z2408" i="18"/>
  <c r="Z2526" i="18"/>
  <c r="Z2112" i="18"/>
  <c r="Z2253" i="18"/>
  <c r="Z300" i="18"/>
  <c r="Z1072" i="18"/>
  <c r="Z2639" i="18"/>
  <c r="Z661" i="18"/>
  <c r="Z1862" i="18"/>
  <c r="Z240" i="18"/>
  <c r="Z613" i="18"/>
  <c r="Z89" i="18"/>
  <c r="Z1739" i="18"/>
  <c r="Z3441" i="18"/>
  <c r="Z2894" i="18"/>
  <c r="Z935" i="18"/>
  <c r="Z504" i="18"/>
  <c r="Z985" i="18"/>
  <c r="Z527" i="18"/>
  <c r="Z2957" i="18"/>
  <c r="Z805" i="18"/>
  <c r="Z704" i="18"/>
  <c r="Z2874" i="18"/>
  <c r="Z1402" i="18"/>
  <c r="Z495" i="18"/>
  <c r="Z2007" i="18"/>
  <c r="Z681" i="18"/>
  <c r="Z1751" i="18"/>
  <c r="Z2268" i="18"/>
  <c r="Z1912" i="18"/>
  <c r="Z983" i="18"/>
  <c r="Z2715" i="18"/>
  <c r="Z1472" i="18"/>
  <c r="Z85" i="18"/>
  <c r="Z1581" i="18"/>
  <c r="Z47" i="18"/>
  <c r="Z3233" i="18"/>
  <c r="Z1806" i="18"/>
  <c r="Z467" i="18"/>
  <c r="Z274" i="18"/>
  <c r="Z2432" i="18"/>
  <c r="Z1996" i="18"/>
  <c r="Z2189" i="18"/>
  <c r="Z2285" i="18"/>
  <c r="Z3402" i="18"/>
  <c r="Z2221" i="18"/>
  <c r="Z278" i="18"/>
  <c r="Z1050" i="18"/>
  <c r="Z2511" i="18"/>
  <c r="Z395" i="18"/>
  <c r="Z1654" i="18"/>
  <c r="Z3231" i="18"/>
  <c r="Z577" i="18"/>
  <c r="Z27" i="18"/>
  <c r="Z1657" i="18"/>
  <c r="Z1231" i="18"/>
  <c r="Z2834" i="18"/>
  <c r="Z903" i="18"/>
  <c r="Z440" i="18"/>
  <c r="Z726" i="18"/>
  <c r="Z1399" i="18"/>
  <c r="Z2893" i="18"/>
  <c r="Z769" i="18"/>
  <c r="Z639" i="18"/>
  <c r="Z2400" i="18"/>
  <c r="Z1241" i="18"/>
  <c r="Z301" i="18"/>
  <c r="Z1565" i="18"/>
  <c r="Z2663" i="18"/>
  <c r="Z1656" i="18"/>
  <c r="Z2008" i="18"/>
  <c r="Z1829" i="18"/>
  <c r="Z789" i="18"/>
  <c r="Z2092" i="18"/>
  <c r="Z1440" i="18"/>
  <c r="Z48" i="18"/>
  <c r="Z1543" i="18"/>
  <c r="Z949" i="18"/>
  <c r="Z2608" i="18"/>
  <c r="Z1787" i="18"/>
  <c r="Z451" i="18"/>
  <c r="Z210" i="18"/>
  <c r="Z2241" i="18"/>
  <c r="Z1927" i="18"/>
  <c r="Z3132" i="18"/>
  <c r="Z2235" i="18"/>
  <c r="Z3181" i="18"/>
  <c r="Z1909" i="18"/>
  <c r="Z181" i="18"/>
  <c r="Z1003" i="18"/>
  <c r="Z2424" i="18"/>
  <c r="Z373" i="18"/>
  <c r="Z1623" i="18"/>
  <c r="Z2764" i="18"/>
  <c r="Z513" i="18"/>
  <c r="Z1281" i="18"/>
  <c r="Z1580" i="18"/>
  <c r="Z2097" i="18"/>
  <c r="Z2657" i="18"/>
  <c r="Z673" i="18"/>
  <c r="Z87" i="18"/>
  <c r="Z238" i="18"/>
  <c r="Z973" i="18"/>
  <c r="Z2421" i="18"/>
  <c r="Z511" i="18"/>
  <c r="Z574" i="18"/>
  <c r="Z2029" i="18"/>
  <c r="Z497" i="18"/>
  <c r="Z1851" i="18"/>
  <c r="Z746" i="18"/>
  <c r="Z1728" i="18"/>
  <c r="Z1304" i="18"/>
  <c r="Z1326" i="18"/>
  <c r="Z1626" i="18"/>
  <c r="Z621" i="18"/>
  <c r="Z3473" i="18"/>
  <c r="Z1278" i="18"/>
  <c r="Z23" i="18"/>
  <c r="Z1277" i="18"/>
  <c r="Z3450" i="18"/>
  <c r="Z2096" i="18"/>
  <c r="Z388" i="18"/>
  <c r="Z3239" i="18"/>
  <c r="Z194" i="18"/>
  <c r="Z2216" i="18"/>
  <c r="Z1899" i="18"/>
  <c r="Z3021" i="18"/>
  <c r="Z2091" i="18"/>
  <c r="Z2872" i="18"/>
  <c r="Z1841" i="18"/>
  <c r="Z3313" i="18"/>
  <c r="Z784" i="18"/>
  <c r="Z2087" i="18"/>
  <c r="Z345" i="18"/>
  <c r="Z1595" i="18"/>
  <c r="Z2661" i="18"/>
  <c r="Z454" i="18"/>
  <c r="Z1120" i="18"/>
  <c r="Z1082" i="18"/>
  <c r="Z1528" i="18"/>
  <c r="Z2539" i="18"/>
  <c r="Z647" i="18"/>
  <c r="Z56" i="18"/>
  <c r="Z3122" i="18"/>
  <c r="Z779" i="18"/>
  <c r="Z2365" i="18"/>
  <c r="Z414" i="18"/>
  <c r="Z186" i="18"/>
  <c r="Z1946" i="18"/>
  <c r="Z432" i="18"/>
  <c r="Z1615" i="18"/>
  <c r="Z485" i="18"/>
  <c r="Z747" i="18"/>
  <c r="Z752" i="18"/>
  <c r="Z2542" i="18"/>
  <c r="Z1593" i="18"/>
  <c r="Z430" i="18"/>
  <c r="Z3395" i="18"/>
  <c r="Z1246" i="18"/>
  <c r="Z3527" i="18"/>
  <c r="Z1242" i="18"/>
  <c r="Z2864" i="18"/>
  <c r="Z1423" i="18"/>
  <c r="Z324" i="18"/>
  <c r="Z3218" i="18"/>
  <c r="Z2680" i="18"/>
  <c r="Z1334" i="18"/>
  <c r="Z1830" i="18"/>
  <c r="Z2938" i="18"/>
  <c r="Z2069" i="18"/>
  <c r="Z2765" i="18"/>
  <c r="Z1605" i="18"/>
  <c r="Z2818" i="18"/>
  <c r="Z759" i="18"/>
  <c r="Z2016" i="18"/>
  <c r="Z176" i="18"/>
  <c r="Z1479" i="18"/>
  <c r="Z2488" i="18"/>
  <c r="Z357" i="18"/>
  <c r="Z1023" i="18"/>
  <c r="Z917" i="18"/>
  <c r="Z910" i="18"/>
  <c r="Z2193" i="18"/>
  <c r="Z609" i="18"/>
  <c r="Z3396" i="18"/>
  <c r="Z2925" i="18"/>
  <c r="Z2544" i="18"/>
  <c r="Z2248" i="18"/>
  <c r="Z381" i="18"/>
  <c r="Z122" i="18"/>
  <c r="Z1247" i="18"/>
  <c r="Z21" i="18"/>
  <c r="Z1361" i="18"/>
  <c r="Z887" i="18"/>
  <c r="Z553" i="18"/>
  <c r="Z593" i="18"/>
  <c r="Z1966" i="18"/>
  <c r="Z1552" i="18"/>
  <c r="Z236" i="18"/>
  <c r="Z3004" i="18"/>
  <c r="Z1181" i="18"/>
  <c r="Z3390" i="18"/>
  <c r="Z1048" i="18"/>
  <c r="Z2668" i="18"/>
  <c r="Z136" i="18"/>
  <c r="Z3422" i="18"/>
  <c r="Z1134" i="18"/>
  <c r="Z2552" i="18"/>
  <c r="Z3516" i="18"/>
  <c r="Z2742" i="18"/>
  <c r="Z1577" i="18"/>
  <c r="Z2733" i="18"/>
  <c r="Z734" i="18"/>
  <c r="Z1693" i="18"/>
  <c r="Z154" i="18"/>
  <c r="Z1285" i="18"/>
  <c r="Z2367" i="18"/>
  <c r="Z39" i="18"/>
  <c r="Z796" i="18"/>
  <c r="Z791" i="18"/>
  <c r="Z3141" i="18"/>
  <c r="Z255" i="18"/>
  <c r="Z1205" i="18"/>
  <c r="Z399" i="18"/>
  <c r="Z2943" i="18"/>
  <c r="Z2392" i="18"/>
  <c r="Z3106" i="18"/>
  <c r="Z2717" i="18"/>
  <c r="Z568" i="18"/>
  <c r="Z2315" i="18"/>
  <c r="Z141" i="18"/>
  <c r="Z1985" i="18"/>
  <c r="Z187" i="18"/>
  <c r="Z2664" i="18"/>
  <c r="Z3540" i="18"/>
  <c r="Z1886" i="18"/>
  <c r="Z3368" i="18"/>
  <c r="Z923" i="18"/>
  <c r="Z912" i="18"/>
  <c r="T33" i="18"/>
  <c r="T32" i="18"/>
  <c r="T58" i="18"/>
  <c r="T59" i="18"/>
  <c r="T61" i="18"/>
  <c r="T62" i="18"/>
  <c r="T75" i="18"/>
  <c r="T60" i="18"/>
  <c r="T57" i="18"/>
  <c r="T44" i="18"/>
  <c r="T45" i="18"/>
  <c r="T50" i="18"/>
  <c r="T46" i="18"/>
  <c r="T72" i="18"/>
  <c r="T67" i="18"/>
  <c r="T63" i="18"/>
  <c r="T74" i="18"/>
  <c r="T69" i="18"/>
  <c r="T70" i="18"/>
  <c r="T66" i="18"/>
  <c r="T64" i="18"/>
  <c r="T55" i="18"/>
  <c r="T73" i="18"/>
  <c r="T71" i="18"/>
  <c r="T56" i="18"/>
  <c r="T65" i="18"/>
  <c r="T68" i="18"/>
  <c r="T42" i="18"/>
  <c r="T41" i="18"/>
  <c r="T47" i="18"/>
  <c r="T51" i="18"/>
  <c r="T49" i="18"/>
  <c r="T52" i="18"/>
  <c r="T40" i="18"/>
  <c r="T39" i="18"/>
  <c r="T53" i="18"/>
  <c r="T43" i="18"/>
  <c r="T54" i="18"/>
  <c r="T48" i="18"/>
  <c r="J107" i="4"/>
  <c r="J56" i="4"/>
  <c r="J39" i="4"/>
  <c r="J77" i="4"/>
  <c r="J62" i="4"/>
  <c r="J109" i="4"/>
  <c r="J9" i="4"/>
  <c r="J34" i="4"/>
  <c r="J66" i="4"/>
  <c r="J114" i="4"/>
  <c r="J97" i="4"/>
  <c r="J51" i="4"/>
  <c r="J26" i="4"/>
  <c r="J126" i="4"/>
  <c r="J59" i="4"/>
  <c r="J78" i="4"/>
  <c r="J95" i="4"/>
  <c r="J5" i="4"/>
  <c r="J19" i="4"/>
  <c r="J125" i="4"/>
  <c r="J25" i="4"/>
  <c r="J67" i="4"/>
  <c r="J73" i="4"/>
  <c r="J102" i="4"/>
  <c r="J12" i="4"/>
  <c r="J22" i="4"/>
  <c r="J121" i="4"/>
  <c r="J54" i="4"/>
  <c r="J31" i="4"/>
  <c r="J50" i="4"/>
  <c r="J110" i="4"/>
  <c r="J88" i="4"/>
  <c r="J64" i="4"/>
  <c r="J18" i="4"/>
  <c r="J29" i="4"/>
  <c r="J123" i="4"/>
  <c r="J90" i="4"/>
  <c r="J101" i="4"/>
  <c r="J17" i="4"/>
  <c r="J98" i="4"/>
  <c r="J116" i="4"/>
  <c r="J70" i="4"/>
  <c r="J58" i="4"/>
  <c r="J61" i="4"/>
  <c r="J10" i="4"/>
  <c r="J81" i="4"/>
  <c r="J96" i="4"/>
  <c r="J113" i="4"/>
  <c r="J14" i="4"/>
  <c r="J76" i="4"/>
  <c r="J21" i="4"/>
  <c r="J33" i="4"/>
  <c r="J120" i="4"/>
  <c r="J86" i="4"/>
  <c r="J83" i="4"/>
  <c r="J106" i="4"/>
  <c r="J111" i="4"/>
  <c r="J8" i="4"/>
  <c r="J72" i="4"/>
  <c r="J49" i="4"/>
  <c r="J104" i="4"/>
  <c r="J11" i="4"/>
  <c r="J16" i="4"/>
  <c r="J84" i="4"/>
  <c r="J3" i="4"/>
  <c r="J53" i="4"/>
  <c r="J48" i="4"/>
  <c r="J38" i="4"/>
  <c r="J43" i="4"/>
  <c r="J20" i="4"/>
  <c r="J91" i="4"/>
  <c r="J32" i="4"/>
  <c r="J94" i="4"/>
  <c r="J112" i="4"/>
  <c r="J85" i="4"/>
  <c r="J93" i="4"/>
  <c r="J71" i="4"/>
  <c r="J119" i="4"/>
  <c r="J103" i="4"/>
  <c r="J15" i="4"/>
  <c r="J24" i="4"/>
  <c r="J68" i="4"/>
  <c r="J89" i="4"/>
  <c r="J52" i="4"/>
  <c r="J105" i="4"/>
  <c r="J55" i="4"/>
  <c r="J45" i="4"/>
  <c r="J35" i="4"/>
  <c r="J63" i="4"/>
  <c r="J60" i="4"/>
  <c r="J47" i="4"/>
  <c r="J118" i="4"/>
  <c r="J57" i="4"/>
  <c r="J87" i="4"/>
  <c r="J122" i="4"/>
  <c r="J100" i="4"/>
  <c r="J124" i="4"/>
  <c r="J23" i="4"/>
  <c r="J28" i="4"/>
  <c r="J30" i="4"/>
  <c r="J108" i="4"/>
  <c r="J6" i="4"/>
  <c r="J75" i="4"/>
  <c r="J115" i="4"/>
  <c r="J65" i="4"/>
  <c r="J69" i="4"/>
  <c r="J80" i="4"/>
  <c r="J37" i="4"/>
  <c r="J42" i="4"/>
  <c r="J36" i="4"/>
  <c r="J82" i="4"/>
  <c r="J40" i="4"/>
  <c r="J13" i="4"/>
  <c r="J92" i="4"/>
  <c r="J27" i="4"/>
  <c r="J79" i="4"/>
  <c r="J7" i="4"/>
  <c r="J4" i="4"/>
  <c r="J44" i="4"/>
  <c r="J117" i="4"/>
  <c r="J99" i="4"/>
  <c r="J46" i="4"/>
  <c r="J74" i="4"/>
  <c r="J41" i="4"/>
  <c r="J2" i="4"/>
  <c r="J1" i="4"/>
  <c r="D28" i="6"/>
  <c r="D15" i="6"/>
  <c r="U39" i="18" l="1"/>
  <c r="U19" i="18"/>
  <c r="D27" i="6" l="1"/>
  <c r="D26" i="6"/>
  <c r="AA19" i="18" l="1" a="1"/>
  <c r="AA297" i="18"/>
  <c r="AA735" i="18"/>
  <c r="AA1581" i="18"/>
  <c r="AA2830" i="18"/>
  <c r="AA435" i="18"/>
  <c r="AA1601" i="18"/>
  <c r="AA163" i="18"/>
  <c r="AA989" i="18"/>
  <c r="AA2500" i="18"/>
  <c r="AA662" i="18"/>
  <c r="AA183" i="18"/>
  <c r="AA377" i="18"/>
  <c r="AA670" i="18"/>
  <c r="AA1111" i="18"/>
  <c r="AA1607" i="18"/>
  <c r="AA2098" i="18"/>
  <c r="AA2837" i="18"/>
  <c r="AA52" i="18"/>
  <c r="AA116" i="18"/>
  <c r="AA191" i="18"/>
  <c r="AA249" i="18"/>
  <c r="AA308" i="18"/>
  <c r="AA385" i="18"/>
  <c r="AA447" i="18"/>
  <c r="AA526" i="18"/>
  <c r="AA600" i="18"/>
  <c r="AA673" i="18"/>
  <c r="AA801" i="18"/>
  <c r="AA914" i="18"/>
  <c r="AA1003" i="18"/>
  <c r="AA1135" i="18"/>
  <c r="AA1252" i="18"/>
  <c r="AA1375" i="18"/>
  <c r="AA1519" i="18"/>
  <c r="AA1613" i="18"/>
  <c r="AA1757" i="18"/>
  <c r="AA1881" i="18"/>
  <c r="AA2009" i="18"/>
  <c r="AA2120" i="18"/>
  <c r="AA2259" i="18"/>
  <c r="AA2406" i="18"/>
  <c r="AA2569" i="18"/>
  <c r="AA2737" i="18"/>
  <c r="AA2870" i="18"/>
  <c r="AA3043" i="18"/>
  <c r="AA3214" i="18"/>
  <c r="AA3401" i="18"/>
  <c r="AA3525" i="18"/>
  <c r="AA54" i="18"/>
  <c r="AA129" i="18"/>
  <c r="AA192" i="18"/>
  <c r="AA253" i="18"/>
  <c r="AA326" i="18"/>
  <c r="AA389" i="18"/>
  <c r="AA453" i="18"/>
  <c r="AA531" i="18"/>
  <c r="AA601" i="18"/>
  <c r="AA693" i="18"/>
  <c r="AA802" i="18"/>
  <c r="AA915" i="18"/>
  <c r="AA1037" i="18"/>
  <c r="AA1136" i="18"/>
  <c r="AA1253" i="18"/>
  <c r="AA1381" i="18"/>
  <c r="AA1526" i="18"/>
  <c r="AA1620" i="18"/>
  <c r="AA1758" i="18"/>
  <c r="AA1889" i="18"/>
  <c r="AA2013" i="18"/>
  <c r="AA2160" i="18"/>
  <c r="AA2260" i="18"/>
  <c r="AA2423" i="18"/>
  <c r="AA2573" i="18"/>
  <c r="AA2738" i="18"/>
  <c r="AA2887" i="18"/>
  <c r="AA3044" i="18"/>
  <c r="AA3222" i="18"/>
  <c r="AA3405" i="18"/>
  <c r="AA565" i="18"/>
  <c r="AA2086" i="18"/>
  <c r="AA859" i="18"/>
  <c r="AA436" i="18"/>
  <c r="AA1109" i="18"/>
  <c r="AA1967" i="18"/>
  <c r="AA3312" i="18"/>
  <c r="AA361" i="18"/>
  <c r="AA1460" i="18"/>
  <c r="AA3156" i="18"/>
  <c r="AA105" i="18"/>
  <c r="AA243" i="18"/>
  <c r="AA597" i="18"/>
  <c r="AA997" i="18"/>
  <c r="AA1337" i="18"/>
  <c r="AA1731" i="18"/>
  <c r="AA1875" i="18"/>
  <c r="AA2387" i="18"/>
  <c r="AA2676" i="18"/>
  <c r="AA3037" i="18"/>
  <c r="AA3346" i="18"/>
  <c r="AA3520" i="18"/>
  <c r="AA62" i="18"/>
  <c r="AA137" i="18"/>
  <c r="AA194" i="18"/>
  <c r="AA265" i="18"/>
  <c r="AA328" i="18"/>
  <c r="AA391" i="18"/>
  <c r="AA467" i="18"/>
  <c r="AA536" i="18"/>
  <c r="AA607" i="18"/>
  <c r="AA710" i="18"/>
  <c r="AA807" i="18"/>
  <c r="AA925" i="18"/>
  <c r="AA1041" i="18"/>
  <c r="AA1172" i="18"/>
  <c r="AA1259" i="18"/>
  <c r="AA1401" i="18"/>
  <c r="AA1529" i="18"/>
  <c r="AA1653" i="18"/>
  <c r="AA1768" i="18"/>
  <c r="AA1891" i="18"/>
  <c r="AA2038" i="18"/>
  <c r="AA2162" i="18"/>
  <c r="AA2303" i="18"/>
  <c r="AA2436" i="18"/>
  <c r="AA2576" i="18"/>
  <c r="AA2741" i="18"/>
  <c r="AA2927" i="18"/>
  <c r="AA3064" i="18"/>
  <c r="AA3249" i="18"/>
  <c r="AA3423" i="18"/>
  <c r="AA30" i="18"/>
  <c r="AA420" i="18"/>
  <c r="AA850" i="18"/>
  <c r="AA1191" i="18"/>
  <c r="AA1815" i="18"/>
  <c r="AA2349" i="18"/>
  <c r="AA2656" i="18"/>
  <c r="AA3488" i="18"/>
  <c r="AA101" i="18"/>
  <c r="AA356" i="18"/>
  <c r="AA566" i="18"/>
  <c r="AA1108" i="18"/>
  <c r="AA1966" i="18"/>
  <c r="AA102" i="18"/>
  <c r="AA301" i="18"/>
  <c r="AA661" i="18"/>
  <c r="AA1206" i="18"/>
  <c r="AA1729" i="18"/>
  <c r="AA2239" i="18"/>
  <c r="AA2835" i="18"/>
  <c r="AA3154" i="18"/>
  <c r="AA3518" i="18"/>
  <c r="AA302" i="18"/>
  <c r="AA877" i="18"/>
  <c r="AA1730" i="18"/>
  <c r="AA2675" i="18"/>
  <c r="AA379" i="18"/>
  <c r="AA3522" i="18"/>
  <c r="AA72" i="18"/>
  <c r="AA139" i="18"/>
  <c r="AA195" i="18"/>
  <c r="AA267" i="18"/>
  <c r="AA329" i="18"/>
  <c r="AA393" i="18"/>
  <c r="AA468" i="18"/>
  <c r="AA537" i="18"/>
  <c r="AA624" i="18"/>
  <c r="AA727" i="18"/>
  <c r="AA814" i="18"/>
  <c r="AA926" i="18"/>
  <c r="AA1059" i="18"/>
  <c r="AA1173" i="18"/>
  <c r="AA1282" i="18"/>
  <c r="AA1405" i="18"/>
  <c r="AA1533" i="18"/>
  <c r="AA1661" i="18"/>
  <c r="AA1801" i="18"/>
  <c r="AA1892" i="18"/>
  <c r="AA2039" i="18"/>
  <c r="AA2166" i="18"/>
  <c r="AA2305" i="18"/>
  <c r="AA2438" i="18"/>
  <c r="AA2582" i="18"/>
  <c r="AA2770" i="18"/>
  <c r="AA2932" i="18"/>
  <c r="AA3105" i="18"/>
  <c r="AA3250" i="18"/>
  <c r="AA3424" i="18"/>
  <c r="AA161" i="18"/>
  <c r="AA1071" i="18"/>
  <c r="AA229" i="18"/>
  <c r="AA660" i="18"/>
  <c r="AA1321" i="18"/>
  <c r="AA2350" i="18"/>
  <c r="AA357" i="18"/>
  <c r="AA871" i="18"/>
  <c r="AA1843" i="18"/>
  <c r="AA3010" i="18"/>
  <c r="AA164" i="18"/>
  <c r="AA568" i="18"/>
  <c r="AA1245" i="18"/>
  <c r="AA1845" i="18"/>
  <c r="AA2514" i="18"/>
  <c r="AA3330" i="18"/>
  <c r="AA879" i="18"/>
  <c r="AA2565" i="18"/>
  <c r="AA141" i="18"/>
  <c r="AA212" i="18"/>
  <c r="AA275" i="18"/>
  <c r="AA335" i="18"/>
  <c r="AA477" i="18"/>
  <c r="AA728" i="18"/>
  <c r="AA840" i="18"/>
  <c r="AA927" i="18"/>
  <c r="AA1060" i="18"/>
  <c r="AA1179" i="18"/>
  <c r="AA1296" i="18"/>
  <c r="AA1409" i="18"/>
  <c r="AA1534" i="18"/>
  <c r="AA1678" i="18"/>
  <c r="AA1805" i="18"/>
  <c r="AA1917" i="18"/>
  <c r="AA2040" i="18"/>
  <c r="AA2167" i="18"/>
  <c r="AA2318" i="18"/>
  <c r="AA2479" i="18"/>
  <c r="AA2583" i="18"/>
  <c r="AA2771" i="18"/>
  <c r="AA2945" i="18"/>
  <c r="AA3106" i="18"/>
  <c r="AA3252" i="18"/>
  <c r="AA3425" i="18"/>
  <c r="AA221" i="18"/>
  <c r="AA659" i="18"/>
  <c r="AA1320" i="18"/>
  <c r="AA2198" i="18"/>
  <c r="AA31" i="18"/>
  <c r="AA299" i="18"/>
  <c r="AA501" i="18"/>
  <c r="AA983" i="18"/>
  <c r="AA1457" i="18"/>
  <c r="AA1823" i="18"/>
  <c r="AA2216" i="18"/>
  <c r="AA2498" i="18"/>
  <c r="AA2834" i="18"/>
  <c r="AA2983" i="18"/>
  <c r="AA3153" i="18"/>
  <c r="AA3311" i="18"/>
  <c r="AA3517" i="18"/>
  <c r="AA33" i="18"/>
  <c r="AA502" i="18"/>
  <c r="AA1334" i="18"/>
  <c r="AA2088" i="18"/>
  <c r="AA103" i="18"/>
  <c r="AA503" i="18"/>
  <c r="AA990" i="18"/>
  <c r="AA1606" i="18"/>
  <c r="AA2089" i="18"/>
  <c r="AA2386" i="18"/>
  <c r="AA2836" i="18"/>
  <c r="AA3519" i="18"/>
  <c r="AA49" i="18"/>
  <c r="AA304" i="18"/>
  <c r="AA777" i="18"/>
  <c r="AA1480" i="18"/>
  <c r="AA2241" i="18"/>
  <c r="AA3202" i="18"/>
  <c r="AA107" i="18"/>
  <c r="AA671" i="18"/>
  <c r="AA1732" i="18"/>
  <c r="AA109" i="18"/>
  <c r="AA306" i="18"/>
  <c r="AA511" i="18"/>
  <c r="AA782" i="18"/>
  <c r="AA1134" i="18"/>
  <c r="AA1609" i="18"/>
  <c r="AA2008" i="18"/>
  <c r="AA2399" i="18"/>
  <c r="AA3213" i="18"/>
  <c r="AA133" i="18"/>
  <c r="AA255" i="18"/>
  <c r="AA327" i="18"/>
  <c r="AA466" i="18"/>
  <c r="AA535" i="18"/>
  <c r="AA707" i="18"/>
  <c r="AA803" i="18"/>
  <c r="AA1038" i="18"/>
  <c r="AA1138" i="18"/>
  <c r="AA1397" i="18"/>
  <c r="AA1527" i="18"/>
  <c r="AA1759" i="18"/>
  <c r="AA1890" i="18"/>
  <c r="AA2161" i="18"/>
  <c r="AA2263" i="18"/>
  <c r="AA2424" i="18"/>
  <c r="AA2739" i="18"/>
  <c r="AA2926" i="18"/>
  <c r="AA3045" i="18"/>
  <c r="AA3248" i="18"/>
  <c r="AA81" i="18"/>
  <c r="AA626" i="18"/>
  <c r="AA82" i="18"/>
  <c r="AA142" i="18"/>
  <c r="AA213" i="18"/>
  <c r="AA279" i="18"/>
  <c r="AA340" i="18"/>
  <c r="AA411" i="18"/>
  <c r="AA481" i="18"/>
  <c r="AA558" i="18"/>
  <c r="AA628" i="18"/>
  <c r="AA729" i="18"/>
  <c r="AA843" i="18"/>
  <c r="AA930" i="18"/>
  <c r="AA1061" i="18"/>
  <c r="AA1181" i="18"/>
  <c r="AA1304" i="18"/>
  <c r="AA1412" i="18"/>
  <c r="AA1535" i="18"/>
  <c r="AA1679" i="18"/>
  <c r="AA1809" i="18"/>
  <c r="AA1936" i="18"/>
  <c r="AA2041" i="18"/>
  <c r="AA2168" i="18"/>
  <c r="AA2328" i="18"/>
  <c r="AA2480" i="18"/>
  <c r="AA2616" i="18"/>
  <c r="AA2772" i="18"/>
  <c r="AA2946" i="18"/>
  <c r="AA3109" i="18"/>
  <c r="AA3304" i="18"/>
  <c r="AA3426" i="18"/>
  <c r="AA355" i="18"/>
  <c r="AA1688" i="18"/>
  <c r="AA162" i="18"/>
  <c r="AA742" i="18"/>
  <c r="AA1696" i="18"/>
  <c r="AA2087" i="18"/>
  <c r="AA2657" i="18"/>
  <c r="AA238" i="18"/>
  <c r="AA766" i="18"/>
  <c r="AA1605" i="18"/>
  <c r="AA2662" i="18"/>
  <c r="AA48" i="18"/>
  <c r="AA437" i="18"/>
  <c r="AA1110" i="18"/>
  <c r="AA1968" i="18"/>
  <c r="AA3033" i="18"/>
  <c r="AA438" i="18"/>
  <c r="AA1246" i="18"/>
  <c r="AA2526" i="18"/>
  <c r="AA50" i="18"/>
  <c r="AA189" i="18"/>
  <c r="AA305" i="18"/>
  <c r="AA445" i="18"/>
  <c r="AA507" i="18"/>
  <c r="AA598" i="18"/>
  <c r="AA779" i="18"/>
  <c r="AA888" i="18"/>
  <c r="AA998" i="18"/>
  <c r="AA1113" i="18"/>
  <c r="AA1247" i="18"/>
  <c r="AA1373" i="18"/>
  <c r="AA1481" i="18"/>
  <c r="AA1608" i="18"/>
  <c r="AA1876" i="18"/>
  <c r="AA1971" i="18"/>
  <c r="AA2117" i="18"/>
  <c r="AA2243" i="18"/>
  <c r="AA2392" i="18"/>
  <c r="AA2561" i="18"/>
  <c r="AA2677" i="18"/>
  <c r="AA2852" i="18"/>
  <c r="AA3038" i="18"/>
  <c r="AA3209" i="18"/>
  <c r="AA3361" i="18"/>
  <c r="AA3521" i="18"/>
  <c r="AA190" i="18"/>
  <c r="AA1374" i="18"/>
  <c r="AA55" i="18"/>
  <c r="AA193" i="18"/>
  <c r="AA390" i="18"/>
  <c r="AA603" i="18"/>
  <c r="AA923" i="18"/>
  <c r="AA1254" i="18"/>
  <c r="AA1652" i="18"/>
  <c r="AA2021" i="18"/>
  <c r="AA2575" i="18"/>
  <c r="AA3407" i="18"/>
  <c r="AA544" i="18"/>
  <c r="AA83" i="18"/>
  <c r="AA144" i="18"/>
  <c r="AA214" i="18"/>
  <c r="AA280" i="18"/>
  <c r="AA349" i="18"/>
  <c r="AA413" i="18"/>
  <c r="AA483" i="18"/>
  <c r="AA559" i="18"/>
  <c r="AA631" i="18"/>
  <c r="AA731" i="18"/>
  <c r="AA845" i="18"/>
  <c r="AA949" i="18"/>
  <c r="AA1062" i="18"/>
  <c r="AA1182" i="18"/>
  <c r="AA1318" i="18"/>
  <c r="AA1442" i="18"/>
  <c r="AA1540" i="18"/>
  <c r="AA1680" i="18"/>
  <c r="AA1810" i="18"/>
  <c r="AA1941" i="18"/>
  <c r="AA2049" i="18"/>
  <c r="AA2169" i="18"/>
  <c r="AA2336" i="18"/>
  <c r="AA2482" i="18"/>
  <c r="AA2629" i="18"/>
  <c r="AA2773" i="18"/>
  <c r="AA2947" i="18"/>
  <c r="AA3134" i="18"/>
  <c r="AA3305" i="18"/>
  <c r="AA3457" i="18"/>
  <c r="AA86" i="18"/>
  <c r="AA500" i="18"/>
  <c r="AA982" i="18"/>
  <c r="AA1456" i="18"/>
  <c r="AA1965" i="18"/>
  <c r="AA2485" i="18"/>
  <c r="AA2953" i="18"/>
  <c r="AA3137" i="18"/>
  <c r="AA3310" i="18"/>
  <c r="AA1204" i="18"/>
  <c r="AA567" i="18"/>
  <c r="AA1458" i="18"/>
  <c r="AA2355" i="18"/>
  <c r="AA239" i="18"/>
  <c r="AA776" i="18"/>
  <c r="AA1335" i="18"/>
  <c r="AA2240" i="18"/>
  <c r="AA505" i="18"/>
  <c r="AA1969" i="18"/>
  <c r="AA244" i="18"/>
  <c r="AA51" i="18"/>
  <c r="AA245" i="18"/>
  <c r="AA384" i="18"/>
  <c r="AA446" i="18"/>
  <c r="AA599" i="18"/>
  <c r="AA672" i="18"/>
  <c r="AA913" i="18"/>
  <c r="AA999" i="18"/>
  <c r="AA1248" i="18"/>
  <c r="AA1489" i="18"/>
  <c r="AA1735" i="18"/>
  <c r="AA1880" i="18"/>
  <c r="AA2118" i="18"/>
  <c r="AA2244" i="18"/>
  <c r="AA2679" i="18"/>
  <c r="AA2868" i="18"/>
  <c r="AA3039" i="18"/>
  <c r="AA3400" i="18"/>
  <c r="AA409" i="18"/>
  <c r="AA84" i="18"/>
  <c r="AA155" i="18"/>
  <c r="AA215" i="18"/>
  <c r="AA283" i="18"/>
  <c r="AA353" i="18"/>
  <c r="AA414" i="18"/>
  <c r="AA499" i="18"/>
  <c r="AA560" i="18"/>
  <c r="AA632" i="18"/>
  <c r="AA734" i="18"/>
  <c r="AA846" i="18"/>
  <c r="AA969" i="18"/>
  <c r="AA1064" i="18"/>
  <c r="AA1183" i="18"/>
  <c r="AA1319" i="18"/>
  <c r="AA1455" i="18"/>
  <c r="AA1558" i="18"/>
  <c r="AA1684" i="18"/>
  <c r="AA1814" i="18"/>
  <c r="AA1961" i="18"/>
  <c r="AA2085" i="18"/>
  <c r="AA2180" i="18"/>
  <c r="AA2337" i="18"/>
  <c r="AA2483" i="18"/>
  <c r="AA2632" i="18"/>
  <c r="AA2775" i="18"/>
  <c r="AA2948" i="18"/>
  <c r="AA3135" i="18"/>
  <c r="AA3309" i="18"/>
  <c r="AA3480" i="18"/>
  <c r="AA53" i="18"/>
  <c r="AA104" i="18"/>
  <c r="AA160" i="18"/>
  <c r="AA197" i="18"/>
  <c r="AA251" i="18"/>
  <c r="AA303" i="18"/>
  <c r="AA354" i="18"/>
  <c r="AA408" i="18"/>
  <c r="AA448" i="18"/>
  <c r="AA504" i="18"/>
  <c r="AA561" i="18"/>
  <c r="AA625" i="18"/>
  <c r="AA678" i="18"/>
  <c r="AA736" i="18"/>
  <c r="AA808" i="18"/>
  <c r="AA878" i="18"/>
  <c r="AA948" i="18"/>
  <c r="AA1000" i="18"/>
  <c r="AA1070" i="18"/>
  <c r="AA1137" i="18"/>
  <c r="AA1205" i="18"/>
  <c r="AA1263" i="18"/>
  <c r="AA1336" i="18"/>
  <c r="AA1411" i="18"/>
  <c r="AA1488" i="18"/>
  <c r="AA1557" i="18"/>
  <c r="AA1614" i="18"/>
  <c r="AA1695" i="18"/>
  <c r="AA1763" i="18"/>
  <c r="AA1844" i="18"/>
  <c r="AA1903" i="18"/>
  <c r="AA1970" i="18"/>
  <c r="AA2048" i="18"/>
  <c r="AA2119" i="18"/>
  <c r="AA2197" i="18"/>
  <c r="AA2261" i="18"/>
  <c r="AA2354" i="18"/>
  <c r="AA2437" i="18"/>
  <c r="AA2519" i="18"/>
  <c r="AA2594" i="18"/>
  <c r="AA2678" i="18"/>
  <c r="AA2774" i="18"/>
  <c r="AA2886" i="18"/>
  <c r="AA2979" i="18"/>
  <c r="AA3053" i="18"/>
  <c r="AA3155" i="18"/>
  <c r="AA3251" i="18"/>
  <c r="AA3348" i="18"/>
  <c r="AA3428" i="18"/>
  <c r="AA3523" i="18"/>
  <c r="AA694" i="18"/>
  <c r="AA749" i="18"/>
  <c r="AA815" i="18"/>
  <c r="AA886" i="18"/>
  <c r="AA950" i="18"/>
  <c r="AA1023" i="18"/>
  <c r="AA1072" i="18"/>
  <c r="AA1142" i="18"/>
  <c r="AA1207" i="18"/>
  <c r="AA1283" i="18"/>
  <c r="AA1342" i="18"/>
  <c r="AA1413" i="18"/>
  <c r="AA1490" i="18"/>
  <c r="AA1559" i="18"/>
  <c r="AA1636" i="18"/>
  <c r="AA1697" i="18"/>
  <c r="AA1769" i="18"/>
  <c r="AA1846" i="18"/>
  <c r="AA1921" i="18"/>
  <c r="AA1974" i="18"/>
  <c r="AA2050" i="18"/>
  <c r="AA2125" i="18"/>
  <c r="AA2205" i="18"/>
  <c r="AA2288" i="18"/>
  <c r="AA2356" i="18"/>
  <c r="AA2439" i="18"/>
  <c r="AA2527" i="18"/>
  <c r="AA2617" i="18"/>
  <c r="AA2690" i="18"/>
  <c r="AA2777" i="18"/>
  <c r="AA2888" i="18"/>
  <c r="AA2984" i="18"/>
  <c r="AA3081" i="18"/>
  <c r="AA3160" i="18"/>
  <c r="AA3253" i="18"/>
  <c r="AA3362" i="18"/>
  <c r="AA3458" i="18"/>
  <c r="AA3542" i="18"/>
  <c r="AA699" i="18"/>
  <c r="AA765" i="18"/>
  <c r="AA816" i="18"/>
  <c r="AA887" i="18"/>
  <c r="AA951" i="18"/>
  <c r="AA1024" i="18"/>
  <c r="AA1080" i="18"/>
  <c r="AA1147" i="18"/>
  <c r="AA1219" i="18"/>
  <c r="AA1284" i="18"/>
  <c r="AA1362" i="18"/>
  <c r="AA1414" i="18"/>
  <c r="AA1491" i="18"/>
  <c r="AA1560" i="18"/>
  <c r="AA1637" i="18"/>
  <c r="AA1699" i="18"/>
  <c r="AA1773" i="18"/>
  <c r="AA1847" i="18"/>
  <c r="AA1922" i="18"/>
  <c r="AA1993" i="18"/>
  <c r="AA2051" i="18"/>
  <c r="AA2126" i="18"/>
  <c r="AA2206" i="18"/>
  <c r="AA2289" i="18"/>
  <c r="AA2358" i="18"/>
  <c r="AA2446" i="18"/>
  <c r="AA2531" i="18"/>
  <c r="AA2621" i="18"/>
  <c r="AA2713" i="18"/>
  <c r="AA2793" i="18"/>
  <c r="AA2889" i="18"/>
  <c r="AA2985" i="18"/>
  <c r="AA3091" i="18"/>
  <c r="AA3165" i="18"/>
  <c r="AA3261" i="18"/>
  <c r="AA3366" i="18"/>
  <c r="AA3459" i="18"/>
  <c r="AA702" i="18"/>
  <c r="AA819" i="18"/>
  <c r="AA953" i="18"/>
  <c r="AA1025" i="18"/>
  <c r="AA1093" i="18"/>
  <c r="AA1149" i="18"/>
  <c r="AA1220" i="18"/>
  <c r="AA1285" i="18"/>
  <c r="AA1363" i="18"/>
  <c r="AA1422" i="18"/>
  <c r="AA1492" i="18"/>
  <c r="AA1573" i="18"/>
  <c r="AA1638" i="18"/>
  <c r="AA1725" i="18"/>
  <c r="AA1774" i="18"/>
  <c r="AA1848" i="18"/>
  <c r="AA1923" i="18"/>
  <c r="AA2000" i="18"/>
  <c r="AA2062" i="18"/>
  <c r="AA2130" i="18"/>
  <c r="AA2207" i="18"/>
  <c r="AA2290" i="18"/>
  <c r="AA2382" i="18"/>
  <c r="AA2447" i="18"/>
  <c r="AA2532" i="18"/>
  <c r="AA2622" i="18"/>
  <c r="AA2717" i="18"/>
  <c r="AA2798" i="18"/>
  <c r="AA2893" i="18"/>
  <c r="AA2989" i="18"/>
  <c r="AA3092" i="18"/>
  <c r="AA3188" i="18"/>
  <c r="AA3271" i="18"/>
  <c r="AA3367" i="18"/>
  <c r="AA3463" i="18"/>
  <c r="AA25" i="18"/>
  <c r="AA73" i="18"/>
  <c r="AA118" i="18"/>
  <c r="AA165" i="18"/>
  <c r="AA216" i="18"/>
  <c r="AA272" i="18"/>
  <c r="AA323" i="18"/>
  <c r="AA363" i="18"/>
  <c r="AA415" i="18"/>
  <c r="AA469" i="18"/>
  <c r="AA527" i="18"/>
  <c r="AA577" i="18"/>
  <c r="AA638" i="18"/>
  <c r="AA704" i="18"/>
  <c r="AA767" i="18"/>
  <c r="AA837" i="18"/>
  <c r="AA889" i="18"/>
  <c r="AA955" i="18"/>
  <c r="AA1026" i="18"/>
  <c r="AA1094" i="18"/>
  <c r="AA1152" i="18"/>
  <c r="AA1221" i="18"/>
  <c r="AA1293" i="18"/>
  <c r="AA1364" i="18"/>
  <c r="AA1439" i="18"/>
  <c r="AA1493" i="18"/>
  <c r="AA1574" i="18"/>
  <c r="AA1648" i="18"/>
  <c r="AA1726" i="18"/>
  <c r="AA1782" i="18"/>
  <c r="AA1849" i="18"/>
  <c r="AA1927" i="18"/>
  <c r="AA2001" i="18"/>
  <c r="AA2079" i="18"/>
  <c r="AA2131" i="18"/>
  <c r="AA2208" i="18"/>
  <c r="AA2294" i="18"/>
  <c r="AA2383" i="18"/>
  <c r="AA2452" i="18"/>
  <c r="AA2533" i="18"/>
  <c r="AA2623" i="18"/>
  <c r="AA2718" i="18"/>
  <c r="AA2821" i="18"/>
  <c r="AA2894" i="18"/>
  <c r="AA2991" i="18"/>
  <c r="AA3093" i="18"/>
  <c r="AA3189" i="18"/>
  <c r="AA3273" i="18"/>
  <c r="AA3368" i="18"/>
  <c r="AA3464" i="18"/>
  <c r="AA27" i="18"/>
  <c r="AA79" i="18"/>
  <c r="AA127" i="18"/>
  <c r="AA169" i="18"/>
  <c r="AA217" i="18"/>
  <c r="AA273" i="18"/>
  <c r="AA324" i="18"/>
  <c r="AA366" i="18"/>
  <c r="AA416" i="18"/>
  <c r="AA473" i="18"/>
  <c r="AA528" i="18"/>
  <c r="AA590" i="18"/>
  <c r="AA639" i="18"/>
  <c r="AA705" i="18"/>
  <c r="AA768" i="18"/>
  <c r="AA838" i="18"/>
  <c r="AA893" i="18"/>
  <c r="AA960" i="18"/>
  <c r="AA1027" i="18"/>
  <c r="AA1095" i="18"/>
  <c r="AA1170" i="18"/>
  <c r="AA1222" i="18"/>
  <c r="AA1294" i="18"/>
  <c r="AA1368" i="18"/>
  <c r="AA1440" i="18"/>
  <c r="AA1502" i="18"/>
  <c r="AA1575" i="18"/>
  <c r="AA1650" i="18"/>
  <c r="AA1727" i="18"/>
  <c r="AA1796" i="18"/>
  <c r="AA1853" i="18"/>
  <c r="AA1928" i="18"/>
  <c r="AA2002" i="18"/>
  <c r="AA2083" i="18"/>
  <c r="AA2142" i="18"/>
  <c r="AA2209" i="18"/>
  <c r="AA2295" i="18"/>
  <c r="AA2384" i="18"/>
  <c r="AA2477" i="18"/>
  <c r="AA2534" i="18"/>
  <c r="AA2624" i="18"/>
  <c r="AA2719" i="18"/>
  <c r="AA2825" i="18"/>
  <c r="AA2896" i="18"/>
  <c r="AA3007" i="18"/>
  <c r="AA3103" i="18"/>
  <c r="AA3190" i="18"/>
  <c r="AA3302" i="18"/>
  <c r="AA3369" i="18"/>
  <c r="AA3469" i="18"/>
  <c r="AA29" i="18"/>
  <c r="AA80" i="18"/>
  <c r="AA128" i="18"/>
  <c r="AA173" i="18"/>
  <c r="AA219" i="18"/>
  <c r="AA274" i="18"/>
  <c r="AA325" i="18"/>
  <c r="AA376" i="18"/>
  <c r="AA417" i="18"/>
  <c r="AA475" i="18"/>
  <c r="AA529" i="18"/>
  <c r="AA596" i="18"/>
  <c r="AA644" i="18"/>
  <c r="AA706" i="18"/>
  <c r="AA772" i="18"/>
  <c r="AA839" i="18"/>
  <c r="AA912" i="18"/>
  <c r="AA961" i="18"/>
  <c r="AA1035" i="18"/>
  <c r="AA1101" i="18"/>
  <c r="AA1171" i="18"/>
  <c r="AA1224" i="18"/>
  <c r="AA1295" i="18"/>
  <c r="AA1369" i="18"/>
  <c r="AA1441" i="18"/>
  <c r="AA1518" i="18"/>
  <c r="AA1576" i="18"/>
  <c r="AA1651" i="18"/>
  <c r="AA1728" i="18"/>
  <c r="AA1797" i="18"/>
  <c r="AA1856" i="18"/>
  <c r="AA1929" i="18"/>
  <c r="AA2004" i="18"/>
  <c r="AA2084" i="18"/>
  <c r="AA2159" i="18"/>
  <c r="AA2210" i="18"/>
  <c r="AA2302" i="18"/>
  <c r="AA2385" i="18"/>
  <c r="AA2478" i="18"/>
  <c r="AA2536" i="18"/>
  <c r="AA2625" i="18"/>
  <c r="AA2721" i="18"/>
  <c r="AA2829" i="18"/>
  <c r="AA2919" i="18"/>
  <c r="AA3008" i="18"/>
  <c r="AA3104" i="18"/>
  <c r="AA3197" i="18"/>
  <c r="AA3303" i="18"/>
  <c r="AA3374" i="18"/>
  <c r="AA3479" i="18"/>
  <c r="AA32" i="18"/>
  <c r="AA61" i="18"/>
  <c r="AA85" i="18"/>
  <c r="AA117" i="18"/>
  <c r="AA143" i="18"/>
  <c r="AA171" i="18"/>
  <c r="AA196" i="18"/>
  <c r="AA228" i="18"/>
  <c r="AA254" i="18"/>
  <c r="AA281" i="18"/>
  <c r="AA307" i="18"/>
  <c r="AA336" i="18"/>
  <c r="AA365" i="18"/>
  <c r="AA392" i="18"/>
  <c r="AA419" i="18"/>
  <c r="AA452" i="18"/>
  <c r="AA482" i="18"/>
  <c r="AA510" i="18"/>
  <c r="AA543" i="18"/>
  <c r="AA576" i="18"/>
  <c r="AA606" i="18"/>
  <c r="AA643" i="18"/>
  <c r="AA674" i="18"/>
  <c r="AA709" i="18"/>
  <c r="AA747" i="18"/>
  <c r="AA781" i="18"/>
  <c r="AA818" i="18"/>
  <c r="AA857" i="18"/>
  <c r="AA891" i="18"/>
  <c r="AA929" i="18"/>
  <c r="AA968" i="18"/>
  <c r="AA1001" i="18"/>
  <c r="AA1040" i="18"/>
  <c r="AA1079" i="18"/>
  <c r="AA1112" i="18"/>
  <c r="AA1151" i="18"/>
  <c r="AA1190" i="18"/>
  <c r="AA1223" i="18"/>
  <c r="AA1262" i="18"/>
  <c r="AA1300" i="18"/>
  <c r="AA1341" i="18"/>
  <c r="AA1380" i="18"/>
  <c r="AA1421" i="18"/>
  <c r="AA1459" i="18"/>
  <c r="AA1501" i="18"/>
  <c r="AA1539" i="18"/>
  <c r="AA1577" i="18"/>
  <c r="AA1616" i="18"/>
  <c r="AA1657" i="18"/>
  <c r="AA1698" i="18"/>
  <c r="AA1734" i="18"/>
  <c r="AA1778" i="18"/>
  <c r="AA1816" i="18"/>
  <c r="AA1855" i="18"/>
  <c r="AA1902" i="18"/>
  <c r="AA1940" i="18"/>
  <c r="AA1973" i="18"/>
  <c r="AA2020" i="18"/>
  <c r="AA2061" i="18"/>
  <c r="AA2094" i="18"/>
  <c r="AA2141" i="18"/>
  <c r="AA2173" i="18"/>
  <c r="AA2215" i="18"/>
  <c r="AA2262" i="18"/>
  <c r="AA2306" i="18"/>
  <c r="AA2357" i="18"/>
  <c r="AA2405" i="18"/>
  <c r="AA2448" i="18"/>
  <c r="AA2499" i="18"/>
  <c r="AA2535" i="18"/>
  <c r="AA2593" i="18"/>
  <c r="AA2631" i="18"/>
  <c r="AA2680" i="18"/>
  <c r="AA2740" i="18"/>
  <c r="AA2797" i="18"/>
  <c r="AA2839" i="18"/>
  <c r="AA2895" i="18"/>
  <c r="AA2949" i="18"/>
  <c r="AA3009" i="18"/>
  <c r="AA3063" i="18"/>
  <c r="AA3107" i="18"/>
  <c r="AA3161" i="18"/>
  <c r="AA3215" i="18"/>
  <c r="AA3272" i="18"/>
  <c r="AA3320" i="18"/>
  <c r="AA3373" i="18"/>
  <c r="AA3427" i="18"/>
  <c r="AA3481" i="18"/>
  <c r="AA3541" i="18"/>
  <c r="AA34" i="18"/>
  <c r="AA63" i="18"/>
  <c r="AA91" i="18"/>
  <c r="AA119" i="18"/>
  <c r="AA145" i="18"/>
  <c r="AA174" i="18"/>
  <c r="AA198" i="18"/>
  <c r="AA230" i="18"/>
  <c r="AA256" i="18"/>
  <c r="AA285" i="18"/>
  <c r="AA309" i="18"/>
  <c r="AA341" i="18"/>
  <c r="AA367" i="18"/>
  <c r="AA395" i="18"/>
  <c r="AA421" i="18"/>
  <c r="AA454" i="18"/>
  <c r="AA484" i="18"/>
  <c r="AA512" i="18"/>
  <c r="AA545" i="18"/>
  <c r="AA578" i="18"/>
  <c r="AA608" i="18"/>
  <c r="AA646" i="18"/>
  <c r="AA679" i="18"/>
  <c r="AA711" i="18"/>
  <c r="AA750" i="18"/>
  <c r="AA786" i="18"/>
  <c r="AA820" i="18"/>
  <c r="AA861" i="18"/>
  <c r="AA894" i="18"/>
  <c r="AA931" i="18"/>
  <c r="AA971" i="18"/>
  <c r="AA1005" i="18"/>
  <c r="AA1042" i="18"/>
  <c r="AA1081" i="18"/>
  <c r="AA1115" i="18"/>
  <c r="AA1153" i="18"/>
  <c r="AA1192" i="18"/>
  <c r="AA1225" i="18"/>
  <c r="AA1264" i="18"/>
  <c r="AA1311" i="18"/>
  <c r="AA1343" i="18"/>
  <c r="AA1382" i="18"/>
  <c r="AA1429" i="18"/>
  <c r="AA1461" i="18"/>
  <c r="AA1503" i="18"/>
  <c r="AA1541" i="18"/>
  <c r="AA1582" i="18"/>
  <c r="AA1624" i="18"/>
  <c r="AA1665" i="18"/>
  <c r="AA1703" i="18"/>
  <c r="AA1745" i="18"/>
  <c r="AA1783" i="18"/>
  <c r="AA1824" i="18"/>
  <c r="AA1857" i="18"/>
  <c r="AA1904" i="18"/>
  <c r="AA1942" i="18"/>
  <c r="AA1981" i="18"/>
  <c r="AA2022" i="18"/>
  <c r="AA2063" i="18"/>
  <c r="AA2099" i="18"/>
  <c r="AA2143" i="18"/>
  <c r="AA2181" i="18"/>
  <c r="AA2217" i="18"/>
  <c r="AA2264" i="18"/>
  <c r="AA2319" i="18"/>
  <c r="AA2359" i="18"/>
  <c r="AA2407" i="18"/>
  <c r="AA2454" i="18"/>
  <c r="AA2501" i="18"/>
  <c r="AA2544" i="18"/>
  <c r="AA2595" i="18"/>
  <c r="AA2644" i="18"/>
  <c r="AA2691" i="18"/>
  <c r="AA2742" i="18"/>
  <c r="AA2799" i="18"/>
  <c r="AA2856" i="18"/>
  <c r="AA2898" i="18"/>
  <c r="AA2957" i="18"/>
  <c r="AA3011" i="18"/>
  <c r="AA3065" i="18"/>
  <c r="AA3125" i="18"/>
  <c r="AA3166" i="18"/>
  <c r="AA3223" i="18"/>
  <c r="AA3280" i="18"/>
  <c r="AA3331" i="18"/>
  <c r="AA3379" i="18"/>
  <c r="AA3429" i="18"/>
  <c r="AA3489" i="18"/>
  <c r="AA3543" i="18"/>
  <c r="AA35" i="18"/>
  <c r="AA64" i="18"/>
  <c r="AA93" i="18"/>
  <c r="AA120" i="18"/>
  <c r="AA146" i="18"/>
  <c r="AA175" i="18"/>
  <c r="AA207" i="18"/>
  <c r="AA231" i="18"/>
  <c r="AA257" i="18"/>
  <c r="AA286" i="18"/>
  <c r="AA310" i="18"/>
  <c r="AA342" i="18"/>
  <c r="AA371" i="18"/>
  <c r="AA397" i="18"/>
  <c r="AA425" i="18"/>
  <c r="AA455" i="18"/>
  <c r="AA485" i="18"/>
  <c r="AA513" i="18"/>
  <c r="AA546" i="18"/>
  <c r="AA579" i="18"/>
  <c r="AA610" i="18"/>
  <c r="AA648" i="18"/>
  <c r="AA680" i="18"/>
  <c r="AA712" i="18"/>
  <c r="AA751" i="18"/>
  <c r="AA787" i="18"/>
  <c r="AA821" i="18"/>
  <c r="AA862" i="18"/>
  <c r="AA898" i="18"/>
  <c r="AA932" i="18"/>
  <c r="AA973" i="18"/>
  <c r="AA1006" i="18"/>
  <c r="AA1043" i="18"/>
  <c r="AA1083" i="18"/>
  <c r="AA1117" i="18"/>
  <c r="AA1154" i="18"/>
  <c r="AA1198" i="18"/>
  <c r="AA1227" i="18"/>
  <c r="AA1265" i="18"/>
  <c r="AA1312" i="18"/>
  <c r="AA1344" i="18"/>
  <c r="AA1383" i="18"/>
  <c r="AA1430" i="18"/>
  <c r="AA1462" i="18"/>
  <c r="AA1507" i="18"/>
  <c r="AA1551" i="18"/>
  <c r="AA1586" i="18"/>
  <c r="AA1625" i="18"/>
  <c r="AA1666" i="18"/>
  <c r="AA1704" i="18"/>
  <c r="AA1746" i="18"/>
  <c r="AA1784" i="18"/>
  <c r="AA1825" i="18"/>
  <c r="AA1864" i="18"/>
  <c r="AA1905" i="18"/>
  <c r="AA1943" i="18"/>
  <c r="AA1982" i="18"/>
  <c r="AA2023" i="18"/>
  <c r="AA2064" i="18"/>
  <c r="AA2100" i="18"/>
  <c r="AA2144" i="18"/>
  <c r="AA2182" i="18"/>
  <c r="AA2228" i="18"/>
  <c r="AA2265" i="18"/>
  <c r="AA2320" i="18"/>
  <c r="AA2361" i="18"/>
  <c r="AA2414" i="18"/>
  <c r="AA2455" i="18"/>
  <c r="AA2502" i="18"/>
  <c r="AA2545" i="18"/>
  <c r="AA2596" i="18"/>
  <c r="AA2648" i="18"/>
  <c r="AA2693" i="18"/>
  <c r="AA2749" i="18"/>
  <c r="AA2800" i="18"/>
  <c r="AA2857" i="18"/>
  <c r="AA2914" i="18"/>
  <c r="AA2958" i="18"/>
  <c r="AA3012" i="18"/>
  <c r="AA3069" i="18"/>
  <c r="AA3126" i="18"/>
  <c r="AA3168" i="18"/>
  <c r="AA3224" i="18"/>
  <c r="AA3281" i="18"/>
  <c r="AA3332" i="18"/>
  <c r="AA3392" i="18"/>
  <c r="AA3430" i="18"/>
  <c r="AA3490" i="18"/>
  <c r="AA3544" i="18"/>
  <c r="AA36" i="18"/>
  <c r="AA65" i="18"/>
  <c r="AA97" i="18"/>
  <c r="AA121" i="18"/>
  <c r="AA147" i="18"/>
  <c r="AA261" i="18"/>
  <c r="AA287" i="18"/>
  <c r="AA319" i="18"/>
  <c r="AA343" i="18"/>
  <c r="AA372" i="18"/>
  <c r="AA398" i="18"/>
  <c r="AA431" i="18"/>
  <c r="AA456" i="18"/>
  <c r="AA487" i="18"/>
  <c r="AA520" i="18"/>
  <c r="AA547" i="18"/>
  <c r="AA581" i="18"/>
  <c r="AA619" i="18"/>
  <c r="AA649" i="18"/>
  <c r="AA686" i="18"/>
  <c r="AA723" i="18"/>
  <c r="AA752" i="18"/>
  <c r="AA789" i="18"/>
  <c r="AA833" i="18"/>
  <c r="AA863" i="18"/>
  <c r="AA900" i="18"/>
  <c r="AA936" i="18"/>
  <c r="AA974" i="18"/>
  <c r="AA1014" i="18"/>
  <c r="AA1051" i="18"/>
  <c r="AA1088" i="18"/>
  <c r="AA1125" i="18"/>
  <c r="AA1161" i="18"/>
  <c r="AA1199" i="18"/>
  <c r="AA1230" i="18"/>
  <c r="AA1272" i="18"/>
  <c r="AA1313" i="18"/>
  <c r="AA1349" i="18"/>
  <c r="AA1470" i="18"/>
  <c r="AA1552" i="18"/>
  <c r="AA1588" i="18"/>
  <c r="AA1632" i="18"/>
  <c r="AA1670" i="18"/>
  <c r="AA1709" i="18"/>
  <c r="AA1750" i="18"/>
  <c r="AA1785" i="18"/>
  <c r="AA1827" i="18"/>
  <c r="AA1871" i="18"/>
  <c r="AA1906" i="18"/>
  <c r="AA1945" i="18"/>
  <c r="AA1989" i="18"/>
  <c r="AA2024" i="18"/>
  <c r="AA2066" i="18"/>
  <c r="AA2110" i="18"/>
  <c r="AA2145" i="18"/>
  <c r="AA2184" i="18"/>
  <c r="AA2229" i="18"/>
  <c r="AA2269" i="18"/>
  <c r="AA2324" i="18"/>
  <c r="AA2365" i="18"/>
  <c r="AA2415" i="18"/>
  <c r="AA2464" i="18"/>
  <c r="AA2503" i="18"/>
  <c r="AA2557" i="18"/>
  <c r="AA2597" i="18"/>
  <c r="AA2649" i="18"/>
  <c r="AA2703" i="18"/>
  <c r="AA2750" i="18"/>
  <c r="AA2801" i="18"/>
  <c r="AA2861" i="18"/>
  <c r="AA2915" i="18"/>
  <c r="AA2960" i="18"/>
  <c r="AA3013" i="18"/>
  <c r="AA3070" i="18"/>
  <c r="AA3127" i="18"/>
  <c r="AA3184" i="18"/>
  <c r="AA3225" i="18"/>
  <c r="AA3282" i="18"/>
  <c r="AA3333" i="18"/>
  <c r="AA3393" i="18"/>
  <c r="AA3441" i="18"/>
  <c r="AA3491" i="18"/>
  <c r="AA3545" i="18"/>
  <c r="AA176" i="18"/>
  <c r="AA1511" i="18"/>
  <c r="AA37" i="18"/>
  <c r="AA69" i="18"/>
  <c r="AA98" i="18"/>
  <c r="AA123" i="18"/>
  <c r="AA151" i="18"/>
  <c r="AA177" i="18"/>
  <c r="AA209" i="18"/>
  <c r="AA233" i="18"/>
  <c r="AA262" i="18"/>
  <c r="AA288" i="18"/>
  <c r="AA320" i="18"/>
  <c r="AA344" i="18"/>
  <c r="AA373" i="18"/>
  <c r="AA399" i="18"/>
  <c r="AA432" i="18"/>
  <c r="AA457" i="18"/>
  <c r="AA488" i="18"/>
  <c r="AA521" i="18"/>
  <c r="AA548" i="18"/>
  <c r="AA582" i="18"/>
  <c r="AA621" i="18"/>
  <c r="AA651" i="18"/>
  <c r="AA687" i="18"/>
  <c r="AA724" i="18"/>
  <c r="AA753" i="18"/>
  <c r="AA790" i="18"/>
  <c r="AA834" i="18"/>
  <c r="AA864" i="18"/>
  <c r="AA904" i="18"/>
  <c r="AA945" i="18"/>
  <c r="AA978" i="18"/>
  <c r="AA1015" i="18"/>
  <c r="AA1053" i="18"/>
  <c r="AA1089" i="18"/>
  <c r="AA1126" i="18"/>
  <c r="AA1163" i="18"/>
  <c r="AA1200" i="18"/>
  <c r="AA1237" i="18"/>
  <c r="AA1273" i="18"/>
  <c r="AA1314" i="18"/>
  <c r="AA1350" i="18"/>
  <c r="AA1394" i="18"/>
  <c r="AA1432" i="18"/>
  <c r="AA1471" i="18"/>
  <c r="AA1512" i="18"/>
  <c r="AA1553" i="18"/>
  <c r="AA1589" i="18"/>
  <c r="AA1633" i="18"/>
  <c r="AA1671" i="18"/>
  <c r="AA1710" i="18"/>
  <c r="AA1751" i="18"/>
  <c r="AA1792" i="18"/>
  <c r="AA1828" i="18"/>
  <c r="AA1872" i="18"/>
  <c r="AA1907" i="18"/>
  <c r="AA1949" i="18"/>
  <c r="AA1990" i="18"/>
  <c r="AA2025" i="18"/>
  <c r="AA2067" i="18"/>
  <c r="AA2111" i="18"/>
  <c r="AA2146" i="18"/>
  <c r="AA2185" i="18"/>
  <c r="AA2230" i="18"/>
  <c r="AA2277" i="18"/>
  <c r="AA2325" i="18"/>
  <c r="AA2367" i="18"/>
  <c r="AA2416" i="18"/>
  <c r="AA2471" i="18"/>
  <c r="AA2504" i="18"/>
  <c r="AA2558" i="18"/>
  <c r="AA2598" i="18"/>
  <c r="AA2653" i="18"/>
  <c r="AA2704" i="18"/>
  <c r="AA2752" i="18"/>
  <c r="AA2802" i="18"/>
  <c r="AA2862" i="18"/>
  <c r="AA2916" i="18"/>
  <c r="AA2973" i="18"/>
  <c r="AA3014" i="18"/>
  <c r="AA3071" i="18"/>
  <c r="AA3128" i="18"/>
  <c r="AA3185" i="18"/>
  <c r="AA3230" i="18"/>
  <c r="AA3283" i="18"/>
  <c r="AA3337" i="18"/>
  <c r="AA3397" i="18"/>
  <c r="AA3448" i="18"/>
  <c r="AA3495" i="18"/>
  <c r="AA3549" i="18"/>
  <c r="AA208" i="18"/>
  <c r="AA1431" i="18"/>
  <c r="AA41" i="18"/>
  <c r="AA70" i="18"/>
  <c r="AA99" i="18"/>
  <c r="AA125" i="18"/>
  <c r="AA152" i="18"/>
  <c r="AA181" i="18"/>
  <c r="AA210" i="18"/>
  <c r="AA235" i="18"/>
  <c r="AA263" i="18"/>
  <c r="AA289" i="18"/>
  <c r="AA321" i="18"/>
  <c r="AA345" i="18"/>
  <c r="AA374" i="18"/>
  <c r="AA400" i="18"/>
  <c r="AA433" i="18"/>
  <c r="AA463" i="18"/>
  <c r="AA489" i="18"/>
  <c r="AA523" i="18"/>
  <c r="AA549" i="18"/>
  <c r="AA583" i="18"/>
  <c r="AA622" i="18"/>
  <c r="AA653" i="18"/>
  <c r="AA688" i="18"/>
  <c r="AA725" i="18"/>
  <c r="AA754" i="18"/>
  <c r="AA795" i="18"/>
  <c r="AA835" i="18"/>
  <c r="AA868" i="18"/>
  <c r="AA905" i="18"/>
  <c r="AA946" i="18"/>
  <c r="AA979" i="18"/>
  <c r="AA1016" i="18"/>
  <c r="AA1057" i="18"/>
  <c r="AA1090" i="18"/>
  <c r="AA1127" i="18"/>
  <c r="AA1165" i="18"/>
  <c r="AA1201" i="18"/>
  <c r="AA1238" i="18"/>
  <c r="AA1277" i="18"/>
  <c r="AA1315" i="18"/>
  <c r="AA1357" i="18"/>
  <c r="AA1395" i="18"/>
  <c r="AA1433" i="18"/>
  <c r="AA1472" i="18"/>
  <c r="AA1513" i="18"/>
  <c r="AA1554" i="18"/>
  <c r="AA1590" i="18"/>
  <c r="AA1634" i="18"/>
  <c r="AA1672" i="18"/>
  <c r="AA1711" i="18"/>
  <c r="AA1752" i="18"/>
  <c r="AA1793" i="18"/>
  <c r="AA1829" i="18"/>
  <c r="AA1873" i="18"/>
  <c r="AA1911" i="18"/>
  <c r="AA1950" i="18"/>
  <c r="AA1991" i="18"/>
  <c r="AA2029" i="18"/>
  <c r="AA2068" i="18"/>
  <c r="AA2112" i="18"/>
  <c r="AA2147" i="18"/>
  <c r="AA2189" i="18"/>
  <c r="AA2237" i="18"/>
  <c r="AA2278" i="18"/>
  <c r="AA2326" i="18"/>
  <c r="AA2377" i="18"/>
  <c r="AA2417" i="18"/>
  <c r="AA2472" i="18"/>
  <c r="AA2505" i="18"/>
  <c r="AA2559" i="18"/>
  <c r="AA2600" i="18"/>
  <c r="AA2654" i="18"/>
  <c r="AA2708" i="18"/>
  <c r="AA2768" i="18"/>
  <c r="AA2809" i="18"/>
  <c r="AA2866" i="18"/>
  <c r="AA2917" i="18"/>
  <c r="AA2974" i="18"/>
  <c r="AA3016" i="18"/>
  <c r="AA3075" i="18"/>
  <c r="AA3129" i="18"/>
  <c r="AA3186" i="18"/>
  <c r="AA3240" i="18"/>
  <c r="AA3284" i="18"/>
  <c r="AA3344" i="18"/>
  <c r="AA3398" i="18"/>
  <c r="AA3449" i="18"/>
  <c r="AA3497" i="18"/>
  <c r="AA3550" i="18"/>
  <c r="AA232" i="18"/>
  <c r="AA1393" i="18"/>
  <c r="AA43" i="18"/>
  <c r="AA71" i="18"/>
  <c r="AA100" i="18"/>
  <c r="AA126" i="18"/>
  <c r="AA153" i="18"/>
  <c r="AA182" i="18"/>
  <c r="AA211" i="18"/>
  <c r="AA237" i="18"/>
  <c r="AA264" i="18"/>
  <c r="AA293" i="18"/>
  <c r="AA322" i="18"/>
  <c r="AA347" i="18"/>
  <c r="AA375" i="18"/>
  <c r="AA401" i="18"/>
  <c r="AA434" i="18"/>
  <c r="AA464" i="18"/>
  <c r="AA491" i="18"/>
  <c r="AA525" i="18"/>
  <c r="AA553" i="18"/>
  <c r="AA584" i="18"/>
  <c r="AA623" i="18"/>
  <c r="AA654" i="18"/>
  <c r="AA689" i="18"/>
  <c r="AA726" i="18"/>
  <c r="AA758" i="18"/>
  <c r="AA797" i="18"/>
  <c r="AA836" i="18"/>
  <c r="AA869" i="18"/>
  <c r="AA907" i="18"/>
  <c r="AA947" i="18"/>
  <c r="AA980" i="18"/>
  <c r="AA1017" i="18"/>
  <c r="AA1058" i="18"/>
  <c r="AA1091" i="18"/>
  <c r="AA1128" i="18"/>
  <c r="AA1169" i="18"/>
  <c r="AA1202" i="18"/>
  <c r="AA1239" i="18"/>
  <c r="AA1278" i="18"/>
  <c r="AA1316" i="18"/>
  <c r="AA1358" i="18"/>
  <c r="AA1396" i="18"/>
  <c r="AA1437" i="18"/>
  <c r="AA1476" i="18"/>
  <c r="AA1517" i="18"/>
  <c r="AA1555" i="18"/>
  <c r="AA1591" i="18"/>
  <c r="AA1635" i="18"/>
  <c r="AA1673" i="18"/>
  <c r="AA1712" i="18"/>
  <c r="AA1753" i="18"/>
  <c r="AA1794" i="18"/>
  <c r="AA1830" i="18"/>
  <c r="AA1874" i="18"/>
  <c r="AA1912" i="18"/>
  <c r="AA1951" i="18"/>
  <c r="AA1992" i="18"/>
  <c r="AA2033" i="18"/>
  <c r="AA2069" i="18"/>
  <c r="AA2113" i="18"/>
  <c r="AA2148" i="18"/>
  <c r="AA2190" i="18"/>
  <c r="AA2238" i="18"/>
  <c r="AA2287" i="18"/>
  <c r="AA2327" i="18"/>
  <c r="AA2381" i="18"/>
  <c r="AA2421" i="18"/>
  <c r="AA2473" i="18"/>
  <c r="AA2513" i="18"/>
  <c r="AA2560" i="18"/>
  <c r="AA2601" i="18"/>
  <c r="AA2655" i="18"/>
  <c r="AA2712" i="18"/>
  <c r="AA2769" i="18"/>
  <c r="AA2814" i="18"/>
  <c r="AA2867" i="18"/>
  <c r="AA2918" i="18"/>
  <c r="AA2978" i="18"/>
  <c r="AA3032" i="18"/>
  <c r="AA3076" i="18"/>
  <c r="AA3133" i="18"/>
  <c r="AA3187" i="18"/>
  <c r="AA3247" i="18"/>
  <c r="AA3286" i="18"/>
  <c r="AA3345" i="18"/>
  <c r="AA3399" i="18"/>
  <c r="AA3453" i="18"/>
  <c r="AA3510" i="18"/>
  <c r="AA3551" i="18"/>
  <c r="AA418" i="18"/>
  <c r="AA439" i="18"/>
  <c r="AA465" i="18"/>
  <c r="AA486" i="18"/>
  <c r="AA509" i="18"/>
  <c r="AA530" i="18"/>
  <c r="AA555" i="18"/>
  <c r="AA580" i="18"/>
  <c r="AA605" i="18"/>
  <c r="AA630" i="18"/>
  <c r="AA658" i="18"/>
  <c r="AA683" i="18"/>
  <c r="AA708" i="18"/>
  <c r="AA733" i="18"/>
  <c r="AA759" i="18"/>
  <c r="AA788" i="18"/>
  <c r="AA817" i="18"/>
  <c r="AA841" i="18"/>
  <c r="AA870" i="18"/>
  <c r="AA899" i="18"/>
  <c r="AA928" i="18"/>
  <c r="AA952" i="18"/>
  <c r="AA981" i="18"/>
  <c r="AA1010" i="18"/>
  <c r="AA1039" i="18"/>
  <c r="AA1063" i="18"/>
  <c r="AA1092" i="18"/>
  <c r="AA1118" i="18"/>
  <c r="AA1150" i="18"/>
  <c r="AA1174" i="18"/>
  <c r="AA1203" i="18"/>
  <c r="AA1229" i="18"/>
  <c r="AA1261" i="18"/>
  <c r="AA1289" i="18"/>
  <c r="AA1317" i="18"/>
  <c r="AA1345" i="18"/>
  <c r="AA1379" i="18"/>
  <c r="AA1410" i="18"/>
  <c r="AA1438" i="18"/>
  <c r="AA1469" i="18"/>
  <c r="AA1494" i="18"/>
  <c r="AA1528" i="18"/>
  <c r="AA1556" i="18"/>
  <c r="AA1587" i="18"/>
  <c r="AA1615" i="18"/>
  <c r="AA1649" i="18"/>
  <c r="AA1677" i="18"/>
  <c r="AA1705" i="18"/>
  <c r="AA1733" i="18"/>
  <c r="AA1767" i="18"/>
  <c r="AA1795" i="18"/>
  <c r="AA1826" i="18"/>
  <c r="AA1854" i="18"/>
  <c r="AA1885" i="18"/>
  <c r="AA1913" i="18"/>
  <c r="AA1944" i="18"/>
  <c r="AA1972" i="18"/>
  <c r="AA2003" i="18"/>
  <c r="AA2034" i="18"/>
  <c r="AA2065" i="18"/>
  <c r="AA2093" i="18"/>
  <c r="AA2121" i="18"/>
  <c r="AA2158" i="18"/>
  <c r="AA2183" i="18"/>
  <c r="AA2211" i="18"/>
  <c r="AA2242" i="18"/>
  <c r="AA2270" i="18"/>
  <c r="AA2304" i="18"/>
  <c r="AA2335" i="18"/>
  <c r="AA2360" i="18"/>
  <c r="AA2388" i="18"/>
  <c r="AA2422" i="18"/>
  <c r="AA2453" i="18"/>
  <c r="AA2481" i="18"/>
  <c r="AA2512" i="18"/>
  <c r="AA2543" i="18"/>
  <c r="AA2574" i="18"/>
  <c r="AA2599" i="18"/>
  <c r="AA2630" i="18"/>
  <c r="AA2658" i="18"/>
  <c r="AA2692" i="18"/>
  <c r="AA2720" i="18"/>
  <c r="AA2751" i="18"/>
  <c r="AA2776" i="18"/>
  <c r="AA2813" i="18"/>
  <c r="AA2838" i="18"/>
  <c r="AA2869" i="18"/>
  <c r="AA2897" i="18"/>
  <c r="AA2931" i="18"/>
  <c r="AA2959" i="18"/>
  <c r="AA2990" i="18"/>
  <c r="AA3015" i="18"/>
  <c r="AA3046" i="18"/>
  <c r="AA3077" i="18"/>
  <c r="AA3108" i="18"/>
  <c r="AA3136" i="18"/>
  <c r="AA3167" i="18"/>
  <c r="AA3201" i="18"/>
  <c r="AA3229" i="18"/>
  <c r="AA3254" i="18"/>
  <c r="AA3285" i="18"/>
  <c r="AA3319" i="18"/>
  <c r="AA3347" i="18"/>
  <c r="AA3378" i="18"/>
  <c r="AA3406" i="18"/>
  <c r="AA3431" i="18"/>
  <c r="AA3465" i="18"/>
  <c r="AA3496" i="18"/>
  <c r="AA3524" i="18"/>
  <c r="AA2663" i="18"/>
  <c r="AA2694" i="18"/>
  <c r="AA2722" i="18"/>
  <c r="AA2753" i="18"/>
  <c r="AA2787" i="18"/>
  <c r="AA2815" i="18"/>
  <c r="AA2840" i="18"/>
  <c r="AA2871" i="18"/>
  <c r="AA2899" i="18"/>
  <c r="AA2933" i="18"/>
  <c r="AA2964" i="18"/>
  <c r="AA2992" i="18"/>
  <c r="AA3017" i="18"/>
  <c r="AA3054" i="18"/>
  <c r="AA3085" i="18"/>
  <c r="AA3110" i="18"/>
  <c r="AA3141" i="18"/>
  <c r="AA3172" i="18"/>
  <c r="AA3203" i="18"/>
  <c r="AA3231" i="18"/>
  <c r="AA3262" i="18"/>
  <c r="AA3287" i="18"/>
  <c r="AA3321" i="18"/>
  <c r="AA3349" i="18"/>
  <c r="AA3380" i="18"/>
  <c r="AA3408" i="18"/>
  <c r="AA3442" i="18"/>
  <c r="AA3470" i="18"/>
  <c r="AA3501" i="18"/>
  <c r="AA3526" i="18"/>
  <c r="AA2245" i="18"/>
  <c r="AA2279" i="18"/>
  <c r="AA2307" i="18"/>
  <c r="AA2338" i="18"/>
  <c r="AA2366" i="18"/>
  <c r="AA2400" i="18"/>
  <c r="AA2425" i="18"/>
  <c r="AA2456" i="18"/>
  <c r="AA2484" i="18"/>
  <c r="AA2518" i="18"/>
  <c r="AA2546" i="18"/>
  <c r="AA2577" i="18"/>
  <c r="AA2605" i="18"/>
  <c r="AA2633" i="18"/>
  <c r="AA2670" i="18"/>
  <c r="AA2695" i="18"/>
  <c r="AA2723" i="18"/>
  <c r="AA2754" i="18"/>
  <c r="AA2788" i="18"/>
  <c r="AA2816" i="18"/>
  <c r="AA2847" i="18"/>
  <c r="AA2872" i="18"/>
  <c r="AA2909" i="18"/>
  <c r="AA2934" i="18"/>
  <c r="AA2965" i="18"/>
  <c r="AA2993" i="18"/>
  <c r="AA3024" i="18"/>
  <c r="AA3055" i="18"/>
  <c r="AA3086" i="18"/>
  <c r="AA3111" i="18"/>
  <c r="AA3142" i="18"/>
  <c r="AA3173" i="18"/>
  <c r="AA3204" i="18"/>
  <c r="AA3232" i="18"/>
  <c r="AA3263" i="18"/>
  <c r="AA3294" i="18"/>
  <c r="AA3325" i="18"/>
  <c r="AA3350" i="18"/>
  <c r="AA3381" i="18"/>
  <c r="AA3409" i="18"/>
  <c r="AA3443" i="18"/>
  <c r="AA3471" i="18"/>
  <c r="AA3502" i="18"/>
  <c r="AA3527" i="18"/>
  <c r="AA2221" i="18"/>
  <c r="AA2249" i="18"/>
  <c r="AA2280" i="18"/>
  <c r="AA2308" i="18"/>
  <c r="AA2339" i="18"/>
  <c r="AA2401" i="18"/>
  <c r="AA2429" i="18"/>
  <c r="AA2457" i="18"/>
  <c r="AA2550" i="18"/>
  <c r="AA2578" i="18"/>
  <c r="AA2606" i="18"/>
  <c r="AA2640" i="18"/>
  <c r="AA2671" i="18"/>
  <c r="AA2696" i="18"/>
  <c r="AA2727" i="18"/>
  <c r="AA2755" i="18"/>
  <c r="AA2789" i="18"/>
  <c r="AA2817" i="18"/>
  <c r="AA2848" i="18"/>
  <c r="AA2873" i="18"/>
  <c r="AA2910" i="18"/>
  <c r="AA2935" i="18"/>
  <c r="AA2966" i="18"/>
  <c r="AA2994" i="18"/>
  <c r="AA3028" i="18"/>
  <c r="AA3056" i="18"/>
  <c r="AA3087" i="18"/>
  <c r="AA3112" i="18"/>
  <c r="AA3143" i="18"/>
  <c r="AA3174" i="18"/>
  <c r="AA3205" i="18"/>
  <c r="AA3233" i="18"/>
  <c r="AA3264" i="18"/>
  <c r="AA3295" i="18"/>
  <c r="AA3326" i="18"/>
  <c r="AA3351" i="18"/>
  <c r="AA3382" i="18"/>
  <c r="AA3416" i="18"/>
  <c r="AA3444" i="18"/>
  <c r="AA3472" i="18"/>
  <c r="AA3503" i="18"/>
  <c r="AA3528" i="18"/>
  <c r="AA19" i="18"/>
  <c r="AA45" i="18"/>
  <c r="AA66" i="18"/>
  <c r="AA87" i="18"/>
  <c r="AA110" i="18"/>
  <c r="AA134" i="18"/>
  <c r="AA157" i="18"/>
  <c r="AA178" i="18"/>
  <c r="AA199" i="18"/>
  <c r="AA225" i="18"/>
  <c r="AA246" i="18"/>
  <c r="AA269" i="18"/>
  <c r="AA290" i="18"/>
  <c r="AA311" i="18"/>
  <c r="AA337" i="18"/>
  <c r="AA358" i="18"/>
  <c r="AA381" i="18"/>
  <c r="AA402" i="18"/>
  <c r="AA427" i="18"/>
  <c r="AA449" i="18"/>
  <c r="AA470" i="18"/>
  <c r="AA493" i="18"/>
  <c r="AA517" i="18"/>
  <c r="AA539" i="18"/>
  <c r="AA562" i="18"/>
  <c r="AA585" i="18"/>
  <c r="AA612" i="18"/>
  <c r="AA640" i="18"/>
  <c r="AA664" i="18"/>
  <c r="AA690" i="18"/>
  <c r="AA713" i="18"/>
  <c r="AA743" i="18"/>
  <c r="AA769" i="18"/>
  <c r="AA798" i="18"/>
  <c r="AA822" i="18"/>
  <c r="AA854" i="18"/>
  <c r="AA880" i="18"/>
  <c r="AA909" i="18"/>
  <c r="AA933" i="18"/>
  <c r="AA962" i="18"/>
  <c r="AA991" i="18"/>
  <c r="AA1019" i="18"/>
  <c r="AA1044" i="18"/>
  <c r="AA1073" i="18"/>
  <c r="AA1102" i="18"/>
  <c r="AA1129" i="18"/>
  <c r="AA1155" i="18"/>
  <c r="AA1184" i="18"/>
  <c r="AA1216" i="18"/>
  <c r="AA1240" i="18"/>
  <c r="AA1266" i="18"/>
  <c r="AA1297" i="18"/>
  <c r="AA1325" i="18"/>
  <c r="AA1359" i="18"/>
  <c r="AA1390" i="18"/>
  <c r="AA1415" i="18"/>
  <c r="AA1443" i="18"/>
  <c r="AA1477" i="18"/>
  <c r="AA1508" i="18"/>
  <c r="AA1536" i="18"/>
  <c r="AA1567" i="18"/>
  <c r="AA1598" i="18"/>
  <c r="AA1629" i="18"/>
  <c r="AA1654" i="18"/>
  <c r="AA1685" i="18"/>
  <c r="AA1713" i="18"/>
  <c r="AA1747" i="18"/>
  <c r="AA1775" i="18"/>
  <c r="AA1806" i="18"/>
  <c r="AA1831" i="18"/>
  <c r="AA1865" i="18"/>
  <c r="AA1893" i="18"/>
  <c r="AA1924" i="18"/>
  <c r="AA1952" i="18"/>
  <c r="AA1986" i="18"/>
  <c r="AA2014" i="18"/>
  <c r="AA2045" i="18"/>
  <c r="AA2070" i="18"/>
  <c r="AA2101" i="18"/>
  <c r="AA2132" i="18"/>
  <c r="AA2163" i="18"/>
  <c r="AA2191" i="18"/>
  <c r="AA2222" i="18"/>
  <c r="AA2256" i="18"/>
  <c r="AA2281" i="18"/>
  <c r="AA2309" i="18"/>
  <c r="AA2340" i="18"/>
  <c r="AA2374" i="18"/>
  <c r="AA2402" i="18"/>
  <c r="AA2433" i="18"/>
  <c r="AA2461" i="18"/>
  <c r="AA2486" i="18"/>
  <c r="AA2520" i="18"/>
  <c r="AA2551" i="18"/>
  <c r="AA2579" i="18"/>
  <c r="AA2610" i="18"/>
  <c r="AA2641" i="18"/>
  <c r="AA2672" i="18"/>
  <c r="AA2697" i="18"/>
  <c r="AA2728" i="18"/>
  <c r="AA2759" i="18"/>
  <c r="AA2790" i="18"/>
  <c r="AA2818" i="18"/>
  <c r="AA2849" i="18"/>
  <c r="AA2877" i="18"/>
  <c r="AA2911" i="18"/>
  <c r="AA2936" i="18"/>
  <c r="AA2967" i="18"/>
  <c r="AA2995" i="18"/>
  <c r="AA3029" i="18"/>
  <c r="AA3057" i="18"/>
  <c r="AA3088" i="18"/>
  <c r="AA3113" i="18"/>
  <c r="AA3150" i="18"/>
  <c r="AA3175" i="18"/>
  <c r="AA3206" i="18"/>
  <c r="AA3234" i="18"/>
  <c r="AA3265" i="18"/>
  <c r="AA3299" i="18"/>
  <c r="AA3327" i="18"/>
  <c r="AA3352" i="18"/>
  <c r="AA3383" i="18"/>
  <c r="AA3417" i="18"/>
  <c r="AA3445" i="18"/>
  <c r="AA3476" i="18"/>
  <c r="AA3504" i="18"/>
  <c r="AA3538" i="18"/>
  <c r="AA23" i="18"/>
  <c r="AA46" i="18"/>
  <c r="AA67" i="18"/>
  <c r="AA88" i="18"/>
  <c r="AA111" i="18"/>
  <c r="AA135" i="18"/>
  <c r="AA158" i="18"/>
  <c r="AA179" i="18"/>
  <c r="AA200" i="18"/>
  <c r="AA226" i="18"/>
  <c r="AA247" i="18"/>
  <c r="AA270" i="18"/>
  <c r="AA291" i="18"/>
  <c r="AA317" i="18"/>
  <c r="AA338" i="18"/>
  <c r="AA359" i="18"/>
  <c r="AA382" i="18"/>
  <c r="AA403" i="18"/>
  <c r="AA429" i="18"/>
  <c r="AA450" i="18"/>
  <c r="AA471" i="18"/>
  <c r="AA494" i="18"/>
  <c r="AA518" i="18"/>
  <c r="AA541" i="18"/>
  <c r="AA563" i="18"/>
  <c r="AA587" i="18"/>
  <c r="AA616" i="18"/>
  <c r="AA641" i="18"/>
  <c r="AA667" i="18"/>
  <c r="AA691" i="18"/>
  <c r="AA715" i="18"/>
  <c r="AA744" i="18"/>
  <c r="AA770" i="18"/>
  <c r="AA799" i="18"/>
  <c r="AA823" i="18"/>
  <c r="AA855" i="18"/>
  <c r="AA881" i="18"/>
  <c r="AA910" i="18"/>
  <c r="AA934" i="18"/>
  <c r="AA966" i="18"/>
  <c r="AA992" i="18"/>
  <c r="AA1021" i="18"/>
  <c r="AA1045" i="18"/>
  <c r="AA1074" i="18"/>
  <c r="AA1106" i="18"/>
  <c r="AA1131" i="18"/>
  <c r="AA1156" i="18"/>
  <c r="AA1185" i="18"/>
  <c r="AA1217" i="18"/>
  <c r="AA1241" i="18"/>
  <c r="AA1270" i="18"/>
  <c r="AA1298" i="18"/>
  <c r="AA1332" i="18"/>
  <c r="AA1360" i="18"/>
  <c r="AA1391" i="18"/>
  <c r="AA1416" i="18"/>
  <c r="AA1447" i="18"/>
  <c r="AA1478" i="18"/>
  <c r="AA1509" i="18"/>
  <c r="AA1537" i="18"/>
  <c r="AA1568" i="18"/>
  <c r="AA1599" i="18"/>
  <c r="AA1630" i="18"/>
  <c r="AA1655" i="18"/>
  <c r="AA1686" i="18"/>
  <c r="AA1717" i="18"/>
  <c r="AA1748" i="18"/>
  <c r="AA1776" i="18"/>
  <c r="AA1807" i="18"/>
  <c r="AA1832" i="18"/>
  <c r="AA1869" i="18"/>
  <c r="AA1894" i="18"/>
  <c r="AA1925" i="18"/>
  <c r="AA1953" i="18"/>
  <c r="AA1987" i="18"/>
  <c r="AA2015" i="18"/>
  <c r="AA2046" i="18"/>
  <c r="AA2071" i="18"/>
  <c r="AA2105" i="18"/>
  <c r="AA2136" i="18"/>
  <c r="AA2164" i="18"/>
  <c r="AA2192" i="18"/>
  <c r="AA2223" i="18"/>
  <c r="AA2257" i="18"/>
  <c r="AA2285" i="18"/>
  <c r="AA2313" i="18"/>
  <c r="AA2341" i="18"/>
  <c r="AA2375" i="18"/>
  <c r="AA2403" i="18"/>
  <c r="AA2434" i="18"/>
  <c r="AA2462" i="18"/>
  <c r="AA2496" i="18"/>
  <c r="AA2521" i="18"/>
  <c r="AA2552" i="18"/>
  <c r="AA2580" i="18"/>
  <c r="AA2611" i="18"/>
  <c r="AA2642" i="18"/>
  <c r="AA2673" i="18"/>
  <c r="AA2701" i="18"/>
  <c r="AA2729" i="18"/>
  <c r="AA2760" i="18"/>
  <c r="AA2791" i="18"/>
  <c r="AA2819" i="18"/>
  <c r="AA2850" i="18"/>
  <c r="AA2881" i="18"/>
  <c r="AA2912" i="18"/>
  <c r="AA2937" i="18"/>
  <c r="AA2968" i="18"/>
  <c r="AA2996" i="18"/>
  <c r="AA3030" i="18"/>
  <c r="AA3058" i="18"/>
  <c r="AA3089" i="18"/>
  <c r="AA3117" i="18"/>
  <c r="AA3151" i="18"/>
  <c r="AA3182" i="18"/>
  <c r="AA3207" i="18"/>
  <c r="AA3235" i="18"/>
  <c r="AA3269" i="18"/>
  <c r="AA3300" i="18"/>
  <c r="AA3328" i="18"/>
  <c r="AA3359" i="18"/>
  <c r="AA3384" i="18"/>
  <c r="AA3421" i="18"/>
  <c r="AA3446" i="18"/>
  <c r="AA3477" i="18"/>
  <c r="AA3505" i="18"/>
  <c r="AA3539" i="18"/>
  <c r="AA24" i="18"/>
  <c r="AA47" i="18"/>
  <c r="AA68" i="18"/>
  <c r="AA89" i="18"/>
  <c r="AA115" i="18"/>
  <c r="AA136" i="18"/>
  <c r="AA159" i="18"/>
  <c r="AA180" i="18"/>
  <c r="AA201" i="18"/>
  <c r="AA227" i="18"/>
  <c r="AA248" i="18"/>
  <c r="AA271" i="18"/>
  <c r="AA292" i="18"/>
  <c r="AA318" i="18"/>
  <c r="AA339" i="18"/>
  <c r="AA360" i="18"/>
  <c r="AA383" i="18"/>
  <c r="AA407" i="18"/>
  <c r="AA430" i="18"/>
  <c r="AA451" i="18"/>
  <c r="AA472" i="18"/>
  <c r="AA495" i="18"/>
  <c r="AA519" i="18"/>
  <c r="AA542" i="18"/>
  <c r="AA564" i="18"/>
  <c r="AA589" i="18"/>
  <c r="AA617" i="18"/>
  <c r="AA642" i="18"/>
  <c r="AA669" i="18"/>
  <c r="AA692" i="18"/>
  <c r="AA722" i="18"/>
  <c r="AA745" i="18"/>
  <c r="AA771" i="18"/>
  <c r="AA800" i="18"/>
  <c r="AA824" i="18"/>
  <c r="AA856" i="18"/>
  <c r="AA882" i="18"/>
  <c r="AA911" i="18"/>
  <c r="AA935" i="18"/>
  <c r="AA967" i="18"/>
  <c r="AA996" i="18"/>
  <c r="AA1022" i="18"/>
  <c r="AA1046" i="18"/>
  <c r="AA1078" i="18"/>
  <c r="AA1107" i="18"/>
  <c r="AA1133" i="18"/>
  <c r="AA1160" i="18"/>
  <c r="AA1186" i="18"/>
  <c r="AA1218" i="18"/>
  <c r="AA1243" i="18"/>
  <c r="AA1271" i="18"/>
  <c r="AA1299" i="18"/>
  <c r="AA1333" i="18"/>
  <c r="AA1361" i="18"/>
  <c r="AA1392" i="18"/>
  <c r="AA1417" i="18"/>
  <c r="AA1454" i="18"/>
  <c r="AA1479" i="18"/>
  <c r="AA1510" i="18"/>
  <c r="AA1538" i="18"/>
  <c r="AA1569" i="18"/>
  <c r="AA1600" i="18"/>
  <c r="AA1631" i="18"/>
  <c r="AA1656" i="18"/>
  <c r="AA1687" i="18"/>
  <c r="AA1718" i="18"/>
  <c r="AA1749" i="18"/>
  <c r="AA1777" i="18"/>
  <c r="AA1808" i="18"/>
  <c r="AA1842" i="18"/>
  <c r="AA1870" i="18"/>
  <c r="AA1895" i="18"/>
  <c r="AA1926" i="18"/>
  <c r="AA1954" i="18"/>
  <c r="AA1988" i="18"/>
  <c r="AA2019" i="18"/>
  <c r="AA2047" i="18"/>
  <c r="AA2072" i="18"/>
  <c r="AA2109" i="18"/>
  <c r="AA2137" i="18"/>
  <c r="AA2165" i="18"/>
  <c r="AA2196" i="18"/>
  <c r="AA2227" i="18"/>
  <c r="AA2258" i="18"/>
  <c r="AA2286" i="18"/>
  <c r="AA2317" i="18"/>
  <c r="AA2342" i="18"/>
  <c r="AA2376" i="18"/>
  <c r="AA2404" i="18"/>
  <c r="AA2435" i="18"/>
  <c r="AA2463" i="18"/>
  <c r="AA2497" i="18"/>
  <c r="AA2525" i="18"/>
  <c r="AA2553" i="18"/>
  <c r="AA2581" i="18"/>
  <c r="AA2615" i="18"/>
  <c r="AA2643" i="18"/>
  <c r="AA2674" i="18"/>
  <c r="AA2702" i="18"/>
  <c r="AA2733" i="18"/>
  <c r="AA2761" i="18"/>
  <c r="AA2792" i="18"/>
  <c r="AA2820" i="18"/>
  <c r="AA2851" i="18"/>
  <c r="AA2885" i="18"/>
  <c r="AA2913" i="18"/>
  <c r="AA2941" i="18"/>
  <c r="AA2969" i="18"/>
  <c r="AA3006" i="18"/>
  <c r="AA3031" i="18"/>
  <c r="AA3062" i="18"/>
  <c r="AA3090" i="18"/>
  <c r="AA3118" i="18"/>
  <c r="AA3152" i="18"/>
  <c r="AA3183" i="18"/>
  <c r="AA3208" i="18"/>
  <c r="AA3239" i="18"/>
  <c r="AA3270" i="18"/>
  <c r="AA3301" i="18"/>
  <c r="AA3329" i="18"/>
  <c r="AA3360" i="18"/>
  <c r="AA3391" i="18"/>
  <c r="AA3422" i="18"/>
  <c r="AA3447" i="18"/>
  <c r="AA3478" i="18"/>
  <c r="AA3506" i="18"/>
  <c r="AA3540" i="18"/>
  <c r="AA20" i="18"/>
  <c r="AA38" i="18"/>
  <c r="AA56" i="18"/>
  <c r="AA75" i="18"/>
  <c r="AA94" i="18"/>
  <c r="AA112" i="18"/>
  <c r="AA130" i="18"/>
  <c r="AA148" i="18"/>
  <c r="AA166" i="18"/>
  <c r="AA184" i="18"/>
  <c r="AA203" i="18"/>
  <c r="AA222" i="18"/>
  <c r="AA240" i="18"/>
  <c r="AA258" i="18"/>
  <c r="AA276" i="18"/>
  <c r="AA294" i="18"/>
  <c r="AA312" i="18"/>
  <c r="AA331" i="18"/>
  <c r="AA350" i="18"/>
  <c r="AA368" i="18"/>
  <c r="AA386" i="18"/>
  <c r="AA404" i="18"/>
  <c r="AA422" i="18"/>
  <c r="AA440" i="18"/>
  <c r="AA459" i="18"/>
  <c r="AA478" i="18"/>
  <c r="AA496" i="18"/>
  <c r="AA514" i="18"/>
  <c r="AA532" i="18"/>
  <c r="AA550" i="18"/>
  <c r="AA569" i="18"/>
  <c r="AA592" i="18"/>
  <c r="AA613" i="18"/>
  <c r="AA633" i="18"/>
  <c r="AA655" i="18"/>
  <c r="AA675" i="18"/>
  <c r="AA695" i="18"/>
  <c r="AA717" i="18"/>
  <c r="AA738" i="18"/>
  <c r="AA760" i="18"/>
  <c r="AA783" i="18"/>
  <c r="AA804" i="18"/>
  <c r="AA825" i="18"/>
  <c r="AA851" i="18"/>
  <c r="AA872" i="18"/>
  <c r="AA895" i="18"/>
  <c r="AA916" i="18"/>
  <c r="AA942" i="18"/>
  <c r="AA963" i="18"/>
  <c r="AA984" i="18"/>
  <c r="AA1007" i="18"/>
  <c r="AA1028" i="18"/>
  <c r="AA1054" i="18"/>
  <c r="AA1075" i="18"/>
  <c r="AA1096" i="18"/>
  <c r="AA1119" i="18"/>
  <c r="AA1143" i="18"/>
  <c r="AA1166" i="18"/>
  <c r="AA1187" i="18"/>
  <c r="AA1208" i="18"/>
  <c r="AA1234" i="18"/>
  <c r="AA1255" i="18"/>
  <c r="AA1279" i="18"/>
  <c r="AA1301" i="18"/>
  <c r="AA1326" i="18"/>
  <c r="AA1351" i="18"/>
  <c r="AA1376" i="18"/>
  <c r="AA1398" i="18"/>
  <c r="AA1423" i="18"/>
  <c r="AA1448" i="18"/>
  <c r="AA1473" i="18"/>
  <c r="AA1495" i="18"/>
  <c r="AA1520" i="18"/>
  <c r="AA1545" i="18"/>
  <c r="AA1570" i="18"/>
  <c r="AA1592" i="18"/>
  <c r="AA1617" i="18"/>
  <c r="AA1639" i="18"/>
  <c r="AA1667" i="18"/>
  <c r="AA1689" i="18"/>
  <c r="AA1714" i="18"/>
  <c r="AA1736" i="18"/>
  <c r="AA1764" i="18"/>
  <c r="AA1789" i="18"/>
  <c r="AA1811" i="18"/>
  <c r="AA1833" i="18"/>
  <c r="AA1861" i="18"/>
  <c r="AA1886" i="18"/>
  <c r="AA1908" i="18"/>
  <c r="AA1933" i="18"/>
  <c r="AA1955" i="18"/>
  <c r="AA1983" i="18"/>
  <c r="AA2005" i="18"/>
  <c r="AA2030" i="18"/>
  <c r="AA2052" i="18"/>
  <c r="AA2080" i="18"/>
  <c r="AA2102" i="18"/>
  <c r="AA2127" i="18"/>
  <c r="AA2149" i="18"/>
  <c r="AA2177" i="18"/>
  <c r="AA2199" i="18"/>
  <c r="AA2224" i="18"/>
  <c r="AA2246" i="18"/>
  <c r="AA2271" i="18"/>
  <c r="AA2296" i="18"/>
  <c r="AA2321" i="18"/>
  <c r="AA2343" i="18"/>
  <c r="AA2368" i="18"/>
  <c r="AA2393" i="18"/>
  <c r="AA2418" i="18"/>
  <c r="AA2440" i="18"/>
  <c r="AA2465" i="18"/>
  <c r="AA2493" i="18"/>
  <c r="AA2515" i="18"/>
  <c r="AA2537" i="18"/>
  <c r="AA2562" i="18"/>
  <c r="AA2584" i="18"/>
  <c r="AA2612" i="18"/>
  <c r="AA2637" i="18"/>
  <c r="AA2659" i="18"/>
  <c r="AA2681" i="18"/>
  <c r="AA2709" i="18"/>
  <c r="AA2734" i="18"/>
  <c r="AA2756" i="18"/>
  <c r="AA2781" i="18"/>
  <c r="AA2806" i="18"/>
  <c r="AA2831" i="18"/>
  <c r="AA2853" i="18"/>
  <c r="AA2878" i="18"/>
  <c r="AA2900" i="18"/>
  <c r="AA2928" i="18"/>
  <c r="AA2950" i="18"/>
  <c r="AA2975" i="18"/>
  <c r="AA2997" i="18"/>
  <c r="AA3025" i="18"/>
  <c r="AA3047" i="18"/>
  <c r="AA3072" i="18"/>
  <c r="AA3094" i="18"/>
  <c r="AA3122" i="18"/>
  <c r="AA3144" i="18"/>
  <c r="AA3169" i="18"/>
  <c r="AA3191" i="18"/>
  <c r="AA3216" i="18"/>
  <c r="AA3241" i="18"/>
  <c r="AA3266" i="18"/>
  <c r="AA3288" i="18"/>
  <c r="AA3313" i="18"/>
  <c r="AA3341" i="18"/>
  <c r="AA3363" i="18"/>
  <c r="AA3385" i="18"/>
  <c r="AA3410" i="18"/>
  <c r="AA3438" i="18"/>
  <c r="AA3460" i="18"/>
  <c r="AA3485" i="18"/>
  <c r="AA3507" i="18"/>
  <c r="AA3529" i="18"/>
  <c r="AA21" i="18"/>
  <c r="AA39" i="18"/>
  <c r="AA57" i="18"/>
  <c r="AA77" i="18"/>
  <c r="AA95" i="18"/>
  <c r="AA113" i="18"/>
  <c r="AA131" i="18"/>
  <c r="AA149" i="18"/>
  <c r="AA167" i="18"/>
  <c r="AA185" i="18"/>
  <c r="AA205" i="18"/>
  <c r="AA223" i="18"/>
  <c r="AA241" i="18"/>
  <c r="AA259" i="18"/>
  <c r="AA277" i="18"/>
  <c r="AA295" i="18"/>
  <c r="AA313" i="18"/>
  <c r="AA333" i="18"/>
  <c r="AA351" i="18"/>
  <c r="AA369" i="18"/>
  <c r="AA387" i="18"/>
  <c r="AA405" i="18"/>
  <c r="AA423" i="18"/>
  <c r="AA441" i="18"/>
  <c r="AA461" i="18"/>
  <c r="AA479" i="18"/>
  <c r="AA497" i="18"/>
  <c r="AA515" i="18"/>
  <c r="AA533" i="18"/>
  <c r="AA551" i="18"/>
  <c r="AA571" i="18"/>
  <c r="AA594" i="18"/>
  <c r="AA614" i="18"/>
  <c r="AA635" i="18"/>
  <c r="AA656" i="18"/>
  <c r="AA676" i="18"/>
  <c r="AA696" i="18"/>
  <c r="AA718" i="18"/>
  <c r="AA740" i="18"/>
  <c r="AA761" i="18"/>
  <c r="AA784" i="18"/>
  <c r="AA805" i="18"/>
  <c r="AA827" i="18"/>
  <c r="AA852" i="18"/>
  <c r="AA873" i="18"/>
  <c r="AA896" i="18"/>
  <c r="AA917" i="18"/>
  <c r="AA943" i="18"/>
  <c r="AA964" i="18"/>
  <c r="AA985" i="18"/>
  <c r="AA1008" i="18"/>
  <c r="AA1032" i="18"/>
  <c r="AA1055" i="18"/>
  <c r="AA1076" i="18"/>
  <c r="AA1097" i="18"/>
  <c r="AA1120" i="18"/>
  <c r="AA1144" i="18"/>
  <c r="AA1167" i="18"/>
  <c r="AA1188" i="18"/>
  <c r="AA1209" i="18"/>
  <c r="AA1235" i="18"/>
  <c r="AA1256" i="18"/>
  <c r="AA1280" i="18"/>
  <c r="AA1302" i="18"/>
  <c r="AA1330" i="18"/>
  <c r="AA1352" i="18"/>
  <c r="AA1377" i="18"/>
  <c r="AA1399" i="18"/>
  <c r="AA1424" i="18"/>
  <c r="AA1449" i="18"/>
  <c r="AA1474" i="18"/>
  <c r="AA1496" i="18"/>
  <c r="AA1521" i="18"/>
  <c r="AA1549" i="18"/>
  <c r="AA1571" i="18"/>
  <c r="AA1593" i="18"/>
  <c r="AA1618" i="18"/>
  <c r="AA1646" i="18"/>
  <c r="AA1668" i="18"/>
  <c r="AA1693" i="18"/>
  <c r="AA1715" i="18"/>
  <c r="AA1737" i="18"/>
  <c r="AA1765" i="18"/>
  <c r="AA1790" i="18"/>
  <c r="AA1812" i="18"/>
  <c r="AA1837" i="18"/>
  <c r="AA1862" i="18"/>
  <c r="AA1887" i="18"/>
  <c r="AA1909" i="18"/>
  <c r="AA1934" i="18"/>
  <c r="AA1959" i="18"/>
  <c r="AA1984" i="18"/>
  <c r="AA2006" i="18"/>
  <c r="AA2031" i="18"/>
  <c r="AA2053" i="18"/>
  <c r="AA2081" i="18"/>
  <c r="AA2103" i="18"/>
  <c r="AA2128" i="18"/>
  <c r="AA2150" i="18"/>
  <c r="AA2178" i="18"/>
  <c r="AA2200" i="18"/>
  <c r="AA2225" i="18"/>
  <c r="AA2247" i="18"/>
  <c r="AA2275" i="18"/>
  <c r="AA2297" i="18"/>
  <c r="AA2322" i="18"/>
  <c r="AA2344" i="18"/>
  <c r="AA2369" i="18"/>
  <c r="AA2397" i="18"/>
  <c r="AA2419" i="18"/>
  <c r="AA2441" i="18"/>
  <c r="AA2466" i="18"/>
  <c r="AA2494" i="18"/>
  <c r="AA2516" i="18"/>
  <c r="AA2541" i="18"/>
  <c r="AA2563" i="18"/>
  <c r="AA2591" i="18"/>
  <c r="AA2613" i="18"/>
  <c r="AA2638" i="18"/>
  <c r="AA2660" i="18"/>
  <c r="AA2685" i="18"/>
  <c r="AA2710" i="18"/>
  <c r="AA2735" i="18"/>
  <c r="AA2757" i="18"/>
  <c r="AA2782" i="18"/>
  <c r="AA2807" i="18"/>
  <c r="AA2832" i="18"/>
  <c r="AA2854" i="18"/>
  <c r="AA2879" i="18"/>
  <c r="AA2904" i="18"/>
  <c r="AA2929" i="18"/>
  <c r="AA2951" i="18"/>
  <c r="AA2976" i="18"/>
  <c r="AA2998" i="18"/>
  <c r="AA3026" i="18"/>
  <c r="AA3048" i="18"/>
  <c r="AA3073" i="18"/>
  <c r="AA3095" i="18"/>
  <c r="AA3123" i="18"/>
  <c r="AA3145" i="18"/>
  <c r="AA3170" i="18"/>
  <c r="AA3192" i="18"/>
  <c r="AA3220" i="18"/>
  <c r="AA3245" i="18"/>
  <c r="AA3267" i="18"/>
  <c r="AA3289" i="18"/>
  <c r="AA3314" i="18"/>
  <c r="AA3342" i="18"/>
  <c r="AA3364" i="18"/>
  <c r="AA3389" i="18"/>
  <c r="AA3411" i="18"/>
  <c r="AA3439" i="18"/>
  <c r="AA3461" i="18"/>
  <c r="AA3486" i="18"/>
  <c r="AA3508" i="18"/>
  <c r="AA3536" i="18"/>
  <c r="AA22" i="18"/>
  <c r="AA40" i="18"/>
  <c r="AA59" i="18"/>
  <c r="AA78" i="18"/>
  <c r="AA96" i="18"/>
  <c r="AA114" i="18"/>
  <c r="AA132" i="18"/>
  <c r="AA150" i="18"/>
  <c r="AA168" i="18"/>
  <c r="AA187" i="18"/>
  <c r="AA206" i="18"/>
  <c r="AA224" i="18"/>
  <c r="AA242" i="18"/>
  <c r="AA260" i="18"/>
  <c r="AA278" i="18"/>
  <c r="AA296" i="18"/>
  <c r="AA315" i="18"/>
  <c r="AA334" i="18"/>
  <c r="AA352" i="18"/>
  <c r="AA370" i="18"/>
  <c r="AA388" i="18"/>
  <c r="AA406" i="18"/>
  <c r="AA424" i="18"/>
  <c r="AA443" i="18"/>
  <c r="AA462" i="18"/>
  <c r="AA480" i="18"/>
  <c r="AA498" i="18"/>
  <c r="AA516" i="18"/>
  <c r="AA534" i="18"/>
  <c r="AA552" i="18"/>
  <c r="AA574" i="18"/>
  <c r="AA595" i="18"/>
  <c r="AA615" i="18"/>
  <c r="AA637" i="18"/>
  <c r="AA657" i="18"/>
  <c r="AA677" i="18"/>
  <c r="AA697" i="18"/>
  <c r="AA720" i="18"/>
  <c r="AA741" i="18"/>
  <c r="AA763" i="18"/>
  <c r="AA785" i="18"/>
  <c r="AA806" i="18"/>
  <c r="AA832" i="18"/>
  <c r="AA853" i="18"/>
  <c r="AA875" i="18"/>
  <c r="AA897" i="18"/>
  <c r="AA918" i="18"/>
  <c r="AA944" i="18"/>
  <c r="AA965" i="18"/>
  <c r="AA987" i="18"/>
  <c r="AA1009" i="18"/>
  <c r="AA1033" i="18"/>
  <c r="AA1056" i="18"/>
  <c r="AA1077" i="18"/>
  <c r="AA1099" i="18"/>
  <c r="AA1124" i="18"/>
  <c r="AA1145" i="18"/>
  <c r="AA1168" i="18"/>
  <c r="AA1189" i="18"/>
  <c r="AA1211" i="18"/>
  <c r="AA1236" i="18"/>
  <c r="AA1257" i="18"/>
  <c r="AA1281" i="18"/>
  <c r="AA1303" i="18"/>
  <c r="AA1331" i="18"/>
  <c r="AA1353" i="18"/>
  <c r="AA1378" i="18"/>
  <c r="AA1400" i="18"/>
  <c r="AA1428" i="18"/>
  <c r="AA1453" i="18"/>
  <c r="AA1475" i="18"/>
  <c r="AA1497" i="18"/>
  <c r="AA1522" i="18"/>
  <c r="AA1550" i="18"/>
  <c r="AA1572" i="18"/>
  <c r="AA1597" i="18"/>
  <c r="AA1619" i="18"/>
  <c r="AA1647" i="18"/>
  <c r="AA1669" i="18"/>
  <c r="AA1694" i="18"/>
  <c r="AA1716" i="18"/>
  <c r="AA1744" i="18"/>
  <c r="AA1766" i="18"/>
  <c r="AA1791" i="18"/>
  <c r="AA1813" i="18"/>
  <c r="AA1838" i="18"/>
  <c r="AA1863" i="18"/>
  <c r="AA1888" i="18"/>
  <c r="AA1910" i="18"/>
  <c r="AA1935" i="18"/>
  <c r="AA1960" i="18"/>
  <c r="AA1985" i="18"/>
  <c r="AA2007" i="18"/>
  <c r="AA2032" i="18"/>
  <c r="AA2057" i="18"/>
  <c r="AA2082" i="18"/>
  <c r="AA2104" i="18"/>
  <c r="AA2129" i="18"/>
  <c r="AA2151" i="18"/>
  <c r="AA2179" i="18"/>
  <c r="AA2201" i="18"/>
  <c r="AA2226" i="18"/>
  <c r="AA2248" i="18"/>
  <c r="AA2276" i="18"/>
  <c r="AA2301" i="18"/>
  <c r="AA2323" i="18"/>
  <c r="AA2345" i="18"/>
  <c r="AA2373" i="18"/>
  <c r="AA2398" i="18"/>
  <c r="AA2420" i="18"/>
  <c r="AA2445" i="18"/>
  <c r="AA2467" i="18"/>
  <c r="AA2495" i="18"/>
  <c r="AA2517" i="18"/>
  <c r="AA2542" i="18"/>
  <c r="AA2564" i="18"/>
  <c r="AA2592" i="18"/>
  <c r="AA2614" i="18"/>
  <c r="AA2639" i="18"/>
  <c r="AA2661" i="18"/>
  <c r="AA2689" i="18"/>
  <c r="AA2711" i="18"/>
  <c r="AA2736" i="18"/>
  <c r="AA2758" i="18"/>
  <c r="AA2783" i="18"/>
  <c r="AA2808" i="18"/>
  <c r="AA2833" i="18"/>
  <c r="AA2855" i="18"/>
  <c r="AA2880" i="18"/>
  <c r="AA2905" i="18"/>
  <c r="AA2930" i="18"/>
  <c r="AA2952" i="18"/>
  <c r="AA2977" i="18"/>
  <c r="AA3005" i="18"/>
  <c r="AA3027" i="18"/>
  <c r="AA3049" i="18"/>
  <c r="AA3074" i="18"/>
  <c r="AA3096" i="18"/>
  <c r="AA3124" i="18"/>
  <c r="AA3149" i="18"/>
  <c r="AA3171" i="18"/>
  <c r="AA3193" i="18"/>
  <c r="AA3221" i="18"/>
  <c r="AA3246" i="18"/>
  <c r="AA3268" i="18"/>
  <c r="AA3293" i="18"/>
  <c r="AA3318" i="18"/>
  <c r="AA3343" i="18"/>
  <c r="AA3365" i="18"/>
  <c r="AA3390" i="18"/>
  <c r="AA3412" i="18"/>
  <c r="AA3440" i="18"/>
  <c r="AA3462" i="18"/>
  <c r="AA3487" i="18"/>
  <c r="AA3509" i="18"/>
  <c r="AA3537" i="18"/>
  <c r="AA26" i="18"/>
  <c r="AA42" i="18"/>
  <c r="AA58" i="18"/>
  <c r="AA74" i="18"/>
  <c r="AA90" i="18"/>
  <c r="AA106" i="18"/>
  <c r="AA122" i="18"/>
  <c r="AA138" i="18"/>
  <c r="AA154" i="18"/>
  <c r="AA170" i="18"/>
  <c r="AA186" i="18"/>
  <c r="AA202" i="18"/>
  <c r="AA218" i="18"/>
  <c r="AA234" i="18"/>
  <c r="AA250" i="18"/>
  <c r="AA266" i="18"/>
  <c r="AA282" i="18"/>
  <c r="AA298" i="18"/>
  <c r="AA314" i="18"/>
  <c r="AA330" i="18"/>
  <c r="AA346" i="18"/>
  <c r="AA362" i="18"/>
  <c r="AA378" i="18"/>
  <c r="AA394" i="18"/>
  <c r="AA410" i="18"/>
  <c r="AA426" i="18"/>
  <c r="AA442" i="18"/>
  <c r="AA458" i="18"/>
  <c r="AA474" i="18"/>
  <c r="AA490" i="18"/>
  <c r="AA506" i="18"/>
  <c r="AA522" i="18"/>
  <c r="AA538" i="18"/>
  <c r="AA554" i="18"/>
  <c r="AA573" i="18"/>
  <c r="AA591" i="18"/>
  <c r="AA609" i="18"/>
  <c r="AA627" i="18"/>
  <c r="AA645" i="18"/>
  <c r="AA663" i="18"/>
  <c r="AA681" i="18"/>
  <c r="AA701" i="18"/>
  <c r="AA719" i="18"/>
  <c r="AA737" i="18"/>
  <c r="AA755" i="18"/>
  <c r="AA773" i="18"/>
  <c r="AA791" i="18"/>
  <c r="AA809" i="18"/>
  <c r="AA829" i="18"/>
  <c r="AA847" i="18"/>
  <c r="AA865" i="18"/>
  <c r="AA883" i="18"/>
  <c r="AA901" i="18"/>
  <c r="AA919" i="18"/>
  <c r="AA937" i="18"/>
  <c r="AA957" i="18"/>
  <c r="AA975" i="18"/>
  <c r="AA993" i="18"/>
  <c r="AA1011" i="18"/>
  <c r="AA1029" i="18"/>
  <c r="AA1047" i="18"/>
  <c r="AA1065" i="18"/>
  <c r="AA1085" i="18"/>
  <c r="AA1103" i="18"/>
  <c r="AA1121" i="18"/>
  <c r="AA1139" i="18"/>
  <c r="AA1157" i="18"/>
  <c r="AA1175" i="18"/>
  <c r="AA1193" i="18"/>
  <c r="AA1213" i="18"/>
  <c r="AA1231" i="18"/>
  <c r="AA1249" i="18"/>
  <c r="AA1267" i="18"/>
  <c r="AA1286" i="18"/>
  <c r="AA1305" i="18"/>
  <c r="AA1327" i="18"/>
  <c r="AA1346" i="18"/>
  <c r="AA1365" i="18"/>
  <c r="AA1384" i="18"/>
  <c r="AA1406" i="18"/>
  <c r="AA1425" i="18"/>
  <c r="AA1444" i="18"/>
  <c r="AA1463" i="18"/>
  <c r="AA1485" i="18"/>
  <c r="AA1504" i="18"/>
  <c r="AA1523" i="18"/>
  <c r="AA1542" i="18"/>
  <c r="AA1561" i="18"/>
  <c r="AA1583" i="18"/>
  <c r="AA1602" i="18"/>
  <c r="AA1621" i="18"/>
  <c r="AA1640" i="18"/>
  <c r="AA1662" i="18"/>
  <c r="AA1681" i="18"/>
  <c r="AA1700" i="18"/>
  <c r="AA1719" i="18"/>
  <c r="AA1741" i="18"/>
  <c r="AA1760" i="18"/>
  <c r="AA1779" i="18"/>
  <c r="AA1798" i="18"/>
  <c r="AA1817" i="18"/>
  <c r="AA1839" i="18"/>
  <c r="AA1858" i="18"/>
  <c r="AA1877" i="18"/>
  <c r="AA1896" i="18"/>
  <c r="AA1918" i="18"/>
  <c r="AA1937" i="18"/>
  <c r="AA1956" i="18"/>
  <c r="AA1975" i="18"/>
  <c r="AA1997" i="18"/>
  <c r="AA2016" i="18"/>
  <c r="AA2035" i="18"/>
  <c r="AA2054" i="18"/>
  <c r="AA2073" i="18"/>
  <c r="AA2095" i="18"/>
  <c r="AA2114" i="18"/>
  <c r="AA2133" i="18"/>
  <c r="AA2152" i="18"/>
  <c r="AA2174" i="18"/>
  <c r="AA2193" i="18"/>
  <c r="AA2212" i="18"/>
  <c r="AA2231" i="18"/>
  <c r="AA2253" i="18"/>
  <c r="AA2272" i="18"/>
  <c r="AA2291" i="18"/>
  <c r="AA2310" i="18"/>
  <c r="AA2329" i="18"/>
  <c r="AA2351" i="18"/>
  <c r="AA2370" i="18"/>
  <c r="AA2389" i="18"/>
  <c r="AA2408" i="18"/>
  <c r="AA2430" i="18"/>
  <c r="AA2449" i="18"/>
  <c r="AA2468" i="18"/>
  <c r="AA2487" i="18"/>
  <c r="AA2509" i="18"/>
  <c r="AA2528" i="18"/>
  <c r="AA2547" i="18"/>
  <c r="AA2566" i="18"/>
  <c r="AA2585" i="18"/>
  <c r="AA2607" i="18"/>
  <c r="AA2626" i="18"/>
  <c r="AA2645" i="18"/>
  <c r="AA2664" i="18"/>
  <c r="AA2686" i="18"/>
  <c r="AA2705" i="18"/>
  <c r="AA2724" i="18"/>
  <c r="AA2743" i="18"/>
  <c r="AA2765" i="18"/>
  <c r="AA2784" i="18"/>
  <c r="AA2803" i="18"/>
  <c r="AA2822" i="18"/>
  <c r="AA2841" i="18"/>
  <c r="AA2863" i="18"/>
  <c r="AA2882" i="18"/>
  <c r="AA2901" i="18"/>
  <c r="AA2920" i="18"/>
  <c r="AA2942" i="18"/>
  <c r="AA2961" i="18"/>
  <c r="AA2980" i="18"/>
  <c r="AA2999" i="18"/>
  <c r="AA3021" i="18"/>
  <c r="AA3040" i="18"/>
  <c r="AA3059" i="18"/>
  <c r="AA3078" i="18"/>
  <c r="AA3097" i="18"/>
  <c r="AA3119" i="18"/>
  <c r="AA3138" i="18"/>
  <c r="AA3157" i="18"/>
  <c r="AA3176" i="18"/>
  <c r="AA3198" i="18"/>
  <c r="AA3217" i="18"/>
  <c r="AA3236" i="18"/>
  <c r="AA3255" i="18"/>
  <c r="AA3277" i="18"/>
  <c r="AA3296" i="18"/>
  <c r="AA3315" i="18"/>
  <c r="AA3334" i="18"/>
  <c r="AA3353" i="18"/>
  <c r="AA3375" i="18"/>
  <c r="AA3394" i="18"/>
  <c r="AA3413" i="18"/>
  <c r="AA3432" i="18"/>
  <c r="AA3454" i="18"/>
  <c r="AA3473" i="18"/>
  <c r="AA3492" i="18"/>
  <c r="AA3511" i="18"/>
  <c r="AA3533" i="18"/>
  <c r="AA3552" i="18"/>
  <c r="AA756" i="18"/>
  <c r="AA774" i="18"/>
  <c r="AA792" i="18"/>
  <c r="AA811" i="18"/>
  <c r="AA830" i="18"/>
  <c r="AA848" i="18"/>
  <c r="AA866" i="18"/>
  <c r="AA884" i="18"/>
  <c r="AA902" i="18"/>
  <c r="AA920" i="18"/>
  <c r="AA939" i="18"/>
  <c r="AA958" i="18"/>
  <c r="AA976" i="18"/>
  <c r="AA994" i="18"/>
  <c r="AA1012" i="18"/>
  <c r="AA1030" i="18"/>
  <c r="AA1048" i="18"/>
  <c r="AA1067" i="18"/>
  <c r="AA1086" i="18"/>
  <c r="AA1104" i="18"/>
  <c r="AA1122" i="18"/>
  <c r="AA1140" i="18"/>
  <c r="AA1158" i="18"/>
  <c r="AA1176" i="18"/>
  <c r="AA1195" i="18"/>
  <c r="AA1214" i="18"/>
  <c r="AA1232" i="18"/>
  <c r="AA1250" i="18"/>
  <c r="AA1268" i="18"/>
  <c r="AA1287" i="18"/>
  <c r="AA1309" i="18"/>
  <c r="AA1328" i="18"/>
  <c r="AA1347" i="18"/>
  <c r="AA1366" i="18"/>
  <c r="AA1385" i="18"/>
  <c r="AA1407" i="18"/>
  <c r="AA1426" i="18"/>
  <c r="AA1445" i="18"/>
  <c r="AA1464" i="18"/>
  <c r="AA1486" i="18"/>
  <c r="AA1505" i="18"/>
  <c r="AA1524" i="18"/>
  <c r="AA1543" i="18"/>
  <c r="AA1565" i="18"/>
  <c r="AA1584" i="18"/>
  <c r="AA1603" i="18"/>
  <c r="AA1622" i="18"/>
  <c r="AA1641" i="18"/>
  <c r="AA1663" i="18"/>
  <c r="AA1682" i="18"/>
  <c r="AA1701" i="18"/>
  <c r="AA1720" i="18"/>
  <c r="AA1742" i="18"/>
  <c r="AA1761" i="18"/>
  <c r="AA1780" i="18"/>
  <c r="AA1799" i="18"/>
  <c r="AA1821" i="18"/>
  <c r="AA1840" i="18"/>
  <c r="AA1859" i="18"/>
  <c r="AA1878" i="18"/>
  <c r="AA1897" i="18"/>
  <c r="AA1919" i="18"/>
  <c r="AA1938" i="18"/>
  <c r="AA1957" i="18"/>
  <c r="AA1976" i="18"/>
  <c r="AA1998" i="18"/>
  <c r="AA2017" i="18"/>
  <c r="AA2036" i="18"/>
  <c r="AA2055" i="18"/>
  <c r="AA2077" i="18"/>
  <c r="AA2096" i="18"/>
  <c r="AA2115" i="18"/>
  <c r="AA2134" i="18"/>
  <c r="AA2153" i="18"/>
  <c r="AA2175" i="18"/>
  <c r="AA2194" i="18"/>
  <c r="AA2213" i="18"/>
  <c r="AA2232" i="18"/>
  <c r="AA2254" i="18"/>
  <c r="AA2273" i="18"/>
  <c r="AA2292" i="18"/>
  <c r="AA2311" i="18"/>
  <c r="AA2333" i="18"/>
  <c r="AA2352" i="18"/>
  <c r="AA2371" i="18"/>
  <c r="AA2390" i="18"/>
  <c r="AA2409" i="18"/>
  <c r="AA2431" i="18"/>
  <c r="AA2450" i="18"/>
  <c r="AA2469" i="18"/>
  <c r="AA2488" i="18"/>
  <c r="AA2510" i="18"/>
  <c r="AA2529" i="18"/>
  <c r="AA2548" i="18"/>
  <c r="AA2567" i="18"/>
  <c r="AA2589" i="18"/>
  <c r="AA2608" i="18"/>
  <c r="AA2627" i="18"/>
  <c r="AA2646" i="18"/>
  <c r="AA2665" i="18"/>
  <c r="AA2687" i="18"/>
  <c r="AA2706" i="18"/>
  <c r="AA2725" i="18"/>
  <c r="AA2744" i="18"/>
  <c r="AA2766" i="18"/>
  <c r="AA2785" i="18"/>
  <c r="AA2804" i="18"/>
  <c r="AA2823" i="18"/>
  <c r="AA2845" i="18"/>
  <c r="AA2864" i="18"/>
  <c r="AA2883" i="18"/>
  <c r="AA2902" i="18"/>
  <c r="AA2921" i="18"/>
  <c r="AA2943" i="18"/>
  <c r="AA2962" i="18"/>
  <c r="AA2981" i="18"/>
  <c r="AA3000" i="18"/>
  <c r="AA3022" i="18"/>
  <c r="AA3041" i="18"/>
  <c r="AA3060" i="18"/>
  <c r="AA3079" i="18"/>
  <c r="AA3101" i="18"/>
  <c r="AA3120" i="18"/>
  <c r="AA3139" i="18"/>
  <c r="AA3158" i="18"/>
  <c r="AA3177" i="18"/>
  <c r="AA3199" i="18"/>
  <c r="AA3218" i="18"/>
  <c r="AA3237" i="18"/>
  <c r="AA3256" i="18"/>
  <c r="AA3278" i="18"/>
  <c r="AA3297" i="18"/>
  <c r="AA3316" i="18"/>
  <c r="AA3335" i="18"/>
  <c r="AA3357" i="18"/>
  <c r="AA3376" i="18"/>
  <c r="AA3395" i="18"/>
  <c r="AA3414" i="18"/>
  <c r="AA3433" i="18"/>
  <c r="AA3455" i="18"/>
  <c r="AA3474" i="18"/>
  <c r="AA3493" i="18"/>
  <c r="AA3512" i="18"/>
  <c r="AA3534" i="18"/>
  <c r="AA28" i="18"/>
  <c r="AA44" i="18"/>
  <c r="AA60" i="18"/>
  <c r="AA76" i="18"/>
  <c r="AA92" i="18"/>
  <c r="AA108" i="18"/>
  <c r="AA124" i="18"/>
  <c r="AA140" i="18"/>
  <c r="AA156" i="18"/>
  <c r="AA172" i="18"/>
  <c r="AA188" i="18"/>
  <c r="AA204" i="18"/>
  <c r="AA220" i="18"/>
  <c r="AA236" i="18"/>
  <c r="AA252" i="18"/>
  <c r="AA268" i="18"/>
  <c r="AA284" i="18"/>
  <c r="AA300" i="18"/>
  <c r="AA316" i="18"/>
  <c r="AA332" i="18"/>
  <c r="AA348" i="18"/>
  <c r="AA364" i="18"/>
  <c r="AA380" i="18"/>
  <c r="AA396" i="18"/>
  <c r="AA412" i="18"/>
  <c r="AA428" i="18"/>
  <c r="AA444" i="18"/>
  <c r="AA460" i="18"/>
  <c r="AA476" i="18"/>
  <c r="AA492" i="18"/>
  <c r="AA508" i="18"/>
  <c r="AA524" i="18"/>
  <c r="AA540" i="18"/>
  <c r="AA557" i="18"/>
  <c r="AA575" i="18"/>
  <c r="AA593" i="18"/>
  <c r="AA611" i="18"/>
  <c r="AA629" i="18"/>
  <c r="AA647" i="18"/>
  <c r="AA665" i="18"/>
  <c r="AA685" i="18"/>
  <c r="AA703" i="18"/>
  <c r="AA721" i="18"/>
  <c r="AA739" i="18"/>
  <c r="AA757" i="18"/>
  <c r="AA775" i="18"/>
  <c r="AA793" i="18"/>
  <c r="AA813" i="18"/>
  <c r="AA831" i="18"/>
  <c r="AA849" i="18"/>
  <c r="AA867" i="18"/>
  <c r="AA885" i="18"/>
  <c r="AA903" i="18"/>
  <c r="AA921" i="18"/>
  <c r="AA941" i="18"/>
  <c r="AA959" i="18"/>
  <c r="AA977" i="18"/>
  <c r="AA995" i="18"/>
  <c r="AA1013" i="18"/>
  <c r="AA1031" i="18"/>
  <c r="AA1049" i="18"/>
  <c r="AA1069" i="18"/>
  <c r="AA1087" i="18"/>
  <c r="AA1105" i="18"/>
  <c r="AA1123" i="18"/>
  <c r="AA1141" i="18"/>
  <c r="AA1159" i="18"/>
  <c r="AA1177" i="18"/>
  <c r="AA1197" i="18"/>
  <c r="AA1215" i="18"/>
  <c r="AA1233" i="18"/>
  <c r="AA1251" i="18"/>
  <c r="AA1269" i="18"/>
  <c r="AA1288" i="18"/>
  <c r="AA1310" i="18"/>
  <c r="AA1329" i="18"/>
  <c r="AA1348" i="18"/>
  <c r="AA1367" i="18"/>
  <c r="AA1389" i="18"/>
  <c r="AA1408" i="18"/>
  <c r="AA1427" i="18"/>
  <c r="AA1446" i="18"/>
  <c r="AA1465" i="18"/>
  <c r="AA1487" i="18"/>
  <c r="AA1506" i="18"/>
  <c r="AA1525" i="18"/>
  <c r="AA1544" i="18"/>
  <c r="AA1566" i="18"/>
  <c r="AA1585" i="18"/>
  <c r="AA1604" i="18"/>
  <c r="AA1623" i="18"/>
  <c r="AA1645" i="18"/>
  <c r="AA1664" i="18"/>
  <c r="AA1683" i="18"/>
  <c r="AA1702" i="18"/>
  <c r="AA1721" i="18"/>
  <c r="AA1743" i="18"/>
  <c r="AA1762" i="18"/>
  <c r="AA1781" i="18"/>
  <c r="AA1800" i="18"/>
  <c r="AA1822" i="18"/>
  <c r="AA1841" i="18"/>
  <c r="AA1860" i="18"/>
  <c r="AA1879" i="18"/>
  <c r="AA1901" i="18"/>
  <c r="AA1920" i="18"/>
  <c r="AA1939" i="18"/>
  <c r="AA1958" i="18"/>
  <c r="AA1977" i="18"/>
  <c r="AA1999" i="18"/>
  <c r="AA2018" i="18"/>
  <c r="AA2037" i="18"/>
  <c r="AA2056" i="18"/>
  <c r="AA2078" i="18"/>
  <c r="AA2097" i="18"/>
  <c r="AA2116" i="18"/>
  <c r="AA2135" i="18"/>
  <c r="AA2157" i="18"/>
  <c r="AA2176" i="18"/>
  <c r="AA2195" i="18"/>
  <c r="AA2214" i="18"/>
  <c r="AA2233" i="18"/>
  <c r="AA2255" i="18"/>
  <c r="AA2274" i="18"/>
  <c r="AA2293" i="18"/>
  <c r="AA2312" i="18"/>
  <c r="AA2334" i="18"/>
  <c r="AA2353" i="18"/>
  <c r="AA2372" i="18"/>
  <c r="AA2391" i="18"/>
  <c r="AA2413" i="18"/>
  <c r="AA2432" i="18"/>
  <c r="AA2451" i="18"/>
  <c r="AA2470" i="18"/>
  <c r="AA2489" i="18"/>
  <c r="AA2511" i="18"/>
  <c r="AA2530" i="18"/>
  <c r="AA2549" i="18"/>
  <c r="AA2568" i="18"/>
  <c r="AA2590" i="18"/>
  <c r="AA2609" i="18"/>
  <c r="AA2628" i="18"/>
  <c r="AA2647" i="18"/>
  <c r="AA2669" i="18"/>
  <c r="AA2688" i="18"/>
  <c r="AA2707" i="18"/>
  <c r="AA2726" i="18"/>
  <c r="AA2745" i="18"/>
  <c r="AA2767" i="18"/>
  <c r="AA2786" i="18"/>
  <c r="AA2805" i="18"/>
  <c r="AA2824" i="18"/>
  <c r="AA2846" i="18"/>
  <c r="AA2865" i="18"/>
  <c r="AA2884" i="18"/>
  <c r="AA2903" i="18"/>
  <c r="AA2925" i="18"/>
  <c r="AA2944" i="18"/>
  <c r="AA2963" i="18"/>
  <c r="AA2982" i="18"/>
  <c r="AA3001" i="18"/>
  <c r="AA3023" i="18"/>
  <c r="AA3042" i="18"/>
  <c r="AA3061" i="18"/>
  <c r="AA3080" i="18"/>
  <c r="AA3102" i="18"/>
  <c r="AA3121" i="18"/>
  <c r="AA3140" i="18"/>
  <c r="AA3159" i="18"/>
  <c r="AA3181" i="18"/>
  <c r="AA3200" i="18"/>
  <c r="AA3219" i="18"/>
  <c r="AA3238" i="18"/>
  <c r="AA3257" i="18"/>
  <c r="AA3279" i="18"/>
  <c r="AA3298" i="18"/>
  <c r="AA3317" i="18"/>
  <c r="AA3336" i="18"/>
  <c r="AA3358" i="18"/>
  <c r="AA3377" i="18"/>
  <c r="AA3396" i="18"/>
  <c r="AA3415" i="18"/>
  <c r="AA3437" i="18"/>
  <c r="AA3456" i="18"/>
  <c r="AA3475" i="18"/>
  <c r="AA3494" i="18"/>
  <c r="AA3513" i="18"/>
  <c r="AA3535" i="18"/>
  <c r="AA570" i="18"/>
  <c r="AA586" i="18"/>
  <c r="AA602" i="18"/>
  <c r="AA618" i="18"/>
  <c r="AA634" i="18"/>
  <c r="AA650" i="18"/>
  <c r="AA666" i="18"/>
  <c r="AA682" i="18"/>
  <c r="AA698" i="18"/>
  <c r="AA714" i="18"/>
  <c r="AA730" i="18"/>
  <c r="AA746" i="18"/>
  <c r="AA762" i="18"/>
  <c r="AA778" i="18"/>
  <c r="AA794" i="18"/>
  <c r="AA810" i="18"/>
  <c r="AA826" i="18"/>
  <c r="AA842" i="18"/>
  <c r="AA858" i="18"/>
  <c r="AA874" i="18"/>
  <c r="AA890" i="18"/>
  <c r="AA906" i="18"/>
  <c r="AA922" i="18"/>
  <c r="AA938" i="18"/>
  <c r="AA954" i="18"/>
  <c r="AA970" i="18"/>
  <c r="AA986" i="18"/>
  <c r="AA1002" i="18"/>
  <c r="AA1018" i="18"/>
  <c r="AA1034" i="18"/>
  <c r="AA1050" i="18"/>
  <c r="AA1066" i="18"/>
  <c r="AA1082" i="18"/>
  <c r="AA1098" i="18"/>
  <c r="AA1114" i="18"/>
  <c r="AA1130" i="18"/>
  <c r="AA1146" i="18"/>
  <c r="AA1162" i="18"/>
  <c r="AA1178" i="18"/>
  <c r="AA1194" i="18"/>
  <c r="AA1210" i="18"/>
  <c r="AA1226" i="18"/>
  <c r="AA1242" i="18"/>
  <c r="AA1258" i="18"/>
  <c r="AA1274" i="18"/>
  <c r="AA1290" i="18"/>
  <c r="AA1306" i="18"/>
  <c r="AA1322" i="18"/>
  <c r="AA1338" i="18"/>
  <c r="AA1354" i="18"/>
  <c r="AA1370" i="18"/>
  <c r="AA1386" i="18"/>
  <c r="AA1402" i="18"/>
  <c r="AA1418" i="18"/>
  <c r="AA1434" i="18"/>
  <c r="AA1450" i="18"/>
  <c r="AA1466" i="18"/>
  <c r="AA1482" i="18"/>
  <c r="AA1498" i="18"/>
  <c r="AA1514" i="18"/>
  <c r="AA1530" i="18"/>
  <c r="AA1546" i="18"/>
  <c r="AA1562" i="18"/>
  <c r="AA1578" i="18"/>
  <c r="AA1594" i="18"/>
  <c r="AA1610" i="18"/>
  <c r="AA1626" i="18"/>
  <c r="AA1642" i="18"/>
  <c r="AA1658" i="18"/>
  <c r="AA1674" i="18"/>
  <c r="AA1690" i="18"/>
  <c r="AA1706" i="18"/>
  <c r="AA1722" i="18"/>
  <c r="AA1738" i="18"/>
  <c r="AA1754" i="18"/>
  <c r="AA1770" i="18"/>
  <c r="AA1786" i="18"/>
  <c r="AA1802" i="18"/>
  <c r="AA1818" i="18"/>
  <c r="AA1834" i="18"/>
  <c r="AA1850" i="18"/>
  <c r="AA1866" i="18"/>
  <c r="AA1882" i="18"/>
  <c r="AA1898" i="18"/>
  <c r="AA1914" i="18"/>
  <c r="AA1930" i="18"/>
  <c r="AA1946" i="18"/>
  <c r="AA1962" i="18"/>
  <c r="AA1978" i="18"/>
  <c r="AA1994" i="18"/>
  <c r="AA2010" i="18"/>
  <c r="AA2026" i="18"/>
  <c r="AA2042" i="18"/>
  <c r="AA2058" i="18"/>
  <c r="AA2074" i="18"/>
  <c r="AA2090" i="18"/>
  <c r="AA2106" i="18"/>
  <c r="AA2122" i="18"/>
  <c r="AA2138" i="18"/>
  <c r="AA2154" i="18"/>
  <c r="AA2170" i="18"/>
  <c r="AA2186" i="18"/>
  <c r="AA2202" i="18"/>
  <c r="AA2218" i="18"/>
  <c r="AA2234" i="18"/>
  <c r="AA2250" i="18"/>
  <c r="AA2266" i="18"/>
  <c r="AA2282" i="18"/>
  <c r="AA2298" i="18"/>
  <c r="AA2314" i="18"/>
  <c r="AA2330" i="18"/>
  <c r="AA2346" i="18"/>
  <c r="AA2362" i="18"/>
  <c r="AA2378" i="18"/>
  <c r="AA2394" i="18"/>
  <c r="AA2410" i="18"/>
  <c r="AA2426" i="18"/>
  <c r="AA2442" i="18"/>
  <c r="AA2458" i="18"/>
  <c r="AA2474" i="18"/>
  <c r="AA2490" i="18"/>
  <c r="AA2506" i="18"/>
  <c r="AA2522" i="18"/>
  <c r="AA2538" i="18"/>
  <c r="AA2554" i="18"/>
  <c r="AA2570" i="18"/>
  <c r="AA2586" i="18"/>
  <c r="AA2602" i="18"/>
  <c r="AA2618" i="18"/>
  <c r="AA2634" i="18"/>
  <c r="AA2650" i="18"/>
  <c r="AA2666" i="18"/>
  <c r="AA2682" i="18"/>
  <c r="AA2698" i="18"/>
  <c r="AA2714" i="18"/>
  <c r="AA2730" i="18"/>
  <c r="AA2746" i="18"/>
  <c r="AA2762" i="18"/>
  <c r="AA2778" i="18"/>
  <c r="AA2794" i="18"/>
  <c r="AA2810" i="18"/>
  <c r="AA2826" i="18"/>
  <c r="AA2842" i="18"/>
  <c r="AA2858" i="18"/>
  <c r="AA2874" i="18"/>
  <c r="AA2890" i="18"/>
  <c r="AA2906" i="18"/>
  <c r="AA2922" i="18"/>
  <c r="AA2938" i="18"/>
  <c r="AA2954" i="18"/>
  <c r="AA2970" i="18"/>
  <c r="AA2986" i="18"/>
  <c r="AA3002" i="18"/>
  <c r="AA3018" i="18"/>
  <c r="AA3034" i="18"/>
  <c r="AA3050" i="18"/>
  <c r="AA3066" i="18"/>
  <c r="AA3082" i="18"/>
  <c r="AA3098" i="18"/>
  <c r="AA3114" i="18"/>
  <c r="AA3130" i="18"/>
  <c r="AA3146" i="18"/>
  <c r="AA3162" i="18"/>
  <c r="AA3178" i="18"/>
  <c r="AA3194" i="18"/>
  <c r="AA3210" i="18"/>
  <c r="AA3226" i="18"/>
  <c r="AA3242" i="18"/>
  <c r="AA3258" i="18"/>
  <c r="AA3274" i="18"/>
  <c r="AA3290" i="18"/>
  <c r="AA3306" i="18"/>
  <c r="AA3322" i="18"/>
  <c r="AA3338" i="18"/>
  <c r="AA3354" i="18"/>
  <c r="AA3370" i="18"/>
  <c r="AA3386" i="18"/>
  <c r="AA3402" i="18"/>
  <c r="AA3418" i="18"/>
  <c r="AA3434" i="18"/>
  <c r="AA3450" i="18"/>
  <c r="AA3466" i="18"/>
  <c r="AA3482" i="18"/>
  <c r="AA3498" i="18"/>
  <c r="AA3514" i="18"/>
  <c r="AA3530" i="18"/>
  <c r="AA3546" i="18"/>
  <c r="AA1275" i="18"/>
  <c r="AA1291" i="18"/>
  <c r="AA1307" i="18"/>
  <c r="AA1323" i="18"/>
  <c r="AA1339" i="18"/>
  <c r="AA1355" i="18"/>
  <c r="AA1371" i="18"/>
  <c r="AA1387" i="18"/>
  <c r="AA1403" i="18"/>
  <c r="AA1419" i="18"/>
  <c r="AA1435" i="18"/>
  <c r="AA1451" i="18"/>
  <c r="AA1467" i="18"/>
  <c r="AA1483" i="18"/>
  <c r="AA1499" i="18"/>
  <c r="AA1515" i="18"/>
  <c r="AA1531" i="18"/>
  <c r="AA1547" i="18"/>
  <c r="AA1563" i="18"/>
  <c r="AA1579" i="18"/>
  <c r="AA1595" i="18"/>
  <c r="AA1611" i="18"/>
  <c r="AA1627" i="18"/>
  <c r="AA1643" i="18"/>
  <c r="AA1659" i="18"/>
  <c r="AA1675" i="18"/>
  <c r="AA1691" i="18"/>
  <c r="AA1707" i="18"/>
  <c r="AA1723" i="18"/>
  <c r="AA1739" i="18"/>
  <c r="AA1755" i="18"/>
  <c r="AA1771" i="18"/>
  <c r="AA1787" i="18"/>
  <c r="AA1803" i="18"/>
  <c r="AA1819" i="18"/>
  <c r="AA1835" i="18"/>
  <c r="AA1851" i="18"/>
  <c r="AA1867" i="18"/>
  <c r="AA1883" i="18"/>
  <c r="AA1899" i="18"/>
  <c r="AA1915" i="18"/>
  <c r="AA1931" i="18"/>
  <c r="AA1947" i="18"/>
  <c r="AA1963" i="18"/>
  <c r="AA1979" i="18"/>
  <c r="AA1995" i="18"/>
  <c r="AA2011" i="18"/>
  <c r="AA2027" i="18"/>
  <c r="AA2043" i="18"/>
  <c r="AA2059" i="18"/>
  <c r="AA2075" i="18"/>
  <c r="AA2091" i="18"/>
  <c r="AA2107" i="18"/>
  <c r="AA2123" i="18"/>
  <c r="AA2139" i="18"/>
  <c r="AA2155" i="18"/>
  <c r="AA2171" i="18"/>
  <c r="AA2187" i="18"/>
  <c r="AA2203" i="18"/>
  <c r="AA2219" i="18"/>
  <c r="AA2235" i="18"/>
  <c r="AA2251" i="18"/>
  <c r="AA2267" i="18"/>
  <c r="AA2283" i="18"/>
  <c r="AA2299" i="18"/>
  <c r="AA2315" i="18"/>
  <c r="AA2331" i="18"/>
  <c r="AA2347" i="18"/>
  <c r="AA2363" i="18"/>
  <c r="AA2379" i="18"/>
  <c r="AA2395" i="18"/>
  <c r="AA2411" i="18"/>
  <c r="AA2427" i="18"/>
  <c r="AA2443" i="18"/>
  <c r="AA2459" i="18"/>
  <c r="AA2475" i="18"/>
  <c r="AA2491" i="18"/>
  <c r="AA2507" i="18"/>
  <c r="AA2523" i="18"/>
  <c r="AA2539" i="18"/>
  <c r="AA2555" i="18"/>
  <c r="AA2571" i="18"/>
  <c r="AA2587" i="18"/>
  <c r="AA2603" i="18"/>
  <c r="AA2619" i="18"/>
  <c r="AA2635" i="18"/>
  <c r="AA2651" i="18"/>
  <c r="AA2667" i="18"/>
  <c r="AA2683" i="18"/>
  <c r="AA2699" i="18"/>
  <c r="AA2715" i="18"/>
  <c r="AA2731" i="18"/>
  <c r="AA2747" i="18"/>
  <c r="AA2763" i="18"/>
  <c r="AA2779" i="18"/>
  <c r="AA2795" i="18"/>
  <c r="AA2811" i="18"/>
  <c r="AA2827" i="18"/>
  <c r="AA2843" i="18"/>
  <c r="AA2859" i="18"/>
  <c r="AA2875" i="18"/>
  <c r="AA2891" i="18"/>
  <c r="AA2907" i="18"/>
  <c r="AA2923" i="18"/>
  <c r="AA2939" i="18"/>
  <c r="AA2955" i="18"/>
  <c r="AA2971" i="18"/>
  <c r="AA2987" i="18"/>
  <c r="AA3003" i="18"/>
  <c r="AA3019" i="18"/>
  <c r="AA3035" i="18"/>
  <c r="AA3051" i="18"/>
  <c r="AA3067" i="18"/>
  <c r="AA3083" i="18"/>
  <c r="AA3099" i="18"/>
  <c r="AA3115" i="18"/>
  <c r="AA3131" i="18"/>
  <c r="AA3147" i="18"/>
  <c r="AA3163" i="18"/>
  <c r="AA3179" i="18"/>
  <c r="AA3195" i="18"/>
  <c r="AA3211" i="18"/>
  <c r="AA3227" i="18"/>
  <c r="AA3243" i="18"/>
  <c r="AA3259" i="18"/>
  <c r="AA3275" i="18"/>
  <c r="AA3291" i="18"/>
  <c r="AA3307" i="18"/>
  <c r="AA3323" i="18"/>
  <c r="AA3339" i="18"/>
  <c r="AA3355" i="18"/>
  <c r="AA3371" i="18"/>
  <c r="AA3387" i="18"/>
  <c r="AA3403" i="18"/>
  <c r="AA3419" i="18"/>
  <c r="AA3435" i="18"/>
  <c r="AA3451" i="18"/>
  <c r="AA3467" i="18"/>
  <c r="AA3483" i="18"/>
  <c r="AA3499" i="18"/>
  <c r="AA3515" i="18"/>
  <c r="AA3531" i="18"/>
  <c r="AA3547" i="18"/>
  <c r="AA556" i="18"/>
  <c r="AA572" i="18"/>
  <c r="AA588" i="18"/>
  <c r="AA604" i="18"/>
  <c r="AA620" i="18"/>
  <c r="AA636" i="18"/>
  <c r="AA652" i="18"/>
  <c r="AA668" i="18"/>
  <c r="AA684" i="18"/>
  <c r="AA700" i="18"/>
  <c r="AA716" i="18"/>
  <c r="AA732" i="18"/>
  <c r="AA748" i="18"/>
  <c r="AA764" i="18"/>
  <c r="AA780" i="18"/>
  <c r="AA796" i="18"/>
  <c r="AA812" i="18"/>
  <c r="AA828" i="18"/>
  <c r="AA844" i="18"/>
  <c r="AA860" i="18"/>
  <c r="AA876" i="18"/>
  <c r="AA892" i="18"/>
  <c r="AA908" i="18"/>
  <c r="AA924" i="18"/>
  <c r="AA940" i="18"/>
  <c r="AA956" i="18"/>
  <c r="AA972" i="18"/>
  <c r="AA988" i="18"/>
  <c r="AA1004" i="18"/>
  <c r="AA1020" i="18"/>
  <c r="AA1036" i="18"/>
  <c r="AA1052" i="18"/>
  <c r="AA1068" i="18"/>
  <c r="AA1084" i="18"/>
  <c r="AA1100" i="18"/>
  <c r="AA1116" i="18"/>
  <c r="AA1132" i="18"/>
  <c r="AA1148" i="18"/>
  <c r="AA1164" i="18"/>
  <c r="AA1180" i="18"/>
  <c r="AA1196" i="18"/>
  <c r="AA1212" i="18"/>
  <c r="AA1228" i="18"/>
  <c r="AA1244" i="18"/>
  <c r="AA1260" i="18"/>
  <c r="AA1276" i="18"/>
  <c r="AA1292" i="18"/>
  <c r="AA1308" i="18"/>
  <c r="AA1324" i="18"/>
  <c r="AA1340" i="18"/>
  <c r="AA1356" i="18"/>
  <c r="AA1372" i="18"/>
  <c r="AA1388" i="18"/>
  <c r="AA1404" i="18"/>
  <c r="AA1420" i="18"/>
  <c r="AA1436" i="18"/>
  <c r="AA1452" i="18"/>
  <c r="AA1468" i="18"/>
  <c r="AA1484" i="18"/>
  <c r="AA1500" i="18"/>
  <c r="AA1516" i="18"/>
  <c r="AA1532" i="18"/>
  <c r="AA1548" i="18"/>
  <c r="AA1564" i="18"/>
  <c r="AA1580" i="18"/>
  <c r="AA1596" i="18"/>
  <c r="AA1612" i="18"/>
  <c r="AA1628" i="18"/>
  <c r="AA1644" i="18"/>
  <c r="AA1660" i="18"/>
  <c r="AA1676" i="18"/>
  <c r="AA1692" i="18"/>
  <c r="AA1708" i="18"/>
  <c r="AA1724" i="18"/>
  <c r="AA1740" i="18"/>
  <c r="AA1756" i="18"/>
  <c r="AA1772" i="18"/>
  <c r="AA1788" i="18"/>
  <c r="AA1804" i="18"/>
  <c r="AA1820" i="18"/>
  <c r="AA1836" i="18"/>
  <c r="AA1852" i="18"/>
  <c r="AA1868" i="18"/>
  <c r="AA1884" i="18"/>
  <c r="AA1900" i="18"/>
  <c r="AA1916" i="18"/>
  <c r="AA1932" i="18"/>
  <c r="AA1948" i="18"/>
  <c r="AA1964" i="18"/>
  <c r="AA1980" i="18"/>
  <c r="AA1996" i="18"/>
  <c r="AA2012" i="18"/>
  <c r="AA2028" i="18"/>
  <c r="AA2044" i="18"/>
  <c r="AA2060" i="18"/>
  <c r="AA2076" i="18"/>
  <c r="AA2092" i="18"/>
  <c r="AA2108" i="18"/>
  <c r="AA2124" i="18"/>
  <c r="AA2140" i="18"/>
  <c r="AA2156" i="18"/>
  <c r="AA2172" i="18"/>
  <c r="AA2188" i="18"/>
  <c r="AA2204" i="18"/>
  <c r="AA2220" i="18"/>
  <c r="AA2236" i="18"/>
  <c r="AA2252" i="18"/>
  <c r="AA2268" i="18"/>
  <c r="AA2284" i="18"/>
  <c r="AA2300" i="18"/>
  <c r="AA2316" i="18"/>
  <c r="AA2332" i="18"/>
  <c r="AA2348" i="18"/>
  <c r="AA2364" i="18"/>
  <c r="AA2380" i="18"/>
  <c r="AA2396" i="18"/>
  <c r="AA2412" i="18"/>
  <c r="AA2428" i="18"/>
  <c r="AA2444" i="18"/>
  <c r="AA2460" i="18"/>
  <c r="AA2476" i="18"/>
  <c r="AA2492" i="18"/>
  <c r="AA2508" i="18"/>
  <c r="AA2524" i="18"/>
  <c r="AA2540" i="18"/>
  <c r="AA2556" i="18"/>
  <c r="AA2572" i="18"/>
  <c r="AA2588" i="18"/>
  <c r="AA2604" i="18"/>
  <c r="AA2620" i="18"/>
  <c r="AA2636" i="18"/>
  <c r="AA2652" i="18"/>
  <c r="AA2668" i="18"/>
  <c r="AA2684" i="18"/>
  <c r="AA2700" i="18"/>
  <c r="AA2716" i="18"/>
  <c r="AA2732" i="18"/>
  <c r="AA2748" i="18"/>
  <c r="AA2764" i="18"/>
  <c r="AA2780" i="18"/>
  <c r="AA2796" i="18"/>
  <c r="AA2812" i="18"/>
  <c r="AA2828" i="18"/>
  <c r="AA2844" i="18"/>
  <c r="AA2860" i="18"/>
  <c r="AA2876" i="18"/>
  <c r="AA2892" i="18"/>
  <c r="AA2908" i="18"/>
  <c r="AA2924" i="18"/>
  <c r="AA2940" i="18"/>
  <c r="AA2956" i="18"/>
  <c r="AA2972" i="18"/>
  <c r="AA2988" i="18"/>
  <c r="AA3004" i="18"/>
  <c r="AA3020" i="18"/>
  <c r="AA3036" i="18"/>
  <c r="AA3052" i="18"/>
  <c r="AA3068" i="18"/>
  <c r="AA3084" i="18"/>
  <c r="AA3100" i="18"/>
  <c r="AA3116" i="18"/>
  <c r="AA3132" i="18"/>
  <c r="AA3148" i="18"/>
  <c r="AA3164" i="18"/>
  <c r="AA3180" i="18"/>
  <c r="AA3196" i="18"/>
  <c r="AA3212" i="18"/>
  <c r="AA3228" i="18"/>
  <c r="AA3244" i="18"/>
  <c r="AA3260" i="18"/>
  <c r="AA3276" i="18"/>
  <c r="AA3292" i="18"/>
  <c r="AA3308" i="18"/>
  <c r="AA3324" i="18"/>
  <c r="AA3340" i="18"/>
  <c r="AA3356" i="18"/>
  <c r="AA3372" i="18"/>
  <c r="AA3388" i="18"/>
  <c r="AA3404" i="18"/>
  <c r="AA3420" i="18"/>
  <c r="AA3436" i="18"/>
  <c r="AA3452" i="18"/>
  <c r="AA3468" i="18"/>
  <c r="AA3484" i="18"/>
  <c r="AA3500" i="18"/>
  <c r="AA3516" i="18"/>
  <c r="AA3532" i="18"/>
  <c r="AA3548" i="18"/>
  <c r="K10" i="18"/>
  <c r="J10" i="18"/>
  <c r="H10" i="18"/>
  <c r="G10" i="18"/>
  <c r="K11" i="18"/>
  <c r="J11" i="18"/>
  <c r="I10" i="18" l="1"/>
  <c r="H11" i="18"/>
  <c r="G11" i="18"/>
  <c r="K13" i="18"/>
  <c r="J13" i="18"/>
  <c r="I11" i="18" l="1"/>
  <c r="H13" i="18"/>
  <c r="G13" i="18"/>
  <c r="I13" i="18" s="1"/>
  <c r="K14" i="18"/>
  <c r="J14" i="18"/>
  <c r="H14" i="18"/>
  <c r="G14" i="18"/>
  <c r="I14" i="18" s="1"/>
  <c r="K15" i="18"/>
  <c r="J15" i="18"/>
  <c r="H15" i="18"/>
  <c r="G15" i="18"/>
  <c r="I15" i="18" s="1"/>
  <c r="K12" i="18"/>
  <c r="J12" i="18"/>
  <c r="H12" i="18"/>
  <c r="G12" i="18"/>
  <c r="I12" i="18" s="1"/>
  <c r="K16" i="18"/>
  <c r="J16" i="18"/>
  <c r="H16" i="18"/>
  <c r="G16" i="18"/>
  <c r="I16" i="18" s="1"/>
  <c r="J3" i="18"/>
  <c r="J6" i="18"/>
  <c r="K5" i="18"/>
  <c r="K4" i="18"/>
  <c r="J5" i="18"/>
  <c r="K6" i="18"/>
  <c r="K9" i="18"/>
  <c r="K7" i="18"/>
  <c r="J4" i="18"/>
  <c r="J7" i="18"/>
  <c r="J9" i="18"/>
  <c r="K8" i="18"/>
  <c r="J8" i="18"/>
  <c r="K3" i="18"/>
  <c r="G4" i="18"/>
  <c r="H4" i="18"/>
  <c r="H8" i="18"/>
  <c r="G8" i="18"/>
  <c r="I8" i="18" s="1"/>
  <c r="G6" i="18"/>
  <c r="H9" i="18"/>
  <c r="G9" i="18"/>
  <c r="H6" i="18"/>
  <c r="I6" i="18" s="1"/>
  <c r="G7" i="18"/>
  <c r="G5" i="18"/>
  <c r="H3" i="18"/>
  <c r="G3" i="18"/>
  <c r="H5" i="18"/>
  <c r="H7" i="18"/>
  <c r="I3" i="18" l="1"/>
  <c r="I9" i="18"/>
  <c r="I5" i="18"/>
  <c r="I7" i="18"/>
  <c r="I4"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<sst xmlns="http://schemas.openxmlformats.org/spreadsheetml/2006/main" count="327" uniqueCount="187">
  <si>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</si>
  <si>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</si>
  <si>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</si>
  <si>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</si>
  <si>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</si>
  <si>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</si>
  <si>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</si>
  <si>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</si>
  <si>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</si>
  <si>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</si>
  <si>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</si>
  <si>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</si>
  <si>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</si>
  <si>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</si>
  <si>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</si>
  <si>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</si>
  <si>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</si>
  <si>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</si>
  <si>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</si>
  <si>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</si>
  <si>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</si>
  <si>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</si>
  <si>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</si>
  <si>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</si>
  <si>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</si>
  <si>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</si>
  <si>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</si>
  <si>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</si>
  <si>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</si>
  <si>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</si>
  <si>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</si>
  <si>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</si>
  <si>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</si>
  <si>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</si>
  <si>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</si>
  <si>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</si>
  <si>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</si>
  <si>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</si>
  <si>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</si>
  <si>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</si>
  <si>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</si>
  <si>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</si>
  <si>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</si>
  <si>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</si>
  <si>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</si>
  <si>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</si>
  <si>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</si>
  <si>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</si>
  <si>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</si>
  <si>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</si>
  <si>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</si>
  <si>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</si>
  <si>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</si>
  <si>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</si>
  <si>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</si>
  <si>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</si>
  <si>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</si>
  <si>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</si>
  <si>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</si>
  <si>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</si>
  <si>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</si>
  <si>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</si>
  <si>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</si>
  <si>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</si>
  <si>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</si>
  <si>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</si>
  <si>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</si>
  <si>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</si>
  <si>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</si>
  <si>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</si>
  <si>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</si>
  <si>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</si>
  <si>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</si>
  <si>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</si>
  <si>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</si>
  <si>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</si>
  <si>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</si>
  <si>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</si>
  <si>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</si>
  <si>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</si>
  <si>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</si>
  <si>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</si>
  <si>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</si>
  <si>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</si>
  <si>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</si>
  <si>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</si>
  <si>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</si>
  <si>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</si>
  <si>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</si>
  <si>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</si>
  <si>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</si>
  <si>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</si>
  <si>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</si>
  <si>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</si>
  <si>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</si>
  <si>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</si>
  <si>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</si>
  <si>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</si>
  <si>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</si>
  <si>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</si>
  <si>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</si>
  <si>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</si>
  <si>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</si>
  <si>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</si>
  <si>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</si>
  <si>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</si>
  <si>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</si>
  <si>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</si>
  <si>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</si>
  <si>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</si>
  <si>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</si>
  <si>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</si>
  <si>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</si>
  <si>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</si>
  <si>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</si>
  <si>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</si>
  <si>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</si>
  <si>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</si>
  <si>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</si>
  <si>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</si>
  <si>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</si>
  <si>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</si>
  <si>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</si>
  <si>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</si>
  <si>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</si>
  <si>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</si>
  <si>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3L</t>
  </si>
  <si>
    <t>SB</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</si>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</sst>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_([$€-2]* #,##0.00_);_([$€-2]* \(#,##0.00\);_([$€-2]* &quot;-&quot;??_)"/>
    <numFmt numFmtId="179" formatCode="[$-F800]dddd\,\ mmmm\ dd\,\ yyyy"/>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5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cellStyleXfs>
  <cellXfs count="306">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0"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6" fillId="2" borderId="21" xfId="1" applyNumberFormat="1" applyFont="1" applyFill="1" applyBorder="1" applyAlignment="1">
      <alignment horizontal="left"/>
    </xf>
    <xf numFmtId="0" fontId="8" fillId="2" borderId="36" xfId="1" applyFont="1" applyFill="1" applyBorder="1"/>
    <xf numFmtId="0" fontId="8" fillId="2" borderId="36" xfId="1" applyFont="1" applyFill="1" applyBorder="1" applyAlignment="1">
      <alignment horizontal="left"/>
    </xf>
    <xf numFmtId="0" fontId="4" fillId="6" borderId="37" xfId="1" applyFont="1" applyFill="1" applyBorder="1" applyAlignment="1">
      <alignment horizontal="center" vertical="center" wrapText="1"/>
    </xf>
    <xf numFmtId="0" fontId="2" fillId="2" borderId="0" xfId="1" applyFont="1" applyFill="1" applyBorder="1" applyAlignment="1"/>
    <xf numFmtId="0" fontId="2" fillId="2" borderId="33" xfId="1" applyFont="1" applyFill="1" applyBorder="1" applyAlignment="1">
      <alignment horizontal="left"/>
    </xf>
    <xf numFmtId="0" fontId="2" fillId="2" borderId="34" xfId="1" applyFont="1" applyFill="1" applyBorder="1"/>
    <xf numFmtId="0" fontId="23" fillId="2" borderId="32" xfId="1" applyFont="1" applyFill="1" applyBorder="1"/>
    <xf numFmtId="0" fontId="2" fillId="2" borderId="5" xfId="1" applyFont="1" applyFill="1" applyBorder="1" applyAlignment="1">
      <alignment horizontal="center"/>
    </xf>
    <xf numFmtId="0" fontId="2" fillId="2" borderId="0" xfId="1" applyFont="1" applyFill="1" applyBorder="1"/>
    <xf numFmtId="0" fontId="23" fillId="2" borderId="4" xfId="1" applyFont="1" applyFill="1" applyBorder="1"/>
    <xf numFmtId="0" fontId="4" fillId="2" borderId="25" xfId="1" applyFont="1" applyFill="1" applyBorder="1" applyAlignment="1">
      <alignment horizontal="center" vertical="center" wrapText="1"/>
    </xf>
    <xf numFmtId="0" fontId="22"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3" fontId="3" fillId="3" borderId="25" xfId="1" applyNumberFormat="1" applyFont="1" applyFill="1" applyBorder="1" applyAlignment="1" applyProtection="1">
      <alignment horizontal="left"/>
    </xf>
    <xf numFmtId="0" fontId="2" fillId="8" borderId="25" xfId="1" applyNumberFormat="1" applyFont="1" applyFill="1" applyBorder="1" applyAlignment="1">
      <alignment horizontal="center"/>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6" fillId="0" borderId="5" xfId="0" applyFont="1" applyBorder="1"/>
    <xf numFmtId="0" fontId="26"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8" xfId="1" applyFont="1" applyFill="1" applyBorder="1" applyAlignment="1">
      <alignment horizontal="center"/>
    </xf>
    <xf numFmtId="0" fontId="4" fillId="13" borderId="39"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40" xfId="1" applyFont="1" applyFill="1" applyBorder="1"/>
    <xf numFmtId="165" fontId="2" fillId="14" borderId="41" xfId="1" applyNumberFormat="1" applyFont="1" applyFill="1" applyBorder="1"/>
    <xf numFmtId="0" fontId="2" fillId="11" borderId="41" xfId="1" applyFont="1" applyFill="1" applyBorder="1"/>
    <xf numFmtId="0" fontId="2" fillId="14" borderId="42" xfId="1" applyNumberFormat="1" applyFont="1" applyFill="1" applyBorder="1"/>
    <xf numFmtId="10" fontId="2" fillId="14" borderId="40" xfId="1" applyNumberFormat="1" applyFont="1" applyFill="1" applyBorder="1"/>
    <xf numFmtId="10" fontId="2" fillId="14" borderId="41" xfId="1" applyNumberFormat="1" applyFont="1" applyFill="1" applyBorder="1"/>
    <xf numFmtId="10" fontId="2" fillId="14" borderId="42" xfId="1" applyNumberFormat="1" applyFont="1" applyFill="1" applyBorder="1"/>
    <xf numFmtId="0" fontId="2" fillId="14" borderId="5" xfId="1" applyFont="1" applyFill="1" applyBorder="1" applyAlignment="1">
      <alignment vertical="center"/>
    </xf>
    <xf numFmtId="0" fontId="2" fillId="14" borderId="43"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3"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6" fillId="14" borderId="21" xfId="0" applyFont="1" applyFill="1" applyBorder="1"/>
    <xf numFmtId="10" fontId="26" fillId="14" borderId="30" xfId="0" applyNumberFormat="1" applyFont="1" applyFill="1" applyBorder="1"/>
    <xf numFmtId="179" fontId="2" fillId="0" borderId="0" xfId="1" applyNumberFormat="1" applyFont="1"/>
    <xf numFmtId="0" fontId="2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4" xfId="1" applyFont="1" applyFill="1" applyBorder="1"/>
    <xf numFmtId="165" fontId="2" fillId="14" borderId="45" xfId="1" applyNumberFormat="1" applyFont="1" applyFill="1" applyBorder="1"/>
    <xf numFmtId="0" fontId="2" fillId="11" borderId="45" xfId="1" applyFont="1" applyFill="1" applyBorder="1"/>
    <xf numFmtId="0" fontId="26" fillId="14" borderId="46" xfId="0" applyFont="1" applyFill="1" applyBorder="1"/>
    <xf numFmtId="10" fontId="2" fillId="14" borderId="44" xfId="1" applyNumberFormat="1" applyFont="1" applyFill="1" applyBorder="1"/>
    <xf numFmtId="10" fontId="2" fillId="14" borderId="45" xfId="1" applyNumberFormat="1" applyFont="1" applyFill="1" applyBorder="1"/>
    <xf numFmtId="10" fontId="2" fillId="14" borderId="46" xfId="1" applyNumberFormat="1" applyFont="1" applyFill="1" applyBorder="1"/>
    <xf numFmtId="10" fontId="26" fillId="14" borderId="45"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7" xfId="1" applyFont="1" applyFill="1" applyBorder="1" applyAlignment="1">
      <alignment horizontal="center"/>
    </xf>
    <xf numFmtId="165" fontId="2" fillId="0" borderId="48"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8"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9" xfId="1" applyNumberFormat="1" applyFont="1" applyBorder="1" applyAlignment="1"/>
    <xf numFmtId="166" fontId="2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7"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8"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29" fillId="7" borderId="16" xfId="2" applyFont="1" applyFill="1" applyBorder="1" applyAlignment="1">
      <alignment horizontal="center"/>
    </xf>
    <xf numFmtId="0" fontId="29" fillId="7" borderId="35" xfId="2" applyFont="1" applyFill="1" applyBorder="1" applyAlignment="1">
      <alignment horizontal="center"/>
    </xf>
    <xf numFmtId="0" fontId="29" fillId="7" borderId="15" xfId="2" applyFont="1" applyFill="1" applyBorder="1" applyAlignment="1">
      <alignment horizontal="center"/>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41877</c:v>
                </c:pt>
                <c:pt idx="54">
                  <c:v>41878</c:v>
                </c:pt>
                <c:pt idx="55">
                  <c:v>41879</c:v>
                </c:pt>
                <c:pt idx="56">
                  <c:v>41880</c:v>
                </c:pt>
                <c:pt idx="57">
                  <c:v>41883</c:v>
                </c:pt>
                <c:pt idx="58">
                  <c:v>41884</c:v>
                </c:pt>
                <c:pt idx="59">
                  <c:v>41885</c:v>
                </c:pt>
                <c:pt idx="60">
                  <c:v>41886</c:v>
                </c:pt>
                <c:pt idx="61">
                  <c:v>41887</c:v>
                </c:pt>
                <c:pt idx="62">
                  <c:v>41890</c:v>
                </c:pt>
                <c:pt idx="63">
                  <c:v>41891</c:v>
                </c:pt>
                <c:pt idx="64">
                  <c:v>41892</c:v>
                </c:pt>
                <c:pt idx="65">
                  <c:v>41893</c:v>
                </c:pt>
                <c:pt idx="66">
                  <c:v>41894</c:v>
                </c:pt>
                <c:pt idx="67">
                  <c:v>41898</c:v>
                </c:pt>
                <c:pt idx="68">
                  <c:v>41899</c:v>
                </c:pt>
                <c:pt idx="69">
                  <c:v>41900</c:v>
                </c:pt>
                <c:pt idx="70">
                  <c:v>41901</c:v>
                </c:pt>
                <c:pt idx="71">
                  <c:v>41904</c:v>
                </c:pt>
                <c:pt idx="72">
                  <c:v>41906</c:v>
                </c:pt>
                <c:pt idx="73">
                  <c:v>41907</c:v>
                </c:pt>
                <c:pt idx="74">
                  <c:v>41908</c:v>
                </c:pt>
                <c:pt idx="75">
                  <c:v>41911</c:v>
                </c:pt>
                <c:pt idx="76">
                  <c:v>41912</c:v>
                </c:pt>
                <c:pt idx="77">
                  <c:v>41913</c:v>
                </c:pt>
                <c:pt idx="78">
                  <c:v>41914</c:v>
                </c:pt>
                <c:pt idx="79">
                  <c:v>41915</c:v>
                </c:pt>
                <c:pt idx="80">
                  <c:v>41918</c:v>
                </c:pt>
                <c:pt idx="81">
                  <c:v>41919</c:v>
                </c:pt>
                <c:pt idx="82">
                  <c:v>41920</c:v>
                </c:pt>
                <c:pt idx="83">
                  <c:v>41921</c:v>
                </c:pt>
                <c:pt idx="84">
                  <c:v>41922</c:v>
                </c:pt>
                <c:pt idx="85">
                  <c:v>41926</c:v>
                </c:pt>
                <c:pt idx="86">
                  <c:v>41927</c:v>
                </c:pt>
                <c:pt idx="87">
                  <c:v>41928</c:v>
                </c:pt>
                <c:pt idx="88">
                  <c:v>41929</c:v>
                </c:pt>
                <c:pt idx="89">
                  <c:v>41932</c:v>
                </c:pt>
                <c:pt idx="90">
                  <c:v>41933</c:v>
                </c:pt>
                <c:pt idx="91">
                  <c:v>41934</c:v>
                </c:pt>
                <c:pt idx="92">
                  <c:v>41935</c:v>
                </c:pt>
                <c:pt idx="93">
                  <c:v>41936</c:v>
                </c:pt>
                <c:pt idx="94">
                  <c:v>41939</c:v>
                </c:pt>
                <c:pt idx="95">
                  <c:v>41940</c:v>
                </c:pt>
                <c:pt idx="96">
                  <c:v>41941</c:v>
                </c:pt>
                <c:pt idx="97">
                  <c:v>41942</c:v>
                </c:pt>
                <c:pt idx="98">
                  <c:v>41943</c:v>
                </c:pt>
                <c:pt idx="99">
                  <c:v>41947</c:v>
                </c:pt>
                <c:pt idx="100">
                  <c:v>41948</c:v>
                </c:pt>
                <c:pt idx="101">
                  <c:v>41949</c:v>
                </c:pt>
                <c:pt idx="102">
                  <c:v>41950</c:v>
                </c:pt>
                <c:pt idx="103">
                  <c:v>41953</c:v>
                </c:pt>
                <c:pt idx="104">
                  <c:v>41954</c:v>
                </c:pt>
                <c:pt idx="105">
                  <c:v>41955</c:v>
                </c:pt>
                <c:pt idx="106">
                  <c:v>41956</c:v>
                </c:pt>
                <c:pt idx="107">
                  <c:v>41957</c:v>
                </c:pt>
                <c:pt idx="108">
                  <c:v>41960</c:v>
                </c:pt>
                <c:pt idx="109">
                  <c:v>41961</c:v>
                </c:pt>
                <c:pt idx="110">
                  <c:v>41962</c:v>
                </c:pt>
                <c:pt idx="111">
                  <c:v>41963</c:v>
                </c:pt>
                <c:pt idx="112">
                  <c:v>41964</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41997</c:v>
                </c:pt>
                <c:pt idx="134">
                  <c:v>42002</c:v>
                </c:pt>
                <c:pt idx="135">
                  <c:v>42003</c:v>
                </c:pt>
                <c:pt idx="136">
                  <c:v>42009</c:v>
                </c:pt>
                <c:pt idx="137">
                  <c:v>42010</c:v>
                </c:pt>
                <c:pt idx="138">
                  <c:v>42011</c:v>
                </c:pt>
                <c:pt idx="139">
                  <c:v>42012</c:v>
                </c:pt>
                <c:pt idx="140">
                  <c:v>42013</c:v>
                </c:pt>
                <c:pt idx="141">
                  <c:v>42017</c:v>
                </c:pt>
                <c:pt idx="142">
                  <c:v>42018</c:v>
                </c:pt>
                <c:pt idx="143">
                  <c:v>42019</c:v>
                </c:pt>
                <c:pt idx="144">
                  <c:v>42020</c:v>
                </c:pt>
                <c:pt idx="145">
                  <c:v>42023</c:v>
                </c:pt>
                <c:pt idx="146">
                  <c:v>42024</c:v>
                </c:pt>
                <c:pt idx="147">
                  <c:v>42025</c:v>
                </c:pt>
                <c:pt idx="148">
                  <c:v>42026</c:v>
                </c:pt>
                <c:pt idx="149">
                  <c:v>42027</c:v>
                </c:pt>
                <c:pt idx="150">
                  <c:v>42030</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42047</c:v>
                </c:pt>
                <c:pt idx="163">
                  <c:v>42048</c:v>
                </c:pt>
                <c:pt idx="164">
                  <c:v>42051</c:v>
                </c:pt>
                <c:pt idx="165">
                  <c:v>42052</c:v>
                </c:pt>
                <c:pt idx="166">
                  <c:v>42053</c:v>
                </c:pt>
                <c:pt idx="167">
                  <c:v>42054</c:v>
                </c:pt>
                <c:pt idx="168">
                  <c:v>42055</c:v>
                </c:pt>
                <c:pt idx="169">
                  <c:v>42058</c:v>
                </c:pt>
                <c:pt idx="170">
                  <c:v>42059</c:v>
                </c:pt>
                <c:pt idx="171">
                  <c:v>42060</c:v>
                </c:pt>
                <c:pt idx="172">
                  <c:v>42061</c:v>
                </c:pt>
                <c:pt idx="173">
                  <c:v>42062</c:v>
                </c:pt>
                <c:pt idx="174">
                  <c:v>42065</c:v>
                </c:pt>
                <c:pt idx="175">
                  <c:v>42066</c:v>
                </c:pt>
                <c:pt idx="176">
                  <c:v>42067</c:v>
                </c:pt>
                <c:pt idx="177">
                  <c:v>42068</c:v>
                </c:pt>
                <c:pt idx="178">
                  <c:v>42069</c:v>
                </c:pt>
                <c:pt idx="179">
                  <c:v>42072</c:v>
                </c:pt>
                <c:pt idx="180">
                  <c:v>42073</c:v>
                </c:pt>
                <c:pt idx="181">
                  <c:v>42074</c:v>
                </c:pt>
                <c:pt idx="182">
                  <c:v>42075</c:v>
                </c:pt>
                <c:pt idx="183">
                  <c:v>42076</c:v>
                </c:pt>
                <c:pt idx="184">
                  <c:v>42079</c:v>
                </c:pt>
                <c:pt idx="185">
                  <c:v>42080</c:v>
                </c:pt>
                <c:pt idx="186">
                  <c:v>42081</c:v>
                </c:pt>
                <c:pt idx="187">
                  <c:v>42082</c:v>
                </c:pt>
                <c:pt idx="188">
                  <c:v>42083</c:v>
                </c:pt>
                <c:pt idx="189">
                  <c:v>42086</c:v>
                </c:pt>
                <c:pt idx="190">
                  <c:v>42087</c:v>
                </c:pt>
                <c:pt idx="191">
                  <c:v>42088</c:v>
                </c:pt>
                <c:pt idx="192">
                  <c:v>42089</c:v>
                </c:pt>
                <c:pt idx="193">
                  <c:v>42090</c:v>
                </c:pt>
                <c:pt idx="194">
                  <c:v>42093</c:v>
                </c:pt>
                <c:pt idx="195">
                  <c:v>42094</c:v>
                </c:pt>
                <c:pt idx="196">
                  <c:v>42095</c:v>
                </c:pt>
                <c:pt idx="197">
                  <c:v>42096</c:v>
                </c:pt>
                <c:pt idx="198">
                  <c:v>42101</c:v>
                </c:pt>
                <c:pt idx="199">
                  <c:v>42102</c:v>
                </c:pt>
                <c:pt idx="200">
                  <c:v>42103</c:v>
                </c:pt>
                <c:pt idx="201">
                  <c:v>42104</c:v>
                </c:pt>
                <c:pt idx="202">
                  <c:v>42107</c:v>
                </c:pt>
                <c:pt idx="203">
                  <c:v>42108</c:v>
                </c:pt>
                <c:pt idx="204">
                  <c:v>42109</c:v>
                </c:pt>
                <c:pt idx="205">
                  <c:v>42110</c:v>
                </c:pt>
                <c:pt idx="206">
                  <c:v>42111</c:v>
                </c:pt>
                <c:pt idx="207">
                  <c:v>42114</c:v>
                </c:pt>
                <c:pt idx="208">
                  <c:v>42115</c:v>
                </c:pt>
                <c:pt idx="209">
                  <c:v>42116</c:v>
                </c:pt>
                <c:pt idx="210">
                  <c:v>42117</c:v>
                </c:pt>
                <c:pt idx="211">
                  <c:v>42118</c:v>
                </c:pt>
                <c:pt idx="212">
                  <c:v>42121</c:v>
                </c:pt>
                <c:pt idx="213">
                  <c:v>42122</c:v>
                </c:pt>
                <c:pt idx="214">
                  <c:v>42124</c:v>
                </c:pt>
                <c:pt idx="215">
                  <c:v>42125</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42206</c:v>
                </c:pt>
                <c:pt idx="268">
                  <c:v>42207</c:v>
                </c:pt>
                <c:pt idx="269">
                  <c:v>42208</c:v>
                </c:pt>
                <c:pt idx="270">
                  <c:v>42209</c:v>
                </c:pt>
                <c:pt idx="271">
                  <c:v>42212</c:v>
                </c:pt>
                <c:pt idx="272">
                  <c:v>42213</c:v>
                </c:pt>
                <c:pt idx="273">
                  <c:v>42214</c:v>
                </c:pt>
                <c:pt idx="274">
                  <c:v>42215</c:v>
                </c:pt>
                <c:pt idx="275">
                  <c:v>42216</c:v>
                </c:pt>
                <c:pt idx="276">
                  <c:v>42219</c:v>
                </c:pt>
                <c:pt idx="277">
                  <c:v>42220</c:v>
                </c:pt>
                <c:pt idx="278">
                  <c:v>42221</c:v>
                </c:pt>
                <c:pt idx="279">
                  <c:v>42222</c:v>
                </c:pt>
                <c:pt idx="280">
                  <c:v>42223</c:v>
                </c:pt>
                <c:pt idx="281">
                  <c:v>42226</c:v>
                </c:pt>
                <c:pt idx="282">
                  <c:v>42227</c:v>
                </c:pt>
                <c:pt idx="283">
                  <c:v>42228</c:v>
                </c:pt>
                <c:pt idx="284">
                  <c:v>42229</c:v>
                </c:pt>
                <c:pt idx="285">
                  <c:v>42230</c:v>
                </c:pt>
                <c:pt idx="286">
                  <c:v>42233</c:v>
                </c:pt>
                <c:pt idx="287">
                  <c:v>42234</c:v>
                </c:pt>
                <c:pt idx="288">
                  <c:v>42235</c:v>
                </c:pt>
                <c:pt idx="289">
                  <c:v>42236</c:v>
                </c:pt>
                <c:pt idx="290">
                  <c:v>42237</c:v>
                </c:pt>
                <c:pt idx="291">
                  <c:v>42240</c:v>
                </c:pt>
                <c:pt idx="292">
                  <c:v>42241</c:v>
                </c:pt>
                <c:pt idx="293">
                  <c:v>42242</c:v>
                </c:pt>
                <c:pt idx="294">
                  <c:v>42243</c:v>
                </c:pt>
                <c:pt idx="295">
                  <c:v>42244</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42271</c:v>
                </c:pt>
                <c:pt idx="311">
                  <c:v>42272</c:v>
                </c:pt>
                <c:pt idx="312">
                  <c:v>42275</c:v>
                </c:pt>
                <c:pt idx="313">
                  <c:v>42276</c:v>
                </c:pt>
                <c:pt idx="314">
                  <c:v>42277</c:v>
                </c:pt>
                <c:pt idx="315">
                  <c:v>42278</c:v>
                </c:pt>
                <c:pt idx="316">
                  <c:v>42279</c:v>
                </c:pt>
                <c:pt idx="317">
                  <c:v>42282</c:v>
                </c:pt>
                <c:pt idx="318">
                  <c:v>42283</c:v>
                </c:pt>
                <c:pt idx="319">
                  <c:v>42284</c:v>
                </c:pt>
                <c:pt idx="320">
                  <c:v>42285</c:v>
                </c:pt>
                <c:pt idx="321">
                  <c:v>42286</c:v>
                </c:pt>
                <c:pt idx="322">
                  <c:v>42290</c:v>
                </c:pt>
                <c:pt idx="323">
                  <c:v>42291</c:v>
                </c:pt>
                <c:pt idx="324">
                  <c:v>42292</c:v>
                </c:pt>
                <c:pt idx="325">
                  <c:v>42293</c:v>
                </c:pt>
                <c:pt idx="326">
                  <c:v>42296</c:v>
                </c:pt>
                <c:pt idx="327">
                  <c:v>42297</c:v>
                </c:pt>
                <c:pt idx="328">
                  <c:v>42298</c:v>
                </c:pt>
                <c:pt idx="329">
                  <c:v>42299</c:v>
                </c:pt>
                <c:pt idx="330">
                  <c:v>42300</c:v>
                </c:pt>
                <c:pt idx="331">
                  <c:v>42303</c:v>
                </c:pt>
                <c:pt idx="332">
                  <c:v>42304</c:v>
                </c:pt>
                <c:pt idx="333">
                  <c:v>42305</c:v>
                </c:pt>
                <c:pt idx="334">
                  <c:v>42306</c:v>
                </c:pt>
                <c:pt idx="335">
                  <c:v>42307</c:v>
                </c:pt>
                <c:pt idx="336">
                  <c:v>42310</c:v>
                </c:pt>
                <c:pt idx="337">
                  <c:v>42312</c:v>
                </c:pt>
                <c:pt idx="338">
                  <c:v>42313</c:v>
                </c:pt>
                <c:pt idx="339">
                  <c:v>42314</c:v>
                </c:pt>
                <c:pt idx="340">
                  <c:v>42317</c:v>
                </c:pt>
                <c:pt idx="341">
                  <c:v>42318</c:v>
                </c:pt>
                <c:pt idx="342">
                  <c:v>42319</c:v>
                </c:pt>
                <c:pt idx="343">
                  <c:v>42320</c:v>
                </c:pt>
                <c:pt idx="344">
                  <c:v>42321</c:v>
                </c:pt>
                <c:pt idx="345">
                  <c:v>42324</c:v>
                </c:pt>
                <c:pt idx="346">
                  <c:v>42325</c:v>
                </c:pt>
                <c:pt idx="347">
                  <c:v>42326</c:v>
                </c:pt>
                <c:pt idx="348">
                  <c:v>42327</c:v>
                </c:pt>
                <c:pt idx="349">
                  <c:v>42328</c:v>
                </c:pt>
                <c:pt idx="350">
                  <c:v>42332</c:v>
                </c:pt>
                <c:pt idx="351">
                  <c:v>42333</c:v>
                </c:pt>
                <c:pt idx="352">
                  <c:v>42334</c:v>
                </c:pt>
                <c:pt idx="353">
                  <c:v>42335</c:v>
                </c:pt>
                <c:pt idx="354">
                  <c:v>42338</c:v>
                </c:pt>
                <c:pt idx="355">
                  <c:v>42339</c:v>
                </c:pt>
                <c:pt idx="356">
                  <c:v>42340</c:v>
                </c:pt>
                <c:pt idx="357">
                  <c:v>42341</c:v>
                </c:pt>
                <c:pt idx="358">
                  <c:v>42342</c:v>
                </c:pt>
                <c:pt idx="359">
                  <c:v>42345</c:v>
                </c:pt>
                <c:pt idx="360">
                  <c:v>42346</c:v>
                </c:pt>
                <c:pt idx="361">
                  <c:v>42347</c:v>
                </c:pt>
                <c:pt idx="362">
                  <c:v>42348</c:v>
                </c:pt>
                <c:pt idx="363">
                  <c:v>42349</c:v>
                </c:pt>
                <c:pt idx="364">
                  <c:v>42352</c:v>
                </c:pt>
                <c:pt idx="365">
                  <c:v>42353</c:v>
                </c:pt>
                <c:pt idx="366">
                  <c:v>42354</c:v>
                </c:pt>
                <c:pt idx="367">
                  <c:v>42355</c:v>
                </c:pt>
                <c:pt idx="368">
                  <c:v>42356</c:v>
                </c:pt>
                <c:pt idx="369">
                  <c:v>42359</c:v>
                </c:pt>
                <c:pt idx="370">
                  <c:v>42360</c:v>
                </c:pt>
                <c:pt idx="371">
                  <c:v>42362</c:v>
                </c:pt>
                <c:pt idx="372">
                  <c:v>42367</c:v>
                </c:pt>
                <c:pt idx="373">
                  <c:v>42368</c:v>
                </c:pt>
                <c:pt idx="374">
                  <c:v>42373</c:v>
                </c:pt>
                <c:pt idx="375">
                  <c:v>42374</c:v>
                </c:pt>
                <c:pt idx="376">
                  <c:v>42375</c:v>
                </c:pt>
                <c:pt idx="377">
                  <c:v>42376</c:v>
                </c:pt>
                <c:pt idx="378">
                  <c:v>42377</c:v>
                </c:pt>
                <c:pt idx="379">
                  <c:v>42381</c:v>
                </c:pt>
                <c:pt idx="380">
                  <c:v>42382</c:v>
                </c:pt>
                <c:pt idx="381">
                  <c:v>42383</c:v>
                </c:pt>
                <c:pt idx="382">
                  <c:v>42384</c:v>
                </c:pt>
                <c:pt idx="383">
                  <c:v>42387</c:v>
                </c:pt>
                <c:pt idx="384">
                  <c:v>42388</c:v>
                </c:pt>
                <c:pt idx="385">
                  <c:v>42389</c:v>
                </c:pt>
                <c:pt idx="386">
                  <c:v>42390</c:v>
                </c:pt>
                <c:pt idx="387">
                  <c:v>42391</c:v>
                </c:pt>
                <c:pt idx="388">
                  <c:v>42394</c:v>
                </c:pt>
                <c:pt idx="389">
                  <c:v>42395</c:v>
                </c:pt>
                <c:pt idx="390">
                  <c:v>42396</c:v>
                </c:pt>
                <c:pt idx="391">
                  <c:v>42397</c:v>
                </c:pt>
                <c:pt idx="392">
                  <c:v>42398</c:v>
                </c:pt>
                <c:pt idx="393">
                  <c:v>42401</c:v>
                </c:pt>
                <c:pt idx="394">
                  <c:v>42402</c:v>
                </c:pt>
                <c:pt idx="395">
                  <c:v>42403</c:v>
                </c:pt>
                <c:pt idx="396">
                  <c:v>42404</c:v>
                </c:pt>
                <c:pt idx="397">
                  <c:v>42405</c:v>
                </c:pt>
                <c:pt idx="398">
                  <c:v>42408</c:v>
                </c:pt>
                <c:pt idx="399">
                  <c:v>42409</c:v>
                </c:pt>
                <c:pt idx="400">
                  <c:v>42410</c:v>
                </c:pt>
                <c:pt idx="401">
                  <c:v>42412</c:v>
                </c:pt>
                <c:pt idx="402">
                  <c:v>42415</c:v>
                </c:pt>
                <c:pt idx="403">
                  <c:v>42416</c:v>
                </c:pt>
                <c:pt idx="404">
                  <c:v>42417</c:v>
                </c:pt>
                <c:pt idx="405">
                  <c:v>42418</c:v>
                </c:pt>
                <c:pt idx="406">
                  <c:v>42419</c:v>
                </c:pt>
                <c:pt idx="407">
                  <c:v>42422</c:v>
                </c:pt>
                <c:pt idx="408">
                  <c:v>42423</c:v>
                </c:pt>
                <c:pt idx="409">
                  <c:v>42424</c:v>
                </c:pt>
                <c:pt idx="410">
                  <c:v>42425</c:v>
                </c:pt>
                <c:pt idx="411">
                  <c:v>42426</c:v>
                </c:pt>
                <c:pt idx="412">
                  <c:v>42429</c:v>
                </c:pt>
                <c:pt idx="413">
                  <c:v>42430</c:v>
                </c:pt>
                <c:pt idx="414">
                  <c:v>42431</c:v>
                </c:pt>
                <c:pt idx="415">
                  <c:v>42432</c:v>
                </c:pt>
                <c:pt idx="416">
                  <c:v>42433</c:v>
                </c:pt>
                <c:pt idx="417">
                  <c:v>42436</c:v>
                </c:pt>
                <c:pt idx="418">
                  <c:v>42437</c:v>
                </c:pt>
                <c:pt idx="419">
                  <c:v>42438</c:v>
                </c:pt>
                <c:pt idx="420">
                  <c:v>42439</c:v>
                </c:pt>
                <c:pt idx="421">
                  <c:v>42440</c:v>
                </c:pt>
                <c:pt idx="422">
                  <c:v>42443</c:v>
                </c:pt>
                <c:pt idx="423">
                  <c:v>42444</c:v>
                </c:pt>
                <c:pt idx="424">
                  <c:v>42445</c:v>
                </c:pt>
                <c:pt idx="425">
                  <c:v>42446</c:v>
                </c:pt>
                <c:pt idx="426">
                  <c:v>42447</c:v>
                </c:pt>
                <c:pt idx="427">
                  <c:v>42451</c:v>
                </c:pt>
                <c:pt idx="428">
                  <c:v>42452</c:v>
                </c:pt>
                <c:pt idx="429">
                  <c:v>42453</c:v>
                </c:pt>
                <c:pt idx="430">
                  <c:v>42458</c:v>
                </c:pt>
                <c:pt idx="431">
                  <c:v>42459</c:v>
                </c:pt>
                <c:pt idx="432">
                  <c:v>42460</c:v>
                </c:pt>
                <c:pt idx="433">
                  <c:v>42461</c:v>
                </c:pt>
                <c:pt idx="434">
                  <c:v>42464</c:v>
                </c:pt>
                <c:pt idx="435">
                  <c:v>42465</c:v>
                </c:pt>
                <c:pt idx="436">
                  <c:v>42466</c:v>
                </c:pt>
                <c:pt idx="437">
                  <c:v>42467</c:v>
                </c:pt>
                <c:pt idx="438">
                  <c:v>42468</c:v>
                </c:pt>
                <c:pt idx="439">
                  <c:v>42471</c:v>
                </c:pt>
                <c:pt idx="440">
                  <c:v>42472</c:v>
                </c:pt>
                <c:pt idx="441">
                  <c:v>42473</c:v>
                </c:pt>
                <c:pt idx="442">
                  <c:v>42474</c:v>
                </c:pt>
                <c:pt idx="443">
                  <c:v>42475</c:v>
                </c:pt>
                <c:pt idx="444">
                  <c:v>42478</c:v>
                </c:pt>
                <c:pt idx="445">
                  <c:v>42479</c:v>
                </c:pt>
                <c:pt idx="446">
                  <c:v>42480</c:v>
                </c:pt>
                <c:pt idx="447">
                  <c:v>42481</c:v>
                </c:pt>
                <c:pt idx="448">
                  <c:v>42482</c:v>
                </c:pt>
                <c:pt idx="449">
                  <c:v>42485</c:v>
                </c:pt>
                <c:pt idx="450">
                  <c:v>42486</c:v>
                </c:pt>
                <c:pt idx="451">
                  <c:v>42487</c:v>
                </c:pt>
                <c:pt idx="452">
                  <c:v>42488</c:v>
                </c:pt>
                <c:pt idx="453">
                  <c:v>42496</c:v>
                </c:pt>
                <c:pt idx="454">
                  <c:v>42499</c:v>
                </c:pt>
                <c:pt idx="455">
                  <c:v>42500</c:v>
                </c:pt>
                <c:pt idx="456">
                  <c:v>42501</c:v>
                </c:pt>
                <c:pt idx="457">
                  <c:v>42502</c:v>
                </c:pt>
                <c:pt idx="458">
                  <c:v>42503</c:v>
                </c:pt>
                <c:pt idx="459">
                  <c:v>42506</c:v>
                </c:pt>
                <c:pt idx="460">
                  <c:v>42507</c:v>
                </c:pt>
                <c:pt idx="461">
                  <c:v>42508</c:v>
                </c:pt>
                <c:pt idx="462">
                  <c:v>42509</c:v>
                </c:pt>
                <c:pt idx="463">
                  <c:v>42510</c:v>
                </c:pt>
                <c:pt idx="464">
                  <c:v>42513</c:v>
                </c:pt>
                <c:pt idx="465">
                  <c:v>42514</c:v>
                </c:pt>
                <c:pt idx="466">
                  <c:v>42515</c:v>
                </c:pt>
                <c:pt idx="467">
                  <c:v>42516</c:v>
                </c:pt>
                <c:pt idx="468">
                  <c:v>42517</c:v>
                </c:pt>
                <c:pt idx="469">
                  <c:v>42521</c:v>
                </c:pt>
                <c:pt idx="470">
                  <c:v>42522</c:v>
                </c:pt>
                <c:pt idx="471">
                  <c:v>42523</c:v>
                </c:pt>
                <c:pt idx="472">
                  <c:v>42524</c:v>
                </c:pt>
                <c:pt idx="473">
                  <c:v>42527</c:v>
                </c:pt>
                <c:pt idx="474">
                  <c:v>42528</c:v>
                </c:pt>
                <c:pt idx="475">
                  <c:v>42529</c:v>
                </c:pt>
                <c:pt idx="476">
                  <c:v>42530</c:v>
                </c:pt>
                <c:pt idx="477">
                  <c:v>42531</c:v>
                </c:pt>
                <c:pt idx="478">
                  <c:v>42534</c:v>
                </c:pt>
                <c:pt idx="479">
                  <c:v>42535</c:v>
                </c:pt>
                <c:pt idx="480">
                  <c:v>42536</c:v>
                </c:pt>
                <c:pt idx="481">
                  <c:v>42537</c:v>
                </c:pt>
                <c:pt idx="482">
                  <c:v>42538</c:v>
                </c:pt>
                <c:pt idx="483">
                  <c:v>42541</c:v>
                </c:pt>
                <c:pt idx="484">
                  <c:v>42542</c:v>
                </c:pt>
                <c:pt idx="485">
                  <c:v>42543</c:v>
                </c:pt>
                <c:pt idx="486">
                  <c:v>42544</c:v>
                </c:pt>
                <c:pt idx="487">
                  <c:v>42545</c:v>
                </c:pt>
                <c:pt idx="488">
                  <c:v>42548</c:v>
                </c:pt>
                <c:pt idx="489">
                  <c:v>42549</c:v>
                </c:pt>
                <c:pt idx="490">
                  <c:v>42550</c:v>
                </c:pt>
                <c:pt idx="491">
                  <c:v>42551</c:v>
                </c:pt>
                <c:pt idx="492">
                  <c:v>42552</c:v>
                </c:pt>
                <c:pt idx="493">
                  <c:v>42555</c:v>
                </c:pt>
                <c:pt idx="494">
                  <c:v>42556</c:v>
                </c:pt>
                <c:pt idx="495">
                  <c:v>42557</c:v>
                </c:pt>
                <c:pt idx="496">
                  <c:v>42558</c:v>
                </c:pt>
                <c:pt idx="497">
                  <c:v>42559</c:v>
                </c:pt>
                <c:pt idx="498">
                  <c:v>42562</c:v>
                </c:pt>
                <c:pt idx="499">
                  <c:v>42563</c:v>
                </c:pt>
                <c:pt idx="500">
                  <c:v>42564</c:v>
                </c:pt>
                <c:pt idx="501">
                  <c:v>42565</c:v>
                </c:pt>
                <c:pt idx="502">
                  <c:v>42566</c:v>
                </c:pt>
                <c:pt idx="503">
                  <c:v>42570</c:v>
                </c:pt>
                <c:pt idx="504">
                  <c:v>42571</c:v>
                </c:pt>
                <c:pt idx="505">
                  <c:v>42572</c:v>
                </c:pt>
                <c:pt idx="506">
                  <c:v>42573</c:v>
                </c:pt>
                <c:pt idx="507">
                  <c:v>42576</c:v>
                </c:pt>
                <c:pt idx="508">
                  <c:v>42577</c:v>
                </c:pt>
                <c:pt idx="509">
                  <c:v>42578</c:v>
                </c:pt>
                <c:pt idx="510">
                  <c:v>42579</c:v>
                </c:pt>
                <c:pt idx="511">
                  <c:v>42580</c:v>
                </c:pt>
                <c:pt idx="512">
                  <c:v>42583</c:v>
                </c:pt>
                <c:pt idx="513">
                  <c:v>42584</c:v>
                </c:pt>
                <c:pt idx="514">
                  <c:v>42585</c:v>
                </c:pt>
                <c:pt idx="515">
                  <c:v>42586</c:v>
                </c:pt>
                <c:pt idx="516">
                  <c:v>42587</c:v>
                </c:pt>
                <c:pt idx="517">
                  <c:v>42590</c:v>
                </c:pt>
                <c:pt idx="518">
                  <c:v>42597</c:v>
                </c:pt>
                <c:pt idx="519">
                  <c:v>42604</c:v>
                </c:pt>
                <c:pt idx="520">
                  <c:v>42612</c:v>
                </c:pt>
                <c:pt idx="521">
                  <c:v>42618</c:v>
                </c:pt>
                <c:pt idx="522">
                  <c:v>42625</c:v>
                </c:pt>
                <c:pt idx="523">
                  <c:v>42633</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1.3500490403058848E-3</c:v>
                </c:pt>
                <c:pt idx="1">
                  <c:v>1.3500467837022853E-3</c:v>
                </c:pt>
                <c:pt idx="2">
                  <c:v>1.3500445368213431E-3</c:v>
                </c:pt>
                <c:pt idx="3">
                  <c:v>1.3500487934150016E-3</c:v>
                </c:pt>
                <c:pt idx="4">
                  <c:v>1.3500357460645249E-3</c:v>
                </c:pt>
                <c:pt idx="5">
                  <c:v>1.3500336224545413E-3</c:v>
                </c:pt>
                <c:pt idx="6">
                  <c:v>1.3500315384320216E-3</c:v>
                </c:pt>
                <c:pt idx="7">
                  <c:v>1.3500294989729851E-3</c:v>
                </c:pt>
                <c:pt idx="8">
                  <c:v>1.3500321611477025E-3</c:v>
                </c:pt>
                <c:pt idx="9">
                  <c:v>1.3500242697496846E-3</c:v>
                </c:pt>
                <c:pt idx="10">
                  <c:v>1.3500201443541666E-3</c:v>
                </c:pt>
                <c:pt idx="11">
                  <c:v>1.3500184751155061E-3</c:v>
                </c:pt>
                <c:pt idx="12">
                  <c:v>1.3500168751318822E-3</c:v>
                </c:pt>
                <c:pt idx="13">
                  <c:v>1.3500202322642896E-3</c:v>
                </c:pt>
                <c:pt idx="14">
                  <c:v>1.3500110642470655E-3</c:v>
                </c:pt>
                <c:pt idx="15">
                  <c:v>1.3500097329154988E-3</c:v>
                </c:pt>
                <c:pt idx="16">
                  <c:v>1.3500084413694982E-3</c:v>
                </c:pt>
                <c:pt idx="17">
                  <c:v>1.3500071923260209E-3</c:v>
                </c:pt>
                <c:pt idx="18">
                  <c:v>1.3500110240454212E-3</c:v>
                </c:pt>
                <c:pt idx="19">
                  <c:v>1.3500027071094748E-3</c:v>
                </c:pt>
                <c:pt idx="20">
                  <c:v>1.3500017350253225E-3</c:v>
                </c:pt>
                <c:pt idx="21">
                  <c:v>1.3500008312239409E-3</c:v>
                </c:pt>
                <c:pt idx="22">
                  <c:v>1.3500000000001555E-3</c:v>
                </c:pt>
                <c:pt idx="23">
                  <c:v>1.3500068611880479E-3</c:v>
                </c:pt>
                <c:pt idx="24">
                  <c:v>1.3499974137002855E-3</c:v>
                </c:pt>
                <c:pt idx="25">
                  <c:v>1.3499969401286689E-3</c:v>
                </c:pt>
                <c:pt idx="26">
                  <c:v>1.3499965306440487E-3</c:v>
                </c:pt>
                <c:pt idx="27">
                  <c:v>1.3499961826884713E-3</c:v>
                </c:pt>
                <c:pt idx="28">
                  <c:v>1.350000989638924E-3</c:v>
                </c:pt>
                <c:pt idx="29">
                  <c:v>1.3499952763317425E-3</c:v>
                </c:pt>
                <c:pt idx="30">
                  <c:v>1.3499952763317425E-3</c:v>
                </c:pt>
                <c:pt idx="31">
                  <c:v>1.3499952549792576E-3</c:v>
                </c:pt>
                <c:pt idx="32">
                  <c:v>1.3500004164999409E-3</c:v>
                </c:pt>
                <c:pt idx="33">
                  <c:v>1.3499956846416501E-3</c:v>
                </c:pt>
                <c:pt idx="34">
                  <c:v>1.3499958755480712E-3</c:v>
                </c:pt>
                <c:pt idx="35">
                  <c:v>1.3499960947353483E-3</c:v>
                </c:pt>
                <c:pt idx="36">
                  <c:v>1.3499963396472652E-3</c:v>
                </c:pt>
                <c:pt idx="37">
                  <c:v>1.3500043308028833E-3</c:v>
                </c:pt>
                <c:pt idx="38">
                  <c:v>1.3499975253813848E-3</c:v>
                </c:pt>
                <c:pt idx="39">
                  <c:v>1.3499978605497995E-3</c:v>
                </c:pt>
                <c:pt idx="40">
                  <c:v>1.3499982060968688E-3</c:v>
                </c:pt>
                <c:pt idx="41">
                  <c:v>1.3499985594646385E-3</c:v>
                </c:pt>
                <c:pt idx="42">
                  <c:v>1.3500041328956428E-3</c:v>
                </c:pt>
                <c:pt idx="43">
                  <c:v>1.3500000000001555E-3</c:v>
                </c:pt>
                <c:pt idx="44">
                  <c:v>1.3500003543045675E-3</c:v>
                </c:pt>
                <c:pt idx="45">
                  <c:v>1.3500007022401608E-3</c:v>
                </c:pt>
                <c:pt idx="46">
                  <c:v>1.3500010424028414E-3</c:v>
                </c:pt>
                <c:pt idx="47">
                  <c:v>1.3500066566649214E-3</c:v>
                </c:pt>
                <c:pt idx="48">
                  <c:v>1.3500022972729622E-3</c:v>
                </c:pt>
                <c:pt idx="49">
                  <c:v>1.3500025775313874E-3</c:v>
                </c:pt>
                <c:pt idx="50">
                  <c:v>1.3500028415984165E-3</c:v>
                </c:pt>
                <c:pt idx="51">
                  <c:v>1.3500030880742998E-3</c:v>
                </c:pt>
                <c:pt idx="52">
                  <c:v>1.3500110954624525E-3</c:v>
                </c:pt>
                <c:pt idx="53">
                  <c:v>1.3500040074527861E-3</c:v>
                </c:pt>
                <c:pt idx="54">
                  <c:v>1.350004118908848E-3</c:v>
                </c:pt>
                <c:pt idx="55">
                  <c:v>1.3500042029511862E-3</c:v>
                </c:pt>
                <c:pt idx="56">
                  <c:v>1.3500017477490384E-3</c:v>
                </c:pt>
                <c:pt idx="57">
                  <c:v>1.3500017938633596E-3</c:v>
                </c:pt>
                <c:pt idx="58">
                  <c:v>1.3500017451945983E-3</c:v>
                </c:pt>
                <c:pt idx="59">
                  <c:v>1.3500016621401558E-3</c:v>
                </c:pt>
                <c:pt idx="60">
                  <c:v>1.3500015432831437E-3</c:v>
                </c:pt>
                <c:pt idx="61">
                  <c:v>1.3500013872040381E-3</c:v>
                </c:pt>
                <c:pt idx="62">
                  <c:v>1.3500006814573683E-3</c:v>
                </c:pt>
                <c:pt idx="63">
                  <c:v>1.3500003623104614E-3</c:v>
                </c:pt>
                <c:pt idx="64">
                  <c:v>1.3499999988499909E-3</c:v>
                </c:pt>
                <c:pt idx="65">
                  <c:v>1.3499995906349907E-3</c:v>
                </c:pt>
                <c:pt idx="66">
                  <c:v>1.3499991411299421E-3</c:v>
                </c:pt>
                <c:pt idx="67">
                  <c:v>1.3499970190744438E-3</c:v>
                </c:pt>
                <c:pt idx="68">
                  <c:v>1.3499970190744438E-3</c:v>
                </c:pt>
                <c:pt idx="69">
                  <c:v>1.3499958258170828E-3</c:v>
                </c:pt>
                <c:pt idx="70">
                  <c:v>1.3499952116797702E-3</c:v>
                </c:pt>
                <c:pt idx="71">
                  <c:v>1.3499933525427501E-3</c:v>
                </c:pt>
                <c:pt idx="72">
                  <c:v>1.3499921436065023E-3</c:v>
                </c:pt>
                <c:pt idx="73">
                  <c:v>1.3499921436065023E-3</c:v>
                </c:pt>
                <c:pt idx="74">
                  <c:v>1.3499975743529976E-3</c:v>
                </c:pt>
                <c:pt idx="75">
                  <c:v>1.3499894871178469E-3</c:v>
                </c:pt>
                <c:pt idx="76">
                  <c:v>1.3499890540769909E-3</c:v>
                </c:pt>
                <c:pt idx="77">
                  <c:v>1.3500009701170046E-3</c:v>
                </c:pt>
                <c:pt idx="78">
                  <c:v>1.3499982767656118E-3</c:v>
                </c:pt>
                <c:pt idx="79">
                  <c:v>1.3499955843074224E-3</c:v>
                </c:pt>
                <c:pt idx="80">
                  <c:v>1.3499901602441889E-3</c:v>
                </c:pt>
                <c:pt idx="81">
                  <c:v>1.3499901896232968E-3</c:v>
                </c:pt>
                <c:pt idx="82">
                  <c:v>1.3499902963883285E-3</c:v>
                </c:pt>
                <c:pt idx="83">
                  <c:v>1.3499904849340293E-3</c:v>
                </c:pt>
                <c:pt idx="84">
                  <c:v>1.349999999999378E-3</c:v>
                </c:pt>
                <c:pt idx="85">
                  <c:v>1.3499927942563278E-3</c:v>
                </c:pt>
                <c:pt idx="86">
                  <c:v>1.3499927942563278E-3</c:v>
                </c:pt>
                <c:pt idx="87">
                  <c:v>1.3499943513281905E-3</c:v>
                </c:pt>
                <c:pt idx="88">
                  <c:v>1.3500021846642794E-3</c:v>
                </c:pt>
                <c:pt idx="89">
                  <c:v>1.3499980889931508E-3</c:v>
                </c:pt>
                <c:pt idx="90">
                  <c:v>1.3499990758976219E-3</c:v>
                </c:pt>
                <c:pt idx="91">
                  <c:v>1.3500000572578324E-3</c:v>
                </c:pt>
                <c:pt idx="92">
                  <c:v>1.35000101980179E-3</c:v>
                </c:pt>
                <c:pt idx="93">
                  <c:v>1.350008589642104E-3</c:v>
                </c:pt>
                <c:pt idx="94">
                  <c:v>1.350004416416084E-3</c:v>
                </c:pt>
                <c:pt idx="95">
                  <c:v>1.3500050858258291E-3</c:v>
                </c:pt>
                <c:pt idx="96">
                  <c:v>1.3500056567986635E-3</c:v>
                </c:pt>
                <c:pt idx="97">
                  <c:v>1.3500061160625946E-3</c:v>
                </c:pt>
                <c:pt idx="98">
                  <c:v>1.3500036627437947E-3</c:v>
                </c:pt>
                <c:pt idx="99">
                  <c:v>1.3500062722924062E-3</c:v>
                </c:pt>
                <c:pt idx="100">
                  <c:v>1.3500062722924062E-3</c:v>
                </c:pt>
                <c:pt idx="101">
                  <c:v>1.3500050883620612E-3</c:v>
                </c:pt>
                <c:pt idx="102">
                  <c:v>1.3500067810454273E-3</c:v>
                </c:pt>
                <c:pt idx="103">
                  <c:v>1.3499999998776448E-3</c:v>
                </c:pt>
                <c:pt idx="104">
                  <c:v>1.3499986254475191E-3</c:v>
                </c:pt>
                <c:pt idx="105">
                  <c:v>1.3499959566310377E-3</c:v>
                </c:pt>
                <c:pt idx="106">
                  <c:v>1.3499936353504787E-3</c:v>
                </c:pt>
                <c:pt idx="107">
                  <c:v>1.3499916034160613E-3</c:v>
                </c:pt>
                <c:pt idx="108">
                  <c:v>1.349983380072113E-3</c:v>
                </c:pt>
                <c:pt idx="109">
                  <c:v>1.3499807941927762E-3</c:v>
                </c:pt>
                <c:pt idx="110">
                  <c:v>1.349978287682125E-3</c:v>
                </c:pt>
                <c:pt idx="111">
                  <c:v>1.3499759046379284E-3</c:v>
                </c:pt>
                <c:pt idx="112">
                  <c:v>1.3499758625470275E-3</c:v>
                </c:pt>
                <c:pt idx="113">
                  <c:v>1.3499673847539996E-3</c:v>
                </c:pt>
                <c:pt idx="114">
                  <c:v>1.3499673847539996E-3</c:v>
                </c:pt>
                <c:pt idx="115">
                  <c:v>1.3499663844211394E-3</c:v>
                </c:pt>
                <c:pt idx="116">
                  <c:v>1.3499634390890581E-3</c:v>
                </c:pt>
                <c:pt idx="117">
                  <c:v>1.3499657066308169E-3</c:v>
                </c:pt>
                <c:pt idx="118">
                  <c:v>1.3499628646931328E-3</c:v>
                </c:pt>
                <c:pt idx="119">
                  <c:v>1.3499648431434252E-3</c:v>
                </c:pt>
                <c:pt idx="120">
                  <c:v>1.3499674924304372E-3</c:v>
                </c:pt>
                <c:pt idx="121">
                  <c:v>1.3499708576318881E-3</c:v>
                </c:pt>
                <c:pt idx="122">
                  <c:v>1.3499946746684556E-3</c:v>
                </c:pt>
                <c:pt idx="123">
                  <c:v>1.3499923790929458E-3</c:v>
                </c:pt>
                <c:pt idx="124">
                  <c:v>1.3500000000004064E-3</c:v>
                </c:pt>
                <c:pt idx="125">
                  <c:v>1.3500085917597104E-3</c:v>
                </c:pt>
                <c:pt idx="126">
                  <c:v>1.3500181218670804E-3</c:v>
                </c:pt>
                <c:pt idx="127">
                  <c:v>1.3500659434061803E-3</c:v>
                </c:pt>
                <c:pt idx="128">
                  <c:v>1.3500646653357151E-3</c:v>
                </c:pt>
                <c:pt idx="129">
                  <c:v>1.3500781668565054E-3</c:v>
                </c:pt>
                <c:pt idx="130">
                  <c:v>1.3500923185949532E-3</c:v>
                </c:pt>
                <c:pt idx="131">
                  <c:v>1.350107072530804E-3</c:v>
                </c:pt>
                <c:pt idx="132">
                  <c:v>1.350171224874998E-3</c:v>
                </c:pt>
                <c:pt idx="133">
                  <c:v>1.3501881944115723E-3</c:v>
                </c:pt>
                <c:pt idx="134">
                  <c:v>1.3501881944115723E-3</c:v>
                </c:pt>
                <c:pt idx="135">
                  <c:v>1.3503123246292961E-3</c:v>
                </c:pt>
                <c:pt idx="136">
                  <c:v>1.3504334563040489E-3</c:v>
                </c:pt>
                <c:pt idx="137">
                  <c:v>1.3504334563040489E-3</c:v>
                </c:pt>
                <c:pt idx="138">
                  <c:v>1.3504379461872773E-3</c:v>
                </c:pt>
                <c:pt idx="139">
                  <c:v>1.3504546595557443E-3</c:v>
                </c:pt>
                <c:pt idx="140">
                  <c:v>1.3504709666705139E-3</c:v>
                </c:pt>
                <c:pt idx="141">
                  <c:v>1.3505311721626612E-3</c:v>
                </c:pt>
                <c:pt idx="142">
                  <c:v>1.3505311721626612E-3</c:v>
                </c:pt>
                <c:pt idx="143">
                  <c:v>1.3505576114800633E-3</c:v>
                </c:pt>
                <c:pt idx="144">
                  <c:v>1.3505697840177078E-3</c:v>
                </c:pt>
                <c:pt idx="145">
                  <c:v>1.3506074964415632E-3</c:v>
                </c:pt>
                <c:pt idx="146">
                  <c:v>1.3506107692693448E-3</c:v>
                </c:pt>
                <c:pt idx="147">
                  <c:v>1.350618934198522E-3</c:v>
                </c:pt>
                <c:pt idx="148">
                  <c:v>1.3506262045082096E-3</c:v>
                </c:pt>
                <c:pt idx="149">
                  <c:v>1.3506325491690063E-3</c:v>
                </c:pt>
                <c:pt idx="150">
                  <c:v>1.3506441439064061E-3</c:v>
                </c:pt>
                <c:pt idx="151">
                  <c:v>1.3506480506642049E-3</c:v>
                </c:pt>
                <c:pt idx="152">
                  <c:v>1.3506493015924548E-3</c:v>
                </c:pt>
                <c:pt idx="153">
                  <c:v>1.3506442379885109E-3</c:v>
                </c:pt>
                <c:pt idx="154">
                  <c:v>1.350648436885038E-3</c:v>
                </c:pt>
                <c:pt idx="155">
                  <c:v>1.3505894059928636E-3</c:v>
                </c:pt>
                <c:pt idx="156">
                  <c:v>1.3505932674064179E-3</c:v>
                </c:pt>
                <c:pt idx="157">
                  <c:v>1.3505974385726823E-3</c:v>
                </c:pt>
                <c:pt idx="158">
                  <c:v>1.3506019424816339E-3</c:v>
                </c:pt>
                <c:pt idx="159">
                  <c:v>1.3506068031468033E-3</c:v>
                </c:pt>
                <c:pt idx="160">
                  <c:v>1.3505478989199202E-3</c:v>
                </c:pt>
                <c:pt idx="161">
                  <c:v>1.3505530902406804E-3</c:v>
                </c:pt>
                <c:pt idx="162">
                  <c:v>1.3505415972049238E-3</c:v>
                </c:pt>
                <c:pt idx="163">
                  <c:v>1.3505415972049238E-3</c:v>
                </c:pt>
                <c:pt idx="164">
                  <c:v>1.3503919534831365E-3</c:v>
                </c:pt>
                <c:pt idx="165">
                  <c:v>1.3503963511016792E-3</c:v>
                </c:pt>
                <c:pt idx="166">
                  <c:v>1.3504008665220864E-3</c:v>
                </c:pt>
                <c:pt idx="167">
                  <c:v>1.3503702500033278E-3</c:v>
                </c:pt>
                <c:pt idx="168">
                  <c:v>1.3503373522989919E-3</c:v>
                </c:pt>
                <c:pt idx="169">
                  <c:v>1.3500886284082464E-3</c:v>
                </c:pt>
                <c:pt idx="170">
                  <c:v>1.3500884330778437E-3</c:v>
                </c:pt>
                <c:pt idx="171">
                  <c:v>1.3500879496799456E-3</c:v>
                </c:pt>
                <c:pt idx="172">
                  <c:v>1.3500871248063331E-3</c:v>
                </c:pt>
                <c:pt idx="173">
                  <c:v>1.3499316239987155E-3</c:v>
                </c:pt>
                <c:pt idx="174">
                  <c:v>1.3496878836004734E-3</c:v>
                </c:pt>
                <c:pt idx="175">
                  <c:v>1.3496182210795044E-3</c:v>
                </c:pt>
                <c:pt idx="176">
                  <c:v>1.3495451994133992E-3</c:v>
                </c:pt>
                <c:pt idx="177">
                  <c:v>1.3494687333251553E-3</c:v>
                </c:pt>
                <c:pt idx="178">
                  <c:v>1.3492493702449663E-3</c:v>
                </c:pt>
                <c:pt idx="179">
                  <c:v>1.3491267192133412E-3</c:v>
                </c:pt>
                <c:pt idx="180">
                  <c:v>1.349031751862836E-3</c:v>
                </c:pt>
                <c:pt idx="181">
                  <c:v>1.3489328768390152E-3</c:v>
                </c:pt>
                <c:pt idx="182">
                  <c:v>1.3488302509095218E-3</c:v>
                </c:pt>
                <c:pt idx="183">
                  <c:v>1.3485602938532748E-3</c:v>
                </c:pt>
                <c:pt idx="184">
                  <c:v>1.3483863416714579E-3</c:v>
                </c:pt>
                <c:pt idx="185">
                  <c:v>1.3482680388647765E-3</c:v>
                </c:pt>
                <c:pt idx="186">
                  <c:v>1.3481472162128931E-3</c:v>
                </c:pt>
                <c:pt idx="187">
                  <c:v>1.348024078891684E-3</c:v>
                </c:pt>
                <c:pt idx="188">
                  <c:v>1.3477277251082648E-3</c:v>
                </c:pt>
                <c:pt idx="189">
                  <c:v>1.3475124864458861E-3</c:v>
                </c:pt>
                <c:pt idx="190">
                  <c:v>1.3473808534274878E-3</c:v>
                </c:pt>
                <c:pt idx="191">
                  <c:v>1.3472481367984967E-3</c:v>
                </c:pt>
                <c:pt idx="192">
                  <c:v>1.3471145417365271E-3</c:v>
                </c:pt>
                <c:pt idx="193">
                  <c:v>1.3468193847096224E-3</c:v>
                </c:pt>
                <c:pt idx="194">
                  <c:v>1.3465754806763898E-3</c:v>
                </c:pt>
                <c:pt idx="195">
                  <c:v>1.3465176132331968E-3</c:v>
                </c:pt>
                <c:pt idx="196">
                  <c:v>1.3463811999779997E-3</c:v>
                </c:pt>
                <c:pt idx="197">
                  <c:v>1.3462451866938477E-3</c:v>
                </c:pt>
                <c:pt idx="198">
                  <c:v>1.3455783798933031E-3</c:v>
                </c:pt>
                <c:pt idx="199">
                  <c:v>1.3454491224674414E-3</c:v>
                </c:pt>
                <c:pt idx="200">
                  <c:v>1.3453217170221268E-3</c:v>
                </c:pt>
                <c:pt idx="201">
                  <c:v>1.3451963709887938E-3</c:v>
                </c:pt>
                <c:pt idx="202">
                  <c:v>1.3448347636539489E-3</c:v>
                </c:pt>
                <c:pt idx="203">
                  <c:v>1.3447197295635637E-3</c:v>
                </c:pt>
                <c:pt idx="204">
                  <c:v>1.3446077920335495E-3</c:v>
                </c:pt>
                <c:pt idx="205">
                  <c:v>1.344499158494462E-3</c:v>
                </c:pt>
                <c:pt idx="206">
                  <c:v>1.3443940363759795E-3</c:v>
                </c:pt>
                <c:pt idx="207">
                  <c:v>1.344089314658985E-3</c:v>
                </c:pt>
                <c:pt idx="208">
                  <c:v>1.3440128106963838E-3</c:v>
                </c:pt>
                <c:pt idx="209">
                  <c:v>1.3439283571243361E-3</c:v>
                </c:pt>
                <c:pt idx="210">
                  <c:v>1.34384865955096E-3</c:v>
                </c:pt>
                <c:pt idx="211">
                  <c:v>1.3437739254059337E-3</c:v>
                </c:pt>
                <c:pt idx="212">
                  <c:v>1.3435815778386094E-3</c:v>
                </c:pt>
                <c:pt idx="213">
                  <c:v>1.3435287717046384E-3</c:v>
                </c:pt>
                <c:pt idx="214">
                  <c:v>1.3434795200858876E-3</c:v>
                </c:pt>
                <c:pt idx="215">
                  <c:v>1.3434795200858876E-3</c:v>
                </c:pt>
                <c:pt idx="216">
                  <c:v>1.3434276761341473E-3</c:v>
                </c:pt>
                <c:pt idx="217">
                  <c:v>1.3434276761341473E-3</c:v>
                </c:pt>
                <c:pt idx="218">
                  <c:v>1.3435683081184659E-3</c:v>
                </c:pt>
                <c:pt idx="219">
                  <c:v>1.3436248652748154E-3</c:v>
                </c:pt>
                <c:pt idx="220">
                  <c:v>1.3436903924480682E-3</c:v>
                </c:pt>
                <c:pt idx="221">
                  <c:v>1.3437650948149693E-3</c:v>
                </c:pt>
                <c:pt idx="222">
                  <c:v>1.344125197124254E-3</c:v>
                </c:pt>
                <c:pt idx="223">
                  <c:v>1.344159759752222E-3</c:v>
                </c:pt>
                <c:pt idx="224">
                  <c:v>1.3442834157385421E-3</c:v>
                </c:pt>
                <c:pt idx="225">
                  <c:v>1.3444174779798502E-3</c:v>
                </c:pt>
                <c:pt idx="226">
                  <c:v>1.3445621516528917E-3</c:v>
                </c:pt>
                <c:pt idx="227">
                  <c:v>1.3450903122533451E-3</c:v>
                </c:pt>
                <c:pt idx="228">
                  <c:v>1.345451872709721E-3</c:v>
                </c:pt>
                <c:pt idx="229">
                  <c:v>1.3456645237039258E-3</c:v>
                </c:pt>
                <c:pt idx="230">
                  <c:v>1.3458892223740309E-3</c:v>
                </c:pt>
                <c:pt idx="231">
                  <c:v>1.3458969211271328E-3</c:v>
                </c:pt>
                <c:pt idx="232">
                  <c:v>1.3469125973857203E-3</c:v>
                </c:pt>
                <c:pt idx="233">
                  <c:v>1.3472006121160464E-3</c:v>
                </c:pt>
                <c:pt idx="234">
                  <c:v>1.3475019055931704E-3</c:v>
                </c:pt>
                <c:pt idx="235">
                  <c:v>1.3478166829999194E-3</c:v>
                </c:pt>
                <c:pt idx="236">
                  <c:v>1.3487218298208557E-3</c:v>
                </c:pt>
                <c:pt idx="237">
                  <c:v>1.349214735501512E-3</c:v>
                </c:pt>
                <c:pt idx="238">
                  <c:v>1.3496000102466627E-3</c:v>
                </c:pt>
                <c:pt idx="239">
                  <c:v>1.3500000000010244E-3</c:v>
                </c:pt>
                <c:pt idx="240">
                  <c:v>1.350414810618184E-3</c:v>
                </c:pt>
                <c:pt idx="241">
                  <c:v>1.3515216438355294E-3</c:v>
                </c:pt>
                <c:pt idx="242">
                  <c:v>1.3522154393955704E-3</c:v>
                </c:pt>
                <c:pt idx="243">
                  <c:v>1.3526989892678875E-3</c:v>
                </c:pt>
                <c:pt idx="244">
                  <c:v>1.3531951146521408E-3</c:v>
                </c:pt>
                <c:pt idx="245">
                  <c:v>1.3537034247687477E-3</c:v>
                </c:pt>
                <c:pt idx="246">
                  <c:v>1.3561026232281833E-3</c:v>
                </c:pt>
                <c:pt idx="247">
                  <c:v>1.3566186193138055E-3</c:v>
                </c:pt>
                <c:pt idx="248">
                  <c:v>1.3568004846670379E-3</c:v>
                </c:pt>
                <c:pt idx="249">
                  <c:v>1.3569872811503498E-3</c:v>
                </c:pt>
                <c:pt idx="250">
                  <c:v>1.3575699425442654E-3</c:v>
                </c:pt>
                <c:pt idx="251">
                  <c:v>1.3589466685378425E-3</c:v>
                </c:pt>
                <c:pt idx="252">
                  <c:v>1.3599872651958796E-3</c:v>
                </c:pt>
                <c:pt idx="253">
                  <c:v>1.360611311222038E-3</c:v>
                </c:pt>
                <c:pt idx="254">
                  <c:v>1.3612424618285989E-3</c:v>
                </c:pt>
                <c:pt idx="255">
                  <c:v>1.3618803262351103E-3</c:v>
                </c:pt>
                <c:pt idx="256">
                  <c:v>1.3633154103742189E-3</c:v>
                </c:pt>
                <c:pt idx="257">
                  <c:v>1.3644911062064534E-3</c:v>
                </c:pt>
                <c:pt idx="258">
                  <c:v>1.3651566778720607E-3</c:v>
                </c:pt>
                <c:pt idx="259">
                  <c:v>1.3658266186392703E-3</c:v>
                </c:pt>
                <c:pt idx="260">
                  <c:v>1.3665005377258928E-3</c:v>
                </c:pt>
                <c:pt idx="261">
                  <c:v>1.3683257641510238E-3</c:v>
                </c:pt>
                <c:pt idx="262">
                  <c:v>1.3692281815749414E-3</c:v>
                </c:pt>
                <c:pt idx="263">
                  <c:v>1.3699161304901672E-3</c:v>
                </c:pt>
                <c:pt idx="264">
                  <c:v>1.370605713016031E-3</c:v>
                </c:pt>
                <c:pt idx="265">
                  <c:v>1.3712965383686059E-3</c:v>
                </c:pt>
                <c:pt idx="266">
                  <c:v>1.372709416042038E-3</c:v>
                </c:pt>
                <c:pt idx="267">
                  <c:v>1.3747556299939152E-3</c:v>
                </c:pt>
                <c:pt idx="268">
                  <c:v>1.3747556299939152E-3</c:v>
                </c:pt>
                <c:pt idx="269">
                  <c:v>1.3761342888966072E-3</c:v>
                </c:pt>
                <c:pt idx="270">
                  <c:v>1.3774723033844346E-3</c:v>
                </c:pt>
                <c:pt idx="271">
                  <c:v>1.3788658787691635E-3</c:v>
                </c:pt>
                <c:pt idx="272">
                  <c:v>1.3795411366518166E-3</c:v>
                </c:pt>
                <c:pt idx="273">
                  <c:v>1.3802125571232115E-3</c:v>
                </c:pt>
                <c:pt idx="274">
                  <c:v>1.3808797493942077E-3</c:v>
                </c:pt>
                <c:pt idx="275">
                  <c:v>1.381252448013952E-3</c:v>
                </c:pt>
                <c:pt idx="276">
                  <c:v>1.3837606459515637E-3</c:v>
                </c:pt>
                <c:pt idx="277">
                  <c:v>1.3841386100824687E-3</c:v>
                </c:pt>
                <c:pt idx="278">
                  <c:v>1.3847722265548019E-3</c:v>
                </c:pt>
                <c:pt idx="279">
                  <c:v>1.3853988792949356E-3</c:v>
                </c:pt>
                <c:pt idx="280">
                  <c:v>1.3864739010882587E-3</c:v>
                </c:pt>
                <c:pt idx="281">
                  <c:v>1.3878280370898499E-3</c:v>
                </c:pt>
                <c:pt idx="282">
                  <c:v>1.3884140092893082E-3</c:v>
                </c:pt>
                <c:pt idx="283">
                  <c:v>1.3889906730052174E-3</c:v>
                </c:pt>
                <c:pt idx="284">
                  <c:v>1.3895576374449619E-3</c:v>
                </c:pt>
                <c:pt idx="285">
                  <c:v>1.3904502312317079E-3</c:v>
                </c:pt>
                <c:pt idx="286">
                  <c:v>1.3917206865882402E-3</c:v>
                </c:pt>
                <c:pt idx="287">
                  <c:v>1.3922332927561877E-3</c:v>
                </c:pt>
                <c:pt idx="288">
                  <c:v>1.3927338548905387E-3</c:v>
                </c:pt>
                <c:pt idx="289">
                  <c:v>1.3932219821986777E-3</c:v>
                </c:pt>
                <c:pt idx="290">
                  <c:v>1.3939940099392607E-3</c:v>
                </c:pt>
                <c:pt idx="291">
                  <c:v>1.3950423272994204E-3</c:v>
                </c:pt>
                <c:pt idx="292">
                  <c:v>1.3954624185742305E-3</c:v>
                </c:pt>
                <c:pt idx="293">
                  <c:v>1.3958677302619211E-3</c:v>
                </c:pt>
                <c:pt idx="294">
                  <c:v>1.3962578715690076E-3</c:v>
                </c:pt>
                <c:pt idx="295">
                  <c:v>1.3966980000871714E-3</c:v>
                </c:pt>
                <c:pt idx="296">
                  <c:v>1.3979651133745928E-3</c:v>
                </c:pt>
                <c:pt idx="297">
                  <c:v>1.3982663853858871E-3</c:v>
                </c:pt>
                <c:pt idx="298">
                  <c:v>1.3985497858898304E-3</c:v>
                </c:pt>
                <c:pt idx="299">
                  <c:v>1.3988149198002613E-3</c:v>
                </c:pt>
                <c:pt idx="300">
                  <c:v>1.3994967711097415E-3</c:v>
                </c:pt>
                <c:pt idx="301">
                  <c:v>1.3996848877888986E-3</c:v>
                </c:pt>
                <c:pt idx="302">
                  <c:v>1.3998527624472488E-3</c:v>
                </c:pt>
                <c:pt idx="303">
                  <c:v>1.4000000000003875E-3</c:v>
                </c:pt>
                <c:pt idx="304">
                  <c:v>1.4001263039022304E-3</c:v>
                </c:pt>
                <c:pt idx="305">
                  <c:v>1.4003809839788187E-3</c:v>
                </c:pt>
                <c:pt idx="306">
                  <c:v>1.4004251206327109E-3</c:v>
                </c:pt>
                <c:pt idx="307">
                  <c:v>1.4004492058535616E-3</c:v>
                </c:pt>
                <c:pt idx="308">
                  <c:v>1.4004534357956724E-3</c:v>
                </c:pt>
                <c:pt idx="309">
                  <c:v>1.4004380066080745E-3</c:v>
                </c:pt>
                <c:pt idx="310">
                  <c:v>1.3999435744056414E-3</c:v>
                </c:pt>
                <c:pt idx="311">
                  <c:v>1.3999435744056414E-3</c:v>
                </c:pt>
                <c:pt idx="312">
                  <c:v>1.3989955764561457E-3</c:v>
                </c:pt>
                <c:pt idx="313">
                  <c:v>1.3990268831095836E-3</c:v>
                </c:pt>
                <c:pt idx="314">
                  <c:v>1.398790844405397E-3</c:v>
                </c:pt>
                <c:pt idx="315">
                  <c:v>1.3974312494806746E-3</c:v>
                </c:pt>
                <c:pt idx="316">
                  <c:v>1.3974232658291027E-3</c:v>
                </c:pt>
                <c:pt idx="317">
                  <c:v>1.3970606763542657E-3</c:v>
                </c:pt>
                <c:pt idx="318">
                  <c:v>1.3967187591397243E-3</c:v>
                </c:pt>
                <c:pt idx="319">
                  <c:v>1.3963610482709723E-3</c:v>
                </c:pt>
                <c:pt idx="320">
                  <c:v>1.3959877377754128E-3</c:v>
                </c:pt>
                <c:pt idx="321">
                  <c:v>1.3946186359583791E-3</c:v>
                </c:pt>
                <c:pt idx="322">
                  <c:v>1.3938939817885647E-3</c:v>
                </c:pt>
                <c:pt idx="323">
                  <c:v>1.3938939817885647E-3</c:v>
                </c:pt>
                <c:pt idx="324">
                  <c:v>1.392954072908273E-3</c:v>
                </c:pt>
                <c:pt idx="325">
                  <c:v>1.3917403438646018E-3</c:v>
                </c:pt>
                <c:pt idx="326">
                  <c:v>1.3909072383255783E-3</c:v>
                </c:pt>
                <c:pt idx="327">
                  <c:v>1.3903618663293194E-3</c:v>
                </c:pt>
                <c:pt idx="328">
                  <c:v>1.3898034170459811E-3</c:v>
                </c:pt>
                <c:pt idx="329">
                  <c:v>1.3892320845012285E-3</c:v>
                </c:pt>
                <c:pt idx="330">
                  <c:v>1.3878647713327682E-3</c:v>
                </c:pt>
                <c:pt idx="331">
                  <c:v>1.3868218022457066E-3</c:v>
                </c:pt>
                <c:pt idx="332">
                  <c:v>1.386188963795368E-3</c:v>
                </c:pt>
                <c:pt idx="333">
                  <c:v>1.3855444062428192E-3</c:v>
                </c:pt>
                <c:pt idx="334">
                  <c:v>1.3848883236154627E-3</c:v>
                </c:pt>
                <c:pt idx="335">
                  <c:v>1.3846356680741008E-3</c:v>
                </c:pt>
                <c:pt idx="336">
                  <c:v>1.3821526228808207E-3</c:v>
                </c:pt>
                <c:pt idx="337">
                  <c:v>1.3807206667480212E-3</c:v>
                </c:pt>
                <c:pt idx="338">
                  <c:v>1.3807206667480212E-3</c:v>
                </c:pt>
                <c:pt idx="339">
                  <c:v>1.3783710813615841E-3</c:v>
                </c:pt>
                <c:pt idx="340">
                  <c:v>1.376966251280809E-3</c:v>
                </c:pt>
                <c:pt idx="341">
                  <c:v>1.3761870018002143E-3</c:v>
                </c:pt>
                <c:pt idx="342">
                  <c:v>1.3749477900819808E-3</c:v>
                </c:pt>
                <c:pt idx="343">
                  <c:v>1.3746016886585838E-3</c:v>
                </c:pt>
                <c:pt idx="344">
                  <c:v>1.3728832351492307E-3</c:v>
                </c:pt>
                <c:pt idx="345">
                  <c:v>1.3713292383669671E-3</c:v>
                </c:pt>
                <c:pt idx="346">
                  <c:v>1.3704910442728345E-3</c:v>
                </c:pt>
                <c:pt idx="347">
                  <c:v>1.3696452056206718E-3</c:v>
                </c:pt>
                <c:pt idx="348">
                  <c:v>1.3687919164352752E-3</c:v>
                </c:pt>
                <c:pt idx="349">
                  <c:v>1.3669882353579404E-3</c:v>
                </c:pt>
                <c:pt idx="350">
                  <c:v>1.3644205033654885E-3</c:v>
                </c:pt>
                <c:pt idx="351">
                  <c:v>1.3644205033654885E-3</c:v>
                </c:pt>
                <c:pt idx="352">
                  <c:v>1.3626265752585554E-3</c:v>
                </c:pt>
                <c:pt idx="353">
                  <c:v>1.3607512171156426E-3</c:v>
                </c:pt>
                <c:pt idx="354">
                  <c:v>1.3594578032630354E-3</c:v>
                </c:pt>
                <c:pt idx="355">
                  <c:v>1.3585319323771417E-3</c:v>
                </c:pt>
                <c:pt idx="356">
                  <c:v>1.357601114094031E-3</c:v>
                </c:pt>
                <c:pt idx="357">
                  <c:v>1.3566655445688832E-3</c:v>
                </c:pt>
                <c:pt idx="358">
                  <c:v>1.3557254199542429E-3</c:v>
                </c:pt>
                <c:pt idx="359">
                  <c:v>1.3528796771137483E-3</c:v>
                </c:pt>
                <c:pt idx="360">
                  <c:v>1.3519232936797622E-3</c:v>
                </c:pt>
                <c:pt idx="361">
                  <c:v>1.3509633359242779E-3</c:v>
                </c:pt>
                <c:pt idx="362">
                  <c:v>1.3499999999998405E-3</c:v>
                </c:pt>
                <c:pt idx="363">
                  <c:v>1.3490334866179848E-3</c:v>
                </c:pt>
                <c:pt idx="364">
                  <c:v>1.346117089418643E-3</c:v>
                </c:pt>
                <c:pt idx="365">
                  <c:v>1.3451400830149513E-3</c:v>
                </c:pt>
                <c:pt idx="366">
                  <c:v>1.344161012114115E-3</c:v>
                </c:pt>
                <c:pt idx="367">
                  <c:v>1.3431801002208653E-3</c:v>
                </c:pt>
                <c:pt idx="368">
                  <c:v>1.3421975708390547E-3</c:v>
                </c:pt>
                <c:pt idx="369">
                  <c:v>1.3387344471886735E-3</c:v>
                </c:pt>
                <c:pt idx="370">
                  <c:v>1.3382557484663683E-3</c:v>
                </c:pt>
                <c:pt idx="371">
                  <c:v>1.3362809434084263E-3</c:v>
                </c:pt>
                <c:pt idx="372">
                  <c:v>1.3362809434084263E-3</c:v>
                </c:pt>
                <c:pt idx="373">
                  <c:v>1.3298691256283367E-3</c:v>
                </c:pt>
                <c:pt idx="374">
                  <c:v>1.3254636688808787E-3</c:v>
                </c:pt>
                <c:pt idx="375">
                  <c:v>1.3254636688808787E-3</c:v>
                </c:pt>
                <c:pt idx="376">
                  <c:v>1.3235194470810603E-3</c:v>
                </c:pt>
                <c:pt idx="377">
                  <c:v>1.3225515032223689E-3</c:v>
                </c:pt>
                <c:pt idx="378">
                  <c:v>1.3215866353883869E-3</c:v>
                </c:pt>
                <c:pt idx="379">
                  <c:v>1.3177623942624177E-3</c:v>
                </c:pt>
                <c:pt idx="380">
                  <c:v>1.3177623942624177E-3</c:v>
                </c:pt>
                <c:pt idx="381">
                  <c:v>1.3158745407958973E-3</c:v>
                </c:pt>
                <c:pt idx="382">
                  <c:v>1.3149374630767401E-3</c:v>
                </c:pt>
                <c:pt idx="383">
                  <c:v>1.3121563079393434E-3</c:v>
                </c:pt>
                <c:pt idx="384">
                  <c:v>1.3112400272221091E-3</c:v>
                </c:pt>
                <c:pt idx="385">
                  <c:v>1.3103295044950033E-3</c:v>
                </c:pt>
                <c:pt idx="386">
                  <c:v>1.3094249632557302E-3</c:v>
                </c:pt>
                <c:pt idx="387">
                  <c:v>1.3085266269993582E-3</c:v>
                </c:pt>
                <c:pt idx="388">
                  <c:v>1.3058710830809702E-3</c:v>
                </c:pt>
                <c:pt idx="389">
                  <c:v>1.3049998017104023E-3</c:v>
                </c:pt>
                <c:pt idx="390">
                  <c:v>1.3041358427980786E-3</c:v>
                </c:pt>
                <c:pt idx="391">
                  <c:v>1.303279429839946E-3</c:v>
                </c:pt>
                <c:pt idx="392">
                  <c:v>1.3027889294017214E-3</c:v>
                </c:pt>
                <c:pt idx="393">
                  <c:v>1.2986331609392203E-3</c:v>
                </c:pt>
                <c:pt idx="394">
                  <c:v>1.298155789038197E-3</c:v>
                </c:pt>
                <c:pt idx="395">
                  <c:v>1.2976788716656527E-3</c:v>
                </c:pt>
                <c:pt idx="396">
                  <c:v>1.2972024581129869E-3</c:v>
                </c:pt>
                <c:pt idx="397">
                  <c:v>1.2967265998347396E-3</c:v>
                </c:pt>
                <c:pt idx="398">
                  <c:v>1.2944208396119857E-3</c:v>
                </c:pt>
                <c:pt idx="399">
                  <c:v>1.2939535762033216E-3</c:v>
                </c:pt>
                <c:pt idx="400">
                  <c:v>1.2932081037888565E-3</c:v>
                </c:pt>
                <c:pt idx="401">
                  <c:v>1.2917491933794878E-3</c:v>
                </c:pt>
                <c:pt idx="402">
                  <c:v>1.2917491933794878E-3</c:v>
                </c:pt>
                <c:pt idx="403">
                  <c:v>1.2889658375501156E-3</c:v>
                </c:pt>
                <c:pt idx="404">
                  <c:v>1.2882993303220402E-3</c:v>
                </c:pt>
                <c:pt idx="405">
                  <c:v>1.2876450077357049E-3</c:v>
                </c:pt>
                <c:pt idx="406">
                  <c:v>1.287003095765904E-3</c:v>
                </c:pt>
                <c:pt idx="407">
                  <c:v>1.2849752604474471E-3</c:v>
                </c:pt>
                <c:pt idx="408">
                  <c:v>1.2845640735656971E-3</c:v>
                </c:pt>
                <c:pt idx="409">
                  <c:v>1.2839876043102549E-3</c:v>
                </c:pt>
                <c:pt idx="410">
                  <c:v>1.2834249015218901E-3</c:v>
                </c:pt>
                <c:pt idx="411">
                  <c:v>1.2828761911771736E-3</c:v>
                </c:pt>
                <c:pt idx="412">
                  <c:v>1.281081164674528E-3</c:v>
                </c:pt>
                <c:pt idx="413">
                  <c:v>1.2806076147144135E-3</c:v>
                </c:pt>
                <c:pt idx="414">
                  <c:v>1.2801492313909413E-3</c:v>
                </c:pt>
                <c:pt idx="415">
                  <c:v>1.2797062357690168E-3</c:v>
                </c:pt>
                <c:pt idx="416">
                  <c:v>1.279134573901608E-3</c:v>
                </c:pt>
                <c:pt idx="417">
                  <c:v>1.278092551583611E-3</c:v>
                </c:pt>
                <c:pt idx="418">
                  <c:v>1.2777298104360568E-3</c:v>
                </c:pt>
                <c:pt idx="419">
                  <c:v>1.2773837833786148E-3</c:v>
                </c:pt>
                <c:pt idx="420">
                  <c:v>1.27705469147619E-3</c:v>
                </c:pt>
                <c:pt idx="421">
                  <c:v>1.2767179689531156E-3</c:v>
                </c:pt>
                <c:pt idx="422">
                  <c:v>1.2759088136261925E-3</c:v>
                </c:pt>
                <c:pt idx="423">
                  <c:v>1.2756645842816185E-3</c:v>
                </c:pt>
                <c:pt idx="424">
                  <c:v>1.2754370775368707E-3</c:v>
                </c:pt>
                <c:pt idx="425">
                  <c:v>1.2752262066700159E-3</c:v>
                </c:pt>
                <c:pt idx="426">
                  <c:v>1.2751208531518029E-3</c:v>
                </c:pt>
                <c:pt idx="427">
                  <c:v>1.2744183551834402E-3</c:v>
                </c:pt>
                <c:pt idx="428">
                  <c:v>1.2744183551834402E-3</c:v>
                </c:pt>
                <c:pt idx="429">
                  <c:v>1.2742086304371749E-3</c:v>
                </c:pt>
                <c:pt idx="430">
                  <c:v>1.2739617876778987E-3</c:v>
                </c:pt>
                <c:pt idx="431">
                  <c:v>1.2739592914911631E-3</c:v>
                </c:pt>
                <c:pt idx="432">
                  <c:v>1.2738383826626334E-3</c:v>
                </c:pt>
                <c:pt idx="433">
                  <c:v>1.2738596859813028E-3</c:v>
                </c:pt>
                <c:pt idx="434">
                  <c:v>1.2740151351653772E-3</c:v>
                </c:pt>
                <c:pt idx="435">
                  <c:v>1.2740971723960123E-3</c:v>
                </c:pt>
                <c:pt idx="436">
                  <c:v>1.27419417392458E-3</c:v>
                </c:pt>
                <c:pt idx="437">
                  <c:v>1.2743060520779151E-3</c:v>
                </c:pt>
                <c:pt idx="438">
                  <c:v>1.2744327191846086E-3</c:v>
                </c:pt>
                <c:pt idx="439">
                  <c:v>1.2749005775160259E-3</c:v>
                </c:pt>
                <c:pt idx="440">
                  <c:v>1.2750855237247034E-3</c:v>
                </c:pt>
                <c:pt idx="441">
                  <c:v>1.2752848205314533E-3</c:v>
                </c:pt>
                <c:pt idx="442">
                  <c:v>1.2754983802639888E-3</c:v>
                </c:pt>
                <c:pt idx="443">
                  <c:v>1.2757261152535366E-3</c:v>
                </c:pt>
                <c:pt idx="444">
                  <c:v>1.2767431407787757E-3</c:v>
                </c:pt>
                <c:pt idx="445">
                  <c:v>1.2767770543607041E-3</c:v>
                </c:pt>
                <c:pt idx="446">
                  <c:v>1.277074350573846E-3</c:v>
                </c:pt>
                <c:pt idx="447">
                  <c:v>1.2773852960208192E-3</c:v>
                </c:pt>
                <c:pt idx="448">
                  <c:v>1.2777098030337286E-3</c:v>
                </c:pt>
                <c:pt idx="449">
                  <c:v>1.278763816761015E-3</c:v>
                </c:pt>
                <c:pt idx="450">
                  <c:v>1.279141693335881E-3</c:v>
                </c:pt>
                <c:pt idx="451">
                  <c:v>1.2795326931275459E-3</c:v>
                </c:pt>
                <c:pt idx="452">
                  <c:v>1.2802432942084763E-3</c:v>
                </c:pt>
                <c:pt idx="453">
                  <c:v>1.2846847182006506E-3</c:v>
                </c:pt>
                <c:pt idx="454">
                  <c:v>1.2846847182006506E-3</c:v>
                </c:pt>
                <c:pt idx="455">
                  <c:v>1.2861395647463829E-3</c:v>
                </c:pt>
                <c:pt idx="456">
                  <c:v>1.2867101186826533E-3</c:v>
                </c:pt>
                <c:pt idx="457">
                  <c:v>1.2872924522622715E-3</c:v>
                </c:pt>
                <c:pt idx="458">
                  <c:v>1.2886650262293551E-3</c:v>
                </c:pt>
                <c:pt idx="459">
                  <c:v>1.2897378487119544E-3</c:v>
                </c:pt>
                <c:pt idx="460">
                  <c:v>1.2903777797809593E-3</c:v>
                </c:pt>
                <c:pt idx="461">
                  <c:v>1.2910289702034138E-3</c:v>
                </c:pt>
                <c:pt idx="462">
                  <c:v>1.2916913332617281E-3</c:v>
                </c:pt>
                <c:pt idx="463">
                  <c:v>1.2932115116226258E-3</c:v>
                </c:pt>
                <c:pt idx="464">
                  <c:v>1.2944507775686956E-3</c:v>
                </c:pt>
                <c:pt idx="465">
                  <c:v>1.2951677030885154E-3</c:v>
                </c:pt>
                <c:pt idx="466">
                  <c:v>1.2958952809569038E-3</c:v>
                </c:pt>
                <c:pt idx="467">
                  <c:v>1.2966334244562709E-3</c:v>
                </c:pt>
                <c:pt idx="468">
                  <c:v>1.2987561796392892E-3</c:v>
                </c:pt>
                <c:pt idx="469">
                  <c:v>1.3004795914255312E-3</c:v>
                </c:pt>
                <c:pt idx="470">
                  <c:v>1.3012793077091607E-3</c:v>
                </c:pt>
                <c:pt idx="471">
                  <c:v>1.3020889826223635E-3</c:v>
                </c:pt>
                <c:pt idx="472">
                  <c:v>1.3038865723048534E-3</c:v>
                </c:pt>
                <c:pt idx="473">
                  <c:v>1.3054255342660327E-3</c:v>
                </c:pt>
                <c:pt idx="474">
                  <c:v>1.3062837016014871E-3</c:v>
                </c:pt>
                <c:pt idx="475">
                  <c:v>1.3071513072774852E-3</c:v>
                </c:pt>
                <c:pt idx="476">
                  <c:v>1.3080282645790446E-3</c:v>
                </c:pt>
                <c:pt idx="477">
                  <c:v>1.3099569266551022E-3</c:v>
                </c:pt>
                <c:pt idx="478">
                  <c:v>1.311628265986457E-3</c:v>
                </c:pt>
                <c:pt idx="479">
                  <c:v>1.3125512154728595E-3</c:v>
                </c:pt>
                <c:pt idx="480">
                  <c:v>1.3134833431809228E-3</c:v>
                </c:pt>
                <c:pt idx="481">
                  <c:v>1.3144246491167291E-3</c:v>
                </c:pt>
                <c:pt idx="482">
                  <c:v>1.3170398313855824E-3</c:v>
                </c:pt>
                <c:pt idx="483">
                  <c:v>1.3182816552729287E-3</c:v>
                </c:pt>
                <c:pt idx="484">
                  <c:v>1.319268852449108E-3</c:v>
                </c:pt>
                <c:pt idx="485">
                  <c:v>1.3208400275173616E-3</c:v>
                </c:pt>
                <c:pt idx="486">
                  <c:v>1.3212707816150264E-3</c:v>
                </c:pt>
                <c:pt idx="487">
                  <c:v>1.3234565481379009E-3</c:v>
                </c:pt>
                <c:pt idx="488">
                  <c:v>1.3253847793957287E-3</c:v>
                </c:pt>
                <c:pt idx="489">
                  <c:v>1.3264362246014133E-3</c:v>
                </c:pt>
                <c:pt idx="490">
                  <c:v>1.3274968481269411E-3</c:v>
                </c:pt>
                <c:pt idx="491">
                  <c:v>1.3285666499783944E-3</c:v>
                </c:pt>
                <c:pt idx="492">
                  <c:v>1.3308809679198447E-3</c:v>
                </c:pt>
                <c:pt idx="493">
                  <c:v>1.3329376408015958E-3</c:v>
                </c:pt>
                <c:pt idx="494">
                  <c:v>1.3340533344008421E-3</c:v>
                </c:pt>
                <c:pt idx="495">
                  <c:v>1.3351782063720642E-3</c:v>
                </c:pt>
                <c:pt idx="496">
                  <c:v>1.3363122567230815E-3</c:v>
                </c:pt>
                <c:pt idx="497">
                  <c:v>1.3394095494887225E-3</c:v>
                </c:pt>
                <c:pt idx="498">
                  <c:v>1.3409402420954024E-3</c:v>
                </c:pt>
                <c:pt idx="499">
                  <c:v>1.3421201844713824E-3</c:v>
                </c:pt>
                <c:pt idx="500">
                  <c:v>1.3433093052758146E-3</c:v>
                </c:pt>
                <c:pt idx="501">
                  <c:v>1.3445076045182564E-3</c:v>
                </c:pt>
                <c:pt idx="502">
                  <c:v>1.347079038639469E-3</c:v>
                </c:pt>
                <c:pt idx="503">
                  <c:v>1.3506367775942879E-3</c:v>
                </c:pt>
                <c:pt idx="504">
                  <c:v>1.3506367775942879E-3</c:v>
                </c:pt>
                <c:pt idx="505">
                  <c:v>1.3531526961886166E-3</c:v>
                </c:pt>
                <c:pt idx="506">
                  <c:v>1.3558526952815227E-3</c:v>
                </c:pt>
                <c:pt idx="507">
                  <c:v>1.3582946755326701E-3</c:v>
                </c:pt>
                <c:pt idx="508">
                  <c:v>1.3596031167046017E-3</c:v>
                </c:pt>
                <c:pt idx="509">
                  <c:v>1.360920736428365E-3</c:v>
                </c:pt>
                <c:pt idx="510">
                  <c:v>1.3622475347135176E-3</c:v>
                </c:pt>
                <c:pt idx="511">
                  <c:v>1.3650761035110383E-3</c:v>
                </c:pt>
                <c:pt idx="512">
                  <c:v>1.3676465136583022E-3</c:v>
                </c:pt>
                <c:pt idx="513">
                  <c:v>1.3690192048937642E-3</c:v>
                </c:pt>
                <c:pt idx="514">
                  <c:v>1.3711688107563881E-3</c:v>
                </c:pt>
                <c:pt idx="515">
                  <c:v>1.3717921232287121E-3</c:v>
                </c:pt>
                <c:pt idx="516">
                  <c:v>1.3747492665773312E-3</c:v>
                </c:pt>
                <c:pt idx="517">
                  <c:v>1.3774481036344789E-3</c:v>
                </c:pt>
                <c:pt idx="518">
                  <c:v>1.3876994488393674E-3</c:v>
                </c:pt>
                <c:pt idx="519">
                  <c:v>1.398400552806663E-3</c:v>
                </c:pt>
                <c:pt idx="520">
                  <c:v>1.4111811156659942E-3</c:v>
                </c:pt>
                <c:pt idx="521">
                  <c:v>1.420235734170022E-3</c:v>
                </c:pt>
                <c:pt idx="522">
                  <c:v>1.4322539627704615E-3</c:v>
                </c:pt>
                <c:pt idx="523">
                  <c:v>1.4465398225561453E-3</c:v>
                </c:pt>
                <c:pt idx="524">
                  <c:v>1.4605392992367537E-3</c:v>
                </c:pt>
                <c:pt idx="525">
                  <c:v>1.4740032937812426E-3</c:v>
                </c:pt>
                <c:pt idx="526">
                  <c:v>1.4879170768347782E-3</c:v>
                </c:pt>
                <c:pt idx="527">
                  <c:v>1.5022806531943933E-3</c:v>
                </c:pt>
                <c:pt idx="528">
                  <c:v>1.5170940278100408E-3</c:v>
                </c:pt>
                <c:pt idx="529">
                  <c:v>1.5323572057880713E-3</c:v>
                </c:pt>
                <c:pt idx="530">
                  <c:v>1.5480701923894938E-3</c:v>
                </c:pt>
                <c:pt idx="531">
                  <c:v>1.5642329930308449E-3</c:v>
                </c:pt>
                <c:pt idx="532">
                  <c:v>1.5808456132833202E-3</c:v>
                </c:pt>
                <c:pt idx="533">
                  <c:v>1.5966008676221749E-3</c:v>
                </c:pt>
                <c:pt idx="534">
                  <c:v>1.6127446066676043E-3</c:v>
                </c:pt>
                <c:pt idx="535">
                  <c:v>1.6306422960363776E-3</c:v>
                </c:pt>
                <c:pt idx="536">
                  <c:v>1.6503905781891806E-3</c:v>
                </c:pt>
                <c:pt idx="537">
                  <c:v>1.6774276990039073E-3</c:v>
                </c:pt>
                <c:pt idx="538">
                  <c:v>1.6954209271071718E-3</c:v>
                </c:pt>
                <c:pt idx="539">
                  <c:v>1.7153107980574234E-3</c:v>
                </c:pt>
                <c:pt idx="540">
                  <c:v>1.735650534194555E-3</c:v>
                </c:pt>
                <c:pt idx="541">
                  <c:v>1.7564401423788567E-3</c:v>
                </c:pt>
                <c:pt idx="542">
                  <c:v>1.784129857348792E-3</c:v>
                </c:pt>
                <c:pt idx="543">
                  <c:v>1.7977318938594616E-3</c:v>
                </c:pt>
                <c:pt idx="544">
                  <c:v>1.8198389139257004E-3</c:v>
                </c:pt>
                <c:pt idx="545">
                  <c:v>1.8423958307850173E-3</c:v>
                </c:pt>
                <c:pt idx="546">
                  <c:v>1.8741027507397437E-3</c:v>
                </c:pt>
                <c:pt idx="547">
                  <c:v>1.8977207891566535E-3</c:v>
                </c:pt>
                <c:pt idx="548">
                  <c:v>1.9217816062672734E-3</c:v>
                </c:pt>
                <c:pt idx="549">
                  <c:v>1.9462493915128295E-3</c:v>
                </c:pt>
                <c:pt idx="550">
                  <c:v>1.9655322560064603E-3</c:v>
                </c:pt>
                <c:pt idx="551">
                  <c:v>1.9906419985281777E-3</c:v>
                </c:pt>
                <c:pt idx="552">
                  <c:v>2.0306718056394171E-3</c:v>
                </c:pt>
                <c:pt idx="553">
                  <c:v>2.0416912565401901E-3</c:v>
                </c:pt>
                <c:pt idx="554">
                  <c:v>2.0731886733085848E-3</c:v>
                </c:pt>
                <c:pt idx="555">
                  <c:v>2.1140812236513E-3</c:v>
                </c:pt>
                <c:pt idx="556">
                  <c:v>2.1402534353500416E-3</c:v>
                </c:pt>
                <c:pt idx="557">
                  <c:v>2.1664615480283633E-3</c:v>
                </c:pt>
                <c:pt idx="558">
                  <c:v>2.196401298332545E-3</c:v>
                </c:pt>
                <c:pt idx="559">
                  <c:v>2.2225384508270506E-3</c:v>
                </c:pt>
                <c:pt idx="560">
                  <c:v>2.2485740465029496E-3</c:v>
                </c:pt>
                <c:pt idx="561">
                  <c:v>2.2744837756503446E-3</c:v>
                </c:pt>
                <c:pt idx="562">
                  <c:v>2.3002662699185853E-3</c:v>
                </c:pt>
                <c:pt idx="563">
                  <c:v>2.3259215267922924E-3</c:v>
                </c:pt>
                <c:pt idx="564">
                  <c:v>2.3514495437673821E-3</c:v>
                </c:pt>
                <c:pt idx="565">
                  <c:v>2.3768503183536726E-3</c:v>
                </c:pt>
                <c:pt idx="566">
                  <c:v>2.4021238480722768E-3</c:v>
                </c:pt>
                <c:pt idx="567">
                  <c:v>2.4326059351961952E-3</c:v>
                </c:pt>
                <c:pt idx="568">
                  <c:v>2.4522891630534391E-3</c:v>
                </c:pt>
                <c:pt idx="569">
                  <c:v>2.4771809434225205E-3</c:v>
                </c:pt>
                <c:pt idx="570">
                  <c:v>2.5019454691326175E-3</c:v>
                </c:pt>
                <c:pt idx="571">
                  <c:v>2.5248381282628484E-3</c:v>
                </c:pt>
                <c:pt idx="572">
                  <c:v>2.5493570548442189E-3</c:v>
                </c:pt>
                <c:pt idx="573">
                  <c:v>2.5737487189656785E-3</c:v>
                </c:pt>
                <c:pt idx="574">
                  <c:v>2.5980131182730664E-3</c:v>
                </c:pt>
                <c:pt idx="575">
                  <c:v>2.6221502504245194E-3</c:v>
                </c:pt>
                <c:pt idx="576">
                  <c:v>2.6478601411194587E-3</c:v>
                </c:pt>
                <c:pt idx="577">
                  <c:v>2.6717338172563159E-3</c:v>
                </c:pt>
                <c:pt idx="578">
                  <c:v>2.6954802197502437E-3</c:v>
                </c:pt>
                <c:pt idx="579">
                  <c:v>2.7190993462839655E-3</c:v>
                </c:pt>
                <c:pt idx="580">
                  <c:v>2.742591194552369E-3</c:v>
                </c:pt>
                <c:pt idx="581">
                  <c:v>2.7659557622633744E-3</c:v>
                </c:pt>
                <c:pt idx="582">
                  <c:v>2.7891930471370665E-3</c:v>
                </c:pt>
                <c:pt idx="583">
                  <c:v>2.8188642841106026E-3</c:v>
                </c:pt>
                <c:pt idx="584">
                  <c:v>2.8320274748310226E-3</c:v>
                </c:pt>
                <c:pt idx="585">
                  <c:v>2.8549007210294519E-3</c:v>
                </c:pt>
                <c:pt idx="586">
                  <c:v>2.8776466748405838E-3</c:v>
                </c:pt>
                <c:pt idx="587">
                  <c:v>2.9018681623018904E-3</c:v>
                </c:pt>
                <c:pt idx="588">
                  <c:v>2.9259593567241282E-3</c:v>
                </c:pt>
                <c:pt idx="589">
                  <c:v>2.9610171522262974E-3</c:v>
                </c:pt>
                <c:pt idx="590">
                  <c:v>2.9815780923965612E-3</c:v>
                </c:pt>
                <c:pt idx="591">
                  <c:v>3.0036058960401105E-3</c:v>
                </c:pt>
                <c:pt idx="592">
                  <c:v>3.020844321111554E-3</c:v>
                </c:pt>
                <c:pt idx="593">
                  <c:v>3.0488230156934587E-3</c:v>
                </c:pt>
                <c:pt idx="594">
                  <c:v>3.0704732453630257E-3</c:v>
                </c:pt>
                <c:pt idx="595">
                  <c:v>3.0904440264698302E-3</c:v>
                </c:pt>
                <c:pt idx="596">
                  <c:v>3.1133519811853564E-3</c:v>
                </c:pt>
                <c:pt idx="597">
                  <c:v>3.1346070056571386E-3</c:v>
                </c:pt>
                <c:pt idx="598">
                  <c:v>3.1557347383161785E-3</c:v>
                </c:pt>
                <c:pt idx="599">
                  <c:v>3.1767489202585626E-3</c:v>
                </c:pt>
                <c:pt idx="600">
                  <c:v>3.1976992844985198E-3</c:v>
                </c:pt>
                <c:pt idx="601">
                  <c:v>3.2231203772793903E-3</c:v>
                </c:pt>
                <c:pt idx="602">
                  <c:v>3.2381082890183491E-3</c:v>
                </c:pt>
                <c:pt idx="603">
                  <c:v>3.2607231390779927E-3</c:v>
                </c:pt>
                <c:pt idx="604">
                  <c:v>3.280404128492659E-3</c:v>
                </c:pt>
                <c:pt idx="605">
                  <c:v>3.3065258101200074E-3</c:v>
                </c:pt>
                <c:pt idx="606">
                  <c:v>3.3345841301639068E-3</c:v>
                </c:pt>
                <c:pt idx="607">
                  <c:v>3.3568000633856501E-3</c:v>
                </c:pt>
                <c:pt idx="608">
                  <c:v>3.3794205608425492E-3</c:v>
                </c:pt>
                <c:pt idx="609">
                  <c:v>3.402501199389027E-3</c:v>
                </c:pt>
                <c:pt idx="610">
                  <c:v>3.4260975573409467E-3</c:v>
                </c:pt>
                <c:pt idx="611">
                  <c:v>3.4502644854822223E-3</c:v>
                </c:pt>
                <c:pt idx="612">
                  <c:v>3.4750327500719601E-3</c:v>
                </c:pt>
                <c:pt idx="613">
                  <c:v>3.5004040906812554E-3</c:v>
                </c:pt>
                <c:pt idx="614">
                  <c:v>3.5263785190268234E-3</c:v>
                </c:pt>
                <c:pt idx="615">
                  <c:v>3.5529560471051543E-3</c:v>
                </c:pt>
                <c:pt idx="616">
                  <c:v>3.580136687193384E-3</c:v>
                </c:pt>
                <c:pt idx="617">
                  <c:v>3.6079204518440805E-3</c:v>
                </c:pt>
                <c:pt idx="618">
                  <c:v>3.6363073538904565E-3</c:v>
                </c:pt>
                <c:pt idx="619">
                  <c:v>3.6652974064437628E-3</c:v>
                </c:pt>
                <c:pt idx="620">
                  <c:v>3.6948906228932892E-3</c:v>
                </c:pt>
                <c:pt idx="621">
                  <c:v>3.7319817952948513E-3</c:v>
                </c:pt>
                <c:pt idx="622">
                  <c:v>3.7558866024361742E-3</c:v>
                </c:pt>
                <c:pt idx="623">
                  <c:v>3.7849126137983876E-3</c:v>
                </c:pt>
                <c:pt idx="624">
                  <c:v>3.8168751995922884E-3</c:v>
                </c:pt>
                <c:pt idx="625">
                  <c:v>3.8494410100520116E-3</c:v>
                </c:pt>
                <c:pt idx="626">
                  <c:v>3.8826100600553273E-3</c:v>
                </c:pt>
                <c:pt idx="627">
                  <c:v>3.9189329104249992E-3</c:v>
                </c:pt>
                <c:pt idx="628">
                  <c:v>3.9533519535275962E-3</c:v>
                </c:pt>
                <c:pt idx="629">
                  <c:v>3.9883742935756372E-3</c:v>
                </c:pt>
                <c:pt idx="630">
                  <c:v>4.0239999467492227E-3</c:v>
                </c:pt>
                <c:pt idx="631">
                  <c:v>4.0602289295021488E-3</c:v>
                </c:pt>
                <c:pt idx="632">
                  <c:v>4.0970612585688538E-3</c:v>
                </c:pt>
                <c:pt idx="633">
                  <c:v>4.1344969509635541E-3</c:v>
                </c:pt>
                <c:pt idx="634">
                  <c:v>4.172536023977636E-3</c:v>
                </c:pt>
                <c:pt idx="635">
                  <c:v>4.2082798809569711E-3</c:v>
                </c:pt>
                <c:pt idx="636">
                  <c:v>4.244544201624123E-3</c:v>
                </c:pt>
                <c:pt idx="637">
                  <c:v>4.2843063736182074E-3</c:v>
                </c:pt>
                <c:pt idx="638">
                  <c:v>4.3246719722489502E-3</c:v>
                </c:pt>
                <c:pt idx="639">
                  <c:v>4.413201715627757E-3</c:v>
                </c:pt>
                <c:pt idx="640">
                  <c:v>4.437277648225546E-3</c:v>
                </c:pt>
                <c:pt idx="641">
                  <c:v>4.4798847076581438E-3</c:v>
                </c:pt>
                <c:pt idx="642">
                  <c:v>4.5263261082332217E-3</c:v>
                </c:pt>
                <c:pt idx="643">
                  <c:v>4.5701838823884655E-3</c:v>
                </c:pt>
                <c:pt idx="644">
                  <c:v>4.614645225396629E-3</c:v>
                </c:pt>
                <c:pt idx="645">
                  <c:v>4.6563482922010735E-3</c:v>
                </c:pt>
                <c:pt idx="646">
                  <c:v>4.7019731247228691E-3</c:v>
                </c:pt>
                <c:pt idx="647">
                  <c:v>4.7516508720721667E-3</c:v>
                </c:pt>
                <c:pt idx="648">
                  <c:v>4.8020239343880772E-3</c:v>
                </c:pt>
                <c:pt idx="649">
                  <c:v>4.8495469069304749E-3</c:v>
                </c:pt>
                <c:pt idx="650">
                  <c:v>4.8976483587964458E-3</c:v>
                </c:pt>
                <c:pt idx="651">
                  <c:v>4.9462599055339757E-3</c:v>
                </c:pt>
                <c:pt idx="652">
                  <c:v>4.9916859885007795E-3</c:v>
                </c:pt>
                <c:pt idx="653">
                  <c:v>5.0410887732394681E-3</c:v>
                </c:pt>
                <c:pt idx="654">
                  <c:v>5.0907902859488674E-3</c:v>
                </c:pt>
                <c:pt idx="655">
                  <c:v>5.1550126972341398E-3</c:v>
                </c:pt>
                <c:pt idx="656">
                  <c:v>5.208742822915377E-3</c:v>
                </c:pt>
                <c:pt idx="657">
                  <c:v>5.2588933082929074E-3</c:v>
                </c:pt>
                <c:pt idx="658">
                  <c:v>5.3090233245344865E-3</c:v>
                </c:pt>
                <c:pt idx="659">
                  <c:v>5.3590600338695163E-3</c:v>
                </c:pt>
                <c:pt idx="660">
                  <c:v>5.4089305948155867E-3</c:v>
                </c:pt>
                <c:pt idx="661">
                  <c:v>5.458562162196718E-3</c:v>
                </c:pt>
                <c:pt idx="662">
                  <c:v>5.5078828428058715E-3</c:v>
                </c:pt>
                <c:pt idx="663">
                  <c:v>5.5568523112391613E-3</c:v>
                </c:pt>
                <c:pt idx="664">
                  <c:v>5.6054682890765263E-3</c:v>
                </c:pt>
                <c:pt idx="665">
                  <c:v>5.6537307631450255E-3</c:v>
                </c:pt>
                <c:pt idx="666">
                  <c:v>5.7016397203690306E-3</c:v>
                </c:pt>
                <c:pt idx="667">
                  <c:v>5.7491951477684905E-3</c:v>
                </c:pt>
                <c:pt idx="668">
                  <c:v>5.7963970324589288E-3</c:v>
                </c:pt>
                <c:pt idx="669">
                  <c:v>5.843245361649708E-3</c:v>
                </c:pt>
                <c:pt idx="670">
                  <c:v>5.8897401226483707E-3</c:v>
                </c:pt>
                <c:pt idx="671">
                  <c:v>5.9358813028571704E-3</c:v>
                </c:pt>
                <c:pt idx="672">
                  <c:v>5.9816688897739315E-3</c:v>
                </c:pt>
                <c:pt idx="673">
                  <c:v>6.0271028709929274E-3</c:v>
                </c:pt>
                <c:pt idx="674">
                  <c:v>6.0689789144517722E-3</c:v>
                </c:pt>
                <c:pt idx="675">
                  <c:v>6.1137301511373495E-3</c:v>
                </c:pt>
                <c:pt idx="676">
                  <c:v>6.1581277468277587E-3</c:v>
                </c:pt>
                <c:pt idx="677">
                  <c:v>6.2053024941061859E-3</c:v>
                </c:pt>
                <c:pt idx="678">
                  <c:v>6.2582733504602233E-3</c:v>
                </c:pt>
                <c:pt idx="679">
                  <c:v>6.2922803559442696E-3</c:v>
                </c:pt>
                <c:pt idx="680">
                  <c:v>6.3352387579381731E-3</c:v>
                </c:pt>
                <c:pt idx="681">
                  <c:v>6.3778434584292071E-3</c:v>
                </c:pt>
                <c:pt idx="682">
                  <c:v>6.4200944458735624E-3</c:v>
                </c:pt>
                <c:pt idx="683">
                  <c:v>6.4619917088212684E-3</c:v>
                </c:pt>
                <c:pt idx="684">
                  <c:v>6.5035352359196661E-3</c:v>
                </c:pt>
                <c:pt idx="685">
                  <c:v>6.5447250159108043E-3</c:v>
                </c:pt>
                <c:pt idx="686">
                  <c:v>6.585561037633178E-3</c:v>
                </c:pt>
                <c:pt idx="687">
                  <c:v>6.6231576582457107E-3</c:v>
                </c:pt>
                <c:pt idx="688">
                  <c:v>6.6633106609320101E-3</c:v>
                </c:pt>
                <c:pt idx="689">
                  <c:v>6.7031098753203115E-3</c:v>
                </c:pt>
                <c:pt idx="690">
                  <c:v>6.7677346845312668E-3</c:v>
                </c:pt>
                <c:pt idx="691">
                  <c:v>6.814872375921311E-3</c:v>
                </c:pt>
                <c:pt idx="692">
                  <c:v>6.8587686379461502E-3</c:v>
                </c:pt>
                <c:pt idx="693">
                  <c:v>6.8967987527168827E-3</c:v>
                </c:pt>
                <c:pt idx="694">
                  <c:v>6.9344750166031978E-3</c:v>
                </c:pt>
                <c:pt idx="695">
                  <c:v>6.9717974195050427E-3</c:v>
                </c:pt>
                <c:pt idx="696">
                  <c:v>7.011379300982945E-3</c:v>
                </c:pt>
                <c:pt idx="697">
                  <c:v>7.0479679610757628E-3</c:v>
                </c:pt>
                <c:pt idx="698">
                  <c:v>7.0867925817450763E-3</c:v>
                </c:pt>
                <c:pt idx="699">
                  <c:v>7.1303308607087263E-3</c:v>
                </c:pt>
                <c:pt idx="700">
                  <c:v>7.1657616047690782E-3</c:v>
                </c:pt>
                <c:pt idx="701">
                  <c:v>7.2107957637180184E-3</c:v>
                </c:pt>
                <c:pt idx="702">
                  <c:v>7.2356694971546396E-3</c:v>
                </c:pt>
                <c:pt idx="703">
                  <c:v>7.2627446271279839E-3</c:v>
                </c:pt>
                <c:pt idx="704">
                  <c:v>7.3166182638375087E-3</c:v>
                </c:pt>
                <c:pt idx="705">
                  <c:v>7.3312274390740879E-3</c:v>
                </c:pt>
                <c:pt idx="706">
                  <c:v>7.3652014614791058E-3</c:v>
                </c:pt>
                <c:pt idx="707">
                  <c:v>7.4304551682054069E-3</c:v>
                </c:pt>
                <c:pt idx="708">
                  <c:v>7.4497170334516969E-3</c:v>
                </c:pt>
                <c:pt idx="709">
                  <c:v>7.4833953374572769E-3</c:v>
                </c:pt>
                <c:pt idx="710">
                  <c:v>7.5218770161512918E-3</c:v>
                </c:pt>
                <c:pt idx="711">
                  <c:v>7.5507628885010036E-3</c:v>
                </c:pt>
                <c:pt idx="712">
                  <c:v>7.5845223267033361E-3</c:v>
                </c:pt>
                <c:pt idx="713">
                  <c:v>7.6183768711459423E-3</c:v>
                </c:pt>
                <c:pt idx="714">
                  <c:v>7.6548666448755251E-3</c:v>
                </c:pt>
                <c:pt idx="715">
                  <c:v>7.6864074934866692E-3</c:v>
                </c:pt>
                <c:pt idx="716">
                  <c:v>7.7205837133842445E-3</c:v>
                </c:pt>
                <c:pt idx="717">
                  <c:v>7.7548672094966877E-3</c:v>
                </c:pt>
                <c:pt idx="718">
                  <c:v>7.7941797101454139E-3</c:v>
                </c:pt>
                <c:pt idx="719">
                  <c:v>7.8237560416110942E-3</c:v>
                </c:pt>
                <c:pt idx="720">
                  <c:v>7.8609398951176128E-3</c:v>
                </c:pt>
                <c:pt idx="721">
                  <c:v>7.893074012408352E-3</c:v>
                </c:pt>
                <c:pt idx="722">
                  <c:v>7.9278939319056378E-3</c:v>
                </c:pt>
                <c:pt idx="723">
                  <c:v>7.962821144604202E-3</c:v>
                </c:pt>
                <c:pt idx="724">
                  <c:v>8.0002567405019695E-3</c:v>
                </c:pt>
                <c:pt idx="725">
                  <c:v>8.0303776198355666E-3</c:v>
                </c:pt>
                <c:pt idx="726">
                  <c:v>8.065618277648132E-3</c:v>
                </c:pt>
                <c:pt idx="727">
                  <c:v>8.1137245268316019E-3</c:v>
                </c:pt>
                <c:pt idx="728">
                  <c:v>8.1390667065723947E-3</c:v>
                </c:pt>
                <c:pt idx="729">
                  <c:v>8.1746377388781516E-3</c:v>
                </c:pt>
                <c:pt idx="730">
                  <c:v>8.2154217515834314E-3</c:v>
                </c:pt>
                <c:pt idx="731">
                  <c:v>8.2461017466661322E-3</c:v>
                </c:pt>
                <c:pt idx="732">
                  <c:v>8.2819947280045395E-3</c:v>
                </c:pt>
                <c:pt idx="733">
                  <c:v>8.3179950315566721E-3</c:v>
                </c:pt>
                <c:pt idx="734">
                  <c:v>8.3541026602723424E-3</c:v>
                </c:pt>
                <c:pt idx="735">
                  <c:v>8.3903176171109262E-3</c:v>
                </c:pt>
                <c:pt idx="736">
                  <c:v>8.4318375652097013E-3</c:v>
                </c:pt>
                <c:pt idx="737">
                  <c:v>8.4521879770349528E-3</c:v>
                </c:pt>
                <c:pt idx="738">
                  <c:v>8.4968762907385413E-3</c:v>
                </c:pt>
                <c:pt idx="739">
                  <c:v>8.5335120567927858E-3</c:v>
                </c:pt>
                <c:pt idx="740">
                  <c:v>8.570255159406891E-3</c:v>
                </c:pt>
                <c:pt idx="741">
                  <c:v>8.6176540151597526E-3</c:v>
                </c:pt>
                <c:pt idx="742">
                  <c:v>8.6518765175336299E-3</c:v>
                </c:pt>
                <c:pt idx="743">
                  <c:v>8.6942706981654183E-3</c:v>
                </c:pt>
                <c:pt idx="744">
                  <c:v>8.7314806166176595E-3</c:v>
                </c:pt>
                <c:pt idx="745">
                  <c:v>8.768797881236523E-3</c:v>
                </c:pt>
                <c:pt idx="746">
                  <c:v>8.8090239538291294E-3</c:v>
                </c:pt>
                <c:pt idx="747">
                  <c:v>8.846314524191691E-3</c:v>
                </c:pt>
                <c:pt idx="748">
                  <c:v>8.8785760059069945E-3</c:v>
                </c:pt>
                <c:pt idx="749">
                  <c:v>8.9163140848043422E-3</c:v>
                </c:pt>
                <c:pt idx="750">
                  <c:v>8.9626670704859909E-3</c:v>
                </c:pt>
                <c:pt idx="751">
                  <c:v>9.0006457018014709E-3</c:v>
                </c:pt>
                <c:pt idx="752">
                  <c:v>9.0387293828441285E-3</c:v>
                </c:pt>
                <c:pt idx="753">
                  <c:v>9.0769096962045846E-3</c:v>
                </c:pt>
                <c:pt idx="754">
                  <c:v>9.1123118893448353E-3</c:v>
                </c:pt>
                <c:pt idx="755">
                  <c:v>9.1506527716723116E-3</c:v>
                </c:pt>
                <c:pt idx="756">
                  <c:v>9.1890629942889025E-3</c:v>
                </c:pt>
                <c:pt idx="757">
                  <c:v>9.2275330478193435E-3</c:v>
                </c:pt>
                <c:pt idx="758">
                  <c:v>9.2715598865233222E-3</c:v>
                </c:pt>
                <c:pt idx="759">
                  <c:v>9.3295443315178778E-3</c:v>
                </c:pt>
                <c:pt idx="760">
                  <c:v>9.3681510760843332E-3</c:v>
                </c:pt>
                <c:pt idx="761">
                  <c:v>9.4067738255308193E-3</c:v>
                </c:pt>
                <c:pt idx="762">
                  <c:v>9.450921639455408E-3</c:v>
                </c:pt>
                <c:pt idx="763">
                  <c:v>9.4840297055076104E-3</c:v>
                </c:pt>
                <c:pt idx="764">
                  <c:v>9.5226443109364609E-3</c:v>
                </c:pt>
                <c:pt idx="765">
                  <c:v>9.5612427858779315E-3</c:v>
                </c:pt>
                <c:pt idx="766">
                  <c:v>9.599825006406805E-3</c:v>
                </c:pt>
                <c:pt idx="767">
                  <c:v>9.6383909720365122E-3</c:v>
                </c:pt>
                <c:pt idx="768">
                  <c:v>9.6769406822778785E-3</c:v>
                </c:pt>
                <c:pt idx="769">
                  <c:v>9.7209775888035498E-3</c:v>
                </c:pt>
                <c:pt idx="770">
                  <c:v>9.7539913346536677E-3</c:v>
                </c:pt>
                <c:pt idx="771">
                  <c:v>9.7924922758158249E-3</c:v>
                </c:pt>
                <c:pt idx="772">
                  <c:v>9.8309769596442425E-3</c:v>
                </c:pt>
                <c:pt idx="773">
                  <c:v>9.8694453856549586E-3</c:v>
                </c:pt>
                <c:pt idx="774">
                  <c:v>9.9107772016489154E-3</c:v>
                </c:pt>
                <c:pt idx="775">
                  <c:v>9.9489434904642803E-3</c:v>
                </c:pt>
                <c:pt idx="776">
                  <c:v>9.9818737083249617E-3</c:v>
                </c:pt>
                <c:pt idx="777">
                  <c:v>1.0020277194113315E-2</c:v>
                </c:pt>
                <c:pt idx="778">
                  <c:v>1.0064146977218877E-2</c:v>
                </c:pt>
                <c:pt idx="779">
                  <c:v>1.0105394725612449E-2</c:v>
                </c:pt>
                <c:pt idx="780">
                  <c:v>1.0143747010235354E-2</c:v>
                </c:pt>
                <c:pt idx="781">
                  <c:v>1.0182083033091543E-2</c:v>
                </c:pt>
                <c:pt idx="782">
                  <c:v>1.0220402793695318E-2</c:v>
                </c:pt>
                <c:pt idx="783">
                  <c:v>1.0258706291565325E-2</c:v>
                </c:pt>
                <c:pt idx="784">
                  <c:v>1.0296993526214996E-2</c:v>
                </c:pt>
                <c:pt idx="785">
                  <c:v>1.0335264497162978E-2</c:v>
                </c:pt>
                <c:pt idx="786">
                  <c:v>1.0373519203925308E-2</c:v>
                </c:pt>
                <c:pt idx="787">
                  <c:v>1.0417218952847404E-2</c:v>
                </c:pt>
                <c:pt idx="788">
                  <c:v>1.0444222910160228E-2</c:v>
                </c:pt>
                <c:pt idx="789">
                  <c:v>1.0482428927145016E-2</c:v>
                </c:pt>
                <c:pt idx="790">
                  <c:v>1.0520618670943449E-2</c:v>
                </c:pt>
                <c:pt idx="791">
                  <c:v>1.0561670423915547E-2</c:v>
                </c:pt>
                <c:pt idx="792">
                  <c:v>1.0610726632717933E-2</c:v>
                </c:pt>
                <c:pt idx="793">
                  <c:v>1.0645984675341502E-2</c:v>
                </c:pt>
                <c:pt idx="794">
                  <c:v>1.0684104671570438E-2</c:v>
                </c:pt>
                <c:pt idx="795">
                  <c:v>1.0722208392121679E-2</c:v>
                </c:pt>
                <c:pt idx="796">
                  <c:v>1.0760295836523603E-2</c:v>
                </c:pt>
                <c:pt idx="797">
                  <c:v>1.080412320682504E-2</c:v>
                </c:pt>
                <c:pt idx="798">
                  <c:v>1.0833543896709973E-2</c:v>
                </c:pt>
                <c:pt idx="799">
                  <c:v>1.0871582527371471E-2</c:v>
                </c:pt>
                <c:pt idx="800">
                  <c:v>1.0909604876520202E-2</c:v>
                </c:pt>
                <c:pt idx="801">
                  <c:v>1.095624498244731E-2</c:v>
                </c:pt>
                <c:pt idx="802">
                  <c:v>1.0994234747485428E-2</c:v>
                </c:pt>
                <c:pt idx="803">
                  <c:v>1.1032205319667547E-2</c:v>
                </c:pt>
                <c:pt idx="804">
                  <c:v>1.107014209653703E-2</c:v>
                </c:pt>
                <c:pt idx="805">
                  <c:v>1.1105159478510613E-2</c:v>
                </c:pt>
                <c:pt idx="806">
                  <c:v>1.1142983578669384E-2</c:v>
                </c:pt>
                <c:pt idx="807">
                  <c:v>1.1180723070630783E-2</c:v>
                </c:pt>
                <c:pt idx="808">
                  <c:v>1.1218360237034921E-2</c:v>
                </c:pt>
                <c:pt idx="809">
                  <c:v>1.12587057077276E-2</c:v>
                </c:pt>
                <c:pt idx="810">
                  <c:v>1.1322666911809436E-2</c:v>
                </c:pt>
                <c:pt idx="811">
                  <c:v>1.1359753929884286E-2</c:v>
                </c:pt>
                <c:pt idx="812">
                  <c:v>1.1396654426102914E-2</c:v>
                </c:pt>
                <c:pt idx="813">
                  <c:v>1.1438575541256915E-2</c:v>
                </c:pt>
                <c:pt idx="814">
                  <c:v>1.1469825735706469E-2</c:v>
                </c:pt>
                <c:pt idx="815">
                  <c:v>1.1506062033876363E-2</c:v>
                </c:pt>
                <c:pt idx="816">
                  <c:v>1.1542051933689755E-2</c:v>
                </c:pt>
                <c:pt idx="817">
                  <c:v>1.1577795198448159E-2</c:v>
                </c:pt>
                <c:pt idx="818">
                  <c:v>1.1613291821405669E-2</c:v>
                </c:pt>
                <c:pt idx="819">
                  <c:v>1.164854179586503E-2</c:v>
                </c:pt>
                <c:pt idx="820">
                  <c:v>1.1683545115175043E-2</c:v>
                </c:pt>
                <c:pt idx="821">
                  <c:v>1.1718301772729686E-2</c:v>
                </c:pt>
                <c:pt idx="822">
                  <c:v>1.1752811761969861E-2</c:v>
                </c:pt>
                <c:pt idx="823">
                  <c:v>1.1787075076384252E-2</c:v>
                </c:pt>
                <c:pt idx="824">
                  <c:v>1.1821091709507597E-2</c:v>
                </c:pt>
                <c:pt idx="825">
                  <c:v>1.1857420574926203E-2</c:v>
                </c:pt>
                <c:pt idx="826">
                  <c:v>1.189061224199541E-2</c:v>
                </c:pt>
                <c:pt idx="827">
                  <c:v>1.191913405847413E-2</c:v>
                </c:pt>
                <c:pt idx="828">
                  <c:v>1.1952180431133119E-2</c:v>
                </c:pt>
                <c:pt idx="829">
                  <c:v>1.1984980096487852E-2</c:v>
                </c:pt>
                <c:pt idx="830">
                  <c:v>1.2022163329892669E-2</c:v>
                </c:pt>
                <c:pt idx="831">
                  <c:v>1.2056893203081256E-2</c:v>
                </c:pt>
                <c:pt idx="832">
                  <c:v>1.2093453298784284E-2</c:v>
                </c:pt>
                <c:pt idx="833">
                  <c:v>1.2125179019501765E-2</c:v>
                </c:pt>
                <c:pt idx="834">
                  <c:v>1.2156657995122715E-2</c:v>
                </c:pt>
                <c:pt idx="835">
                  <c:v>1.2197103056872051E-2</c:v>
                </c:pt>
                <c:pt idx="836">
                  <c:v>1.2218875687362695E-2</c:v>
                </c:pt>
                <c:pt idx="837">
                  <c:v>1.2249614392238943E-2</c:v>
                </c:pt>
                <c:pt idx="838">
                  <c:v>1.2280106328537446E-2</c:v>
                </c:pt>
                <c:pt idx="839">
                  <c:v>1.2305702099085103E-2</c:v>
                </c:pt>
                <c:pt idx="840">
                  <c:v>1.2335733683706884E-2</c:v>
                </c:pt>
                <c:pt idx="841">
                  <c:v>1.2365518495358607E-2</c:v>
                </c:pt>
                <c:pt idx="842">
                  <c:v>1.2395056528541559E-2</c:v>
                </c:pt>
                <c:pt idx="843">
                  <c:v>1.2430768739814885E-2</c:v>
                </c:pt>
                <c:pt idx="844">
                  <c:v>1.2457521299914731E-2</c:v>
                </c:pt>
                <c:pt idx="845">
                  <c:v>1.2486283708334156E-2</c:v>
                </c:pt>
                <c:pt idx="846">
                  <c:v>1.2514799315987091E-2</c:v>
                </c:pt>
                <c:pt idx="847">
                  <c:v>1.2543068117611966E-2</c:v>
                </c:pt>
                <c:pt idx="848">
                  <c:v>1.2579774634531681E-2</c:v>
                </c:pt>
                <c:pt idx="849">
                  <c:v>1.259670696529926E-2</c:v>
                </c:pt>
                <c:pt idx="850">
                  <c:v>1.2624251984846327E-2</c:v>
                </c:pt>
                <c:pt idx="851">
                  <c:v>1.2651550184678168E-2</c:v>
                </c:pt>
                <c:pt idx="852">
                  <c:v>1.2689127613101842E-2</c:v>
                </c:pt>
                <c:pt idx="853">
                  <c:v>1.2715848708714629E-2</c:v>
                </c:pt>
                <c:pt idx="854">
                  <c:v>1.2742329469953738E-2</c:v>
                </c:pt>
                <c:pt idx="855">
                  <c:v>1.2768602570148741E-2</c:v>
                </c:pt>
                <c:pt idx="856">
                  <c:v>1.2788534945798562E-2</c:v>
                </c:pt>
                <c:pt idx="857">
                  <c:v>1.2829306636966407E-2</c:v>
                </c:pt>
                <c:pt idx="858">
                  <c:v>1.2840385690348372E-2</c:v>
                </c:pt>
                <c:pt idx="859">
                  <c:v>1.2866198246682512E-2</c:v>
                </c:pt>
                <c:pt idx="860">
                  <c:v>1.2898225542158382E-2</c:v>
                </c:pt>
                <c:pt idx="861">
                  <c:v>1.2938371716275076E-2</c:v>
                </c:pt>
                <c:pt idx="862">
                  <c:v>1.296432665697784E-2</c:v>
                </c:pt>
                <c:pt idx="863">
                  <c:v>1.2990412479194927E-2</c:v>
                </c:pt>
                <c:pt idx="864">
                  <c:v>1.3020436510708945E-2</c:v>
                </c:pt>
                <c:pt idx="865">
                  <c:v>1.3046937720076793E-2</c:v>
                </c:pt>
                <c:pt idx="866">
                  <c:v>1.3073695219336561E-2</c:v>
                </c:pt>
                <c:pt idx="867">
                  <c:v>1.3100731188805828E-2</c:v>
                </c:pt>
                <c:pt idx="868">
                  <c:v>1.312804688025198E-2</c:v>
                </c:pt>
                <c:pt idx="869">
                  <c:v>1.3155642299509482E-2</c:v>
                </c:pt>
                <c:pt idx="870">
                  <c:v>1.3183517452475355E-2</c:v>
                </c:pt>
                <c:pt idx="871">
                  <c:v>1.3211672345104834E-2</c:v>
                </c:pt>
                <c:pt idx="872">
                  <c:v>1.3240106983413111E-2</c:v>
                </c:pt>
                <c:pt idx="873">
                  <c:v>1.3275877696344009E-2</c:v>
                </c:pt>
                <c:pt idx="874">
                  <c:v>1.3297815521423955E-2</c:v>
                </c:pt>
                <c:pt idx="875">
                  <c:v>1.3327089433455794E-2</c:v>
                </c:pt>
                <c:pt idx="876">
                  <c:v>1.3356643115824964E-2</c:v>
                </c:pt>
                <c:pt idx="877">
                  <c:v>1.3384044314698598E-2</c:v>
                </c:pt>
                <c:pt idx="878">
                  <c:v>1.3414136453547918E-2</c:v>
                </c:pt>
                <c:pt idx="879">
                  <c:v>1.3444508368454502E-2</c:v>
                </c:pt>
                <c:pt idx="880">
                  <c:v>1.3475160065836078E-2</c:v>
                </c:pt>
                <c:pt idx="881">
                  <c:v>1.3506091552170097E-2</c:v>
                </c:pt>
                <c:pt idx="882">
                  <c:v>1.353984074490297E-2</c:v>
                </c:pt>
                <c:pt idx="883">
                  <c:v>1.3571352999778925E-2</c:v>
                </c:pt>
                <c:pt idx="884">
                  <c:v>1.3603145077180032E-2</c:v>
                </c:pt>
                <c:pt idx="885">
                  <c:v>1.3635216983899115E-2</c:v>
                </c:pt>
                <c:pt idx="886">
                  <c:v>1.366756872678809E-2</c:v>
                </c:pt>
                <c:pt idx="887">
                  <c:v>1.3700200312760551E-2</c:v>
                </c:pt>
                <c:pt idx="888">
                  <c:v>1.3733111748787446E-2</c:v>
                </c:pt>
                <c:pt idx="889">
                  <c:v>1.3776452662827364E-2</c:v>
                </c:pt>
                <c:pt idx="890">
                  <c:v>1.3797066530164536E-2</c:v>
                </c:pt>
                <c:pt idx="891">
                  <c:v>1.3830796275317062E-2</c:v>
                </c:pt>
                <c:pt idx="892">
                  <c:v>1.3864805884583012E-2</c:v>
                </c:pt>
                <c:pt idx="893">
                  <c:v>1.3899095365148722E-2</c:v>
                </c:pt>
                <c:pt idx="894">
                  <c:v>1.3935832219742039E-2</c:v>
                </c:pt>
                <c:pt idx="895">
                  <c:v>1.3993577649826051E-2</c:v>
                </c:pt>
                <c:pt idx="896">
                  <c:v>1.4023842569861651E-2</c:v>
                </c:pt>
                <c:pt idx="897">
                  <c:v>1.4059411555272294E-2</c:v>
                </c:pt>
                <c:pt idx="898">
                  <c:v>1.4098151026113231E-2</c:v>
                </c:pt>
                <c:pt idx="899">
                  <c:v>1.4134301253869721E-2</c:v>
                </c:pt>
                <c:pt idx="900">
                  <c:v>1.4170087767473305E-2</c:v>
                </c:pt>
                <c:pt idx="901">
                  <c:v>1.4204486697282628E-2</c:v>
                </c:pt>
                <c:pt idx="902">
                  <c:v>1.4244431625198261E-2</c:v>
                </c:pt>
                <c:pt idx="903">
                  <c:v>1.4281701671141624E-2</c:v>
                </c:pt>
                <c:pt idx="904">
                  <c:v>1.4319251682036209E-2</c:v>
                </c:pt>
                <c:pt idx="905">
                  <c:v>1.4357076904287105E-2</c:v>
                </c:pt>
                <c:pt idx="906">
                  <c:v>1.4395160114028504E-2</c:v>
                </c:pt>
                <c:pt idx="907">
                  <c:v>1.4441396636649052E-2</c:v>
                </c:pt>
                <c:pt idx="908">
                  <c:v>1.4468938699360424E-2</c:v>
                </c:pt>
                <c:pt idx="909">
                  <c:v>1.4510765212998709E-2</c:v>
                </c:pt>
                <c:pt idx="910">
                  <c:v>1.4546582509619875E-2</c:v>
                </c:pt>
                <c:pt idx="911">
                  <c:v>1.4594367945075033E-2</c:v>
                </c:pt>
                <c:pt idx="912">
                  <c:v>1.4633613692788407E-2</c:v>
                </c:pt>
                <c:pt idx="913">
                  <c:v>1.466734954777449E-2</c:v>
                </c:pt>
                <c:pt idx="914">
                  <c:v>1.4706803770900449E-2</c:v>
                </c:pt>
                <c:pt idx="915">
                  <c:v>1.4751996970423993E-2</c:v>
                </c:pt>
                <c:pt idx="916">
                  <c:v>1.4785947229629672E-2</c:v>
                </c:pt>
                <c:pt idx="917">
                  <c:v>1.4825597960779396E-2</c:v>
                </c:pt>
                <c:pt idx="918">
                  <c:v>1.4865278897988514E-2</c:v>
                </c:pt>
                <c:pt idx="919">
                  <c:v>1.4904986833003363E-2</c:v>
                </c:pt>
                <c:pt idx="920">
                  <c:v>1.4944721766633728E-2</c:v>
                </c:pt>
                <c:pt idx="921">
                  <c:v>1.4984483699691135E-2</c:v>
                </c:pt>
                <c:pt idx="922">
                  <c:v>1.5029958970464514E-2</c:v>
                </c:pt>
                <c:pt idx="923">
                  <c:v>1.5064088567335781E-2</c:v>
                </c:pt>
                <c:pt idx="924">
                  <c:v>1.5103931503547807E-2</c:v>
                </c:pt>
                <c:pt idx="925">
                  <c:v>1.5143801442437318E-2</c:v>
                </c:pt>
                <c:pt idx="926">
                  <c:v>1.5183698384818445E-2</c:v>
                </c:pt>
                <c:pt idx="927">
                  <c:v>1.522362233150619E-2</c:v>
                </c:pt>
                <c:pt idx="928">
                  <c:v>1.52692827666912E-2</c:v>
                </c:pt>
                <c:pt idx="929">
                  <c:v>1.5300365911018942E-2</c:v>
                </c:pt>
                <c:pt idx="930">
                  <c:v>1.5340367247326445E-2</c:v>
                </c:pt>
                <c:pt idx="931">
                  <c:v>1.5386116123886909E-2</c:v>
                </c:pt>
                <c:pt idx="932">
                  <c:v>1.5426175322468505E-2</c:v>
                </c:pt>
                <c:pt idx="933">
                  <c:v>1.546053327107688E-2</c:v>
                </c:pt>
                <c:pt idx="934">
                  <c:v>1.5503846147429126E-2</c:v>
                </c:pt>
                <c:pt idx="935">
                  <c:v>1.5549722650188402E-2</c:v>
                </c:pt>
                <c:pt idx="936">
                  <c:v>1.5584153180145945E-2</c:v>
                </c:pt>
                <c:pt idx="937">
                  <c:v>1.562434721481871E-2</c:v>
                </c:pt>
                <c:pt idx="938">
                  <c:v>1.5670316332005416E-2</c:v>
                </c:pt>
                <c:pt idx="939">
                  <c:v>1.5708038635403061E-2</c:v>
                </c:pt>
                <c:pt idx="940">
                  <c:v>1.5745091401939599E-2</c:v>
                </c:pt>
                <c:pt idx="941">
                  <c:v>1.5785393494753927E-2</c:v>
                </c:pt>
                <c:pt idx="942">
                  <c:v>1.5822489665326369E-2</c:v>
                </c:pt>
                <c:pt idx="943">
                  <c:v>1.5862842089963271E-2</c:v>
                </c:pt>
                <c:pt idx="944">
                  <c:v>1.5903221527084729E-2</c:v>
                </c:pt>
                <c:pt idx="945">
                  <c:v>1.5946158388300269E-2</c:v>
                </c:pt>
                <c:pt idx="946">
                  <c:v>1.6024521921510798E-2</c:v>
                </c:pt>
                <c:pt idx="947">
                  <c:v>1.6032834898839887E-2</c:v>
                </c:pt>
                <c:pt idx="948">
                  <c:v>1.6079113083632635E-2</c:v>
                </c:pt>
                <c:pt idx="949">
                  <c:v>1.6119635435765112E-2</c:v>
                </c:pt>
                <c:pt idx="950">
                  <c:v>1.6160184799821842E-2</c:v>
                </c:pt>
                <c:pt idx="951">
                  <c:v>1.6200761176612843E-2</c:v>
                </c:pt>
                <c:pt idx="952">
                  <c:v>1.6243895799568836E-2</c:v>
                </c:pt>
                <c:pt idx="953">
                  <c:v>1.6284526301867198E-2</c:v>
                </c:pt>
                <c:pt idx="954">
                  <c:v>1.6331742243445635E-2</c:v>
                </c:pt>
                <c:pt idx="955">
                  <c:v>1.6382286719583378E-2</c:v>
                </c:pt>
                <c:pt idx="956">
                  <c:v>1.6423017157922902E-2</c:v>
                </c:pt>
                <c:pt idx="957">
                  <c:v>1.6463774637503162E-2</c:v>
                </c:pt>
                <c:pt idx="958">
                  <c:v>1.650455915917454E-2</c:v>
                </c:pt>
                <c:pt idx="959">
                  <c:v>1.6535472827467985E-2</c:v>
                </c:pt>
                <c:pt idx="960">
                  <c:v>1.6576300019185041E-2</c:v>
                </c:pt>
                <c:pt idx="961">
                  <c:v>1.6640511640414871E-2</c:v>
                </c:pt>
                <c:pt idx="962">
                  <c:v>1.6658035484126376E-2</c:v>
                </c:pt>
                <c:pt idx="963">
                  <c:v>1.6708887428705018E-2</c:v>
                </c:pt>
                <c:pt idx="964">
                  <c:v>1.6749834220815184E-2</c:v>
                </c:pt>
                <c:pt idx="965">
                  <c:v>1.6790808060986161E-2</c:v>
                </c:pt>
                <c:pt idx="966">
                  <c:v>1.683513595070707E-2</c:v>
                </c:pt>
                <c:pt idx="967">
                  <c:v>1.6862847160482624E-2</c:v>
                </c:pt>
                <c:pt idx="968">
                  <c:v>1.6913891878416281E-2</c:v>
                </c:pt>
                <c:pt idx="969">
                  <c:v>1.6958312485166483E-2</c:v>
                </c:pt>
                <c:pt idx="970">
                  <c:v>1.699608301269695E-2</c:v>
                </c:pt>
                <c:pt idx="971">
                  <c:v>1.7037219159208208E-2</c:v>
                </c:pt>
                <c:pt idx="972">
                  <c:v>1.707838235977719E-2</c:v>
                </c:pt>
                <c:pt idx="973">
                  <c:v>1.7122926685337273E-2</c:v>
                </c:pt>
                <c:pt idx="974">
                  <c:v>1.716078992652725E-2</c:v>
                </c:pt>
                <c:pt idx="975">
                  <c:v>1.7202034294426957E-2</c:v>
                </c:pt>
                <c:pt idx="976">
                  <c:v>1.7246671481518157E-2</c:v>
                </c:pt>
                <c:pt idx="977">
                  <c:v>1.728460420358122E-2</c:v>
                </c:pt>
                <c:pt idx="978">
                  <c:v>1.7325929746558652E-2</c:v>
                </c:pt>
                <c:pt idx="979">
                  <c:v>1.7370659857554271E-2</c:v>
                </c:pt>
                <c:pt idx="980">
                  <c:v>1.7398520602048842E-2</c:v>
                </c:pt>
                <c:pt idx="981">
                  <c:v>1.7439915532561651E-2</c:v>
                </c:pt>
                <c:pt idx="982">
                  <c:v>1.7481337507413101E-2</c:v>
                </c:pt>
                <c:pt idx="983">
                  <c:v>1.7522786527440319E-2</c:v>
                </c:pt>
                <c:pt idx="984">
                  <c:v>1.7574451296406921E-2</c:v>
                </c:pt>
                <c:pt idx="985">
                  <c:v>1.7615966278114587E-2</c:v>
                </c:pt>
                <c:pt idx="986">
                  <c:v>1.766091345561346E-2</c:v>
                </c:pt>
                <c:pt idx="987">
                  <c:v>1.7699077440804456E-2</c:v>
                </c:pt>
                <c:pt idx="988">
                  <c:v>1.7740673623524845E-2</c:v>
                </c:pt>
                <c:pt idx="989">
                  <c:v>1.777204864322076E-2</c:v>
                </c:pt>
                <c:pt idx="990">
                  <c:v>1.7823947196050932E-2</c:v>
                </c:pt>
                <c:pt idx="991">
                  <c:v>1.7865624587596517E-2</c:v>
                </c:pt>
                <c:pt idx="992">
                  <c:v>1.7907329050489817E-2</c:v>
                </c:pt>
                <c:pt idx="993">
                  <c:v>1.7938764396859052E-2</c:v>
                </c:pt>
                <c:pt idx="994">
                  <c:v>1.797707588632047E-2</c:v>
                </c:pt>
                <c:pt idx="995">
                  <c:v>1.8018845497723923E-2</c:v>
                </c:pt>
                <c:pt idx="996">
                  <c:v>1.8060642158991946E-2</c:v>
                </c:pt>
                <c:pt idx="997">
                  <c:v>1.8129826735607507E-2</c:v>
                </c:pt>
                <c:pt idx="998">
                  <c:v>1.8174226599593446E-2</c:v>
                </c:pt>
                <c:pt idx="999">
                  <c:v>1.8222111253202833E-2</c:v>
                </c:pt>
                <c:pt idx="1000">
                  <c:v>1.8264039311417513E-2</c:v>
                </c:pt>
                <c:pt idx="1001">
                  <c:v>1.8309461231721575E-2</c:v>
                </c:pt>
                <c:pt idx="1002">
                  <c:v>1.8351447465780293E-2</c:v>
                </c:pt>
                <c:pt idx="1003">
                  <c:v>1.8386511379045622E-2</c:v>
                </c:pt>
                <c:pt idx="1004">
                  <c:v>1.8428543584243357E-2</c:v>
                </c:pt>
                <c:pt idx="1005">
                  <c:v>1.8470602841232007E-2</c:v>
                </c:pt>
                <c:pt idx="1006">
                  <c:v>1.8523150744803357E-2</c:v>
                </c:pt>
                <c:pt idx="1007">
                  <c:v>1.8565276339841688E-2</c:v>
                </c:pt>
                <c:pt idx="1008">
                  <c:v>1.8607423710295404E-2</c:v>
                </c:pt>
                <c:pt idx="1009">
                  <c:v>1.8649578493540368E-2</c:v>
                </c:pt>
                <c:pt idx="1010">
                  <c:v>1.8688231681821557E-2</c:v>
                </c:pt>
                <c:pt idx="1011">
                  <c:v>1.8730358287986304E-2</c:v>
                </c:pt>
                <c:pt idx="1012">
                  <c:v>1.8772447914354243E-2</c:v>
                </c:pt>
                <c:pt idx="1013">
                  <c:v>1.8814485099708889E-2</c:v>
                </c:pt>
                <c:pt idx="1014">
                  <c:v>1.885992835603394E-2</c:v>
                </c:pt>
                <c:pt idx="1015">
                  <c:v>1.8925693046693247E-2</c:v>
                </c:pt>
                <c:pt idx="1016">
                  <c:v>1.89674076966093E-2</c:v>
                </c:pt>
                <c:pt idx="1017">
                  <c:v>1.9014929241285176E-2</c:v>
                </c:pt>
                <c:pt idx="1018">
                  <c:v>1.9050450648856177E-2</c:v>
                </c:pt>
                <c:pt idx="1019">
                  <c:v>1.9091748355287274E-2</c:v>
                </c:pt>
                <c:pt idx="1020">
                  <c:v>1.913287741254896E-2</c:v>
                </c:pt>
                <c:pt idx="1021">
                  <c:v>1.9180634148385681E-2</c:v>
                </c:pt>
                <c:pt idx="1022">
                  <c:v>1.9214613780989473E-2</c:v>
                </c:pt>
                <c:pt idx="1023">
                  <c:v>1.9255221021849765E-2</c:v>
                </c:pt>
                <c:pt idx="1024">
                  <c:v>1.9295654293265119E-2</c:v>
                </c:pt>
                <c:pt idx="1025">
                  <c:v>1.9341650715607357E-2</c:v>
                </c:pt>
                <c:pt idx="1026">
                  <c:v>1.9375998906284286E-2</c:v>
                </c:pt>
                <c:pt idx="1027">
                  <c:v>1.9419249831401031E-2</c:v>
                </c:pt>
                <c:pt idx="1028">
                  <c:v>1.9455647577322887E-2</c:v>
                </c:pt>
                <c:pt idx="1029">
                  <c:v>1.9495210921349856E-2</c:v>
                </c:pt>
                <c:pt idx="1030">
                  <c:v>1.9534600264027844E-2</c:v>
                </c:pt>
                <c:pt idx="1031">
                  <c:v>1.9576105786690667E-2</c:v>
                </c:pt>
                <c:pt idx="1032">
                  <c:v>1.960956796250508E-2</c:v>
                </c:pt>
                <c:pt idx="1033">
                  <c:v>1.9648445585415963E-2</c:v>
                </c:pt>
                <c:pt idx="1034">
                  <c:v>1.9703683180142786E-2</c:v>
                </c:pt>
                <c:pt idx="1035">
                  <c:v>1.972893677471772E-2</c:v>
                </c:pt>
                <c:pt idx="1036">
                  <c:v>1.9767282000145655E-2</c:v>
                </c:pt>
                <c:pt idx="1037">
                  <c:v>1.981089200745622E-2</c:v>
                </c:pt>
                <c:pt idx="1038">
                  <c:v>1.9843450333368054E-2</c:v>
                </c:pt>
                <c:pt idx="1039">
                  <c:v>1.9881273431036701E-2</c:v>
                </c:pt>
                <c:pt idx="1040">
                  <c:v>1.9918922476031338E-2</c:v>
                </c:pt>
                <c:pt idx="1041">
                  <c:v>1.99563974633464E-2</c:v>
                </c:pt>
                <c:pt idx="1042">
                  <c:v>1.9993698387999786E-2</c:v>
                </c:pt>
                <c:pt idx="1043">
                  <c:v>2.0036114871860713E-2</c:v>
                </c:pt>
                <c:pt idx="1044">
                  <c:v>2.0055113633747901E-2</c:v>
                </c:pt>
                <c:pt idx="1045">
                  <c:v>2.0101402336099028E-2</c:v>
                </c:pt>
                <c:pt idx="1046">
                  <c:v>2.0138017354397231E-2</c:v>
                </c:pt>
                <c:pt idx="1047">
                  <c:v>2.0177591898571958E-2</c:v>
                </c:pt>
                <c:pt idx="1048">
                  <c:v>2.0221055125708563E-2</c:v>
                </c:pt>
                <c:pt idx="1049">
                  <c:v>2.0253987456695377E-2</c:v>
                </c:pt>
                <c:pt idx="1050">
                  <c:v>2.0294978210001702E-2</c:v>
                </c:pt>
                <c:pt idx="1051">
                  <c:v>2.0330658588687101E-2</c:v>
                </c:pt>
                <c:pt idx="1052">
                  <c:v>2.0366164867413161E-2</c:v>
                </c:pt>
                <c:pt idx="1053">
                  <c:v>2.0404564517188084E-2</c:v>
                </c:pt>
                <c:pt idx="1054">
                  <c:v>2.0438607057033355E-2</c:v>
                </c:pt>
                <c:pt idx="1055">
                  <c:v>2.0468591601845366E-2</c:v>
                </c:pt>
                <c:pt idx="1056">
                  <c:v>2.0503411895661305E-2</c:v>
                </c:pt>
                <c:pt idx="1057">
                  <c:v>2.0547135000245995E-2</c:v>
                </c:pt>
                <c:pt idx="1058">
                  <c:v>2.0581575631061947E-2</c:v>
                </c:pt>
                <c:pt idx="1059">
                  <c:v>2.0615842116094889E-2</c:v>
                </c:pt>
                <c:pt idx="1060">
                  <c:v>2.0649934450785858E-2</c:v>
                </c:pt>
                <c:pt idx="1061">
                  <c:v>2.068086982127789E-2</c:v>
                </c:pt>
                <c:pt idx="1062">
                  <c:v>2.0714624346378181E-2</c:v>
                </c:pt>
                <c:pt idx="1063">
                  <c:v>2.0748204714788523E-2</c:v>
                </c:pt>
                <c:pt idx="1064">
                  <c:v>2.0781610922093106E-2</c:v>
                </c:pt>
                <c:pt idx="1065">
                  <c:v>2.0819576180593158E-2</c:v>
                </c:pt>
                <c:pt idx="1066">
                  <c:v>2.086963703912539E-2</c:v>
                </c:pt>
                <c:pt idx="1067">
                  <c:v>2.0902410661497017E-2</c:v>
                </c:pt>
                <c:pt idx="1068">
                  <c:v>2.0935010095422368E-2</c:v>
                </c:pt>
                <c:pt idx="1069">
                  <c:v>2.0972053293801519E-2</c:v>
                </c:pt>
                <c:pt idx="1070">
                  <c:v>2.0999686380617659E-2</c:v>
                </c:pt>
                <c:pt idx="1071">
                  <c:v>2.1031763223287522E-2</c:v>
                </c:pt>
                <c:pt idx="1072">
                  <c:v>2.1063665860310953E-2</c:v>
                </c:pt>
                <c:pt idx="1073">
                  <c:v>2.1095394287445265E-2</c:v>
                </c:pt>
                <c:pt idx="1074">
                  <c:v>2.1126948500472087E-2</c:v>
                </c:pt>
                <c:pt idx="1075">
                  <c:v>2.1158328495193907E-2</c:v>
                </c:pt>
                <c:pt idx="1076">
                  <c:v>2.1193978012418228E-2</c:v>
                </c:pt>
                <c:pt idx="1077">
                  <c:v>2.122056581305936E-2</c:v>
                </c:pt>
                <c:pt idx="1078">
                  <c:v>2.1251423127924395E-2</c:v>
                </c:pt>
                <c:pt idx="1079">
                  <c:v>2.1282106207933322E-2</c:v>
                </c:pt>
                <c:pt idx="1080">
                  <c:v>2.1312615049005928E-2</c:v>
                </c:pt>
                <c:pt idx="1081">
                  <c:v>2.1345713948787971E-2</c:v>
                </c:pt>
                <c:pt idx="1082">
                  <c:v>2.1374651370215433E-2</c:v>
                </c:pt>
                <c:pt idx="1083">
                  <c:v>2.1400352219056208E-2</c:v>
                </c:pt>
                <c:pt idx="1084">
                  <c:v>2.1430174741849453E-2</c:v>
                </c:pt>
                <c:pt idx="1085">
                  <c:v>2.146404425647885E-2</c:v>
                </c:pt>
                <c:pt idx="1086">
                  <c:v>2.1496203672562466E-2</c:v>
                </c:pt>
                <c:pt idx="1087">
                  <c:v>2.1525467833189406E-2</c:v>
                </c:pt>
                <c:pt idx="1088">
                  <c:v>2.1554557722517211E-2</c:v>
                </c:pt>
                <c:pt idx="1089">
                  <c:v>2.1583473336675069E-2</c:v>
                </c:pt>
                <c:pt idx="1090">
                  <c:v>2.1612214671820836E-2</c:v>
                </c:pt>
                <c:pt idx="1091">
                  <c:v>2.1640781724128009E-2</c:v>
                </c:pt>
                <c:pt idx="1092">
                  <c:v>2.1669174489801359E-2</c:v>
                </c:pt>
                <c:pt idx="1093">
                  <c:v>2.1697392965062172E-2</c:v>
                </c:pt>
                <c:pt idx="1094">
                  <c:v>2.1729429229431316E-2</c:v>
                </c:pt>
                <c:pt idx="1095">
                  <c:v>2.1750693372356422E-2</c:v>
                </c:pt>
                <c:pt idx="1096">
                  <c:v>2.177839973388147E-2</c:v>
                </c:pt>
                <c:pt idx="1097">
                  <c:v>2.1805931798792453E-2</c:v>
                </c:pt>
                <c:pt idx="1098">
                  <c:v>2.1833289563466775E-2</c:v>
                </c:pt>
                <c:pt idx="1099">
                  <c:v>2.187077510800239E-2</c:v>
                </c:pt>
                <c:pt idx="1100">
                  <c:v>2.1895167062568499E-2</c:v>
                </c:pt>
                <c:pt idx="1101">
                  <c:v>2.1921952101250475E-2</c:v>
                </c:pt>
                <c:pt idx="1102">
                  <c:v>2.1948562824433273E-2</c:v>
                </c:pt>
                <c:pt idx="1103">
                  <c:v>2.1974999228616395E-2</c:v>
                </c:pt>
                <c:pt idx="1104">
                  <c:v>2.2011308585348388E-2</c:v>
                </c:pt>
                <c:pt idx="1105">
                  <c:v>2.202484577178776E-2</c:v>
                </c:pt>
                <c:pt idx="1106">
                  <c:v>2.2050770067906456E-2</c:v>
                </c:pt>
                <c:pt idx="1107">
                  <c:v>2.2076520040297254E-2</c:v>
                </c:pt>
                <c:pt idx="1108">
                  <c:v>2.2107036062564436E-2</c:v>
                </c:pt>
                <c:pt idx="1109">
                  <c:v>2.2132415582368444E-2</c:v>
                </c:pt>
                <c:pt idx="1110">
                  <c:v>2.2157620750152675E-2</c:v>
                </c:pt>
                <c:pt idx="1111">
                  <c:v>2.2182651562563289E-2</c:v>
                </c:pt>
                <c:pt idx="1112">
                  <c:v>2.2207508016273379E-2</c:v>
                </c:pt>
                <c:pt idx="1113">
                  <c:v>2.2229774971722092E-2</c:v>
                </c:pt>
                <c:pt idx="1114">
                  <c:v>2.2254293642421992E-2</c:v>
                </c:pt>
                <c:pt idx="1115">
                  <c:v>2.2278637953902083E-2</c:v>
                </c:pt>
                <c:pt idx="1116">
                  <c:v>2.230280790296053E-2</c:v>
                </c:pt>
                <c:pt idx="1117">
                  <c:v>2.2342801989388549E-2</c:v>
                </c:pt>
                <c:pt idx="1118">
                  <c:v>2.2352985022275028E-2</c:v>
                </c:pt>
                <c:pt idx="1119">
                  <c:v>2.2376620873801444E-2</c:v>
                </c:pt>
                <c:pt idx="1120">
                  <c:v>2.2400082340827111E-2</c:v>
                </c:pt>
                <c:pt idx="1121">
                  <c:v>2.242336942023191E-2</c:v>
                </c:pt>
                <c:pt idx="1122">
                  <c:v>2.2446482108917452E-2</c:v>
                </c:pt>
                <c:pt idx="1123">
                  <c:v>2.2469420403810544E-2</c:v>
                </c:pt>
                <c:pt idx="1124">
                  <c:v>2.2499061237868122E-2</c:v>
                </c:pt>
                <c:pt idx="1125">
                  <c:v>2.2514773800038683E-2</c:v>
                </c:pt>
                <c:pt idx="1126">
                  <c:v>2.2537188895340298E-2</c:v>
                </c:pt>
                <c:pt idx="1127">
                  <c:v>2.2559429584785202E-2</c:v>
                </c:pt>
                <c:pt idx="1128">
                  <c:v>2.2581495865413147E-2</c:v>
                </c:pt>
                <c:pt idx="1129">
                  <c:v>2.2603387734291706E-2</c:v>
                </c:pt>
                <c:pt idx="1130">
                  <c:v>2.2631782762734018E-2</c:v>
                </c:pt>
                <c:pt idx="1131">
                  <c:v>2.2646648225170821E-2</c:v>
                </c:pt>
                <c:pt idx="1132">
                  <c:v>2.2668016841418587E-2</c:v>
                </c:pt>
                <c:pt idx="1133">
                  <c:v>2.2689211034407041E-2</c:v>
                </c:pt>
                <c:pt idx="1134">
                  <c:v>2.2708047497904806E-2</c:v>
                </c:pt>
                <c:pt idx="1135">
                  <c:v>2.2728903982918575E-2</c:v>
                </c:pt>
                <c:pt idx="1136">
                  <c:v>2.2749586046270174E-2</c:v>
                </c:pt>
                <c:pt idx="1137">
                  <c:v>2.2770093685239145E-2</c:v>
                </c:pt>
                <c:pt idx="1138">
                  <c:v>2.2790426897129616E-2</c:v>
                </c:pt>
                <c:pt idx="1139">
                  <c:v>2.281271314764758E-2</c:v>
                </c:pt>
                <c:pt idx="1140">
                  <c:v>2.2832686300185544E-2</c:v>
                </c:pt>
                <c:pt idx="1141">
                  <c:v>2.2852485007561717E-2</c:v>
                </c:pt>
                <c:pt idx="1142">
                  <c:v>2.2872109267140808E-2</c:v>
                </c:pt>
                <c:pt idx="1143">
                  <c:v>2.2891559076314478E-2</c:v>
                </c:pt>
                <c:pt idx="1144">
                  <c:v>2.2910834432493487E-2</c:v>
                </c:pt>
                <c:pt idx="1145">
                  <c:v>2.2929935333115537E-2</c:v>
                </c:pt>
                <c:pt idx="1146">
                  <c:v>2.2955642876067946E-2</c:v>
                </c:pt>
                <c:pt idx="1147">
                  <c:v>2.2963537556162095E-2</c:v>
                </c:pt>
                <c:pt idx="1148">
                  <c:v>2.2982137631438526E-2</c:v>
                </c:pt>
                <c:pt idx="1149">
                  <c:v>2.3000563261800444E-2</c:v>
                </c:pt>
                <c:pt idx="1150">
                  <c:v>2.3018814444848879E-2</c:v>
                </c:pt>
                <c:pt idx="1151">
                  <c:v>2.3039459327762302E-2</c:v>
                </c:pt>
                <c:pt idx="1152">
                  <c:v>2.3067473994667687E-2</c:v>
                </c:pt>
                <c:pt idx="1153">
                  <c:v>2.3084537442082661E-2</c:v>
                </c:pt>
                <c:pt idx="1154">
                  <c:v>2.3101979775913124E-2</c:v>
                </c:pt>
                <c:pt idx="1155">
                  <c:v>2.3113419853191063E-2</c:v>
                </c:pt>
                <c:pt idx="1156">
                  <c:v>2.3138270252897296E-2</c:v>
                </c:pt>
                <c:pt idx="1157">
                  <c:v>2.3153745465356756E-2</c:v>
                </c:pt>
                <c:pt idx="1158">
                  <c:v>2.3170004381148853E-2</c:v>
                </c:pt>
                <c:pt idx="1159">
                  <c:v>2.3188469394281878E-2</c:v>
                </c:pt>
                <c:pt idx="1160">
                  <c:v>2.3204853459376944E-2</c:v>
                </c:pt>
                <c:pt idx="1161">
                  <c:v>2.3221063032716184E-2</c:v>
                </c:pt>
                <c:pt idx="1162">
                  <c:v>2.3237099594567677E-2</c:v>
                </c:pt>
                <c:pt idx="1163">
                  <c:v>2.3252968507530489E-2</c:v>
                </c:pt>
                <c:pt idx="1164">
                  <c:v>2.3271295636814977E-2</c:v>
                </c:pt>
                <c:pt idx="1165">
                  <c:v>2.3282394522953918E-2</c:v>
                </c:pt>
                <c:pt idx="1166">
                  <c:v>2.3299629271608259E-2</c:v>
                </c:pt>
                <c:pt idx="1167">
                  <c:v>2.3313070610828632E-2</c:v>
                </c:pt>
                <c:pt idx="1168">
                  <c:v>2.333215724359029E-2</c:v>
                </c:pt>
                <c:pt idx="1169">
                  <c:v>2.3351381870327783E-2</c:v>
                </c:pt>
                <c:pt idx="1170">
                  <c:v>2.3366192978982098E-2</c:v>
                </c:pt>
                <c:pt idx="1171">
                  <c:v>2.3380886944501224E-2</c:v>
                </c:pt>
                <c:pt idx="1172">
                  <c:v>2.3395469759586271E-2</c:v>
                </c:pt>
                <c:pt idx="1173">
                  <c:v>2.3409947417040892E-2</c:v>
                </c:pt>
                <c:pt idx="1174">
                  <c:v>2.3424325831126337E-2</c:v>
                </c:pt>
                <c:pt idx="1175">
                  <c:v>2.343860831817764E-2</c:v>
                </c:pt>
                <c:pt idx="1176">
                  <c:v>2.3452795063556964E-2</c:v>
                </c:pt>
                <c:pt idx="1177">
                  <c:v>2.3466886066227741E-2</c:v>
                </c:pt>
                <c:pt idx="1178">
                  <c:v>2.3480881325162101E-2</c:v>
                </c:pt>
                <c:pt idx="1179">
                  <c:v>2.3494780839338252E-2</c:v>
                </c:pt>
                <c:pt idx="1180">
                  <c:v>2.3508584607741356E-2</c:v>
                </c:pt>
                <c:pt idx="1181">
                  <c:v>2.3522292629366125E-2</c:v>
                </c:pt>
                <c:pt idx="1182">
                  <c:v>2.353590490320815E-2</c:v>
                </c:pt>
                <c:pt idx="1183">
                  <c:v>2.3549421428276918E-2</c:v>
                </c:pt>
                <c:pt idx="1184">
                  <c:v>2.3567969365659542E-2</c:v>
                </c:pt>
                <c:pt idx="1185">
                  <c:v>2.3576167228150879E-2</c:v>
                </c:pt>
                <c:pt idx="1186">
                  <c:v>2.3587698400690693E-2</c:v>
                </c:pt>
                <c:pt idx="1187">
                  <c:v>2.3600837901795426E-2</c:v>
                </c:pt>
                <c:pt idx="1188">
                  <c:v>2.3613881655115958E-2</c:v>
                </c:pt>
                <c:pt idx="1189">
                  <c:v>2.3626829659711492E-2</c:v>
                </c:pt>
                <c:pt idx="1190">
                  <c:v>2.3641356056077902E-2</c:v>
                </c:pt>
                <c:pt idx="1191">
                  <c:v>2.3654106556020731E-2</c:v>
                </c:pt>
                <c:pt idx="1192">
                  <c:v>2.3666761298561548E-2</c:v>
                </c:pt>
                <c:pt idx="1193">
                  <c:v>2.3679320282775883E-2</c:v>
                </c:pt>
                <c:pt idx="1194">
                  <c:v>2.3691783507747075E-2</c:v>
                </c:pt>
                <c:pt idx="1195">
                  <c:v>2.3704150972566281E-2</c:v>
                </c:pt>
                <c:pt idx="1196">
                  <c:v>2.3716422676329882E-2</c:v>
                </c:pt>
                <c:pt idx="1197">
                  <c:v>2.372859861814294E-2</c:v>
                </c:pt>
                <c:pt idx="1198">
                  <c:v>2.3739052856417933E-2</c:v>
                </c:pt>
                <c:pt idx="1199">
                  <c:v>2.3749422927674679E-2</c:v>
                </c:pt>
                <c:pt idx="1200">
                  <c:v>2.376132369307804E-2</c:v>
                </c:pt>
                <c:pt idx="1201">
                  <c:v>2.3774736980844261E-2</c:v>
                </c:pt>
                <c:pt idx="1202">
                  <c:v>2.3798102719799985E-2</c:v>
                </c:pt>
                <c:pt idx="1203">
                  <c:v>2.3804688197562207E-2</c:v>
                </c:pt>
                <c:pt idx="1204">
                  <c:v>2.3816137546215366E-2</c:v>
                </c:pt>
                <c:pt idx="1205">
                  <c:v>2.3829070750110017E-2</c:v>
                </c:pt>
                <c:pt idx="1206">
                  <c:v>2.3840322485840403E-2</c:v>
                </c:pt>
                <c:pt idx="1207">
                  <c:v>2.3851478456495798E-2</c:v>
                </c:pt>
                <c:pt idx="1208">
                  <c:v>2.3860977358479474E-2</c:v>
                </c:pt>
                <c:pt idx="1209">
                  <c:v>2.3871947911954017E-2</c:v>
                </c:pt>
                <c:pt idx="1210">
                  <c:v>2.3884371769988567E-2</c:v>
                </c:pt>
                <c:pt idx="1211">
                  <c:v>2.3896687093641369E-2</c:v>
                </c:pt>
                <c:pt idx="1212">
                  <c:v>2.3907358092578025E-2</c:v>
                </c:pt>
                <c:pt idx="1213">
                  <c:v>2.3917933315625719E-2</c:v>
                </c:pt>
                <c:pt idx="1214">
                  <c:v>2.3928412762013764E-2</c:v>
                </c:pt>
                <c:pt idx="1215">
                  <c:v>2.3937278583815239E-2</c:v>
                </c:pt>
                <c:pt idx="1216">
                  <c:v>2.3947572633373503E-2</c:v>
                </c:pt>
                <c:pt idx="1217">
                  <c:v>2.3957770910113519E-2</c:v>
                </c:pt>
                <c:pt idx="1218">
                  <c:v>2.3970742251614208E-2</c:v>
                </c:pt>
                <c:pt idx="1219">
                  <c:v>2.39822130255927E-2</c:v>
                </c:pt>
                <c:pt idx="1220">
                  <c:v>2.399209043002359E-2</c:v>
                </c:pt>
                <c:pt idx="1221">
                  <c:v>2.4001872052380906E-2</c:v>
                </c:pt>
                <c:pt idx="1222">
                  <c:v>2.401155789195043E-2</c:v>
                </c:pt>
                <c:pt idx="1223">
                  <c:v>2.4021147948024908E-2</c:v>
                </c:pt>
                <c:pt idx="1224">
                  <c:v>2.4030642219904898E-2</c:v>
                </c:pt>
                <c:pt idx="1225">
                  <c:v>2.4040040706897036E-2</c:v>
                </c:pt>
                <c:pt idx="1226">
                  <c:v>2.4049343408316663E-2</c:v>
                </c:pt>
                <c:pt idx="1227">
                  <c:v>2.4058550323480834E-2</c:v>
                </c:pt>
                <c:pt idx="1228">
                  <c:v>2.40676614517214E-2</c:v>
                </c:pt>
                <c:pt idx="1229">
                  <c:v>2.4076676792370192E-2</c:v>
                </c:pt>
                <c:pt idx="1230">
                  <c:v>2.4085596344772087E-2</c:v>
                </c:pt>
                <c:pt idx="1231">
                  <c:v>2.409442010827369E-2</c:v>
                </c:pt>
                <c:pt idx="1232">
                  <c:v>2.4103148082232909E-2</c:v>
                </c:pt>
                <c:pt idx="1233">
                  <c:v>2.4111780266010251E-2</c:v>
                </c:pt>
                <c:pt idx="1234">
                  <c:v>2.4120316658976661E-2</c:v>
                </c:pt>
                <c:pt idx="1235">
                  <c:v>2.4128757260510024E-2</c:v>
                </c:pt>
                <c:pt idx="1236">
                  <c:v>2.4137102069992575E-2</c:v>
                </c:pt>
                <c:pt idx="1237">
                  <c:v>2.4143971954522593E-2</c:v>
                </c:pt>
                <c:pt idx="1238">
                  <c:v>2.4152131474832115E-2</c:v>
                </c:pt>
                <c:pt idx="1239">
                  <c:v>2.416019520755279E-2</c:v>
                </c:pt>
                <c:pt idx="1240">
                  <c:v>2.4169523375342554E-2</c:v>
                </c:pt>
                <c:pt idx="1241">
                  <c:v>2.4181447681615644E-2</c:v>
                </c:pt>
                <c:pt idx="1242">
                  <c:v>2.4185159260210285E-2</c:v>
                </c:pt>
                <c:pt idx="1243">
                  <c:v>2.4192833508676556E-2</c:v>
                </c:pt>
                <c:pt idx="1244">
                  <c:v>2.4200411960415752E-2</c:v>
                </c:pt>
                <c:pt idx="1245">
                  <c:v>2.4207894614872671E-2</c:v>
                </c:pt>
                <c:pt idx="1246">
                  <c:v>2.4215281471503394E-2</c:v>
                </c:pt>
                <c:pt idx="1247">
                  <c:v>2.4222572529767485E-2</c:v>
                </c:pt>
                <c:pt idx="1248">
                  <c:v>2.4229767789133199E-2</c:v>
                </c:pt>
                <c:pt idx="1249">
                  <c:v>2.4236867249073996E-2</c:v>
                </c:pt>
                <c:pt idx="1250">
                  <c:v>2.4241276790490041E-2</c:v>
                </c:pt>
                <c:pt idx="1251">
                  <c:v>2.4248197406490313E-2</c:v>
                </c:pt>
                <c:pt idx="1252">
                  <c:v>2.4255022234209278E-2</c:v>
                </c:pt>
                <c:pt idx="1253">
                  <c:v>2.4266827958450973E-2</c:v>
                </c:pt>
                <c:pt idx="1254">
                  <c:v>2.4273993924674109E-2</c:v>
                </c:pt>
                <c:pt idx="1255">
                  <c:v>2.4281363652617571E-2</c:v>
                </c:pt>
                <c:pt idx="1256">
                  <c:v>2.4287709531752633E-2</c:v>
                </c:pt>
                <c:pt idx="1257">
                  <c:v>2.4293959619782868E-2</c:v>
                </c:pt>
                <c:pt idx="1258">
                  <c:v>2.4300113916264188E-2</c:v>
                </c:pt>
                <c:pt idx="1259">
                  <c:v>2.430579719138648E-2</c:v>
                </c:pt>
                <c:pt idx="1260">
                  <c:v>2.4311752660195821E-2</c:v>
                </c:pt>
                <c:pt idx="1261">
                  <c:v>2.4320051823575391E-2</c:v>
                </c:pt>
                <c:pt idx="1262">
                  <c:v>2.4329438452316016E-2</c:v>
                </c:pt>
                <c:pt idx="1263">
                  <c:v>2.4335074248608642E-2</c:v>
                </c:pt>
                <c:pt idx="1264">
                  <c:v>2.4340567385723901E-2</c:v>
                </c:pt>
                <c:pt idx="1265">
                  <c:v>2.4346058381580334E-2</c:v>
                </c:pt>
                <c:pt idx="1266">
                  <c:v>2.4347848748753717E-2</c:v>
                </c:pt>
                <c:pt idx="1267">
                  <c:v>2.4356090277855087E-2</c:v>
                </c:pt>
                <c:pt idx="1268">
                  <c:v>2.4358296909534227E-2</c:v>
                </c:pt>
                <c:pt idx="1269">
                  <c:v>2.4363377286397161E-2</c:v>
                </c:pt>
                <c:pt idx="1270">
                  <c:v>2.4371841847483075E-2</c:v>
                </c:pt>
                <c:pt idx="1271">
                  <c:v>2.437671107473937E-2</c:v>
                </c:pt>
                <c:pt idx="1272">
                  <c:v>2.4381484479156636E-2</c:v>
                </c:pt>
                <c:pt idx="1273">
                  <c:v>2.4387301349067508E-2</c:v>
                </c:pt>
                <c:pt idx="1274">
                  <c:v>2.4387342120971968E-2</c:v>
                </c:pt>
                <c:pt idx="1275">
                  <c:v>2.4395229751850295E-2</c:v>
                </c:pt>
                <c:pt idx="1276">
                  <c:v>2.4400739523967936E-2</c:v>
                </c:pt>
                <c:pt idx="1277">
                  <c:v>2.4403914146448637E-2</c:v>
                </c:pt>
                <c:pt idx="1278">
                  <c:v>2.4408112606605192E-2</c:v>
                </c:pt>
                <c:pt idx="1279">
                  <c:v>2.4412215241580767E-2</c:v>
                </c:pt>
                <c:pt idx="1280">
                  <c:v>2.4417315455176617E-2</c:v>
                </c:pt>
                <c:pt idx="1281">
                  <c:v>2.4420133034772921E-2</c:v>
                </c:pt>
                <c:pt idx="1282">
                  <c:v>2.4423948192397637E-2</c:v>
                </c:pt>
                <c:pt idx="1283">
                  <c:v>2.4428741166156061E-2</c:v>
                </c:pt>
                <c:pt idx="1284">
                  <c:v>2.4431291028283345E-2</c:v>
                </c:pt>
                <c:pt idx="1285">
                  <c:v>2.4434818705994992E-2</c:v>
                </c:pt>
                <c:pt idx="1286">
                  <c:v>2.4439304379244294E-2</c:v>
                </c:pt>
                <c:pt idx="1287">
                  <c:v>2.4438441461808902E-2</c:v>
                </c:pt>
                <c:pt idx="1288">
                  <c:v>2.4441701529808194E-2</c:v>
                </c:pt>
                <c:pt idx="1289">
                  <c:v>2.4444865789309645E-2</c:v>
                </c:pt>
                <c:pt idx="1290">
                  <c:v>2.4447934240083114E-2</c:v>
                </c:pt>
                <c:pt idx="1291">
                  <c:v>2.4453972392926817E-2</c:v>
                </c:pt>
                <c:pt idx="1292">
                  <c:v>2.4456829275301743E-2</c:v>
                </c:pt>
                <c:pt idx="1293">
                  <c:v>2.4460597678827641E-2</c:v>
                </c:pt>
                <c:pt idx="1294">
                  <c:v>2.4462255553400935E-2</c:v>
                </c:pt>
                <c:pt idx="1295">
                  <c:v>2.4464824948720421E-2</c:v>
                </c:pt>
                <c:pt idx="1296">
                  <c:v>2.4464332949530182E-2</c:v>
                </c:pt>
                <c:pt idx="1297">
                  <c:v>2.4469676250941638E-2</c:v>
                </c:pt>
                <c:pt idx="1298">
                  <c:v>2.447195815748111E-2</c:v>
                </c:pt>
                <c:pt idx="1299">
                  <c:v>2.4474144234076598E-2</c:v>
                </c:pt>
                <c:pt idx="1300">
                  <c:v>2.4473349222499732E-2</c:v>
                </c:pt>
                <c:pt idx="1301">
                  <c:v>2.4475363764171674E-2</c:v>
                </c:pt>
                <c:pt idx="1302">
                  <c:v>2.4477282494914314E-2</c:v>
                </c:pt>
                <c:pt idx="1303">
                  <c:v>2.4479105414588864E-2</c:v>
                </c:pt>
                <c:pt idx="1304">
                  <c:v>2.4482708057859851E-2</c:v>
                </c:pt>
                <c:pt idx="1305">
                  <c:v>2.4483570372402452E-2</c:v>
                </c:pt>
                <c:pt idx="1306">
                  <c:v>2.4485239178356533E-2</c:v>
                </c:pt>
                <c:pt idx="1307">
                  <c:v>2.4486596728239152E-2</c:v>
                </c:pt>
                <c:pt idx="1308">
                  <c:v>2.4488761179671466E-2</c:v>
                </c:pt>
                <c:pt idx="1309">
                  <c:v>2.4489024392692793E-2</c:v>
                </c:pt>
                <c:pt idx="1310">
                  <c:v>2.448920472422067E-2</c:v>
                </c:pt>
                <c:pt idx="1311">
                  <c:v>2.4490185803803577E-2</c:v>
                </c:pt>
                <c:pt idx="1312">
                  <c:v>2.4491071077823001E-2</c:v>
                </c:pt>
                <c:pt idx="1313">
                  <c:v>2.4493598800800369E-2</c:v>
                </c:pt>
                <c:pt idx="1314">
                  <c:v>2.4494278869220208E-2</c:v>
                </c:pt>
                <c:pt idx="1315">
                  <c:v>2.4494863118907098E-2</c:v>
                </c:pt>
                <c:pt idx="1316">
                  <c:v>2.4495351549816729E-2</c:v>
                </c:pt>
                <c:pt idx="1317">
                  <c:v>2.4494902568582569E-2</c:v>
                </c:pt>
                <c:pt idx="1318">
                  <c:v>2.4495206185448721E-2</c:v>
                </c:pt>
                <c:pt idx="1319">
                  <c:v>2.4495413989951996E-2</c:v>
                </c:pt>
                <c:pt idx="1320">
                  <c:v>2.4495525982078339E-2</c:v>
                </c:pt>
                <c:pt idx="1321">
                  <c:v>2.4495536651791366E-2</c:v>
                </c:pt>
                <c:pt idx="1322">
                  <c:v>2.4496177500309076E-2</c:v>
                </c:pt>
                <c:pt idx="1323">
                  <c:v>2.4495940445536744E-2</c:v>
                </c:pt>
                <c:pt idx="1324">
                  <c:v>2.4495607571908082E-2</c:v>
                </c:pt>
                <c:pt idx="1325">
                  <c:v>2.4495109815726591E-2</c:v>
                </c:pt>
                <c:pt idx="1326">
                  <c:v>2.4494654368192124E-2</c:v>
                </c:pt>
                <c:pt idx="1327">
                  <c:v>2.4494034038171728E-2</c:v>
                </c:pt>
                <c:pt idx="1328">
                  <c:v>2.4494840492262134E-2</c:v>
                </c:pt>
                <c:pt idx="1329">
                  <c:v>2.4492505922037229E-2</c:v>
                </c:pt>
                <c:pt idx="1330">
                  <c:v>2.4491598136032602E-2</c:v>
                </c:pt>
                <c:pt idx="1331">
                  <c:v>2.4490594531490523E-2</c:v>
                </c:pt>
                <c:pt idx="1332">
                  <c:v>2.4489330226142282E-2</c:v>
                </c:pt>
                <c:pt idx="1333">
                  <c:v>2.4488299867092028E-2</c:v>
                </c:pt>
                <c:pt idx="1334">
                  <c:v>2.4487008807401567E-2</c:v>
                </c:pt>
                <c:pt idx="1335">
                  <c:v>2.4485621929509906E-2</c:v>
                </c:pt>
                <c:pt idx="1336">
                  <c:v>2.448413923351523E-2</c:v>
                </c:pt>
                <c:pt idx="1337">
                  <c:v>2.4483260001739508E-2</c:v>
                </c:pt>
                <c:pt idx="1338">
                  <c:v>2.4479947412856019E-2</c:v>
                </c:pt>
                <c:pt idx="1339">
                  <c:v>2.4478430244593348E-2</c:v>
                </c:pt>
                <c:pt idx="1340">
                  <c:v>2.4476571247462171E-2</c:v>
                </c:pt>
                <c:pt idx="1341">
                  <c:v>2.4474418389309992E-2</c:v>
                </c:pt>
                <c:pt idx="1342">
                  <c:v>2.4473895310919716E-2</c:v>
                </c:pt>
                <c:pt idx="1343">
                  <c:v>2.4471077464674789E-2</c:v>
                </c:pt>
                <c:pt idx="1344">
                  <c:v>2.4468499087084223E-2</c:v>
                </c:pt>
                <c:pt idx="1345">
                  <c:v>2.4466483175147713E-2</c:v>
                </c:pt>
                <c:pt idx="1346">
                  <c:v>2.4464042305241518E-2</c:v>
                </c:pt>
                <c:pt idx="1347">
                  <c:v>2.4461505618808436E-2</c:v>
                </c:pt>
                <c:pt idx="1348">
                  <c:v>2.4458873116034407E-2</c:v>
                </c:pt>
                <c:pt idx="1349">
                  <c:v>2.4456144797112316E-2</c:v>
                </c:pt>
                <c:pt idx="1350">
                  <c:v>2.4453320662238532E-2</c:v>
                </c:pt>
                <c:pt idx="1351">
                  <c:v>2.4449798786392113E-2</c:v>
                </c:pt>
                <c:pt idx="1352">
                  <c:v>2.4446790067898426E-2</c:v>
                </c:pt>
                <c:pt idx="1353">
                  <c:v>2.4443685540538843E-2</c:v>
                </c:pt>
                <c:pt idx="1354">
                  <c:v>2.4441065967473488E-2</c:v>
                </c:pt>
                <c:pt idx="1355">
                  <c:v>2.4435747097756592E-2</c:v>
                </c:pt>
                <c:pt idx="1356">
                  <c:v>2.4431749845413187E-2</c:v>
                </c:pt>
                <c:pt idx="1357">
                  <c:v>2.4428228106100569E-2</c:v>
                </c:pt>
                <c:pt idx="1358">
                  <c:v>2.4424610565648486E-2</c:v>
                </c:pt>
                <c:pt idx="1359">
                  <c:v>2.4420897224315397E-2</c:v>
                </c:pt>
                <c:pt idx="1360">
                  <c:v>2.4418159176511165E-2</c:v>
                </c:pt>
                <c:pt idx="1361">
                  <c:v>2.4412653718836764E-2</c:v>
                </c:pt>
                <c:pt idx="1362">
                  <c:v>2.4408660089311706E-2</c:v>
                </c:pt>
                <c:pt idx="1363">
                  <c:v>2.440457066641611E-2</c:v>
                </c:pt>
                <c:pt idx="1364">
                  <c:v>2.4401907668616964E-2</c:v>
                </c:pt>
                <c:pt idx="1365">
                  <c:v>2.4397605260906865E-2</c:v>
                </c:pt>
                <c:pt idx="1366">
                  <c:v>2.4393207041522522E-2</c:v>
                </c:pt>
                <c:pt idx="1367">
                  <c:v>2.4388713010781066E-2</c:v>
                </c:pt>
                <c:pt idx="1368">
                  <c:v>2.4383644994505897E-2</c:v>
                </c:pt>
                <c:pt idx="1369">
                  <c:v>2.4378966501530888E-2</c:v>
                </c:pt>
                <c:pt idx="1370">
                  <c:v>2.4374192204587166E-2</c:v>
                </c:pt>
                <c:pt idx="1371">
                  <c:v>2.436932210401907E-2</c:v>
                </c:pt>
                <c:pt idx="1372">
                  <c:v>2.4364805698475576E-2</c:v>
                </c:pt>
                <c:pt idx="1373">
                  <c:v>2.4356057511242694E-2</c:v>
                </c:pt>
                <c:pt idx="1374">
                  <c:v>2.4350824375884598E-2</c:v>
                </c:pt>
                <c:pt idx="1375">
                  <c:v>2.4345495432266918E-2</c:v>
                </c:pt>
                <c:pt idx="1376">
                  <c:v>2.4339287895251201E-2</c:v>
                </c:pt>
                <c:pt idx="1377">
                  <c:v>2.4334550121810676E-2</c:v>
                </c:pt>
                <c:pt idx="1378">
                  <c:v>2.4328933755770613E-2</c:v>
                </c:pt>
                <c:pt idx="1379">
                  <c:v>2.4323221583067073E-2</c:v>
                </c:pt>
                <c:pt idx="1380">
                  <c:v>2.4317413604118859E-2</c:v>
                </c:pt>
                <c:pt idx="1381">
                  <c:v>2.4311509819346499E-2</c:v>
                </c:pt>
                <c:pt idx="1382">
                  <c:v>2.4305510229184434E-2</c:v>
                </c:pt>
                <c:pt idx="1383">
                  <c:v>2.4299414834067962E-2</c:v>
                </c:pt>
                <c:pt idx="1384">
                  <c:v>2.4293223634443684E-2</c:v>
                </c:pt>
                <c:pt idx="1385">
                  <c:v>2.4286936630762545E-2</c:v>
                </c:pt>
                <c:pt idx="1386">
                  <c:v>2.4280553823485047E-2</c:v>
                </c:pt>
                <c:pt idx="1387">
                  <c:v>2.4274075213075164E-2</c:v>
                </c:pt>
                <c:pt idx="1388">
                  <c:v>2.4267828693111587E-2</c:v>
                </c:pt>
                <c:pt idx="1389">
                  <c:v>2.4259549635206656E-2</c:v>
                </c:pt>
                <c:pt idx="1390">
                  <c:v>2.4253750581648425E-2</c:v>
                </c:pt>
                <c:pt idx="1391">
                  <c:v>2.4246896066752524E-2</c:v>
                </c:pt>
                <c:pt idx="1392">
                  <c:v>2.423994575742577E-2</c:v>
                </c:pt>
                <c:pt idx="1393">
                  <c:v>2.4231885248104667E-2</c:v>
                </c:pt>
                <c:pt idx="1394">
                  <c:v>2.4225013355831361E-2</c:v>
                </c:pt>
                <c:pt idx="1395">
                  <c:v>2.4216709874504489E-2</c:v>
                </c:pt>
                <c:pt idx="1396">
                  <c:v>2.4209341687098193E-2</c:v>
                </c:pt>
                <c:pt idx="1397">
                  <c:v>2.4201877701757964E-2</c:v>
                </c:pt>
                <c:pt idx="1398">
                  <c:v>2.4193732527750242E-2</c:v>
                </c:pt>
                <c:pt idx="1399">
                  <c:v>2.4186662339465259E-2</c:v>
                </c:pt>
                <c:pt idx="1400">
                  <c:v>2.4178910963624067E-2</c:v>
                </c:pt>
                <c:pt idx="1401">
                  <c:v>2.4171063792071512E-2</c:v>
                </c:pt>
                <c:pt idx="1402">
                  <c:v>2.4162672475891434E-2</c:v>
                </c:pt>
                <c:pt idx="1403">
                  <c:v>2.4154648473253992E-2</c:v>
                </c:pt>
                <c:pt idx="1404">
                  <c:v>2.4146528689016122E-2</c:v>
                </c:pt>
                <c:pt idx="1405">
                  <c:v>2.4138313123756028E-2</c:v>
                </c:pt>
                <c:pt idx="1406">
                  <c:v>2.4129000536103749E-2</c:v>
                </c:pt>
                <c:pt idx="1407">
                  <c:v>2.4120385815865397E-2</c:v>
                </c:pt>
                <c:pt idx="1408">
                  <c:v>2.411186922838926E-2</c:v>
                </c:pt>
                <c:pt idx="1409">
                  <c:v>2.4103256862367139E-2</c:v>
                </c:pt>
                <c:pt idx="1410">
                  <c:v>2.4094548718413655E-2</c:v>
                </c:pt>
                <c:pt idx="1411">
                  <c:v>2.408636789641758E-2</c:v>
                </c:pt>
                <c:pt idx="1412">
                  <c:v>2.4076695003021741E-2</c:v>
                </c:pt>
                <c:pt idx="1413">
                  <c:v>2.4067706969368663E-2</c:v>
                </c:pt>
                <c:pt idx="1414">
                  <c:v>2.4058623166424663E-2</c:v>
                </c:pt>
                <c:pt idx="1415">
                  <c:v>2.4050075320123564E-2</c:v>
                </c:pt>
                <c:pt idx="1416">
                  <c:v>2.4040762678151101E-2</c:v>
                </c:pt>
                <c:pt idx="1417">
                  <c:v>2.4031355631163768E-2</c:v>
                </c:pt>
                <c:pt idx="1418">
                  <c:v>2.4021861143676489E-2</c:v>
                </c:pt>
                <c:pt idx="1419">
                  <c:v>2.4011987153952523E-2</c:v>
                </c:pt>
                <c:pt idx="1420">
                  <c:v>2.399682095869287E-2</c:v>
                </c:pt>
                <c:pt idx="1421">
                  <c:v>2.3992657590540659E-2</c:v>
                </c:pt>
                <c:pt idx="1422">
                  <c:v>2.3982904007858925E-2</c:v>
                </c:pt>
                <c:pt idx="1423">
                  <c:v>2.3973369598350096E-2</c:v>
                </c:pt>
                <c:pt idx="1424">
                  <c:v>2.3956301810569534E-2</c:v>
                </c:pt>
                <c:pt idx="1425">
                  <c:v>2.394641426716116E-2</c:v>
                </c:pt>
                <c:pt idx="1426">
                  <c:v>2.3936511434404738E-2</c:v>
                </c:pt>
                <c:pt idx="1427">
                  <c:v>2.3925186140884354E-2</c:v>
                </c:pt>
                <c:pt idx="1428">
                  <c:v>2.3915279292255946E-2</c:v>
                </c:pt>
                <c:pt idx="1429">
                  <c:v>2.3905383872646142E-2</c:v>
                </c:pt>
                <c:pt idx="1430">
                  <c:v>2.3895504606682584E-2</c:v>
                </c:pt>
                <c:pt idx="1431">
                  <c:v>2.3885641759725181E-2</c:v>
                </c:pt>
                <c:pt idx="1432">
                  <c:v>2.3875795331648814E-2</c:v>
                </c:pt>
                <c:pt idx="1433">
                  <c:v>2.3865965322331845E-2</c:v>
                </c:pt>
                <c:pt idx="1434">
                  <c:v>2.3856151731650892E-2</c:v>
                </c:pt>
                <c:pt idx="1435">
                  <c:v>2.3846354559483442E-2</c:v>
                </c:pt>
                <c:pt idx="1436">
                  <c:v>2.3836850263019807E-2</c:v>
                </c:pt>
                <c:pt idx="1437">
                  <c:v>2.3826809470199016E-2</c:v>
                </c:pt>
                <c:pt idx="1438">
                  <c:v>2.3817061552838758E-2</c:v>
                </c:pt>
                <c:pt idx="1439">
                  <c:v>2.3807330053501958E-2</c:v>
                </c:pt>
                <c:pt idx="1440">
                  <c:v>2.3797520807772227E-2</c:v>
                </c:pt>
                <c:pt idx="1441">
                  <c:v>2.3787821610560683E-2</c:v>
                </c:pt>
                <c:pt idx="1442">
                  <c:v>2.3778138829677657E-2</c:v>
                </c:pt>
                <c:pt idx="1443">
                  <c:v>2.3768472465003684E-2</c:v>
                </c:pt>
                <c:pt idx="1444">
                  <c:v>2.3758822516418417E-2</c:v>
                </c:pt>
                <c:pt idx="1445">
                  <c:v>2.3749285829209734E-2</c:v>
                </c:pt>
                <c:pt idx="1446">
                  <c:v>2.3739669252652924E-2</c:v>
                </c:pt>
                <c:pt idx="1447">
                  <c:v>2.3730069093154262E-2</c:v>
                </c:pt>
                <c:pt idx="1448">
                  <c:v>2.3720485350592107E-2</c:v>
                </c:pt>
                <c:pt idx="1449">
                  <c:v>2.3710918024849158E-2</c:v>
                </c:pt>
                <c:pt idx="1450">
                  <c:v>2.3701367115803777E-2</c:v>
                </c:pt>
                <c:pt idx="1451">
                  <c:v>2.369183262333693E-2</c:v>
                </c:pt>
                <c:pt idx="1452">
                  <c:v>2.3681157799158355E-2</c:v>
                </c:pt>
                <c:pt idx="1453">
                  <c:v>2.3672610536433325E-2</c:v>
                </c:pt>
                <c:pt idx="1454">
                  <c:v>2.3663124191581453E-2</c:v>
                </c:pt>
                <c:pt idx="1455">
                  <c:v>2.3653654260202828E-2</c:v>
                </c:pt>
                <c:pt idx="1456">
                  <c:v>2.3644303545126158E-2</c:v>
                </c:pt>
                <c:pt idx="1457">
                  <c:v>2.3633520256273542E-2</c:v>
                </c:pt>
                <c:pt idx="1458">
                  <c:v>2.3618623929063887E-2</c:v>
                </c:pt>
                <c:pt idx="1459">
                  <c:v>2.3610676952231357E-2</c:v>
                </c:pt>
                <c:pt idx="1460">
                  <c:v>2.3601299024478321E-2</c:v>
                </c:pt>
                <c:pt idx="1461">
                  <c:v>2.3591619957313143E-2</c:v>
                </c:pt>
                <c:pt idx="1462">
                  <c:v>2.3582698940597439E-2</c:v>
                </c:pt>
                <c:pt idx="1463">
                  <c:v>2.3571825280373382E-2</c:v>
                </c:pt>
                <c:pt idx="1464">
                  <c:v>2.3563951452537757E-2</c:v>
                </c:pt>
                <c:pt idx="1465">
                  <c:v>2.355476381726811E-2</c:v>
                </c:pt>
                <c:pt idx="1466">
                  <c:v>2.3545484939139653E-2</c:v>
                </c:pt>
                <c:pt idx="1467">
                  <c:v>2.3536222475641719E-2</c:v>
                </c:pt>
                <c:pt idx="1468">
                  <c:v>2.3526976426658752E-2</c:v>
                </c:pt>
                <c:pt idx="1469">
                  <c:v>2.3515112768495067E-2</c:v>
                </c:pt>
                <c:pt idx="1470">
                  <c:v>2.3508422499161196E-2</c:v>
                </c:pt>
                <c:pt idx="1471">
                  <c:v>2.3499225119324122E-2</c:v>
                </c:pt>
                <c:pt idx="1472">
                  <c:v>2.3490156373565326E-2</c:v>
                </c:pt>
                <c:pt idx="1473">
                  <c:v>2.3480879597817802E-2</c:v>
                </c:pt>
                <c:pt idx="1474">
                  <c:v>2.3470539376108442E-2</c:v>
                </c:pt>
                <c:pt idx="1475">
                  <c:v>2.3458805354826855E-2</c:v>
                </c:pt>
                <c:pt idx="1476">
                  <c:v>2.3449697652182619E-2</c:v>
                </c:pt>
                <c:pt idx="1477">
                  <c:v>2.3440606362971607E-2</c:v>
                </c:pt>
                <c:pt idx="1478">
                  <c:v>2.3431531487079989E-2</c:v>
                </c:pt>
                <c:pt idx="1479">
                  <c:v>2.3422473024396557E-2</c:v>
                </c:pt>
                <c:pt idx="1480">
                  <c:v>2.3413430974804014E-2</c:v>
                </c:pt>
                <c:pt idx="1481">
                  <c:v>2.3404405338192876E-2</c:v>
                </c:pt>
                <c:pt idx="1482">
                  <c:v>2.3395396114448457E-2</c:v>
                </c:pt>
                <c:pt idx="1483">
                  <c:v>2.3386403303458671E-2</c:v>
                </c:pt>
                <c:pt idx="1484">
                  <c:v>2.3377426905112308E-2</c:v>
                </c:pt>
                <c:pt idx="1485">
                  <c:v>2.3368466919295536E-2</c:v>
                </c:pt>
                <c:pt idx="1486">
                  <c:v>2.3359523345896277E-2</c:v>
                </c:pt>
                <c:pt idx="1487">
                  <c:v>2.3350596184803316E-2</c:v>
                </c:pt>
                <c:pt idx="1488">
                  <c:v>2.3341685435905434E-2</c:v>
                </c:pt>
                <c:pt idx="1489">
                  <c:v>2.3332791099091421E-2</c:v>
                </c:pt>
                <c:pt idx="1490">
                  <c:v>2.3324282693038573E-2</c:v>
                </c:pt>
                <c:pt idx="1491">
                  <c:v>2.3315051661269258E-2</c:v>
                </c:pt>
                <c:pt idx="1492">
                  <c:v>2.3306082311266747E-2</c:v>
                </c:pt>
                <c:pt idx="1493">
                  <c:v>2.3297253019260659E-2</c:v>
                </c:pt>
                <c:pt idx="1494">
                  <c:v>2.3288440137517609E-2</c:v>
                </c:pt>
                <c:pt idx="1495">
                  <c:v>2.3279643665930428E-2</c:v>
                </c:pt>
                <c:pt idx="1496">
                  <c:v>2.3270990270418585E-2</c:v>
                </c:pt>
                <c:pt idx="1497">
                  <c:v>2.3262227226288252E-2</c:v>
                </c:pt>
                <c:pt idx="1498">
                  <c:v>2.3253480593246927E-2</c:v>
                </c:pt>
                <c:pt idx="1499">
                  <c:v>2.3244750371187742E-2</c:v>
                </c:pt>
                <c:pt idx="1500">
                  <c:v>2.323603656000035E-2</c:v>
                </c:pt>
                <c:pt idx="1501">
                  <c:v>2.3227339159576137E-2</c:v>
                </c:pt>
                <c:pt idx="1502">
                  <c:v>2.3218658169807373E-2</c:v>
                </c:pt>
                <c:pt idx="1503">
                  <c:v>2.3209993590582831E-2</c:v>
                </c:pt>
                <c:pt idx="1504">
                  <c:v>2.320134542179652E-2</c:v>
                </c:pt>
                <c:pt idx="1505">
                  <c:v>2.319258148474913E-2</c:v>
                </c:pt>
                <c:pt idx="1506">
                  <c:v>2.3183965517732361E-2</c:v>
                </c:pt>
                <c:pt idx="1507">
                  <c:v>2.317549937698345E-2</c:v>
                </c:pt>
                <c:pt idx="1508">
                  <c:v>2.3156993588808204E-2</c:v>
                </c:pt>
                <c:pt idx="1509">
                  <c:v>2.3152107014960222E-2</c:v>
                </c:pt>
                <c:pt idx="1510">
                  <c:v>2.3143568403085527E-2</c:v>
                </c:pt>
                <c:pt idx="1511">
                  <c:v>2.313504619957385E-2</c:v>
                </c:pt>
                <c:pt idx="1512">
                  <c:v>2.3126677388699994E-2</c:v>
                </c:pt>
                <c:pt idx="1513">
                  <c:v>2.311818863000055E-2</c:v>
                </c:pt>
                <c:pt idx="1514">
                  <c:v>2.3109439861869419E-2</c:v>
                </c:pt>
                <c:pt idx="1515">
                  <c:v>2.3100982660023917E-2</c:v>
                </c:pt>
                <c:pt idx="1516">
                  <c:v>2.3092681303796887E-2</c:v>
                </c:pt>
                <c:pt idx="1517">
                  <c:v>2.3084397687045496E-2</c:v>
                </c:pt>
                <c:pt idx="1518">
                  <c:v>2.307599097374001E-2</c:v>
                </c:pt>
                <c:pt idx="1519">
                  <c:v>2.3067600669197569E-2</c:v>
                </c:pt>
                <c:pt idx="1520">
                  <c:v>2.3059226773313037E-2</c:v>
                </c:pt>
                <c:pt idx="1521">
                  <c:v>2.3050726601405995E-2</c:v>
                </c:pt>
                <c:pt idx="1522">
                  <c:v>2.3042384882990197E-2</c:v>
                </c:pt>
                <c:pt idx="1523">
                  <c:v>2.3031683924853014E-2</c:v>
                </c:pt>
                <c:pt idx="1524">
                  <c:v>2.3023379708259524E-2</c:v>
                </c:pt>
                <c:pt idx="1525">
                  <c:v>2.3014346046793224E-2</c:v>
                </c:pt>
                <c:pt idx="1526">
                  <c:v>2.3006078923034041E-2</c:v>
                </c:pt>
                <c:pt idx="1527">
                  <c:v>2.2997828209613481E-2</c:v>
                </c:pt>
                <c:pt idx="1528">
                  <c:v>2.2989741575809106E-2</c:v>
                </c:pt>
                <c:pt idx="1529">
                  <c:v>2.2980931468113794E-2</c:v>
                </c:pt>
                <c:pt idx="1530">
                  <c:v>2.297317453033074E-2</c:v>
                </c:pt>
                <c:pt idx="1531">
                  <c:v>2.2965139077507763E-2</c:v>
                </c:pt>
                <c:pt idx="1532">
                  <c:v>2.2956971066951E-2</c:v>
                </c:pt>
                <c:pt idx="1533">
                  <c:v>2.2948668540316474E-2</c:v>
                </c:pt>
                <c:pt idx="1534">
                  <c:v>2.2940532696327325E-2</c:v>
                </c:pt>
                <c:pt idx="1535">
                  <c:v>2.2932565500435903E-2</c:v>
                </c:pt>
                <c:pt idx="1536">
                  <c:v>2.292431023675166E-2</c:v>
                </c:pt>
                <c:pt idx="1537">
                  <c:v>2.2916223620956799E-2</c:v>
                </c:pt>
                <c:pt idx="1538">
                  <c:v>2.290830762945156E-2</c:v>
                </c:pt>
                <c:pt idx="1539">
                  <c:v>2.2900099616837685E-2</c:v>
                </c:pt>
                <c:pt idx="1540">
                  <c:v>2.2892062228307641E-2</c:v>
                </c:pt>
                <c:pt idx="1541">
                  <c:v>2.2884197451180012E-2</c:v>
                </c:pt>
                <c:pt idx="1542">
                  <c:v>2.2875566496716328E-2</c:v>
                </c:pt>
                <c:pt idx="1543">
                  <c:v>2.2867576337061536E-2</c:v>
                </c:pt>
                <c:pt idx="1544">
                  <c:v>2.2859602582358866E-2</c:v>
                </c:pt>
                <c:pt idx="1545">
                  <c:v>2.2851645232510813E-2</c:v>
                </c:pt>
                <c:pt idx="1546">
                  <c:v>2.2844182480087846E-2</c:v>
                </c:pt>
                <c:pt idx="1547">
                  <c:v>2.2836259951592476E-2</c:v>
                </c:pt>
                <c:pt idx="1548">
                  <c:v>2.282851471340018E-2</c:v>
                </c:pt>
                <c:pt idx="1549">
                  <c:v>2.282046411901352E-2</c:v>
                </c:pt>
                <c:pt idx="1550">
                  <c:v>2.281259081472584E-2</c:v>
                </c:pt>
                <c:pt idx="1551">
                  <c:v>2.2804245629856508E-2</c:v>
                </c:pt>
                <c:pt idx="1552">
                  <c:v>2.2796893429656601E-2</c:v>
                </c:pt>
                <c:pt idx="1553">
                  <c:v>2.2789069348673502E-2</c:v>
                </c:pt>
                <c:pt idx="1554">
                  <c:v>2.2781261675257625E-2</c:v>
                </c:pt>
                <c:pt idx="1555">
                  <c:v>2.2772973979448875E-2</c:v>
                </c:pt>
                <c:pt idx="1556">
                  <c:v>2.2765031062744967E-2</c:v>
                </c:pt>
                <c:pt idx="1557">
                  <c:v>2.2757269881173769E-2</c:v>
                </c:pt>
                <c:pt idx="1558">
                  <c:v>2.2749525102000234E-2</c:v>
                </c:pt>
                <c:pt idx="1559">
                  <c:v>2.273755633029868E-2</c:v>
                </c:pt>
                <c:pt idx="1560">
                  <c:v>2.2728586239254334E-2</c:v>
                </c:pt>
                <c:pt idx="1561">
                  <c:v>2.2719806027552636E-2</c:v>
                </c:pt>
                <c:pt idx="1562">
                  <c:v>2.2712140915825074E-2</c:v>
                </c:pt>
                <c:pt idx="1563">
                  <c:v>2.2704663613195661E-2</c:v>
                </c:pt>
                <c:pt idx="1564">
                  <c:v>2.2697031996769382E-2</c:v>
                </c:pt>
                <c:pt idx="1565">
                  <c:v>2.2689071272981878E-2</c:v>
                </c:pt>
                <c:pt idx="1566">
                  <c:v>2.2681471074147554E-2</c:v>
                </c:pt>
                <c:pt idx="1567">
                  <c:v>2.2673887275603797E-2</c:v>
                </c:pt>
                <c:pt idx="1568">
                  <c:v>2.2666844510083099E-2</c:v>
                </c:pt>
                <c:pt idx="1569">
                  <c:v>2.2659295604696223E-2</c:v>
                </c:pt>
                <c:pt idx="1570">
                  <c:v>2.2651763102863515E-2</c:v>
                </c:pt>
                <c:pt idx="1571">
                  <c:v>2.2644247004493741E-2</c:v>
                </c:pt>
                <c:pt idx="1572">
                  <c:v>2.2636569559875728E-2</c:v>
                </c:pt>
                <c:pt idx="1573">
                  <c:v>2.2629085565676856E-2</c:v>
                </c:pt>
                <c:pt idx="1574">
                  <c:v>2.2621617973483017E-2</c:v>
                </c:pt>
                <c:pt idx="1575">
                  <c:v>2.2614166783201092E-2</c:v>
                </c:pt>
                <c:pt idx="1576">
                  <c:v>2.2606912561284599E-2</c:v>
                </c:pt>
                <c:pt idx="1577">
                  <c:v>2.2595263572212112E-2</c:v>
                </c:pt>
                <c:pt idx="1578">
                  <c:v>2.2587871668445638E-2</c:v>
                </c:pt>
                <c:pt idx="1579">
                  <c:v>2.2579443863315344E-2</c:v>
                </c:pt>
                <c:pt idx="1580">
                  <c:v>2.257313706881044E-2</c:v>
                </c:pt>
                <c:pt idx="1581">
                  <c:v>2.2565794372756652E-2</c:v>
                </c:pt>
                <c:pt idx="1582">
                  <c:v>2.2558468079091006E-2</c:v>
                </c:pt>
                <c:pt idx="1583">
                  <c:v>2.2551530315841041E-2</c:v>
                </c:pt>
                <c:pt idx="1584">
                  <c:v>2.2543864698553139E-2</c:v>
                </c:pt>
                <c:pt idx="1585">
                  <c:v>2.2536587611500191E-2</c:v>
                </c:pt>
                <c:pt idx="1586">
                  <c:v>2.252932692646872E-2</c:v>
                </c:pt>
                <c:pt idx="1587">
                  <c:v>2.2521049084713189E-2</c:v>
                </c:pt>
                <c:pt idx="1588">
                  <c:v>2.2514854762111382E-2</c:v>
                </c:pt>
                <c:pt idx="1589">
                  <c:v>2.2507833622969216E-2</c:v>
                </c:pt>
                <c:pt idx="1590">
                  <c:v>2.2500448204755615E-2</c:v>
                </c:pt>
                <c:pt idx="1591">
                  <c:v>2.2493269528480454E-2</c:v>
                </c:pt>
                <c:pt idx="1592">
                  <c:v>2.2486107253684599E-2</c:v>
                </c:pt>
                <c:pt idx="1593">
                  <c:v>2.2477748613899555E-2</c:v>
                </c:pt>
                <c:pt idx="1594">
                  <c:v>2.2471638018231412E-2</c:v>
                </c:pt>
                <c:pt idx="1595">
                  <c:v>2.2464524218573936E-2</c:v>
                </c:pt>
                <c:pt idx="1596">
                  <c:v>2.2454390096542719E-2</c:v>
                </c:pt>
                <c:pt idx="1597">
                  <c:v>2.2450541898794769E-2</c:v>
                </c:pt>
                <c:pt idx="1598">
                  <c:v>2.2443478031012758E-2</c:v>
                </c:pt>
                <c:pt idx="1599">
                  <c:v>2.2435425121940137E-2</c:v>
                </c:pt>
                <c:pt idx="1600">
                  <c:v>2.2429399497936899E-2</c:v>
                </c:pt>
                <c:pt idx="1601">
                  <c:v>2.2422384832465808E-2</c:v>
                </c:pt>
                <c:pt idx="1602">
                  <c:v>2.2415386567591251E-2</c:v>
                </c:pt>
                <c:pt idx="1603">
                  <c:v>2.2408404703223729E-2</c:v>
                </c:pt>
                <c:pt idx="1604">
                  <c:v>2.2401439239277232E-2</c:v>
                </c:pt>
                <c:pt idx="1605">
                  <c:v>2.2393498791087828E-2</c:v>
                </c:pt>
                <c:pt idx="1606">
                  <c:v>2.2386747143272098E-2</c:v>
                </c:pt>
                <c:pt idx="1607">
                  <c:v>2.2380437795444037E-2</c:v>
                </c:pt>
                <c:pt idx="1608">
                  <c:v>2.2373537188618741E-2</c:v>
                </c:pt>
                <c:pt idx="1609">
                  <c:v>2.2366652980640563E-2</c:v>
                </c:pt>
                <c:pt idx="1610">
                  <c:v>2.2357825952222469E-2</c:v>
                </c:pt>
                <c:pt idx="1611">
                  <c:v>2.2350772658034757E-2</c:v>
                </c:pt>
                <c:pt idx="1612">
                  <c:v>2.2342967053629259E-2</c:v>
                </c:pt>
                <c:pt idx="1613">
                  <c:v>2.2336154718350265E-2</c:v>
                </c:pt>
                <c:pt idx="1614">
                  <c:v>2.2329358780321051E-2</c:v>
                </c:pt>
                <c:pt idx="1615">
                  <c:v>2.2322788916508428E-2</c:v>
                </c:pt>
                <c:pt idx="1616">
                  <c:v>2.2314640813602512E-2</c:v>
                </c:pt>
                <c:pt idx="1617">
                  <c:v>2.230885824521165E-2</c:v>
                </c:pt>
                <c:pt idx="1618">
                  <c:v>2.2302127140076806E-2</c:v>
                </c:pt>
                <c:pt idx="1619">
                  <c:v>2.2296050519970148E-2</c:v>
                </c:pt>
                <c:pt idx="1620">
                  <c:v>2.2289354479192641E-2</c:v>
                </c:pt>
                <c:pt idx="1621">
                  <c:v>2.2282674837347784E-2</c:v>
                </c:pt>
                <c:pt idx="1622">
                  <c:v>2.2276011594353027E-2</c:v>
                </c:pt>
                <c:pt idx="1623">
                  <c:v>2.2269148934587604E-2</c:v>
                </c:pt>
                <c:pt idx="1624">
                  <c:v>2.2262517726713806E-2</c:v>
                </c:pt>
                <c:pt idx="1625">
                  <c:v>2.2255902916314158E-2</c:v>
                </c:pt>
                <c:pt idx="1626">
                  <c:v>2.2249304503306085E-2</c:v>
                </c:pt>
                <c:pt idx="1627">
                  <c:v>2.2241783538203514E-2</c:v>
                </c:pt>
                <c:pt idx="1628">
                  <c:v>2.2232632526271941E-2</c:v>
                </c:pt>
                <c:pt idx="1629">
                  <c:v>2.222609344330553E-2</c:v>
                </c:pt>
                <c:pt idx="1630">
                  <c:v>2.2219570758482833E-2</c:v>
                </c:pt>
                <c:pt idx="1631">
                  <c:v>2.2212136340795278E-2</c:v>
                </c:pt>
                <c:pt idx="1632">
                  <c:v>2.2206574582938406E-2</c:v>
                </c:pt>
                <c:pt idx="1633">
                  <c:v>2.2200101092054194E-2</c:v>
                </c:pt>
                <c:pt idx="1634">
                  <c:v>2.2193643998987003E-2</c:v>
                </c:pt>
                <c:pt idx="1635">
                  <c:v>2.2187203303658629E-2</c:v>
                </c:pt>
                <c:pt idx="1636">
                  <c:v>2.2180779005985665E-2</c:v>
                </c:pt>
                <c:pt idx="1637">
                  <c:v>2.2174371105888168E-2</c:v>
                </c:pt>
                <c:pt idx="1638">
                  <c:v>2.216706787005469E-2</c:v>
                </c:pt>
                <c:pt idx="1639">
                  <c:v>2.2161604498102457E-2</c:v>
                </c:pt>
                <c:pt idx="1640">
                  <c:v>2.2155245790255233E-2</c:v>
                </c:pt>
                <c:pt idx="1641">
                  <c:v>2.214890347966374E-2</c:v>
                </c:pt>
                <c:pt idx="1642">
                  <c:v>2.2142577566250644E-2</c:v>
                </c:pt>
                <c:pt idx="1643">
                  <c:v>2.2136499857738336E-2</c:v>
                </c:pt>
                <c:pt idx="1644">
                  <c:v>2.2128844631147185E-2</c:v>
                </c:pt>
                <c:pt idx="1645">
                  <c:v>2.2123464913154787E-2</c:v>
                </c:pt>
                <c:pt idx="1646">
                  <c:v>2.2117203800123674E-2</c:v>
                </c:pt>
                <c:pt idx="1647">
                  <c:v>2.2110068318709149E-2</c:v>
                </c:pt>
                <c:pt idx="1648">
                  <c:v>2.2104078113169449E-2</c:v>
                </c:pt>
                <c:pt idx="1649">
                  <c:v>2.209786932016972E-2</c:v>
                </c:pt>
                <c:pt idx="1650">
                  <c:v>2.2091676923708902E-2</c:v>
                </c:pt>
                <c:pt idx="1651">
                  <c:v>2.20855009237114E-2</c:v>
                </c:pt>
                <c:pt idx="1652">
                  <c:v>2.2079341320099883E-2</c:v>
                </c:pt>
                <c:pt idx="1653">
                  <c:v>2.207319811279616E-2</c:v>
                </c:pt>
                <c:pt idx="1654">
                  <c:v>2.2067071301725503E-2</c:v>
                </c:pt>
                <c:pt idx="1655">
                  <c:v>2.2060960886808846E-2</c:v>
                </c:pt>
                <c:pt idx="1656">
                  <c:v>2.2053997632304541E-2</c:v>
                </c:pt>
                <c:pt idx="1657">
                  <c:v>2.2048303465782126E-2</c:v>
                </c:pt>
                <c:pt idx="1658">
                  <c:v>2.2042240637157207E-2</c:v>
                </c:pt>
                <c:pt idx="1659">
                  <c:v>2.2036194202187609E-2</c:v>
                </c:pt>
                <c:pt idx="1660">
                  <c:v>2.2030409412991288E-2</c:v>
                </c:pt>
                <c:pt idx="1661">
                  <c:v>2.2022681625070505E-2</c:v>
                </c:pt>
                <c:pt idx="1662">
                  <c:v>2.2016442768248545E-2</c:v>
                </c:pt>
                <c:pt idx="1663">
                  <c:v>2.2010466590975497E-2</c:v>
                </c:pt>
                <c:pt idx="1664">
                  <c:v>2.200450680697319E-2</c:v>
                </c:pt>
                <c:pt idx="1665">
                  <c:v>2.199856341616524E-2</c:v>
                </c:pt>
                <c:pt idx="1666">
                  <c:v>2.1993137155190932E-2</c:v>
                </c:pt>
                <c:pt idx="1667">
                  <c:v>2.1986474766001574E-2</c:v>
                </c:pt>
                <c:pt idx="1668">
                  <c:v>2.1980579742444634E-2</c:v>
                </c:pt>
                <c:pt idx="1669">
                  <c:v>2.1974701110705031E-2</c:v>
                </c:pt>
                <c:pt idx="1670">
                  <c:v>2.1969599595427072E-2</c:v>
                </c:pt>
                <c:pt idx="1671">
                  <c:v>2.1963756193013825E-2</c:v>
                </c:pt>
                <c:pt idx="1672">
                  <c:v>2.1957929255950533E-2</c:v>
                </c:pt>
                <c:pt idx="1673">
                  <c:v>2.1952119136592729E-2</c:v>
                </c:pt>
                <c:pt idx="1674">
                  <c:v>2.194606908536572E-2</c:v>
                </c:pt>
                <c:pt idx="1675">
                  <c:v>2.19402928692581E-2</c:v>
                </c:pt>
                <c:pt idx="1676">
                  <c:v>2.1934534695694643E-2</c:v>
                </c:pt>
                <c:pt idx="1677">
                  <c:v>2.1928794992132097E-2</c:v>
                </c:pt>
                <c:pt idx="1678">
                  <c:v>2.1923335604713028E-2</c:v>
                </c:pt>
                <c:pt idx="1679">
                  <c:v>2.1913575688359666E-2</c:v>
                </c:pt>
                <c:pt idx="1680">
                  <c:v>2.1907909518017177E-2</c:v>
                </c:pt>
                <c:pt idx="1681">
                  <c:v>2.1902263850053616E-2</c:v>
                </c:pt>
                <c:pt idx="1682">
                  <c:v>2.1895837305440626E-2</c:v>
                </c:pt>
                <c:pt idx="1683">
                  <c:v>2.1891035712538212E-2</c:v>
                </c:pt>
                <c:pt idx="1684">
                  <c:v>2.1885454075471756E-2</c:v>
                </c:pt>
                <c:pt idx="1685">
                  <c:v>2.1879894384842141E-2</c:v>
                </c:pt>
                <c:pt idx="1686">
                  <c:v>2.1874356646107613E-2</c:v>
                </c:pt>
                <c:pt idx="1687">
                  <c:v>2.1868840859173459E-2</c:v>
                </c:pt>
                <c:pt idx="1688">
                  <c:v>2.1863347023948453E-2</c:v>
                </c:pt>
                <c:pt idx="1689">
                  <c:v>2.1857875140338753E-2</c:v>
                </c:pt>
                <c:pt idx="1690">
                  <c:v>2.1852425208256608E-2</c:v>
                </c:pt>
                <c:pt idx="1691">
                  <c:v>2.1846997227607308E-2</c:v>
                </c:pt>
                <c:pt idx="1692">
                  <c:v>2.1841591198300491E-2</c:v>
                </c:pt>
                <c:pt idx="1693">
                  <c:v>2.1836207120247531E-2</c:v>
                </c:pt>
                <c:pt idx="1694">
                  <c:v>2.1831126963899432E-2</c:v>
                </c:pt>
                <c:pt idx="1695">
                  <c:v>2.182446046390191E-2</c:v>
                </c:pt>
                <c:pt idx="1696">
                  <c:v>2.1819902261032691E-2</c:v>
                </c:pt>
                <c:pt idx="1697">
                  <c:v>2.1814604739355103E-2</c:v>
                </c:pt>
                <c:pt idx="1698">
                  <c:v>2.1809329167087711E-2</c:v>
                </c:pt>
                <c:pt idx="1699">
                  <c:v>2.1803326818352741E-2</c:v>
                </c:pt>
                <c:pt idx="1700">
                  <c:v>2.1798387790202486E-2</c:v>
                </c:pt>
                <c:pt idx="1701">
                  <c:v>2.1792440627268195E-2</c:v>
                </c:pt>
                <c:pt idx="1702">
                  <c:v>2.178726037802298E-2</c:v>
                </c:pt>
                <c:pt idx="1703">
                  <c:v>2.1782102079121918E-2</c:v>
                </c:pt>
                <c:pt idx="1704">
                  <c:v>2.1776823938363322E-2</c:v>
                </c:pt>
                <c:pt idx="1705">
                  <c:v>2.1771851332005564E-2</c:v>
                </c:pt>
                <c:pt idx="1706">
                  <c:v>2.1766758883618238E-2</c:v>
                </c:pt>
                <c:pt idx="1707">
                  <c:v>2.1761688385232729E-2</c:v>
                </c:pt>
                <c:pt idx="1708">
                  <c:v>2.1756340079088509E-2</c:v>
                </c:pt>
                <c:pt idx="1709">
                  <c:v>2.1751312215609105E-2</c:v>
                </c:pt>
                <c:pt idx="1710">
                  <c:v>2.1746306300490195E-2</c:v>
                </c:pt>
                <c:pt idx="1711">
                  <c:v>2.1741322333650084E-2</c:v>
                </c:pt>
                <c:pt idx="1712">
                  <c:v>2.1735348373583818E-2</c:v>
                </c:pt>
                <c:pt idx="1713">
                  <c:v>2.173071631179152E-2</c:v>
                </c:pt>
                <c:pt idx="1714">
                  <c:v>2.1725801324720118E-2</c:v>
                </c:pt>
                <c:pt idx="1715">
                  <c:v>2.1720908285586687E-2</c:v>
                </c:pt>
                <c:pt idx="1716">
                  <c:v>2.1716037194311293E-2</c:v>
                </c:pt>
                <c:pt idx="1717">
                  <c:v>2.1712434350954737E-2</c:v>
                </c:pt>
                <c:pt idx="1718">
                  <c:v>2.1706048338606898E-2</c:v>
                </c:pt>
                <c:pt idx="1719">
                  <c:v>2.1701241811745042E-2</c:v>
                </c:pt>
                <c:pt idx="1720">
                  <c:v>2.1696457231042743E-2</c:v>
                </c:pt>
                <c:pt idx="1721">
                  <c:v>2.1692960833219616E-2</c:v>
                </c:pt>
                <c:pt idx="1722">
                  <c:v>2.168822527691593E-2</c:v>
                </c:pt>
                <c:pt idx="1723">
                  <c:v>2.1683511672037598E-2</c:v>
                </c:pt>
                <c:pt idx="1724">
                  <c:v>2.1678820018504692E-2</c:v>
                </c:pt>
                <c:pt idx="1725">
                  <c:v>2.1670524258976948E-2</c:v>
                </c:pt>
                <c:pt idx="1726">
                  <c:v>2.1668533396195063E-2</c:v>
                </c:pt>
                <c:pt idx="1727">
                  <c:v>2.1663903726117428E-2</c:v>
                </c:pt>
                <c:pt idx="1728">
                  <c:v>2.1659296002954409E-2</c:v>
                </c:pt>
                <c:pt idx="1729">
                  <c:v>2.1656018221868484E-2</c:v>
                </c:pt>
                <c:pt idx="1730">
                  <c:v>2.1647877176058362E-2</c:v>
                </c:pt>
                <c:pt idx="1731">
                  <c:v>2.1646593074738336E-2</c:v>
                </c:pt>
                <c:pt idx="1732">
                  <c:v>2.1642077029107268E-2</c:v>
                </c:pt>
                <c:pt idx="1733">
                  <c:v>2.1637915323973658E-2</c:v>
                </c:pt>
                <c:pt idx="1734">
                  <c:v>2.1633110789678899E-2</c:v>
                </c:pt>
                <c:pt idx="1735">
                  <c:v>2.1628660595727683E-2</c:v>
                </c:pt>
                <c:pt idx="1736">
                  <c:v>2.162456864604323E-2</c:v>
                </c:pt>
                <c:pt idx="1737">
                  <c:v>2.1619826058971912E-2</c:v>
                </c:pt>
                <c:pt idx="1738">
                  <c:v>2.1614425835027713E-2</c:v>
                </c:pt>
                <c:pt idx="1739">
                  <c:v>2.1611419533367905E-2</c:v>
                </c:pt>
                <c:pt idx="1740">
                  <c:v>2.1606738880570506E-2</c:v>
                </c:pt>
                <c:pt idx="1741">
                  <c:v>2.1602420387933821E-2</c:v>
                </c:pt>
                <c:pt idx="1742">
                  <c:v>2.1598123845256438E-2</c:v>
                </c:pt>
                <c:pt idx="1743">
                  <c:v>2.1593849252463517E-2</c:v>
                </c:pt>
                <c:pt idx="1744">
                  <c:v>2.1589596609482776E-2</c:v>
                </c:pt>
                <c:pt idx="1745">
                  <c:v>2.1585365916241932E-2</c:v>
                </c:pt>
                <c:pt idx="1746">
                  <c:v>2.1581157172667006E-2</c:v>
                </c:pt>
                <c:pt idx="1747">
                  <c:v>2.1575919077378845E-2</c:v>
                </c:pt>
                <c:pt idx="1748">
                  <c:v>2.1571750276976821E-2</c:v>
                </c:pt>
                <c:pt idx="1749">
                  <c:v>2.1567603421964475E-2</c:v>
                </c:pt>
                <c:pt idx="1750">
                  <c:v>2.1563478512271542E-2</c:v>
                </c:pt>
                <c:pt idx="1751">
                  <c:v>2.155937554783301E-2</c:v>
                </c:pt>
                <c:pt idx="1752">
                  <c:v>2.155636565022355E-2</c:v>
                </c:pt>
                <c:pt idx="1753">
                  <c:v>2.1552669200002525E-2</c:v>
                </c:pt>
                <c:pt idx="1754">
                  <c:v>2.1548277403527317E-2</c:v>
                </c:pt>
                <c:pt idx="1755">
                  <c:v>2.1544266203763485E-2</c:v>
                </c:pt>
                <c:pt idx="1756">
                  <c:v>2.154027695296315E-2</c:v>
                </c:pt>
                <c:pt idx="1757">
                  <c:v>2.1536673615316682E-2</c:v>
                </c:pt>
                <c:pt idx="1758">
                  <c:v>2.1532364297984254E-2</c:v>
                </c:pt>
                <c:pt idx="1759">
                  <c:v>2.1526032174305852E-2</c:v>
                </c:pt>
                <c:pt idx="1760">
                  <c:v>2.1523068995665362E-2</c:v>
                </c:pt>
                <c:pt idx="1761">
                  <c:v>2.151918414423637E-2</c:v>
                </c:pt>
                <c:pt idx="1762">
                  <c:v>2.1515321235987095E-2</c:v>
                </c:pt>
                <c:pt idx="1763">
                  <c:v>2.1511480270857142E-2</c:v>
                </c:pt>
                <c:pt idx="1764">
                  <c:v>2.1503864169695852E-2</c:v>
                </c:pt>
                <c:pt idx="1765">
                  <c:v>2.1501704262150589E-2</c:v>
                </c:pt>
                <c:pt idx="1766">
                  <c:v>2.149794166478447E-2</c:v>
                </c:pt>
                <c:pt idx="1767">
                  <c:v>2.1494578555404632E-2</c:v>
                </c:pt>
                <c:pt idx="1768">
                  <c:v>2.1490861189653147E-2</c:v>
                </c:pt>
                <c:pt idx="1769">
                  <c:v>2.1487165767950001E-2</c:v>
                </c:pt>
                <c:pt idx="1770">
                  <c:v>2.1483110703041319E-2</c:v>
                </c:pt>
                <c:pt idx="1771">
                  <c:v>2.1479457819230774E-2</c:v>
                </c:pt>
                <c:pt idx="1772">
                  <c:v>2.1476211166541158E-2</c:v>
                </c:pt>
                <c:pt idx="1773">
                  <c:v>2.1472989306197607E-2</c:v>
                </c:pt>
                <c:pt idx="1774">
                  <c:v>2.1469404958056701E-2</c:v>
                </c:pt>
                <c:pt idx="1775">
                  <c:v>2.1465842554942462E-2</c:v>
                </c:pt>
                <c:pt idx="1776">
                  <c:v>2.1462302096793201E-2</c:v>
                </c:pt>
                <c:pt idx="1777">
                  <c:v>2.1458392372903191E-2</c:v>
                </c:pt>
                <c:pt idx="1778">
                  <c:v>2.1454894444950627E-2</c:v>
                </c:pt>
                <c:pt idx="1779">
                  <c:v>2.1451418460454345E-2</c:v>
                </c:pt>
                <c:pt idx="1780">
                  <c:v>2.1446981580881153E-2</c:v>
                </c:pt>
                <c:pt idx="1781">
                  <c:v>2.144395279935345E-2</c:v>
                </c:pt>
                <c:pt idx="1782">
                  <c:v>2.1440550279649202E-2</c:v>
                </c:pt>
                <c:pt idx="1783">
                  <c:v>2.1437169704487658E-2</c:v>
                </c:pt>
                <c:pt idx="1784">
                  <c:v>2.1433811073811475E-2</c:v>
                </c:pt>
                <c:pt idx="1785">
                  <c:v>2.1430474387566779E-2</c:v>
                </c:pt>
                <c:pt idx="1786">
                  <c:v>2.1427159645694489E-2</c:v>
                </c:pt>
                <c:pt idx="1787">
                  <c:v>2.1423866848141605E-2</c:v>
                </c:pt>
                <c:pt idx="1788">
                  <c:v>2.1420595994853388E-2</c:v>
                </c:pt>
                <c:pt idx="1789">
                  <c:v>2.1417347085772493E-2</c:v>
                </c:pt>
                <c:pt idx="1790">
                  <c:v>2.1414120120846782E-2</c:v>
                </c:pt>
                <c:pt idx="1791">
                  <c:v>2.1410915100022396E-2</c:v>
                </c:pt>
                <c:pt idx="1792">
                  <c:v>2.1407732023243715E-2</c:v>
                </c:pt>
                <c:pt idx="1793">
                  <c:v>2.1404570890459485E-2</c:v>
                </c:pt>
                <c:pt idx="1794">
                  <c:v>2.1401431701616701E-2</c:v>
                </c:pt>
                <c:pt idx="1795">
                  <c:v>2.1398314456660624E-2</c:v>
                </c:pt>
                <c:pt idx="1796">
                  <c:v>2.1395219155541729E-2</c:v>
                </c:pt>
                <c:pt idx="1797">
                  <c:v>2.1392145798206148E-2</c:v>
                </c:pt>
                <c:pt idx="1798">
                  <c:v>2.138909438460522E-2</c:v>
                </c:pt>
                <c:pt idx="1799">
                  <c:v>2.1385643089913378E-2</c:v>
                </c:pt>
                <c:pt idx="1800">
                  <c:v>2.1382634174480962E-2</c:v>
                </c:pt>
                <c:pt idx="1801">
                  <c:v>2.1379647201308423E-2</c:v>
                </c:pt>
                <c:pt idx="1802">
                  <c:v>2.137710816650977E-2</c:v>
                </c:pt>
                <c:pt idx="1803">
                  <c:v>2.1375449538123186E-2</c:v>
                </c:pt>
                <c:pt idx="1804">
                  <c:v>2.1371246718550597E-2</c:v>
                </c:pt>
                <c:pt idx="1805">
                  <c:v>2.1368348909669918E-2</c:v>
                </c:pt>
                <c:pt idx="1806">
                  <c:v>2.1365473044123343E-2</c:v>
                </c:pt>
                <c:pt idx="1807">
                  <c:v>2.1362619121864827E-2</c:v>
                </c:pt>
                <c:pt idx="1808">
                  <c:v>2.1359787142843971E-2</c:v>
                </c:pt>
                <c:pt idx="1809">
                  <c:v>2.135697710701473E-2</c:v>
                </c:pt>
                <c:pt idx="1810">
                  <c:v>2.1354189014331046E-2</c:v>
                </c:pt>
                <c:pt idx="1811">
                  <c:v>2.1351422864744271E-2</c:v>
                </c:pt>
                <c:pt idx="1812">
                  <c:v>2.134779883662663E-2</c:v>
                </c:pt>
                <c:pt idx="1813">
                  <c:v>2.134507376071948E-2</c:v>
                </c:pt>
                <c:pt idx="1814">
                  <c:v>2.1342370625143658E-2</c:v>
                </c:pt>
                <c:pt idx="1815">
                  <c:v>2.1338612031855234E-2</c:v>
                </c:pt>
                <c:pt idx="1816">
                  <c:v>2.1334768275949045E-2</c:v>
                </c:pt>
                <c:pt idx="1817">
                  <c:v>2.1331777485269043E-2</c:v>
                </c:pt>
                <c:pt idx="1818">
                  <c:v>2.132918405069173E-2</c:v>
                </c:pt>
                <c:pt idx="1819">
                  <c:v>2.1326612556184621E-2</c:v>
                </c:pt>
                <c:pt idx="1820">
                  <c:v>2.1324063001705973E-2</c:v>
                </c:pt>
                <c:pt idx="1821">
                  <c:v>2.1320722085896072E-2</c:v>
                </c:pt>
                <c:pt idx="1822">
                  <c:v>2.1318218126390714E-2</c:v>
                </c:pt>
                <c:pt idx="1823">
                  <c:v>2.1316649947753143E-2</c:v>
                </c:pt>
                <c:pt idx="1824">
                  <c:v>2.1315568892284392E-2</c:v>
                </c:pt>
                <c:pt idx="1825">
                  <c:v>2.1313137866025796E-2</c:v>
                </c:pt>
                <c:pt idx="1826">
                  <c:v>2.1310728784778115E-2</c:v>
                </c:pt>
                <c:pt idx="1827">
                  <c:v>2.1308341648504783E-2</c:v>
                </c:pt>
                <c:pt idx="1828">
                  <c:v>2.1303239031995016E-2</c:v>
                </c:pt>
                <c:pt idx="1829">
                  <c:v>2.1302235632965218E-2</c:v>
                </c:pt>
                <c:pt idx="1830">
                  <c:v>2.1299910040648695E-2</c:v>
                </c:pt>
                <c:pt idx="1831">
                  <c:v>2.1297606389222595E-2</c:v>
                </c:pt>
                <c:pt idx="1832">
                  <c:v>2.129673514030259E-2</c:v>
                </c:pt>
                <c:pt idx="1833">
                  <c:v>2.129447967301731E-2</c:v>
                </c:pt>
                <c:pt idx="1834">
                  <c:v>2.1292246150426603E-2</c:v>
                </c:pt>
                <c:pt idx="1835">
                  <c:v>2.1290509344474816E-2</c:v>
                </c:pt>
                <c:pt idx="1836">
                  <c:v>2.1286417244132574E-2</c:v>
                </c:pt>
                <c:pt idx="1837">
                  <c:v>2.1285677250441792E-2</c:v>
                </c:pt>
                <c:pt idx="1838">
                  <c:v>2.1284010597440409E-2</c:v>
                </c:pt>
                <c:pt idx="1839">
                  <c:v>2.1281407706566748E-2</c:v>
                </c:pt>
                <c:pt idx="1840">
                  <c:v>2.1279305851353469E-2</c:v>
                </c:pt>
                <c:pt idx="1841">
                  <c:v>2.1277225940575392E-2</c:v>
                </c:pt>
                <c:pt idx="1842">
                  <c:v>2.1275652842581691E-2</c:v>
                </c:pt>
                <c:pt idx="1843">
                  <c:v>2.127313195218369E-2</c:v>
                </c:pt>
                <c:pt idx="1844">
                  <c:v>2.1271117874497786E-2</c:v>
                </c:pt>
                <c:pt idx="1845">
                  <c:v>2.1269614956065875E-2</c:v>
                </c:pt>
                <c:pt idx="1846">
                  <c:v>2.1267155551980034E-2</c:v>
                </c:pt>
                <c:pt idx="1847">
                  <c:v>2.1265207307077608E-2</c:v>
                </c:pt>
                <c:pt idx="1848">
                  <c:v>2.126377457961226E-2</c:v>
                </c:pt>
                <c:pt idx="1849">
                  <c:v>2.1259892514176381E-2</c:v>
                </c:pt>
                <c:pt idx="1850">
                  <c:v>2.1258005732845645E-2</c:v>
                </c:pt>
                <c:pt idx="1851">
                  <c:v>2.1256140891711385E-2</c:v>
                </c:pt>
                <c:pt idx="1852">
                  <c:v>2.125429799074461E-2</c:v>
                </c:pt>
                <c:pt idx="1853">
                  <c:v>2.1253978664603056E-2</c:v>
                </c:pt>
                <c:pt idx="1854">
                  <c:v>2.1252184028381301E-2</c:v>
                </c:pt>
                <c:pt idx="1855">
                  <c:v>2.1250915124201006E-2</c:v>
                </c:pt>
                <c:pt idx="1856">
                  <c:v>2.1248660587820708E-2</c:v>
                </c:pt>
                <c:pt idx="1857">
                  <c:v>2.1246931783421494E-2</c:v>
                </c:pt>
                <c:pt idx="1858">
                  <c:v>2.1243701326756129E-2</c:v>
                </c:pt>
                <c:pt idx="1859">
                  <c:v>2.1243540006240676E-2</c:v>
                </c:pt>
                <c:pt idx="1860">
                  <c:v>2.1241877033399543E-2</c:v>
                </c:pt>
                <c:pt idx="1861">
                  <c:v>2.1240236004354124E-2</c:v>
                </c:pt>
                <c:pt idx="1862">
                  <c:v>2.1237075683700389E-2</c:v>
                </c:pt>
                <c:pt idx="1863">
                  <c:v>2.1234959225989058E-2</c:v>
                </c:pt>
                <c:pt idx="1864">
                  <c:v>2.1233378130632197E-2</c:v>
                </c:pt>
                <c:pt idx="1865">
                  <c:v>2.1231818973777017E-2</c:v>
                </c:pt>
                <c:pt idx="1866">
                  <c:v>2.1229933362096789E-2</c:v>
                </c:pt>
                <c:pt idx="1867">
                  <c:v>2.1227697564361492E-2</c:v>
                </c:pt>
                <c:pt idx="1868">
                  <c:v>2.1226010588155653E-2</c:v>
                </c:pt>
                <c:pt idx="1869">
                  <c:v>2.1224557989386383E-2</c:v>
                </c:pt>
                <c:pt idx="1870">
                  <c:v>2.1223653842822113E-2</c:v>
                </c:pt>
                <c:pt idx="1871">
                  <c:v>2.122224660503208E-2</c:v>
                </c:pt>
                <c:pt idx="1872">
                  <c:v>2.1219802501983926E-2</c:v>
                </c:pt>
                <c:pt idx="1873">
                  <c:v>2.1218436169816519E-2</c:v>
                </c:pt>
                <c:pt idx="1874">
                  <c:v>2.1217091774623598E-2</c:v>
                </c:pt>
                <c:pt idx="1875">
                  <c:v>2.1217371161032967E-2</c:v>
                </c:pt>
                <c:pt idx="1876">
                  <c:v>2.1216075111977064E-2</c:v>
                </c:pt>
                <c:pt idx="1877">
                  <c:v>2.1214801003708608E-2</c:v>
                </c:pt>
                <c:pt idx="1878">
                  <c:v>2.121354883620501E-2</c:v>
                </c:pt>
                <c:pt idx="1879">
                  <c:v>2.1211778526630615E-2</c:v>
                </c:pt>
                <c:pt idx="1880">
                  <c:v>2.1210568744495045E-2</c:v>
                </c:pt>
                <c:pt idx="1881">
                  <c:v>2.1209380901772403E-2</c:v>
                </c:pt>
                <c:pt idx="1882">
                  <c:v>2.1208214998442478E-2</c:v>
                </c:pt>
                <c:pt idx="1883">
                  <c:v>2.1207617109455224E-2</c:v>
                </c:pt>
                <c:pt idx="1884">
                  <c:v>2.1205866137964817E-2</c:v>
                </c:pt>
                <c:pt idx="1885">
                  <c:v>2.1204780092750185E-2</c:v>
                </c:pt>
                <c:pt idx="1886">
                  <c:v>2.1203565764255906E-2</c:v>
                </c:pt>
                <c:pt idx="1887">
                  <c:v>2.1202673824095044E-2</c:v>
                </c:pt>
                <c:pt idx="1888">
                  <c:v>2.1201653600621519E-2</c:v>
                </c:pt>
                <c:pt idx="1889">
                  <c:v>2.1200655317692153E-2</c:v>
                </c:pt>
                <c:pt idx="1890">
                  <c:v>2.1200794420844275E-2</c:v>
                </c:pt>
                <c:pt idx="1891">
                  <c:v>2.1198724573406835E-2</c:v>
                </c:pt>
                <c:pt idx="1892">
                  <c:v>2.1197792112016993E-2</c:v>
                </c:pt>
                <c:pt idx="1893">
                  <c:v>2.1196881591108756E-2</c:v>
                </c:pt>
                <c:pt idx="1894">
                  <c:v>2.1195867861660545E-2</c:v>
                </c:pt>
                <c:pt idx="1895">
                  <c:v>2.1195126370674541E-2</c:v>
                </c:pt>
                <c:pt idx="1896">
                  <c:v>2.1194848397556944E-2</c:v>
                </c:pt>
                <c:pt idx="1897">
                  <c:v>2.1193458911988632E-2</c:v>
                </c:pt>
                <c:pt idx="1898">
                  <c:v>2.1192658093265124E-2</c:v>
                </c:pt>
                <c:pt idx="1899">
                  <c:v>2.1191879214938071E-2</c:v>
                </c:pt>
                <c:pt idx="1900">
                  <c:v>2.1190443074208695E-2</c:v>
                </c:pt>
                <c:pt idx="1901">
                  <c:v>2.1189813113269895E-2</c:v>
                </c:pt>
                <c:pt idx="1902">
                  <c:v>2.1189098530832718E-2</c:v>
                </c:pt>
                <c:pt idx="1903">
                  <c:v>2.1188115756324788E-2</c:v>
                </c:pt>
                <c:pt idx="1904">
                  <c:v>2.118831392878481E-2</c:v>
                </c:pt>
                <c:pt idx="1905">
                  <c:v>2.1187666692568882E-2</c:v>
                </c:pt>
                <c:pt idx="1906">
                  <c:v>2.1186953859723089E-2</c:v>
                </c:pt>
                <c:pt idx="1907">
                  <c:v>2.1186438041060521E-2</c:v>
                </c:pt>
                <c:pt idx="1908">
                  <c:v>2.1185856625748973E-2</c:v>
                </c:pt>
                <c:pt idx="1909">
                  <c:v>2.1185297150718322E-2</c:v>
                </c:pt>
                <c:pt idx="1910">
                  <c:v>2.1184759615960749E-2</c:v>
                </c:pt>
                <c:pt idx="1911">
                  <c:v>2.1184244021465824E-2</c:v>
                </c:pt>
                <c:pt idx="1912">
                  <c:v>2.1183681636231789E-2</c:v>
                </c:pt>
                <c:pt idx="1913">
                  <c:v>2.1182686099447713E-2</c:v>
                </c:pt>
                <c:pt idx="1914">
                  <c:v>2.1182234785018367E-2</c:v>
                </c:pt>
                <c:pt idx="1915">
                  <c:v>2.1181805409531993E-2</c:v>
                </c:pt>
                <c:pt idx="1916">
                  <c:v>2.1181995152649437E-2</c:v>
                </c:pt>
                <c:pt idx="1917">
                  <c:v>2.1181505528519502E-2</c:v>
                </c:pt>
                <c:pt idx="1918">
                  <c:v>2.1180549072348256E-2</c:v>
                </c:pt>
                <c:pt idx="1919">
                  <c:v>2.1180167604401796E-2</c:v>
                </c:pt>
                <c:pt idx="1920">
                  <c:v>2.1179857325921963E-2</c:v>
                </c:pt>
                <c:pt idx="1921">
                  <c:v>2.1179568986346452E-2</c:v>
                </c:pt>
                <c:pt idx="1922">
                  <c:v>2.1179909716962691E-2</c:v>
                </c:pt>
                <c:pt idx="1923">
                  <c:v>2.1178416257717103E-2</c:v>
                </c:pt>
                <c:pt idx="1924">
                  <c:v>2.1178225535003037E-2</c:v>
                </c:pt>
                <c:pt idx="1925">
                  <c:v>2.1178023395797219E-2</c:v>
                </c:pt>
                <c:pt idx="1926">
                  <c:v>2.1179069722137688E-2</c:v>
                </c:pt>
                <c:pt idx="1927">
                  <c:v>2.1178914573859987E-2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95166464"/>
        <c:axId val="9516838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41830</c:v>
                </c:pt>
                <c:pt idx="1">
                  <c:v>41862</c:v>
                </c:pt>
                <c:pt idx="2">
                  <c:v>41892</c:v>
                </c:pt>
                <c:pt idx="3">
                  <c:v>41922</c:v>
                </c:pt>
                <c:pt idx="4">
                  <c:v>41953</c:v>
                </c:pt>
                <c:pt idx="5">
                  <c:v>41983</c:v>
                </c:pt>
                <c:pt idx="6">
                  <c:v>42073</c:v>
                </c:pt>
                <c:pt idx="7">
                  <c:v>42165</c:v>
                </c:pt>
                <c:pt idx="8">
                  <c:v>42257</c:v>
                </c:pt>
                <c:pt idx="9">
                  <c:v>42348</c:v>
                </c:pt>
                <c:pt idx="10">
                  <c:v>42439</c:v>
                </c:pt>
                <c:pt idx="11">
                  <c:v>0</c:v>
                </c:pt>
                <c:pt idx="12">
                  <c:v>0</c:v>
                </c:pt>
                <c:pt idx="13">
                  <c:v>0</c:v>
                </c:pt>
                <c:pt idx="14">
                  <c:v>0</c:v>
                </c:pt>
                <c:pt idx="15">
                  <c:v>0</c:v>
                </c:pt>
                <c:pt idx="16">
                  <c:v>0</c:v>
                </c:pt>
                <c:pt idx="17">
                  <c:v>0</c:v>
                </c:pt>
              </c:numCache>
            </c:numRef>
          </c:xVal>
          <c:yVal>
            <c:numRef>
              <c:f>Monitor!$P$19:$P$36</c:f>
              <c:numCache>
                <c:formatCode>0.0000%</c:formatCode>
                <c:ptCount val="18"/>
                <c:pt idx="0">
                  <c:v>1.3500000000000001E-3</c:v>
                </c:pt>
                <c:pt idx="1">
                  <c:v>1.3500000000000001E-3</c:v>
                </c:pt>
                <c:pt idx="2">
                  <c:v>1.3500000000000001E-3</c:v>
                </c:pt>
                <c:pt idx="3">
                  <c:v>1.3500000000000001E-3</c:v>
                </c:pt>
                <c:pt idx="4">
                  <c:v>1.3500000000000001E-3</c:v>
                </c:pt>
                <c:pt idx="5">
                  <c:v>1.3500000000000001E-3</c:v>
                </c:pt>
                <c:pt idx="6">
                  <c:v>1.3500000000000001E-3</c:v>
                </c:pt>
                <c:pt idx="7">
                  <c:v>1.3500000000000001E-3</c:v>
                </c:pt>
                <c:pt idx="8">
                  <c:v>1.4000000000000002E-3</c:v>
                </c:pt>
                <c:pt idx="9">
                  <c:v>1.3500000000000001E-3</c:v>
                </c:pt>
                <c:pt idx="10">
                  <c:v>1.4500000000000001E-3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95166464"/>
        <c:axId val="95168384"/>
      </c:scatterChart>
      <c:dateAx>
        <c:axId val="95166464"/>
        <c:scaling>
          <c:orientation val="minMax"/>
          <c:max val="42531"/>
          <c:min val="41729"/>
        </c:scaling>
        <c:delete val="0"/>
        <c:axPos val="b"/>
        <c:numFmt formatCode="[$-409]mmm\-yy;@" sourceLinked="0"/>
        <c:majorTickMark val="out"/>
        <c:minorTickMark val="none"/>
        <c:tickLblPos val="nextTo"/>
        <c:txPr>
          <a:bodyPr rot="-2700000" vert="horz"/>
          <a:lstStyle/>
          <a:p>
            <a:pPr>
              <a:defRPr/>
            </a:pPr>
            <a:endParaRPr lang="en-US"/>
          </a:p>
        </c:txPr>
        <c:crossAx val="95168384"/>
        <c:crosses val="autoZero"/>
        <c:auto val="1"/>
        <c:lblOffset val="100"/>
        <c:baseTimeUnit val="days"/>
        <c:majorUnit val="3"/>
        <c:majorTimeUnit val="months"/>
        <c:minorUnit val="1"/>
        <c:minorTimeUnit val="years"/>
      </c:dateAx>
      <c:valAx>
        <c:axId val="95168384"/>
        <c:scaling>
          <c:orientation val="minMax"/>
          <c:max val="2E-3"/>
          <c:min val="1E-3"/>
        </c:scaling>
        <c:delete val="0"/>
        <c:axPos val="l"/>
        <c:majorGridlines/>
        <c:numFmt formatCode="0.00%" sourceLinked="0"/>
        <c:majorTickMark val="out"/>
        <c:minorTickMark val="none"/>
        <c:tickLblPos val="nextTo"/>
        <c:crossAx val="95166464"/>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41800</c:v>
                </c:pt>
                <c:pt idx="1">
                  <c:v>41801</c:v>
                </c:pt>
                <c:pt idx="2">
                  <c:v>41802</c:v>
                </c:pt>
                <c:pt idx="3">
                  <c:v>41803</c:v>
                </c:pt>
                <c:pt idx="4">
                  <c:v>41806</c:v>
                </c:pt>
                <c:pt idx="5">
                  <c:v>41807</c:v>
                </c:pt>
                <c:pt idx="6">
                  <c:v>41808</c:v>
                </c:pt>
                <c:pt idx="7">
                  <c:v>41809</c:v>
                </c:pt>
                <c:pt idx="8">
                  <c:v>41810</c:v>
                </c:pt>
                <c:pt idx="9">
                  <c:v>41813</c:v>
                </c:pt>
                <c:pt idx="10">
                  <c:v>41814</c:v>
                </c:pt>
                <c:pt idx="11">
                  <c:v>41815</c:v>
                </c:pt>
                <c:pt idx="12">
                  <c:v>41816</c:v>
                </c:pt>
                <c:pt idx="13">
                  <c:v>41817</c:v>
                </c:pt>
                <c:pt idx="14">
                  <c:v>41820</c:v>
                </c:pt>
                <c:pt idx="15">
                  <c:v>41821</c:v>
                </c:pt>
                <c:pt idx="16">
                  <c:v>41822</c:v>
                </c:pt>
                <c:pt idx="17">
                  <c:v>41823</c:v>
                </c:pt>
                <c:pt idx="18">
                  <c:v>41824</c:v>
                </c:pt>
                <c:pt idx="19">
                  <c:v>41827</c:v>
                </c:pt>
                <c:pt idx="20">
                  <c:v>41828</c:v>
                </c:pt>
                <c:pt idx="21">
                  <c:v>41829</c:v>
                </c:pt>
                <c:pt idx="22">
                  <c:v>41830</c:v>
                </c:pt>
                <c:pt idx="23">
                  <c:v>41831</c:v>
                </c:pt>
                <c:pt idx="24">
                  <c:v>41834</c:v>
                </c:pt>
                <c:pt idx="25">
                  <c:v>41835</c:v>
                </c:pt>
                <c:pt idx="26">
                  <c:v>41836</c:v>
                </c:pt>
                <c:pt idx="27">
                  <c:v>41837</c:v>
                </c:pt>
                <c:pt idx="28">
                  <c:v>41838</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41877</c:v>
                </c:pt>
                <c:pt idx="54">
                  <c:v>41878</c:v>
                </c:pt>
                <c:pt idx="55">
                  <c:v>41879</c:v>
                </c:pt>
                <c:pt idx="56">
                  <c:v>41880</c:v>
                </c:pt>
                <c:pt idx="57">
                  <c:v>41883</c:v>
                </c:pt>
                <c:pt idx="58">
                  <c:v>41884</c:v>
                </c:pt>
                <c:pt idx="59">
                  <c:v>41885</c:v>
                </c:pt>
                <c:pt idx="60">
                  <c:v>41886</c:v>
                </c:pt>
                <c:pt idx="61">
                  <c:v>41887</c:v>
                </c:pt>
                <c:pt idx="62">
                  <c:v>41890</c:v>
                </c:pt>
                <c:pt idx="63">
                  <c:v>41891</c:v>
                </c:pt>
                <c:pt idx="64">
                  <c:v>41892</c:v>
                </c:pt>
                <c:pt idx="65">
                  <c:v>41893</c:v>
                </c:pt>
                <c:pt idx="66">
                  <c:v>41894</c:v>
                </c:pt>
                <c:pt idx="67">
                  <c:v>41898</c:v>
                </c:pt>
                <c:pt idx="68">
                  <c:v>41899</c:v>
                </c:pt>
                <c:pt idx="69">
                  <c:v>41900</c:v>
                </c:pt>
                <c:pt idx="70">
                  <c:v>41901</c:v>
                </c:pt>
                <c:pt idx="71">
                  <c:v>41904</c:v>
                </c:pt>
                <c:pt idx="72">
                  <c:v>41906</c:v>
                </c:pt>
                <c:pt idx="73">
                  <c:v>41907</c:v>
                </c:pt>
                <c:pt idx="74">
                  <c:v>41908</c:v>
                </c:pt>
                <c:pt idx="75">
                  <c:v>41911</c:v>
                </c:pt>
                <c:pt idx="76">
                  <c:v>41912</c:v>
                </c:pt>
                <c:pt idx="77">
                  <c:v>41913</c:v>
                </c:pt>
                <c:pt idx="78">
                  <c:v>41914</c:v>
                </c:pt>
                <c:pt idx="79">
                  <c:v>41915</c:v>
                </c:pt>
                <c:pt idx="80">
                  <c:v>41918</c:v>
                </c:pt>
                <c:pt idx="81">
                  <c:v>41919</c:v>
                </c:pt>
                <c:pt idx="82">
                  <c:v>41920</c:v>
                </c:pt>
                <c:pt idx="83">
                  <c:v>41921</c:v>
                </c:pt>
                <c:pt idx="84">
                  <c:v>41922</c:v>
                </c:pt>
                <c:pt idx="85">
                  <c:v>41926</c:v>
                </c:pt>
                <c:pt idx="86">
                  <c:v>41927</c:v>
                </c:pt>
                <c:pt idx="87">
                  <c:v>41928</c:v>
                </c:pt>
                <c:pt idx="88">
                  <c:v>41929</c:v>
                </c:pt>
                <c:pt idx="89">
                  <c:v>41932</c:v>
                </c:pt>
                <c:pt idx="90">
                  <c:v>41933</c:v>
                </c:pt>
                <c:pt idx="91">
                  <c:v>41934</c:v>
                </c:pt>
                <c:pt idx="92">
                  <c:v>41935</c:v>
                </c:pt>
                <c:pt idx="93">
                  <c:v>41936</c:v>
                </c:pt>
                <c:pt idx="94">
                  <c:v>41939</c:v>
                </c:pt>
                <c:pt idx="95">
                  <c:v>41940</c:v>
                </c:pt>
                <c:pt idx="96">
                  <c:v>41941</c:v>
                </c:pt>
                <c:pt idx="97">
                  <c:v>41942</c:v>
                </c:pt>
                <c:pt idx="98">
                  <c:v>41943</c:v>
                </c:pt>
                <c:pt idx="99">
                  <c:v>41947</c:v>
                </c:pt>
                <c:pt idx="100">
                  <c:v>41948</c:v>
                </c:pt>
                <c:pt idx="101">
                  <c:v>41949</c:v>
                </c:pt>
                <c:pt idx="102">
                  <c:v>41950</c:v>
                </c:pt>
                <c:pt idx="103">
                  <c:v>41953</c:v>
                </c:pt>
                <c:pt idx="104">
                  <c:v>41954</c:v>
                </c:pt>
                <c:pt idx="105">
                  <c:v>41955</c:v>
                </c:pt>
                <c:pt idx="106">
                  <c:v>41956</c:v>
                </c:pt>
                <c:pt idx="107">
                  <c:v>41957</c:v>
                </c:pt>
                <c:pt idx="108">
                  <c:v>41960</c:v>
                </c:pt>
                <c:pt idx="109">
                  <c:v>41961</c:v>
                </c:pt>
                <c:pt idx="110">
                  <c:v>41962</c:v>
                </c:pt>
                <c:pt idx="111">
                  <c:v>41963</c:v>
                </c:pt>
                <c:pt idx="112">
                  <c:v>41964</c:v>
                </c:pt>
                <c:pt idx="113">
                  <c:v>41968</c:v>
                </c:pt>
                <c:pt idx="114">
                  <c:v>41969</c:v>
                </c:pt>
                <c:pt idx="115">
                  <c:v>41970</c:v>
                </c:pt>
                <c:pt idx="116">
                  <c:v>41971</c:v>
                </c:pt>
                <c:pt idx="117">
                  <c:v>41974</c:v>
                </c:pt>
                <c:pt idx="118">
                  <c:v>41975</c:v>
                </c:pt>
                <c:pt idx="119">
                  <c:v>41976</c:v>
                </c:pt>
                <c:pt idx="120">
                  <c:v>41977</c:v>
                </c:pt>
                <c:pt idx="121">
                  <c:v>41978</c:v>
                </c:pt>
                <c:pt idx="122">
                  <c:v>41981</c:v>
                </c:pt>
                <c:pt idx="123">
                  <c:v>41982</c:v>
                </c:pt>
                <c:pt idx="124">
                  <c:v>41983</c:v>
                </c:pt>
                <c:pt idx="125">
                  <c:v>41984</c:v>
                </c:pt>
                <c:pt idx="126">
                  <c:v>41985</c:v>
                </c:pt>
                <c:pt idx="127">
                  <c:v>41988</c:v>
                </c:pt>
                <c:pt idx="128">
                  <c:v>41989</c:v>
                </c:pt>
                <c:pt idx="129">
                  <c:v>41990</c:v>
                </c:pt>
                <c:pt idx="130">
                  <c:v>41991</c:v>
                </c:pt>
                <c:pt idx="131">
                  <c:v>41992</c:v>
                </c:pt>
                <c:pt idx="132">
                  <c:v>41995</c:v>
                </c:pt>
                <c:pt idx="133">
                  <c:v>41997</c:v>
                </c:pt>
                <c:pt idx="134">
                  <c:v>42002</c:v>
                </c:pt>
                <c:pt idx="135">
                  <c:v>42003</c:v>
                </c:pt>
                <c:pt idx="136">
                  <c:v>42009</c:v>
                </c:pt>
                <c:pt idx="137">
                  <c:v>42010</c:v>
                </c:pt>
                <c:pt idx="138">
                  <c:v>42011</c:v>
                </c:pt>
                <c:pt idx="139">
                  <c:v>42012</c:v>
                </c:pt>
                <c:pt idx="140">
                  <c:v>42013</c:v>
                </c:pt>
                <c:pt idx="141">
                  <c:v>42017</c:v>
                </c:pt>
                <c:pt idx="142">
                  <c:v>42018</c:v>
                </c:pt>
                <c:pt idx="143">
                  <c:v>42019</c:v>
                </c:pt>
                <c:pt idx="144">
                  <c:v>42020</c:v>
                </c:pt>
                <c:pt idx="145">
                  <c:v>42023</c:v>
                </c:pt>
                <c:pt idx="146">
                  <c:v>42024</c:v>
                </c:pt>
                <c:pt idx="147">
                  <c:v>42025</c:v>
                </c:pt>
                <c:pt idx="148">
                  <c:v>42026</c:v>
                </c:pt>
                <c:pt idx="149">
                  <c:v>42027</c:v>
                </c:pt>
                <c:pt idx="150">
                  <c:v>42030</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42047</c:v>
                </c:pt>
                <c:pt idx="163">
                  <c:v>42048</c:v>
                </c:pt>
                <c:pt idx="164">
                  <c:v>42051</c:v>
                </c:pt>
                <c:pt idx="165">
                  <c:v>42052</c:v>
                </c:pt>
                <c:pt idx="166">
                  <c:v>42053</c:v>
                </c:pt>
                <c:pt idx="167">
                  <c:v>42054</c:v>
                </c:pt>
                <c:pt idx="168">
                  <c:v>42055</c:v>
                </c:pt>
                <c:pt idx="169">
                  <c:v>42058</c:v>
                </c:pt>
                <c:pt idx="170">
                  <c:v>42059</c:v>
                </c:pt>
                <c:pt idx="171">
                  <c:v>42060</c:v>
                </c:pt>
                <c:pt idx="172">
                  <c:v>42061</c:v>
                </c:pt>
                <c:pt idx="173">
                  <c:v>42062</c:v>
                </c:pt>
                <c:pt idx="174">
                  <c:v>42065</c:v>
                </c:pt>
                <c:pt idx="175">
                  <c:v>42066</c:v>
                </c:pt>
                <c:pt idx="176">
                  <c:v>42067</c:v>
                </c:pt>
                <c:pt idx="177">
                  <c:v>42068</c:v>
                </c:pt>
                <c:pt idx="178">
                  <c:v>42069</c:v>
                </c:pt>
                <c:pt idx="179">
                  <c:v>42072</c:v>
                </c:pt>
                <c:pt idx="180">
                  <c:v>42073</c:v>
                </c:pt>
                <c:pt idx="181">
                  <c:v>42074</c:v>
                </c:pt>
                <c:pt idx="182">
                  <c:v>42075</c:v>
                </c:pt>
                <c:pt idx="183">
                  <c:v>42076</c:v>
                </c:pt>
                <c:pt idx="184">
                  <c:v>42079</c:v>
                </c:pt>
                <c:pt idx="185">
                  <c:v>42080</c:v>
                </c:pt>
                <c:pt idx="186">
                  <c:v>42081</c:v>
                </c:pt>
                <c:pt idx="187">
                  <c:v>42082</c:v>
                </c:pt>
                <c:pt idx="188">
                  <c:v>42083</c:v>
                </c:pt>
                <c:pt idx="189">
                  <c:v>42086</c:v>
                </c:pt>
                <c:pt idx="190">
                  <c:v>42087</c:v>
                </c:pt>
                <c:pt idx="191">
                  <c:v>42088</c:v>
                </c:pt>
                <c:pt idx="192">
                  <c:v>42089</c:v>
                </c:pt>
                <c:pt idx="193">
                  <c:v>42090</c:v>
                </c:pt>
                <c:pt idx="194">
                  <c:v>42093</c:v>
                </c:pt>
                <c:pt idx="195">
                  <c:v>42094</c:v>
                </c:pt>
                <c:pt idx="196">
                  <c:v>42095</c:v>
                </c:pt>
                <c:pt idx="197">
                  <c:v>42096</c:v>
                </c:pt>
                <c:pt idx="198">
                  <c:v>42101</c:v>
                </c:pt>
                <c:pt idx="199">
                  <c:v>42102</c:v>
                </c:pt>
                <c:pt idx="200">
                  <c:v>42103</c:v>
                </c:pt>
                <c:pt idx="201">
                  <c:v>42104</c:v>
                </c:pt>
                <c:pt idx="202">
                  <c:v>42107</c:v>
                </c:pt>
                <c:pt idx="203">
                  <c:v>42108</c:v>
                </c:pt>
                <c:pt idx="204">
                  <c:v>42109</c:v>
                </c:pt>
                <c:pt idx="205">
                  <c:v>42110</c:v>
                </c:pt>
                <c:pt idx="206">
                  <c:v>42111</c:v>
                </c:pt>
                <c:pt idx="207">
                  <c:v>42114</c:v>
                </c:pt>
                <c:pt idx="208">
                  <c:v>42115</c:v>
                </c:pt>
                <c:pt idx="209">
                  <c:v>42116</c:v>
                </c:pt>
                <c:pt idx="210">
                  <c:v>42117</c:v>
                </c:pt>
                <c:pt idx="211">
                  <c:v>42118</c:v>
                </c:pt>
                <c:pt idx="212">
                  <c:v>42121</c:v>
                </c:pt>
                <c:pt idx="213">
                  <c:v>42122</c:v>
                </c:pt>
                <c:pt idx="214">
                  <c:v>42124</c:v>
                </c:pt>
                <c:pt idx="215">
                  <c:v>42125</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42206</c:v>
                </c:pt>
                <c:pt idx="268">
                  <c:v>42207</c:v>
                </c:pt>
                <c:pt idx="269">
                  <c:v>42208</c:v>
                </c:pt>
                <c:pt idx="270">
                  <c:v>42209</c:v>
                </c:pt>
                <c:pt idx="271">
                  <c:v>42212</c:v>
                </c:pt>
                <c:pt idx="272">
                  <c:v>42213</c:v>
                </c:pt>
                <c:pt idx="273">
                  <c:v>42214</c:v>
                </c:pt>
                <c:pt idx="274">
                  <c:v>42215</c:v>
                </c:pt>
                <c:pt idx="275">
                  <c:v>42216</c:v>
                </c:pt>
                <c:pt idx="276">
                  <c:v>42219</c:v>
                </c:pt>
                <c:pt idx="277">
                  <c:v>42220</c:v>
                </c:pt>
                <c:pt idx="278">
                  <c:v>42221</c:v>
                </c:pt>
                <c:pt idx="279">
                  <c:v>42222</c:v>
                </c:pt>
                <c:pt idx="280">
                  <c:v>42223</c:v>
                </c:pt>
                <c:pt idx="281">
                  <c:v>42226</c:v>
                </c:pt>
                <c:pt idx="282">
                  <c:v>42227</c:v>
                </c:pt>
                <c:pt idx="283">
                  <c:v>42228</c:v>
                </c:pt>
                <c:pt idx="284">
                  <c:v>42229</c:v>
                </c:pt>
                <c:pt idx="285">
                  <c:v>42230</c:v>
                </c:pt>
                <c:pt idx="286">
                  <c:v>42233</c:v>
                </c:pt>
                <c:pt idx="287">
                  <c:v>42234</c:v>
                </c:pt>
                <c:pt idx="288">
                  <c:v>42235</c:v>
                </c:pt>
                <c:pt idx="289">
                  <c:v>42236</c:v>
                </c:pt>
                <c:pt idx="290">
                  <c:v>42237</c:v>
                </c:pt>
                <c:pt idx="291">
                  <c:v>42240</c:v>
                </c:pt>
                <c:pt idx="292">
                  <c:v>42241</c:v>
                </c:pt>
                <c:pt idx="293">
                  <c:v>42242</c:v>
                </c:pt>
                <c:pt idx="294">
                  <c:v>42243</c:v>
                </c:pt>
                <c:pt idx="295">
                  <c:v>42244</c:v>
                </c:pt>
                <c:pt idx="296">
                  <c:v>42248</c:v>
                </c:pt>
                <c:pt idx="297">
                  <c:v>42249</c:v>
                </c:pt>
                <c:pt idx="298">
                  <c:v>42250</c:v>
                </c:pt>
                <c:pt idx="299">
                  <c:v>42251</c:v>
                </c:pt>
                <c:pt idx="300">
                  <c:v>42254</c:v>
                </c:pt>
                <c:pt idx="301">
                  <c:v>42255</c:v>
                </c:pt>
                <c:pt idx="302">
                  <c:v>42256</c:v>
                </c:pt>
                <c:pt idx="303">
                  <c:v>42257</c:v>
                </c:pt>
                <c:pt idx="304">
                  <c:v>42258</c:v>
                </c:pt>
                <c:pt idx="305">
                  <c:v>42261</c:v>
                </c:pt>
                <c:pt idx="306">
                  <c:v>42262</c:v>
                </c:pt>
                <c:pt idx="307">
                  <c:v>42263</c:v>
                </c:pt>
                <c:pt idx="308">
                  <c:v>42264</c:v>
                </c:pt>
                <c:pt idx="309">
                  <c:v>42265</c:v>
                </c:pt>
                <c:pt idx="310">
                  <c:v>42271</c:v>
                </c:pt>
                <c:pt idx="311">
                  <c:v>42272</c:v>
                </c:pt>
                <c:pt idx="312">
                  <c:v>42275</c:v>
                </c:pt>
                <c:pt idx="313">
                  <c:v>42276</c:v>
                </c:pt>
                <c:pt idx="314">
                  <c:v>42277</c:v>
                </c:pt>
                <c:pt idx="315">
                  <c:v>42278</c:v>
                </c:pt>
                <c:pt idx="316">
                  <c:v>42279</c:v>
                </c:pt>
                <c:pt idx="317">
                  <c:v>42282</c:v>
                </c:pt>
                <c:pt idx="318">
                  <c:v>42283</c:v>
                </c:pt>
                <c:pt idx="319">
                  <c:v>42284</c:v>
                </c:pt>
                <c:pt idx="320">
                  <c:v>42285</c:v>
                </c:pt>
                <c:pt idx="321">
                  <c:v>42286</c:v>
                </c:pt>
                <c:pt idx="322">
                  <c:v>42290</c:v>
                </c:pt>
                <c:pt idx="323">
                  <c:v>42291</c:v>
                </c:pt>
                <c:pt idx="324">
                  <c:v>42292</c:v>
                </c:pt>
                <c:pt idx="325">
                  <c:v>42293</c:v>
                </c:pt>
                <c:pt idx="326">
                  <c:v>42296</c:v>
                </c:pt>
                <c:pt idx="327">
                  <c:v>42297</c:v>
                </c:pt>
                <c:pt idx="328">
                  <c:v>42298</c:v>
                </c:pt>
                <c:pt idx="329">
                  <c:v>42299</c:v>
                </c:pt>
                <c:pt idx="330">
                  <c:v>42300</c:v>
                </c:pt>
                <c:pt idx="331">
                  <c:v>42303</c:v>
                </c:pt>
                <c:pt idx="332">
                  <c:v>42304</c:v>
                </c:pt>
                <c:pt idx="333">
                  <c:v>42305</c:v>
                </c:pt>
                <c:pt idx="334">
                  <c:v>42306</c:v>
                </c:pt>
                <c:pt idx="335">
                  <c:v>42307</c:v>
                </c:pt>
                <c:pt idx="336">
                  <c:v>42310</c:v>
                </c:pt>
                <c:pt idx="337">
                  <c:v>42312</c:v>
                </c:pt>
                <c:pt idx="338">
                  <c:v>42313</c:v>
                </c:pt>
                <c:pt idx="339">
                  <c:v>42314</c:v>
                </c:pt>
                <c:pt idx="340">
                  <c:v>42317</c:v>
                </c:pt>
                <c:pt idx="341">
                  <c:v>42318</c:v>
                </c:pt>
                <c:pt idx="342">
                  <c:v>42319</c:v>
                </c:pt>
                <c:pt idx="343">
                  <c:v>42320</c:v>
                </c:pt>
                <c:pt idx="344">
                  <c:v>42321</c:v>
                </c:pt>
                <c:pt idx="345">
                  <c:v>42324</c:v>
                </c:pt>
                <c:pt idx="346">
                  <c:v>42325</c:v>
                </c:pt>
                <c:pt idx="347">
                  <c:v>42326</c:v>
                </c:pt>
                <c:pt idx="348">
                  <c:v>42327</c:v>
                </c:pt>
                <c:pt idx="349">
                  <c:v>42328</c:v>
                </c:pt>
                <c:pt idx="350">
                  <c:v>42332</c:v>
                </c:pt>
                <c:pt idx="351">
                  <c:v>42333</c:v>
                </c:pt>
                <c:pt idx="352">
                  <c:v>42334</c:v>
                </c:pt>
                <c:pt idx="353">
                  <c:v>42335</c:v>
                </c:pt>
                <c:pt idx="354">
                  <c:v>42338</c:v>
                </c:pt>
                <c:pt idx="355">
                  <c:v>42339</c:v>
                </c:pt>
                <c:pt idx="356">
                  <c:v>42340</c:v>
                </c:pt>
                <c:pt idx="357">
                  <c:v>42341</c:v>
                </c:pt>
                <c:pt idx="358">
                  <c:v>42342</c:v>
                </c:pt>
                <c:pt idx="359">
                  <c:v>42345</c:v>
                </c:pt>
                <c:pt idx="360">
                  <c:v>42346</c:v>
                </c:pt>
                <c:pt idx="361">
                  <c:v>42347</c:v>
                </c:pt>
                <c:pt idx="362">
                  <c:v>42348</c:v>
                </c:pt>
                <c:pt idx="363">
                  <c:v>42349</c:v>
                </c:pt>
                <c:pt idx="364">
                  <c:v>42352</c:v>
                </c:pt>
                <c:pt idx="365">
                  <c:v>42353</c:v>
                </c:pt>
                <c:pt idx="366">
                  <c:v>42354</c:v>
                </c:pt>
                <c:pt idx="367">
                  <c:v>42355</c:v>
                </c:pt>
                <c:pt idx="368">
                  <c:v>42356</c:v>
                </c:pt>
                <c:pt idx="369">
                  <c:v>42359</c:v>
                </c:pt>
                <c:pt idx="370">
                  <c:v>42360</c:v>
                </c:pt>
                <c:pt idx="371">
                  <c:v>42362</c:v>
                </c:pt>
                <c:pt idx="372">
                  <c:v>42367</c:v>
                </c:pt>
                <c:pt idx="373">
                  <c:v>42368</c:v>
                </c:pt>
                <c:pt idx="374">
                  <c:v>42373</c:v>
                </c:pt>
                <c:pt idx="375">
                  <c:v>42374</c:v>
                </c:pt>
                <c:pt idx="376">
                  <c:v>42375</c:v>
                </c:pt>
                <c:pt idx="377">
                  <c:v>42376</c:v>
                </c:pt>
                <c:pt idx="378">
                  <c:v>42377</c:v>
                </c:pt>
                <c:pt idx="379">
                  <c:v>42381</c:v>
                </c:pt>
                <c:pt idx="380">
                  <c:v>42382</c:v>
                </c:pt>
                <c:pt idx="381">
                  <c:v>42383</c:v>
                </c:pt>
                <c:pt idx="382">
                  <c:v>42384</c:v>
                </c:pt>
                <c:pt idx="383">
                  <c:v>42387</c:v>
                </c:pt>
                <c:pt idx="384">
                  <c:v>42388</c:v>
                </c:pt>
                <c:pt idx="385">
                  <c:v>42389</c:v>
                </c:pt>
                <c:pt idx="386">
                  <c:v>42390</c:v>
                </c:pt>
                <c:pt idx="387">
                  <c:v>42391</c:v>
                </c:pt>
                <c:pt idx="388">
                  <c:v>42394</c:v>
                </c:pt>
                <c:pt idx="389">
                  <c:v>42395</c:v>
                </c:pt>
                <c:pt idx="390">
                  <c:v>42396</c:v>
                </c:pt>
                <c:pt idx="391">
                  <c:v>42397</c:v>
                </c:pt>
                <c:pt idx="392">
                  <c:v>42398</c:v>
                </c:pt>
                <c:pt idx="393">
                  <c:v>42401</c:v>
                </c:pt>
                <c:pt idx="394">
                  <c:v>42402</c:v>
                </c:pt>
                <c:pt idx="395">
                  <c:v>42403</c:v>
                </c:pt>
                <c:pt idx="396">
                  <c:v>42404</c:v>
                </c:pt>
                <c:pt idx="397">
                  <c:v>42405</c:v>
                </c:pt>
                <c:pt idx="398">
                  <c:v>42408</c:v>
                </c:pt>
                <c:pt idx="399">
                  <c:v>42409</c:v>
                </c:pt>
                <c:pt idx="400">
                  <c:v>42410</c:v>
                </c:pt>
                <c:pt idx="401">
                  <c:v>42412</c:v>
                </c:pt>
                <c:pt idx="402">
                  <c:v>42415</c:v>
                </c:pt>
                <c:pt idx="403">
                  <c:v>42416</c:v>
                </c:pt>
                <c:pt idx="404">
                  <c:v>42417</c:v>
                </c:pt>
                <c:pt idx="405">
                  <c:v>42418</c:v>
                </c:pt>
                <c:pt idx="406">
                  <c:v>42419</c:v>
                </c:pt>
                <c:pt idx="407">
                  <c:v>42422</c:v>
                </c:pt>
                <c:pt idx="408">
                  <c:v>42423</c:v>
                </c:pt>
                <c:pt idx="409">
                  <c:v>42424</c:v>
                </c:pt>
                <c:pt idx="410">
                  <c:v>42425</c:v>
                </c:pt>
                <c:pt idx="411">
                  <c:v>42426</c:v>
                </c:pt>
                <c:pt idx="412">
                  <c:v>42429</c:v>
                </c:pt>
                <c:pt idx="413">
                  <c:v>42430</c:v>
                </c:pt>
                <c:pt idx="414">
                  <c:v>42431</c:v>
                </c:pt>
                <c:pt idx="415">
                  <c:v>42432</c:v>
                </c:pt>
                <c:pt idx="416">
                  <c:v>42433</c:v>
                </c:pt>
                <c:pt idx="417">
                  <c:v>42436</c:v>
                </c:pt>
                <c:pt idx="418">
                  <c:v>42437</c:v>
                </c:pt>
                <c:pt idx="419">
                  <c:v>42438</c:v>
                </c:pt>
                <c:pt idx="420">
                  <c:v>42439</c:v>
                </c:pt>
                <c:pt idx="421">
                  <c:v>42440</c:v>
                </c:pt>
                <c:pt idx="422">
                  <c:v>42443</c:v>
                </c:pt>
                <c:pt idx="423">
                  <c:v>42444</c:v>
                </c:pt>
                <c:pt idx="424">
                  <c:v>42445</c:v>
                </c:pt>
                <c:pt idx="425">
                  <c:v>42446</c:v>
                </c:pt>
                <c:pt idx="426">
                  <c:v>42447</c:v>
                </c:pt>
                <c:pt idx="427">
                  <c:v>42451</c:v>
                </c:pt>
                <c:pt idx="428">
                  <c:v>42452</c:v>
                </c:pt>
                <c:pt idx="429">
                  <c:v>42453</c:v>
                </c:pt>
                <c:pt idx="430">
                  <c:v>42458</c:v>
                </c:pt>
                <c:pt idx="431">
                  <c:v>42459</c:v>
                </c:pt>
                <c:pt idx="432">
                  <c:v>42460</c:v>
                </c:pt>
                <c:pt idx="433">
                  <c:v>42461</c:v>
                </c:pt>
                <c:pt idx="434">
                  <c:v>42464</c:v>
                </c:pt>
                <c:pt idx="435">
                  <c:v>42465</c:v>
                </c:pt>
                <c:pt idx="436">
                  <c:v>42466</c:v>
                </c:pt>
                <c:pt idx="437">
                  <c:v>42467</c:v>
                </c:pt>
                <c:pt idx="438">
                  <c:v>42468</c:v>
                </c:pt>
                <c:pt idx="439">
                  <c:v>42471</c:v>
                </c:pt>
                <c:pt idx="440">
                  <c:v>42472</c:v>
                </c:pt>
                <c:pt idx="441">
                  <c:v>42473</c:v>
                </c:pt>
                <c:pt idx="442">
                  <c:v>42474</c:v>
                </c:pt>
                <c:pt idx="443">
                  <c:v>42475</c:v>
                </c:pt>
                <c:pt idx="444">
                  <c:v>42478</c:v>
                </c:pt>
                <c:pt idx="445">
                  <c:v>42479</c:v>
                </c:pt>
                <c:pt idx="446">
                  <c:v>42480</c:v>
                </c:pt>
                <c:pt idx="447">
                  <c:v>42481</c:v>
                </c:pt>
                <c:pt idx="448">
                  <c:v>42482</c:v>
                </c:pt>
                <c:pt idx="449">
                  <c:v>42485</c:v>
                </c:pt>
                <c:pt idx="450">
                  <c:v>42486</c:v>
                </c:pt>
                <c:pt idx="451">
                  <c:v>42487</c:v>
                </c:pt>
                <c:pt idx="452">
                  <c:v>42488</c:v>
                </c:pt>
                <c:pt idx="453">
                  <c:v>42496</c:v>
                </c:pt>
                <c:pt idx="454">
                  <c:v>42499</c:v>
                </c:pt>
                <c:pt idx="455">
                  <c:v>42500</c:v>
                </c:pt>
                <c:pt idx="456">
                  <c:v>42501</c:v>
                </c:pt>
                <c:pt idx="457">
                  <c:v>42502</c:v>
                </c:pt>
                <c:pt idx="458">
                  <c:v>42503</c:v>
                </c:pt>
                <c:pt idx="459">
                  <c:v>42506</c:v>
                </c:pt>
                <c:pt idx="460">
                  <c:v>42507</c:v>
                </c:pt>
                <c:pt idx="461">
                  <c:v>42508</c:v>
                </c:pt>
                <c:pt idx="462">
                  <c:v>42509</c:v>
                </c:pt>
                <c:pt idx="463">
                  <c:v>42510</c:v>
                </c:pt>
                <c:pt idx="464">
                  <c:v>42513</c:v>
                </c:pt>
                <c:pt idx="465">
                  <c:v>42514</c:v>
                </c:pt>
                <c:pt idx="466">
                  <c:v>42515</c:v>
                </c:pt>
                <c:pt idx="467">
                  <c:v>42516</c:v>
                </c:pt>
                <c:pt idx="468">
                  <c:v>42517</c:v>
                </c:pt>
                <c:pt idx="469">
                  <c:v>42521</c:v>
                </c:pt>
                <c:pt idx="470">
                  <c:v>42522</c:v>
                </c:pt>
                <c:pt idx="471">
                  <c:v>42523</c:v>
                </c:pt>
                <c:pt idx="472">
                  <c:v>42524</c:v>
                </c:pt>
                <c:pt idx="473">
                  <c:v>42527</c:v>
                </c:pt>
                <c:pt idx="474">
                  <c:v>42528</c:v>
                </c:pt>
                <c:pt idx="475">
                  <c:v>42529</c:v>
                </c:pt>
                <c:pt idx="476">
                  <c:v>42530</c:v>
                </c:pt>
                <c:pt idx="477">
                  <c:v>42531</c:v>
                </c:pt>
                <c:pt idx="478">
                  <c:v>42534</c:v>
                </c:pt>
                <c:pt idx="479">
                  <c:v>42535</c:v>
                </c:pt>
                <c:pt idx="480">
                  <c:v>42536</c:v>
                </c:pt>
                <c:pt idx="481">
                  <c:v>42537</c:v>
                </c:pt>
                <c:pt idx="482">
                  <c:v>42538</c:v>
                </c:pt>
                <c:pt idx="483">
                  <c:v>42541</c:v>
                </c:pt>
                <c:pt idx="484">
                  <c:v>42542</c:v>
                </c:pt>
                <c:pt idx="485">
                  <c:v>42543</c:v>
                </c:pt>
                <c:pt idx="486">
                  <c:v>42544</c:v>
                </c:pt>
                <c:pt idx="487">
                  <c:v>42545</c:v>
                </c:pt>
                <c:pt idx="488">
                  <c:v>42548</c:v>
                </c:pt>
                <c:pt idx="489">
                  <c:v>42549</c:v>
                </c:pt>
                <c:pt idx="490">
                  <c:v>42550</c:v>
                </c:pt>
                <c:pt idx="491">
                  <c:v>42551</c:v>
                </c:pt>
                <c:pt idx="492">
                  <c:v>42552</c:v>
                </c:pt>
                <c:pt idx="493">
                  <c:v>42555</c:v>
                </c:pt>
                <c:pt idx="494">
                  <c:v>42556</c:v>
                </c:pt>
                <c:pt idx="495">
                  <c:v>42557</c:v>
                </c:pt>
                <c:pt idx="496">
                  <c:v>42558</c:v>
                </c:pt>
                <c:pt idx="497">
                  <c:v>42559</c:v>
                </c:pt>
                <c:pt idx="498">
                  <c:v>42562</c:v>
                </c:pt>
                <c:pt idx="499">
                  <c:v>42563</c:v>
                </c:pt>
                <c:pt idx="500">
                  <c:v>42564</c:v>
                </c:pt>
                <c:pt idx="501">
                  <c:v>42565</c:v>
                </c:pt>
                <c:pt idx="502">
                  <c:v>42566</c:v>
                </c:pt>
                <c:pt idx="503">
                  <c:v>42570</c:v>
                </c:pt>
                <c:pt idx="504">
                  <c:v>42571</c:v>
                </c:pt>
                <c:pt idx="505">
                  <c:v>42572</c:v>
                </c:pt>
                <c:pt idx="506">
                  <c:v>42573</c:v>
                </c:pt>
                <c:pt idx="507">
                  <c:v>42576</c:v>
                </c:pt>
                <c:pt idx="508">
                  <c:v>42577</c:v>
                </c:pt>
                <c:pt idx="509">
                  <c:v>42578</c:v>
                </c:pt>
                <c:pt idx="510">
                  <c:v>42579</c:v>
                </c:pt>
                <c:pt idx="511">
                  <c:v>42580</c:v>
                </c:pt>
                <c:pt idx="512">
                  <c:v>42583</c:v>
                </c:pt>
                <c:pt idx="513">
                  <c:v>42584</c:v>
                </c:pt>
                <c:pt idx="514">
                  <c:v>42585</c:v>
                </c:pt>
                <c:pt idx="515">
                  <c:v>42586</c:v>
                </c:pt>
                <c:pt idx="516">
                  <c:v>42587</c:v>
                </c:pt>
                <c:pt idx="517">
                  <c:v>42590</c:v>
                </c:pt>
                <c:pt idx="518">
                  <c:v>42597</c:v>
                </c:pt>
                <c:pt idx="519">
                  <c:v>42604</c:v>
                </c:pt>
                <c:pt idx="520">
                  <c:v>42612</c:v>
                </c:pt>
                <c:pt idx="521">
                  <c:v>42618</c:v>
                </c:pt>
                <c:pt idx="522">
                  <c:v>42625</c:v>
                </c:pt>
                <c:pt idx="523">
                  <c:v>42633</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1.3499832201713247E-3</c:v>
                </c:pt>
                <c:pt idx="1">
                  <c:v>1.3499827240082141E-3</c:v>
                </c:pt>
                <c:pt idx="2">
                  <c:v>1.3499817316819929E-3</c:v>
                </c:pt>
                <c:pt idx="3">
                  <c:v>1.3499831556362807E-3</c:v>
                </c:pt>
                <c:pt idx="4">
                  <c:v>1.3499728010657464E-3</c:v>
                </c:pt>
                <c:pt idx="5">
                  <c:v>1.3499693280039082E-3</c:v>
                </c:pt>
                <c:pt idx="6">
                  <c:v>1.3499653587789595E-3</c:v>
                </c:pt>
                <c:pt idx="7">
                  <c:v>1.3499608934708363E-3</c:v>
                </c:pt>
                <c:pt idx="8">
                  <c:v>1.349955371088285E-3</c:v>
                </c:pt>
                <c:pt idx="9">
                  <c:v>1.3499380706072373E-3</c:v>
                </c:pt>
                <c:pt idx="10">
                  <c:v>1.3499312801190655E-3</c:v>
                </c:pt>
                <c:pt idx="11">
                  <c:v>1.3499247715653695E-3</c:v>
                </c:pt>
                <c:pt idx="12">
                  <c:v>1.3499187005017177E-3</c:v>
                </c:pt>
                <c:pt idx="13">
                  <c:v>1.3499130787586466E-3</c:v>
                </c:pt>
                <c:pt idx="14">
                  <c:v>1.3498987917071048E-3</c:v>
                </c:pt>
                <c:pt idx="15">
                  <c:v>1.3498947631696012E-3</c:v>
                </c:pt>
                <c:pt idx="16">
                  <c:v>1.3498904462228012E-3</c:v>
                </c:pt>
                <c:pt idx="17">
                  <c:v>1.3498856958626959E-3</c:v>
                </c:pt>
                <c:pt idx="18">
                  <c:v>1.3498798115829658E-3</c:v>
                </c:pt>
                <c:pt idx="19">
                  <c:v>1.3498623591701175E-3</c:v>
                </c:pt>
                <c:pt idx="20">
                  <c:v>1.3498554411839336E-3</c:v>
                </c:pt>
                <c:pt idx="21">
                  <c:v>1.3498480897045084E-3</c:v>
                </c:pt>
                <c:pt idx="22">
                  <c:v>1.3498404258349694E-3</c:v>
                </c:pt>
                <c:pt idx="23">
                  <c:v>1.3498308933801439E-3</c:v>
                </c:pt>
                <c:pt idx="24">
                  <c:v>1.3498122148014602E-3</c:v>
                </c:pt>
                <c:pt idx="25">
                  <c:v>1.3498058943373081E-3</c:v>
                </c:pt>
                <c:pt idx="26">
                  <c:v>1.3497998667588718E-3</c:v>
                </c:pt>
                <c:pt idx="27">
                  <c:v>1.349794131986215E-3</c:v>
                </c:pt>
                <c:pt idx="28">
                  <c:v>1.3497888510105582E-3</c:v>
                </c:pt>
                <c:pt idx="29">
                  <c:v>1.3497698518083467E-3</c:v>
                </c:pt>
                <c:pt idx="30">
                  <c:v>1.3497658745098562E-3</c:v>
                </c:pt>
                <c:pt idx="31">
                  <c:v>1.3497621900171453E-3</c:v>
                </c:pt>
                <c:pt idx="32">
                  <c:v>1.349760858149196E-3</c:v>
                </c:pt>
                <c:pt idx="33">
                  <c:v>1.3497503811432665E-3</c:v>
                </c:pt>
                <c:pt idx="34">
                  <c:v>1.3497481612390061E-3</c:v>
                </c:pt>
                <c:pt idx="35">
                  <c:v>1.3497462340605892E-3</c:v>
                </c:pt>
                <c:pt idx="36">
                  <c:v>1.3497445999277602E-3</c:v>
                </c:pt>
                <c:pt idx="37">
                  <c:v>1.3497473684065397E-3</c:v>
                </c:pt>
                <c:pt idx="38">
                  <c:v>1.3497409920937287E-3</c:v>
                </c:pt>
                <c:pt idx="39">
                  <c:v>1.349740822389478E-3</c:v>
                </c:pt>
                <c:pt idx="40">
                  <c:v>1.349740945491007E-3</c:v>
                </c:pt>
                <c:pt idx="41">
                  <c:v>1.3497413615581877E-3</c:v>
                </c:pt>
                <c:pt idx="42">
                  <c:v>1.3497482305968589E-3</c:v>
                </c:pt>
                <c:pt idx="43">
                  <c:v>1.3497458995281875E-3</c:v>
                </c:pt>
                <c:pt idx="44">
                  <c:v>1.3497474487689232E-3</c:v>
                </c:pt>
                <c:pt idx="45">
                  <c:v>1.3497489597202872E-3</c:v>
                </c:pt>
                <c:pt idx="46">
                  <c:v>1.3497504322224074E-3</c:v>
                </c:pt>
                <c:pt idx="47">
                  <c:v>1.3497583099741917E-3</c:v>
                </c:pt>
                <c:pt idx="48">
                  <c:v>1.349755938457875E-3</c:v>
                </c:pt>
                <c:pt idx="49">
                  <c:v>1.3497572191134566E-3</c:v>
                </c:pt>
                <c:pt idx="50">
                  <c:v>1.3497584613197944E-3</c:v>
                </c:pt>
                <c:pt idx="51">
                  <c:v>1.3497596652367605E-3</c:v>
                </c:pt>
                <c:pt idx="52">
                  <c:v>1.3497700741305074E-3</c:v>
                </c:pt>
                <c:pt idx="53">
                  <c:v>1.3497651089622309E-3</c:v>
                </c:pt>
                <c:pt idx="54">
                  <c:v>1.3497660825834146E-3</c:v>
                </c:pt>
                <c:pt idx="55">
                  <c:v>1.3497670177553545E-3</c:v>
                </c:pt>
                <c:pt idx="56">
                  <c:v>1.3497738210865862E-3</c:v>
                </c:pt>
                <c:pt idx="57">
                  <c:v>1.3497703749898449E-3</c:v>
                </c:pt>
                <c:pt idx="58">
                  <c:v>1.34977111823531E-3</c:v>
                </c:pt>
                <c:pt idx="59">
                  <c:v>1.3497718232713396E-3</c:v>
                </c:pt>
                <c:pt idx="60">
                  <c:v>1.3497724898581254E-3</c:v>
                </c:pt>
                <c:pt idx="61">
                  <c:v>1.3497787559391128E-3</c:v>
                </c:pt>
                <c:pt idx="62">
                  <c:v>1.3497747724322551E-3</c:v>
                </c:pt>
                <c:pt idx="63">
                  <c:v>1.3497752471725022E-3</c:v>
                </c:pt>
                <c:pt idx="64">
                  <c:v>1.3497756834635055E-3</c:v>
                </c:pt>
                <c:pt idx="65">
                  <c:v>1.3497760814651372E-3</c:v>
                </c:pt>
                <c:pt idx="66">
                  <c:v>1.34978447573042E-3</c:v>
                </c:pt>
                <c:pt idx="67">
                  <c:v>1.3497774956139352E-3</c:v>
                </c:pt>
                <c:pt idx="68">
                  <c:v>1.3497776633197844E-3</c:v>
                </c:pt>
                <c:pt idx="69">
                  <c:v>1.3497777925763899E-3</c:v>
                </c:pt>
                <c:pt idx="70">
                  <c:v>1.3497829841568887E-3</c:v>
                </c:pt>
                <c:pt idx="71">
                  <c:v>1.3497804252304846E-3</c:v>
                </c:pt>
                <c:pt idx="72">
                  <c:v>1.3497777626003682E-3</c:v>
                </c:pt>
                <c:pt idx="73">
                  <c:v>1.3497776232718195E-3</c:v>
                </c:pt>
                <c:pt idx="74">
                  <c:v>1.3497822775487833E-3</c:v>
                </c:pt>
                <c:pt idx="75">
                  <c:v>1.3497766821846113E-3</c:v>
                </c:pt>
                <c:pt idx="76">
                  <c:v>1.349776351009524E-3</c:v>
                </c:pt>
                <c:pt idx="77">
                  <c:v>1.3497759814651289E-3</c:v>
                </c:pt>
                <c:pt idx="78">
                  <c:v>1.34977557347149E-3</c:v>
                </c:pt>
                <c:pt idx="79">
                  <c:v>1.3497796904449189E-3</c:v>
                </c:pt>
                <c:pt idx="80">
                  <c:v>1.3497735578837933E-3</c:v>
                </c:pt>
                <c:pt idx="81">
                  <c:v>1.3497729579636797E-3</c:v>
                </c:pt>
                <c:pt idx="82">
                  <c:v>1.3497723198341305E-3</c:v>
                </c:pt>
                <c:pt idx="83">
                  <c:v>1.3497716431754014E-3</c:v>
                </c:pt>
                <c:pt idx="84">
                  <c:v>1.3497776071647039E-3</c:v>
                </c:pt>
                <c:pt idx="85">
                  <c:v>1.3497686611607662E-3</c:v>
                </c:pt>
                <c:pt idx="86">
                  <c:v>1.3497682346219619E-3</c:v>
                </c:pt>
                <c:pt idx="87">
                  <c:v>1.3497678657170553E-3</c:v>
                </c:pt>
                <c:pt idx="88">
                  <c:v>1.34977238101186E-3</c:v>
                </c:pt>
                <c:pt idx="89">
                  <c:v>1.3497669670758938E-3</c:v>
                </c:pt>
                <c:pt idx="90">
                  <c:v>1.3497668865802837E-3</c:v>
                </c:pt>
                <c:pt idx="91">
                  <c:v>1.3497668638784432E-3</c:v>
                </c:pt>
                <c:pt idx="92">
                  <c:v>1.3497668987305644E-3</c:v>
                </c:pt>
                <c:pt idx="93">
                  <c:v>1.3497722216193608E-3</c:v>
                </c:pt>
                <c:pt idx="94">
                  <c:v>1.3497676152773863E-3</c:v>
                </c:pt>
                <c:pt idx="95">
                  <c:v>1.3497679385388039E-3</c:v>
                </c:pt>
                <c:pt idx="96">
                  <c:v>1.3497683195939914E-3</c:v>
                </c:pt>
                <c:pt idx="97">
                  <c:v>1.3497687582830764E-3</c:v>
                </c:pt>
                <c:pt idx="98">
                  <c:v>1.349777734622748E-3</c:v>
                </c:pt>
                <c:pt idx="99">
                  <c:v>1.3497718170363271E-3</c:v>
                </c:pt>
                <c:pt idx="100">
                  <c:v>1.3497726017686063E-3</c:v>
                </c:pt>
                <c:pt idx="101">
                  <c:v>1.3497734442946552E-3</c:v>
                </c:pt>
                <c:pt idx="102">
                  <c:v>1.3497803823447896E-3</c:v>
                </c:pt>
                <c:pt idx="103">
                  <c:v>1.3497773910575717E-3</c:v>
                </c:pt>
                <c:pt idx="104">
                  <c:v>1.3497784844229699E-3</c:v>
                </c:pt>
                <c:pt idx="105">
                  <c:v>1.3497794479722103E-3</c:v>
                </c:pt>
                <c:pt idx="106">
                  <c:v>1.3497802440554096E-3</c:v>
                </c:pt>
                <c:pt idx="107">
                  <c:v>1.3497863390465881E-3</c:v>
                </c:pt>
                <c:pt idx="108">
                  <c:v>1.3497817543672852E-3</c:v>
                </c:pt>
                <c:pt idx="109">
                  <c:v>1.3497817134400236E-3</c:v>
                </c:pt>
                <c:pt idx="110">
                  <c:v>1.349781505046721E-3</c:v>
                </c:pt>
                <c:pt idx="111">
                  <c:v>1.3497811293472495E-3</c:v>
                </c:pt>
                <c:pt idx="112">
                  <c:v>1.3497869442358201E-3</c:v>
                </c:pt>
                <c:pt idx="113">
                  <c:v>1.3497767395787008E-3</c:v>
                </c:pt>
                <c:pt idx="114">
                  <c:v>1.3497753594027273E-3</c:v>
                </c:pt>
                <c:pt idx="115">
                  <c:v>1.3497738117607128E-3</c:v>
                </c:pt>
                <c:pt idx="116">
                  <c:v>1.3497752194613355E-3</c:v>
                </c:pt>
                <c:pt idx="117">
                  <c:v>1.3497659474914769E-3</c:v>
                </c:pt>
                <c:pt idx="118">
                  <c:v>1.3497635629189375E-3</c:v>
                </c:pt>
                <c:pt idx="119">
                  <c:v>1.349761010880357E-3</c:v>
                </c:pt>
                <c:pt idx="120">
                  <c:v>1.3497582915356077E-3</c:v>
                </c:pt>
                <c:pt idx="121">
                  <c:v>1.3497573553511444E-3</c:v>
                </c:pt>
                <c:pt idx="122">
                  <c:v>1.3497457398958801E-3</c:v>
                </c:pt>
                <c:pt idx="123">
                  <c:v>1.3497421834607337E-3</c:v>
                </c:pt>
                <c:pt idx="124">
                  <c:v>1.3497385484484425E-3</c:v>
                </c:pt>
                <c:pt idx="125">
                  <c:v>1.3497351904145916E-3</c:v>
                </c:pt>
                <c:pt idx="126">
                  <c:v>1.3497347539104254E-3</c:v>
                </c:pt>
                <c:pt idx="127">
                  <c:v>1.3497254155936389E-3</c:v>
                </c:pt>
                <c:pt idx="128">
                  <c:v>1.3497238863369176E-3</c:v>
                </c:pt>
                <c:pt idx="129">
                  <c:v>1.3497227227876607E-3</c:v>
                </c:pt>
                <c:pt idx="130">
                  <c:v>1.3497219249458681E-3</c:v>
                </c:pt>
                <c:pt idx="131">
                  <c:v>1.3497266089590454E-3</c:v>
                </c:pt>
                <c:pt idx="132">
                  <c:v>1.3497254369765344E-3</c:v>
                </c:pt>
                <c:pt idx="133">
                  <c:v>1.3497391963781524E-3</c:v>
                </c:pt>
                <c:pt idx="134">
                  <c:v>1.3497372888160442E-3</c:v>
                </c:pt>
                <c:pt idx="135">
                  <c:v>1.3497646433879851E-3</c:v>
                </c:pt>
                <c:pt idx="136">
                  <c:v>1.3497701083231561E-3</c:v>
                </c:pt>
                <c:pt idx="137">
                  <c:v>1.3497762598024821E-3</c:v>
                </c:pt>
                <c:pt idx="138">
                  <c:v>1.3497827770692084E-3</c:v>
                </c:pt>
                <c:pt idx="139">
                  <c:v>1.349789660123335E-3</c:v>
                </c:pt>
                <c:pt idx="140">
                  <c:v>1.3498162880032361E-3</c:v>
                </c:pt>
                <c:pt idx="141">
                  <c:v>1.3498293067293332E-3</c:v>
                </c:pt>
                <c:pt idx="142">
                  <c:v>1.3498368556508211E-3</c:v>
                </c:pt>
                <c:pt idx="143">
                  <c:v>1.3498432419023487E-3</c:v>
                </c:pt>
                <c:pt idx="144">
                  <c:v>1.3498571998304953E-3</c:v>
                </c:pt>
                <c:pt idx="145">
                  <c:v>1.3498571590098152E-3</c:v>
                </c:pt>
                <c:pt idx="146">
                  <c:v>1.3498577313519888E-3</c:v>
                </c:pt>
                <c:pt idx="147">
                  <c:v>1.3498571409442661E-3</c:v>
                </c:pt>
                <c:pt idx="148">
                  <c:v>1.349855387706711E-3</c:v>
                </c:pt>
                <c:pt idx="149">
                  <c:v>1.3498530667366282E-3</c:v>
                </c:pt>
                <c:pt idx="150">
                  <c:v>1.3498367470976547E-3</c:v>
                </c:pt>
                <c:pt idx="151">
                  <c:v>1.3498291799507456E-3</c:v>
                </c:pt>
                <c:pt idx="152">
                  <c:v>1.3498204501338762E-3</c:v>
                </c:pt>
                <c:pt idx="153">
                  <c:v>1.3498105574072383E-3</c:v>
                </c:pt>
                <c:pt idx="154">
                  <c:v>1.3497919571392458E-3</c:v>
                </c:pt>
                <c:pt idx="155">
                  <c:v>1.3497593590816592E-3</c:v>
                </c:pt>
                <c:pt idx="156">
                  <c:v>1.3497436525256035E-3</c:v>
                </c:pt>
                <c:pt idx="157">
                  <c:v>1.3497267832196513E-3</c:v>
                </c:pt>
                <c:pt idx="158">
                  <c:v>1.3497087510838668E-3</c:v>
                </c:pt>
                <c:pt idx="159">
                  <c:v>1.3496738710383482E-3</c:v>
                </c:pt>
                <c:pt idx="160">
                  <c:v>1.3496249949618289E-3</c:v>
                </c:pt>
                <c:pt idx="161">
                  <c:v>1.349594541562027E-3</c:v>
                </c:pt>
                <c:pt idx="162">
                  <c:v>1.3495659630624601E-3</c:v>
                </c:pt>
                <c:pt idx="163">
                  <c:v>1.3495518426243081E-3</c:v>
                </c:pt>
                <c:pt idx="164">
                  <c:v>1.3495405641794633E-3</c:v>
                </c:pt>
                <c:pt idx="165">
                  <c:v>1.3495439346034033E-3</c:v>
                </c:pt>
                <c:pt idx="166">
                  <c:v>1.3495511931171933E-3</c:v>
                </c:pt>
                <c:pt idx="167">
                  <c:v>1.3495623397208334E-3</c:v>
                </c:pt>
                <c:pt idx="168">
                  <c:v>1.3496026525405824E-3</c:v>
                </c:pt>
                <c:pt idx="169">
                  <c:v>1.3496458066342143E-3</c:v>
                </c:pt>
                <c:pt idx="170">
                  <c:v>1.3496763934472966E-3</c:v>
                </c:pt>
                <c:pt idx="171">
                  <c:v>1.349710868350229E-3</c:v>
                </c:pt>
                <c:pt idx="172">
                  <c:v>1.3497492314229476E-3</c:v>
                </c:pt>
                <c:pt idx="173">
                  <c:v>1.3498439788595107E-3</c:v>
                </c:pt>
                <c:pt idx="174">
                  <c:v>1.349941563972834E-3</c:v>
                </c:pt>
                <c:pt idx="175">
                  <c:v>1.3499993672549948E-3</c:v>
                </c:pt>
                <c:pt idx="176">
                  <c:v>1.3500610585470696E-3</c:v>
                </c:pt>
                <c:pt idx="177">
                  <c:v>1.3501266380089305E-3</c:v>
                </c:pt>
                <c:pt idx="178">
                  <c:v>1.3502758215810928E-3</c:v>
                </c:pt>
                <c:pt idx="179">
                  <c:v>1.3504278362752586E-3</c:v>
                </c:pt>
                <c:pt idx="180">
                  <c:v>1.3505115488321451E-3</c:v>
                </c:pt>
                <c:pt idx="181">
                  <c:v>1.350592613826862E-3</c:v>
                </c:pt>
                <c:pt idx="182">
                  <c:v>1.3506697240650567E-3</c:v>
                </c:pt>
                <c:pt idx="183">
                  <c:v>1.3508158307384832E-3</c:v>
                </c:pt>
                <c:pt idx="184">
                  <c:v>1.350938617772357E-3</c:v>
                </c:pt>
                <c:pt idx="185">
                  <c:v>1.3509959543078764E-3</c:v>
                </c:pt>
                <c:pt idx="186">
                  <c:v>1.3510493360868736E-3</c:v>
                </c:pt>
                <c:pt idx="187">
                  <c:v>1.3510987632692206E-3</c:v>
                </c:pt>
                <c:pt idx="188">
                  <c:v>1.3511895063622603E-3</c:v>
                </c:pt>
                <c:pt idx="189">
                  <c:v>1.3512569241935779E-3</c:v>
                </c:pt>
                <c:pt idx="190">
                  <c:v>1.3512865776732497E-3</c:v>
                </c:pt>
                <c:pt idx="191">
                  <c:v>1.3513122763963992E-3</c:v>
                </c:pt>
                <c:pt idx="192">
                  <c:v>1.3513340202830904E-3</c:v>
                </c:pt>
                <c:pt idx="193">
                  <c:v>1.3513693984634756E-3</c:v>
                </c:pt>
                <c:pt idx="194">
                  <c:v>1.3513814486643128E-3</c:v>
                </c:pt>
                <c:pt idx="195">
                  <c:v>1.3513834189282647E-3</c:v>
                </c:pt>
                <c:pt idx="196">
                  <c:v>1.3513814345156305E-3</c:v>
                </c:pt>
                <c:pt idx="197">
                  <c:v>1.3513579431787548E-3</c:v>
                </c:pt>
                <c:pt idx="198">
                  <c:v>1.3512864781528577E-3</c:v>
                </c:pt>
                <c:pt idx="199">
                  <c:v>1.3512568105245037E-3</c:v>
                </c:pt>
                <c:pt idx="200">
                  <c:v>1.3512231882195636E-3</c:v>
                </c:pt>
                <c:pt idx="201">
                  <c:v>1.3511478320982206E-3</c:v>
                </c:pt>
                <c:pt idx="202">
                  <c:v>1.3510491513546441E-3</c:v>
                </c:pt>
                <c:pt idx="203">
                  <c:v>1.3509957553470286E-3</c:v>
                </c:pt>
                <c:pt idx="204">
                  <c:v>1.3509384045828909E-3</c:v>
                </c:pt>
                <c:pt idx="205">
                  <c:v>1.350877099062231E-3</c:v>
                </c:pt>
                <c:pt idx="206">
                  <c:v>1.3507463736583958E-3</c:v>
                </c:pt>
                <c:pt idx="207">
                  <c:v>1.3505923296541766E-3</c:v>
                </c:pt>
                <c:pt idx="208">
                  <c:v>1.3505112504308414E-3</c:v>
                </c:pt>
                <c:pt idx="209">
                  <c:v>1.35042621653092E-3</c:v>
                </c:pt>
                <c:pt idx="210">
                  <c:v>1.3503372278744763E-3</c:v>
                </c:pt>
                <c:pt idx="211">
                  <c:v>1.3501511316960091E-3</c:v>
                </c:pt>
                <c:pt idx="212">
                  <c:v>1.349941725843351E-3</c:v>
                </c:pt>
                <c:pt idx="213">
                  <c:v>1.3497791353822564E-3</c:v>
                </c:pt>
                <c:pt idx="214">
                  <c:v>1.3496035745763635E-3</c:v>
                </c:pt>
                <c:pt idx="215">
                  <c:v>1.349170952931189E-3</c:v>
                </c:pt>
                <c:pt idx="216">
                  <c:v>1.3486761393277646E-3</c:v>
                </c:pt>
                <c:pt idx="217">
                  <c:v>1.3483792972035502E-3</c:v>
                </c:pt>
                <c:pt idx="218">
                  <c:v>1.3480591720504975E-3</c:v>
                </c:pt>
                <c:pt idx="219">
                  <c:v>1.3478950434198111E-3</c:v>
                </c:pt>
                <c:pt idx="220">
                  <c:v>1.3477269600326025E-3</c:v>
                </c:pt>
                <c:pt idx="221">
                  <c:v>1.3475549219688077E-3</c:v>
                </c:pt>
                <c:pt idx="222">
                  <c:v>1.3472027047267687E-3</c:v>
                </c:pt>
                <c:pt idx="223">
                  <c:v>1.3468272220684696E-3</c:v>
                </c:pt>
                <c:pt idx="224">
                  <c:v>1.3466354103019995E-3</c:v>
                </c:pt>
                <c:pt idx="225">
                  <c:v>1.3464396436990711E-3</c:v>
                </c:pt>
                <c:pt idx="226">
                  <c:v>1.3462399224994925E-3</c:v>
                </c:pt>
                <c:pt idx="227">
                  <c:v>1.3457283913420603E-3</c:v>
                </c:pt>
                <c:pt idx="228">
                  <c:v>1.3451819950738297E-3</c:v>
                </c:pt>
                <c:pt idx="229">
                  <c:v>1.3449585454150537E-3</c:v>
                </c:pt>
                <c:pt idx="230">
                  <c:v>1.3447311409997553E-3</c:v>
                </c:pt>
                <c:pt idx="231">
                  <c:v>1.344268169258811E-3</c:v>
                </c:pt>
                <c:pt idx="232">
                  <c:v>1.3437819759332115E-3</c:v>
                </c:pt>
                <c:pt idx="233">
                  <c:v>1.3435347978951739E-3</c:v>
                </c:pt>
                <c:pt idx="234">
                  <c:v>1.3432836650206781E-3</c:v>
                </c:pt>
                <c:pt idx="235">
                  <c:v>1.343028577469596E-3</c:v>
                </c:pt>
                <c:pt idx="236">
                  <c:v>1.3425102262942801E-3</c:v>
                </c:pt>
                <c:pt idx="237">
                  <c:v>1.3419686798599173E-3</c:v>
                </c:pt>
                <c:pt idx="238">
                  <c:v>1.3416938185262239E-3</c:v>
                </c:pt>
                <c:pt idx="239">
                  <c:v>1.3414181475202014E-3</c:v>
                </c:pt>
                <c:pt idx="240">
                  <c:v>1.3411542466190696E-3</c:v>
                </c:pt>
                <c:pt idx="241">
                  <c:v>1.3406811544136588E-3</c:v>
                </c:pt>
                <c:pt idx="242">
                  <c:v>1.3402477934665313E-3</c:v>
                </c:pt>
                <c:pt idx="243">
                  <c:v>1.340058467791394E-3</c:v>
                </c:pt>
                <c:pt idx="244">
                  <c:v>1.3398840572254045E-3</c:v>
                </c:pt>
                <c:pt idx="245">
                  <c:v>1.3397245617685627E-3</c:v>
                </c:pt>
                <c:pt idx="246">
                  <c:v>1.3394602712857306E-3</c:v>
                </c:pt>
                <c:pt idx="247">
                  <c:v>1.3392357302333124E-3</c:v>
                </c:pt>
                <c:pt idx="248">
                  <c:v>1.3391508099225291E-3</c:v>
                </c:pt>
                <c:pt idx="249">
                  <c:v>1.3390808048008296E-3</c:v>
                </c:pt>
                <c:pt idx="250">
                  <c:v>1.3390257147083418E-3</c:v>
                </c:pt>
                <c:pt idx="251">
                  <c:v>1.338970231357095E-3</c:v>
                </c:pt>
                <c:pt idx="252">
                  <c:v>1.3389545047903795E-3</c:v>
                </c:pt>
                <c:pt idx="253">
                  <c:v>1.3389739899238862E-3</c:v>
                </c:pt>
                <c:pt idx="254">
                  <c:v>1.3390083901665406E-3</c:v>
                </c:pt>
                <c:pt idx="255">
                  <c:v>1.3390577054384067E-3</c:v>
                </c:pt>
                <c:pt idx="256">
                  <c:v>1.339211034707688E-3</c:v>
                </c:pt>
                <c:pt idx="257">
                  <c:v>1.3394041171377324E-3</c:v>
                </c:pt>
                <c:pt idx="258">
                  <c:v>1.3395280077155292E-3</c:v>
                </c:pt>
                <c:pt idx="259">
                  <c:v>1.3396668133225376E-3</c:v>
                </c:pt>
                <c:pt idx="260">
                  <c:v>1.3398205340386937E-3</c:v>
                </c:pt>
                <c:pt idx="261">
                  <c:v>1.3401826813375095E-3</c:v>
                </c:pt>
                <c:pt idx="262">
                  <c:v>1.3405845672753713E-3</c:v>
                </c:pt>
                <c:pt idx="263">
                  <c:v>1.3408128632974581E-3</c:v>
                </c:pt>
                <c:pt idx="264">
                  <c:v>1.3410560742688205E-3</c:v>
                </c:pt>
                <c:pt idx="265">
                  <c:v>1.3413142004292666E-3</c:v>
                </c:pt>
                <c:pt idx="266">
                  <c:v>1.3420415952936082E-3</c:v>
                </c:pt>
                <c:pt idx="267">
                  <c:v>1.3428285566696729E-3</c:v>
                </c:pt>
                <c:pt idx="268">
                  <c:v>1.3431761730853253E-3</c:v>
                </c:pt>
                <c:pt idx="269">
                  <c:v>1.3435387046101255E-3</c:v>
                </c:pt>
                <c:pt idx="270">
                  <c:v>1.3443185043815475E-3</c:v>
                </c:pt>
                <c:pt idx="271">
                  <c:v>1.3451379811613151E-3</c:v>
                </c:pt>
                <c:pt idx="272">
                  <c:v>1.3455750879121098E-3</c:v>
                </c:pt>
                <c:pt idx="273">
                  <c:v>1.3460271096921161E-3</c:v>
                </c:pt>
                <c:pt idx="274">
                  <c:v>1.3464940466612063E-3</c:v>
                </c:pt>
                <c:pt idx="275">
                  <c:v>1.3474826809023455E-3</c:v>
                </c:pt>
                <c:pt idx="276">
                  <c:v>1.3485109448296839E-3</c:v>
                </c:pt>
                <c:pt idx="277">
                  <c:v>1.3490524570247686E-3</c:v>
                </c:pt>
                <c:pt idx="278">
                  <c:v>1.349608884249065E-3</c:v>
                </c:pt>
                <c:pt idx="279">
                  <c:v>1.3501802265025731E-3</c:v>
                </c:pt>
                <c:pt idx="280">
                  <c:v>1.3513777008355987E-3</c:v>
                </c:pt>
                <c:pt idx="281">
                  <c:v>1.3526147463682747E-3</c:v>
                </c:pt>
                <c:pt idx="282">
                  <c:v>1.3532606639277134E-3</c:v>
                </c:pt>
                <c:pt idx="283">
                  <c:v>1.3539214966762358E-3</c:v>
                </c:pt>
                <c:pt idx="284">
                  <c:v>1.3545972442940979E-3</c:v>
                </c:pt>
                <c:pt idx="285">
                  <c:v>1.3560035642612434E-3</c:v>
                </c:pt>
                <c:pt idx="286">
                  <c:v>1.3574493858570236E-3</c:v>
                </c:pt>
                <c:pt idx="287">
                  <c:v>1.3581997088607523E-3</c:v>
                </c:pt>
                <c:pt idx="288">
                  <c:v>1.3589649468936926E-3</c:v>
                </c:pt>
                <c:pt idx="289">
                  <c:v>1.3597451000357808E-3</c:v>
                </c:pt>
                <c:pt idx="290">
                  <c:v>1.3613602712059247E-3</c:v>
                </c:pt>
                <c:pt idx="291">
                  <c:v>1.3630148632159944E-3</c:v>
                </c:pt>
                <c:pt idx="292">
                  <c:v>1.3638695916640131E-3</c:v>
                </c:pt>
                <c:pt idx="293">
                  <c:v>1.3647392351412435E-3</c:v>
                </c:pt>
                <c:pt idx="294">
                  <c:v>1.3656237936476856E-3</c:v>
                </c:pt>
                <c:pt idx="295">
                  <c:v>1.3679175619829564E-3</c:v>
                </c:pt>
                <c:pt idx="296">
                  <c:v>1.370270312417432E-3</c:v>
                </c:pt>
                <c:pt idx="297">
                  <c:v>1.3712443612590164E-3</c:v>
                </c:pt>
                <c:pt idx="298">
                  <c:v>1.3722333252896846E-3</c:v>
                </c:pt>
                <c:pt idx="299">
                  <c:v>1.3742662162385955E-3</c:v>
                </c:pt>
                <c:pt idx="300">
                  <c:v>1.3763383318643463E-3</c:v>
                </c:pt>
                <c:pt idx="301">
                  <c:v>1.377401871121009E-3</c:v>
                </c:pt>
                <c:pt idx="302">
                  <c:v>1.3784803254868194E-3</c:v>
                </c:pt>
                <c:pt idx="303">
                  <c:v>1.3795677049532884E-3</c:v>
                </c:pt>
                <c:pt idx="304">
                  <c:v>1.3816896639617937E-3</c:v>
                </c:pt>
                <c:pt idx="305">
                  <c:v>1.3837309343145421E-3</c:v>
                </c:pt>
                <c:pt idx="306">
                  <c:v>1.3847191796401148E-3</c:v>
                </c:pt>
                <c:pt idx="307">
                  <c:v>1.3856863999439639E-3</c:v>
                </c:pt>
                <c:pt idx="308">
                  <c:v>1.3866325956257697E-3</c:v>
                </c:pt>
                <c:pt idx="309">
                  <c:v>1.3897614609525988E-3</c:v>
                </c:pt>
                <c:pt idx="310">
                  <c:v>1.3926672694264397E-3</c:v>
                </c:pt>
                <c:pt idx="311">
                  <c:v>1.3942006295852849E-3</c:v>
                </c:pt>
                <c:pt idx="312">
                  <c:v>1.3956531081227297E-3</c:v>
                </c:pt>
                <c:pt idx="313">
                  <c:v>1.3963470057820615E-3</c:v>
                </c:pt>
                <c:pt idx="314">
                  <c:v>1.3970198784996057E-3</c:v>
                </c:pt>
                <c:pt idx="315">
                  <c:v>1.3976717263552985E-3</c:v>
                </c:pt>
                <c:pt idx="316">
                  <c:v>1.3989107754053265E-3</c:v>
                </c:pt>
                <c:pt idx="317">
                  <c:v>1.4000688697191066E-3</c:v>
                </c:pt>
                <c:pt idx="318">
                  <c:v>1.4006155935053499E-3</c:v>
                </c:pt>
                <c:pt idx="319">
                  <c:v>1.4011412924297417E-3</c:v>
                </c:pt>
                <c:pt idx="320">
                  <c:v>1.401645966492282E-3</c:v>
                </c:pt>
                <c:pt idx="321">
                  <c:v>1.4028107269203893E-3</c:v>
                </c:pt>
                <c:pt idx="322">
                  <c:v>1.4038539643568271E-3</c:v>
                </c:pt>
                <c:pt idx="323">
                  <c:v>1.4042324894081304E-3</c:v>
                </c:pt>
                <c:pt idx="324">
                  <c:v>1.4045899896775182E-3</c:v>
                </c:pt>
                <c:pt idx="325">
                  <c:v>1.40524039255574E-3</c:v>
                </c:pt>
                <c:pt idx="326">
                  <c:v>1.4058097421365545E-3</c:v>
                </c:pt>
                <c:pt idx="327">
                  <c:v>1.4060621182565569E-3</c:v>
                </c:pt>
                <c:pt idx="328">
                  <c:v>1.4062934694347717E-3</c:v>
                </c:pt>
                <c:pt idx="329">
                  <c:v>1.4065037958310711E-3</c:v>
                </c:pt>
                <c:pt idx="330">
                  <c:v>1.4068598636995944E-3</c:v>
                </c:pt>
                <c:pt idx="331">
                  <c:v>1.4071348529576255E-3</c:v>
                </c:pt>
                <c:pt idx="332">
                  <c:v>1.4072400551246034E-3</c:v>
                </c:pt>
                <c:pt idx="333">
                  <c:v>1.4073242325896018E-3</c:v>
                </c:pt>
                <c:pt idx="334">
                  <c:v>1.4073873850328766E-3</c:v>
                </c:pt>
                <c:pt idx="335">
                  <c:v>1.4074491097915143E-3</c:v>
                </c:pt>
                <c:pt idx="336">
                  <c:v>1.4074115120532582E-3</c:v>
                </c:pt>
                <c:pt idx="337">
                  <c:v>1.4073247786328125E-3</c:v>
                </c:pt>
                <c:pt idx="338">
                  <c:v>1.4072407572829349E-3</c:v>
                </c:pt>
                <c:pt idx="339">
                  <c:v>1.4070081308847904E-3</c:v>
                </c:pt>
                <c:pt idx="340">
                  <c:v>1.4066944235846535E-3</c:v>
                </c:pt>
                <c:pt idx="341">
                  <c:v>1.4065052780853904E-3</c:v>
                </c:pt>
                <c:pt idx="342">
                  <c:v>1.4062951077242758E-3</c:v>
                </c:pt>
                <c:pt idx="343">
                  <c:v>1.4060639125013097E-3</c:v>
                </c:pt>
                <c:pt idx="344">
                  <c:v>1.405536926926132E-3</c:v>
                </c:pt>
                <c:pt idx="345">
                  <c:v>1.4049288833906104E-3</c:v>
                </c:pt>
                <c:pt idx="346">
                  <c:v>1.4045925640981949E-3</c:v>
                </c:pt>
                <c:pt idx="347">
                  <c:v>1.4042352198639918E-3</c:v>
                </c:pt>
                <c:pt idx="348">
                  <c:v>1.4038568508478733E-3</c:v>
                </c:pt>
                <c:pt idx="349">
                  <c:v>1.4028140034993974E-3</c:v>
                </c:pt>
                <c:pt idx="350">
                  <c:v>1.401649633079316E-3</c:v>
                </c:pt>
                <c:pt idx="351">
                  <c:v>1.4011451150519605E-3</c:v>
                </c:pt>
                <c:pt idx="352">
                  <c:v>1.4006195721627535E-3</c:v>
                </c:pt>
                <c:pt idx="353">
                  <c:v>1.3995038441461105E-3</c:v>
                </c:pt>
                <c:pt idx="354">
                  <c:v>1.3983071522272184E-3</c:v>
                </c:pt>
                <c:pt idx="355">
                  <c:v>1.3976764851886259E-3</c:v>
                </c:pt>
                <c:pt idx="356">
                  <c:v>1.3970247932881819E-3</c:v>
                </c:pt>
                <c:pt idx="357">
                  <c:v>1.3963520765258863E-3</c:v>
                </c:pt>
                <c:pt idx="358">
                  <c:v>1.3949419654579742E-3</c:v>
                </c:pt>
                <c:pt idx="359">
                  <c:v>1.3934509613378054E-3</c:v>
                </c:pt>
                <c:pt idx="360">
                  <c:v>1.3926731204261245E-3</c:v>
                </c:pt>
                <c:pt idx="361">
                  <c:v>1.391874254652592E-3</c:v>
                </c:pt>
                <c:pt idx="362">
                  <c:v>1.3910573380382374E-3</c:v>
                </c:pt>
                <c:pt idx="363">
                  <c:v>1.3894123153335158E-3</c:v>
                </c:pt>
                <c:pt idx="364">
                  <c:v>1.3877459639832779E-3</c:v>
                </c:pt>
                <c:pt idx="365">
                  <c:v>1.3869101675112461E-3</c:v>
                </c:pt>
                <c:pt idx="366">
                  <c:v>1.3860711899038591E-3</c:v>
                </c:pt>
                <c:pt idx="367">
                  <c:v>1.385229031081181E-3</c:v>
                </c:pt>
                <c:pt idx="368">
                  <c:v>1.3835394267314172E-3</c:v>
                </c:pt>
                <c:pt idx="369">
                  <c:v>1.3818285841171729E-3</c:v>
                </c:pt>
                <c:pt idx="370">
                  <c:v>1.3805425436030916E-3</c:v>
                </c:pt>
                <c:pt idx="371">
                  <c:v>1.3775138095635242E-3</c:v>
                </c:pt>
                <c:pt idx="372">
                  <c:v>1.3748749937736449E-3</c:v>
                </c:pt>
                <c:pt idx="373">
                  <c:v>1.372222187718819E-3</c:v>
                </c:pt>
                <c:pt idx="374">
                  <c:v>1.3695261915724899E-3</c:v>
                </c:pt>
                <c:pt idx="375">
                  <c:v>1.3686235904586397E-3</c:v>
                </c:pt>
                <c:pt idx="376">
                  <c:v>1.3677178080495622E-3</c:v>
                </c:pt>
                <c:pt idx="377">
                  <c:v>1.3668088445850657E-3</c:v>
                </c:pt>
                <c:pt idx="378">
                  <c:v>1.3645282880014875E-3</c:v>
                </c:pt>
                <c:pt idx="379">
                  <c:v>1.3622163095128315E-3</c:v>
                </c:pt>
                <c:pt idx="380">
                  <c:v>1.3612882589164599E-3</c:v>
                </c:pt>
                <c:pt idx="381">
                  <c:v>1.3603570272646692E-3</c:v>
                </c:pt>
                <c:pt idx="382">
                  <c:v>1.3584890861828569E-3</c:v>
                </c:pt>
                <c:pt idx="383">
                  <c:v>1.3566002885845307E-3</c:v>
                </c:pt>
                <c:pt idx="384">
                  <c:v>1.3556531510161562E-3</c:v>
                </c:pt>
                <c:pt idx="385">
                  <c:v>1.3547028321525545E-3</c:v>
                </c:pt>
                <c:pt idx="386">
                  <c:v>1.3537493322335337E-3</c:v>
                </c:pt>
                <c:pt idx="387">
                  <c:v>1.3518368046838702E-3</c:v>
                </c:pt>
                <c:pt idx="388">
                  <c:v>1.3499035206443466E-3</c:v>
                </c:pt>
                <c:pt idx="389">
                  <c:v>1.348934114888678E-3</c:v>
                </c:pt>
                <c:pt idx="390">
                  <c:v>1.3479615278377821E-3</c:v>
                </c:pt>
                <c:pt idx="391">
                  <c:v>1.3469857597314672E-3</c:v>
                </c:pt>
                <c:pt idx="392">
                  <c:v>1.3450286446747839E-3</c:v>
                </c:pt>
                <c:pt idx="393">
                  <c:v>1.3430508752332315E-3</c:v>
                </c:pt>
                <c:pt idx="394">
                  <c:v>1.3420592012103327E-3</c:v>
                </c:pt>
                <c:pt idx="395">
                  <c:v>1.3410643459721427E-3</c:v>
                </c:pt>
                <c:pt idx="396">
                  <c:v>1.3400663095186616E-3</c:v>
                </c:pt>
                <c:pt idx="397">
                  <c:v>1.3380646061555979E-3</c:v>
                </c:pt>
                <c:pt idx="398">
                  <c:v>1.3360423521913134E-3</c:v>
                </c:pt>
                <c:pt idx="399">
                  <c:v>1.3350284099011844E-3</c:v>
                </c:pt>
                <c:pt idx="400">
                  <c:v>1.3335036038997217E-3</c:v>
                </c:pt>
                <c:pt idx="401">
                  <c:v>1.3309446892328936E-3</c:v>
                </c:pt>
                <c:pt idx="402">
                  <c:v>1.3288779515985283E-3</c:v>
                </c:pt>
                <c:pt idx="403">
                  <c:v>1.3278417411211052E-3</c:v>
                </c:pt>
                <c:pt idx="404">
                  <c:v>1.3268023494283909E-3</c:v>
                </c:pt>
                <c:pt idx="405">
                  <c:v>1.3257597766003215E-3</c:v>
                </c:pt>
                <c:pt idx="406">
                  <c:v>1.3236688938800256E-3</c:v>
                </c:pt>
                <c:pt idx="407">
                  <c:v>1.3215576734548762E-3</c:v>
                </c:pt>
                <c:pt idx="408">
                  <c:v>1.320499194790159E-3</c:v>
                </c:pt>
                <c:pt idx="409">
                  <c:v>1.3194375348302145E-3</c:v>
                </c:pt>
                <c:pt idx="410">
                  <c:v>1.3183726937349149E-3</c:v>
                </c:pt>
                <c:pt idx="411">
                  <c:v>1.3162372201236394E-3</c:v>
                </c:pt>
                <c:pt idx="412">
                  <c:v>1.3140815177603571E-3</c:v>
                </c:pt>
                <c:pt idx="413">
                  <c:v>1.3130007708284097E-3</c:v>
                </c:pt>
                <c:pt idx="414">
                  <c:v>1.3119168426811711E-3</c:v>
                </c:pt>
                <c:pt idx="415">
                  <c:v>1.3108297333985774E-3</c:v>
                </c:pt>
                <c:pt idx="416">
                  <c:v>1.3086496680170256E-3</c:v>
                </c:pt>
                <c:pt idx="417">
                  <c:v>1.306449484514971E-3</c:v>
                </c:pt>
                <c:pt idx="418">
                  <c:v>1.3053464693957295E-3</c:v>
                </c:pt>
                <c:pt idx="419">
                  <c:v>1.3042402729812608E-3</c:v>
                </c:pt>
                <c:pt idx="420">
                  <c:v>1.3031342841607341E-3</c:v>
                </c:pt>
                <c:pt idx="421">
                  <c:v>1.3009773994898666E-3</c:v>
                </c:pt>
                <c:pt idx="422">
                  <c:v>1.2988682807701935E-3</c:v>
                </c:pt>
                <c:pt idx="423">
                  <c:v>1.297844656544811E-3</c:v>
                </c:pt>
                <c:pt idx="424">
                  <c:v>1.296838183000304E-3</c:v>
                </c:pt>
                <c:pt idx="425">
                  <c:v>1.2958488601366724E-3</c:v>
                </c:pt>
                <c:pt idx="426">
                  <c:v>1.2934682772858253E-3</c:v>
                </c:pt>
                <c:pt idx="427">
                  <c:v>1.291159505711903E-3</c:v>
                </c:pt>
                <c:pt idx="428">
                  <c:v>1.2902730867736523E-3</c:v>
                </c:pt>
                <c:pt idx="429">
                  <c:v>1.287743097211802E-3</c:v>
                </c:pt>
                <c:pt idx="430">
                  <c:v>1.2853147371227891E-3</c:v>
                </c:pt>
                <c:pt idx="431">
                  <c:v>1.2845483728707308E-3</c:v>
                </c:pt>
                <c:pt idx="432">
                  <c:v>1.2837991592196119E-3</c:v>
                </c:pt>
                <c:pt idx="433">
                  <c:v>1.2823624686930657E-3</c:v>
                </c:pt>
                <c:pt idx="434">
                  <c:v>1.2809738111840829E-3</c:v>
                </c:pt>
                <c:pt idx="435">
                  <c:v>1.2803103508574054E-3</c:v>
                </c:pt>
                <c:pt idx="436">
                  <c:v>1.2796640412116034E-3</c:v>
                </c:pt>
                <c:pt idx="437">
                  <c:v>1.2790348821667408E-3</c:v>
                </c:pt>
                <c:pt idx="438">
                  <c:v>1.277838268718412E-3</c:v>
                </c:pt>
                <c:pt idx="439">
                  <c:v>1.2766897526361731E-3</c:v>
                </c:pt>
                <c:pt idx="440">
                  <c:v>1.2761463469157519E-3</c:v>
                </c:pt>
                <c:pt idx="441">
                  <c:v>1.2756200918762062E-3</c:v>
                </c:pt>
                <c:pt idx="442">
                  <c:v>1.2751109874375999E-3</c:v>
                </c:pt>
                <c:pt idx="443">
                  <c:v>1.2741544570360475E-3</c:v>
                </c:pt>
                <c:pt idx="444">
                  <c:v>1.2732460763320574E-3</c:v>
                </c:pt>
                <c:pt idx="445">
                  <c:v>1.2728227252178925E-3</c:v>
                </c:pt>
                <c:pt idx="446">
                  <c:v>1.272416524704667E-3</c:v>
                </c:pt>
                <c:pt idx="447">
                  <c:v>1.2720274749522531E-3</c:v>
                </c:pt>
                <c:pt idx="448">
                  <c:v>1.2713110336193267E-3</c:v>
                </c:pt>
                <c:pt idx="449">
                  <c:v>1.2706427821917998E-3</c:v>
                </c:pt>
                <c:pt idx="450">
                  <c:v>1.2703394856838912E-3</c:v>
                </c:pt>
                <c:pt idx="451">
                  <c:v>1.270053339776922E-3</c:v>
                </c:pt>
                <c:pt idx="452">
                  <c:v>1.2690386001745768E-3</c:v>
                </c:pt>
                <c:pt idx="453">
                  <c:v>1.2681453512364271E-3</c:v>
                </c:pt>
                <c:pt idx="454">
                  <c:v>1.2679573405627309E-3</c:v>
                </c:pt>
                <c:pt idx="455">
                  <c:v>1.2678941531873988E-3</c:v>
                </c:pt>
                <c:pt idx="456">
                  <c:v>1.2678481164929423E-3</c:v>
                </c:pt>
                <c:pt idx="457">
                  <c:v>1.2678192304793612E-3</c:v>
                </c:pt>
                <c:pt idx="458">
                  <c:v>1.2678230922169575E-3</c:v>
                </c:pt>
                <c:pt idx="459">
                  <c:v>1.2678751929939835E-3</c:v>
                </c:pt>
                <c:pt idx="460">
                  <c:v>1.2679320602249078E-3</c:v>
                </c:pt>
                <c:pt idx="461">
                  <c:v>1.2680060782166436E-3</c:v>
                </c:pt>
                <c:pt idx="462">
                  <c:v>1.2680972467293827E-3</c:v>
                </c:pt>
                <c:pt idx="463">
                  <c:v>1.2683412213032597E-3</c:v>
                </c:pt>
                <c:pt idx="464">
                  <c:v>1.2686334276690303E-3</c:v>
                </c:pt>
                <c:pt idx="465">
                  <c:v>1.2688103494262748E-3</c:v>
                </c:pt>
                <c:pt idx="466">
                  <c:v>1.2690044220242669E-3</c:v>
                </c:pt>
                <c:pt idx="467">
                  <c:v>1.2692156451432623E-3</c:v>
                </c:pt>
                <c:pt idx="468">
                  <c:v>1.2698361750107523E-3</c:v>
                </c:pt>
                <c:pt idx="469">
                  <c:v>1.2705290208714359E-3</c:v>
                </c:pt>
                <c:pt idx="470">
                  <c:v>1.2708431479957483E-3</c:v>
                </c:pt>
                <c:pt idx="471">
                  <c:v>1.2711744258009361E-3</c:v>
                </c:pt>
                <c:pt idx="472">
                  <c:v>1.2718986438464697E-3</c:v>
                </c:pt>
                <c:pt idx="473">
                  <c:v>1.272671043510698E-3</c:v>
                </c:pt>
                <c:pt idx="474">
                  <c:v>1.2730880744804551E-3</c:v>
                </c:pt>
                <c:pt idx="475">
                  <c:v>1.2735222562110238E-3</c:v>
                </c:pt>
                <c:pt idx="476">
                  <c:v>1.2739735886224679E-3</c:v>
                </c:pt>
                <c:pt idx="477">
                  <c:v>1.2749259737265817E-3</c:v>
                </c:pt>
                <c:pt idx="478">
                  <c:v>1.2759012412200121E-3</c:v>
                </c:pt>
                <c:pt idx="479">
                  <c:v>1.2764064239956241E-3</c:v>
                </c:pt>
                <c:pt idx="480">
                  <c:v>1.2769207819118833E-3</c:v>
                </c:pt>
                <c:pt idx="481">
                  <c:v>1.2774443146490455E-3</c:v>
                </c:pt>
                <c:pt idx="482">
                  <c:v>1.27852650400051E-3</c:v>
                </c:pt>
                <c:pt idx="483">
                  <c:v>1.2796301953255096E-3</c:v>
                </c:pt>
                <c:pt idx="484">
                  <c:v>1.2801996028866114E-3</c:v>
                </c:pt>
                <c:pt idx="485">
                  <c:v>1.2807781854284883E-3</c:v>
                </c:pt>
                <c:pt idx="486">
                  <c:v>1.2813659429511404E-3</c:v>
                </c:pt>
                <c:pt idx="487">
                  <c:v>1.2825766104374026E-3</c:v>
                </c:pt>
                <c:pt idx="488">
                  <c:v>1.2838087223698835E-3</c:v>
                </c:pt>
                <c:pt idx="489">
                  <c:v>1.2844423546365391E-3</c:v>
                </c:pt>
                <c:pt idx="490">
                  <c:v>1.2850851618839698E-3</c:v>
                </c:pt>
                <c:pt idx="491">
                  <c:v>1.2857371440322396E-3</c:v>
                </c:pt>
                <c:pt idx="492">
                  <c:v>1.2870762931438406E-3</c:v>
                </c:pt>
                <c:pt idx="493">
                  <c:v>1.2884368223531339E-3</c:v>
                </c:pt>
                <c:pt idx="494">
                  <c:v>1.2891346793253433E-3</c:v>
                </c:pt>
                <c:pt idx="495">
                  <c:v>1.2898417112783278E-3</c:v>
                </c:pt>
                <c:pt idx="496">
                  <c:v>1.2905579181321514E-3</c:v>
                </c:pt>
                <c:pt idx="497">
                  <c:v>1.2920255521198243E-3</c:v>
                </c:pt>
                <c:pt idx="498">
                  <c:v>1.2935144952752609E-3</c:v>
                </c:pt>
                <c:pt idx="499">
                  <c:v>1.294276576953024E-3</c:v>
                </c:pt>
                <c:pt idx="500">
                  <c:v>1.2950478336115623E-3</c:v>
                </c:pt>
                <c:pt idx="501">
                  <c:v>1.2958282652508757E-3</c:v>
                </c:pt>
                <c:pt idx="502">
                  <c:v>1.297832237159291E-3</c:v>
                </c:pt>
                <c:pt idx="503">
                  <c:v>1.2998680475995172E-3</c:v>
                </c:pt>
                <c:pt idx="504">
                  <c:v>1.3007035289636093E-3</c:v>
                </c:pt>
                <c:pt idx="505">
                  <c:v>1.3015481853084765E-3</c:v>
                </c:pt>
                <c:pt idx="506">
                  <c:v>1.3032727991735271E-3</c:v>
                </c:pt>
                <c:pt idx="507">
                  <c:v>1.3050185600960162E-3</c:v>
                </c:pt>
                <c:pt idx="508">
                  <c:v>1.305909091184887E-3</c:v>
                </c:pt>
                <c:pt idx="509">
                  <c:v>1.3068087972545328E-3</c:v>
                </c:pt>
                <c:pt idx="510">
                  <c:v>1.3077176783049538E-3</c:v>
                </c:pt>
                <c:pt idx="511">
                  <c:v>1.3095707873844731E-3</c:v>
                </c:pt>
                <c:pt idx="512">
                  <c:v>1.3114449519946447E-3</c:v>
                </c:pt>
                <c:pt idx="513">
                  <c:v>1.3123997078690053E-3</c:v>
                </c:pt>
                <c:pt idx="514">
                  <c:v>1.3133636386442049E-3</c:v>
                </c:pt>
                <c:pt idx="515">
                  <c:v>1.3143367444001797E-3</c:v>
                </c:pt>
                <c:pt idx="516">
                  <c:v>1.3163183521047728E-3</c:v>
                </c:pt>
                <c:pt idx="517">
                  <c:v>1.3183209169920218E-3</c:v>
                </c:pt>
                <c:pt idx="518">
                  <c:v>1.3256464550082114E-3</c:v>
                </c:pt>
                <c:pt idx="519">
                  <c:v>1.3334215661231497E-3</c:v>
                </c:pt>
                <c:pt idx="520">
                  <c:v>1.3428579051133482E-3</c:v>
                </c:pt>
                <c:pt idx="521">
                  <c:v>1.350320507729208E-3</c:v>
                </c:pt>
                <c:pt idx="522">
                  <c:v>1.3594443383002641E-3</c:v>
                </c:pt>
                <c:pt idx="523">
                  <c:v>1.3704220711030501E-3</c:v>
                </c:pt>
                <c:pt idx="524">
                  <c:v>1.3805092728969015E-3</c:v>
                </c:pt>
                <c:pt idx="525">
                  <c:v>1.3910460480293096E-3</c:v>
                </c:pt>
                <c:pt idx="526">
                  <c:v>1.4036385746507563E-3</c:v>
                </c:pt>
                <c:pt idx="527">
                  <c:v>1.4134683183097962E-3</c:v>
                </c:pt>
                <c:pt idx="528">
                  <c:v>1.4253538135378108E-3</c:v>
                </c:pt>
                <c:pt idx="529">
                  <c:v>1.4376888821843181E-3</c:v>
                </c:pt>
                <c:pt idx="530">
                  <c:v>1.4504735244091904E-3</c:v>
                </c:pt>
                <c:pt idx="531">
                  <c:v>1.4637077402124277E-3</c:v>
                </c:pt>
                <c:pt idx="532">
                  <c:v>1.4783903286774702E-3</c:v>
                </c:pt>
                <c:pt idx="533">
                  <c:v>1.4915248926339331E-3</c:v>
                </c:pt>
                <c:pt idx="534">
                  <c:v>1.5061078294120733E-3</c:v>
                </c:pt>
                <c:pt idx="535">
                  <c:v>1.5211403399284507E-3</c:v>
                </c:pt>
                <c:pt idx="536">
                  <c:v>1.5366224242630011E-3</c:v>
                </c:pt>
                <c:pt idx="537">
                  <c:v>1.5642318559958568E-3</c:v>
                </c:pt>
                <c:pt idx="538">
                  <c:v>1.5797196416378334E-3</c:v>
                </c:pt>
                <c:pt idx="539">
                  <c:v>1.5955957042823599E-3</c:v>
                </c:pt>
                <c:pt idx="540">
                  <c:v>1.6131331403457239E-3</c:v>
                </c:pt>
                <c:pt idx="541">
                  <c:v>1.6311201563556921E-3</c:v>
                </c:pt>
                <c:pt idx="542">
                  <c:v>1.6495567525254273E-3</c:v>
                </c:pt>
                <c:pt idx="543">
                  <c:v>1.6684429290414471E-3</c:v>
                </c:pt>
                <c:pt idx="544">
                  <c:v>1.6877786861435595E-3</c:v>
                </c:pt>
                <c:pt idx="545">
                  <c:v>1.7075640240182821E-3</c:v>
                </c:pt>
                <c:pt idx="546">
                  <c:v>1.7277989429320684E-3</c:v>
                </c:pt>
                <c:pt idx="547">
                  <c:v>1.7484834430714358E-3</c:v>
                </c:pt>
                <c:pt idx="548">
                  <c:v>1.7711513382523414E-3</c:v>
                </c:pt>
                <c:pt idx="549">
                  <c:v>1.791201188012792E-3</c:v>
                </c:pt>
                <c:pt idx="550">
                  <c:v>1.8132344332943973E-3</c:v>
                </c:pt>
                <c:pt idx="551">
                  <c:v>1.8357172607874617E-3</c:v>
                </c:pt>
                <c:pt idx="552">
                  <c:v>1.8686027162395646E-3</c:v>
                </c:pt>
                <c:pt idx="553">
                  <c:v>1.8820316633405554E-3</c:v>
                </c:pt>
                <c:pt idx="554">
                  <c:v>1.9075904278387235E-3</c:v>
                </c:pt>
                <c:pt idx="555">
                  <c:v>1.9442076413600518E-3</c:v>
                </c:pt>
                <c:pt idx="556">
                  <c:v>1.9691950170486194E-3</c:v>
                </c:pt>
                <c:pt idx="557">
                  <c:v>1.9946319682340174E-3</c:v>
                </c:pt>
                <c:pt idx="558">
                  <c:v>2.0242532704450866E-3</c:v>
                </c:pt>
                <c:pt idx="559">
                  <c:v>2.0506535980491236E-3</c:v>
                </c:pt>
                <c:pt idx="560">
                  <c:v>2.0774308977067335E-3</c:v>
                </c:pt>
                <c:pt idx="561">
                  <c:v>2.1041534709009824E-3</c:v>
                </c:pt>
                <c:pt idx="562">
                  <c:v>2.1307487138688685E-3</c:v>
                </c:pt>
                <c:pt idx="563">
                  <c:v>2.157216626530456E-3</c:v>
                </c:pt>
                <c:pt idx="564">
                  <c:v>2.1835572088857447E-3</c:v>
                </c:pt>
                <c:pt idx="565">
                  <c:v>2.2097704609347346E-3</c:v>
                </c:pt>
                <c:pt idx="566">
                  <c:v>2.2358563825974898E-3</c:v>
                </c:pt>
                <c:pt idx="567">
                  <c:v>2.2618149738740101E-3</c:v>
                </c:pt>
                <c:pt idx="568">
                  <c:v>2.2876462346843596E-3</c:v>
                </c:pt>
                <c:pt idx="569">
                  <c:v>2.3133501651084742E-3</c:v>
                </c:pt>
                <c:pt idx="570">
                  <c:v>2.338926764986482E-3</c:v>
                </c:pt>
                <c:pt idx="571">
                  <c:v>2.3643760343983189E-3</c:v>
                </c:pt>
                <c:pt idx="572">
                  <c:v>2.3896979733439849E-3</c:v>
                </c:pt>
                <c:pt idx="573">
                  <c:v>2.414892581663608E-3</c:v>
                </c:pt>
                <c:pt idx="574">
                  <c:v>2.4399598593571881E-3</c:v>
                </c:pt>
                <c:pt idx="575">
                  <c:v>2.4648998065046612E-3</c:v>
                </c:pt>
                <c:pt idx="576">
                  <c:v>2.4897124229461554E-3</c:v>
                </c:pt>
                <c:pt idx="577">
                  <c:v>2.5143977087616065E-3</c:v>
                </c:pt>
                <c:pt idx="578">
                  <c:v>2.5389556638710786E-3</c:v>
                </c:pt>
                <c:pt idx="579">
                  <c:v>2.5633862883545078E-3</c:v>
                </c:pt>
                <c:pt idx="580">
                  <c:v>2.5929072532471231E-3</c:v>
                </c:pt>
                <c:pt idx="581">
                  <c:v>2.6118655449636208E-3</c:v>
                </c:pt>
                <c:pt idx="582">
                  <c:v>2.6359141770093686E-3</c:v>
                </c:pt>
                <c:pt idx="583">
                  <c:v>2.6666656351626017E-3</c:v>
                </c:pt>
                <c:pt idx="584">
                  <c:v>2.6836294487431189E-3</c:v>
                </c:pt>
                <c:pt idx="585">
                  <c:v>2.7072960883511854E-3</c:v>
                </c:pt>
                <c:pt idx="586">
                  <c:v>2.7308353970134647E-3</c:v>
                </c:pt>
                <c:pt idx="587">
                  <c:v>2.7542473748098928E-3</c:v>
                </c:pt>
                <c:pt idx="588">
                  <c:v>2.7891768290588814E-3</c:v>
                </c:pt>
                <c:pt idx="589">
                  <c:v>2.8171523195830162E-3</c:v>
                </c:pt>
                <c:pt idx="590">
                  <c:v>2.8368221446317676E-3</c:v>
                </c:pt>
                <c:pt idx="591">
                  <c:v>2.8596520378876278E-3</c:v>
                </c:pt>
                <c:pt idx="592">
                  <c:v>2.8823546000378286E-3</c:v>
                </c:pt>
                <c:pt idx="593">
                  <c:v>2.9049298311623062E-3</c:v>
                </c:pt>
                <c:pt idx="594">
                  <c:v>2.9305741796470386E-3</c:v>
                </c:pt>
                <c:pt idx="595">
                  <c:v>2.9496983000143473E-3</c:v>
                </c:pt>
                <c:pt idx="596">
                  <c:v>2.9718915376619748E-3</c:v>
                </c:pt>
                <c:pt idx="597">
                  <c:v>2.9939574442039429E-3</c:v>
                </c:pt>
                <c:pt idx="598">
                  <c:v>3.0158960196402518E-3</c:v>
                </c:pt>
                <c:pt idx="599">
                  <c:v>3.0377072637310931E-3</c:v>
                </c:pt>
                <c:pt idx="600">
                  <c:v>3.0593911766363391E-3</c:v>
                </c:pt>
                <c:pt idx="601">
                  <c:v>3.087083394115453E-3</c:v>
                </c:pt>
                <c:pt idx="602">
                  <c:v>3.1023770084903646E-3</c:v>
                </c:pt>
                <c:pt idx="603">
                  <c:v>3.1236789275190802E-3</c:v>
                </c:pt>
                <c:pt idx="604">
                  <c:v>3.1448535152023283E-3</c:v>
                </c:pt>
                <c:pt idx="605">
                  <c:v>3.1688971279830724E-3</c:v>
                </c:pt>
                <c:pt idx="606">
                  <c:v>3.19574739950923E-3</c:v>
                </c:pt>
                <c:pt idx="607">
                  <c:v>3.2164854224081552E-3</c:v>
                </c:pt>
                <c:pt idx="608">
                  <c:v>3.2370961138816767E-3</c:v>
                </c:pt>
                <c:pt idx="609">
                  <c:v>3.2575794738498587E-3</c:v>
                </c:pt>
                <c:pt idx="610">
                  <c:v>3.2779355024725731E-3</c:v>
                </c:pt>
                <c:pt idx="611">
                  <c:v>3.298256034849345E-3</c:v>
                </c:pt>
                <c:pt idx="612">
                  <c:v>3.3190871190669213E-3</c:v>
                </c:pt>
                <c:pt idx="613">
                  <c:v>3.3405205907843794E-3</c:v>
                </c:pt>
                <c:pt idx="614">
                  <c:v>3.362556449921783E-3</c:v>
                </c:pt>
                <c:pt idx="615">
                  <c:v>3.3851946966390045E-3</c:v>
                </c:pt>
                <c:pt idx="616">
                  <c:v>3.4084353310159798E-3</c:v>
                </c:pt>
                <c:pt idx="617">
                  <c:v>3.4322783532925172E-3</c:v>
                </c:pt>
                <c:pt idx="618">
                  <c:v>3.4567237634686165E-3</c:v>
                </c:pt>
                <c:pt idx="619">
                  <c:v>3.481771561624214E-3</c:v>
                </c:pt>
                <c:pt idx="620">
                  <c:v>3.5074217480790537E-3</c:v>
                </c:pt>
                <c:pt idx="621">
                  <c:v>3.5336743227531997E-3</c:v>
                </c:pt>
                <c:pt idx="622">
                  <c:v>3.5605292858864601E-3</c:v>
                </c:pt>
                <c:pt idx="623">
                  <c:v>3.5879866376387071E-3</c:v>
                </c:pt>
                <c:pt idx="624">
                  <c:v>3.6160463780898766E-3</c:v>
                </c:pt>
                <c:pt idx="625">
                  <c:v>3.6447085073998409E-3</c:v>
                </c:pt>
                <c:pt idx="626">
                  <c:v>3.6739730256485359E-3</c:v>
                </c:pt>
                <c:pt idx="627">
                  <c:v>3.7038399330757699E-3</c:v>
                </c:pt>
                <c:pt idx="628">
                  <c:v>3.7343092298414149E-3</c:v>
                </c:pt>
                <c:pt idx="629">
                  <c:v>3.765380916025407E-3</c:v>
                </c:pt>
                <c:pt idx="630">
                  <c:v>3.7970549917876184E-3</c:v>
                </c:pt>
                <c:pt idx="631">
                  <c:v>3.8293314573678572E-3</c:v>
                </c:pt>
                <c:pt idx="632">
                  <c:v>3.8622103128460594E-3</c:v>
                </c:pt>
                <c:pt idx="633">
                  <c:v>3.8956915583820972E-3</c:v>
                </c:pt>
                <c:pt idx="634">
                  <c:v>3.9372294753081682E-3</c:v>
                </c:pt>
                <c:pt idx="635">
                  <c:v>3.9644612205069762E-3</c:v>
                </c:pt>
                <c:pt idx="636">
                  <c:v>3.9997496373356256E-3</c:v>
                </c:pt>
                <c:pt idx="637">
                  <c:v>4.0356404449415351E-3</c:v>
                </c:pt>
                <c:pt idx="638">
                  <c:v>4.0721336436444489E-3</c:v>
                </c:pt>
                <c:pt idx="639">
                  <c:v>4.1578608281422902E-3</c:v>
                </c:pt>
                <c:pt idx="640">
                  <c:v>4.174223154889134E-3</c:v>
                </c:pt>
                <c:pt idx="641">
                  <c:v>4.2185359324964367E-3</c:v>
                </c:pt>
                <c:pt idx="642">
                  <c:v>4.2522868515160184E-3</c:v>
                </c:pt>
                <c:pt idx="643">
                  <c:v>4.292222287753944E-3</c:v>
                </c:pt>
                <c:pt idx="644">
                  <c:v>4.3327601162879148E-3</c:v>
                </c:pt>
                <c:pt idx="645">
                  <c:v>4.3798266866090785E-3</c:v>
                </c:pt>
                <c:pt idx="646">
                  <c:v>4.4156429509634165E-3</c:v>
                </c:pt>
                <c:pt idx="647">
                  <c:v>4.4579879574246917E-3</c:v>
                </c:pt>
                <c:pt idx="648">
                  <c:v>4.5009353570613087E-3</c:v>
                </c:pt>
                <c:pt idx="649">
                  <c:v>4.5444851498732675E-3</c:v>
                </c:pt>
                <c:pt idx="650">
                  <c:v>4.5886373363401844E-3</c:v>
                </c:pt>
                <c:pt idx="651">
                  <c:v>4.6333919164620596E-3</c:v>
                </c:pt>
                <c:pt idx="652">
                  <c:v>4.6787488905586372E-3</c:v>
                </c:pt>
                <c:pt idx="653">
                  <c:v>4.7247082588697253E-3</c:v>
                </c:pt>
                <c:pt idx="654">
                  <c:v>4.7712700215551962E-3</c:v>
                </c:pt>
                <c:pt idx="655">
                  <c:v>4.8320202964458048E-3</c:v>
                </c:pt>
                <c:pt idx="656">
                  <c:v>4.8939117128536935E-3</c:v>
                </c:pt>
                <c:pt idx="657">
                  <c:v>4.9285000218546315E-3</c:v>
                </c:pt>
                <c:pt idx="658">
                  <c:v>4.9776434776394041E-3</c:v>
                </c:pt>
                <c:pt idx="659">
                  <c:v>5.0273893290775362E-3</c:v>
                </c:pt>
                <c:pt idx="660">
                  <c:v>5.0777375765687083E-3</c:v>
                </c:pt>
                <c:pt idx="661">
                  <c:v>5.1286882200329842E-3</c:v>
                </c:pt>
                <c:pt idx="662">
                  <c:v>5.1801209484292343E-3</c:v>
                </c:pt>
                <c:pt idx="663">
                  <c:v>5.2313203947118581E-3</c:v>
                </c:pt>
                <c:pt idx="664">
                  <c:v>5.2821662469604291E-3</c:v>
                </c:pt>
                <c:pt idx="665">
                  <c:v>5.3326585053348197E-3</c:v>
                </c:pt>
                <c:pt idx="666">
                  <c:v>5.3827971692754772E-3</c:v>
                </c:pt>
                <c:pt idx="667">
                  <c:v>5.432582238942274E-3</c:v>
                </c:pt>
                <c:pt idx="668">
                  <c:v>5.4820137141753378E-3</c:v>
                </c:pt>
                <c:pt idx="669">
                  <c:v>5.5310915946549244E-3</c:v>
                </c:pt>
                <c:pt idx="670">
                  <c:v>5.5798158803810338E-3</c:v>
                </c:pt>
                <c:pt idx="671">
                  <c:v>5.6281865711138579E-3</c:v>
                </c:pt>
                <c:pt idx="672">
                  <c:v>5.6762036667734606E-3</c:v>
                </c:pt>
                <c:pt idx="673">
                  <c:v>5.7238671671999697E-3</c:v>
                </c:pt>
                <c:pt idx="674">
                  <c:v>5.7711770722335132E-3</c:v>
                </c:pt>
                <c:pt idx="675">
                  <c:v>5.818133381794155E-3</c:v>
                </c:pt>
                <c:pt idx="676">
                  <c:v>5.8647360956420869E-3</c:v>
                </c:pt>
                <c:pt idx="677">
                  <c:v>5.9109852137773089E-3</c:v>
                </c:pt>
                <c:pt idx="678">
                  <c:v>5.9568807359600129E-3</c:v>
                </c:pt>
                <c:pt idx="679">
                  <c:v>6.0024226620303267E-3</c:v>
                </c:pt>
                <c:pt idx="680">
                  <c:v>6.0476109919882504E-3</c:v>
                </c:pt>
                <c:pt idx="681">
                  <c:v>6.0924457255939757E-3</c:v>
                </c:pt>
                <c:pt idx="682">
                  <c:v>6.1369268627675666E-3</c:v>
                </c:pt>
                <c:pt idx="683">
                  <c:v>6.181054403349151E-3</c:v>
                </c:pt>
                <c:pt idx="684">
                  <c:v>6.2248283471788568E-3</c:v>
                </c:pt>
                <c:pt idx="685">
                  <c:v>6.2682486940968118E-3</c:v>
                </c:pt>
                <c:pt idx="686">
                  <c:v>6.3113154441829522E-3</c:v>
                </c:pt>
                <c:pt idx="687">
                  <c:v>6.3540285970375976E-3</c:v>
                </c:pt>
                <c:pt idx="688">
                  <c:v>6.3963881527406841E-3</c:v>
                </c:pt>
                <c:pt idx="689">
                  <c:v>6.4383941110524034E-3</c:v>
                </c:pt>
                <c:pt idx="690">
                  <c:v>6.5216852110580193E-3</c:v>
                </c:pt>
                <c:pt idx="691">
                  <c:v>6.5564627401659692E-3</c:v>
                </c:pt>
                <c:pt idx="692">
                  <c:v>6.6028819683072726E-3</c:v>
                </c:pt>
                <c:pt idx="693">
                  <c:v>6.6431199380634354E-3</c:v>
                </c:pt>
                <c:pt idx="694">
                  <c:v>6.6830043097088065E-3</c:v>
                </c:pt>
                <c:pt idx="695">
                  <c:v>6.7225350831634501E-3</c:v>
                </c:pt>
                <c:pt idx="696">
                  <c:v>6.7729658059612063E-3</c:v>
                </c:pt>
                <c:pt idx="697">
                  <c:v>6.8116898156667105E-3</c:v>
                </c:pt>
                <c:pt idx="698">
                  <c:v>6.8500602217191897E-3</c:v>
                </c:pt>
                <c:pt idx="699">
                  <c:v>6.8880770236923183E-3</c:v>
                </c:pt>
                <c:pt idx="700">
                  <c:v>6.9257402212929975E-3</c:v>
                </c:pt>
                <c:pt idx="701">
                  <c:v>6.9735120717151489E-3</c:v>
                </c:pt>
                <c:pt idx="702">
                  <c:v>7.0000058020713851E-3</c:v>
                </c:pt>
                <c:pt idx="703">
                  <c:v>7.0366081845563144E-3</c:v>
                </c:pt>
                <c:pt idx="704">
                  <c:v>7.088146748746027E-3</c:v>
                </c:pt>
                <c:pt idx="705">
                  <c:v>7.1087521321455682E-3</c:v>
                </c:pt>
                <c:pt idx="706">
                  <c:v>7.1442936965837589E-3</c:v>
                </c:pt>
                <c:pt idx="707">
                  <c:v>7.2042576501996081E-3</c:v>
                </c:pt>
                <c:pt idx="708">
                  <c:v>7.2240611691842815E-3</c:v>
                </c:pt>
                <c:pt idx="709">
                  <c:v>7.2584394991270784E-3</c:v>
                </c:pt>
                <c:pt idx="710">
                  <c:v>7.2972960394324105E-3</c:v>
                </c:pt>
                <c:pt idx="711">
                  <c:v>7.3261353590048373E-3</c:v>
                </c:pt>
                <c:pt idx="712">
                  <c:v>7.3594528889397992E-3</c:v>
                </c:pt>
                <c:pt idx="713">
                  <c:v>7.3925593147006197E-3</c:v>
                </c:pt>
                <c:pt idx="714">
                  <c:v>7.4257615512607344E-3</c:v>
                </c:pt>
                <c:pt idx="715">
                  <c:v>7.4590705598520657E-3</c:v>
                </c:pt>
                <c:pt idx="716">
                  <c:v>7.4924863403946773E-3</c:v>
                </c:pt>
                <c:pt idx="717">
                  <c:v>7.5260088930484415E-3</c:v>
                </c:pt>
                <c:pt idx="718">
                  <c:v>7.5644511231676148E-3</c:v>
                </c:pt>
                <c:pt idx="719">
                  <c:v>7.5933743146094912E-3</c:v>
                </c:pt>
                <c:pt idx="720">
                  <c:v>7.6272171835967129E-3</c:v>
                </c:pt>
                <c:pt idx="721">
                  <c:v>7.661166824695087E-3</c:v>
                </c:pt>
                <c:pt idx="722">
                  <c:v>7.6952232381444219E-3</c:v>
                </c:pt>
                <c:pt idx="723">
                  <c:v>7.7293864237049092E-3</c:v>
                </c:pt>
                <c:pt idx="724">
                  <c:v>7.7685608058430944E-3</c:v>
                </c:pt>
                <c:pt idx="725">
                  <c:v>7.7980331116389578E-3</c:v>
                </c:pt>
                <c:pt idx="726">
                  <c:v>7.8325166140924551E-3</c:v>
                </c:pt>
                <c:pt idx="727">
                  <c:v>7.877009435839355E-3</c:v>
                </c:pt>
                <c:pt idx="728">
                  <c:v>7.9018039361322678E-3</c:v>
                </c:pt>
                <c:pt idx="729">
                  <c:v>7.9366077557185832E-3</c:v>
                </c:pt>
                <c:pt idx="730">
                  <c:v>7.9765142913945652E-3</c:v>
                </c:pt>
                <c:pt idx="731">
                  <c:v>8.0065357123437764E-3</c:v>
                </c:pt>
                <c:pt idx="732">
                  <c:v>8.0416598494625902E-3</c:v>
                </c:pt>
                <c:pt idx="733">
                  <c:v>8.0795022729773791E-3</c:v>
                </c:pt>
                <c:pt idx="734">
                  <c:v>8.1122284411527801E-3</c:v>
                </c:pt>
                <c:pt idx="735">
                  <c:v>8.1476728959639644E-3</c:v>
                </c:pt>
                <c:pt idx="736">
                  <c:v>8.1883115862968481E-3</c:v>
                </c:pt>
                <c:pt idx="737">
                  <c:v>8.2188821234385756E-3</c:v>
                </c:pt>
                <c:pt idx="738">
                  <c:v>8.2546468962618746E-3</c:v>
                </c:pt>
                <c:pt idx="739">
                  <c:v>8.2905184417558786E-3</c:v>
                </c:pt>
                <c:pt idx="740">
                  <c:v>8.3264967600005235E-3</c:v>
                </c:pt>
                <c:pt idx="741">
                  <c:v>8.3836424684218258E-3</c:v>
                </c:pt>
                <c:pt idx="742">
                  <c:v>8.4091338588443421E-3</c:v>
                </c:pt>
                <c:pt idx="743">
                  <c:v>8.4506615959334397E-3</c:v>
                </c:pt>
                <c:pt idx="744">
                  <c:v>8.4871127653762812E-3</c:v>
                </c:pt>
                <c:pt idx="745">
                  <c:v>8.5236707078095719E-3</c:v>
                </c:pt>
                <c:pt idx="746">
                  <c:v>8.5603354232333118E-3</c:v>
                </c:pt>
                <c:pt idx="747">
                  <c:v>8.607839199745726E-3</c:v>
                </c:pt>
                <c:pt idx="748">
                  <c:v>8.6339851729722028E-3</c:v>
                </c:pt>
                <c:pt idx="749">
                  <c:v>8.6709702074472261E-3</c:v>
                </c:pt>
                <c:pt idx="750">
                  <c:v>8.7080620150725707E-3</c:v>
                </c:pt>
                <c:pt idx="751">
                  <c:v>8.7452605956883644E-3</c:v>
                </c:pt>
                <c:pt idx="752">
                  <c:v>8.7825659496143516E-3</c:v>
                </c:pt>
                <c:pt idx="753">
                  <c:v>8.8199780766906599E-3</c:v>
                </c:pt>
                <c:pt idx="754">
                  <c:v>8.8686753842690536E-3</c:v>
                </c:pt>
                <c:pt idx="755">
                  <c:v>8.8951226506139847E-3</c:v>
                </c:pt>
                <c:pt idx="756">
                  <c:v>8.9328550975409371E-3</c:v>
                </c:pt>
                <c:pt idx="757">
                  <c:v>8.9706943176981468E-3</c:v>
                </c:pt>
                <c:pt idx="758">
                  <c:v>9.028222507083683E-3</c:v>
                </c:pt>
                <c:pt idx="759">
                  <c:v>9.0684854556855043E-3</c:v>
                </c:pt>
                <c:pt idx="760">
                  <c:v>9.1067060094474073E-3</c:v>
                </c:pt>
                <c:pt idx="761">
                  <c:v>9.1450333368392478E-3</c:v>
                </c:pt>
                <c:pt idx="762">
                  <c:v>9.188966739674953E-3</c:v>
                </c:pt>
                <c:pt idx="763">
                  <c:v>9.2220083120331253E-3</c:v>
                </c:pt>
                <c:pt idx="764">
                  <c:v>9.2606303643094634E-3</c:v>
                </c:pt>
                <c:pt idx="765">
                  <c:v>9.2992437990790933E-3</c:v>
                </c:pt>
                <c:pt idx="766">
                  <c:v>9.3378406441591011E-3</c:v>
                </c:pt>
                <c:pt idx="767">
                  <c:v>9.3764208993096787E-3</c:v>
                </c:pt>
                <c:pt idx="768">
                  <c:v>9.4149845647706343E-3</c:v>
                </c:pt>
                <c:pt idx="769">
                  <c:v>9.4590370111813371E-3</c:v>
                </c:pt>
                <c:pt idx="770">
                  <c:v>9.492062126144063E-3</c:v>
                </c:pt>
                <c:pt idx="771">
                  <c:v>9.5305760220565361E-3</c:v>
                </c:pt>
                <c:pt idx="772">
                  <c:v>9.5690733281195151E-3</c:v>
                </c:pt>
                <c:pt idx="773">
                  <c:v>9.6075540444129359E-3</c:v>
                </c:pt>
                <c:pt idx="774">
                  <c:v>9.6460181708568626E-3</c:v>
                </c:pt>
                <c:pt idx="775">
                  <c:v>9.6899568582653473E-3</c:v>
                </c:pt>
                <c:pt idx="776">
                  <c:v>9.7228966540363615E-3</c:v>
                </c:pt>
                <c:pt idx="777">
                  <c:v>9.7613110108518697E-3</c:v>
                </c:pt>
                <c:pt idx="778">
                  <c:v>9.8051928187992132E-3</c:v>
                </c:pt>
                <c:pt idx="779">
                  <c:v>9.8435716258915562E-3</c:v>
                </c:pt>
                <c:pt idx="780">
                  <c:v>9.881933843134405E-3</c:v>
                </c:pt>
                <c:pt idx="781">
                  <c:v>9.9257560629073538E-3</c:v>
                </c:pt>
                <c:pt idx="782">
                  <c:v>9.9586085078318121E-3</c:v>
                </c:pt>
                <c:pt idx="783">
                  <c:v>9.9969209554462424E-3</c:v>
                </c:pt>
                <c:pt idx="784">
                  <c:v>1.0038091499380286E-2</c:v>
                </c:pt>
                <c:pt idx="785">
                  <c:v>1.007349608072694E-2</c:v>
                </c:pt>
                <c:pt idx="786">
                  <c:v>1.011175875855308E-2</c:v>
                </c:pt>
                <c:pt idx="787">
                  <c:v>1.0155467219004066E-2</c:v>
                </c:pt>
                <c:pt idx="788">
                  <c:v>1.0188234344417069E-2</c:v>
                </c:pt>
                <c:pt idx="789">
                  <c:v>1.0226447252454918E-2</c:v>
                </c:pt>
                <c:pt idx="790">
                  <c:v>1.0264643570563337E-2</c:v>
                </c:pt>
                <c:pt idx="791">
                  <c:v>1.0302823298662389E-2</c:v>
                </c:pt>
                <c:pt idx="792">
                  <c:v>1.0363382770771423E-2</c:v>
                </c:pt>
                <c:pt idx="793">
                  <c:v>1.0390028951841046E-2</c:v>
                </c:pt>
                <c:pt idx="794">
                  <c:v>1.042815417018339E-2</c:v>
                </c:pt>
                <c:pt idx="795">
                  <c:v>1.0466262798516368E-2</c:v>
                </c:pt>
                <c:pt idx="796">
                  <c:v>1.0504354836919916E-2</c:v>
                </c:pt>
                <c:pt idx="797">
                  <c:v>1.0542430285314097E-2</c:v>
                </c:pt>
                <c:pt idx="798">
                  <c:v>1.0589109416494491E-2</c:v>
                </c:pt>
                <c:pt idx="799">
                  <c:v>1.0618531412234233E-2</c:v>
                </c:pt>
                <c:pt idx="800">
                  <c:v>1.0656557090680252E-2</c:v>
                </c:pt>
                <c:pt idx="801">
                  <c:v>1.069456617919684E-2</c:v>
                </c:pt>
                <c:pt idx="802">
                  <c:v>1.0732558677704063E-2</c:v>
                </c:pt>
                <c:pt idx="803">
                  <c:v>1.0770534586201919E-2</c:v>
                </c:pt>
                <c:pt idx="804">
                  <c:v>1.0808493904530536E-2</c:v>
                </c:pt>
                <c:pt idx="805">
                  <c:v>1.0846436633089596E-2</c:v>
                </c:pt>
                <c:pt idx="806">
                  <c:v>1.0884362771479417E-2</c:v>
                </c:pt>
                <c:pt idx="807">
                  <c:v>1.0933764324231987E-2</c:v>
                </c:pt>
                <c:pt idx="808">
                  <c:v>1.096016527823096E-2</c:v>
                </c:pt>
                <c:pt idx="809">
                  <c:v>1.1018152814723514E-2</c:v>
                </c:pt>
                <c:pt idx="810">
                  <c:v>1.1062933966510258E-2</c:v>
                </c:pt>
                <c:pt idx="811">
                  <c:v>1.1100765304652427E-2</c:v>
                </c:pt>
                <c:pt idx="812">
                  <c:v>1.1138580052865166E-2</c:v>
                </c:pt>
                <c:pt idx="813">
                  <c:v>1.1181776593609527E-2</c:v>
                </c:pt>
                <c:pt idx="814">
                  <c:v>1.1214159779022737E-2</c:v>
                </c:pt>
                <c:pt idx="815">
                  <c:v>1.1251877108442443E-2</c:v>
                </c:pt>
                <c:pt idx="816">
                  <c:v>1.1289363038882172E-2</c:v>
                </c:pt>
                <c:pt idx="817">
                  <c:v>1.1326602729013757E-2</c:v>
                </c:pt>
                <c:pt idx="818">
                  <c:v>1.1363596178677327E-2</c:v>
                </c:pt>
                <c:pt idx="819">
                  <c:v>1.1400343387792944E-2</c:v>
                </c:pt>
                <c:pt idx="820">
                  <c:v>1.1442038679092548E-2</c:v>
                </c:pt>
                <c:pt idx="821">
                  <c:v>1.1473099084140514E-2</c:v>
                </c:pt>
                <c:pt idx="822">
                  <c:v>1.1509107571292532E-2</c:v>
                </c:pt>
                <c:pt idx="823">
                  <c:v>1.1544869817496917E-2</c:v>
                </c:pt>
                <c:pt idx="824">
                  <c:v>1.1580385822833605E-2</c:v>
                </c:pt>
                <c:pt idx="825">
                  <c:v>1.1615655587222662E-2</c:v>
                </c:pt>
                <c:pt idx="826">
                  <c:v>1.1655662369669528E-2</c:v>
                </c:pt>
                <c:pt idx="827">
                  <c:v>1.1685456392758198E-2</c:v>
                </c:pt>
                <c:pt idx="828">
                  <c:v>1.1719987433744805E-2</c:v>
                </c:pt>
                <c:pt idx="829">
                  <c:v>1.1759149960726134E-2</c:v>
                </c:pt>
                <c:pt idx="830">
                  <c:v>1.179315334179698E-2</c:v>
                </c:pt>
                <c:pt idx="831">
                  <c:v>1.1826910481440578E-2</c:v>
                </c:pt>
                <c:pt idx="832">
                  <c:v>1.1865188549435857E-2</c:v>
                </c:pt>
                <c:pt idx="833">
                  <c:v>1.1898418028684077E-2</c:v>
                </c:pt>
                <c:pt idx="834">
                  <c:v>1.1931401266345176E-2</c:v>
                </c:pt>
                <c:pt idx="835">
                  <c:v>1.197384302253468E-2</c:v>
                </c:pt>
                <c:pt idx="836">
                  <c:v>1.1996629016506333E-2</c:v>
                </c:pt>
                <c:pt idx="837">
                  <c:v>1.2028873528766582E-2</c:v>
                </c:pt>
                <c:pt idx="838">
                  <c:v>1.2070371941632629E-2</c:v>
                </c:pt>
                <c:pt idx="839">
                  <c:v>1.2092623827806293E-2</c:v>
                </c:pt>
                <c:pt idx="840">
                  <c:v>1.212412961426601E-2</c:v>
                </c:pt>
                <c:pt idx="841">
                  <c:v>1.2155389158658991E-2</c:v>
                </c:pt>
                <c:pt idx="842">
                  <c:v>1.2198444854694124E-2</c:v>
                </c:pt>
                <c:pt idx="843">
                  <c:v>1.2231106024156446E-2</c:v>
                </c:pt>
                <c:pt idx="844">
                  <c:v>1.2259153959131019E-2</c:v>
                </c:pt>
                <c:pt idx="845">
                  <c:v>1.228698722670174E-2</c:v>
                </c:pt>
                <c:pt idx="846">
                  <c:v>1.231694725212229E-2</c:v>
                </c:pt>
                <c:pt idx="847">
                  <c:v>1.2346661023112659E-2</c:v>
                </c:pt>
                <c:pt idx="848">
                  <c:v>1.2376128539566267E-2</c:v>
                </c:pt>
                <c:pt idx="849">
                  <c:v>1.2405349801243304E-2</c:v>
                </c:pt>
                <c:pt idx="850">
                  <c:v>1.2434324807983899E-2</c:v>
                </c:pt>
                <c:pt idx="851">
                  <c:v>1.2463053559628179E-2</c:v>
                </c:pt>
                <c:pt idx="852">
                  <c:v>1.2491536055989627E-2</c:v>
                </c:pt>
                <c:pt idx="853">
                  <c:v>1.2519772296881726E-2</c:v>
                </c:pt>
                <c:pt idx="854">
                  <c:v>1.2547762282117958E-2</c:v>
                </c:pt>
                <c:pt idx="855">
                  <c:v>1.2575506011565096E-2</c:v>
                </c:pt>
                <c:pt idx="856">
                  <c:v>1.2603003485009978E-2</c:v>
                </c:pt>
                <c:pt idx="857">
                  <c:v>1.2641416176970566E-2</c:v>
                </c:pt>
                <c:pt idx="858">
                  <c:v>1.2657259663306775E-2</c:v>
                </c:pt>
                <c:pt idx="859">
                  <c:v>1.2684018367785654E-2</c:v>
                </c:pt>
                <c:pt idx="860">
                  <c:v>1.2712638119733999E-2</c:v>
                </c:pt>
                <c:pt idx="861">
                  <c:v>1.2751245713555903E-2</c:v>
                </c:pt>
                <c:pt idx="862">
                  <c:v>1.2777123094194209E-2</c:v>
                </c:pt>
                <c:pt idx="863">
                  <c:v>1.2802754231406865E-2</c:v>
                </c:pt>
                <c:pt idx="864">
                  <c:v>1.2831745437082986E-2</c:v>
                </c:pt>
                <c:pt idx="865">
                  <c:v>1.2856848909663654E-2</c:v>
                </c:pt>
                <c:pt idx="866">
                  <c:v>1.2881772191981611E-2</c:v>
                </c:pt>
                <c:pt idx="867">
                  <c:v>1.2906908033789577E-2</c:v>
                </c:pt>
                <c:pt idx="868">
                  <c:v>1.2932322488410364E-2</c:v>
                </c:pt>
                <c:pt idx="869">
                  <c:v>1.295801555608378E-2</c:v>
                </c:pt>
                <c:pt idx="870">
                  <c:v>1.2983987236729888E-2</c:v>
                </c:pt>
                <c:pt idx="871">
                  <c:v>1.3010237530348689E-2</c:v>
                </c:pt>
                <c:pt idx="872">
                  <c:v>1.3036766437179992E-2</c:v>
                </c:pt>
                <c:pt idx="873">
                  <c:v>1.3063573957223795E-2</c:v>
                </c:pt>
                <c:pt idx="874">
                  <c:v>1.30906600904801E-2</c:v>
                </c:pt>
                <c:pt idx="875">
                  <c:v>1.3118024837028841E-2</c:v>
                </c:pt>
                <c:pt idx="876">
                  <c:v>1.3145668196949956E-2</c:v>
                </c:pt>
                <c:pt idx="877">
                  <c:v>1.3173590170323379E-2</c:v>
                </c:pt>
                <c:pt idx="878">
                  <c:v>1.3201790757149112E-2</c:v>
                </c:pt>
                <c:pt idx="879">
                  <c:v>1.3230269957587026E-2</c:v>
                </c:pt>
                <c:pt idx="880">
                  <c:v>1.3259027771637122E-2</c:v>
                </c:pt>
                <c:pt idx="881">
                  <c:v>1.3288064199459271E-2</c:v>
                </c:pt>
                <c:pt idx="882">
                  <c:v>1.3317379240973537E-2</c:v>
                </c:pt>
                <c:pt idx="883">
                  <c:v>1.3346972896339793E-2</c:v>
                </c:pt>
                <c:pt idx="884">
                  <c:v>1.3376845165637974E-2</c:v>
                </c:pt>
                <c:pt idx="885">
                  <c:v>1.3406996048868081E-2</c:v>
                </c:pt>
                <c:pt idx="886">
                  <c:v>1.3444739059984556E-2</c:v>
                </c:pt>
                <c:pt idx="887">
                  <c:v>1.3468133657603687E-2</c:v>
                </c:pt>
                <c:pt idx="888">
                  <c:v>1.3499120383189123E-2</c:v>
                </c:pt>
                <c:pt idx="889">
                  <c:v>1.3539880960262707E-2</c:v>
                </c:pt>
                <c:pt idx="890">
                  <c:v>1.3561929677194939E-2</c:v>
                </c:pt>
                <c:pt idx="891">
                  <c:v>1.3593752245855129E-2</c:v>
                </c:pt>
                <c:pt idx="892">
                  <c:v>1.362585342892686E-2</c:v>
                </c:pt>
                <c:pt idx="893">
                  <c:v>1.3658233226570005E-2</c:v>
                </c:pt>
                <c:pt idx="894">
                  <c:v>1.3708638482272661E-2</c:v>
                </c:pt>
                <c:pt idx="895">
                  <c:v>1.3747525694070006E-2</c:v>
                </c:pt>
                <c:pt idx="896">
                  <c:v>1.3776149766542289E-2</c:v>
                </c:pt>
                <c:pt idx="897">
                  <c:v>1.3809803231676909E-2</c:v>
                </c:pt>
                <c:pt idx="898">
                  <c:v>1.3843735311862559E-2</c:v>
                </c:pt>
                <c:pt idx="899">
                  <c:v>1.3877946006939368E-2</c:v>
                </c:pt>
                <c:pt idx="900">
                  <c:v>1.3917385105726154E-2</c:v>
                </c:pt>
                <c:pt idx="901">
                  <c:v>1.3947203242725692E-2</c:v>
                </c:pt>
                <c:pt idx="902">
                  <c:v>1.398224978359508E-2</c:v>
                </c:pt>
                <c:pt idx="903">
                  <c:v>1.4017574939755306E-2</c:v>
                </c:pt>
                <c:pt idx="904">
                  <c:v>1.4053178711446179E-2</c:v>
                </c:pt>
                <c:pt idx="905">
                  <c:v>1.4089061098667699E-2</c:v>
                </c:pt>
                <c:pt idx="906">
                  <c:v>1.4125222101499801E-2</c:v>
                </c:pt>
                <c:pt idx="907">
                  <c:v>1.4172124213933657E-2</c:v>
                </c:pt>
                <c:pt idx="908">
                  <c:v>1.4198379954315499E-2</c:v>
                </c:pt>
                <c:pt idx="909">
                  <c:v>1.4235376804538902E-2</c:v>
                </c:pt>
                <c:pt idx="910">
                  <c:v>1.4272652270692632E-2</c:v>
                </c:pt>
                <c:pt idx="911">
                  <c:v>1.431559396601223E-2</c:v>
                </c:pt>
                <c:pt idx="912">
                  <c:v>1.4358899568076566E-2</c:v>
                </c:pt>
                <c:pt idx="913">
                  <c:v>1.4386150365934824E-2</c:v>
                </c:pt>
                <c:pt idx="914">
                  <c:v>1.4424540296849031E-2</c:v>
                </c:pt>
                <c:pt idx="915">
                  <c:v>1.4468755666614541E-2</c:v>
                </c:pt>
                <c:pt idx="916">
                  <c:v>1.4502156008067146E-2</c:v>
                </c:pt>
                <c:pt idx="917">
                  <c:v>1.4541380930896963E-2</c:v>
                </c:pt>
                <c:pt idx="918">
                  <c:v>1.4580741262131269E-2</c:v>
                </c:pt>
                <c:pt idx="919">
                  <c:v>1.4620128094726681E-2</c:v>
                </c:pt>
                <c:pt idx="920">
                  <c:v>1.4659541428683198E-2</c:v>
                </c:pt>
                <c:pt idx="921">
                  <c:v>1.4698981264000821E-2</c:v>
                </c:pt>
                <c:pt idx="922">
                  <c:v>1.474408781233727E-2</c:v>
                </c:pt>
                <c:pt idx="923">
                  <c:v>1.4777940439039128E-2</c:v>
                </c:pt>
                <c:pt idx="924">
                  <c:v>1.4817459778679876E-2</c:v>
                </c:pt>
                <c:pt idx="925">
                  <c:v>1.4857005619841601E-2</c:v>
                </c:pt>
                <c:pt idx="926">
                  <c:v>1.4896577962364432E-2</c:v>
                </c:pt>
                <c:pt idx="927">
                  <c:v>1.4936176806328305E-2</c:v>
                </c:pt>
                <c:pt idx="928">
                  <c:v>1.4981465078820477E-2</c:v>
                </c:pt>
                <c:pt idx="929">
                  <c:v>1.5015453998739048E-2</c:v>
                </c:pt>
                <c:pt idx="930">
                  <c:v>1.5055132347105982E-2</c:v>
                </c:pt>
                <c:pt idx="931">
                  <c:v>1.510051148179592E-2</c:v>
                </c:pt>
                <c:pt idx="932">
                  <c:v>1.5140246619216313E-2</c:v>
                </c:pt>
                <c:pt idx="933">
                  <c:v>1.517432640133265E-2</c:v>
                </c:pt>
                <c:pt idx="934">
                  <c:v>1.5214110755783494E-2</c:v>
                </c:pt>
                <c:pt idx="935">
                  <c:v>1.5259611040283616E-2</c:v>
                </c:pt>
                <c:pt idx="936">
                  <c:v>1.5293758969248117E-2</c:v>
                </c:pt>
                <c:pt idx="937">
                  <c:v>1.5333622828261895E-2</c:v>
                </c:pt>
                <c:pt idx="938">
                  <c:v>1.537921397519959E-2</c:v>
                </c:pt>
                <c:pt idx="939">
                  <c:v>1.5413430051012256E-2</c:v>
                </c:pt>
                <c:pt idx="940">
                  <c:v>1.5453373414748839E-2</c:v>
                </c:pt>
                <c:pt idx="941">
                  <c:v>1.54933432800064E-2</c:v>
                </c:pt>
                <c:pt idx="942">
                  <c:v>1.553333964694481E-2</c:v>
                </c:pt>
                <c:pt idx="943">
                  <c:v>1.5573362515404199E-2</c:v>
                </c:pt>
                <c:pt idx="944">
                  <c:v>1.5613411885544437E-2</c:v>
                </c:pt>
                <c:pt idx="945">
                  <c:v>1.5665624704199743E-2</c:v>
                </c:pt>
                <c:pt idx="946">
                  <c:v>1.5733719005570634E-2</c:v>
                </c:pt>
                <c:pt idx="947">
                  <c:v>1.5745189266072046E-2</c:v>
                </c:pt>
                <c:pt idx="948">
                  <c:v>1.5791091942052304E-2</c:v>
                </c:pt>
                <c:pt idx="949">
                  <c:v>1.5831285178151688E-2</c:v>
                </c:pt>
                <c:pt idx="950">
                  <c:v>1.5871504915931922E-2</c:v>
                </c:pt>
                <c:pt idx="951">
                  <c:v>1.5911751155393006E-2</c:v>
                </c:pt>
                <c:pt idx="952">
                  <c:v>1.5964243325843341E-2</c:v>
                </c:pt>
                <c:pt idx="953">
                  <c:v>1.600455371982612E-2</c:v>
                </c:pt>
                <c:pt idx="954">
                  <c:v>1.604489062689396E-2</c:v>
                </c:pt>
                <c:pt idx="955">
                  <c:v>1.608525404710015E-2</c:v>
                </c:pt>
                <c:pt idx="956">
                  <c:v>1.6125643980444693E-2</c:v>
                </c:pt>
                <c:pt idx="957">
                  <c:v>1.6176885740479818E-2</c:v>
                </c:pt>
                <c:pt idx="958">
                  <c:v>1.6206503386628768E-2</c:v>
                </c:pt>
                <c:pt idx="959">
                  <c:v>1.6246972859548237E-2</c:v>
                </c:pt>
                <c:pt idx="960">
                  <c:v>1.6287468845739284E-2</c:v>
                </c:pt>
                <c:pt idx="961">
                  <c:v>1.6344623981217055E-2</c:v>
                </c:pt>
                <c:pt idx="962">
                  <c:v>1.6368540357936112E-2</c:v>
                </c:pt>
                <c:pt idx="963">
                  <c:v>1.641566337190703E-2</c:v>
                </c:pt>
                <c:pt idx="964">
                  <c:v>1.6449717923485707E-2</c:v>
                </c:pt>
                <c:pt idx="965">
                  <c:v>1.6490346476301099E-2</c:v>
                </c:pt>
                <c:pt idx="966">
                  <c:v>1.6534286317133606E-2</c:v>
                </c:pt>
                <c:pt idx="967">
                  <c:v>1.6571683122226233E-2</c:v>
                </c:pt>
                <c:pt idx="968">
                  <c:v>1.6612391215362621E-2</c:v>
                </c:pt>
                <c:pt idx="969">
                  <c:v>1.6653125822010395E-2</c:v>
                </c:pt>
                <c:pt idx="970">
                  <c:v>1.669388694214291E-2</c:v>
                </c:pt>
                <c:pt idx="971">
                  <c:v>1.6734674575840103E-2</c:v>
                </c:pt>
                <c:pt idx="972">
                  <c:v>1.6775488723128618E-2</c:v>
                </c:pt>
                <c:pt idx="973">
                  <c:v>1.6816329384008455E-2</c:v>
                </c:pt>
                <c:pt idx="974">
                  <c:v>1.6860511612830642E-2</c:v>
                </c:pt>
                <c:pt idx="975">
                  <c:v>1.6898090246648678E-2</c:v>
                </c:pt>
                <c:pt idx="976">
                  <c:v>1.6939010448515646E-2</c:v>
                </c:pt>
                <c:pt idx="977">
                  <c:v>1.6979957164027226E-2</c:v>
                </c:pt>
                <c:pt idx="978">
                  <c:v>1.7020930393316647E-2</c:v>
                </c:pt>
                <c:pt idx="979">
                  <c:v>1.7065264306510564E-2</c:v>
                </c:pt>
                <c:pt idx="980">
                  <c:v>1.7102956393202362E-2</c:v>
                </c:pt>
                <c:pt idx="981">
                  <c:v>1.7144009163851948E-2</c:v>
                </c:pt>
                <c:pt idx="982">
                  <c:v>1.7188434159087773E-2</c:v>
                </c:pt>
                <c:pt idx="983">
                  <c:v>1.7226194246724447E-2</c:v>
                </c:pt>
                <c:pt idx="984">
                  <c:v>1.7267326559000651E-2</c:v>
                </c:pt>
                <c:pt idx="985">
                  <c:v>1.7308485385187922E-2</c:v>
                </c:pt>
                <c:pt idx="986">
                  <c:v>1.7353031906999217E-2</c:v>
                </c:pt>
                <c:pt idx="987">
                  <c:v>1.7390882579455536E-2</c:v>
                </c:pt>
                <c:pt idx="988">
                  <c:v>1.7432120947589169E-2</c:v>
                </c:pt>
                <c:pt idx="989">
                  <c:v>1.7476758677528181E-2</c:v>
                </c:pt>
                <c:pt idx="990">
                  <c:v>1.7514677226015962E-2</c:v>
                </c:pt>
                <c:pt idx="991">
                  <c:v>1.7555995136309122E-2</c:v>
                </c:pt>
                <c:pt idx="992">
                  <c:v>1.7600724128812306E-2</c:v>
                </c:pt>
                <c:pt idx="993">
                  <c:v>1.763871049937471E-2</c:v>
                </c:pt>
                <c:pt idx="994">
                  <c:v>1.7680107952120494E-2</c:v>
                </c:pt>
                <c:pt idx="995">
                  <c:v>1.7721531919070443E-2</c:v>
                </c:pt>
                <c:pt idx="996">
                  <c:v>1.7762982400251204E-2</c:v>
                </c:pt>
                <c:pt idx="997">
                  <c:v>1.7838393343301284E-2</c:v>
                </c:pt>
                <c:pt idx="998">
                  <c:v>1.7868803977911796E-2</c:v>
                </c:pt>
                <c:pt idx="999">
                  <c:v>1.7916281622847308E-2</c:v>
                </c:pt>
                <c:pt idx="1000">
                  <c:v>1.7957852957382059E-2</c:v>
                </c:pt>
                <c:pt idx="1001">
                  <c:v>1.799945079399734E-2</c:v>
                </c:pt>
                <c:pt idx="1002">
                  <c:v>1.8041075132773088E-2</c:v>
                </c:pt>
                <c:pt idx="1003">
                  <c:v>1.8095540765203921E-2</c:v>
                </c:pt>
                <c:pt idx="1004">
                  <c:v>1.8124403316805981E-2</c:v>
                </c:pt>
                <c:pt idx="1005">
                  <c:v>1.8166107162063128E-2</c:v>
                </c:pt>
                <c:pt idx="1006">
                  <c:v>1.820783750948074E-2</c:v>
                </c:pt>
                <c:pt idx="1007">
                  <c:v>1.8249594359138754E-2</c:v>
                </c:pt>
                <c:pt idx="1008">
                  <c:v>1.8301730545646766E-2</c:v>
                </c:pt>
                <c:pt idx="1009">
                  <c:v>1.8333187564936182E-2</c:v>
                </c:pt>
                <c:pt idx="1010">
                  <c:v>1.838886089873526E-2</c:v>
                </c:pt>
                <c:pt idx="1011">
                  <c:v>1.8416886779615282E-2</c:v>
                </c:pt>
                <c:pt idx="1012">
                  <c:v>1.8458776140315436E-2</c:v>
                </c:pt>
                <c:pt idx="1013">
                  <c:v>1.8500692003176056E-2</c:v>
                </c:pt>
                <c:pt idx="1014">
                  <c:v>1.8566009552598572E-2</c:v>
                </c:pt>
                <c:pt idx="1015">
                  <c:v>1.8608597344877964E-2</c:v>
                </c:pt>
                <c:pt idx="1016">
                  <c:v>1.8650607858745616E-2</c:v>
                </c:pt>
                <c:pt idx="1017">
                  <c:v>1.8698652326349929E-2</c:v>
                </c:pt>
                <c:pt idx="1018">
                  <c:v>1.8734708393361998E-2</c:v>
                </c:pt>
                <c:pt idx="1019">
                  <c:v>1.8776798414110729E-2</c:v>
                </c:pt>
                <c:pt idx="1020">
                  <c:v>1.8818853020148296E-2</c:v>
                </c:pt>
                <c:pt idx="1021">
                  <c:v>1.8860738851911307E-2</c:v>
                </c:pt>
                <c:pt idx="1022">
                  <c:v>1.8902451146249888E-2</c:v>
                </c:pt>
                <c:pt idx="1023">
                  <c:v>1.8943989903243974E-2</c:v>
                </c:pt>
                <c:pt idx="1024">
                  <c:v>1.898535512281363E-2</c:v>
                </c:pt>
                <c:pt idx="1025">
                  <c:v>1.9032417164597248E-2</c:v>
                </c:pt>
                <c:pt idx="1026">
                  <c:v>1.9067564949439841E-2</c:v>
                </c:pt>
                <c:pt idx="1027">
                  <c:v>1.9108409556416461E-2</c:v>
                </c:pt>
                <c:pt idx="1028">
                  <c:v>1.9149080625648907E-2</c:v>
                </c:pt>
                <c:pt idx="1029">
                  <c:v>1.9189578157217113E-2</c:v>
                </c:pt>
                <c:pt idx="1030">
                  <c:v>1.9229902150961209E-2</c:v>
                </c:pt>
                <c:pt idx="1031">
                  <c:v>1.9275774219984498E-2</c:v>
                </c:pt>
                <c:pt idx="1032">
                  <c:v>1.9310029524897132E-2</c:v>
                </c:pt>
                <c:pt idx="1033">
                  <c:v>1.9349832904929087E-2</c:v>
                </c:pt>
                <c:pt idx="1034">
                  <c:v>1.94063938411837E-2</c:v>
                </c:pt>
                <c:pt idx="1035">
                  <c:v>1.9428919050961113E-2</c:v>
                </c:pt>
                <c:pt idx="1036">
                  <c:v>1.9468201816881248E-2</c:v>
                </c:pt>
                <c:pt idx="1037">
                  <c:v>1.9512883910586254E-2</c:v>
                </c:pt>
                <c:pt idx="1038">
                  <c:v>1.9546246733970207E-2</c:v>
                </c:pt>
                <c:pt idx="1039">
                  <c:v>1.9585008885059096E-2</c:v>
                </c:pt>
                <c:pt idx="1040">
                  <c:v>1.9626881735046453E-2</c:v>
                </c:pt>
                <c:pt idx="1041">
                  <c:v>1.9662012572165821E-2</c:v>
                </c:pt>
                <c:pt idx="1042">
                  <c:v>1.9700254108103721E-2</c:v>
                </c:pt>
                <c:pt idx="1043">
                  <c:v>1.9743746224412106E-2</c:v>
                </c:pt>
                <c:pt idx="1044">
                  <c:v>1.9776216564268978E-2</c:v>
                </c:pt>
                <c:pt idx="1045">
                  <c:v>1.98139374844164E-2</c:v>
                </c:pt>
                <c:pt idx="1046">
                  <c:v>1.9851484865860414E-2</c:v>
                </c:pt>
                <c:pt idx="1047">
                  <c:v>1.9888858708680957E-2</c:v>
                </c:pt>
                <c:pt idx="1048">
                  <c:v>1.9949445506595609E-2</c:v>
                </c:pt>
                <c:pt idx="1049">
                  <c:v>1.9973632978924627E-2</c:v>
                </c:pt>
                <c:pt idx="1050">
                  <c:v>2.001568011949395E-2</c:v>
                </c:pt>
                <c:pt idx="1051">
                  <c:v>2.0052285432834438E-2</c:v>
                </c:pt>
                <c:pt idx="1052">
                  <c:v>2.008871720723171E-2</c:v>
                </c:pt>
                <c:pt idx="1053">
                  <c:v>2.0124975442445958E-2</c:v>
                </c:pt>
                <c:pt idx="1054">
                  <c:v>2.0172467247894232E-2</c:v>
                </c:pt>
                <c:pt idx="1055">
                  <c:v>2.0196971295565191E-2</c:v>
                </c:pt>
                <c:pt idx="1056">
                  <c:v>2.0232708913310304E-2</c:v>
                </c:pt>
                <c:pt idx="1057">
                  <c:v>2.0268272991712522E-2</c:v>
                </c:pt>
                <c:pt idx="1058">
                  <c:v>2.0303663530771843E-2</c:v>
                </c:pt>
                <c:pt idx="1059">
                  <c:v>2.0338880530408332E-2</c:v>
                </c:pt>
                <c:pt idx="1060">
                  <c:v>2.0386209474612116E-2</c:v>
                </c:pt>
                <c:pt idx="1061">
                  <c:v>2.0408793911412815E-2</c:v>
                </c:pt>
                <c:pt idx="1062">
                  <c:v>2.0443490292620936E-2</c:v>
                </c:pt>
                <c:pt idx="1063">
                  <c:v>2.0478013134166417E-2</c:v>
                </c:pt>
                <c:pt idx="1064">
                  <c:v>2.0512362436129195E-2</c:v>
                </c:pt>
                <c:pt idx="1065">
                  <c:v>2.0566492587397178E-2</c:v>
                </c:pt>
                <c:pt idx="1066">
                  <c:v>2.0599892346488957E-2</c:v>
                </c:pt>
                <c:pt idx="1067">
                  <c:v>2.0633621863588303E-2</c:v>
                </c:pt>
                <c:pt idx="1068">
                  <c:v>2.0667177840865136E-2</c:v>
                </c:pt>
                <c:pt idx="1069">
                  <c:v>2.0705315031230853E-2</c:v>
                </c:pt>
                <c:pt idx="1070">
                  <c:v>2.073376917547165E-2</c:v>
                </c:pt>
                <c:pt idx="1071">
                  <c:v>2.0766804532801331E-2</c:v>
                </c:pt>
                <c:pt idx="1072">
                  <c:v>2.0799666350068691E-2</c:v>
                </c:pt>
                <c:pt idx="1073">
                  <c:v>2.0832354627193794E-2</c:v>
                </c:pt>
                <c:pt idx="1074">
                  <c:v>2.0864869364176641E-2</c:v>
                </c:pt>
                <c:pt idx="1075">
                  <c:v>2.0897210560937296E-2</c:v>
                </c:pt>
                <c:pt idx="1076">
                  <c:v>2.0933959430404769E-2</c:v>
                </c:pt>
                <c:pt idx="1077">
                  <c:v>2.0961372333792028E-2</c:v>
                </c:pt>
                <c:pt idx="1078">
                  <c:v>2.0993192909566361E-2</c:v>
                </c:pt>
                <c:pt idx="1079">
                  <c:v>2.1024839945038565E-2</c:v>
                </c:pt>
                <c:pt idx="1080">
                  <c:v>2.105631344020864E-2</c:v>
                </c:pt>
                <c:pt idx="1081">
                  <c:v>2.1087613394756843E-2</c:v>
                </c:pt>
                <c:pt idx="1082">
                  <c:v>2.112317227275895E-2</c:v>
                </c:pt>
                <c:pt idx="1083">
                  <c:v>2.1149692682307375E-2</c:v>
                </c:pt>
                <c:pt idx="1084">
                  <c:v>2.1180472015149832E-2</c:v>
                </c:pt>
                <c:pt idx="1085">
                  <c:v>2.121543589669983E-2</c:v>
                </c:pt>
                <c:pt idx="1086">
                  <c:v>2.1245843356769711E-2</c:v>
                </c:pt>
                <c:pt idx="1087">
                  <c:v>2.1276077275897975E-2</c:v>
                </c:pt>
                <c:pt idx="1088">
                  <c:v>2.131041782742038E-2</c:v>
                </c:pt>
                <c:pt idx="1089">
                  <c:v>2.1336024491809269E-2</c:v>
                </c:pt>
                <c:pt idx="1090">
                  <c:v>2.1365737788512362E-2</c:v>
                </c:pt>
                <c:pt idx="1091">
                  <c:v>2.1398016343341375E-2</c:v>
                </c:pt>
                <c:pt idx="1092">
                  <c:v>2.1424643759013762E-2</c:v>
                </c:pt>
                <c:pt idx="1093">
                  <c:v>2.1453836432732132E-2</c:v>
                </c:pt>
                <c:pt idx="1094">
                  <c:v>2.1486986989271983E-2</c:v>
                </c:pt>
                <c:pt idx="1095">
                  <c:v>2.1511701157104213E-2</c:v>
                </c:pt>
                <c:pt idx="1096">
                  <c:v>2.1540373207518115E-2</c:v>
                </c:pt>
                <c:pt idx="1097">
                  <c:v>2.1568871716830529E-2</c:v>
                </c:pt>
                <c:pt idx="1098">
                  <c:v>2.1597196684881581E-2</c:v>
                </c:pt>
                <c:pt idx="1099">
                  <c:v>2.1643955273706439E-2</c:v>
                </c:pt>
                <c:pt idx="1100">
                  <c:v>2.1661287803693696E-2</c:v>
                </c:pt>
                <c:pt idx="1101">
                  <c:v>2.1689042564663197E-2</c:v>
                </c:pt>
                <c:pt idx="1102">
                  <c:v>2.1716623784131528E-2</c:v>
                </c:pt>
                <c:pt idx="1103">
                  <c:v>2.174403146209869E-2</c:v>
                </c:pt>
                <c:pt idx="1104">
                  <c:v>2.1771265598724554E-2</c:v>
                </c:pt>
                <c:pt idx="1105">
                  <c:v>2.1806081092612395E-2</c:v>
                </c:pt>
                <c:pt idx="1106">
                  <c:v>2.1825213247312902E-2</c:v>
                </c:pt>
                <c:pt idx="1107">
                  <c:v>2.185192675919545E-2</c:v>
                </c:pt>
                <c:pt idx="1108">
                  <c:v>2.1878466729416957E-2</c:v>
                </c:pt>
                <c:pt idx="1109">
                  <c:v>2.1904833158057357E-2</c:v>
                </c:pt>
                <c:pt idx="1110">
                  <c:v>2.1931026044956781E-2</c:v>
                </c:pt>
                <c:pt idx="1111">
                  <c:v>2.1957045390115226E-2</c:v>
                </c:pt>
                <c:pt idx="1112">
                  <c:v>2.1982891193452758E-2</c:v>
                </c:pt>
                <c:pt idx="1113">
                  <c:v>2.2008563454969376E-2</c:v>
                </c:pt>
                <c:pt idx="1114">
                  <c:v>2.2044011268533836E-2</c:v>
                </c:pt>
                <c:pt idx="1115">
                  <c:v>2.2059387352459936E-2</c:v>
                </c:pt>
                <c:pt idx="1116">
                  <c:v>2.2084538988353941E-2</c:v>
                </c:pt>
                <c:pt idx="1117">
                  <c:v>2.2127252327619473E-2</c:v>
                </c:pt>
                <c:pt idx="1118">
                  <c:v>2.2134321634039722E-2</c:v>
                </c:pt>
                <c:pt idx="1119">
                  <c:v>2.2158952643831498E-2</c:v>
                </c:pt>
                <c:pt idx="1120">
                  <c:v>2.2183410111562551E-2</c:v>
                </c:pt>
                <c:pt idx="1121">
                  <c:v>2.220769403731282E-2</c:v>
                </c:pt>
                <c:pt idx="1122">
                  <c:v>2.2231804420762558E-2</c:v>
                </c:pt>
                <c:pt idx="1123">
                  <c:v>2.2255741262071638E-2</c:v>
                </c:pt>
                <c:pt idx="1124">
                  <c:v>2.2279504561160124E-2</c:v>
                </c:pt>
                <c:pt idx="1125">
                  <c:v>2.2303094318028016E-2</c:v>
                </c:pt>
                <c:pt idx="1126">
                  <c:v>2.2326510532595378E-2</c:v>
                </c:pt>
                <c:pt idx="1127">
                  <c:v>2.2349753204782274E-2</c:v>
                </c:pt>
                <c:pt idx="1128">
                  <c:v>2.2372822334748577E-2</c:v>
                </c:pt>
                <c:pt idx="1129">
                  <c:v>2.2395717922254477E-2</c:v>
                </c:pt>
                <c:pt idx="1130">
                  <c:v>2.2418439967299975E-2</c:v>
                </c:pt>
                <c:pt idx="1131">
                  <c:v>2.2440988469965006E-2</c:v>
                </c:pt>
                <c:pt idx="1132">
                  <c:v>2.24633634300897E-2</c:v>
                </c:pt>
                <c:pt idx="1133">
                  <c:v>2.2485564847753992E-2</c:v>
                </c:pt>
                <c:pt idx="1134">
                  <c:v>2.2507592722798009E-2</c:v>
                </c:pt>
                <c:pt idx="1135">
                  <c:v>2.2529447055301688E-2</c:v>
                </c:pt>
                <c:pt idx="1136">
                  <c:v>2.2551127845185093E-2</c:v>
                </c:pt>
                <c:pt idx="1137">
                  <c:v>2.2579342963626736E-2</c:v>
                </c:pt>
                <c:pt idx="1138">
                  <c:v>2.2593968797011144E-2</c:v>
                </c:pt>
                <c:pt idx="1139">
                  <c:v>2.2615128958793917E-2</c:v>
                </c:pt>
                <c:pt idx="1140">
                  <c:v>2.2636115577956417E-2</c:v>
                </c:pt>
                <c:pt idx="1141">
                  <c:v>2.265692865433877E-2</c:v>
                </c:pt>
                <c:pt idx="1142">
                  <c:v>2.2677568187861041E-2</c:v>
                </c:pt>
                <c:pt idx="1143">
                  <c:v>2.2704542541231998E-2</c:v>
                </c:pt>
                <c:pt idx="1144">
                  <c:v>2.2718326626485208E-2</c:v>
                </c:pt>
                <c:pt idx="1145">
                  <c:v>2.2738445531507168E-2</c:v>
                </c:pt>
                <c:pt idx="1146">
                  <c:v>2.2765495993697371E-2</c:v>
                </c:pt>
                <c:pt idx="1147">
                  <c:v>2.2778162712651095E-2</c:v>
                </c:pt>
                <c:pt idx="1148">
                  <c:v>2.2797760988773064E-2</c:v>
                </c:pt>
                <c:pt idx="1149">
                  <c:v>2.2817185721955013E-2</c:v>
                </c:pt>
                <c:pt idx="1150">
                  <c:v>2.2836436912117009E-2</c:v>
                </c:pt>
                <c:pt idx="1151">
                  <c:v>2.2868614053868086E-2</c:v>
                </c:pt>
                <c:pt idx="1152">
                  <c:v>2.2887815343706208E-2</c:v>
                </c:pt>
                <c:pt idx="1153">
                  <c:v>2.290377448435521E-2</c:v>
                </c:pt>
                <c:pt idx="1154">
                  <c:v>2.2922232334563475E-2</c:v>
                </c:pt>
                <c:pt idx="1155">
                  <c:v>2.2940516641671849E-2</c:v>
                </c:pt>
                <c:pt idx="1156">
                  <c:v>2.295862740552046E-2</c:v>
                </c:pt>
                <c:pt idx="1157">
                  <c:v>2.2979112919365718E-2</c:v>
                </c:pt>
                <c:pt idx="1158">
                  <c:v>2.2994328303358458E-2</c:v>
                </c:pt>
                <c:pt idx="1159">
                  <c:v>2.3011918437427781E-2</c:v>
                </c:pt>
                <c:pt idx="1160">
                  <c:v>2.3029335028157405E-2</c:v>
                </c:pt>
                <c:pt idx="1161">
                  <c:v>2.3046578075627266E-2</c:v>
                </c:pt>
                <c:pt idx="1162">
                  <c:v>2.3065598618368099E-2</c:v>
                </c:pt>
                <c:pt idx="1163">
                  <c:v>2.3080543540308085E-2</c:v>
                </c:pt>
                <c:pt idx="1164">
                  <c:v>2.3102011915705489E-2</c:v>
                </c:pt>
                <c:pt idx="1165">
                  <c:v>2.31138148313903E-2</c:v>
                </c:pt>
                <c:pt idx="1166">
                  <c:v>2.3130190161761988E-2</c:v>
                </c:pt>
                <c:pt idx="1167">
                  <c:v>2.3146391948634104E-2</c:v>
                </c:pt>
                <c:pt idx="1168">
                  <c:v>2.3164695774209321E-2</c:v>
                </c:pt>
                <c:pt idx="1169">
                  <c:v>2.3185016637601308E-2</c:v>
                </c:pt>
                <c:pt idx="1170">
                  <c:v>2.3200623418109245E-2</c:v>
                </c:pt>
                <c:pt idx="1171">
                  <c:v>2.3216056655037676E-2</c:v>
                </c:pt>
                <c:pt idx="1172">
                  <c:v>2.3231316348306663E-2</c:v>
                </c:pt>
                <c:pt idx="1173">
                  <c:v>2.3246402497916208E-2</c:v>
                </c:pt>
                <c:pt idx="1174">
                  <c:v>2.3261324959982232E-2</c:v>
                </c:pt>
                <c:pt idx="1175">
                  <c:v>2.3276142337627093E-2</c:v>
                </c:pt>
                <c:pt idx="1176">
                  <c:v>2.3290864487046647E-2</c:v>
                </c:pt>
                <c:pt idx="1177">
                  <c:v>2.3305491408081025E-2</c:v>
                </c:pt>
                <c:pt idx="1178">
                  <c:v>2.3320023100730225E-2</c:v>
                </c:pt>
                <c:pt idx="1179">
                  <c:v>2.3334459565074184E-2</c:v>
                </c:pt>
                <c:pt idx="1180">
                  <c:v>2.3348800801032965E-2</c:v>
                </c:pt>
                <c:pt idx="1181">
                  <c:v>2.3363046808686505E-2</c:v>
                </c:pt>
                <c:pt idx="1182">
                  <c:v>2.3377197587794996E-2</c:v>
                </c:pt>
                <c:pt idx="1183">
                  <c:v>2.3391253138598245E-2</c:v>
                </c:pt>
                <c:pt idx="1184">
                  <c:v>2.340521346093638E-2</c:v>
                </c:pt>
                <c:pt idx="1185">
                  <c:v>2.3419078554889339E-2</c:v>
                </c:pt>
                <c:pt idx="1186">
                  <c:v>2.3432848420297248E-2</c:v>
                </c:pt>
                <c:pt idx="1187">
                  <c:v>2.3446523057399915E-2</c:v>
                </c:pt>
                <c:pt idx="1188">
                  <c:v>2.3460102465957533E-2</c:v>
                </c:pt>
                <c:pt idx="1189">
                  <c:v>2.3473586646050038E-2</c:v>
                </c:pt>
                <c:pt idx="1190">
                  <c:v>2.3486975597677429E-2</c:v>
                </c:pt>
                <c:pt idx="1191">
                  <c:v>2.3500269320839706E-2</c:v>
                </c:pt>
                <c:pt idx="1192">
                  <c:v>2.3513467815456934E-2</c:v>
                </c:pt>
                <c:pt idx="1193">
                  <c:v>2.3526571081529113E-2</c:v>
                </c:pt>
                <c:pt idx="1194">
                  <c:v>2.3539579119136178E-2</c:v>
                </c:pt>
                <c:pt idx="1195">
                  <c:v>2.3552491928198194E-2</c:v>
                </c:pt>
                <c:pt idx="1196">
                  <c:v>2.356530950871516E-2</c:v>
                </c:pt>
                <c:pt idx="1197">
                  <c:v>2.3583061457326249E-2</c:v>
                </c:pt>
                <c:pt idx="1198">
                  <c:v>2.3590658984113944E-2</c:v>
                </c:pt>
                <c:pt idx="1199">
                  <c:v>2.3603190878915825E-2</c:v>
                </c:pt>
                <c:pt idx="1200">
                  <c:v>2.3615627545092721E-2</c:v>
                </c:pt>
                <c:pt idx="1201">
                  <c:v>2.3627968982724568E-2</c:v>
                </c:pt>
                <c:pt idx="1202">
                  <c:v>2.3657374214467453E-2</c:v>
                </c:pt>
                <c:pt idx="1203">
                  <c:v>2.3660987140692313E-2</c:v>
                </c:pt>
                <c:pt idx="1204">
                  <c:v>2.3674679631273676E-2</c:v>
                </c:pt>
                <c:pt idx="1205">
                  <c:v>2.3684867374722529E-2</c:v>
                </c:pt>
                <c:pt idx="1206">
                  <c:v>2.3696664648760191E-2</c:v>
                </c:pt>
                <c:pt idx="1207">
                  <c:v>2.3708366694172867E-2</c:v>
                </c:pt>
                <c:pt idx="1208">
                  <c:v>2.3721623853782958E-2</c:v>
                </c:pt>
                <c:pt idx="1209">
                  <c:v>2.3731485098883454E-2</c:v>
                </c:pt>
                <c:pt idx="1210">
                  <c:v>2.3742901458261301E-2</c:v>
                </c:pt>
                <c:pt idx="1211">
                  <c:v>2.375422258885429E-2</c:v>
                </c:pt>
                <c:pt idx="1212">
                  <c:v>2.376544849090223E-2</c:v>
                </c:pt>
                <c:pt idx="1213">
                  <c:v>2.3778155552145464E-2</c:v>
                </c:pt>
                <c:pt idx="1214">
                  <c:v>2.3787614608643537E-2</c:v>
                </c:pt>
                <c:pt idx="1215">
                  <c:v>2.379855482441684E-2</c:v>
                </c:pt>
                <c:pt idx="1216">
                  <c:v>2.3809399811405285E-2</c:v>
                </c:pt>
                <c:pt idx="1217">
                  <c:v>2.3820149569768745E-2</c:v>
                </c:pt>
                <c:pt idx="1218">
                  <c:v>2.3833830759549812E-2</c:v>
                </c:pt>
                <c:pt idx="1219">
                  <c:v>2.3850512219746989E-2</c:v>
                </c:pt>
                <c:pt idx="1220">
                  <c:v>2.385479971596105E-2</c:v>
                </c:pt>
                <c:pt idx="1221">
                  <c:v>2.3865141350869479E-2</c:v>
                </c:pt>
                <c:pt idx="1222">
                  <c:v>2.3875387757072986E-2</c:v>
                </c:pt>
                <c:pt idx="1223">
                  <c:v>2.3885538934491635E-2</c:v>
                </c:pt>
                <c:pt idx="1224">
                  <c:v>2.389559488304549E-2</c:v>
                </c:pt>
                <c:pt idx="1225">
                  <c:v>2.3905555602814488E-2</c:v>
                </c:pt>
                <c:pt idx="1226">
                  <c:v>2.3915421093798628E-2</c:v>
                </c:pt>
                <c:pt idx="1227">
                  <c:v>2.3925191355917974E-2</c:v>
                </c:pt>
                <c:pt idx="1228">
                  <c:v>2.3934866389172527E-2</c:v>
                </c:pt>
                <c:pt idx="1229">
                  <c:v>2.3944446193562285E-2</c:v>
                </c:pt>
                <c:pt idx="1230">
                  <c:v>2.3953930769167187E-2</c:v>
                </c:pt>
                <c:pt idx="1231">
                  <c:v>2.3963320115827358E-2</c:v>
                </c:pt>
                <c:pt idx="1232">
                  <c:v>2.3972614233782608E-2</c:v>
                </c:pt>
                <c:pt idx="1233">
                  <c:v>2.3981813122713191E-2</c:v>
                </c:pt>
                <c:pt idx="1234">
                  <c:v>2.3990916782778982E-2</c:v>
                </c:pt>
                <c:pt idx="1235">
                  <c:v>2.3999925213900042E-2</c:v>
                </c:pt>
                <c:pt idx="1236">
                  <c:v>2.4008838416236244E-2</c:v>
                </c:pt>
                <c:pt idx="1237">
                  <c:v>2.4017656389547781E-2</c:v>
                </c:pt>
                <c:pt idx="1238">
                  <c:v>2.4026379133994524E-2</c:v>
                </c:pt>
                <c:pt idx="1239">
                  <c:v>2.4035006649576474E-2</c:v>
                </c:pt>
                <c:pt idx="1240">
                  <c:v>2.4043538936133757E-2</c:v>
                </c:pt>
                <c:pt idx="1241">
                  <c:v>2.4051975993906183E-2</c:v>
                </c:pt>
                <c:pt idx="1242">
                  <c:v>2.4060317822574007E-2</c:v>
                </c:pt>
                <c:pt idx="1243">
                  <c:v>2.4068564422377037E-2</c:v>
                </c:pt>
                <c:pt idx="1244">
                  <c:v>2.4076715793235337E-2</c:v>
                </c:pt>
                <c:pt idx="1245">
                  <c:v>2.4084771935068972E-2</c:v>
                </c:pt>
                <c:pt idx="1246">
                  <c:v>2.4092732847957876E-2</c:v>
                </c:pt>
                <c:pt idx="1247">
                  <c:v>2.4100598531902051E-2</c:v>
                </c:pt>
                <c:pt idx="1248">
                  <c:v>2.4108368986901496E-2</c:v>
                </c:pt>
                <c:pt idx="1249">
                  <c:v>2.4116044212796339E-2</c:v>
                </c:pt>
                <c:pt idx="1250">
                  <c:v>2.4123624209746453E-2</c:v>
                </c:pt>
                <c:pt idx="1251">
                  <c:v>2.41311089776719E-2</c:v>
                </c:pt>
                <c:pt idx="1252">
                  <c:v>2.4138498516732554E-2</c:v>
                </c:pt>
                <c:pt idx="1253">
                  <c:v>2.4157849954578987E-2</c:v>
                </c:pt>
                <c:pt idx="1254">
                  <c:v>2.4159086753847703E-2</c:v>
                </c:pt>
                <c:pt idx="1255">
                  <c:v>2.4167104382408766E-2</c:v>
                </c:pt>
                <c:pt idx="1256">
                  <c:v>2.4174017776266155E-2</c:v>
                </c:pt>
                <c:pt idx="1257">
                  <c:v>2.4180835941098877E-2</c:v>
                </c:pt>
                <c:pt idx="1258">
                  <c:v>2.4187558876906934E-2</c:v>
                </c:pt>
                <c:pt idx="1259">
                  <c:v>2.4197688360052538E-2</c:v>
                </c:pt>
                <c:pt idx="1260">
                  <c:v>2.420419450402278E-2</c:v>
                </c:pt>
                <c:pt idx="1261">
                  <c:v>2.4210605406365104E-2</c:v>
                </c:pt>
                <c:pt idx="1262">
                  <c:v>2.4216921067052866E-2</c:v>
                </c:pt>
                <c:pt idx="1263">
                  <c:v>2.4223141486086064E-2</c:v>
                </c:pt>
                <c:pt idx="1264">
                  <c:v>2.422936910338791E-2</c:v>
                </c:pt>
                <c:pt idx="1265">
                  <c:v>2.4235296599108835E-2</c:v>
                </c:pt>
                <c:pt idx="1266">
                  <c:v>2.4241231293045118E-2</c:v>
                </c:pt>
                <c:pt idx="1267">
                  <c:v>2.4247911597647942E-2</c:v>
                </c:pt>
                <c:pt idx="1268">
                  <c:v>2.4252814955767477E-2</c:v>
                </c:pt>
                <c:pt idx="1269">
                  <c:v>2.4258463924473617E-2</c:v>
                </c:pt>
                <c:pt idx="1270">
                  <c:v>2.4266437435359833E-2</c:v>
                </c:pt>
                <c:pt idx="1271">
                  <c:v>2.4269476136655754E-2</c:v>
                </c:pt>
                <c:pt idx="1272">
                  <c:v>2.4274839380078461E-2</c:v>
                </c:pt>
                <c:pt idx="1273">
                  <c:v>2.4281298227228909E-2</c:v>
                </c:pt>
                <c:pt idx="1274">
                  <c:v>2.4285280141507215E-2</c:v>
                </c:pt>
                <c:pt idx="1275">
                  <c:v>2.4290357659459971E-2</c:v>
                </c:pt>
                <c:pt idx="1276">
                  <c:v>2.4295339935571647E-2</c:v>
                </c:pt>
                <c:pt idx="1277">
                  <c:v>2.4300226969868888E-2</c:v>
                </c:pt>
                <c:pt idx="1278">
                  <c:v>2.4305018762271757E-2</c:v>
                </c:pt>
                <c:pt idx="1279">
                  <c:v>2.4309715312833546E-2</c:v>
                </c:pt>
                <c:pt idx="1280">
                  <c:v>2.4314316621474319E-2</c:v>
                </c:pt>
                <c:pt idx="1281">
                  <c:v>2.4319961719276861E-2</c:v>
                </c:pt>
                <c:pt idx="1282">
                  <c:v>2.4323233513072751E-2</c:v>
                </c:pt>
                <c:pt idx="1283">
                  <c:v>2.432754909603041E-2</c:v>
                </c:pt>
                <c:pt idx="1284">
                  <c:v>2.4331769437067052E-2</c:v>
                </c:pt>
                <c:pt idx="1285">
                  <c:v>2.4335894536102742E-2</c:v>
                </c:pt>
                <c:pt idx="1286">
                  <c:v>2.4341030832990551E-2</c:v>
                </c:pt>
                <c:pt idx="1287">
                  <c:v>2.4343859008411073E-2</c:v>
                </c:pt>
                <c:pt idx="1288">
                  <c:v>2.4347698381603777E-2</c:v>
                </c:pt>
                <c:pt idx="1289">
                  <c:v>2.4352529321112204E-2</c:v>
                </c:pt>
                <c:pt idx="1290">
                  <c:v>2.4355091402066265E-2</c:v>
                </c:pt>
                <c:pt idx="1291">
                  <c:v>2.4358645049336047E-2</c:v>
                </c:pt>
                <c:pt idx="1292">
                  <c:v>2.4362103454551587E-2</c:v>
                </c:pt>
                <c:pt idx="1293">
                  <c:v>2.4366527161079343E-2</c:v>
                </c:pt>
                <c:pt idx="1294">
                  <c:v>2.4368734539006454E-2</c:v>
                </c:pt>
                <c:pt idx="1295">
                  <c:v>2.4371907218219135E-2</c:v>
                </c:pt>
                <c:pt idx="1296">
                  <c:v>2.4376025432568671E-2</c:v>
                </c:pt>
                <c:pt idx="1297">
                  <c:v>2.4377966850481769E-2</c:v>
                </c:pt>
                <c:pt idx="1298">
                  <c:v>2.4380853803558367E-2</c:v>
                </c:pt>
                <c:pt idx="1299">
                  <c:v>2.4384666467855975E-2</c:v>
                </c:pt>
                <c:pt idx="1300">
                  <c:v>2.4386341983548832E-2</c:v>
                </c:pt>
                <c:pt idx="1301">
                  <c:v>2.4388943210409408E-2</c:v>
                </c:pt>
                <c:pt idx="1302">
                  <c:v>2.4391449195242387E-2</c:v>
                </c:pt>
                <c:pt idx="1303">
                  <c:v>2.4393859937994478E-2</c:v>
                </c:pt>
                <c:pt idx="1304">
                  <c:v>2.4400406003564079E-2</c:v>
                </c:pt>
                <c:pt idx="1305">
                  <c:v>2.4397968762661648E-2</c:v>
                </c:pt>
                <c:pt idx="1306">
                  <c:v>2.4400327059579396E-2</c:v>
                </c:pt>
                <c:pt idx="1307">
                  <c:v>2.4402288537839212E-2</c:v>
                </c:pt>
                <c:pt idx="1308">
                  <c:v>2.4404154786994425E-2</c:v>
                </c:pt>
                <c:pt idx="1309">
                  <c:v>2.4405925806965101E-2</c:v>
                </c:pt>
                <c:pt idx="1310">
                  <c:v>2.440971716435314E-2</c:v>
                </c:pt>
                <c:pt idx="1311">
                  <c:v>2.440918215911303E-2</c:v>
                </c:pt>
                <c:pt idx="1312">
                  <c:v>2.4410667491450155E-2</c:v>
                </c:pt>
                <c:pt idx="1313">
                  <c:v>2.4412057594442871E-2</c:v>
                </c:pt>
                <c:pt idx="1314">
                  <c:v>2.4413352468251048E-2</c:v>
                </c:pt>
                <c:pt idx="1315">
                  <c:v>2.4414552112874688E-2</c:v>
                </c:pt>
                <c:pt idx="1316">
                  <c:v>2.4419264747445268E-2</c:v>
                </c:pt>
                <c:pt idx="1317">
                  <c:v>2.4416665714248609E-2</c:v>
                </c:pt>
                <c:pt idx="1318">
                  <c:v>2.4417579671238698E-2</c:v>
                </c:pt>
                <c:pt idx="1319">
                  <c:v>2.4418398398804442E-2</c:v>
                </c:pt>
                <c:pt idx="1320">
                  <c:v>2.4419121897345519E-2</c:v>
                </c:pt>
                <c:pt idx="1321">
                  <c:v>2.442416736422981E-2</c:v>
                </c:pt>
                <c:pt idx="1322">
                  <c:v>2.4420545044705477E-2</c:v>
                </c:pt>
                <c:pt idx="1323">
                  <c:v>2.4420928438741996E-2</c:v>
                </c:pt>
                <c:pt idx="1324">
                  <c:v>2.4421216603593976E-2</c:v>
                </c:pt>
                <c:pt idx="1325">
                  <c:v>2.4421429327512456E-2</c:v>
                </c:pt>
                <c:pt idx="1326">
                  <c:v>2.4421507245504515E-2</c:v>
                </c:pt>
                <c:pt idx="1327">
                  <c:v>2.4421509722563073E-2</c:v>
                </c:pt>
                <c:pt idx="1328">
                  <c:v>2.4421416970357157E-2</c:v>
                </c:pt>
                <c:pt idx="1329">
                  <c:v>2.4421228988966703E-2</c:v>
                </c:pt>
                <c:pt idx="1330">
                  <c:v>2.4420945778391712E-2</c:v>
                </c:pt>
                <c:pt idx="1331">
                  <c:v>2.4420567338552246E-2</c:v>
                </c:pt>
                <c:pt idx="1332">
                  <c:v>2.4420018228594742E-2</c:v>
                </c:pt>
                <c:pt idx="1333">
                  <c:v>2.4419524771159828E-2</c:v>
                </c:pt>
                <c:pt idx="1334">
                  <c:v>2.4418860643526941E-2</c:v>
                </c:pt>
                <c:pt idx="1335">
                  <c:v>2.4418101286789451E-2</c:v>
                </c:pt>
                <c:pt idx="1336">
                  <c:v>2.4417246700787487E-2</c:v>
                </c:pt>
                <c:pt idx="1337">
                  <c:v>2.4416296885521049E-2</c:v>
                </c:pt>
                <c:pt idx="1338">
                  <c:v>2.4415094775189772E-2</c:v>
                </c:pt>
                <c:pt idx="1339">
                  <c:v>2.4414111567354624E-2</c:v>
                </c:pt>
                <c:pt idx="1340">
                  <c:v>2.4412876064454636E-2</c:v>
                </c:pt>
                <c:pt idx="1341">
                  <c:v>2.4410945866693012E-2</c:v>
                </c:pt>
                <c:pt idx="1342">
                  <c:v>2.4410119370941175E-2</c:v>
                </c:pt>
                <c:pt idx="1343">
                  <c:v>2.4408598180247765E-2</c:v>
                </c:pt>
                <c:pt idx="1344">
                  <c:v>2.4406743069542713E-2</c:v>
                </c:pt>
                <c:pt idx="1345">
                  <c:v>2.4405270111387267E-2</c:v>
                </c:pt>
                <c:pt idx="1346">
                  <c:v>2.4403463233060307E-2</c:v>
                </c:pt>
                <c:pt idx="1347">
                  <c:v>2.440156112554881E-2</c:v>
                </c:pt>
                <c:pt idx="1348">
                  <c:v>2.439956378893271E-2</c:v>
                </c:pt>
                <c:pt idx="1349">
                  <c:v>2.4397471222892264E-2</c:v>
                </c:pt>
                <c:pt idx="1350">
                  <c:v>2.4395949828162067E-2</c:v>
                </c:pt>
                <c:pt idx="1351">
                  <c:v>2.4393000403417631E-2</c:v>
                </c:pt>
                <c:pt idx="1352">
                  <c:v>2.4390622149823571E-2</c:v>
                </c:pt>
                <c:pt idx="1353">
                  <c:v>2.4388148667124909E-2</c:v>
                </c:pt>
                <c:pt idx="1354">
                  <c:v>2.4385579955001901E-2</c:v>
                </c:pt>
                <c:pt idx="1355">
                  <c:v>2.4384255569025015E-2</c:v>
                </c:pt>
                <c:pt idx="1356">
                  <c:v>2.4378945190024481E-2</c:v>
                </c:pt>
                <c:pt idx="1357">
                  <c:v>2.4376049977874459E-2</c:v>
                </c:pt>
                <c:pt idx="1358">
                  <c:v>2.4373059536619834E-2</c:v>
                </c:pt>
                <c:pt idx="1359">
                  <c:v>2.4369973866100736E-2</c:v>
                </c:pt>
                <c:pt idx="1360">
                  <c:v>2.4366792966397099E-2</c:v>
                </c:pt>
                <c:pt idx="1361">
                  <c:v>2.4365274425923733E-2</c:v>
                </c:pt>
                <c:pt idx="1362">
                  <c:v>2.4360145479356277E-2</c:v>
                </c:pt>
                <c:pt idx="1363">
                  <c:v>2.4356678892099026E-2</c:v>
                </c:pt>
                <c:pt idx="1364">
                  <c:v>2.4353117075577302E-2</c:v>
                </c:pt>
                <c:pt idx="1365">
                  <c:v>2.4349460029950976E-2</c:v>
                </c:pt>
                <c:pt idx="1366">
                  <c:v>2.4345707755220047E-2</c:v>
                </c:pt>
                <c:pt idx="1367">
                  <c:v>2.4341860251224645E-2</c:v>
                </c:pt>
                <c:pt idx="1368">
                  <c:v>2.4337917518124641E-2</c:v>
                </c:pt>
                <c:pt idx="1369">
                  <c:v>2.4333879555680227E-2</c:v>
                </c:pt>
                <c:pt idx="1370">
                  <c:v>2.4331834451993828E-2</c:v>
                </c:pt>
                <c:pt idx="1371">
                  <c:v>2.4325517943557529E-2</c:v>
                </c:pt>
                <c:pt idx="1372">
                  <c:v>2.4324742285289913E-2</c:v>
                </c:pt>
                <c:pt idx="1373">
                  <c:v>2.4313560769106957E-2</c:v>
                </c:pt>
                <c:pt idx="1374">
                  <c:v>2.4308978640110723E-2</c:v>
                </c:pt>
                <c:pt idx="1375">
                  <c:v>2.4304301282089824E-2</c:v>
                </c:pt>
                <c:pt idx="1376">
                  <c:v>2.4298839122804949E-2</c:v>
                </c:pt>
                <c:pt idx="1377">
                  <c:v>2.4294660878494412E-2</c:v>
                </c:pt>
                <c:pt idx="1378">
                  <c:v>2.4289697832919899E-2</c:v>
                </c:pt>
                <c:pt idx="1379">
                  <c:v>2.428463955832072E-2</c:v>
                </c:pt>
                <c:pt idx="1380">
                  <c:v>2.4279486054616939E-2</c:v>
                </c:pt>
                <c:pt idx="1381">
                  <c:v>2.4274237321648684E-2</c:v>
                </c:pt>
                <c:pt idx="1382">
                  <c:v>2.4268893359735699E-2</c:v>
                </c:pt>
                <c:pt idx="1383">
                  <c:v>2.4262669367454137E-2</c:v>
                </c:pt>
                <c:pt idx="1384">
                  <c:v>2.4257919748436052E-2</c:v>
                </c:pt>
                <c:pt idx="1385">
                  <c:v>2.4252290099049389E-2</c:v>
                </c:pt>
                <c:pt idx="1386">
                  <c:v>2.4246565220638061E-2</c:v>
                </c:pt>
                <c:pt idx="1387">
                  <c:v>2.4240745113042195E-2</c:v>
                </c:pt>
                <c:pt idx="1388">
                  <c:v>2.4234829776501599E-2</c:v>
                </c:pt>
                <c:pt idx="1389">
                  <c:v>2.4227952784805495E-2</c:v>
                </c:pt>
                <c:pt idx="1390">
                  <c:v>2.4222713416026664E-2</c:v>
                </c:pt>
                <c:pt idx="1391">
                  <c:v>2.4216512392172262E-2</c:v>
                </c:pt>
                <c:pt idx="1392">
                  <c:v>2.4209308900688953E-2</c:v>
                </c:pt>
                <c:pt idx="1393">
                  <c:v>2.4202903814547483E-2</c:v>
                </c:pt>
                <c:pt idx="1394">
                  <c:v>2.4196403499301411E-2</c:v>
                </c:pt>
                <c:pt idx="1395">
                  <c:v>2.418885796062753E-2</c:v>
                </c:pt>
                <c:pt idx="1396">
                  <c:v>2.4182153583254262E-2</c:v>
                </c:pt>
                <c:pt idx="1397">
                  <c:v>2.4175353976776393E-2</c:v>
                </c:pt>
                <c:pt idx="1398">
                  <c:v>2.4168093358722942E-2</c:v>
                </c:pt>
                <c:pt idx="1399">
                  <c:v>2.416146907666672E-2</c:v>
                </c:pt>
                <c:pt idx="1400">
                  <c:v>2.415438378295498E-2</c:v>
                </c:pt>
                <c:pt idx="1401">
                  <c:v>2.4146752989464559E-2</c:v>
                </c:pt>
                <c:pt idx="1402">
                  <c:v>2.4139927508697312E-2</c:v>
                </c:pt>
                <c:pt idx="1403">
                  <c:v>2.4132556528071447E-2</c:v>
                </c:pt>
                <c:pt idx="1404">
                  <c:v>2.4125090318420916E-2</c:v>
                </c:pt>
                <c:pt idx="1405">
                  <c:v>2.4118841172966476E-2</c:v>
                </c:pt>
                <c:pt idx="1406">
                  <c:v>2.4109788383070097E-2</c:v>
                </c:pt>
                <c:pt idx="1407">
                  <c:v>2.4101747502400794E-2</c:v>
                </c:pt>
                <c:pt idx="1408">
                  <c:v>2.409362534294246E-2</c:v>
                </c:pt>
                <c:pt idx="1409">
                  <c:v>2.4085654713532634E-2</c:v>
                </c:pt>
                <c:pt idx="1410">
                  <c:v>2.4077588842761344E-2</c:v>
                </c:pt>
                <c:pt idx="1411">
                  <c:v>2.4069427730655235E-2</c:v>
                </c:pt>
                <c:pt idx="1412">
                  <c:v>2.4061171377240953E-2</c:v>
                </c:pt>
                <c:pt idx="1413">
                  <c:v>2.4052819782518498E-2</c:v>
                </c:pt>
                <c:pt idx="1414">
                  <c:v>2.4044372946541159E-2</c:v>
                </c:pt>
                <c:pt idx="1415">
                  <c:v>2.4035830869308938E-2</c:v>
                </c:pt>
                <c:pt idx="1416">
                  <c:v>2.4027193550821835E-2</c:v>
                </c:pt>
                <c:pt idx="1417">
                  <c:v>2.4018634179217013E-2</c:v>
                </c:pt>
                <c:pt idx="1418">
                  <c:v>2.4009633190269497E-2</c:v>
                </c:pt>
                <c:pt idx="1419">
                  <c:v>2.4000710148230908E-2</c:v>
                </c:pt>
                <c:pt idx="1420">
                  <c:v>2.3986200182948281E-2</c:v>
                </c:pt>
                <c:pt idx="1421">
                  <c:v>2.3982578340708827E-2</c:v>
                </c:pt>
                <c:pt idx="1422">
                  <c:v>2.3973369575278625E-2</c:v>
                </c:pt>
                <c:pt idx="1423">
                  <c:v>2.3964194311782983E-2</c:v>
                </c:pt>
                <c:pt idx="1424">
                  <c:v>2.3947660144907346E-2</c:v>
                </c:pt>
                <c:pt idx="1425">
                  <c:v>2.3938112502870368E-2</c:v>
                </c:pt>
                <c:pt idx="1426">
                  <c:v>2.3928469632048532E-2</c:v>
                </c:pt>
                <c:pt idx="1427">
                  <c:v>2.3917332601390839E-2</c:v>
                </c:pt>
                <c:pt idx="1428">
                  <c:v>2.3907485668681616E-2</c:v>
                </c:pt>
                <c:pt idx="1429">
                  <c:v>2.3897557542680303E-2</c:v>
                </c:pt>
                <c:pt idx="1430">
                  <c:v>2.3887631677270704E-2</c:v>
                </c:pt>
                <c:pt idx="1431">
                  <c:v>2.3877722108025523E-2</c:v>
                </c:pt>
                <c:pt idx="1432">
                  <c:v>2.3867828834864824E-2</c:v>
                </c:pt>
                <c:pt idx="1433">
                  <c:v>2.3857951857788606E-2</c:v>
                </c:pt>
                <c:pt idx="1434">
                  <c:v>2.3848091176796871E-2</c:v>
                </c:pt>
                <c:pt idx="1435">
                  <c:v>2.3838246791809681E-2</c:v>
                </c:pt>
                <c:pt idx="1436">
                  <c:v>2.3828418703066845E-2</c:v>
                </c:pt>
                <c:pt idx="1437">
                  <c:v>2.3818606910328555E-2</c:v>
                </c:pt>
                <c:pt idx="1438">
                  <c:v>2.3808811413754682E-2</c:v>
                </c:pt>
                <c:pt idx="1439">
                  <c:v>2.3799032213265292E-2</c:v>
                </c:pt>
                <c:pt idx="1440">
                  <c:v>2.3789269308860383E-2</c:v>
                </c:pt>
                <c:pt idx="1441">
                  <c:v>2.3779522700539957E-2</c:v>
                </c:pt>
                <c:pt idx="1442">
                  <c:v>2.3769792388383948E-2</c:v>
                </c:pt>
                <c:pt idx="1443">
                  <c:v>2.3760078372152549E-2</c:v>
                </c:pt>
                <c:pt idx="1444">
                  <c:v>2.3750380652085568E-2</c:v>
                </c:pt>
                <c:pt idx="1445">
                  <c:v>2.3740699228103068E-2</c:v>
                </c:pt>
                <c:pt idx="1446">
                  <c:v>2.3731034100205051E-2</c:v>
                </c:pt>
                <c:pt idx="1447">
                  <c:v>2.3721385268471451E-2</c:v>
                </c:pt>
                <c:pt idx="1448">
                  <c:v>2.3711752732662461E-2</c:v>
                </c:pt>
                <c:pt idx="1449">
                  <c:v>2.3702418691442517E-2</c:v>
                </c:pt>
                <c:pt idx="1450">
                  <c:v>2.3692536549537735E-2</c:v>
                </c:pt>
                <c:pt idx="1451">
                  <c:v>2.3682952902062127E-2</c:v>
                </c:pt>
                <c:pt idx="1452">
                  <c:v>2.3672211548415589E-2</c:v>
                </c:pt>
                <c:pt idx="1453">
                  <c:v>2.3663834495284419E-2</c:v>
                </c:pt>
                <c:pt idx="1454">
                  <c:v>2.3654299735902384E-2</c:v>
                </c:pt>
                <c:pt idx="1455">
                  <c:v>2.3644781272844639E-2</c:v>
                </c:pt>
                <c:pt idx="1456">
                  <c:v>2.3635279105631568E-2</c:v>
                </c:pt>
                <c:pt idx="1457">
                  <c:v>2.3624931916965686E-2</c:v>
                </c:pt>
                <c:pt idx="1458">
                  <c:v>2.3609569654743368E-2</c:v>
                </c:pt>
                <c:pt idx="1459">
                  <c:v>2.3601475823697982E-2</c:v>
                </c:pt>
                <c:pt idx="1460">
                  <c:v>2.3592048152814016E-2</c:v>
                </c:pt>
                <c:pt idx="1461">
                  <c:v>2.3582636778094468E-2</c:v>
                </c:pt>
                <c:pt idx="1462">
                  <c:v>2.3573241699459402E-2</c:v>
                </c:pt>
                <c:pt idx="1463">
                  <c:v>2.3562524420954745E-2</c:v>
                </c:pt>
                <c:pt idx="1464">
                  <c:v>2.3554500430282843E-2</c:v>
                </c:pt>
                <c:pt idx="1465">
                  <c:v>2.354515423974135E-2</c:v>
                </c:pt>
                <c:pt idx="1466">
                  <c:v>2.353582434528434E-2</c:v>
                </c:pt>
                <c:pt idx="1467">
                  <c:v>2.3526510746911811E-2</c:v>
                </c:pt>
                <c:pt idx="1468">
                  <c:v>2.3517213444543827E-2</c:v>
                </c:pt>
                <c:pt idx="1469">
                  <c:v>2.3505283715339331E-2</c:v>
                </c:pt>
                <c:pt idx="1470">
                  <c:v>2.3498667728141243E-2</c:v>
                </c:pt>
                <c:pt idx="1471">
                  <c:v>2.3489419313946769E-2</c:v>
                </c:pt>
                <c:pt idx="1472">
                  <c:v>2.3480187195756841E-2</c:v>
                </c:pt>
                <c:pt idx="1473">
                  <c:v>2.3470971373731331E-2</c:v>
                </c:pt>
                <c:pt idx="1474">
                  <c:v>2.346045895991189E-2</c:v>
                </c:pt>
                <c:pt idx="1475">
                  <c:v>2.344865793623363E-2</c:v>
                </c:pt>
                <c:pt idx="1476">
                  <c:v>2.3439497986394997E-2</c:v>
                </c:pt>
                <c:pt idx="1477">
                  <c:v>2.3430354332480974E-2</c:v>
                </c:pt>
                <c:pt idx="1478">
                  <c:v>2.3421226974571496E-2</c:v>
                </c:pt>
                <c:pt idx="1479">
                  <c:v>2.3412115912906373E-2</c:v>
                </c:pt>
                <c:pt idx="1480">
                  <c:v>2.3403021147085923E-2</c:v>
                </c:pt>
                <c:pt idx="1481">
                  <c:v>2.3393942677429891E-2</c:v>
                </c:pt>
                <c:pt idx="1482">
                  <c:v>2.3384880503698469E-2</c:v>
                </c:pt>
                <c:pt idx="1483">
                  <c:v>2.3375834626051528E-2</c:v>
                </c:pt>
                <c:pt idx="1484">
                  <c:v>2.3366805044409134E-2</c:v>
                </c:pt>
                <c:pt idx="1485">
                  <c:v>2.3357791758851221E-2</c:v>
                </c:pt>
                <c:pt idx="1486">
                  <c:v>2.3348794769297854E-2</c:v>
                </c:pt>
                <c:pt idx="1487">
                  <c:v>2.3339814075828968E-2</c:v>
                </c:pt>
                <c:pt idx="1488">
                  <c:v>2.3330849678284693E-2</c:v>
                </c:pt>
                <c:pt idx="1489">
                  <c:v>2.3321901576824899E-2</c:v>
                </c:pt>
                <c:pt idx="1490">
                  <c:v>2.3312969771449588E-2</c:v>
                </c:pt>
                <c:pt idx="1491">
                  <c:v>2.3304054262078822E-2</c:v>
                </c:pt>
                <c:pt idx="1492">
                  <c:v>2.3295155048712601E-2</c:v>
                </c:pt>
                <c:pt idx="1493">
                  <c:v>2.3286272131270991E-2</c:v>
                </c:pt>
                <c:pt idx="1494">
                  <c:v>2.3277405509993798E-2</c:v>
                </c:pt>
                <c:pt idx="1495">
                  <c:v>2.3268555184641215E-2</c:v>
                </c:pt>
                <c:pt idx="1496">
                  <c:v>2.3259721155373114E-2</c:v>
                </c:pt>
                <c:pt idx="1497">
                  <c:v>2.3250903422189495E-2</c:v>
                </c:pt>
                <c:pt idx="1498">
                  <c:v>2.3242101984850549E-2</c:v>
                </c:pt>
                <c:pt idx="1499">
                  <c:v>2.3233316843596086E-2</c:v>
                </c:pt>
                <c:pt idx="1500">
                  <c:v>2.3224547998426104E-2</c:v>
                </c:pt>
                <c:pt idx="1501">
                  <c:v>2.3215795449180732E-2</c:v>
                </c:pt>
                <c:pt idx="1502">
                  <c:v>2.3207059196019841E-2</c:v>
                </c:pt>
                <c:pt idx="1503">
                  <c:v>2.3198715085697152E-2</c:v>
                </c:pt>
                <c:pt idx="1504">
                  <c:v>2.3189635577631762E-2</c:v>
                </c:pt>
                <c:pt idx="1505">
                  <c:v>2.3180948212484509E-2</c:v>
                </c:pt>
                <c:pt idx="1506">
                  <c:v>2.3172277143341802E-2</c:v>
                </c:pt>
                <c:pt idx="1507">
                  <c:v>2.3163622370123704E-2</c:v>
                </c:pt>
                <c:pt idx="1508">
                  <c:v>2.31453892568112E-2</c:v>
                </c:pt>
                <c:pt idx="1509">
                  <c:v>2.3140212988170816E-2</c:v>
                </c:pt>
                <c:pt idx="1510">
                  <c:v>2.3130392324048898E-2</c:v>
                </c:pt>
                <c:pt idx="1511">
                  <c:v>2.3123040794024163E-2</c:v>
                </c:pt>
                <c:pt idx="1512">
                  <c:v>2.3114479140797783E-2</c:v>
                </c:pt>
                <c:pt idx="1513">
                  <c:v>2.3105933783735821E-2</c:v>
                </c:pt>
                <c:pt idx="1514">
                  <c:v>2.3096187615543329E-2</c:v>
                </c:pt>
                <c:pt idx="1515">
                  <c:v>2.3088891957465663E-2</c:v>
                </c:pt>
                <c:pt idx="1516">
                  <c:v>2.3080395488257466E-2</c:v>
                </c:pt>
                <c:pt idx="1517">
                  <c:v>2.3071915315133751E-2</c:v>
                </c:pt>
                <c:pt idx="1518">
                  <c:v>2.3063451438014582E-2</c:v>
                </c:pt>
                <c:pt idx="1519">
                  <c:v>2.3055003856820022E-2</c:v>
                </c:pt>
                <c:pt idx="1520">
                  <c:v>2.3046572571630008E-2</c:v>
                </c:pt>
                <c:pt idx="1521">
                  <c:v>2.3038157582524477E-2</c:v>
                </c:pt>
                <c:pt idx="1522">
                  <c:v>2.3029758889343555E-2</c:v>
                </c:pt>
                <c:pt idx="1523">
                  <c:v>2.3018984514671104E-2</c:v>
                </c:pt>
                <c:pt idx="1524">
                  <c:v>2.3010623069374958E-2</c:v>
                </c:pt>
                <c:pt idx="1525">
                  <c:v>2.3001645494899137E-2</c:v>
                </c:pt>
                <c:pt idx="1526">
                  <c:v>2.2993040897576478E-2</c:v>
                </c:pt>
                <c:pt idx="1527">
                  <c:v>2.2984731935284941E-2</c:v>
                </c:pt>
                <c:pt idx="1528">
                  <c:v>2.2976580807765323E-2</c:v>
                </c:pt>
                <c:pt idx="1529">
                  <c:v>2.2968162906042977E-2</c:v>
                </c:pt>
                <c:pt idx="1530">
                  <c:v>2.2959902839065904E-2</c:v>
                </c:pt>
                <c:pt idx="1531">
                  <c:v>2.295165907054475E-2</c:v>
                </c:pt>
                <c:pt idx="1532">
                  <c:v>2.2943431600426223E-2</c:v>
                </c:pt>
                <c:pt idx="1533">
                  <c:v>2.2935220428763614E-2</c:v>
                </c:pt>
                <c:pt idx="1534">
                  <c:v>2.2927025555503633E-2</c:v>
                </c:pt>
                <c:pt idx="1535">
                  <c:v>2.291884698069957E-2</c:v>
                </c:pt>
                <c:pt idx="1536">
                  <c:v>2.291083136427563E-2</c:v>
                </c:pt>
                <c:pt idx="1537">
                  <c:v>2.2902538726272681E-2</c:v>
                </c:pt>
                <c:pt idx="1538">
                  <c:v>2.2894409046703146E-2</c:v>
                </c:pt>
                <c:pt idx="1539">
                  <c:v>2.2886295665509593E-2</c:v>
                </c:pt>
                <c:pt idx="1540">
                  <c:v>2.2878198582745313E-2</c:v>
                </c:pt>
                <c:pt idx="1541">
                  <c:v>2.2870267700387803E-2</c:v>
                </c:pt>
                <c:pt idx="1542">
                  <c:v>2.286205331239799E-2</c:v>
                </c:pt>
                <c:pt idx="1543">
                  <c:v>2.2854005124814947E-2</c:v>
                </c:pt>
                <c:pt idx="1544">
                  <c:v>2.2846125097490955E-2</c:v>
                </c:pt>
                <c:pt idx="1545">
                  <c:v>2.2838110162395342E-2</c:v>
                </c:pt>
                <c:pt idx="1546">
                  <c:v>2.2829958352428292E-2</c:v>
                </c:pt>
                <c:pt idx="1547">
                  <c:v>2.2821975358375823E-2</c:v>
                </c:pt>
                <c:pt idx="1548">
                  <c:v>2.2814163154678546E-2</c:v>
                </c:pt>
                <c:pt idx="1549">
                  <c:v>2.2806058265478768E-2</c:v>
                </c:pt>
                <c:pt idx="1550">
                  <c:v>2.2798124166554246E-2</c:v>
                </c:pt>
                <c:pt idx="1551">
                  <c:v>2.279036284319691E-2</c:v>
                </c:pt>
                <c:pt idx="1552">
                  <c:v>2.2782304863833147E-2</c:v>
                </c:pt>
                <c:pt idx="1553">
                  <c:v>2.2774419660063216E-2</c:v>
                </c:pt>
                <c:pt idx="1554">
                  <c:v>2.2766709227850512E-2</c:v>
                </c:pt>
                <c:pt idx="1555">
                  <c:v>2.2758698147518075E-2</c:v>
                </c:pt>
                <c:pt idx="1556">
                  <c:v>2.2750861838742864E-2</c:v>
                </c:pt>
                <c:pt idx="1557">
                  <c:v>2.2743041828396926E-2</c:v>
                </c:pt>
                <c:pt idx="1558">
                  <c:v>2.2735238116347034E-2</c:v>
                </c:pt>
                <c:pt idx="1559">
                  <c:v>2.272349490951342E-2</c:v>
                </c:pt>
                <c:pt idx="1560">
                  <c:v>2.2713813022914309E-2</c:v>
                </c:pt>
                <c:pt idx="1561">
                  <c:v>2.2704963465667305E-2</c:v>
                </c:pt>
                <c:pt idx="1562">
                  <c:v>2.2697237563109596E-2</c:v>
                </c:pt>
                <c:pt idx="1563">
                  <c:v>2.2689527956316624E-2</c:v>
                </c:pt>
                <c:pt idx="1564">
                  <c:v>2.2681834645608134E-2</c:v>
                </c:pt>
                <c:pt idx="1565">
                  <c:v>2.2673395160071053E-2</c:v>
                </c:pt>
                <c:pt idx="1566">
                  <c:v>2.2666496911964984E-2</c:v>
                </c:pt>
                <c:pt idx="1567">
                  <c:v>2.2658852489110259E-2</c:v>
                </c:pt>
                <c:pt idx="1568">
                  <c:v>2.2651224362100209E-2</c:v>
                </c:pt>
                <c:pt idx="1569">
                  <c:v>2.2643612531014767E-2</c:v>
                </c:pt>
                <c:pt idx="1570">
                  <c:v>2.2636526447414873E-2</c:v>
                </c:pt>
                <c:pt idx="1571">
                  <c:v>2.2628437756777586E-2</c:v>
                </c:pt>
                <c:pt idx="1572">
                  <c:v>2.262155973446589E-2</c:v>
                </c:pt>
                <c:pt idx="1573">
                  <c:v>2.2613328166078972E-2</c:v>
                </c:pt>
                <c:pt idx="1574">
                  <c:v>2.2605797814776452E-2</c:v>
                </c:pt>
                <c:pt idx="1575">
                  <c:v>2.2598283759318605E-2</c:v>
                </c:pt>
                <c:pt idx="1576">
                  <c:v>2.2590586891189091E-2</c:v>
                </c:pt>
                <c:pt idx="1577">
                  <c:v>2.2579036730707713E-2</c:v>
                </c:pt>
                <c:pt idx="1578">
                  <c:v>2.2571580875014874E-2</c:v>
                </c:pt>
                <c:pt idx="1579">
                  <c:v>2.2563079851209977E-2</c:v>
                </c:pt>
                <c:pt idx="1580">
                  <c:v>2.2556718051323088E-2</c:v>
                </c:pt>
                <c:pt idx="1581">
                  <c:v>2.2549311083404078E-2</c:v>
                </c:pt>
                <c:pt idx="1582">
                  <c:v>2.2541920411409677E-2</c:v>
                </c:pt>
                <c:pt idx="1583">
                  <c:v>2.253454603525995E-2</c:v>
                </c:pt>
                <c:pt idx="1584">
                  <c:v>2.2527187955114769E-2</c:v>
                </c:pt>
                <c:pt idx="1585">
                  <c:v>2.2519846170894198E-2</c:v>
                </c:pt>
                <c:pt idx="1586">
                  <c:v>2.25125206825183E-2</c:v>
                </c:pt>
                <c:pt idx="1587">
                  <c:v>2.2504168650092637E-2</c:v>
                </c:pt>
                <c:pt idx="1588">
                  <c:v>2.249791859362027E-2</c:v>
                </c:pt>
                <c:pt idx="1589">
                  <c:v>2.2490641993018201E-2</c:v>
                </c:pt>
                <c:pt idx="1590">
                  <c:v>2.2483381688340742E-2</c:v>
                </c:pt>
                <c:pt idx="1591">
                  <c:v>2.2476137679587893E-2</c:v>
                </c:pt>
                <c:pt idx="1592">
                  <c:v>2.2468909966679718E-2</c:v>
                </c:pt>
                <c:pt idx="1593">
                  <c:v>2.2460669677668577E-2</c:v>
                </c:pt>
                <c:pt idx="1594">
                  <c:v>2.2454503428797068E-2</c:v>
                </c:pt>
                <c:pt idx="1595">
                  <c:v>2.2447324603582786E-2</c:v>
                </c:pt>
                <c:pt idx="1596">
                  <c:v>2.2437097407532747E-2</c:v>
                </c:pt>
                <c:pt idx="1597">
                  <c:v>2.2433015841087922E-2</c:v>
                </c:pt>
                <c:pt idx="1598">
                  <c:v>2.2425885903727405E-2</c:v>
                </c:pt>
                <c:pt idx="1599">
                  <c:v>2.2417757358050849E-2</c:v>
                </c:pt>
                <c:pt idx="1600">
                  <c:v>2.2411674916700264E-2</c:v>
                </c:pt>
                <c:pt idx="1601">
                  <c:v>2.2404593866953704E-2</c:v>
                </c:pt>
                <c:pt idx="1602">
                  <c:v>2.2397721856872721E-2</c:v>
                </c:pt>
                <c:pt idx="1603">
                  <c:v>2.2390480655314349E-2</c:v>
                </c:pt>
                <c:pt idx="1604">
                  <c:v>2.2383448493341618E-2</c:v>
                </c:pt>
                <c:pt idx="1605">
                  <c:v>2.2375431690999648E-2</c:v>
                </c:pt>
                <c:pt idx="1606">
                  <c:v>2.2369433057090049E-2</c:v>
                </c:pt>
                <c:pt idx="1607">
                  <c:v>2.2362449782891147E-2</c:v>
                </c:pt>
                <c:pt idx="1608">
                  <c:v>2.2355482804377047E-2</c:v>
                </c:pt>
                <c:pt idx="1609">
                  <c:v>2.2348532122027365E-2</c:v>
                </c:pt>
                <c:pt idx="1610">
                  <c:v>2.2340415106999245E-2</c:v>
                </c:pt>
                <c:pt idx="1611">
                  <c:v>2.2332706040462114E-2</c:v>
                </c:pt>
                <c:pt idx="1612">
                  <c:v>2.2324824926380771E-2</c:v>
                </c:pt>
                <c:pt idx="1613">
                  <c:v>2.2317946411423151E-2</c:v>
                </c:pt>
                <c:pt idx="1614">
                  <c:v>2.2311084192310204E-2</c:v>
                </c:pt>
                <c:pt idx="1615">
                  <c:v>2.2304238269201804E-2</c:v>
                </c:pt>
                <c:pt idx="1616">
                  <c:v>2.2296841251030486E-2</c:v>
                </c:pt>
                <c:pt idx="1617">
                  <c:v>2.2290595310439087E-2</c:v>
                </c:pt>
                <c:pt idx="1618">
                  <c:v>2.2283798274944644E-2</c:v>
                </c:pt>
                <c:pt idx="1619">
                  <c:v>2.2277017535294874E-2</c:v>
                </c:pt>
                <c:pt idx="1620">
                  <c:v>2.2270253091569714E-2</c:v>
                </c:pt>
                <c:pt idx="1621">
                  <c:v>2.2263504943689227E-2</c:v>
                </c:pt>
                <c:pt idx="1622">
                  <c:v>2.2256773091733351E-2</c:v>
                </c:pt>
                <c:pt idx="1623">
                  <c:v>2.2250057535702084E-2</c:v>
                </c:pt>
                <c:pt idx="1624">
                  <c:v>2.2243358275435554E-2</c:v>
                </c:pt>
                <c:pt idx="1625">
                  <c:v>2.2236675311093634E-2</c:v>
                </c:pt>
                <c:pt idx="1626">
                  <c:v>2.223085231294597E-2</c:v>
                </c:pt>
                <c:pt idx="1627">
                  <c:v>2.2223468643653987E-2</c:v>
                </c:pt>
                <c:pt idx="1628">
                  <c:v>2.2212940608969944E-2</c:v>
                </c:pt>
                <c:pt idx="1629">
                  <c:v>2.2206332140077834E-2</c:v>
                </c:pt>
                <c:pt idx="1630">
                  <c:v>2.2199739967030396E-2</c:v>
                </c:pt>
                <c:pt idx="1631">
                  <c:v>2.2192226009254412E-2</c:v>
                </c:pt>
                <c:pt idx="1632">
                  <c:v>2.2186604508709351E-2</c:v>
                </c:pt>
                <c:pt idx="1633">
                  <c:v>2.2180061223275871E-2</c:v>
                </c:pt>
                <c:pt idx="1634">
                  <c:v>2.2173534233846937E-2</c:v>
                </c:pt>
                <c:pt idx="1635">
                  <c:v>2.216702354018274E-2</c:v>
                </c:pt>
                <c:pt idx="1636">
                  <c:v>2.2160529142443153E-2</c:v>
                </c:pt>
                <c:pt idx="1637">
                  <c:v>2.2154051040548239E-2</c:v>
                </c:pt>
                <c:pt idx="1638">
                  <c:v>2.2146667449609581E-2</c:v>
                </c:pt>
                <c:pt idx="1639">
                  <c:v>2.2141143724292434E-2</c:v>
                </c:pt>
                <c:pt idx="1640">
                  <c:v>2.2134714510011477E-2</c:v>
                </c:pt>
                <c:pt idx="1641">
                  <c:v>2.2128301591575195E-2</c:v>
                </c:pt>
                <c:pt idx="1642">
                  <c:v>2.212190496890365E-2</c:v>
                </c:pt>
                <c:pt idx="1643">
                  <c:v>2.2115524642316586E-2</c:v>
                </c:pt>
                <c:pt idx="1644">
                  <c:v>2.2108252794472705E-2</c:v>
                </c:pt>
                <c:pt idx="1645">
                  <c:v>2.2102812876436673E-2</c:v>
                </c:pt>
                <c:pt idx="1646">
                  <c:v>2.209648143738363E-2</c:v>
                </c:pt>
                <c:pt idx="1647">
                  <c:v>2.2089265461087138E-2</c:v>
                </c:pt>
                <c:pt idx="1648">
                  <c:v>2.2082968941621317E-2</c:v>
                </c:pt>
                <c:pt idx="1649">
                  <c:v>2.2076688718160042E-2</c:v>
                </c:pt>
                <c:pt idx="1650">
                  <c:v>2.2069531273842813E-2</c:v>
                </c:pt>
                <c:pt idx="1651">
                  <c:v>2.2064177158531706E-2</c:v>
                </c:pt>
                <c:pt idx="1652">
                  <c:v>2.2057945822524516E-2</c:v>
                </c:pt>
                <c:pt idx="1653">
                  <c:v>2.2051962876266096E-2</c:v>
                </c:pt>
                <c:pt idx="1654">
                  <c:v>2.204553203820403E-2</c:v>
                </c:pt>
                <c:pt idx="1655">
                  <c:v>2.2039349589730861E-2</c:v>
                </c:pt>
                <c:pt idx="1656">
                  <c:v>2.2032303888588345E-2</c:v>
                </c:pt>
                <c:pt idx="1657">
                  <c:v>2.2027033580398481E-2</c:v>
                </c:pt>
                <c:pt idx="1658">
                  <c:v>2.2020900019619205E-2</c:v>
                </c:pt>
                <c:pt idx="1659">
                  <c:v>2.2014782754524731E-2</c:v>
                </c:pt>
                <c:pt idx="1660">
                  <c:v>2.2008681785434803E-2</c:v>
                </c:pt>
                <c:pt idx="1661">
                  <c:v>2.2001816645010663E-2</c:v>
                </c:pt>
                <c:pt idx="1662">
                  <c:v>2.1994797905628971E-2</c:v>
                </c:pt>
                <c:pt idx="1663">
                  <c:v>2.1988750479948749E-2</c:v>
                </c:pt>
                <c:pt idx="1664">
                  <c:v>2.1982719350193136E-2</c:v>
                </c:pt>
                <c:pt idx="1665">
                  <c:v>2.1976704516202261E-2</c:v>
                </c:pt>
                <c:pt idx="1666">
                  <c:v>2.1970705978135996E-2</c:v>
                </c:pt>
                <c:pt idx="1667">
                  <c:v>2.1965454206798185E-2</c:v>
                </c:pt>
                <c:pt idx="1668">
                  <c:v>2.1958757789297678E-2</c:v>
                </c:pt>
                <c:pt idx="1669">
                  <c:v>2.1952808138765434E-2</c:v>
                </c:pt>
                <c:pt idx="1670">
                  <c:v>2.1946874783997927E-2</c:v>
                </c:pt>
                <c:pt idx="1671">
                  <c:v>2.1940957725075094E-2</c:v>
                </c:pt>
                <c:pt idx="1672">
                  <c:v>2.1935056961996935E-2</c:v>
                </c:pt>
                <c:pt idx="1673">
                  <c:v>2.1929172494763449E-2</c:v>
                </c:pt>
                <c:pt idx="1674">
                  <c:v>2.1923304323374637E-2</c:v>
                </c:pt>
                <c:pt idx="1675">
                  <c:v>2.1918452313620662E-2</c:v>
                </c:pt>
                <c:pt idx="1676">
                  <c:v>2.1911616868051098E-2</c:v>
                </c:pt>
                <c:pt idx="1677">
                  <c:v>2.1905797584196307E-2</c:v>
                </c:pt>
                <c:pt idx="1678">
                  <c:v>2.19017622933948E-2</c:v>
                </c:pt>
                <c:pt idx="1679">
                  <c:v>2.1890084529418985E-2</c:v>
                </c:pt>
                <c:pt idx="1680">
                  <c:v>2.1884325772907331E-2</c:v>
                </c:pt>
                <c:pt idx="1681">
                  <c:v>2.1878583312240352E-2</c:v>
                </c:pt>
                <c:pt idx="1682">
                  <c:v>2.1872040454145036E-2</c:v>
                </c:pt>
                <c:pt idx="1683">
                  <c:v>2.1867147278360477E-2</c:v>
                </c:pt>
                <c:pt idx="1684">
                  <c:v>2.1861454852070139E-2</c:v>
                </c:pt>
                <c:pt idx="1685">
                  <c:v>2.1855783892048564E-2</c:v>
                </c:pt>
                <c:pt idx="1686">
                  <c:v>2.1850134755450057E-2</c:v>
                </c:pt>
                <c:pt idx="1687">
                  <c:v>2.1844507442354555E-2</c:v>
                </c:pt>
                <c:pt idx="1688">
                  <c:v>2.1838901952682122E-2</c:v>
                </c:pt>
                <c:pt idx="1689">
                  <c:v>2.1832522401314947E-2</c:v>
                </c:pt>
                <c:pt idx="1690">
                  <c:v>2.1827756443686397E-2</c:v>
                </c:pt>
                <c:pt idx="1691">
                  <c:v>2.1822216424443042E-2</c:v>
                </c:pt>
                <c:pt idx="1692">
                  <c:v>2.1816698228622755E-2</c:v>
                </c:pt>
                <c:pt idx="1693">
                  <c:v>2.1811201856225537E-2</c:v>
                </c:pt>
                <c:pt idx="1694">
                  <c:v>2.1805727307331324E-2</c:v>
                </c:pt>
                <c:pt idx="1695">
                  <c:v>2.1799497402659185E-2</c:v>
                </c:pt>
                <c:pt idx="1696">
                  <c:v>2.179484367989204E-2</c:v>
                </c:pt>
                <c:pt idx="1697">
                  <c:v>2.1789434601346969E-2</c:v>
                </c:pt>
                <c:pt idx="1698">
                  <c:v>2.1783279519942411E-2</c:v>
                </c:pt>
                <c:pt idx="1699">
                  <c:v>2.1777917205829667E-2</c:v>
                </c:pt>
                <c:pt idx="1700">
                  <c:v>2.1772576715299863E-2</c:v>
                </c:pt>
                <c:pt idx="1701">
                  <c:v>2.176650002015279E-2</c:v>
                </c:pt>
                <c:pt idx="1702">
                  <c:v>2.1761206294135249E-2</c:v>
                </c:pt>
                <c:pt idx="1703">
                  <c:v>2.1755934391540777E-2</c:v>
                </c:pt>
                <c:pt idx="1704">
                  <c:v>2.1750502437560826E-2</c:v>
                </c:pt>
                <c:pt idx="1705">
                  <c:v>2.174545605678091E-2</c:v>
                </c:pt>
                <c:pt idx="1706">
                  <c:v>2.1740249624455643E-2</c:v>
                </c:pt>
                <c:pt idx="1707">
                  <c:v>2.1734899962275733E-2</c:v>
                </c:pt>
                <c:pt idx="1708">
                  <c:v>2.1729902230314124E-2</c:v>
                </c:pt>
                <c:pt idx="1709">
                  <c:v>2.1724761268497872E-2</c:v>
                </c:pt>
                <c:pt idx="1710">
                  <c:v>2.1719642129944816E-2</c:v>
                </c:pt>
                <c:pt idx="1711">
                  <c:v>2.1716004454250815E-2</c:v>
                </c:pt>
                <c:pt idx="1712">
                  <c:v>2.1709919212785422E-2</c:v>
                </c:pt>
                <c:pt idx="1713">
                  <c:v>2.1704578934593766E-2</c:v>
                </c:pt>
                <c:pt idx="1714">
                  <c:v>2.1699258104357355E-2</c:v>
                </c:pt>
                <c:pt idx="1715">
                  <c:v>2.1694253715214273E-2</c:v>
                </c:pt>
                <c:pt idx="1716">
                  <c:v>2.1689271152265377E-2</c:v>
                </c:pt>
                <c:pt idx="1717">
                  <c:v>2.1684310415537311E-2</c:v>
                </c:pt>
                <c:pt idx="1718">
                  <c:v>2.1679371505003431E-2</c:v>
                </c:pt>
                <c:pt idx="1719">
                  <c:v>2.1674454420690381E-2</c:v>
                </c:pt>
                <c:pt idx="1720">
                  <c:v>2.1669559162518226E-2</c:v>
                </c:pt>
                <c:pt idx="1721">
                  <c:v>2.1664685730566902E-2</c:v>
                </c:pt>
                <c:pt idx="1722">
                  <c:v>2.1659834124783117E-2</c:v>
                </c:pt>
                <c:pt idx="1723">
                  <c:v>2.1655004345193518E-2</c:v>
                </c:pt>
                <c:pt idx="1724">
                  <c:v>2.1650196391798104E-2</c:v>
                </c:pt>
                <c:pt idx="1725">
                  <c:v>2.1642064521447679E-2</c:v>
                </c:pt>
                <c:pt idx="1726">
                  <c:v>2.1640645963536542E-2</c:v>
                </c:pt>
                <c:pt idx="1727">
                  <c:v>2.1635903488643748E-2</c:v>
                </c:pt>
                <c:pt idx="1728">
                  <c:v>2.163118283994514E-2</c:v>
                </c:pt>
                <c:pt idx="1729">
                  <c:v>2.1626798896243749E-2</c:v>
                </c:pt>
                <c:pt idx="1730">
                  <c:v>2.161784593431193E-2</c:v>
                </c:pt>
                <c:pt idx="1731">
                  <c:v>2.1617151850854555E-2</c:v>
                </c:pt>
                <c:pt idx="1732">
                  <c:v>2.1612518506826106E-2</c:v>
                </c:pt>
                <c:pt idx="1733">
                  <c:v>2.1608226988731882E-2</c:v>
                </c:pt>
                <c:pt idx="1734">
                  <c:v>2.1603317297191893E-2</c:v>
                </c:pt>
                <c:pt idx="1735">
                  <c:v>2.1598749431639419E-2</c:v>
                </c:pt>
                <c:pt idx="1736">
                  <c:v>2.1594203392201194E-2</c:v>
                </c:pt>
                <c:pt idx="1737">
                  <c:v>2.1589679178957155E-2</c:v>
                </c:pt>
                <c:pt idx="1738">
                  <c:v>2.158517679180072E-2</c:v>
                </c:pt>
                <c:pt idx="1739">
                  <c:v>2.158069623083847E-2</c:v>
                </c:pt>
                <c:pt idx="1740">
                  <c:v>2.1576566510213002E-2</c:v>
                </c:pt>
                <c:pt idx="1741">
                  <c:v>2.1571800587310008E-2</c:v>
                </c:pt>
                <c:pt idx="1742">
                  <c:v>2.1567385504743797E-2</c:v>
                </c:pt>
                <c:pt idx="1743">
                  <c:v>2.1562992248291835E-2</c:v>
                </c:pt>
                <c:pt idx="1744">
                  <c:v>2.1558620818007412E-2</c:v>
                </c:pt>
                <c:pt idx="1745">
                  <c:v>2.1554271213837239E-2</c:v>
                </c:pt>
                <c:pt idx="1746">
                  <c:v>2.1550280229800656E-2</c:v>
                </c:pt>
                <c:pt idx="1747">
                  <c:v>2.1545637483866287E-2</c:v>
                </c:pt>
                <c:pt idx="1748">
                  <c:v>2.1541353358092152E-2</c:v>
                </c:pt>
                <c:pt idx="1749">
                  <c:v>2.1537431760652037E-2</c:v>
                </c:pt>
                <c:pt idx="1750">
                  <c:v>2.1532850584859986E-2</c:v>
                </c:pt>
                <c:pt idx="1751">
                  <c:v>2.1528631937428599E-2</c:v>
                </c:pt>
                <c:pt idx="1752">
                  <c:v>2.1524779738761879E-2</c:v>
                </c:pt>
                <c:pt idx="1753">
                  <c:v>2.1520260120881929E-2</c:v>
                </c:pt>
                <c:pt idx="1754">
                  <c:v>2.1516106951766645E-2</c:v>
                </c:pt>
                <c:pt idx="1755">
                  <c:v>2.1511975608792255E-2</c:v>
                </c:pt>
                <c:pt idx="1756">
                  <c:v>2.1507866091878824E-2</c:v>
                </c:pt>
                <c:pt idx="1757">
                  <c:v>2.1503778401079643E-2</c:v>
                </c:pt>
                <c:pt idx="1758">
                  <c:v>2.1499712536394711E-2</c:v>
                </c:pt>
                <c:pt idx="1759">
                  <c:v>2.149323367332201E-2</c:v>
                </c:pt>
                <c:pt idx="1760">
                  <c:v>2.1491646285287658E-2</c:v>
                </c:pt>
                <c:pt idx="1761">
                  <c:v>2.1487645898865537E-2</c:v>
                </c:pt>
                <c:pt idx="1762">
                  <c:v>2.1483667338557666E-2</c:v>
                </c:pt>
                <c:pt idx="1763">
                  <c:v>2.14807883304724E-2</c:v>
                </c:pt>
                <c:pt idx="1764">
                  <c:v>2.1471862614106385E-2</c:v>
                </c:pt>
                <c:pt idx="1765">
                  <c:v>2.1468911769311205E-2</c:v>
                </c:pt>
                <c:pt idx="1766">
                  <c:v>2.1464477620583011E-2</c:v>
                </c:pt>
                <c:pt idx="1767">
                  <c:v>2.1461170714713873E-2</c:v>
                </c:pt>
                <c:pt idx="1768">
                  <c:v>2.1457332922469874E-2</c:v>
                </c:pt>
                <c:pt idx="1769">
                  <c:v>2.1453516953648943E-2</c:v>
                </c:pt>
                <c:pt idx="1770">
                  <c:v>2.1449182568877845E-2</c:v>
                </c:pt>
                <c:pt idx="1771">
                  <c:v>2.1445950486116416E-2</c:v>
                </c:pt>
                <c:pt idx="1772">
                  <c:v>2.144219998740482E-2</c:v>
                </c:pt>
                <c:pt idx="1773">
                  <c:v>2.1438471312116292E-2</c:v>
                </c:pt>
                <c:pt idx="1774">
                  <c:v>2.1434764460250832E-2</c:v>
                </c:pt>
                <c:pt idx="1775">
                  <c:v>2.1431454994949029E-2</c:v>
                </c:pt>
                <c:pt idx="1776">
                  <c:v>2.1427416226629248E-2</c:v>
                </c:pt>
                <c:pt idx="1777">
                  <c:v>2.1423774844873122E-2</c:v>
                </c:pt>
                <c:pt idx="1778">
                  <c:v>2.142015528646013E-2</c:v>
                </c:pt>
                <c:pt idx="1779">
                  <c:v>2.1416557551550142E-2</c:v>
                </c:pt>
                <c:pt idx="1780">
                  <c:v>2.1411963959323543E-2</c:v>
                </c:pt>
                <c:pt idx="1781">
                  <c:v>2.1409953022994088E-2</c:v>
                </c:pt>
                <c:pt idx="1782">
                  <c:v>2.1404890076803795E-2</c:v>
                </c:pt>
                <c:pt idx="1783">
                  <c:v>2.1401385870678524E-2</c:v>
                </c:pt>
                <c:pt idx="1784">
                  <c:v>2.1397903487896386E-2</c:v>
                </c:pt>
                <c:pt idx="1785">
                  <c:v>2.139444292845738E-2</c:v>
                </c:pt>
                <c:pt idx="1786">
                  <c:v>2.1391004192361507E-2</c:v>
                </c:pt>
                <c:pt idx="1787">
                  <c:v>2.1387587279768638E-2</c:v>
                </c:pt>
                <c:pt idx="1788">
                  <c:v>2.1384192190518903E-2</c:v>
                </c:pt>
                <c:pt idx="1789">
                  <c:v>2.1380818924612299E-2</c:v>
                </c:pt>
                <c:pt idx="1790">
                  <c:v>2.1377467482048829E-2</c:v>
                </c:pt>
                <c:pt idx="1791">
                  <c:v>2.1374137862988363E-2</c:v>
                </c:pt>
                <c:pt idx="1792">
                  <c:v>2.1370830067111157E-2</c:v>
                </c:pt>
                <c:pt idx="1793">
                  <c:v>2.1367544094816893E-2</c:v>
                </c:pt>
                <c:pt idx="1794">
                  <c:v>2.1364279945785825E-2</c:v>
                </c:pt>
                <c:pt idx="1795">
                  <c:v>2.1361037620177825E-2</c:v>
                </c:pt>
                <c:pt idx="1796">
                  <c:v>2.1357817117912958E-2</c:v>
                </c:pt>
                <c:pt idx="1797">
                  <c:v>2.1354618438991224E-2</c:v>
                </c:pt>
                <c:pt idx="1798">
                  <c:v>2.1351441583572495E-2</c:v>
                </c:pt>
                <c:pt idx="1799">
                  <c:v>2.1348286551337026E-2</c:v>
                </c:pt>
                <c:pt idx="1800">
                  <c:v>2.1345153342604561E-2</c:v>
                </c:pt>
                <c:pt idx="1801">
                  <c:v>2.1342041957135294E-2</c:v>
                </c:pt>
                <c:pt idx="1802">
                  <c:v>2.1338952395089095E-2</c:v>
                </c:pt>
                <c:pt idx="1803">
                  <c:v>2.1335884656465964E-2</c:v>
                </c:pt>
                <c:pt idx="1804">
                  <c:v>2.1332838741185967E-2</c:v>
                </c:pt>
                <c:pt idx="1805">
                  <c:v>2.1329814649329037E-2</c:v>
                </c:pt>
                <c:pt idx="1806">
                  <c:v>2.1326812380735305E-2</c:v>
                </c:pt>
                <c:pt idx="1807">
                  <c:v>2.1323831935644577E-2</c:v>
                </c:pt>
                <c:pt idx="1808">
                  <c:v>2.132087331373711E-2</c:v>
                </c:pt>
                <c:pt idx="1809">
                  <c:v>2.1317936515332647E-2</c:v>
                </c:pt>
                <c:pt idx="1810">
                  <c:v>2.1315021540191381E-2</c:v>
                </c:pt>
                <c:pt idx="1811">
                  <c:v>2.131212838855312E-2</c:v>
                </c:pt>
                <c:pt idx="1812">
                  <c:v>2.1309257060178055E-2</c:v>
                </c:pt>
                <c:pt idx="1813">
                  <c:v>2.1306407555226059E-2</c:v>
                </c:pt>
                <c:pt idx="1814">
                  <c:v>2.1303579873537259E-2</c:v>
                </c:pt>
                <c:pt idx="1815">
                  <c:v>2.1301771280741733E-2</c:v>
                </c:pt>
                <c:pt idx="1816">
                  <c:v>2.1295621034509438E-2</c:v>
                </c:pt>
                <c:pt idx="1817">
                  <c:v>2.129248738077294E-2</c:v>
                </c:pt>
                <c:pt idx="1818">
                  <c:v>2.1289768815959675E-2</c:v>
                </c:pt>
                <c:pt idx="1819">
                  <c:v>2.128707207456948E-2</c:v>
                </c:pt>
                <c:pt idx="1820">
                  <c:v>2.1284397156442481E-2</c:v>
                </c:pt>
                <c:pt idx="1821">
                  <c:v>2.1282248217815436E-2</c:v>
                </c:pt>
                <c:pt idx="1822">
                  <c:v>2.1279622871341886E-2</c:v>
                </c:pt>
                <c:pt idx="1823">
                  <c:v>2.1277019350876003E-2</c:v>
                </c:pt>
                <c:pt idx="1824">
                  <c:v>2.1274437656391143E-2</c:v>
                </c:pt>
                <c:pt idx="1825">
                  <c:v>2.127187778786066E-2</c:v>
                </c:pt>
                <c:pt idx="1826">
                  <c:v>2.1267362035128912E-2</c:v>
                </c:pt>
                <c:pt idx="1827">
                  <c:v>2.1266823528716117E-2</c:v>
                </c:pt>
                <c:pt idx="1828">
                  <c:v>2.1262010863143388E-2</c:v>
                </c:pt>
                <c:pt idx="1829">
                  <c:v>2.1261856573469018E-2</c:v>
                </c:pt>
                <c:pt idx="1830">
                  <c:v>2.1259405834790357E-2</c:v>
                </c:pt>
                <c:pt idx="1831">
                  <c:v>2.1256976922092718E-2</c:v>
                </c:pt>
                <c:pt idx="1832">
                  <c:v>2.1255482859261932E-2</c:v>
                </c:pt>
                <c:pt idx="1833">
                  <c:v>2.1252184574560573E-2</c:v>
                </c:pt>
                <c:pt idx="1834">
                  <c:v>2.1249821139752711E-2</c:v>
                </c:pt>
                <c:pt idx="1835">
                  <c:v>2.1247940225088691E-2</c:v>
                </c:pt>
                <c:pt idx="1836">
                  <c:v>2.124515974800012E-2</c:v>
                </c:pt>
                <c:pt idx="1837">
                  <c:v>2.124286179105539E-2</c:v>
                </c:pt>
                <c:pt idx="1838">
                  <c:v>2.1240585660091682E-2</c:v>
                </c:pt>
                <c:pt idx="1839">
                  <c:v>2.1238331355055706E-2</c:v>
                </c:pt>
                <c:pt idx="1840">
                  <c:v>2.1236098876000753E-2</c:v>
                </c:pt>
                <c:pt idx="1841">
                  <c:v>2.1233888222873532E-2</c:v>
                </c:pt>
                <c:pt idx="1842">
                  <c:v>2.1231699395727333E-2</c:v>
                </c:pt>
                <c:pt idx="1843">
                  <c:v>2.1230004502701405E-2</c:v>
                </c:pt>
                <c:pt idx="1844">
                  <c:v>2.1227387219244775E-2</c:v>
                </c:pt>
                <c:pt idx="1845">
                  <c:v>2.1225263869961708E-2</c:v>
                </c:pt>
                <c:pt idx="1846">
                  <c:v>2.1223162346579727E-2</c:v>
                </c:pt>
                <c:pt idx="1847">
                  <c:v>2.1221082649152123E-2</c:v>
                </c:pt>
                <c:pt idx="1848">
                  <c:v>2.1219504061864569E-2</c:v>
                </c:pt>
                <c:pt idx="1849">
                  <c:v>2.1216988732133402E-2</c:v>
                </c:pt>
                <c:pt idx="1850">
                  <c:v>2.1214974512595575E-2</c:v>
                </c:pt>
                <c:pt idx="1851">
                  <c:v>2.1213465724274627E-2</c:v>
                </c:pt>
                <c:pt idx="1852">
                  <c:v>2.121101155122318E-2</c:v>
                </c:pt>
                <c:pt idx="1853">
                  <c:v>2.1209062809441903E-2</c:v>
                </c:pt>
                <c:pt idx="1854">
                  <c:v>2.1207135893641649E-2</c:v>
                </c:pt>
                <c:pt idx="1855">
                  <c:v>2.1205720188821608E-2</c:v>
                </c:pt>
                <c:pt idx="1856">
                  <c:v>2.1203347539824335E-2</c:v>
                </c:pt>
                <c:pt idx="1857">
                  <c:v>2.1201486101780631E-2</c:v>
                </c:pt>
                <c:pt idx="1858">
                  <c:v>2.120014022317207E-2</c:v>
                </c:pt>
                <c:pt idx="1859">
                  <c:v>2.1197828703582999E-2</c:v>
                </c:pt>
                <c:pt idx="1860">
                  <c:v>2.1196032743349136E-2</c:v>
                </c:pt>
                <c:pt idx="1861">
                  <c:v>2.1194756702562767E-2</c:v>
                </c:pt>
                <c:pt idx="1862">
                  <c:v>2.1192506300717895E-2</c:v>
                </c:pt>
                <c:pt idx="1863">
                  <c:v>2.1190775818293872E-2</c:v>
                </c:pt>
                <c:pt idx="1864">
                  <c:v>2.1189067161797581E-2</c:v>
                </c:pt>
                <c:pt idx="1865">
                  <c:v>2.1187380331255667E-2</c:v>
                </c:pt>
                <c:pt idx="1866">
                  <c:v>2.1186292837080956E-2</c:v>
                </c:pt>
                <c:pt idx="1867">
                  <c:v>2.1181896501918374E-2</c:v>
                </c:pt>
                <c:pt idx="1868">
                  <c:v>2.1180059778824756E-2</c:v>
                </c:pt>
                <c:pt idx="1869">
                  <c:v>2.1178476028254067E-2</c:v>
                </c:pt>
                <c:pt idx="1870">
                  <c:v>2.1176914101106448E-2</c:v>
                </c:pt>
                <c:pt idx="1871">
                  <c:v>2.1175373997142088E-2</c:v>
                </c:pt>
                <c:pt idx="1872">
                  <c:v>2.1174671420052249E-2</c:v>
                </c:pt>
                <c:pt idx="1873">
                  <c:v>2.1172359259482576E-2</c:v>
                </c:pt>
                <c:pt idx="1874">
                  <c:v>2.1170884625627551E-2</c:v>
                </c:pt>
                <c:pt idx="1875">
                  <c:v>2.1169431815035722E-2</c:v>
                </c:pt>
                <c:pt idx="1876">
                  <c:v>2.1168000827866962E-2</c:v>
                </c:pt>
                <c:pt idx="1877">
                  <c:v>2.1166591664041334E-2</c:v>
                </c:pt>
                <c:pt idx="1878">
                  <c:v>2.1167301147761108E-2</c:v>
                </c:pt>
                <c:pt idx="1879">
                  <c:v>2.1163838806419477E-2</c:v>
                </c:pt>
                <c:pt idx="1880">
                  <c:v>2.1162495112623247E-2</c:v>
                </c:pt>
                <c:pt idx="1881">
                  <c:v>2.1161173242090214E-2</c:v>
                </c:pt>
                <c:pt idx="1882">
                  <c:v>2.1159873194900314E-2</c:v>
                </c:pt>
                <c:pt idx="1883">
                  <c:v>2.1161073682449683E-2</c:v>
                </c:pt>
                <c:pt idx="1884">
                  <c:v>2.115663042572713E-2</c:v>
                </c:pt>
                <c:pt idx="1885">
                  <c:v>2.1155408319151192E-2</c:v>
                </c:pt>
                <c:pt idx="1886">
                  <c:v>2.1154038348294435E-2</c:v>
                </c:pt>
                <c:pt idx="1887">
                  <c:v>2.1153029575788906E-2</c:v>
                </c:pt>
                <c:pt idx="1888">
                  <c:v>2.115187293916243E-2</c:v>
                </c:pt>
                <c:pt idx="1889">
                  <c:v>2.1150738125879087E-2</c:v>
                </c:pt>
                <c:pt idx="1890">
                  <c:v>2.1149625135938876E-2</c:v>
                </c:pt>
                <c:pt idx="1891">
                  <c:v>2.1148533969261862E-2</c:v>
                </c:pt>
                <c:pt idx="1892">
                  <c:v>2.1147464626007917E-2</c:v>
                </c:pt>
                <c:pt idx="1893">
                  <c:v>2.1146417106017168E-2</c:v>
                </c:pt>
                <c:pt idx="1894">
                  <c:v>2.1145246662834793E-2</c:v>
                </c:pt>
                <c:pt idx="1895">
                  <c:v>2.1144387536145004E-2</c:v>
                </c:pt>
                <c:pt idx="1896">
                  <c:v>2.1143405486103717E-2</c:v>
                </c:pt>
                <c:pt idx="1897">
                  <c:v>2.1142445259485498E-2</c:v>
                </c:pt>
                <c:pt idx="1898">
                  <c:v>2.1141506856290349E-2</c:v>
                </c:pt>
                <c:pt idx="1899">
                  <c:v>2.1140590276358395E-2</c:v>
                </c:pt>
                <c:pt idx="1900">
                  <c:v>2.1139569478831888E-2</c:v>
                </c:pt>
                <c:pt idx="1901">
                  <c:v>2.1138822586443951E-2</c:v>
                </c:pt>
                <c:pt idx="1902">
                  <c:v>2.1137971476461459E-2</c:v>
                </c:pt>
                <c:pt idx="1903">
                  <c:v>2.1136793461895564E-2</c:v>
                </c:pt>
                <c:pt idx="1904">
                  <c:v>2.1136334726525874E-2</c:v>
                </c:pt>
                <c:pt idx="1905">
                  <c:v>2.1135549086652716E-2</c:v>
                </c:pt>
                <c:pt idx="1906">
                  <c:v>2.1134677934862012E-2</c:v>
                </c:pt>
                <c:pt idx="1907">
                  <c:v>2.1134043276695991E-2</c:v>
                </c:pt>
                <c:pt idx="1908">
                  <c:v>2.1133323106692359E-2</c:v>
                </c:pt>
                <c:pt idx="1909">
                  <c:v>2.1133196026985601E-2</c:v>
                </c:pt>
                <c:pt idx="1910">
                  <c:v>2.1131948236874365E-2</c:v>
                </c:pt>
                <c:pt idx="1911">
                  <c:v>2.1131293536980067E-2</c:v>
                </c:pt>
                <c:pt idx="1912">
                  <c:v>2.1130572030845229E-2</c:v>
                </c:pt>
                <c:pt idx="1913">
                  <c:v>2.1130049607060997E-2</c:v>
                </c:pt>
                <c:pt idx="1914">
                  <c:v>2.112946037711616E-2</c:v>
                </c:pt>
                <c:pt idx="1915">
                  <c:v>2.1128892970434521E-2</c:v>
                </c:pt>
                <c:pt idx="1916">
                  <c:v>2.112834738717595E-2</c:v>
                </c:pt>
                <c:pt idx="1917">
                  <c:v>2.1130014573389033E-2</c:v>
                </c:pt>
                <c:pt idx="1918">
                  <c:v>2.1127182288518398E-2</c:v>
                </c:pt>
                <c:pt idx="1919">
                  <c:v>2.1126642495108428E-2</c:v>
                </c:pt>
                <c:pt idx="1920">
                  <c:v>2.1126193557980955E-2</c:v>
                </c:pt>
                <c:pt idx="1921">
                  <c:v>2.1125766444196614E-2</c:v>
                </c:pt>
                <c:pt idx="1922">
                  <c:v>2.1125361153755406E-2</c:v>
                </c:pt>
                <c:pt idx="1923">
                  <c:v>2.1126111917446622E-2</c:v>
                </c:pt>
                <c:pt idx="1924">
                  <c:v>2.1124616042902389E-2</c:v>
                </c:pt>
                <c:pt idx="1925">
                  <c:v>2.1124276222490579E-2</c:v>
                </c:pt>
                <c:pt idx="1926">
                  <c:v>2.1123958225341966E-2</c:v>
                </c:pt>
                <c:pt idx="1927">
                  <c:v>2.1123662051616421E-2</c:v>
                </c:pt>
                <c:pt idx="1928">
                  <c:v>2.1123387701154073E-2</c:v>
                </c:pt>
                <c:pt idx="1929">
                  <c:v>2.1123135174034857E-2</c:v>
                </c:pt>
                <c:pt idx="1930">
                  <c:v>2.1122904470178838E-2</c:v>
                </c:pt>
                <c:pt idx="1931">
                  <c:v>2.1122695589745888E-2</c:v>
                </c:pt>
                <c:pt idx="1932">
                  <c:v>2.112493834411211E-2</c:v>
                </c:pt>
                <c:pt idx="1933">
                  <c:v>2.1122343298829449E-2</c:v>
                </c:pt>
                <c:pt idx="1934">
                  <c:v>2.1126475562890379E-2</c:v>
                </c:pt>
                <c:pt idx="1935">
                  <c:v>2.1122004814548845E-2</c:v>
                </c:pt>
                <c:pt idx="1936">
                  <c:v>2.112192063884244E-2</c:v>
                </c:pt>
                <c:pt idx="1937">
                  <c:v>2.1121858286399231E-2</c:v>
                </c:pt>
                <c:pt idx="1938">
                  <c:v>2.112181374906541E-2</c:v>
                </c:pt>
                <c:pt idx="1939">
                  <c:v>2.1121799051622148E-2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95028736"/>
        <c:axId val="95030656"/>
      </c:lineChart>
      <c:dateAx>
        <c:axId val="95028736"/>
        <c:scaling>
          <c:orientation val="minMax"/>
          <c:max val="42531"/>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95030656"/>
        <c:crosses val="autoZero"/>
        <c:auto val="1"/>
        <c:lblOffset val="100"/>
        <c:baseTimeUnit val="days"/>
        <c:majorUnit val="3"/>
        <c:majorTimeUnit val="months"/>
      </c:dateAx>
      <c:valAx>
        <c:axId val="95030656"/>
        <c:scaling>
          <c:orientation val="minMax"/>
          <c:max val="2E-3"/>
          <c:min val="1E-3"/>
        </c:scaling>
        <c:delete val="0"/>
        <c:axPos val="l"/>
        <c:majorGridlines/>
        <c:numFmt formatCode="0.00%" sourceLinked="0"/>
        <c:majorTickMark val="out"/>
        <c:minorTickMark val="none"/>
        <c:tickLblPos val="nextTo"/>
        <c:crossAx val="9502873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FRADates" refersTo="='Monitor'!$O$19:$O$36"/>
      <definedName name="FRASeries" refersTo="#REF!"/>
      <definedName name="grphUpdate"/>
    </definedNames>
    <sheetDataSet>
      <sheetData sheetId="0"/>
      <sheetData sheetId="1"/>
      <sheetData sheetId="2"/>
      <sheetData sheetId="3"/>
      <sheetData sheetId="4"/>
      <sheetData sheetId="5"/>
      <sheetData sheetId="6">
        <row r="18">
          <cell r="Z18" t="str">
            <v>6M Fwd</v>
          </cell>
        </row>
        <row r="19">
          <cell r="O19">
            <v>41830</v>
          </cell>
          <cell r="Y19">
            <v>41800</v>
          </cell>
          <cell r="Z19">
            <v>1.8170000000000597E-3</v>
          </cell>
          <cell r="AA19">
            <v>1.8421426646497707E-3</v>
          </cell>
        </row>
        <row r="20">
          <cell r="O20">
            <v>41862</v>
          </cell>
          <cell r="Y20">
            <v>41801</v>
          </cell>
          <cell r="Z20">
            <v>1.8161278909654534E-3</v>
          </cell>
          <cell r="AA20">
            <v>1.8421408004609674E-3</v>
          </cell>
        </row>
        <row r="21">
          <cell r="O21">
            <v>41892</v>
          </cell>
          <cell r="Y21">
            <v>41802</v>
          </cell>
          <cell r="Z21">
            <v>1.8152766046479498E-3</v>
          </cell>
          <cell r="AA21">
            <v>1.8421370721632968E-3</v>
          </cell>
        </row>
        <row r="22">
          <cell r="O22">
            <v>41922</v>
          </cell>
          <cell r="Y22">
            <v>41803</v>
          </cell>
          <cell r="Z22">
            <v>1.8131826806155704E-3</v>
          </cell>
          <cell r="AA22">
            <v>1.8421328279050186E-3</v>
          </cell>
        </row>
        <row r="23">
          <cell r="O23">
            <v>41953</v>
          </cell>
          <cell r="Y23">
            <v>41806</v>
          </cell>
          <cell r="Z23">
            <v>1.8120797960098156E-3</v>
          </cell>
          <cell r="AA23">
            <v>1.8421035174842615E-3</v>
          </cell>
        </row>
        <row r="24">
          <cell r="O24">
            <v>41983</v>
          </cell>
          <cell r="Y24">
            <v>41807</v>
          </cell>
          <cell r="Z24">
            <v>1.8113327053822024E-3</v>
          </cell>
          <cell r="AA24">
            <v>1.8420904684024464E-3</v>
          </cell>
        </row>
        <row r="25">
          <cell r="O25">
            <v>42165</v>
          </cell>
          <cell r="Y25">
            <v>41808</v>
          </cell>
          <cell r="Z25">
            <v>1.8106064703188591E-3</v>
          </cell>
          <cell r="AA25">
            <v>1.842075555211764E-3</v>
          </cell>
        </row>
        <row r="26">
          <cell r="O26">
            <v>42348</v>
          </cell>
          <cell r="Y26">
            <v>41809</v>
          </cell>
          <cell r="Z26">
            <v>1.8099010962978085E-3</v>
          </cell>
          <cell r="AA26">
            <v>1.8420587778322783E-3</v>
          </cell>
        </row>
        <row r="27">
          <cell r="O27" t="e">
            <v>#VALUE!</v>
          </cell>
          <cell r="Y27">
            <v>41810</v>
          </cell>
          <cell r="Z27">
            <v>1.8082974089835867E-3</v>
          </cell>
          <cell r="AA27">
            <v>1.8420284343978466E-3</v>
          </cell>
        </row>
        <row r="28">
          <cell r="O28" t="e">
            <v>#VALUE!</v>
          </cell>
          <cell r="Y28">
            <v>41813</v>
          </cell>
          <cell r="Z28">
            <v>1.8068882974650955E-3</v>
          </cell>
          <cell r="AA28">
            <v>1.8419730269059187E-3</v>
          </cell>
        </row>
        <row r="29">
          <cell r="O29" t="e">
            <v>#VALUE!</v>
          </cell>
          <cell r="Y29">
            <v>41814</v>
          </cell>
          <cell r="Z29">
            <v>1.806687333550738E-3</v>
          </cell>
          <cell r="AA29">
            <v>1.8419469288222245E-3</v>
          </cell>
        </row>
        <row r="30">
          <cell r="O30" t="e">
            <v>#VALUE!</v>
          </cell>
          <cell r="Y30">
            <v>41815</v>
          </cell>
          <cell r="Z30">
            <v>1.8048425422267148E-3</v>
          </cell>
          <cell r="AA30">
            <v>1.8419189665497271E-3</v>
          </cell>
        </row>
        <row r="31">
          <cell r="O31" t="e">
            <v>#VALUE!</v>
          </cell>
          <cell r="Y31">
            <v>41816</v>
          </cell>
          <cell r="Z31">
            <v>1.8046339733076315E-3</v>
          </cell>
          <cell r="AA31">
            <v>1.8418891400884263E-3</v>
          </cell>
        </row>
        <row r="32">
          <cell r="O32" t="e">
            <v>#VALUE!</v>
          </cell>
          <cell r="Y32">
            <v>41817</v>
          </cell>
          <cell r="Z32">
            <v>1.8044233619505788E-3</v>
          </cell>
          <cell r="AA32">
            <v>1.841832696571899E-3</v>
          </cell>
        </row>
        <row r="33">
          <cell r="O33" t="e">
            <v>#VALUE!</v>
          </cell>
          <cell r="Y33">
            <v>41820</v>
          </cell>
          <cell r="Z33">
            <v>1.803520377864627E-3</v>
          </cell>
          <cell r="AA33">
            <v>1.8417511929946784E-3</v>
          </cell>
        </row>
        <row r="34">
          <cell r="O34" t="e">
            <v>#VALUE!</v>
          </cell>
          <cell r="Y34">
            <v>41821</v>
          </cell>
          <cell r="Z34">
            <v>1.8022297794158878E-3</v>
          </cell>
          <cell r="AA34">
            <v>1.8417120457492331E-3</v>
          </cell>
        </row>
        <row r="35">
          <cell r="O35" t="e">
            <v>#VALUE!</v>
          </cell>
          <cell r="Y35">
            <v>41822</v>
          </cell>
          <cell r="Z35">
            <v>1.8020094254613554E-3</v>
          </cell>
          <cell r="AA35">
            <v>1.8416710345547926E-3</v>
          </cell>
        </row>
        <row r="36">
          <cell r="O36" t="e">
            <v>#VALUE!</v>
          </cell>
          <cell r="Y36">
            <v>41823</v>
          </cell>
          <cell r="Z36">
            <v>1.8017869735074202E-3</v>
          </cell>
          <cell r="AA36">
            <v>1.8416281590116768E-3</v>
          </cell>
        </row>
        <row r="37">
          <cell r="Y37">
            <v>41824</v>
          </cell>
          <cell r="Z37">
            <v>1.8015623996143521E-3</v>
          </cell>
          <cell r="AA37">
            <v>1.8415456144005304E-3</v>
          </cell>
        </row>
        <row r="38">
          <cell r="Y38">
            <v>41827</v>
          </cell>
          <cell r="Z38">
            <v>1.800701689405773E-3</v>
          </cell>
          <cell r="AA38">
            <v>1.8414380156706045E-3</v>
          </cell>
        </row>
        <row r="39">
          <cell r="Y39">
            <v>41828</v>
          </cell>
          <cell r="Z39">
            <v>1.8004159617881199E-3</v>
          </cell>
          <cell r="AA39">
            <v>1.8413858194232802E-3</v>
          </cell>
        </row>
        <row r="40">
          <cell r="Y40">
            <v>41829</v>
          </cell>
          <cell r="Z40">
            <v>1.8001510863461054E-3</v>
          </cell>
          <cell r="AA40">
            <v>1.8413317590670886E-3</v>
          </cell>
        </row>
        <row r="41">
          <cell r="Y41">
            <v>41830</v>
          </cell>
          <cell r="Z41">
            <v>1.799999999999823E-3</v>
          </cell>
          <cell r="AA41">
            <v>1.8412772799258903E-3</v>
          </cell>
        </row>
        <row r="42">
          <cell r="Y42">
            <v>41831</v>
          </cell>
          <cell r="Z42">
            <v>1.7997688739356647E-3</v>
          </cell>
          <cell r="AA42">
            <v>1.8411975419763138E-3</v>
          </cell>
        </row>
        <row r="43">
          <cell r="Y43">
            <v>41834</v>
          </cell>
          <cell r="Z43">
            <v>1.7991390481697995E-3</v>
          </cell>
          <cell r="AA43">
            <v>1.8411216652047813E-3</v>
          </cell>
        </row>
        <row r="44">
          <cell r="Y44">
            <v>41835</v>
          </cell>
          <cell r="Z44">
            <v>1.7989979999340996E-3</v>
          </cell>
          <cell r="AA44">
            <v>1.8410997823892217E-3</v>
          </cell>
        </row>
        <row r="45">
          <cell r="Y45">
            <v>41836</v>
          </cell>
          <cell r="Z45">
            <v>1.7988760274867401E-3</v>
          </cell>
          <cell r="AA45">
            <v>1.8410847078076387E-3</v>
          </cell>
        </row>
        <row r="46">
          <cell r="Y46">
            <v>41837</v>
          </cell>
          <cell r="Z46">
            <v>1.7990910567986229E-3</v>
          </cell>
          <cell r="AA46">
            <v>1.8410764416998404E-3</v>
          </cell>
        </row>
        <row r="47">
          <cell r="Y47">
            <v>41838</v>
          </cell>
          <cell r="Z47">
            <v>1.7988549092462325E-3</v>
          </cell>
          <cell r="AA47">
            <v>1.8411039413424035E-3</v>
          </cell>
        </row>
        <row r="48">
          <cell r="Y48">
            <v>41842</v>
          </cell>
          <cell r="Z48">
            <v>1.7984982436056055E-3</v>
          </cell>
          <cell r="AA48">
            <v>1.8411372357896028E-3</v>
          </cell>
        </row>
        <row r="49">
          <cell r="Y49">
            <v>41843</v>
          </cell>
          <cell r="Z49">
            <v>1.7984982436056055E-3</v>
          </cell>
          <cell r="AA49">
            <v>1.8411698196452164E-3</v>
          </cell>
        </row>
        <row r="50">
          <cell r="Y50">
            <v>41844</v>
          </cell>
          <cell r="Z50">
            <v>1.7990001267540537E-3</v>
          </cell>
          <cell r="AA50">
            <v>1.8412092118147427E-3</v>
          </cell>
        </row>
        <row r="51">
          <cell r="Y51">
            <v>41845</v>
          </cell>
          <cell r="Z51">
            <v>1.7987627698193335E-3</v>
          </cell>
          <cell r="AA51">
            <v>1.8413201084666042E-3</v>
          </cell>
        </row>
        <row r="52">
          <cell r="Y52">
            <v>41848</v>
          </cell>
          <cell r="Z52">
            <v>1.7985977550034231E-3</v>
          </cell>
          <cell r="AA52">
            <v>1.8414348637918465E-3</v>
          </cell>
        </row>
        <row r="53">
          <cell r="Y53">
            <v>41849</v>
          </cell>
          <cell r="Z53">
            <v>1.7986481392006722E-3</v>
          </cell>
          <cell r="AA53">
            <v>1.8415082976908081E-3</v>
          </cell>
        </row>
        <row r="54">
          <cell r="Y54">
            <v>41850</v>
          </cell>
          <cell r="Z54">
            <v>1.7987059640282071E-3</v>
          </cell>
          <cell r="AA54">
            <v>1.8415885399036824E-3</v>
          </cell>
        </row>
        <row r="55">
          <cell r="Y55">
            <v>41851</v>
          </cell>
          <cell r="Z55">
            <v>1.7984624329352914E-3</v>
          </cell>
          <cell r="AA55">
            <v>1.8416755903505333E-3</v>
          </cell>
        </row>
        <row r="56">
          <cell r="Y56">
            <v>41852</v>
          </cell>
          <cell r="Z56">
            <v>1.799156566528737E-3</v>
          </cell>
          <cell r="AA56">
            <v>1.8418818094456668E-3</v>
          </cell>
        </row>
        <row r="57">
          <cell r="Y57">
            <v>41855</v>
          </cell>
          <cell r="Z57">
            <v>1.7990776097615256E-3</v>
          </cell>
          <cell r="AA57">
            <v>1.8420918757566795E-3</v>
          </cell>
        </row>
        <row r="58">
          <cell r="Y58">
            <v>41856</v>
          </cell>
          <cell r="Z58">
            <v>1.7991626256567189E-3</v>
          </cell>
          <cell r="AA58">
            <v>1.8422129679329657E-3</v>
          </cell>
        </row>
        <row r="59">
          <cell r="Y59">
            <v>41857</v>
          </cell>
          <cell r="Z59">
            <v>1.7992492646109906E-3</v>
          </cell>
          <cell r="AA59">
            <v>1.8423408685031006E-3</v>
          </cell>
        </row>
        <row r="60">
          <cell r="Y60">
            <v>41858</v>
          </cell>
          <cell r="Z60">
            <v>1.7999916318888233E-3</v>
          </cell>
          <cell r="AA60">
            <v>1.8424755773871482E-3</v>
          </cell>
        </row>
        <row r="61">
          <cell r="Y61">
            <v>41859</v>
          </cell>
          <cell r="Z61">
            <v>1.7997527778278787E-3</v>
          </cell>
          <cell r="AA61">
            <v>1.8427771222828682E-3</v>
          </cell>
        </row>
        <row r="62">
          <cell r="Y62">
            <v>41862</v>
          </cell>
          <cell r="Z62">
            <v>1.8000000001301842E-3</v>
          </cell>
          <cell r="AA62">
            <v>1.8430767500188239E-3</v>
          </cell>
        </row>
        <row r="63">
          <cell r="Y63">
            <v>41863</v>
          </cell>
          <cell r="Z63">
            <v>1.799756673220902E-3</v>
          </cell>
          <cell r="AA63">
            <v>1.8432110239707811E-3</v>
          </cell>
        </row>
        <row r="64">
          <cell r="Y64">
            <v>41864</v>
          </cell>
          <cell r="Z64">
            <v>1.7998317415342067E-3</v>
          </cell>
          <cell r="AA64">
            <v>1.8433176295751252E-3</v>
          </cell>
        </row>
        <row r="65">
          <cell r="Y65">
            <v>41865</v>
          </cell>
          <cell r="Z65">
            <v>1.8005184672155851E-3</v>
          </cell>
          <cell r="AA65">
            <v>1.8433965669117924E-3</v>
          </cell>
        </row>
        <row r="66">
          <cell r="Y66">
            <v>41866</v>
          </cell>
          <cell r="Z66">
            <v>1.800277475299944E-3</v>
          </cell>
          <cell r="AA66">
            <v>1.8434716539150742E-3</v>
          </cell>
        </row>
        <row r="67">
          <cell r="Y67">
            <v>41869</v>
          </cell>
          <cell r="Z67">
            <v>1.8001495395577557E-3</v>
          </cell>
          <cell r="AA67">
            <v>1.8434356335017554E-3</v>
          </cell>
        </row>
        <row r="68">
          <cell r="Y68">
            <v>41870</v>
          </cell>
          <cell r="Z68">
            <v>1.8002021026681419E-3</v>
          </cell>
          <cell r="AA68">
            <v>1.8433762295000378E-3</v>
          </cell>
        </row>
        <row r="69">
          <cell r="Y69">
            <v>41871</v>
          </cell>
          <cell r="Z69">
            <v>1.8002511710188288E-3</v>
          </cell>
          <cell r="AA69">
            <v>1.843289157070771E-3</v>
          </cell>
        </row>
        <row r="70">
          <cell r="Y70">
            <v>41872</v>
          </cell>
          <cell r="Z70">
            <v>1.8008558360912167E-3</v>
          </cell>
          <cell r="AA70">
            <v>1.8431744165336994E-3</v>
          </cell>
        </row>
        <row r="71">
          <cell r="Y71">
            <v>41873</v>
          </cell>
          <cell r="Z71">
            <v>1.8006178679722631E-3</v>
          </cell>
          <cell r="AA71">
            <v>1.8427633723749892E-3</v>
          </cell>
        </row>
        <row r="72">
          <cell r="Y72">
            <v>41877</v>
          </cell>
          <cell r="Z72">
            <v>1.8004762888914328E-3</v>
          </cell>
          <cell r="AA72">
            <v>1.8421856890338262E-3</v>
          </cell>
        </row>
        <row r="73">
          <cell r="Y73">
            <v>41878</v>
          </cell>
          <cell r="Z73">
            <v>1.8005029427861762E-3</v>
          </cell>
          <cell r="AA73">
            <v>1.8419049387308206E-3</v>
          </cell>
        </row>
        <row r="74">
          <cell r="Y74">
            <v>41879</v>
          </cell>
          <cell r="Z74">
            <v>1.8002674914777094E-3</v>
          </cell>
          <cell r="AA74">
            <v>1.8415965201601381E-3</v>
          </cell>
        </row>
        <row r="75">
          <cell r="Y75">
            <v>41880</v>
          </cell>
          <cell r="Z75">
            <v>1.8000312007601508E-3</v>
          </cell>
          <cell r="AA75">
            <v>1.8408968688365945E-3</v>
          </cell>
        </row>
        <row r="76">
          <cell r="Y76">
            <v>41883</v>
          </cell>
          <cell r="Z76">
            <v>1.800106234655292E-3</v>
          </cell>
          <cell r="AA76">
            <v>1.840086162880894E-3</v>
          </cell>
        </row>
        <row r="77">
          <cell r="Y77">
            <v>41884</v>
          </cell>
          <cell r="Z77">
            <v>1.7998761512763263E-3</v>
          </cell>
          <cell r="AA77">
            <v>1.8396394028918905E-3</v>
          </cell>
        </row>
        <row r="78">
          <cell r="Y78">
            <v>41885</v>
          </cell>
          <cell r="Z78">
            <v>1.7998988151819956E-3</v>
          </cell>
          <cell r="AA78">
            <v>1.8391649745552741E-3</v>
          </cell>
        </row>
        <row r="79">
          <cell r="Y79">
            <v>41886</v>
          </cell>
          <cell r="Z79">
            <v>1.7999192780862947E-3</v>
          </cell>
          <cell r="AA79">
            <v>1.8386628779509806E-3</v>
          </cell>
        </row>
        <row r="80">
          <cell r="Y80">
            <v>41887</v>
          </cell>
          <cell r="Z80">
            <v>1.7999376143748044E-3</v>
          </cell>
          <cell r="AA80">
            <v>1.8375758368005535E-3</v>
          </cell>
        </row>
        <row r="81">
          <cell r="Y81">
            <v>41890</v>
          </cell>
          <cell r="Z81">
            <v>1.8002002389993811E-3</v>
          </cell>
          <cell r="AA81">
            <v>1.836377808777101E-3</v>
          </cell>
        </row>
        <row r="82">
          <cell r="Y82">
            <v>41891</v>
          </cell>
          <cell r="Z82">
            <v>1.7999911810794675E-3</v>
          </cell>
          <cell r="AA82">
            <v>1.8357373708344227E-3</v>
          </cell>
        </row>
        <row r="83">
          <cell r="Y83">
            <v>41892</v>
          </cell>
          <cell r="Z83">
            <v>1.8000000000709714E-3</v>
          </cell>
          <cell r="AA83">
            <v>1.835091220820928E-3</v>
          </cell>
        </row>
        <row r="84">
          <cell r="Y84">
            <v>41893</v>
          </cell>
          <cell r="Z84">
            <v>1.8000071330961916E-3</v>
          </cell>
          <cell r="AA84">
            <v>1.8345271844033562E-3</v>
          </cell>
        </row>
        <row r="85">
          <cell r="Y85">
            <v>41894</v>
          </cell>
          <cell r="Z85">
            <v>1.8000126262221457E-3</v>
          </cell>
          <cell r="AA85">
            <v>1.8336514511574364E-3</v>
          </cell>
        </row>
        <row r="86">
          <cell r="Y86">
            <v>41898</v>
          </cell>
          <cell r="Z86">
            <v>1.8000190078073508E-3</v>
          </cell>
          <cell r="AA86">
            <v>1.8332680480881436E-3</v>
          </cell>
        </row>
        <row r="87">
          <cell r="Y87">
            <v>41899</v>
          </cell>
          <cell r="Z87">
            <v>1.8000190078073508E-3</v>
          </cell>
          <cell r="AA87">
            <v>1.8333284301075281E-3</v>
          </cell>
        </row>
        <row r="88">
          <cell r="Y88">
            <v>41900</v>
          </cell>
          <cell r="Z88">
            <v>1.8000134096975296E-3</v>
          </cell>
          <cell r="AA88">
            <v>1.8334928819196961E-3</v>
          </cell>
        </row>
        <row r="89">
          <cell r="Y89">
            <v>41901</v>
          </cell>
          <cell r="Z89">
            <v>1.8000085548300823E-3</v>
          </cell>
          <cell r="AA89">
            <v>1.8341780295649812E-3</v>
          </cell>
        </row>
        <row r="90">
          <cell r="Y90">
            <v>41904</v>
          </cell>
          <cell r="Z90">
            <v>1.8001789871981832E-3</v>
          </cell>
          <cell r="AA90">
            <v>1.8355384662616103E-3</v>
          </cell>
        </row>
        <row r="91">
          <cell r="Y91">
            <v>41906</v>
          </cell>
          <cell r="Z91">
            <v>1.7999653385067449E-3</v>
          </cell>
          <cell r="AA91">
            <v>1.8366650574819232E-3</v>
          </cell>
        </row>
        <row r="92">
          <cell r="Y92">
            <v>41907</v>
          </cell>
          <cell r="Z92">
            <v>1.7999653385067449E-3</v>
          </cell>
          <cell r="AA92">
            <v>1.837557997523831E-3</v>
          </cell>
        </row>
        <row r="93">
          <cell r="Y93">
            <v>41908</v>
          </cell>
          <cell r="Z93">
            <v>1.7999399665847228E-3</v>
          </cell>
          <cell r="AA93">
            <v>1.839700178170034E-3</v>
          </cell>
        </row>
        <row r="94">
          <cell r="Y94">
            <v>41911</v>
          </cell>
          <cell r="Z94">
            <v>1.8001186802993677E-3</v>
          </cell>
          <cell r="AA94">
            <v>1.8421704554594243E-3</v>
          </cell>
        </row>
        <row r="95">
          <cell r="Y95">
            <v>41912</v>
          </cell>
          <cell r="Z95">
            <v>1.8001085631197461E-3</v>
          </cell>
          <cell r="AA95">
            <v>1.8435837443053771E-3</v>
          </cell>
        </row>
        <row r="96">
          <cell r="Y96">
            <v>41913</v>
          </cell>
          <cell r="Z96">
            <v>1.8000981910077857E-3</v>
          </cell>
          <cell r="AA96">
            <v>1.8451011029441133E-3</v>
          </cell>
        </row>
        <row r="97">
          <cell r="Y97">
            <v>41914</v>
          </cell>
          <cell r="Z97">
            <v>1.8000876041462882E-3</v>
          </cell>
          <cell r="AA97">
            <v>1.846722531295697E-3</v>
          </cell>
        </row>
        <row r="98">
          <cell r="Y98">
            <v>41915</v>
          </cell>
          <cell r="Z98">
            <v>1.8011718356007865E-3</v>
          </cell>
          <cell r="AA98">
            <v>1.8503217975940345E-3</v>
          </cell>
        </row>
        <row r="99">
          <cell r="Y99">
            <v>41918</v>
          </cell>
          <cell r="Z99">
            <v>1.8003383384750493E-3</v>
          </cell>
          <cell r="AA99">
            <v>1.8542489427098019E-3</v>
          </cell>
        </row>
        <row r="100">
          <cell r="Y100">
            <v>41919</v>
          </cell>
          <cell r="Z100">
            <v>1.800032854949903E-3</v>
          </cell>
          <cell r="AA100">
            <v>1.8563907199453666E-3</v>
          </cell>
        </row>
        <row r="101">
          <cell r="Y101">
            <v>41920</v>
          </cell>
          <cell r="Z101">
            <v>1.8000218234058732E-3</v>
          </cell>
          <cell r="AA101">
            <v>1.8586365670536509E-3</v>
          </cell>
        </row>
        <row r="102">
          <cell r="Y102">
            <v>41921</v>
          </cell>
          <cell r="Z102">
            <v>1.8000108583835763E-3</v>
          </cell>
          <cell r="AA102">
            <v>1.8609864837948464E-3</v>
          </cell>
        </row>
        <row r="103">
          <cell r="Y103">
            <v>41922</v>
          </cell>
          <cell r="Z103">
            <v>1.8000000000662542E-3</v>
          </cell>
          <cell r="AA103">
            <v>1.8661275938725019E-3</v>
          </cell>
        </row>
        <row r="104">
          <cell r="Y104">
            <v>41926</v>
          </cell>
          <cell r="Z104">
            <v>1.799958575934437E-3</v>
          </cell>
          <cell r="AA104">
            <v>1.8694608024816262E-3</v>
          </cell>
        </row>
        <row r="105">
          <cell r="Y105">
            <v>41927</v>
          </cell>
          <cell r="Z105">
            <v>1.799958575934437E-3</v>
          </cell>
          <cell r="AA105">
            <v>1.8700566238738503E-3</v>
          </cell>
        </row>
        <row r="106">
          <cell r="Y106">
            <v>41928</v>
          </cell>
          <cell r="Z106">
            <v>1.7999398084321595E-3</v>
          </cell>
          <cell r="AA106">
            <v>1.8702808121418002E-3</v>
          </cell>
        </row>
        <row r="107">
          <cell r="Y107">
            <v>41929</v>
          </cell>
          <cell r="Z107">
            <v>1.7999310968899028E-3</v>
          </cell>
          <cell r="AA107">
            <v>1.8695001200708106E-3</v>
          </cell>
        </row>
        <row r="108">
          <cell r="Y108">
            <v>41932</v>
          </cell>
          <cell r="Z108">
            <v>1.7999082890485729E-3</v>
          </cell>
          <cell r="AA108">
            <v>1.8674612345304098E-3</v>
          </cell>
        </row>
        <row r="109">
          <cell r="Y109">
            <v>41933</v>
          </cell>
          <cell r="Z109">
            <v>1.799901972571122E-3</v>
          </cell>
          <cell r="AA109">
            <v>1.8658272574167967E-3</v>
          </cell>
        </row>
        <row r="110">
          <cell r="Y110">
            <v>41934</v>
          </cell>
          <cell r="Z110">
            <v>1.7998963877650976E-3</v>
          </cell>
          <cell r="AA110">
            <v>1.8638216473387814E-3</v>
          </cell>
        </row>
        <row r="111">
          <cell r="Y111">
            <v>41935</v>
          </cell>
          <cell r="Z111">
            <v>1.7998915877932493E-3</v>
          </cell>
          <cell r="AA111">
            <v>1.8614444041364919E-3</v>
          </cell>
        </row>
        <row r="112">
          <cell r="Y112">
            <v>41936</v>
          </cell>
          <cell r="Z112">
            <v>1.7998876258187644E-3</v>
          </cell>
          <cell r="AA112">
            <v>1.8554607041476601E-3</v>
          </cell>
        </row>
        <row r="113">
          <cell r="Y113">
            <v>41939</v>
          </cell>
          <cell r="Z113">
            <v>1.7998812994973197E-3</v>
          </cell>
          <cell r="AA113">
            <v>1.8482191012836324E-3</v>
          </cell>
        </row>
        <row r="114">
          <cell r="Y114">
            <v>41940</v>
          </cell>
          <cell r="Z114">
            <v>1.799881221132752E-3</v>
          </cell>
          <cell r="AA114">
            <v>1.8439836930195241E-3</v>
          </cell>
        </row>
        <row r="115">
          <cell r="Y115">
            <v>41941</v>
          </cell>
          <cell r="Z115">
            <v>1.8001093795270734E-3</v>
          </cell>
          <cell r="AA115">
            <v>1.8393766517910137E-3</v>
          </cell>
        </row>
        <row r="116">
          <cell r="Y116">
            <v>41942</v>
          </cell>
          <cell r="Z116">
            <v>1.7998844289909071E-3</v>
          </cell>
          <cell r="AA116">
            <v>1.8343979775981012E-3</v>
          </cell>
        </row>
        <row r="117">
          <cell r="Y117">
            <v>41943</v>
          </cell>
          <cell r="Z117">
            <v>1.7996845760194526E-3</v>
          </cell>
          <cell r="AA117">
            <v>1.8201069304124573E-3</v>
          </cell>
        </row>
        <row r="118">
          <cell r="Y118">
            <v>41947</v>
          </cell>
          <cell r="Z118">
            <v>1.799958654261925E-3</v>
          </cell>
          <cell r="AA118">
            <v>1.8039301125671869E-3</v>
          </cell>
        </row>
        <row r="119">
          <cell r="Y119">
            <v>41948</v>
          </cell>
          <cell r="Z119">
            <v>1.799958654261925E-3</v>
          </cell>
          <cell r="AA119">
            <v>1.7967216409076059E-3</v>
          </cell>
        </row>
        <row r="120">
          <cell r="Y120">
            <v>41949</v>
          </cell>
          <cell r="Z120">
            <v>1.7999365667127393E-3</v>
          </cell>
          <cell r="AA120">
            <v>1.7891415363635588E-3</v>
          </cell>
        </row>
        <row r="121">
          <cell r="Y121">
            <v>41950</v>
          </cell>
          <cell r="Z121">
            <v>1.7999872621197251E-3</v>
          </cell>
          <cell r="AA121">
            <v>1.7727512808107804E-3</v>
          </cell>
        </row>
        <row r="122">
          <cell r="Y122">
            <v>41953</v>
          </cell>
          <cell r="Z122">
            <v>1.8000000000587876E-3</v>
          </cell>
          <cell r="AA122">
            <v>1.7552382438701386E-3</v>
          </cell>
        </row>
        <row r="123">
          <cell r="Y123">
            <v>41954</v>
          </cell>
          <cell r="Z123">
            <v>1.8002385252246331E-3</v>
          </cell>
          <cell r="AA123">
            <v>1.7466006959132585E-3</v>
          </cell>
        </row>
        <row r="124">
          <cell r="Y124">
            <v>41955</v>
          </cell>
          <cell r="Z124">
            <v>1.8003065531893309E-3</v>
          </cell>
          <cell r="AA124">
            <v>1.7383922354419212E-3</v>
          </cell>
        </row>
        <row r="125">
          <cell r="Y125">
            <v>41956</v>
          </cell>
          <cell r="Z125">
            <v>1.8003737032975672E-3</v>
          </cell>
          <cell r="AA125">
            <v>1.7306128626159989E-3</v>
          </cell>
        </row>
        <row r="126">
          <cell r="Y126">
            <v>41957</v>
          </cell>
          <cell r="Z126">
            <v>1.8004396656474035E-3</v>
          </cell>
          <cell r="AA126">
            <v>1.71649259280926E-3</v>
          </cell>
        </row>
        <row r="127">
          <cell r="Y127">
            <v>41960</v>
          </cell>
          <cell r="Z127">
            <v>1.8001615016041115E-3</v>
          </cell>
          <cell r="AA127">
            <v>1.7037862462476738E-3</v>
          </cell>
        </row>
        <row r="128">
          <cell r="Y128">
            <v>41961</v>
          </cell>
          <cell r="Z128">
            <v>1.8006854394032258E-3</v>
          </cell>
          <cell r="AA128">
            <v>1.6981523107695295E-3</v>
          </cell>
        </row>
        <row r="129">
          <cell r="Y129">
            <v>41962</v>
          </cell>
          <cell r="Z129">
            <v>1.8007408144174132E-3</v>
          </cell>
          <cell r="AA129">
            <v>1.692947462696992E-3</v>
          </cell>
        </row>
        <row r="130">
          <cell r="Y130">
            <v>41963</v>
          </cell>
          <cell r="Z130">
            <v>1.800793142255829E-3</v>
          </cell>
          <cell r="AA130">
            <v>1.6881717020300613E-3</v>
          </cell>
        </row>
        <row r="131">
          <cell r="Y131">
            <v>41964</v>
          </cell>
          <cell r="Z131">
            <v>1.8008421130156519E-3</v>
          </cell>
          <cell r="AA131">
            <v>1.6783894745620032E-3</v>
          </cell>
        </row>
        <row r="132">
          <cell r="Y132">
            <v>41968</v>
          </cell>
          <cell r="Z132">
            <v>1.8003181613780561E-3</v>
          </cell>
          <cell r="AA132">
            <v>1.6707292091400205E-3</v>
          </cell>
        </row>
        <row r="133">
          <cell r="Y133">
            <v>41969</v>
          </cell>
          <cell r="Z133">
            <v>1.8003181613780561E-3</v>
          </cell>
          <cell r="AA133">
            <v>1.6685279725869862E-3</v>
          </cell>
        </row>
        <row r="134">
          <cell r="Y134">
            <v>41970</v>
          </cell>
          <cell r="Z134">
            <v>1.8010480843608249E-3</v>
          </cell>
          <cell r="AA134">
            <v>1.6667558231997504E-3</v>
          </cell>
        </row>
        <row r="135">
          <cell r="Y135">
            <v>41971</v>
          </cell>
          <cell r="Z135">
            <v>1.8003387206655154E-3</v>
          </cell>
          <cell r="AA135">
            <v>1.6646495129801764E-3</v>
          </cell>
        </row>
        <row r="136">
          <cell r="Y136">
            <v>41974</v>
          </cell>
          <cell r="Z136">
            <v>1.8003255056052605E-3</v>
          </cell>
          <cell r="AA136">
            <v>1.6639580989874503E-3</v>
          </cell>
        </row>
        <row r="137">
          <cell r="Y137">
            <v>41975</v>
          </cell>
          <cell r="Z137">
            <v>1.8003121569024579E-3</v>
          </cell>
          <cell r="AA137">
            <v>1.664331386228568E-3</v>
          </cell>
        </row>
        <row r="138">
          <cell r="Y138">
            <v>41976</v>
          </cell>
          <cell r="Z138">
            <v>1.800293822688311E-3</v>
          </cell>
          <cell r="AA138">
            <v>1.6651337606354844E-3</v>
          </cell>
        </row>
        <row r="139">
          <cell r="Y139">
            <v>41977</v>
          </cell>
          <cell r="Z139">
            <v>1.8002701947623218E-3</v>
          </cell>
          <cell r="AA139">
            <v>1.6663652224480074E-3</v>
          </cell>
        </row>
        <row r="140">
          <cell r="Y140">
            <v>41978</v>
          </cell>
          <cell r="Z140">
            <v>1.8002409649235526E-3</v>
          </cell>
          <cell r="AA140">
            <v>1.6702661862666446E-3</v>
          </cell>
        </row>
        <row r="141">
          <cell r="Y141">
            <v>41981</v>
          </cell>
          <cell r="Z141">
            <v>1.8001165819194363E-3</v>
          </cell>
          <cell r="AA141">
            <v>1.6755819425551266E-3</v>
          </cell>
        </row>
        <row r="142">
          <cell r="Y142">
            <v>41982</v>
          </cell>
          <cell r="Z142">
            <v>1.8000618624184181E-3</v>
          </cell>
          <cell r="AA142">
            <v>1.6789588408361311E-3</v>
          </cell>
        </row>
        <row r="143">
          <cell r="Y143">
            <v>41983</v>
          </cell>
          <cell r="Z143">
            <v>1.7999999999999336E-3</v>
          </cell>
          <cell r="AA143">
            <v>1.6826931688029845E-3</v>
          </cell>
        </row>
        <row r="144">
          <cell r="Y144">
            <v>41984</v>
          </cell>
          <cell r="Z144">
            <v>1.7999307231857582E-3</v>
          </cell>
          <cell r="AA144">
            <v>1.6864982959763353E-3</v>
          </cell>
        </row>
        <row r="145">
          <cell r="Y145">
            <v>41985</v>
          </cell>
          <cell r="Z145">
            <v>1.7998539073885186E-3</v>
          </cell>
          <cell r="AA145">
            <v>1.6941136607684371E-3</v>
          </cell>
        </row>
        <row r="146">
          <cell r="Y146">
            <v>41988</v>
          </cell>
          <cell r="Z146">
            <v>1.7995773474460991E-3</v>
          </cell>
          <cell r="AA146">
            <v>1.7017102193772615E-3</v>
          </cell>
        </row>
        <row r="147">
          <cell r="Y147">
            <v>41989</v>
          </cell>
          <cell r="Z147">
            <v>1.7994694970664832E-3</v>
          </cell>
          <cell r="AA147">
            <v>1.7055110539043739E-3</v>
          </cell>
        </row>
        <row r="148">
          <cell r="Y148">
            <v>41990</v>
          </cell>
          <cell r="Z148">
            <v>1.7993536683796215E-3</v>
          </cell>
          <cell r="AA148">
            <v>1.7093110299182257E-3</v>
          </cell>
        </row>
        <row r="149">
          <cell r="Y149">
            <v>41991</v>
          </cell>
          <cell r="Z149">
            <v>1.7992297735208536E-3</v>
          </cell>
          <cell r="AA149">
            <v>1.7131101474188171E-3</v>
          </cell>
        </row>
        <row r="150">
          <cell r="Y150">
            <v>41992</v>
          </cell>
          <cell r="Z150">
            <v>1.7990977246259579E-3</v>
          </cell>
          <cell r="AA150">
            <v>1.7207137451702437E-3</v>
          </cell>
        </row>
        <row r="151">
          <cell r="Y151">
            <v>41995</v>
          </cell>
          <cell r="Z151">
            <v>1.7986517750853662E-3</v>
          </cell>
          <cell r="AA151">
            <v>1.730199602349991E-3</v>
          </cell>
        </row>
        <row r="152">
          <cell r="Y152">
            <v>41997</v>
          </cell>
          <cell r="Z152">
            <v>1.7983120943710408E-3</v>
          </cell>
          <cell r="AA152">
            <v>1.7434882092928206E-3</v>
          </cell>
        </row>
        <row r="153">
          <cell r="Y153">
            <v>42002</v>
          </cell>
          <cell r="Z153">
            <v>1.7983120943710408E-3</v>
          </cell>
          <cell r="AA153">
            <v>1.7548437774905778E-3</v>
          </cell>
        </row>
        <row r="154">
          <cell r="Y154">
            <v>42003</v>
          </cell>
          <cell r="Z154">
            <v>1.797081891346756E-3</v>
          </cell>
          <cell r="AA154">
            <v>1.7681213323195166E-3</v>
          </cell>
        </row>
        <row r="155">
          <cell r="Y155">
            <v>42009</v>
          </cell>
          <cell r="Z155">
            <v>1.7955201860458531E-3</v>
          </cell>
          <cell r="AA155">
            <v>1.7813474551431341E-3</v>
          </cell>
        </row>
        <row r="156">
          <cell r="Y156">
            <v>42010</v>
          </cell>
          <cell r="Z156">
            <v>1.7955201860458531E-3</v>
          </cell>
          <cell r="AA156">
            <v>1.7851302606519681E-3</v>
          </cell>
        </row>
        <row r="157">
          <cell r="Y157">
            <v>42011</v>
          </cell>
          <cell r="Z157">
            <v>1.7952732170948939E-3</v>
          </cell>
          <cell r="AA157">
            <v>1.7889122076475417E-3</v>
          </cell>
        </row>
        <row r="158">
          <cell r="Y158">
            <v>42012</v>
          </cell>
          <cell r="Z158">
            <v>1.7949469577765477E-3</v>
          </cell>
          <cell r="AA158">
            <v>1.7926932962097908E-3</v>
          </cell>
        </row>
        <row r="159">
          <cell r="Y159">
            <v>42013</v>
          </cell>
          <cell r="Z159">
            <v>1.7946107372126712E-3</v>
          </cell>
          <cell r="AA159">
            <v>1.8021552571245714E-3</v>
          </cell>
        </row>
        <row r="160">
          <cell r="Y160">
            <v>42017</v>
          </cell>
          <cell r="Z160">
            <v>1.7931644755890611E-3</v>
          </cell>
          <cell r="AA160">
            <v>1.8115616756286812E-3</v>
          </cell>
        </row>
        <row r="161">
          <cell r="Y161">
            <v>42018</v>
          </cell>
          <cell r="Z161">
            <v>1.7931644755890611E-3</v>
          </cell>
          <cell r="AA161">
            <v>1.8151925005494007E-3</v>
          </cell>
        </row>
        <row r="162">
          <cell r="Y162">
            <v>42019</v>
          </cell>
          <cell r="Z162">
            <v>1.7923803502542324E-3</v>
          </cell>
          <cell r="AA162">
            <v>1.8186773543948931E-3</v>
          </cell>
        </row>
        <row r="163">
          <cell r="Y163">
            <v>42020</v>
          </cell>
          <cell r="Z163">
            <v>1.7919744683802656E-3</v>
          </cell>
          <cell r="AA163">
            <v>1.8251697453397497E-3</v>
          </cell>
        </row>
        <row r="164">
          <cell r="Y164">
            <v>42023</v>
          </cell>
          <cell r="Z164">
            <v>1.7903201617872659E-3</v>
          </cell>
          <cell r="AA164">
            <v>1.831157059424271E-3</v>
          </cell>
        </row>
        <row r="165">
          <cell r="Y165">
            <v>42024</v>
          </cell>
          <cell r="Z165">
            <v>1.7900866778679599E-3</v>
          </cell>
          <cell r="AA165">
            <v>1.8339120580534995E-3</v>
          </cell>
        </row>
        <row r="166">
          <cell r="Y166">
            <v>42025</v>
          </cell>
          <cell r="Z166">
            <v>1.7898354309159837E-3</v>
          </cell>
          <cell r="AA166">
            <v>1.836521085687437E-3</v>
          </cell>
        </row>
        <row r="167">
          <cell r="Y167">
            <v>42026</v>
          </cell>
          <cell r="Z167">
            <v>1.7893906964907853E-3</v>
          </cell>
          <cell r="AA167">
            <v>1.8389841421662112E-3</v>
          </cell>
        </row>
        <row r="168">
          <cell r="Y168">
            <v>42027</v>
          </cell>
          <cell r="Z168">
            <v>1.7889419859807112E-3</v>
          </cell>
          <cell r="AA168">
            <v>1.8434331244954194E-3</v>
          </cell>
        </row>
        <row r="169">
          <cell r="Y169">
            <v>42030</v>
          </cell>
          <cell r="Z169">
            <v>1.7874618567980129E-3</v>
          </cell>
          <cell r="AA169">
            <v>1.8473766576487805E-3</v>
          </cell>
        </row>
        <row r="170">
          <cell r="Y170">
            <v>42031</v>
          </cell>
          <cell r="Z170">
            <v>1.7871216650021187E-3</v>
          </cell>
          <cell r="AA170">
            <v>1.8491098588313548E-3</v>
          </cell>
        </row>
        <row r="171">
          <cell r="Y171">
            <v>42032</v>
          </cell>
          <cell r="Z171">
            <v>1.786663785492783E-3</v>
          </cell>
          <cell r="AA171">
            <v>1.850697088938702E-3</v>
          </cell>
        </row>
        <row r="172">
          <cell r="Y172">
            <v>42033</v>
          </cell>
          <cell r="Z172">
            <v>1.7862062144646438E-3</v>
          </cell>
          <cell r="AA172">
            <v>1.8521383480507581E-3</v>
          </cell>
        </row>
        <row r="173">
          <cell r="Y173">
            <v>42034</v>
          </cell>
          <cell r="Z173">
            <v>1.7856783840834464E-3</v>
          </cell>
          <cell r="AA173">
            <v>1.8545438494221855E-3</v>
          </cell>
        </row>
        <row r="174">
          <cell r="Y174">
            <v>42037</v>
          </cell>
          <cell r="Z174">
            <v>1.784355456601599E-3</v>
          </cell>
          <cell r="AA174">
            <v>1.8564436734269663E-3</v>
          </cell>
        </row>
        <row r="175">
          <cell r="Y175">
            <v>42038</v>
          </cell>
          <cell r="Z175">
            <v>1.7839479797193661E-3</v>
          </cell>
          <cell r="AA175">
            <v>1.8571550770030143E-3</v>
          </cell>
        </row>
        <row r="176">
          <cell r="Y176">
            <v>42039</v>
          </cell>
          <cell r="Z176">
            <v>1.7835072554790591E-3</v>
          </cell>
          <cell r="AA176">
            <v>1.8577205095837712E-3</v>
          </cell>
        </row>
        <row r="177">
          <cell r="Y177">
            <v>42040</v>
          </cell>
          <cell r="Z177">
            <v>1.7830718383490833E-3</v>
          </cell>
          <cell r="AA177">
            <v>1.858139971089301E-3</v>
          </cell>
        </row>
        <row r="178">
          <cell r="Y178">
            <v>42041</v>
          </cell>
          <cell r="Z178">
            <v>1.7826424424163502E-3</v>
          </cell>
          <cell r="AA178">
            <v>1.8585019181749374E-3</v>
          </cell>
        </row>
        <row r="179">
          <cell r="Y179">
            <v>42044</v>
          </cell>
          <cell r="Z179">
            <v>1.7814335436794337E-3</v>
          </cell>
          <cell r="AA179">
            <v>1.8583581061193399E-3</v>
          </cell>
        </row>
        <row r="180">
          <cell r="Y180">
            <v>42045</v>
          </cell>
          <cell r="Z180">
            <v>1.7809993523898817E-3</v>
          </cell>
          <cell r="AA180">
            <v>1.8578243233813296E-3</v>
          </cell>
        </row>
        <row r="181">
          <cell r="Y181">
            <v>42047</v>
          </cell>
          <cell r="Z181">
            <v>1.7802325007963853E-3</v>
          </cell>
          <cell r="AA181">
            <v>1.8570109701165904E-3</v>
          </cell>
        </row>
        <row r="182">
          <cell r="Y182">
            <v>42048</v>
          </cell>
          <cell r="Z182">
            <v>1.7802325007963853E-3</v>
          </cell>
          <cell r="AA182">
            <v>1.8557684754494375E-3</v>
          </cell>
        </row>
        <row r="183">
          <cell r="Y183">
            <v>42051</v>
          </cell>
          <cell r="Z183">
            <v>1.7789319765835468E-3</v>
          </cell>
          <cell r="AA183">
            <v>1.854459459673663E-3</v>
          </cell>
        </row>
        <row r="184">
          <cell r="Y184">
            <v>42052</v>
          </cell>
          <cell r="Z184">
            <v>1.7785055360982891E-3</v>
          </cell>
          <cell r="AA184">
            <v>1.8537860405132278E-3</v>
          </cell>
        </row>
        <row r="185">
          <cell r="Y185">
            <v>42053</v>
          </cell>
          <cell r="Z185">
            <v>1.7781930431677515E-3</v>
          </cell>
          <cell r="AA185">
            <v>1.8530984048847898E-3</v>
          </cell>
        </row>
        <row r="186">
          <cell r="Y186">
            <v>42054</v>
          </cell>
          <cell r="Z186">
            <v>1.7778914831011099E-3</v>
          </cell>
          <cell r="AA186">
            <v>1.8523965525485409E-3</v>
          </cell>
        </row>
        <row r="187">
          <cell r="Y187">
            <v>42055</v>
          </cell>
          <cell r="Z187">
            <v>1.7776008414100643E-3</v>
          </cell>
          <cell r="AA187">
            <v>1.850954975983754E-3</v>
          </cell>
        </row>
        <row r="188">
          <cell r="Y188">
            <v>42058</v>
          </cell>
          <cell r="Z188">
            <v>1.7769567936524874E-3</v>
          </cell>
          <cell r="AA188">
            <v>1.849446977404412E-3</v>
          </cell>
        </row>
        <row r="189">
          <cell r="Y189">
            <v>42059</v>
          </cell>
          <cell r="Z189">
            <v>1.7765471686504131E-3</v>
          </cell>
          <cell r="AA189">
            <v>1.8486740421685965E-3</v>
          </cell>
        </row>
        <row r="190">
          <cell r="Y190">
            <v>42060</v>
          </cell>
          <cell r="Z190">
            <v>1.7763109015247703E-3</v>
          </cell>
          <cell r="AA190">
            <v>1.8478868902249701E-3</v>
          </cell>
        </row>
        <row r="191">
          <cell r="Y191">
            <v>42061</v>
          </cell>
          <cell r="Z191">
            <v>1.7760854658511057E-3</v>
          </cell>
          <cell r="AA191">
            <v>1.8470855217334048E-3</v>
          </cell>
        </row>
        <row r="192">
          <cell r="Y192">
            <v>42062</v>
          </cell>
          <cell r="Z192">
            <v>1.7760640154876846E-3</v>
          </cell>
          <cell r="AA192">
            <v>1.845444856236611E-3</v>
          </cell>
        </row>
        <row r="193">
          <cell r="Y193">
            <v>42065</v>
          </cell>
          <cell r="Z193">
            <v>1.7759459761638224E-3</v>
          </cell>
          <cell r="AA193">
            <v>1.8437378818880745E-3</v>
          </cell>
        </row>
        <row r="194">
          <cell r="Y194">
            <v>42066</v>
          </cell>
          <cell r="Z194">
            <v>1.7757944701904033E-3</v>
          </cell>
          <cell r="AA194">
            <v>1.8428654304170067E-3</v>
          </cell>
        </row>
        <row r="195">
          <cell r="Y195">
            <v>42067</v>
          </cell>
          <cell r="Z195">
            <v>1.7756532589833279E-3</v>
          </cell>
          <cell r="AA195">
            <v>1.841978762398E-3</v>
          </cell>
        </row>
        <row r="196">
          <cell r="Y196">
            <v>42068</v>
          </cell>
          <cell r="Z196">
            <v>1.7760117236280178E-3</v>
          </cell>
          <cell r="AA196">
            <v>1.8410778776711823E-3</v>
          </cell>
        </row>
        <row r="197">
          <cell r="Y197">
            <v>42069</v>
          </cell>
          <cell r="Z197">
            <v>1.7756509338214552E-3</v>
          </cell>
          <cell r="AA197">
            <v>1.8392381163145899E-3</v>
          </cell>
        </row>
        <row r="198">
          <cell r="Y198">
            <v>42072</v>
          </cell>
          <cell r="Z198">
            <v>1.7751011257229115E-3</v>
          </cell>
          <cell r="AA198">
            <v>1.8373321731246506E-3</v>
          </cell>
        </row>
        <row r="199">
          <cell r="Y199">
            <v>42073</v>
          </cell>
          <cell r="Z199">
            <v>1.7750213838841273E-3</v>
          </cell>
          <cell r="AA199">
            <v>1.8363811376342909E-3</v>
          </cell>
        </row>
        <row r="200">
          <cell r="Y200">
            <v>42074</v>
          </cell>
          <cell r="Z200">
            <v>1.7749517232064664E-3</v>
          </cell>
          <cell r="AA200">
            <v>1.8355205461961788E-3</v>
          </cell>
        </row>
        <row r="201">
          <cell r="Y201">
            <v>42075</v>
          </cell>
          <cell r="Z201">
            <v>1.7754563371845163E-3</v>
          </cell>
          <cell r="AA201">
            <v>1.8347713311062108E-3</v>
          </cell>
        </row>
        <row r="202">
          <cell r="Y202">
            <v>42076</v>
          </cell>
          <cell r="Z202">
            <v>1.7751266685083471E-3</v>
          </cell>
          <cell r="AA202">
            <v>1.8336534944829452E-3</v>
          </cell>
        </row>
        <row r="203">
          <cell r="Y203">
            <v>42079</v>
          </cell>
          <cell r="Z203">
            <v>1.7747319350209887E-3</v>
          </cell>
          <cell r="AA203">
            <v>1.8328882327089957E-3</v>
          </cell>
        </row>
        <row r="204">
          <cell r="Y204">
            <v>42080</v>
          </cell>
          <cell r="Z204">
            <v>1.7747087983940265E-3</v>
          </cell>
          <cell r="AA204">
            <v>1.8326958987202602E-3</v>
          </cell>
        </row>
        <row r="205">
          <cell r="Y205">
            <v>42081</v>
          </cell>
          <cell r="Z205">
            <v>1.7746909747601534E-3</v>
          </cell>
          <cell r="AA205">
            <v>1.8326149409197967E-3</v>
          </cell>
        </row>
        <row r="206">
          <cell r="Y206">
            <v>42082</v>
          </cell>
          <cell r="Z206">
            <v>1.7762485229333436E-3</v>
          </cell>
          <cell r="AA206">
            <v>1.8326453593875414E-3</v>
          </cell>
        </row>
        <row r="207">
          <cell r="Y207">
            <v>42083</v>
          </cell>
          <cell r="Z207">
            <v>1.7759394990185173E-3</v>
          </cell>
          <cell r="AA207">
            <v>1.8330867842042409E-3</v>
          </cell>
        </row>
        <row r="208">
          <cell r="Y208">
            <v>42086</v>
          </cell>
          <cell r="Z208">
            <v>1.7749856720963959E-3</v>
          </cell>
          <cell r="AA208">
            <v>1.8338807954609848E-3</v>
          </cell>
        </row>
        <row r="209">
          <cell r="Y209">
            <v>42087</v>
          </cell>
          <cell r="Z209">
            <v>1.7746565496026463E-3</v>
          </cell>
          <cell r="AA209">
            <v>1.8344680950299619E-3</v>
          </cell>
        </row>
        <row r="210">
          <cell r="Y210">
            <v>42088</v>
          </cell>
          <cell r="Z210">
            <v>1.774656388814307E-3</v>
          </cell>
          <cell r="AA210">
            <v>1.8351667708671471E-3</v>
          </cell>
        </row>
        <row r="211">
          <cell r="Y211">
            <v>42089</v>
          </cell>
          <cell r="Z211">
            <v>1.7753338452058056E-3</v>
          </cell>
          <cell r="AA211">
            <v>1.8359768228926043E-3</v>
          </cell>
        </row>
        <row r="212">
          <cell r="Y212">
            <v>42090</v>
          </cell>
          <cell r="Z212">
            <v>1.774996992955889E-3</v>
          </cell>
          <cell r="AA212">
            <v>1.8379775648380559E-3</v>
          </cell>
        </row>
        <row r="213">
          <cell r="Y213">
            <v>42093</v>
          </cell>
          <cell r="Z213">
            <v>1.7746376392337232E-3</v>
          </cell>
          <cell r="AA213">
            <v>1.8403307934367064E-3</v>
          </cell>
        </row>
        <row r="214">
          <cell r="Y214">
            <v>42094</v>
          </cell>
          <cell r="Z214">
            <v>1.7742695901294887E-3</v>
          </cell>
          <cell r="AA214">
            <v>1.8416977267232681E-3</v>
          </cell>
        </row>
        <row r="215">
          <cell r="Y215">
            <v>42095</v>
          </cell>
          <cell r="Z215">
            <v>1.7742498260606371E-3</v>
          </cell>
          <cell r="AA215">
            <v>1.843176036198102E-3</v>
          </cell>
        </row>
        <row r="216">
          <cell r="Y216">
            <v>42096</v>
          </cell>
          <cell r="Z216">
            <v>1.7742249774727503E-3</v>
          </cell>
          <cell r="AA216">
            <v>1.848409579125132E-3</v>
          </cell>
        </row>
        <row r="217">
          <cell r="Y217">
            <v>42101</v>
          </cell>
          <cell r="Z217">
            <v>1.7739999233601367E-3</v>
          </cell>
          <cell r="AA217">
            <v>1.8543847939600511E-3</v>
          </cell>
        </row>
        <row r="218">
          <cell r="Y218">
            <v>42102</v>
          </cell>
          <cell r="Z218">
            <v>1.7739298416278068E-3</v>
          </cell>
          <cell r="AA218">
            <v>1.8566427371524696E-3</v>
          </cell>
        </row>
        <row r="219">
          <cell r="Y219">
            <v>42103</v>
          </cell>
          <cell r="Z219">
            <v>1.7738497667010083E-3</v>
          </cell>
          <cell r="AA219">
            <v>1.8590120566130963E-3</v>
          </cell>
        </row>
        <row r="220">
          <cell r="Y220">
            <v>42104</v>
          </cell>
          <cell r="Z220">
            <v>1.7749057777202613E-3</v>
          </cell>
          <cell r="AA220">
            <v>1.8634215811719201E-3</v>
          </cell>
        </row>
        <row r="221">
          <cell r="Y221">
            <v>42107</v>
          </cell>
          <cell r="Z221">
            <v>1.773427160288193E-3</v>
          </cell>
          <cell r="AA221">
            <v>1.8666841514125565E-3</v>
          </cell>
        </row>
        <row r="222">
          <cell r="Y222">
            <v>42108</v>
          </cell>
          <cell r="Z222">
            <v>1.77330256563491E-3</v>
          </cell>
          <cell r="AA222">
            <v>1.8677169821135209E-3</v>
          </cell>
        </row>
        <row r="223">
          <cell r="Y223">
            <v>42109</v>
          </cell>
          <cell r="Z223">
            <v>1.7731741259152849E-3</v>
          </cell>
          <cell r="AA223">
            <v>1.8683878465175496E-3</v>
          </cell>
        </row>
        <row r="224">
          <cell r="Y224">
            <v>42110</v>
          </cell>
          <cell r="Z224">
            <v>1.773043728779136E-3</v>
          </cell>
          <cell r="AA224">
            <v>1.8686967446246427E-3</v>
          </cell>
        </row>
        <row r="225">
          <cell r="Y225">
            <v>42111</v>
          </cell>
          <cell r="Z225">
            <v>1.7737133449852683E-3</v>
          </cell>
          <cell r="AA225">
            <v>1.868117680787762E-3</v>
          </cell>
        </row>
        <row r="226">
          <cell r="Y226">
            <v>42114</v>
          </cell>
          <cell r="Z226">
            <v>1.7725403190577958E-3</v>
          </cell>
          <cell r="AA226">
            <v>1.8663126747231473E-3</v>
          </cell>
        </row>
        <row r="227">
          <cell r="Y227">
            <v>42115</v>
          </cell>
          <cell r="Z227">
            <v>1.7724284495753751E-3</v>
          </cell>
          <cell r="AA227">
            <v>1.8648117415853704E-3</v>
          </cell>
        </row>
        <row r="228">
          <cell r="Y228">
            <v>42116</v>
          </cell>
          <cell r="Z228">
            <v>1.7723259485679119E-3</v>
          </cell>
          <cell r="AA228">
            <v>1.8629488421506579E-3</v>
          </cell>
        </row>
        <row r="229">
          <cell r="Y229">
            <v>42117</v>
          </cell>
          <cell r="Z229">
            <v>1.7722347036821665E-3</v>
          </cell>
          <cell r="AA229">
            <v>1.8607239765788819E-3</v>
          </cell>
        </row>
        <row r="230">
          <cell r="Y230">
            <v>42118</v>
          </cell>
          <cell r="Z230">
            <v>1.7729802754152485E-3</v>
          </cell>
          <cell r="AA230">
            <v>1.8550772503189705E-3</v>
          </cell>
        </row>
        <row r="231">
          <cell r="Y231">
            <v>42121</v>
          </cell>
          <cell r="Z231">
            <v>1.7720200382959346E-3</v>
          </cell>
          <cell r="AA231">
            <v>1.8482048518020378E-3</v>
          </cell>
        </row>
        <row r="232">
          <cell r="Y232">
            <v>42122</v>
          </cell>
          <cell r="Z232">
            <v>1.7720133887245493E-3</v>
          </cell>
          <cell r="AA232">
            <v>1.8419765358990148E-3</v>
          </cell>
        </row>
        <row r="233">
          <cell r="Y233">
            <v>42124</v>
          </cell>
          <cell r="Z233">
            <v>1.7720697232480435E-3</v>
          </cell>
          <cell r="AA233">
            <v>1.8350148630208452E-3</v>
          </cell>
        </row>
        <row r="234">
          <cell r="Y234">
            <v>42125</v>
          </cell>
          <cell r="Z234">
            <v>1.7720697232480435E-3</v>
          </cell>
          <cell r="AA234">
            <v>1.8150041867048827E-3</v>
          </cell>
        </row>
        <row r="235">
          <cell r="Y235">
            <v>42131</v>
          </cell>
          <cell r="Z235">
            <v>1.7744151362874029E-3</v>
          </cell>
          <cell r="AA235">
            <v>1.7915694079473354E-3</v>
          </cell>
        </row>
        <row r="236">
          <cell r="Y236">
            <v>42132</v>
          </cell>
          <cell r="Z236">
            <v>1.7744151362874029E-3</v>
          </cell>
          <cell r="AA236">
            <v>1.7757868301693236E-3</v>
          </cell>
        </row>
        <row r="237">
          <cell r="Y237">
            <v>42135</v>
          </cell>
          <cell r="Z237">
            <v>1.7750699452347201E-3</v>
          </cell>
          <cell r="AA237">
            <v>1.758902682382768E-3</v>
          </cell>
        </row>
        <row r="238">
          <cell r="Y238">
            <v>42136</v>
          </cell>
          <cell r="Z238">
            <v>1.7755471707221087E-3</v>
          </cell>
          <cell r="AA238">
            <v>1.750535472258008E-3</v>
          </cell>
        </row>
        <row r="239">
          <cell r="Y239">
            <v>42137</v>
          </cell>
          <cell r="Z239">
            <v>1.7760690495791944E-3</v>
          </cell>
          <cell r="AA239">
            <v>1.7425413078075991E-3</v>
          </cell>
        </row>
        <row r="240">
          <cell r="Y240">
            <v>42138</v>
          </cell>
          <cell r="Z240">
            <v>1.7773974429234572E-3</v>
          </cell>
          <cell r="AA240">
            <v>1.7349201890315413E-3</v>
          </cell>
        </row>
        <row r="241">
          <cell r="Y241">
            <v>42139</v>
          </cell>
          <cell r="Z241">
            <v>1.7776184829617176E-3</v>
          </cell>
          <cell r="AA241">
            <v>1.720929663227011E-3</v>
          </cell>
        </row>
        <row r="242">
          <cell r="Y242">
            <v>42142</v>
          </cell>
          <cell r="Z242">
            <v>1.779274016509738E-3</v>
          </cell>
          <cell r="AA242">
            <v>1.708166169631653E-3</v>
          </cell>
        </row>
        <row r="243">
          <cell r="Y243">
            <v>42143</v>
          </cell>
          <cell r="Z243">
            <v>1.7800192788398474E-3</v>
          </cell>
          <cell r="AA243">
            <v>1.7024102786677986E-3</v>
          </cell>
        </row>
        <row r="244">
          <cell r="Y244">
            <v>42144</v>
          </cell>
          <cell r="Z244">
            <v>1.7807943489514173E-3</v>
          </cell>
          <cell r="AA244">
            <v>1.6970274332184232E-3</v>
          </cell>
        </row>
        <row r="245">
          <cell r="Y245">
            <v>42145</v>
          </cell>
          <cell r="Z245">
            <v>1.7826246497460458E-3</v>
          </cell>
          <cell r="AA245">
            <v>1.6920176332035908E-3</v>
          </cell>
        </row>
        <row r="246">
          <cell r="Y246">
            <v>42146</v>
          </cell>
          <cell r="Z246">
            <v>1.7831034035702264E-3</v>
          </cell>
          <cell r="AA246">
            <v>1.681370139756666E-3</v>
          </cell>
        </row>
        <row r="247">
          <cell r="Y247">
            <v>42150</v>
          </cell>
          <cell r="Z247">
            <v>1.7859519678868319E-3</v>
          </cell>
          <cell r="AA247">
            <v>1.6725643154469338E-3</v>
          </cell>
        </row>
        <row r="248">
          <cell r="Y248">
            <v>42151</v>
          </cell>
          <cell r="Z248">
            <v>1.7868763098367699E-3</v>
          </cell>
          <cell r="AA248">
            <v>1.6697927881992314E-3</v>
          </cell>
        </row>
        <row r="249">
          <cell r="Y249">
            <v>42152</v>
          </cell>
          <cell r="Z249">
            <v>1.7884081351227455E-3</v>
          </cell>
          <cell r="AA249">
            <v>1.6673943063061358E-3</v>
          </cell>
        </row>
        <row r="250">
          <cell r="Y250">
            <v>42153</v>
          </cell>
          <cell r="Z250">
            <v>1.7890539776534388E-3</v>
          </cell>
          <cell r="AA250">
            <v>1.6638485172570938E-3</v>
          </cell>
        </row>
        <row r="251">
          <cell r="Y251">
            <v>42156</v>
          </cell>
          <cell r="Z251">
            <v>1.7913733952946691E-3</v>
          </cell>
          <cell r="AA251">
            <v>1.6615308329992473E-3</v>
          </cell>
        </row>
        <row r="252">
          <cell r="Y252">
            <v>42157</v>
          </cell>
          <cell r="Z252">
            <v>1.7923509737915102E-3</v>
          </cell>
          <cell r="AA252">
            <v>1.6609975781189945E-3</v>
          </cell>
        </row>
        <row r="253">
          <cell r="Y253">
            <v>42158</v>
          </cell>
          <cell r="Z253">
            <v>1.7933287612591153E-3</v>
          </cell>
          <cell r="AA253">
            <v>1.6608373685933486E-3</v>
          </cell>
        </row>
        <row r="254">
          <cell r="Y254">
            <v>42159</v>
          </cell>
          <cell r="Z254">
            <v>1.7943046252664222E-3</v>
          </cell>
          <cell r="AA254">
            <v>1.6610502045022457E-3</v>
          </cell>
        </row>
        <row r="255">
          <cell r="Y255">
            <v>42160</v>
          </cell>
          <cell r="Z255">
            <v>1.7957554441240524E-3</v>
          </cell>
          <cell r="AA255">
            <v>1.6627270405322747E-3</v>
          </cell>
        </row>
        <row r="256">
          <cell r="Y256">
            <v>42163</v>
          </cell>
          <cell r="Z256">
            <v>1.7981461979329539E-3</v>
          </cell>
          <cell r="AA256">
            <v>1.6656320020036475E-3</v>
          </cell>
        </row>
        <row r="257">
          <cell r="Y257">
            <v>42164</v>
          </cell>
          <cell r="Z257">
            <v>1.7990804580321827E-3</v>
          </cell>
          <cell r="AA257">
            <v>1.6677100649253873E-3</v>
          </cell>
        </row>
        <row r="258">
          <cell r="Y258">
            <v>42165</v>
          </cell>
          <cell r="Z258">
            <v>1.7999999999999984E-3</v>
          </cell>
          <cell r="AA258">
            <v>1.6700961930204983E-3</v>
          </cell>
        </row>
        <row r="259">
          <cell r="Y259">
            <v>42166</v>
          </cell>
          <cell r="Z259">
            <v>1.800903073767022E-3</v>
          </cell>
          <cell r="AA259">
            <v>1.6725304656439732E-3</v>
          </cell>
        </row>
        <row r="260">
          <cell r="Y260">
            <v>42167</v>
          </cell>
          <cell r="Z260">
            <v>1.8021525504359685E-3</v>
          </cell>
          <cell r="AA260">
            <v>1.6773507071032867E-3</v>
          </cell>
        </row>
        <row r="261">
          <cell r="Y261">
            <v>42170</v>
          </cell>
          <cell r="Z261">
            <v>1.8043501003830783E-3</v>
          </cell>
          <cell r="AA261">
            <v>1.6820991992894108E-3</v>
          </cell>
        </row>
        <row r="262">
          <cell r="Y262">
            <v>42171</v>
          </cell>
          <cell r="Z262">
            <v>1.805171349291956E-3</v>
          </cell>
          <cell r="AA262">
            <v>1.6844492935685906E-3</v>
          </cell>
        </row>
        <row r="263">
          <cell r="Y263">
            <v>42172</v>
          </cell>
          <cell r="Z263">
            <v>1.805976718852724E-3</v>
          </cell>
          <cell r="AA263">
            <v>1.6867825521149626E-3</v>
          </cell>
        </row>
        <row r="264">
          <cell r="Y264">
            <v>42173</v>
          </cell>
          <cell r="Z264">
            <v>1.8067663709407042E-3</v>
          </cell>
          <cell r="AA264">
            <v>1.6890989750084628E-3</v>
          </cell>
        </row>
        <row r="265">
          <cell r="Y265">
            <v>42174</v>
          </cell>
          <cell r="Z265">
            <v>1.8078000220402787E-3</v>
          </cell>
          <cell r="AA265">
            <v>1.6936836701386682E-3</v>
          </cell>
        </row>
        <row r="266">
          <cell r="Y266">
            <v>42177</v>
          </cell>
          <cell r="Z266">
            <v>1.8097710421078775E-3</v>
          </cell>
          <cell r="AA266">
            <v>1.6981963099738095E-3</v>
          </cell>
        </row>
        <row r="267">
          <cell r="Y267">
            <v>42178</v>
          </cell>
          <cell r="Z267">
            <v>1.8105898622827986E-3</v>
          </cell>
          <cell r="AA267">
            <v>1.7004285545230147E-3</v>
          </cell>
        </row>
        <row r="268">
          <cell r="Y268">
            <v>42179</v>
          </cell>
          <cell r="Z268">
            <v>1.8111832816760072E-3</v>
          </cell>
          <cell r="AA268">
            <v>1.7026439633394119E-3</v>
          </cell>
        </row>
        <row r="269">
          <cell r="Y269">
            <v>42180</v>
          </cell>
          <cell r="Z269">
            <v>1.8122202996960512E-3</v>
          </cell>
          <cell r="AA269">
            <v>1.7048425366628095E-3</v>
          </cell>
        </row>
        <row r="270">
          <cell r="Y270">
            <v>42181</v>
          </cell>
          <cell r="Z270">
            <v>1.8127890147205446E-3</v>
          </cell>
          <cell r="AA270">
            <v>1.7091916788558592E-3</v>
          </cell>
        </row>
        <row r="271">
          <cell r="Y271">
            <v>42184</v>
          </cell>
          <cell r="Z271">
            <v>1.8144614878481003E-3</v>
          </cell>
          <cell r="AA271">
            <v>1.7134684727082572E-3</v>
          </cell>
        </row>
        <row r="272">
          <cell r="Y272">
            <v>42185</v>
          </cell>
          <cell r="Z272">
            <v>1.8150751568068093E-3</v>
          </cell>
          <cell r="AA272">
            <v>1.7155828675274876E-3</v>
          </cell>
        </row>
        <row r="273">
          <cell r="Y273">
            <v>42186</v>
          </cell>
          <cell r="Z273">
            <v>1.8158985800514327E-3</v>
          </cell>
          <cell r="AA273">
            <v>1.7176804266938461E-3</v>
          </cell>
        </row>
        <row r="274">
          <cell r="Y274">
            <v>42187</v>
          </cell>
          <cell r="Z274">
            <v>1.8164179679019414E-3</v>
          </cell>
          <cell r="AA274">
            <v>1.7197611501273968E-3</v>
          </cell>
        </row>
        <row r="275">
          <cell r="Y275">
            <v>42188</v>
          </cell>
          <cell r="Z275">
            <v>1.8169317574962976E-3</v>
          </cell>
          <cell r="AA275">
            <v>1.723874732961761E-3</v>
          </cell>
        </row>
        <row r="276">
          <cell r="Y276">
            <v>42191</v>
          </cell>
          <cell r="Z276">
            <v>1.8185124068692551E-3</v>
          </cell>
          <cell r="AA276">
            <v>1.7279156873328816E-3</v>
          </cell>
        </row>
        <row r="277">
          <cell r="Y277">
            <v>42192</v>
          </cell>
          <cell r="Z277">
            <v>1.8190297996765483E-3</v>
          </cell>
          <cell r="AA277">
            <v>1.7299122324221372E-3</v>
          </cell>
        </row>
        <row r="278">
          <cell r="Y278">
            <v>42193</v>
          </cell>
          <cell r="Z278">
            <v>1.8195348498434537E-3</v>
          </cell>
          <cell r="AA278">
            <v>1.731891941858521E-3</v>
          </cell>
        </row>
        <row r="279">
          <cell r="Y279">
            <v>42194</v>
          </cell>
          <cell r="Z279">
            <v>1.8200870056013514E-3</v>
          </cell>
          <cell r="AA279">
            <v>1.733854815562097E-3</v>
          </cell>
        </row>
        <row r="280">
          <cell r="Y280">
            <v>42195</v>
          </cell>
          <cell r="Z280">
            <v>1.8205418513169091E-3</v>
          </cell>
          <cell r="AA280">
            <v>1.7377328321899199E-3</v>
          </cell>
        </row>
        <row r="281">
          <cell r="Y281">
            <v>42198</v>
          </cell>
          <cell r="Z281">
            <v>1.8218805963604832E-3</v>
          </cell>
          <cell r="AA281">
            <v>1.7415379538476827E-3</v>
          </cell>
        </row>
        <row r="282">
          <cell r="Y282">
            <v>42199</v>
          </cell>
          <cell r="Z282">
            <v>1.8223149718634413E-3</v>
          </cell>
          <cell r="AA282">
            <v>1.7434166491270275E-3</v>
          </cell>
        </row>
        <row r="283">
          <cell r="Y283">
            <v>42200</v>
          </cell>
          <cell r="Z283">
            <v>1.8227381317892368E-3</v>
          </cell>
          <cell r="AA283">
            <v>1.7452785088334366E-3</v>
          </cell>
        </row>
        <row r="284">
          <cell r="Y284">
            <v>42201</v>
          </cell>
          <cell r="Z284">
            <v>1.8231433210249485E-3</v>
          </cell>
          <cell r="AA284">
            <v>1.7471235328070378E-3</v>
          </cell>
        </row>
        <row r="285">
          <cell r="Y285">
            <v>42202</v>
          </cell>
          <cell r="Z285">
            <v>1.8235453889126545E-3</v>
          </cell>
          <cell r="AA285">
            <v>1.7516646989901297E-3</v>
          </cell>
        </row>
        <row r="286">
          <cell r="Y286">
            <v>42206</v>
          </cell>
          <cell r="Z286">
            <v>1.8250505808232347E-3</v>
          </cell>
          <cell r="AA286">
            <v>1.7560961176421586E-3</v>
          </cell>
        </row>
        <row r="287">
          <cell r="Y287">
            <v>42207</v>
          </cell>
          <cell r="Z287">
            <v>1.8250505808232347E-3</v>
          </cell>
          <cell r="AA287">
            <v>1.7578401275386568E-3</v>
          </cell>
        </row>
        <row r="288">
          <cell r="Y288">
            <v>42208</v>
          </cell>
          <cell r="Z288">
            <v>1.8256967033442933E-3</v>
          </cell>
          <cell r="AA288">
            <v>1.7595673017822833E-3</v>
          </cell>
        </row>
        <row r="289">
          <cell r="Y289">
            <v>42209</v>
          </cell>
          <cell r="Z289">
            <v>1.8260452344315674E-3</v>
          </cell>
          <cell r="AA289">
            <v>1.7629741647873232E-3</v>
          </cell>
        </row>
        <row r="290">
          <cell r="Y290">
            <v>42212</v>
          </cell>
          <cell r="Z290">
            <v>1.8269998439589205E-3</v>
          </cell>
          <cell r="AA290">
            <v>1.7663076418283907E-3</v>
          </cell>
        </row>
        <row r="291">
          <cell r="Y291">
            <v>42213</v>
          </cell>
          <cell r="Z291">
            <v>1.8272918534359538E-3</v>
          </cell>
          <cell r="AA291">
            <v>1.7679506377277221E-3</v>
          </cell>
        </row>
        <row r="292">
          <cell r="Y292">
            <v>42214</v>
          </cell>
          <cell r="Z292">
            <v>1.8275749015074566E-3</v>
          </cell>
          <cell r="AA292">
            <v>1.7695767978942456E-3</v>
          </cell>
        </row>
        <row r="293">
          <cell r="Y293">
            <v>42215</v>
          </cell>
          <cell r="Z293">
            <v>1.8278828460936453E-3</v>
          </cell>
          <cell r="AA293">
            <v>1.7711861223279612E-3</v>
          </cell>
        </row>
        <row r="294">
          <cell r="Y294">
            <v>42216</v>
          </cell>
          <cell r="Z294">
            <v>1.8281853719523493E-3</v>
          </cell>
          <cell r="AA294">
            <v>1.7743573976236604E-3</v>
          </cell>
        </row>
        <row r="295">
          <cell r="Y295">
            <v>42219</v>
          </cell>
          <cell r="Z295">
            <v>1.8288613562918951E-3</v>
          </cell>
          <cell r="AA295">
            <v>1.7774550632942976E-3</v>
          </cell>
        </row>
        <row r="296">
          <cell r="Y296">
            <v>42220</v>
          </cell>
          <cell r="Z296">
            <v>1.8290940172376218E-3</v>
          </cell>
          <cell r="AA296">
            <v>1.7789802093837181E-3</v>
          </cell>
        </row>
        <row r="297">
          <cell r="Y297">
            <v>42221</v>
          </cell>
          <cell r="Z297">
            <v>1.8293188438814455E-3</v>
          </cell>
          <cell r="AA297">
            <v>1.7804885197403308E-3</v>
          </cell>
        </row>
        <row r="298">
          <cell r="Y298">
            <v>42222</v>
          </cell>
          <cell r="Z298">
            <v>1.8294580484966249E-3</v>
          </cell>
          <cell r="AA298">
            <v>1.7819799944440717E-3</v>
          </cell>
        </row>
        <row r="299">
          <cell r="Y299">
            <v>42223</v>
          </cell>
          <cell r="Z299">
            <v>1.8297056296854958E-3</v>
          </cell>
          <cell r="AA299">
            <v>1.7849156745430861E-3</v>
          </cell>
        </row>
        <row r="300">
          <cell r="Y300">
            <v>42226</v>
          </cell>
          <cell r="Z300">
            <v>1.8303310981249157E-3</v>
          </cell>
          <cell r="AA300">
            <v>1.7877775362507009E-3</v>
          </cell>
        </row>
        <row r="301">
          <cell r="Y301">
            <v>42227</v>
          </cell>
          <cell r="Z301">
            <v>1.8304715095876967E-3</v>
          </cell>
          <cell r="AA301">
            <v>1.7891848325302107E-3</v>
          </cell>
        </row>
        <row r="302">
          <cell r="Y302">
            <v>42228</v>
          </cell>
          <cell r="Z302">
            <v>1.8306867952657875E-3</v>
          </cell>
          <cell r="AA302">
            <v>1.7905752930769125E-3</v>
          </cell>
        </row>
        <row r="303">
          <cell r="Y303">
            <v>42229</v>
          </cell>
          <cell r="Z303">
            <v>1.8307752806625481E-3</v>
          </cell>
          <cell r="AA303">
            <v>1.7919489179707426E-3</v>
          </cell>
        </row>
        <row r="304">
          <cell r="Y304">
            <v>42230</v>
          </cell>
          <cell r="Z304">
            <v>1.8309760389612195E-3</v>
          </cell>
          <cell r="AA304">
            <v>1.7946489952791467E-3</v>
          </cell>
        </row>
        <row r="305">
          <cell r="Y305">
            <v>42233</v>
          </cell>
          <cell r="Z305">
            <v>1.8314642978767765E-3</v>
          </cell>
          <cell r="AA305">
            <v>1.7972750606176646E-3</v>
          </cell>
        </row>
        <row r="306">
          <cell r="Y306">
            <v>42234</v>
          </cell>
          <cell r="Z306">
            <v>1.8316019310642322E-3</v>
          </cell>
          <cell r="AA306">
            <v>1.7985645070872636E-3</v>
          </cell>
        </row>
        <row r="307">
          <cell r="Y307">
            <v>42235</v>
          </cell>
          <cell r="Z307">
            <v>1.8317339841800657E-3</v>
          </cell>
          <cell r="AA307">
            <v>1.7998371178240546E-3</v>
          </cell>
        </row>
        <row r="308">
          <cell r="Y308">
            <v>42236</v>
          </cell>
          <cell r="Z308">
            <v>1.8317897327960273E-3</v>
          </cell>
          <cell r="AA308">
            <v>1.80109289298791E-3</v>
          </cell>
        </row>
        <row r="309">
          <cell r="Y309">
            <v>42237</v>
          </cell>
          <cell r="Z309">
            <v>1.8319464963660343E-3</v>
          </cell>
          <cell r="AA309">
            <v>1.8035573596719701E-3</v>
          </cell>
        </row>
        <row r="310">
          <cell r="Y310">
            <v>42240</v>
          </cell>
          <cell r="Z310">
            <v>1.8323161842881892E-3</v>
          </cell>
          <cell r="AA310">
            <v>1.8059476363951887E-3</v>
          </cell>
        </row>
        <row r="311">
          <cell r="Y311">
            <v>42241</v>
          </cell>
          <cell r="Z311">
            <v>1.8324181383386087E-3</v>
          </cell>
          <cell r="AA311">
            <v>1.8071192329749408E-3</v>
          </cell>
        </row>
        <row r="312">
          <cell r="Y312">
            <v>42242</v>
          </cell>
          <cell r="Z312">
            <v>1.8325156394401491E-3</v>
          </cell>
          <cell r="AA312">
            <v>1.8082739939817571E-3</v>
          </cell>
        </row>
        <row r="313">
          <cell r="Y313">
            <v>42243</v>
          </cell>
          <cell r="Z313">
            <v>1.8325560404443319E-3</v>
          </cell>
          <cell r="AA313">
            <v>1.8094119192557656E-3</v>
          </cell>
        </row>
        <row r="314">
          <cell r="Y314">
            <v>42244</v>
          </cell>
          <cell r="Z314">
            <v>1.8326719325286345E-3</v>
          </cell>
          <cell r="AA314">
            <v>1.812186237191149E-3</v>
          </cell>
        </row>
        <row r="315">
          <cell r="Y315">
            <v>42248</v>
          </cell>
          <cell r="Z315">
            <v>1.833061251389697E-3</v>
          </cell>
          <cell r="AA315">
            <v>1.8148490101932424E-3</v>
          </cell>
        </row>
        <row r="316">
          <cell r="Y316">
            <v>42249</v>
          </cell>
          <cell r="Z316">
            <v>1.8331280726397686E-3</v>
          </cell>
          <cell r="AA316">
            <v>1.8158859213901479E-3</v>
          </cell>
        </row>
        <row r="317">
          <cell r="Y317">
            <v>42250</v>
          </cell>
          <cell r="Z317">
            <v>1.8331915539439379E-3</v>
          </cell>
          <cell r="AA317">
            <v>1.8169059967743095E-3</v>
          </cell>
        </row>
        <row r="318">
          <cell r="Y318">
            <v>42251</v>
          </cell>
          <cell r="Z318">
            <v>1.833251858088473E-3</v>
          </cell>
          <cell r="AA318">
            <v>1.8188992186018993E-3</v>
          </cell>
        </row>
        <row r="319">
          <cell r="Y319">
            <v>42254</v>
          </cell>
          <cell r="Z319">
            <v>1.833415335423878E-3</v>
          </cell>
          <cell r="AA319">
            <v>1.8208179417023018E-3</v>
          </cell>
        </row>
        <row r="320">
          <cell r="Y320">
            <v>42255</v>
          </cell>
          <cell r="Z320">
            <v>1.8334645587903598E-3</v>
          </cell>
          <cell r="AA320">
            <v>1.8217538386622323E-3</v>
          </cell>
        </row>
        <row r="321">
          <cell r="Y321">
            <v>42256</v>
          </cell>
          <cell r="Z321">
            <v>1.8335114189272294E-3</v>
          </cell>
          <cell r="AA321">
            <v>1.8226728999692909E-3</v>
          </cell>
        </row>
        <row r="322">
          <cell r="Y322">
            <v>42257</v>
          </cell>
          <cell r="Z322">
            <v>1.8335560786211945E-3</v>
          </cell>
          <cell r="AA322">
            <v>1.8235751255435417E-3</v>
          </cell>
        </row>
        <row r="323">
          <cell r="Y323">
            <v>42258</v>
          </cell>
          <cell r="Z323">
            <v>1.8335987006576442E-3</v>
          </cell>
          <cell r="AA323">
            <v>1.8253327128725516E-3</v>
          </cell>
        </row>
        <row r="324">
          <cell r="Y324">
            <v>42261</v>
          </cell>
          <cell r="Z324">
            <v>1.8337159686880951E-3</v>
          </cell>
          <cell r="AA324">
            <v>1.8270156711519547E-3</v>
          </cell>
        </row>
        <row r="325">
          <cell r="Y325">
            <v>42262</v>
          </cell>
          <cell r="Z325">
            <v>1.8337520679589205E-3</v>
          </cell>
          <cell r="AA325">
            <v>1.8278337183019744E-3</v>
          </cell>
        </row>
        <row r="326">
          <cell r="Y326">
            <v>42263</v>
          </cell>
          <cell r="Z326">
            <v>1.8337869435040097E-3</v>
          </cell>
          <cell r="AA326">
            <v>1.8286349297991222E-3</v>
          </cell>
        </row>
        <row r="327">
          <cell r="Y327">
            <v>42264</v>
          </cell>
          <cell r="Z327">
            <v>1.8338207581096307E-3</v>
          </cell>
          <cell r="AA327">
            <v>1.8294193054835262E-3</v>
          </cell>
        </row>
        <row r="328">
          <cell r="Y328">
            <v>42265</v>
          </cell>
          <cell r="Z328">
            <v>1.8338536745620517E-3</v>
          </cell>
          <cell r="AA328">
            <v>1.832030795108075E-3</v>
          </cell>
        </row>
        <row r="329">
          <cell r="Y329">
            <v>42271</v>
          </cell>
          <cell r="Z329">
            <v>1.8340414280912591E-3</v>
          </cell>
          <cell r="AA329">
            <v>1.8344385366741989E-3</v>
          </cell>
        </row>
        <row r="330">
          <cell r="Y330">
            <v>42272</v>
          </cell>
          <cell r="Z330">
            <v>1.8340414280912591E-3</v>
          </cell>
          <cell r="AA330">
            <v>1.8357248302791618E-3</v>
          </cell>
        </row>
        <row r="331">
          <cell r="Y331">
            <v>42275</v>
          </cell>
          <cell r="Z331">
            <v>1.8342272781631864E-3</v>
          </cell>
          <cell r="AA331">
            <v>1.8369362834835812E-3</v>
          </cell>
        </row>
        <row r="332">
          <cell r="Y332">
            <v>42276</v>
          </cell>
          <cell r="Z332">
            <v>1.8342030343128507E-3</v>
          </cell>
          <cell r="AA332">
            <v>1.8375186310137792E-3</v>
          </cell>
        </row>
        <row r="333">
          <cell r="Y333">
            <v>42277</v>
          </cell>
          <cell r="Z333">
            <v>1.8343040593832567E-3</v>
          </cell>
          <cell r="AA333">
            <v>1.8380841427312333E-3</v>
          </cell>
        </row>
        <row r="334">
          <cell r="Y334">
            <v>42278</v>
          </cell>
          <cell r="Z334">
            <v>1.8343442908953676E-3</v>
          </cell>
          <cell r="AA334">
            <v>1.8386328188757517E-3</v>
          </cell>
        </row>
        <row r="335">
          <cell r="Y335">
            <v>42279</v>
          </cell>
          <cell r="Z335">
            <v>1.8345463769959525E-3</v>
          </cell>
          <cell r="AA335">
            <v>1.8396834531753115E-3</v>
          </cell>
        </row>
        <row r="336">
          <cell r="Y336">
            <v>42282</v>
          </cell>
          <cell r="Z336">
            <v>1.8345212672362722E-3</v>
          </cell>
          <cell r="AA336">
            <v>1.8406591663655547E-3</v>
          </cell>
        </row>
        <row r="337">
          <cell r="Y337">
            <v>42283</v>
          </cell>
          <cell r="Z337">
            <v>1.834570333384138E-3</v>
          </cell>
          <cell r="AA337">
            <v>1.8411236639259698E-3</v>
          </cell>
        </row>
        <row r="338">
          <cell r="Y338">
            <v>42284</v>
          </cell>
          <cell r="Z338">
            <v>1.8346216521519527E-3</v>
          </cell>
          <cell r="AA338">
            <v>1.8415713259134492E-3</v>
          </cell>
        </row>
        <row r="339">
          <cell r="Y339">
            <v>42285</v>
          </cell>
          <cell r="Z339">
            <v>1.834675385439062E-3</v>
          </cell>
          <cell r="AA339">
            <v>1.8420021520881846E-3</v>
          </cell>
        </row>
        <row r="340">
          <cell r="Y340">
            <v>42286</v>
          </cell>
          <cell r="Z340">
            <v>1.8349552361064123E-3</v>
          </cell>
          <cell r="AA340">
            <v>1.8430091919596769E-3</v>
          </cell>
        </row>
        <row r="341">
          <cell r="Y341">
            <v>42290</v>
          </cell>
          <cell r="Z341">
            <v>1.8349859360760714E-3</v>
          </cell>
          <cell r="AA341">
            <v>1.8439037479289766E-3</v>
          </cell>
        </row>
        <row r="342">
          <cell r="Y342">
            <v>42291</v>
          </cell>
          <cell r="Z342">
            <v>1.8349859360760714E-3</v>
          </cell>
          <cell r="AA342">
            <v>1.8442335600266091E-3</v>
          </cell>
        </row>
        <row r="343">
          <cell r="Y343">
            <v>42292</v>
          </cell>
          <cell r="Z343">
            <v>1.8351327243891606E-3</v>
          </cell>
          <cell r="AA343">
            <v>1.8445465364713698E-3</v>
          </cell>
        </row>
        <row r="344">
          <cell r="Y344">
            <v>42293</v>
          </cell>
          <cell r="Z344">
            <v>1.8355035913357443E-3</v>
          </cell>
          <cell r="AA344">
            <v>1.8451258270868465E-3</v>
          </cell>
        </row>
        <row r="345">
          <cell r="Y345">
            <v>42296</v>
          </cell>
          <cell r="Z345">
            <v>1.8354721126316975E-3</v>
          </cell>
          <cell r="AA345">
            <v>1.8456300850822061E-3</v>
          </cell>
        </row>
        <row r="346">
          <cell r="Y346">
            <v>42297</v>
          </cell>
          <cell r="Z346">
            <v>1.8355674481857934E-3</v>
          </cell>
          <cell r="AA346">
            <v>1.8458588830227995E-3</v>
          </cell>
        </row>
        <row r="347">
          <cell r="Y347">
            <v>42298</v>
          </cell>
          <cell r="Z347">
            <v>1.8356673029336517E-3</v>
          </cell>
          <cell r="AA347">
            <v>1.8460708453105212E-3</v>
          </cell>
        </row>
        <row r="348">
          <cell r="Y348">
            <v>42299</v>
          </cell>
          <cell r="Z348">
            <v>1.835771838774182E-3</v>
          </cell>
          <cell r="AA348">
            <v>1.846265971785499E-3</v>
          </cell>
        </row>
        <row r="349">
          <cell r="Y349">
            <v>42300</v>
          </cell>
          <cell r="Z349">
            <v>1.8362463739802172E-3</v>
          </cell>
          <cell r="AA349">
            <v>1.846609577969005E-3</v>
          </cell>
        </row>
        <row r="350">
          <cell r="Y350">
            <v>42303</v>
          </cell>
          <cell r="Z350">
            <v>1.8362400310329148E-3</v>
          </cell>
          <cell r="AA350">
            <v>1.846878121076756E-3</v>
          </cell>
        </row>
        <row r="351">
          <cell r="Y351">
            <v>42304</v>
          </cell>
          <cell r="Z351">
            <v>1.8363704008156436E-3</v>
          </cell>
          <cell r="AA351">
            <v>1.8469890691275026E-3</v>
          </cell>
        </row>
        <row r="352">
          <cell r="Y352">
            <v>42305</v>
          </cell>
          <cell r="Z352">
            <v>1.8365064230827547E-3</v>
          </cell>
          <cell r="AA352">
            <v>1.8470831815253774E-3</v>
          </cell>
        </row>
        <row r="353">
          <cell r="Y353">
            <v>42306</v>
          </cell>
          <cell r="Z353">
            <v>1.8364388866495311E-3</v>
          </cell>
          <cell r="AA353">
            <v>1.8471604581904444E-3</v>
          </cell>
        </row>
        <row r="354">
          <cell r="Y354">
            <v>42307</v>
          </cell>
          <cell r="Z354">
            <v>1.8363702290294427E-3</v>
          </cell>
          <cell r="AA354">
            <v>1.847268371415467E-3</v>
          </cell>
        </row>
        <row r="355">
          <cell r="Y355">
            <v>42310</v>
          </cell>
          <cell r="Z355">
            <v>1.8379982676972675E-3</v>
          </cell>
          <cell r="AA355">
            <v>1.8473024967313734E-3</v>
          </cell>
        </row>
        <row r="356">
          <cell r="Y356">
            <v>42312</v>
          </cell>
          <cell r="Z356">
            <v>1.8378782730108321E-3</v>
          </cell>
          <cell r="AA356">
            <v>1.8472705687511137E-3</v>
          </cell>
        </row>
        <row r="357">
          <cell r="Y357">
            <v>42313</v>
          </cell>
          <cell r="Z357">
            <v>1.8378782730108321E-3</v>
          </cell>
          <cell r="AA357">
            <v>1.8472299956062699E-3</v>
          </cell>
        </row>
        <row r="358">
          <cell r="Y358">
            <v>42314</v>
          </cell>
          <cell r="Z358">
            <v>1.8377563717924912E-3</v>
          </cell>
          <cell r="AA358">
            <v>1.8471022073995869E-3</v>
          </cell>
        </row>
        <row r="359">
          <cell r="Y359">
            <v>42317</v>
          </cell>
          <cell r="Z359">
            <v>1.8383654317782334E-3</v>
          </cell>
          <cell r="AA359">
            <v>1.8468993460185601E-3</v>
          </cell>
        </row>
        <row r="360">
          <cell r="Y360">
            <v>42318</v>
          </cell>
          <cell r="Z360">
            <v>1.8385836938481894E-3</v>
          </cell>
          <cell r="AA360">
            <v>1.846774594369549E-3</v>
          </cell>
        </row>
        <row r="361">
          <cell r="Y361">
            <v>42319</v>
          </cell>
          <cell r="Z361">
            <v>1.8388098482704117E-3</v>
          </cell>
          <cell r="AA361">
            <v>1.8466330070676662E-3</v>
          </cell>
        </row>
        <row r="362">
          <cell r="Y362">
            <v>42320</v>
          </cell>
          <cell r="Z362">
            <v>1.839044057835121E-3</v>
          </cell>
          <cell r="AA362">
            <v>1.8464745840329755E-3</v>
          </cell>
        </row>
        <row r="363">
          <cell r="Y363">
            <v>42321</v>
          </cell>
          <cell r="Z363">
            <v>1.8392864853316599E-3</v>
          </cell>
          <cell r="AA363">
            <v>1.8461110859480101E-3</v>
          </cell>
        </row>
        <row r="364">
          <cell r="Y364">
            <v>42324</v>
          </cell>
          <cell r="Z364">
            <v>1.840064703310949E-3</v>
          </cell>
          <cell r="AA364">
            <v>1.8456725350457504E-3</v>
          </cell>
        </row>
        <row r="365">
          <cell r="Y365">
            <v>42325</v>
          </cell>
          <cell r="Z365">
            <v>1.8403416304343793E-3</v>
          </cell>
          <cell r="AA365">
            <v>1.8454299335068924E-3</v>
          </cell>
        </row>
        <row r="366">
          <cell r="Y366">
            <v>42326</v>
          </cell>
          <cell r="Z366">
            <v>1.8406275894411828E-3</v>
          </cell>
          <cell r="AA366">
            <v>1.8451704963151627E-3</v>
          </cell>
        </row>
        <row r="367">
          <cell r="Y367">
            <v>42327</v>
          </cell>
          <cell r="Z367">
            <v>1.8409227431215802E-3</v>
          </cell>
          <cell r="AA367">
            <v>1.8448942234705612E-3</v>
          </cell>
        </row>
        <row r="368">
          <cell r="Y368">
            <v>42328</v>
          </cell>
          <cell r="Z368">
            <v>1.8412272542666708E-3</v>
          </cell>
          <cell r="AA368">
            <v>1.8441335327401553E-3</v>
          </cell>
        </row>
        <row r="369">
          <cell r="Y369">
            <v>42332</v>
          </cell>
          <cell r="Z369">
            <v>1.8425421293247356E-3</v>
          </cell>
          <cell r="AA369">
            <v>1.8432603236551159E-3</v>
          </cell>
        </row>
        <row r="370">
          <cell r="Y370">
            <v>42333</v>
          </cell>
          <cell r="Z370">
            <v>1.8425421293247356E-3</v>
          </cell>
          <cell r="AA370">
            <v>1.8428830366534754E-3</v>
          </cell>
        </row>
        <row r="371">
          <cell r="Y371">
            <v>42334</v>
          </cell>
          <cell r="Z371">
            <v>1.8432599442276376E-3</v>
          </cell>
          <cell r="AA371">
            <v>1.842488913919027E-3</v>
          </cell>
        </row>
        <row r="372">
          <cell r="Y372">
            <v>42335</v>
          </cell>
          <cell r="Z372">
            <v>1.8436345157965643E-3</v>
          </cell>
          <cell r="AA372">
            <v>1.841653970764412E-3</v>
          </cell>
        </row>
        <row r="373">
          <cell r="Y373">
            <v>42338</v>
          </cell>
          <cell r="Z373">
            <v>1.8452258379568146E-3</v>
          </cell>
          <cell r="AA373">
            <v>1.8407440660528351E-3</v>
          </cell>
        </row>
        <row r="374">
          <cell r="Y374">
            <v>42339</v>
          </cell>
          <cell r="Z374">
            <v>1.8456503755658164E-3</v>
          </cell>
          <cell r="AA374">
            <v>1.8402657648941556E-3</v>
          </cell>
        </row>
        <row r="375">
          <cell r="Y375">
            <v>42340</v>
          </cell>
          <cell r="Z375">
            <v>1.8460862322223753E-3</v>
          </cell>
          <cell r="AA375">
            <v>1.8397706280026682E-3</v>
          </cell>
        </row>
        <row r="376">
          <cell r="Y376">
            <v>42341</v>
          </cell>
          <cell r="Z376">
            <v>1.8465335698323899E-3</v>
          </cell>
          <cell r="AA376">
            <v>1.839258655458309E-3</v>
          </cell>
        </row>
        <row r="377">
          <cell r="Y377">
            <v>42342</v>
          </cell>
          <cell r="Z377">
            <v>1.8478622240203238E-3</v>
          </cell>
          <cell r="AA377">
            <v>1.8381879771656173E-3</v>
          </cell>
        </row>
        <row r="378">
          <cell r="Y378">
            <v>42345</v>
          </cell>
          <cell r="Z378">
            <v>1.8484409679450687E-3</v>
          </cell>
          <cell r="AA378">
            <v>1.8370424082725378E-3</v>
          </cell>
        </row>
        <row r="379">
          <cell r="Y379">
            <v>42346</v>
          </cell>
          <cell r="Z379">
            <v>1.8489481389283122E-3</v>
          </cell>
          <cell r="AA379">
            <v>1.8364462572240114E-3</v>
          </cell>
        </row>
        <row r="380">
          <cell r="Y380">
            <v>42347</v>
          </cell>
          <cell r="Z380">
            <v>1.8494677623095753E-3</v>
          </cell>
          <cell r="AA380">
            <v>1.8358332704426772E-3</v>
          </cell>
        </row>
        <row r="381">
          <cell r="Y381">
            <v>42348</v>
          </cell>
          <cell r="Z381">
            <v>1.849999999998688E-3</v>
          </cell>
          <cell r="AA381">
            <v>1.8352083813422126E-3</v>
          </cell>
        </row>
        <row r="382">
          <cell r="Y382">
            <v>42349</v>
          </cell>
          <cell r="Z382">
            <v>1.8515038704330702E-3</v>
          </cell>
          <cell r="AA382">
            <v>1.8340006267525411E-3</v>
          </cell>
        </row>
        <row r="383">
          <cell r="Y383">
            <v>42352</v>
          </cell>
          <cell r="Z383">
            <v>1.8522561289505454E-3</v>
          </cell>
          <cell r="AA383">
            <v>1.8328167329428879E-3</v>
          </cell>
        </row>
        <row r="384">
          <cell r="Y384">
            <v>42353</v>
          </cell>
          <cell r="Z384">
            <v>1.852851767024491E-3</v>
          </cell>
          <cell r="AA384">
            <v>1.8322507312173997E-3</v>
          </cell>
        </row>
        <row r="385">
          <cell r="Y385">
            <v>42354</v>
          </cell>
          <cell r="Z385">
            <v>1.8534599581778869E-3</v>
          </cell>
          <cell r="AA385">
            <v>1.8316974936016805E-3</v>
          </cell>
        </row>
        <row r="386">
          <cell r="Y386">
            <v>42355</v>
          </cell>
          <cell r="Z386">
            <v>1.8540806577854458E-3</v>
          </cell>
          <cell r="AA386">
            <v>1.8311570200157945E-3</v>
          </cell>
        </row>
        <row r="387">
          <cell r="Y387">
            <v>42356</v>
          </cell>
          <cell r="Z387">
            <v>1.8557588318268885E-3</v>
          </cell>
          <cell r="AA387">
            <v>1.8301279239008039E-3</v>
          </cell>
        </row>
        <row r="388">
          <cell r="Y388">
            <v>42359</v>
          </cell>
          <cell r="Z388">
            <v>1.8566876482227423E-3</v>
          </cell>
          <cell r="AA388">
            <v>1.8291227673294941E-3</v>
          </cell>
        </row>
        <row r="389">
          <cell r="Y389">
            <v>42360</v>
          </cell>
          <cell r="Z389">
            <v>1.8573702207043386E-3</v>
          </cell>
          <cell r="AA389">
            <v>1.8284188133943502E-3</v>
          </cell>
        </row>
        <row r="390">
          <cell r="Y390">
            <v>42362</v>
          </cell>
          <cell r="Z390">
            <v>1.8587720431329675E-3</v>
          </cell>
          <cell r="AA390">
            <v>1.8268984502949337E-3</v>
          </cell>
        </row>
        <row r="391">
          <cell r="Y391">
            <v>42367</v>
          </cell>
          <cell r="Z391">
            <v>1.8587720431329675E-3</v>
          </cell>
          <cell r="AA391">
            <v>1.8256669402649806E-3</v>
          </cell>
        </row>
        <row r="392">
          <cell r="Y392">
            <v>42368</v>
          </cell>
          <cell r="Z392">
            <v>1.863267717140459E-3</v>
          </cell>
          <cell r="AA392">
            <v>1.8246128727437139E-3</v>
          </cell>
        </row>
        <row r="393">
          <cell r="Y393">
            <v>42373</v>
          </cell>
          <cell r="Z393">
            <v>1.8667276071693518E-3</v>
          </cell>
          <cell r="AA393">
            <v>1.8236111634362118E-3</v>
          </cell>
        </row>
        <row r="394">
          <cell r="Y394">
            <v>42374</v>
          </cell>
          <cell r="Z394">
            <v>1.8667276071693518E-3</v>
          </cell>
          <cell r="AA394">
            <v>1.8233132084155557E-3</v>
          </cell>
        </row>
        <row r="395">
          <cell r="Y395">
            <v>42375</v>
          </cell>
          <cell r="Z395">
            <v>1.8684283235533387E-3</v>
          </cell>
          <cell r="AA395">
            <v>1.8230280175046687E-3</v>
          </cell>
        </row>
        <row r="396">
          <cell r="Y396">
            <v>42376</v>
          </cell>
          <cell r="Z396">
            <v>1.8692961184639946E-3</v>
          </cell>
          <cell r="AA396">
            <v>1.8227555907834869E-3</v>
          </cell>
        </row>
        <row r="397">
          <cell r="Y397">
            <v>42377</v>
          </cell>
          <cell r="Z397">
            <v>1.8701754780280611E-3</v>
          </cell>
          <cell r="AA397">
            <v>1.8221521787031847E-3</v>
          </cell>
        </row>
        <row r="398">
          <cell r="Y398">
            <v>42381</v>
          </cell>
          <cell r="Z398">
            <v>1.8738076654645952E-3</v>
          </cell>
          <cell r="AA398">
            <v>1.8215849189040512E-3</v>
          </cell>
        </row>
        <row r="399">
          <cell r="Y399">
            <v>42382</v>
          </cell>
          <cell r="Z399">
            <v>1.8738076654645952E-3</v>
          </cell>
          <cell r="AA399">
            <v>1.8213890770013563E-3</v>
          </cell>
        </row>
        <row r="400">
          <cell r="Y400">
            <v>42383</v>
          </cell>
          <cell r="Z400">
            <v>1.8756919805373619E-3</v>
          </cell>
          <cell r="AA400">
            <v>1.8212059991284946E-3</v>
          </cell>
        </row>
        <row r="401">
          <cell r="Y401">
            <v>42384</v>
          </cell>
          <cell r="Z401">
            <v>1.8766510363756239E-3</v>
          </cell>
          <cell r="AA401">
            <v>1.8208916005946207E-3</v>
          </cell>
        </row>
        <row r="402">
          <cell r="Y402">
            <v>42387</v>
          </cell>
          <cell r="Z402">
            <v>1.880280471402866E-3</v>
          </cell>
          <cell r="AA402">
            <v>1.8206013290544831E-3</v>
          </cell>
        </row>
        <row r="403">
          <cell r="Y403">
            <v>42388</v>
          </cell>
          <cell r="Z403">
            <v>1.8805988681650108E-3</v>
          </cell>
          <cell r="AA403">
            <v>1.8204820718903392E-3</v>
          </cell>
        </row>
        <row r="404">
          <cell r="Y404">
            <v>42389</v>
          </cell>
          <cell r="Z404">
            <v>1.8816135038850685E-3</v>
          </cell>
          <cell r="AA404">
            <v>1.8203755787560283E-3</v>
          </cell>
        </row>
        <row r="405">
          <cell r="Y405">
            <v>42390</v>
          </cell>
          <cell r="Z405">
            <v>1.882639120980496E-3</v>
          </cell>
          <cell r="AA405">
            <v>1.8202818498913587E-3</v>
          </cell>
        </row>
        <row r="406">
          <cell r="Y406">
            <v>42391</v>
          </cell>
          <cell r="Z406">
            <v>1.8836756745834471E-3</v>
          </cell>
          <cell r="AA406">
            <v>1.8201461415934261E-3</v>
          </cell>
        </row>
        <row r="407">
          <cell r="Y407">
            <v>42394</v>
          </cell>
          <cell r="Z407">
            <v>1.8868505057730404E-3</v>
          </cell>
          <cell r="AA407">
            <v>1.8200345754504355E-3</v>
          </cell>
        </row>
        <row r="408">
          <cell r="Y408">
            <v>42395</v>
          </cell>
          <cell r="Z408">
            <v>1.8879303567408059E-3</v>
          </cell>
          <cell r="AA408">
            <v>1.8200046671346115E-3</v>
          </cell>
        </row>
        <row r="409">
          <cell r="Y409">
            <v>42396</v>
          </cell>
          <cell r="Z409">
            <v>1.8890209198830154E-3</v>
          </cell>
          <cell r="AA409">
            <v>1.8199875230084928E-3</v>
          </cell>
        </row>
        <row r="410">
          <cell r="Y410">
            <v>42397</v>
          </cell>
          <cell r="Z410">
            <v>1.8901221503335804E-3</v>
          </cell>
          <cell r="AA410">
            <v>1.8199831429921431E-3</v>
          </cell>
        </row>
        <row r="411">
          <cell r="Y411">
            <v>42398</v>
          </cell>
          <cell r="Z411">
            <v>1.8912340032255334E-3</v>
          </cell>
          <cell r="AA411">
            <v>1.8200261313250365E-3</v>
          </cell>
        </row>
        <row r="412">
          <cell r="Y412">
            <v>42401</v>
          </cell>
          <cell r="Z412">
            <v>1.8946328478901494E-3</v>
          </cell>
          <cell r="AA412">
            <v>1.8200932641843082E-3</v>
          </cell>
        </row>
        <row r="413">
          <cell r="Y413">
            <v>42402</v>
          </cell>
          <cell r="Z413">
            <v>1.8957867418872051E-3</v>
          </cell>
          <cell r="AA413">
            <v>1.8201527047967403E-3</v>
          </cell>
        </row>
        <row r="414">
          <cell r="Y414">
            <v>42403</v>
          </cell>
          <cell r="Z414">
            <v>1.8969510339952045E-3</v>
          </cell>
          <cell r="AA414">
            <v>1.8202249095189416E-3</v>
          </cell>
        </row>
        <row r="415">
          <cell r="Y415">
            <v>42404</v>
          </cell>
          <cell r="Z415">
            <v>1.8981256793484977E-3</v>
          </cell>
          <cell r="AA415">
            <v>1.820309878430848E-3</v>
          </cell>
        </row>
        <row r="416">
          <cell r="Y416">
            <v>42405</v>
          </cell>
          <cell r="Z416">
            <v>1.8993106330801178E-3</v>
          </cell>
          <cell r="AA416">
            <v>1.8205315697095159E-3</v>
          </cell>
        </row>
        <row r="417">
          <cell r="Y417">
            <v>42408</v>
          </cell>
          <cell r="Z417">
            <v>1.902926895891956E-3</v>
          </cell>
          <cell r="AA417">
            <v>1.8207773952561013E-3</v>
          </cell>
        </row>
        <row r="418">
          <cell r="Y418">
            <v>42409</v>
          </cell>
          <cell r="Z418">
            <v>1.9041526344821436E-3</v>
          </cell>
          <cell r="AA418">
            <v>1.8209261847967895E-3</v>
          </cell>
        </row>
        <row r="419">
          <cell r="Y419">
            <v>42410</v>
          </cell>
          <cell r="Z419">
            <v>1.9053884571219703E-3</v>
          </cell>
          <cell r="AA419">
            <v>1.8211795038824974E-3</v>
          </cell>
        </row>
        <row r="420">
          <cell r="Y420">
            <v>42412</v>
          </cell>
          <cell r="Z420">
            <v>1.907890175090139E-3</v>
          </cell>
          <cell r="AA420">
            <v>1.8216624568268003E-3</v>
          </cell>
        </row>
        <row r="421">
          <cell r="Y421">
            <v>42415</v>
          </cell>
          <cell r="Z421">
            <v>1.907890175090139E-3</v>
          </cell>
          <cell r="AA421">
            <v>1.8220869687457508E-3</v>
          </cell>
        </row>
        <row r="422">
          <cell r="Y422">
            <v>42416</v>
          </cell>
          <cell r="Z422">
            <v>1.9130126455432254E-3</v>
          </cell>
          <cell r="AA422">
            <v>1.8223251072146951E-3</v>
          </cell>
        </row>
        <row r="423">
          <cell r="Y423">
            <v>42417</v>
          </cell>
          <cell r="Z423">
            <v>1.9143178002989248E-3</v>
          </cell>
          <cell r="AA423">
            <v>1.8225760097934085E-3</v>
          </cell>
        </row>
        <row r="424">
          <cell r="Y424">
            <v>42418</v>
          </cell>
          <cell r="Z424">
            <v>1.9156326801803838E-3</v>
          </cell>
          <cell r="AA424">
            <v>1.8228396765618271E-3</v>
          </cell>
        </row>
        <row r="425">
          <cell r="Y425">
            <v>42419</v>
          </cell>
          <cell r="Z425">
            <v>1.9169572403223921E-3</v>
          </cell>
          <cell r="AA425">
            <v>1.8234187926502443E-3</v>
          </cell>
        </row>
        <row r="426">
          <cell r="Y426">
            <v>42422</v>
          </cell>
          <cell r="Z426">
            <v>1.9209885536600466E-3</v>
          </cell>
          <cell r="AA426">
            <v>1.8240219845733208E-3</v>
          </cell>
        </row>
        <row r="427">
          <cell r="Y427">
            <v>42423</v>
          </cell>
          <cell r="Z427">
            <v>1.9223513861917078E-3</v>
          </cell>
          <cell r="AA427">
            <v>1.8243494719705211E-3</v>
          </cell>
        </row>
        <row r="428">
          <cell r="Y428">
            <v>42424</v>
          </cell>
          <cell r="Z428">
            <v>1.9237236746574269E-3</v>
          </cell>
          <cell r="AA428">
            <v>1.8246897234774906E-3</v>
          </cell>
        </row>
        <row r="429">
          <cell r="Y429">
            <v>42425</v>
          </cell>
          <cell r="Z429">
            <v>1.9251053741919932E-3</v>
          </cell>
          <cell r="AA429">
            <v>1.8250427390942292E-3</v>
          </cell>
        </row>
        <row r="430">
          <cell r="Y430">
            <v>42426</v>
          </cell>
          <cell r="Z430">
            <v>1.9264964399301964E-3</v>
          </cell>
          <cell r="AA430">
            <v>1.8258005772331387E-3</v>
          </cell>
        </row>
        <row r="431">
          <cell r="Y431">
            <v>42429</v>
          </cell>
          <cell r="Z431">
            <v>1.9324492844949184E-3</v>
          </cell>
          <cell r="AA431">
            <v>1.8265824428986832E-3</v>
          </cell>
        </row>
        <row r="432">
          <cell r="Y432">
            <v>42430</v>
          </cell>
          <cell r="Z432">
            <v>1.9338845036475723E-3</v>
          </cell>
          <cell r="AA432">
            <v>1.8269992791442036E-3</v>
          </cell>
        </row>
        <row r="433">
          <cell r="Y433">
            <v>42431</v>
          </cell>
          <cell r="Z433">
            <v>1.9353288155289701E-3</v>
          </cell>
          <cell r="AA433">
            <v>1.8274288795794291E-3</v>
          </cell>
        </row>
        <row r="434">
          <cell r="Y434">
            <v>42432</v>
          </cell>
          <cell r="Z434">
            <v>1.9385352184652128E-3</v>
          </cell>
          <cell r="AA434">
            <v>1.8278712441244238E-3</v>
          </cell>
        </row>
        <row r="435">
          <cell r="Y435">
            <v>42433</v>
          </cell>
          <cell r="Z435">
            <v>1.9391235563653224E-3</v>
          </cell>
          <cell r="AA435">
            <v>1.8288078105754835E-3</v>
          </cell>
        </row>
        <row r="436">
          <cell r="Y436">
            <v>42436</v>
          </cell>
          <cell r="Z436">
            <v>1.9426852126443487E-3</v>
          </cell>
          <cell r="AA436">
            <v>1.829768343561966E-3</v>
          </cell>
        </row>
        <row r="437">
          <cell r="Y437">
            <v>42437</v>
          </cell>
          <cell r="Z437">
            <v>1.9441831489654178E-3</v>
          </cell>
          <cell r="AA437">
            <v>1.8302745287357425E-3</v>
          </cell>
        </row>
        <row r="438">
          <cell r="Y438">
            <v>42438</v>
          </cell>
          <cell r="Z438">
            <v>1.9456898673711116E-3</v>
          </cell>
          <cell r="AA438">
            <v>1.8307934780992241E-3</v>
          </cell>
        </row>
        <row r="439">
          <cell r="Y439">
            <v>42439</v>
          </cell>
          <cell r="Z439">
            <v>1.9490059870236509E-3</v>
          </cell>
          <cell r="AA439">
            <v>1.8313251915724749E-3</v>
          </cell>
        </row>
        <row r="440">
          <cell r="Y440">
            <v>42440</v>
          </cell>
          <cell r="Z440">
            <v>1.9496321816243794E-3</v>
          </cell>
          <cell r="AA440">
            <v>1.8324404927572147E-3</v>
          </cell>
        </row>
        <row r="441">
          <cell r="Y441">
            <v>42443</v>
          </cell>
          <cell r="Z441">
            <v>1.9533536374457491E-3</v>
          </cell>
          <cell r="AA441">
            <v>1.8335796866431053E-3</v>
          </cell>
        </row>
        <row r="442">
          <cell r="Y442">
            <v>42444</v>
          </cell>
          <cell r="Z442">
            <v>1.9549121164246616E-3</v>
          </cell>
          <cell r="AA442">
            <v>1.8341752207451378E-3</v>
          </cell>
        </row>
        <row r="443">
          <cell r="Y443">
            <v>42445</v>
          </cell>
          <cell r="Z443">
            <v>1.9564790668436458E-3</v>
          </cell>
          <cell r="AA443">
            <v>1.8347835190368755E-3</v>
          </cell>
        </row>
        <row r="444">
          <cell r="Y444">
            <v>42446</v>
          </cell>
          <cell r="Z444">
            <v>1.9608263633333714E-3</v>
          </cell>
          <cell r="AA444">
            <v>1.8354045813584463E-3</v>
          </cell>
        </row>
        <row r="445">
          <cell r="Y445">
            <v>42447</v>
          </cell>
          <cell r="Z445">
            <v>1.9614906736307599E-3</v>
          </cell>
          <cell r="AA445">
            <v>1.8370351190233336E-3</v>
          </cell>
        </row>
        <row r="446">
          <cell r="Y446">
            <v>42451</v>
          </cell>
          <cell r="Z446">
            <v>1.9669939996443927E-3</v>
          </cell>
          <cell r="AA446">
            <v>1.8387013551723896E-3</v>
          </cell>
        </row>
        <row r="447">
          <cell r="Y447">
            <v>42452</v>
          </cell>
          <cell r="Z447">
            <v>1.9669939996443927E-3</v>
          </cell>
          <cell r="AA447">
            <v>1.8393990023923834E-3</v>
          </cell>
        </row>
        <row r="448">
          <cell r="Y448">
            <v>42453</v>
          </cell>
          <cell r="Z448">
            <v>1.9712039475239251E-3</v>
          </cell>
          <cell r="AA448">
            <v>1.8416001341012844E-3</v>
          </cell>
        </row>
        <row r="449">
          <cell r="Y449">
            <v>42458</v>
          </cell>
          <cell r="Z449">
            <v>1.9776001312901813E-3</v>
          </cell>
          <cell r="AA449">
            <v>1.8438529320974339E-3</v>
          </cell>
        </row>
        <row r="450">
          <cell r="Y450">
            <v>42459</v>
          </cell>
          <cell r="Z450">
            <v>1.9792810221631934E-3</v>
          </cell>
          <cell r="AA450">
            <v>1.8446399281657477E-3</v>
          </cell>
        </row>
        <row r="451">
          <cell r="Y451">
            <v>42460</v>
          </cell>
          <cell r="Z451">
            <v>1.9800066202927714E-3</v>
          </cell>
          <cell r="AA451">
            <v>1.8454396884237667E-3</v>
          </cell>
        </row>
        <row r="452">
          <cell r="Y452">
            <v>42461</v>
          </cell>
          <cell r="Z452">
            <v>1.9836338891193531E-3</v>
          </cell>
          <cell r="AA452">
            <v>1.8470912329782152E-3</v>
          </cell>
        </row>
        <row r="453">
          <cell r="Y453">
            <v>42464</v>
          </cell>
          <cell r="Z453">
            <v>1.9868270099429827E-3</v>
          </cell>
          <cell r="AA453">
            <v>1.84876637063347E-3</v>
          </cell>
        </row>
        <row r="454">
          <cell r="Y454">
            <v>42465</v>
          </cell>
          <cell r="Z454">
            <v>1.9885512190808523E-3</v>
          </cell>
          <cell r="AA454">
            <v>1.8496299515202708E-3</v>
          </cell>
        </row>
        <row r="455">
          <cell r="Y455">
            <v>42466</v>
          </cell>
          <cell r="Z455">
            <v>1.9902829836657009E-3</v>
          </cell>
          <cell r="AA455">
            <v>1.8505062965168406E-3</v>
          </cell>
        </row>
        <row r="456">
          <cell r="Y456">
            <v>42467</v>
          </cell>
          <cell r="Z456">
            <v>1.9920222590766087E-3</v>
          </cell>
          <cell r="AA456">
            <v>1.8513954057031157E-3</v>
          </cell>
        </row>
        <row r="457">
          <cell r="Y457">
            <v>42468</v>
          </cell>
          <cell r="Z457">
            <v>1.9967318887360191E-3</v>
          </cell>
          <cell r="AA457">
            <v>1.8532257111569805E-3</v>
          </cell>
        </row>
        <row r="458">
          <cell r="Y458">
            <v>42471</v>
          </cell>
          <cell r="Z458">
            <v>1.9990535765449825E-3</v>
          </cell>
          <cell r="AA458">
            <v>1.8550794836258433E-3</v>
          </cell>
        </row>
        <row r="459">
          <cell r="Y459">
            <v>42472</v>
          </cell>
          <cell r="Z459">
            <v>2.0008297367601719E-3</v>
          </cell>
          <cell r="AA459">
            <v>1.8560324134409001E-3</v>
          </cell>
        </row>
        <row r="460">
          <cell r="Y460">
            <v>42473</v>
          </cell>
          <cell r="Z460">
            <v>2.0026131400702287E-3</v>
          </cell>
          <cell r="AA460">
            <v>1.8569981074456621E-3</v>
          </cell>
        </row>
        <row r="461">
          <cell r="Y461">
            <v>42474</v>
          </cell>
          <cell r="Z461">
            <v>2.0044037418533601E-3</v>
          </cell>
          <cell r="AA461">
            <v>1.8579765654802571E-3</v>
          </cell>
        </row>
        <row r="462">
          <cell r="Y462">
            <v>42475</v>
          </cell>
          <cell r="Z462">
            <v>2.0082134922294066E-3</v>
          </cell>
          <cell r="AA462">
            <v>1.8599856385481672E-3</v>
          </cell>
        </row>
        <row r="463">
          <cell r="Y463">
            <v>42478</v>
          </cell>
          <cell r="Z463">
            <v>2.0116372412759724E-3</v>
          </cell>
          <cell r="AA463">
            <v>1.8620180391959451E-3</v>
          </cell>
        </row>
        <row r="464">
          <cell r="Y464">
            <v>42479</v>
          </cell>
          <cell r="Z464">
            <v>2.0134631660923452E-3</v>
          </cell>
          <cell r="AA464">
            <v>1.863060317939258E-3</v>
          </cell>
        </row>
        <row r="465">
          <cell r="Y465">
            <v>42480</v>
          </cell>
          <cell r="Z465">
            <v>2.0152960216479792E-3</v>
          </cell>
          <cell r="AA465">
            <v>1.86411536079234E-3</v>
          </cell>
        </row>
        <row r="466">
          <cell r="Y466">
            <v>42481</v>
          </cell>
          <cell r="Z466">
            <v>2.0171357633206452E-3</v>
          </cell>
          <cell r="AA466">
            <v>1.8651831679150632E-3</v>
          </cell>
        </row>
        <row r="467">
          <cell r="Y467">
            <v>42482</v>
          </cell>
          <cell r="Z467">
            <v>2.0210314139938353E-3</v>
          </cell>
          <cell r="AA467">
            <v>1.867371015285002E-3</v>
          </cell>
        </row>
        <row r="468">
          <cell r="Y468">
            <v>42485</v>
          </cell>
          <cell r="Z468">
            <v>2.0245626987204389E-3</v>
          </cell>
          <cell r="AA468">
            <v>1.8695820373437755E-3</v>
          </cell>
        </row>
        <row r="469">
          <cell r="Y469">
            <v>42486</v>
          </cell>
          <cell r="Z469">
            <v>2.0264362016330284E-3</v>
          </cell>
          <cell r="AA469">
            <v>1.8707136650153444E-3</v>
          </cell>
        </row>
        <row r="470">
          <cell r="Y470">
            <v>42487</v>
          </cell>
          <cell r="Z470">
            <v>2.0283163229244685E-3</v>
          </cell>
          <cell r="AA470">
            <v>1.8718580568766185E-3</v>
          </cell>
        </row>
        <row r="471">
          <cell r="Y471">
            <v>42488</v>
          </cell>
          <cell r="Z471">
            <v>2.0333252717625655E-3</v>
          </cell>
          <cell r="AA471">
            <v>1.8772335424632747E-3</v>
          </cell>
        </row>
        <row r="472">
          <cell r="Y472">
            <v>42496</v>
          </cell>
          <cell r="Z472">
            <v>2.0476477973242631E-3</v>
          </cell>
          <cell r="AA472">
            <v>1.884018117168651E-3</v>
          </cell>
        </row>
        <row r="473">
          <cell r="Y473">
            <v>42499</v>
          </cell>
          <cell r="Z473">
            <v>2.0476477973242631E-3</v>
          </cell>
          <cell r="AA473">
            <v>1.8865863616124301E-3</v>
          </cell>
        </row>
        <row r="474">
          <cell r="Y474">
            <v>42500</v>
          </cell>
          <cell r="Z474">
            <v>2.0544088374129391E-3</v>
          </cell>
          <cell r="AA474">
            <v>1.8878966871405112E-3</v>
          </cell>
        </row>
        <row r="475">
          <cell r="Y475">
            <v>42501</v>
          </cell>
          <cell r="Z475">
            <v>2.0563793595566571E-3</v>
          </cell>
          <cell r="AA475">
            <v>1.8892197769382335E-3</v>
          </cell>
        </row>
        <row r="476">
          <cell r="Y476">
            <v>42502</v>
          </cell>
          <cell r="Z476">
            <v>2.0605081413242873E-3</v>
          </cell>
          <cell r="AA476">
            <v>1.890555630845725E-3</v>
          </cell>
        </row>
        <row r="477">
          <cell r="Y477">
            <v>42503</v>
          </cell>
          <cell r="Z477">
            <v>2.0614159779276599E-3</v>
          </cell>
          <cell r="AA477">
            <v>1.8932798425819186E-3</v>
          </cell>
        </row>
        <row r="478">
          <cell r="Y478">
            <v>42506</v>
          </cell>
          <cell r="Z478">
            <v>2.066320209485968E-3</v>
          </cell>
          <cell r="AA478">
            <v>1.8960266877332543E-3</v>
          </cell>
        </row>
        <row r="479">
          <cell r="Y479">
            <v>42507</v>
          </cell>
          <cell r="Z479">
            <v>2.0683257166345791E-3</v>
          </cell>
          <cell r="AA479">
            <v>1.8974263622695275E-3</v>
          </cell>
        </row>
        <row r="480">
          <cell r="Y480">
            <v>42508</v>
          </cell>
          <cell r="Z480">
            <v>2.0703368992763091E-3</v>
          </cell>
          <cell r="AA480">
            <v>1.8988388009955059E-3</v>
          </cell>
        </row>
        <row r="481">
          <cell r="Y481">
            <v>42509</v>
          </cell>
          <cell r="Z481">
            <v>2.074539555444347E-3</v>
          </cell>
          <cell r="AA481">
            <v>1.9002640038312535E-3</v>
          </cell>
        </row>
        <row r="482">
          <cell r="Y482">
            <v>42510</v>
          </cell>
          <cell r="Z482">
            <v>2.0754706300577731E-3</v>
          </cell>
          <cell r="AA482">
            <v>1.9031670178470961E-3</v>
          </cell>
        </row>
        <row r="483">
          <cell r="Y483">
            <v>42513</v>
          </cell>
          <cell r="Z483">
            <v>2.0815779955835148E-3</v>
          </cell>
          <cell r="AA483">
            <v>1.9060924566716153E-3</v>
          </cell>
        </row>
        <row r="484">
          <cell r="Y484">
            <v>42514</v>
          </cell>
          <cell r="Z484">
            <v>2.0825206950138347E-3</v>
          </cell>
          <cell r="AA484">
            <v>1.9075814802160806E-3</v>
          </cell>
        </row>
        <row r="485">
          <cell r="Y485">
            <v>42515</v>
          </cell>
          <cell r="Z485">
            <v>2.0845703633684425E-3</v>
          </cell>
          <cell r="AA485">
            <v>1.9090832678703151E-3</v>
          </cell>
        </row>
        <row r="486">
          <cell r="Y486">
            <v>42516</v>
          </cell>
          <cell r="Z486">
            <v>2.0888442095180803E-3</v>
          </cell>
          <cell r="AA486">
            <v>1.9105978197142548E-3</v>
          </cell>
        </row>
        <row r="487">
          <cell r="Y487">
            <v>42517</v>
          </cell>
          <cell r="Z487">
            <v>2.0897966125147413E-3</v>
          </cell>
          <cell r="AA487">
            <v>1.9144632913170589E-3</v>
          </cell>
        </row>
        <row r="488">
          <cell r="Y488">
            <v>42521</v>
          </cell>
          <cell r="Z488">
            <v>2.0958597648957347E-3</v>
          </cell>
          <cell r="AA488">
            <v>1.9183620409002344E-3</v>
          </cell>
        </row>
        <row r="489">
          <cell r="Y489">
            <v>42522</v>
          </cell>
          <cell r="Z489">
            <v>2.0979434159122705E-3</v>
          </cell>
          <cell r="AA489">
            <v>1.919953177562661E-3</v>
          </cell>
        </row>
        <row r="490">
          <cell r="Y490">
            <v>42523</v>
          </cell>
          <cell r="Z490">
            <v>2.1000320787912061E-3</v>
          </cell>
          <cell r="AA490">
            <v>1.9215570784147928E-3</v>
          </cell>
        </row>
        <row r="491">
          <cell r="Y491">
            <v>42524</v>
          </cell>
          <cell r="Z491">
            <v>2.1043787837690211E-3</v>
          </cell>
          <cell r="AA491">
            <v>1.9248177184927329E-3</v>
          </cell>
        </row>
        <row r="492">
          <cell r="Y492">
            <v>42527</v>
          </cell>
          <cell r="Z492">
            <v>2.1084359563723599E-3</v>
          </cell>
          <cell r="AA492">
            <v>1.9281003230808835E-3</v>
          </cell>
        </row>
        <row r="493">
          <cell r="Y493">
            <v>42528</v>
          </cell>
          <cell r="Z493">
            <v>2.1105490091416217E-3</v>
          </cell>
          <cell r="AA493">
            <v>1.9297680445617971E-3</v>
          </cell>
        </row>
        <row r="494">
          <cell r="Y494">
            <v>42529</v>
          </cell>
          <cell r="Z494">
            <v>2.1126668060040894E-3</v>
          </cell>
          <cell r="AA494">
            <v>1.9314485301524797E-3</v>
          </cell>
        </row>
        <row r="495">
          <cell r="Y495">
            <v>42530</v>
          </cell>
          <cell r="Z495">
            <v>2.1147893023301077E-3</v>
          </cell>
          <cell r="AA495">
            <v>1.9331417800128037E-3</v>
          </cell>
        </row>
        <row r="496">
          <cell r="Y496">
            <v>42531</v>
          </cell>
          <cell r="Z496">
            <v>2.119202001944103E-3</v>
          </cell>
          <cell r="AA496">
            <v>1.9365690023587234E-3</v>
          </cell>
        </row>
        <row r="497">
          <cell r="Y497">
            <v>42534</v>
          </cell>
          <cell r="Z497">
            <v>2.1233255905855988E-3</v>
          </cell>
          <cell r="AA497">
            <v>1.9399920934493053E-3</v>
          </cell>
        </row>
        <row r="498">
          <cell r="Y498">
            <v>42535</v>
          </cell>
          <cell r="Z498">
            <v>2.1254711900978666E-3</v>
          </cell>
          <cell r="AA498">
            <v>1.9417165193313934E-3</v>
          </cell>
        </row>
        <row r="499">
          <cell r="Y499">
            <v>42536</v>
          </cell>
          <cell r="Z499">
            <v>2.1276213998755273E-3</v>
          </cell>
          <cell r="AA499">
            <v>1.9434455481714963E-3</v>
          </cell>
        </row>
        <row r="500">
          <cell r="Y500">
            <v>42537</v>
          </cell>
          <cell r="Z500">
            <v>2.1297762199338705E-3</v>
          </cell>
          <cell r="AA500">
            <v>1.9451791799696139E-3</v>
          </cell>
        </row>
        <row r="501">
          <cell r="Y501">
            <v>42538</v>
          </cell>
          <cell r="Z501">
            <v>2.1342536494193087E-3</v>
          </cell>
          <cell r="AA501">
            <v>1.9486723349348978E-3</v>
          </cell>
        </row>
        <row r="502">
          <cell r="Y502">
            <v>42541</v>
          </cell>
          <cell r="Z502">
            <v>2.1384416032750211E-3</v>
          </cell>
          <cell r="AA502">
            <v>1.9521597371419119E-3</v>
          </cell>
        </row>
        <row r="503">
          <cell r="Y503">
            <v>42542</v>
          </cell>
          <cell r="Z503">
            <v>2.1406194749634768E-3</v>
          </cell>
          <cell r="AA503">
            <v>1.9539163838899754E-3</v>
          </cell>
        </row>
        <row r="504">
          <cell r="Y504">
            <v>42543</v>
          </cell>
          <cell r="Z504">
            <v>2.1428019570234706E-3</v>
          </cell>
          <cell r="AA504">
            <v>1.9556776335960535E-3</v>
          </cell>
        </row>
        <row r="505">
          <cell r="Y505">
            <v>42544</v>
          </cell>
          <cell r="Z505">
            <v>2.1508652239112941E-3</v>
          </cell>
          <cell r="AA505">
            <v>1.9574434863400825E-3</v>
          </cell>
        </row>
        <row r="506">
          <cell r="Y506">
            <v>42545</v>
          </cell>
          <cell r="Z506">
            <v>2.1518878642015223E-3</v>
          </cell>
          <cell r="AA506">
            <v>1.9610012169302138E-3</v>
          </cell>
        </row>
        <row r="507">
          <cell r="Y507">
            <v>42548</v>
          </cell>
          <cell r="Z507">
            <v>2.1549649307536661E-3</v>
          </cell>
          <cell r="AA507">
            <v>1.9645529269762818E-3</v>
          </cell>
        </row>
        <row r="508">
          <cell r="Y508">
            <v>42549</v>
          </cell>
          <cell r="Z508">
            <v>2.1559936680514893E-3</v>
          </cell>
          <cell r="AA508">
            <v>1.9663417945903205E-3</v>
          </cell>
        </row>
        <row r="509">
          <cell r="Y509">
            <v>42550</v>
          </cell>
          <cell r="Z509">
            <v>2.1582084231451279E-3</v>
          </cell>
          <cell r="AA509">
            <v>1.9681352652423101E-3</v>
          </cell>
        </row>
        <row r="510">
          <cell r="Y510">
            <v>42551</v>
          </cell>
          <cell r="Z510">
            <v>2.1604277887334843E-3</v>
          </cell>
          <cell r="AA510">
            <v>1.9699333388523144E-3</v>
          </cell>
        </row>
        <row r="511">
          <cell r="Y511">
            <v>42552</v>
          </cell>
          <cell r="Z511">
            <v>2.1674237983710385E-3</v>
          </cell>
          <cell r="AA511">
            <v>1.9735556484246075E-3</v>
          </cell>
        </row>
        <row r="512">
          <cell r="Y512">
            <v>42555</v>
          </cell>
          <cell r="Z512">
            <v>2.1705489946265083E-3</v>
          </cell>
          <cell r="AA512">
            <v>1.977171663032351E-3</v>
          </cell>
        </row>
        <row r="513">
          <cell r="Y513">
            <v>42556</v>
          </cell>
          <cell r="Z513">
            <v>2.1727937318321883E-3</v>
          </cell>
          <cell r="AA513">
            <v>1.9789927515923011E-3</v>
          </cell>
        </row>
        <row r="514">
          <cell r="Y514">
            <v>42557</v>
          </cell>
          <cell r="Z514">
            <v>2.1750430796771297E-3</v>
          </cell>
          <cell r="AA514">
            <v>1.9808184430303299E-3</v>
          </cell>
        </row>
        <row r="515">
          <cell r="Y515">
            <v>42558</v>
          </cell>
          <cell r="Z515">
            <v>2.1809201314394945E-3</v>
          </cell>
          <cell r="AA515">
            <v>1.9826487375862456E-3</v>
          </cell>
        </row>
        <row r="516">
          <cell r="Y516">
            <v>42559</v>
          </cell>
          <cell r="Z516">
            <v>2.1819740897639278E-3</v>
          </cell>
          <cell r="AA516">
            <v>1.986335629498015E-3</v>
          </cell>
        </row>
        <row r="517">
          <cell r="Y517">
            <v>42562</v>
          </cell>
          <cell r="Z517">
            <v>2.1863589790451004E-3</v>
          </cell>
          <cell r="AA517">
            <v>1.9900159453101196E-3</v>
          </cell>
        </row>
        <row r="518">
          <cell r="Y518">
            <v>42563</v>
          </cell>
          <cell r="Z518">
            <v>2.1886359910592581E-3</v>
          </cell>
          <cell r="AA518">
            <v>1.991869254736045E-3</v>
          </cell>
        </row>
        <row r="519">
          <cell r="Y519">
            <v>42564</v>
          </cell>
          <cell r="Z519">
            <v>2.1909176138238929E-3</v>
          </cell>
          <cell r="AA519">
            <v>1.9937271671199852E-3</v>
          </cell>
        </row>
        <row r="520">
          <cell r="Y520">
            <v>42565</v>
          </cell>
          <cell r="Z520">
            <v>2.1956501614287418E-3</v>
          </cell>
          <cell r="AA520">
            <v>1.9955896825418762E-3</v>
          </cell>
        </row>
        <row r="521">
          <cell r="Y521">
            <v>42566</v>
          </cell>
          <cell r="Z521">
            <v>2.1967193923378711E-3</v>
          </cell>
          <cell r="AA521">
            <v>2.0002856570511263E-3</v>
          </cell>
        </row>
        <row r="522">
          <cell r="Y522">
            <v>42570</v>
          </cell>
          <cell r="Z522">
            <v>2.2047041770875083E-3</v>
          </cell>
          <cell r="AA522">
            <v>2.0049713041014883E-3</v>
          </cell>
        </row>
        <row r="523">
          <cell r="Y523">
            <v>42571</v>
          </cell>
          <cell r="Z523">
            <v>2.2047041770875083E-3</v>
          </cell>
          <cell r="AA523">
            <v>2.0068614374313398E-3</v>
          </cell>
        </row>
        <row r="524">
          <cell r="Y524">
            <v>42572</v>
          </cell>
          <cell r="Z524">
            <v>2.2118153738949885E-3</v>
          </cell>
          <cell r="AA524">
            <v>2.0087561736392701E-3</v>
          </cell>
        </row>
        <row r="525">
          <cell r="Y525">
            <v>42573</v>
          </cell>
          <cell r="Z525">
            <v>2.212900643477306E-3</v>
          </cell>
          <cell r="AA525">
            <v>2.0125722406483249E-3</v>
          </cell>
        </row>
        <row r="526">
          <cell r="Y526">
            <v>42576</v>
          </cell>
          <cell r="Z526">
            <v>2.2186567314715381E-3</v>
          </cell>
          <cell r="AA526">
            <v>2.0163811486106908E-3</v>
          </cell>
        </row>
        <row r="527">
          <cell r="Y527">
            <v>42577</v>
          </cell>
          <cell r="Z527">
            <v>2.2209982954759706E-3</v>
          </cell>
          <cell r="AA527">
            <v>2.0182988997685669E-3</v>
          </cell>
        </row>
        <row r="528">
          <cell r="Y528">
            <v>42578</v>
          </cell>
          <cell r="Z528">
            <v>2.2233444704598273E-3</v>
          </cell>
          <cell r="AA528">
            <v>2.0202212539643938E-3</v>
          </cell>
        </row>
        <row r="529">
          <cell r="Y529">
            <v>42579</v>
          </cell>
          <cell r="Z529">
            <v>2.2282065253891527E-3</v>
          </cell>
          <cell r="AA529">
            <v>2.0221482111182354E-3</v>
          </cell>
        </row>
        <row r="530">
          <cell r="Y530">
            <v>42580</v>
          </cell>
          <cell r="Z530">
            <v>2.2305665627950846E-3</v>
          </cell>
          <cell r="AA530">
            <v>2.026028870858454E-3</v>
          </cell>
        </row>
        <row r="531">
          <cell r="Y531">
            <v>42583</v>
          </cell>
          <cell r="Z531">
            <v>2.2351445106513165E-3</v>
          </cell>
          <cell r="AA531">
            <v>2.0299020696334935E-3</v>
          </cell>
        </row>
        <row r="532">
          <cell r="Y532">
            <v>42584</v>
          </cell>
          <cell r="Z532">
            <v>2.237518351860571E-3</v>
          </cell>
          <cell r="AA532">
            <v>2.031852041817217E-3</v>
          </cell>
        </row>
        <row r="533">
          <cell r="Y533">
            <v>42585</v>
          </cell>
          <cell r="Z533">
            <v>2.2398968041656784E-3</v>
          </cell>
          <cell r="AA533">
            <v>2.0338066168790192E-3</v>
          </cell>
        </row>
        <row r="534">
          <cell r="Y534">
            <v>42586</v>
          </cell>
          <cell r="Z534">
            <v>2.2448236216417038E-3</v>
          </cell>
          <cell r="AA534">
            <v>2.0357657948988361E-3</v>
          </cell>
        </row>
        <row r="535">
          <cell r="Y535">
            <v>42587</v>
          </cell>
          <cell r="Z535">
            <v>2.2459409633657826E-3</v>
          </cell>
          <cell r="AA535">
            <v>2.0397110509406957E-3</v>
          </cell>
        </row>
        <row r="536">
          <cell r="Y536">
            <v>42590</v>
          </cell>
          <cell r="Z536">
            <v>2.251858232720276E-3</v>
          </cell>
          <cell r="AA536">
            <v>2.0436485370378676E-3</v>
          </cell>
        </row>
        <row r="537">
          <cell r="Y537">
            <v>42597</v>
          </cell>
          <cell r="Z537">
            <v>2.2687979034603126E-3</v>
          </cell>
          <cell r="AA537">
            <v>2.0576205507438772E-3</v>
          </cell>
        </row>
        <row r="538">
          <cell r="Y538">
            <v>42604</v>
          </cell>
          <cell r="Z538">
            <v>2.2859635287310878E-3</v>
          </cell>
          <cell r="AA538">
            <v>2.0718181108314582E-3</v>
          </cell>
        </row>
        <row r="539">
          <cell r="Y539">
            <v>42612</v>
          </cell>
          <cell r="Z539">
            <v>2.303199829531147E-3</v>
          </cell>
          <cell r="AA539">
            <v>2.0883200730281715E-3</v>
          </cell>
        </row>
        <row r="540">
          <cell r="Y540">
            <v>42618</v>
          </cell>
          <cell r="Z540">
            <v>2.3182865590205722E-3</v>
          </cell>
          <cell r="AA540">
            <v>2.1008898701513345E-3</v>
          </cell>
        </row>
        <row r="541">
          <cell r="Y541">
            <v>42625</v>
          </cell>
          <cell r="Z541">
            <v>2.3360975702284522E-3</v>
          </cell>
          <cell r="AA541">
            <v>2.115764069543502E-3</v>
          </cell>
        </row>
        <row r="542">
          <cell r="Y542">
            <v>42633</v>
          </cell>
          <cell r="Z542">
            <v>2.356729713764957E-3</v>
          </cell>
          <cell r="AA542">
            <v>2.133039333882536E-3</v>
          </cell>
        </row>
        <row r="543">
          <cell r="Y543">
            <v>42640</v>
          </cell>
          <cell r="Z543">
            <v>2.373633137704985E-3</v>
          </cell>
          <cell r="AA543">
            <v>2.1483968470636938E-3</v>
          </cell>
        </row>
        <row r="544">
          <cell r="Y544">
            <v>42647</v>
          </cell>
          <cell r="Z544">
            <v>2.3935461940465205E-3</v>
          </cell>
          <cell r="AA544">
            <v>2.1639799068662313E-3</v>
          </cell>
        </row>
        <row r="545">
          <cell r="Y545">
            <v>42655</v>
          </cell>
          <cell r="Z545">
            <v>2.4122934202048005E-3</v>
          </cell>
          <cell r="AA545">
            <v>2.1820652975712562E-3</v>
          </cell>
        </row>
        <row r="546">
          <cell r="Y546">
            <v>42661</v>
          </cell>
          <cell r="Z546">
            <v>2.431266645568364E-3</v>
          </cell>
          <cell r="AA546">
            <v>2.1958226661755731E-3</v>
          </cell>
        </row>
        <row r="547">
          <cell r="Y547">
            <v>42668</v>
          </cell>
          <cell r="Z547">
            <v>2.4504658766291618E-3</v>
          </cell>
          <cell r="AA547">
            <v>2.2120823657623134E-3</v>
          </cell>
        </row>
        <row r="548">
          <cell r="Y548">
            <v>42675</v>
          </cell>
          <cell r="Z548">
            <v>2.4698911199573224E-3</v>
          </cell>
          <cell r="AA548">
            <v>2.2285676119704334E-3</v>
          </cell>
        </row>
        <row r="549">
          <cell r="Y549">
            <v>42682</v>
          </cell>
          <cell r="Z549">
            <v>2.4880529235335718E-3</v>
          </cell>
          <cell r="AA549">
            <v>2.2452784048798691E-3</v>
          </cell>
        </row>
        <row r="550">
          <cell r="Y550">
            <v>42689</v>
          </cell>
          <cell r="Z550">
            <v>2.5079139280748917E-3</v>
          </cell>
          <cell r="AA550">
            <v>2.2622147444906204E-3</v>
          </cell>
        </row>
        <row r="551">
          <cell r="Y551">
            <v>42696</v>
          </cell>
          <cell r="Z551">
            <v>2.5280009618778173E-3</v>
          </cell>
          <cell r="AA551">
            <v>2.2806189098023566E-3</v>
          </cell>
        </row>
        <row r="552">
          <cell r="Y552">
            <v>42703</v>
          </cell>
          <cell r="Z552">
            <v>2.5498523500341358E-3</v>
          </cell>
          <cell r="AA552">
            <v>2.2967640640558784E-3</v>
          </cell>
        </row>
        <row r="553">
          <cell r="Y553">
            <v>42710</v>
          </cell>
          <cell r="Z553">
            <v>2.5704077559460339E-3</v>
          </cell>
          <cell r="AA553">
            <v>2.3143770440903211E-3</v>
          </cell>
        </row>
        <row r="554">
          <cell r="Y554">
            <v>42717</v>
          </cell>
          <cell r="Z554">
            <v>2.5911892147697062E-3</v>
          </cell>
          <cell r="AA554">
            <v>2.3322155708260794E-3</v>
          </cell>
        </row>
        <row r="555">
          <cell r="Y555">
            <v>42724</v>
          </cell>
          <cell r="Z555">
            <v>2.6121965320409272E-3</v>
          </cell>
          <cell r="AA555">
            <v>2.3502796445828977E-3</v>
          </cell>
        </row>
        <row r="556">
          <cell r="Y556">
            <v>42734</v>
          </cell>
          <cell r="Z556">
            <v>2.6425973273980709E-3</v>
          </cell>
          <cell r="AA556">
            <v>2.3818074889820906E-3</v>
          </cell>
        </row>
        <row r="557">
          <cell r="Y557">
            <v>42741</v>
          </cell>
          <cell r="Z557">
            <v>2.6625238793188243E-3</v>
          </cell>
          <cell r="AA557">
            <v>2.3991330022821167E-3</v>
          </cell>
        </row>
        <row r="558">
          <cell r="Y558">
            <v>42748</v>
          </cell>
          <cell r="Z558">
            <v>2.6842838483220645E-3</v>
          </cell>
          <cell r="AA558">
            <v>2.4166531500480204E-3</v>
          </cell>
        </row>
        <row r="559">
          <cell r="Y559">
            <v>42755</v>
          </cell>
          <cell r="Z559">
            <v>2.7062662770303263E-3</v>
          </cell>
          <cell r="AA559">
            <v>2.4357485530401846E-3</v>
          </cell>
        </row>
        <row r="560">
          <cell r="Y560">
            <v>42762</v>
          </cell>
          <cell r="Z560">
            <v>2.7284703532442414E-3</v>
          </cell>
          <cell r="AA560">
            <v>2.4550695082226071E-3</v>
          </cell>
        </row>
        <row r="561">
          <cell r="Y561">
            <v>42769</v>
          </cell>
          <cell r="Z561">
            <v>2.7508952648010966E-3</v>
          </cell>
          <cell r="AA561">
            <v>2.4746160156752239E-3</v>
          </cell>
        </row>
        <row r="562">
          <cell r="Y562">
            <v>42776</v>
          </cell>
          <cell r="Z562">
            <v>2.7735401995766023E-3</v>
          </cell>
          <cell r="AA562">
            <v>2.4943880755046166E-3</v>
          </cell>
        </row>
        <row r="563">
          <cell r="Y563">
            <v>42783</v>
          </cell>
          <cell r="Z563">
            <v>2.7964043454813564E-3</v>
          </cell>
          <cell r="AA563">
            <v>2.5143856878706572E-3</v>
          </cell>
        </row>
        <row r="564">
          <cell r="Y564">
            <v>42790</v>
          </cell>
          <cell r="Z564">
            <v>2.8194868904612889E-3</v>
          </cell>
          <cell r="AA564">
            <v>2.5346088528532817E-3</v>
          </cell>
        </row>
        <row r="565">
          <cell r="Y565">
            <v>42797</v>
          </cell>
          <cell r="Z565">
            <v>2.8497989742028939E-3</v>
          </cell>
          <cell r="AA565">
            <v>2.5550575705590717E-3</v>
          </cell>
        </row>
        <row r="566">
          <cell r="Y566">
            <v>42804</v>
          </cell>
          <cell r="Z566">
            <v>2.8733769116760259E-3</v>
          </cell>
          <cell r="AA566">
            <v>2.5757318411478991E-3</v>
          </cell>
        </row>
        <row r="567">
          <cell r="Y567">
            <v>42811</v>
          </cell>
          <cell r="Z567">
            <v>2.8989576315878582E-3</v>
          </cell>
          <cell r="AA567">
            <v>2.5981438579969485E-3</v>
          </cell>
        </row>
        <row r="568">
          <cell r="Y568">
            <v>42818</v>
          </cell>
          <cell r="Z568">
            <v>2.9211792138752052E-3</v>
          </cell>
          <cell r="AA568">
            <v>2.6177570412944107E-3</v>
          </cell>
        </row>
        <row r="569">
          <cell r="Y569">
            <v>42825</v>
          </cell>
          <cell r="Z569">
            <v>2.93995873494386E-3</v>
          </cell>
          <cell r="AA569">
            <v>2.6391079711185483E-3</v>
          </cell>
        </row>
        <row r="570">
          <cell r="Y570">
            <v>42832</v>
          </cell>
          <cell r="Z570">
            <v>2.9716704665289618E-3</v>
          </cell>
          <cell r="AA570">
            <v>2.6606844542786945E-3</v>
          </cell>
        </row>
        <row r="571">
          <cell r="Y571">
            <v>42843</v>
          </cell>
          <cell r="Z571">
            <v>3.004959354636245E-3</v>
          </cell>
          <cell r="AA571">
            <v>2.691877605061066E-3</v>
          </cell>
        </row>
        <row r="572">
          <cell r="Y572">
            <v>42846</v>
          </cell>
          <cell r="Z572">
            <v>3.0193472950220592E-3</v>
          </cell>
          <cell r="AA572">
            <v>2.7045140810333379E-3</v>
          </cell>
        </row>
        <row r="573">
          <cell r="Y573">
            <v>42853</v>
          </cell>
          <cell r="Z573">
            <v>3.0462960515930866E-3</v>
          </cell>
          <cell r="AA573">
            <v>2.7283770474095803E-3</v>
          </cell>
        </row>
        <row r="574">
          <cell r="Y574">
            <v>42865</v>
          </cell>
          <cell r="Z574">
            <v>3.08598544508072E-3</v>
          </cell>
          <cell r="AA574">
            <v>2.7621694341384284E-3</v>
          </cell>
        </row>
        <row r="575">
          <cell r="Y575">
            <v>42872</v>
          </cell>
          <cell r="Z575">
            <v>3.111610634555422E-3</v>
          </cell>
          <cell r="AA575">
            <v>2.7850022219588766E-3</v>
          </cell>
        </row>
        <row r="576">
          <cell r="Y576">
            <v>42879</v>
          </cell>
          <cell r="Z576">
            <v>3.1374438640674948E-3</v>
          </cell>
          <cell r="AA576">
            <v>2.8080605575198092E-3</v>
          </cell>
        </row>
        <row r="577">
          <cell r="Y577">
            <v>42887</v>
          </cell>
          <cell r="Z577">
            <v>3.165274413147197E-3</v>
          </cell>
          <cell r="AA577">
            <v>2.8346891219133141E-3</v>
          </cell>
        </row>
        <row r="578">
          <cell r="Y578">
            <v>42894</v>
          </cell>
          <cell r="Z578">
            <v>3.1915358721930514E-3</v>
          </cell>
          <cell r="AA578">
            <v>2.8582307741409352E-3</v>
          </cell>
        </row>
        <row r="579">
          <cell r="Y579">
            <v>42901</v>
          </cell>
          <cell r="Z579">
            <v>3.2180028716078928E-3</v>
          </cell>
          <cell r="AA579">
            <v>2.881995311039276E-3</v>
          </cell>
        </row>
        <row r="580">
          <cell r="Y580">
            <v>42908</v>
          </cell>
          <cell r="Z580">
            <v>3.2446749709112827E-3</v>
          </cell>
          <cell r="AA580">
            <v>2.905966896395995E-3</v>
          </cell>
        </row>
        <row r="581">
          <cell r="Y581">
            <v>42915</v>
          </cell>
          <cell r="Z581">
            <v>3.2715521532074459E-3</v>
          </cell>
          <cell r="AA581">
            <v>2.9301428671413277E-3</v>
          </cell>
        </row>
        <row r="582">
          <cell r="Y582">
            <v>42922</v>
          </cell>
          <cell r="Z582">
            <v>3.3067282497041494E-3</v>
          </cell>
          <cell r="AA582">
            <v>2.9545232233552099E-3</v>
          </cell>
        </row>
        <row r="583">
          <cell r="Y583">
            <v>42929</v>
          </cell>
          <cell r="Z583">
            <v>3.3320347288086937E-3</v>
          </cell>
          <cell r="AA583">
            <v>2.9791079648777696E-3</v>
          </cell>
        </row>
        <row r="584">
          <cell r="Y584">
            <v>42936</v>
          </cell>
          <cell r="Z584">
            <v>3.3595719333335073E-3</v>
          </cell>
          <cell r="AA584">
            <v>3.003897091868879E-3</v>
          </cell>
        </row>
        <row r="585">
          <cell r="Y585">
            <v>42943</v>
          </cell>
          <cell r="Z585">
            <v>3.3873142687220136E-3</v>
          </cell>
          <cell r="AA585">
            <v>3.028890604328538E-3</v>
          </cell>
        </row>
        <row r="586">
          <cell r="Y586">
            <v>42950</v>
          </cell>
          <cell r="Z586">
            <v>3.4152617437697578E-3</v>
          </cell>
          <cell r="AA586">
            <v>3.0540885023366826E-3</v>
          </cell>
        </row>
        <row r="587">
          <cell r="Y587">
            <v>42957</v>
          </cell>
          <cell r="Z587">
            <v>3.4455145384004733E-3</v>
          </cell>
          <cell r="AA587">
            <v>3.079490786053185E-3</v>
          </cell>
        </row>
        <row r="588">
          <cell r="Y588">
            <v>42964</v>
          </cell>
          <cell r="Z588">
            <v>3.471772148342306E-3</v>
          </cell>
          <cell r="AA588">
            <v>3.1050974552382371E-3</v>
          </cell>
        </row>
        <row r="589">
          <cell r="Y589">
            <v>42971</v>
          </cell>
          <cell r="Z589">
            <v>3.5003350957809524E-3</v>
          </cell>
          <cell r="AA589">
            <v>3.1309085101316469E-3</v>
          </cell>
        </row>
        <row r="590">
          <cell r="Y590">
            <v>42978</v>
          </cell>
          <cell r="Z590">
            <v>3.5183999259507941E-3</v>
          </cell>
          <cell r="AA590">
            <v>3.1569239507334146E-3</v>
          </cell>
        </row>
        <row r="591">
          <cell r="Y591">
            <v>42985</v>
          </cell>
          <cell r="Z591">
            <v>3.5472985306984426E-3</v>
          </cell>
          <cell r="AA591">
            <v>3.1831437771234761E-3</v>
          </cell>
        </row>
        <row r="592">
          <cell r="Y592">
            <v>42992</v>
          </cell>
          <cell r="Z592">
            <v>3.5764023041550751E-3</v>
          </cell>
          <cell r="AA592">
            <v>3.2095679893018314E-3</v>
          </cell>
        </row>
        <row r="593">
          <cell r="Y593">
            <v>42999</v>
          </cell>
          <cell r="Z593">
            <v>3.6078938729766888E-3</v>
          </cell>
          <cell r="AA593">
            <v>3.2361965873484166E-3</v>
          </cell>
        </row>
        <row r="594">
          <cell r="Y594">
            <v>43006</v>
          </cell>
          <cell r="Z594">
            <v>3.6352253931704907E-3</v>
          </cell>
          <cell r="AA594">
            <v>3.2630295712632318E-3</v>
          </cell>
        </row>
        <row r="595">
          <cell r="Y595">
            <v>43013</v>
          </cell>
          <cell r="Z595">
            <v>3.6671572584306674E-3</v>
          </cell>
          <cell r="AA595">
            <v>3.2900669410462768E-3</v>
          </cell>
        </row>
        <row r="596">
          <cell r="Y596">
            <v>43020</v>
          </cell>
          <cell r="Z596">
            <v>3.6970967618794033E-3</v>
          </cell>
          <cell r="AA596">
            <v>3.31730869693736E-3</v>
          </cell>
        </row>
        <row r="597">
          <cell r="Y597">
            <v>43027</v>
          </cell>
          <cell r="Z597">
            <v>3.7272414848380959E-3</v>
          </cell>
          <cell r="AA597">
            <v>3.3447548387766091E-3</v>
          </cell>
        </row>
        <row r="598">
          <cell r="Y598">
            <v>43034</v>
          </cell>
          <cell r="Z598">
            <v>3.7575914366583863E-3</v>
          </cell>
          <cell r="AA598">
            <v>3.3724053667238962E-3</v>
          </cell>
        </row>
        <row r="599">
          <cell r="Y599">
            <v>43041</v>
          </cell>
          <cell r="Z599">
            <v>3.7858742043536016E-3</v>
          </cell>
          <cell r="AA599">
            <v>3.4063067333978125E-3</v>
          </cell>
        </row>
        <row r="600">
          <cell r="Y600">
            <v>43048</v>
          </cell>
          <cell r="Z600">
            <v>3.8166196560210654E-3</v>
          </cell>
          <cell r="AA600">
            <v>3.4283195810225209E-3</v>
          </cell>
        </row>
        <row r="601">
          <cell r="Y601">
            <v>43055</v>
          </cell>
          <cell r="Z601">
            <v>3.8475703594833162E-3</v>
          </cell>
          <cell r="AA601">
            <v>3.4565832674537944E-3</v>
          </cell>
        </row>
        <row r="602">
          <cell r="Y602">
            <v>43063</v>
          </cell>
          <cell r="Z602">
            <v>3.8831939329922751E-3</v>
          </cell>
          <cell r="AA602">
            <v>3.4932579022228794E-3</v>
          </cell>
        </row>
        <row r="603">
          <cell r="Y603">
            <v>43069</v>
          </cell>
          <cell r="Z603">
            <v>3.9124199604338092E-3</v>
          </cell>
          <cell r="AA603">
            <v>3.5137237992799442E-3</v>
          </cell>
        </row>
        <row r="604">
          <cell r="Y604">
            <v>43076</v>
          </cell>
          <cell r="Z604">
            <v>3.9440014853679203E-3</v>
          </cell>
          <cell r="AA604">
            <v>3.5426006446748204E-3</v>
          </cell>
        </row>
        <row r="605">
          <cell r="Y605">
            <v>43083</v>
          </cell>
          <cell r="Z605">
            <v>3.9757882985605114E-3</v>
          </cell>
          <cell r="AA605">
            <v>3.5716818764974789E-3</v>
          </cell>
        </row>
        <row r="606">
          <cell r="Y606">
            <v>43090</v>
          </cell>
          <cell r="Z606">
            <v>4.0077801427834984E-3</v>
          </cell>
          <cell r="AA606">
            <v>3.6009674946679837E-3</v>
          </cell>
        </row>
        <row r="607">
          <cell r="Y607">
            <v>43098</v>
          </cell>
          <cell r="Z607">
            <v>4.0445925770883221E-3</v>
          </cell>
          <cell r="AA607">
            <v>3.6453775094935637E-3</v>
          </cell>
        </row>
        <row r="608">
          <cell r="Y608">
            <v>43109</v>
          </cell>
          <cell r="Z608">
            <v>4.0932265381658488E-3</v>
          </cell>
          <cell r="AA608">
            <v>3.6814873050872166E-3</v>
          </cell>
        </row>
        <row r="609">
          <cell r="Y609">
            <v>43115</v>
          </cell>
          <cell r="Z609">
            <v>4.1261332475703164E-3</v>
          </cell>
          <cell r="AA609">
            <v>3.7072274502225611E-3</v>
          </cell>
        </row>
        <row r="610">
          <cell r="Y610">
            <v>43122</v>
          </cell>
          <cell r="Z610">
            <v>4.1566234101523842E-3</v>
          </cell>
          <cell r="AA610">
            <v>3.7374474073192943E-3</v>
          </cell>
        </row>
        <row r="611">
          <cell r="Y611">
            <v>43129</v>
          </cell>
          <cell r="Z611">
            <v>4.1897469065064951E-3</v>
          </cell>
          <cell r="AA611">
            <v>3.7678717510836179E-3</v>
          </cell>
        </row>
        <row r="612">
          <cell r="Y612">
            <v>43136</v>
          </cell>
          <cell r="Z612">
            <v>4.2230715875198679E-3</v>
          </cell>
          <cell r="AA612">
            <v>3.7985004816754042E-3</v>
          </cell>
        </row>
        <row r="613">
          <cell r="Y613">
            <v>43144</v>
          </cell>
          <cell r="Z613">
            <v>4.2589121334514627E-3</v>
          </cell>
          <cell r="AA613">
            <v>3.8337550148082045E-3</v>
          </cell>
        </row>
        <row r="614">
          <cell r="Y614">
            <v>43150</v>
          </cell>
          <cell r="Z614">
            <v>4.2903221512939002E-3</v>
          </cell>
          <cell r="AA614">
            <v>3.8603711034213006E-3</v>
          </cell>
        </row>
        <row r="615">
          <cell r="Y615">
            <v>43157</v>
          </cell>
          <cell r="Z615">
            <v>4.3267653404751097E-3</v>
          </cell>
          <cell r="AA615">
            <v>3.8916129946553468E-3</v>
          </cell>
        </row>
        <row r="616">
          <cell r="Y616">
            <v>43164</v>
          </cell>
          <cell r="Z616">
            <v>4.3634373662738563E-3</v>
          </cell>
          <cell r="AA616">
            <v>3.9230592729566638E-3</v>
          </cell>
        </row>
        <row r="617">
          <cell r="Y617">
            <v>43171</v>
          </cell>
          <cell r="Z617">
            <v>4.3977877050364097E-3</v>
          </cell>
          <cell r="AA617">
            <v>3.9547099383252515E-3</v>
          </cell>
        </row>
        <row r="618">
          <cell r="Y618">
            <v>43178</v>
          </cell>
          <cell r="Z618">
            <v>4.4323356287034876E-3</v>
          </cell>
          <cell r="AA618">
            <v>3.9865649908410461E-3</v>
          </cell>
        </row>
        <row r="619">
          <cell r="Y619">
            <v>43185</v>
          </cell>
          <cell r="Z619">
            <v>4.4670805559296842E-3</v>
          </cell>
          <cell r="AA619">
            <v>4.0186244305040475E-3</v>
          </cell>
        </row>
        <row r="620">
          <cell r="Y620">
            <v>43194</v>
          </cell>
          <cell r="Z620">
            <v>4.5094460246081856E-3</v>
          </cell>
          <cell r="AA620">
            <v>4.0601440340992667E-3</v>
          </cell>
        </row>
        <row r="621">
          <cell r="Y621">
            <v>43199</v>
          </cell>
          <cell r="Z621">
            <v>4.5345538688376886E-3</v>
          </cell>
          <cell r="AA621">
            <v>4.0833564714315429E-3</v>
          </cell>
        </row>
        <row r="622">
          <cell r="Y622">
            <v>43206</v>
          </cell>
          <cell r="Z622">
            <v>4.5698721876873058E-3</v>
          </cell>
          <cell r="AA622">
            <v>4.1160290729358451E-3</v>
          </cell>
        </row>
        <row r="623">
          <cell r="Y623">
            <v>43213</v>
          </cell>
          <cell r="Z623">
            <v>4.6053852040632221E-3</v>
          </cell>
          <cell r="AA623">
            <v>4.1489060618271623E-3</v>
          </cell>
        </row>
        <row r="624">
          <cell r="Y624">
            <v>43221</v>
          </cell>
          <cell r="Z624">
            <v>4.6488587425497704E-3</v>
          </cell>
          <cell r="AA624">
            <v>4.1867300337017355E-3</v>
          </cell>
        </row>
        <row r="625">
          <cell r="Y625">
            <v>43230</v>
          </cell>
          <cell r="Z625">
            <v>4.700445216062144E-3</v>
          </cell>
          <cell r="AA625">
            <v>4.229601096881197E-3</v>
          </cell>
        </row>
        <row r="626">
          <cell r="Y626">
            <v>43237</v>
          </cell>
          <cell r="Z626">
            <v>4.7366635446272239E-3</v>
          </cell>
          <cell r="AA626">
            <v>4.2631788429847717E-3</v>
          </cell>
        </row>
        <row r="627">
          <cell r="Y627">
            <v>43244</v>
          </cell>
          <cell r="Z627">
            <v>4.7730739686350828E-3</v>
          </cell>
          <cell r="AA627">
            <v>4.2969609767151695E-3</v>
          </cell>
        </row>
        <row r="628">
          <cell r="Y628">
            <v>43251</v>
          </cell>
          <cell r="Z628">
            <v>4.8015421673337213E-3</v>
          </cell>
          <cell r="AA628">
            <v>4.3309474980723905E-3</v>
          </cell>
        </row>
        <row r="629">
          <cell r="Y629">
            <v>43258</v>
          </cell>
          <cell r="Z629">
            <v>4.8382928536626095E-3</v>
          </cell>
          <cell r="AA629">
            <v>4.3651384072163069E-3</v>
          </cell>
        </row>
        <row r="630">
          <cell r="Y630">
            <v>43265</v>
          </cell>
          <cell r="Z630">
            <v>4.8752339032803469E-3</v>
          </cell>
          <cell r="AA630">
            <v>4.3995317510692189E-3</v>
          </cell>
        </row>
        <row r="631">
          <cell r="Y631">
            <v>43272</v>
          </cell>
          <cell r="Z631">
            <v>4.9123649974862375E-3</v>
          </cell>
          <cell r="AA631">
            <v>4.4341159161209731E-3</v>
          </cell>
        </row>
        <row r="632">
          <cell r="Y632">
            <v>43279</v>
          </cell>
          <cell r="Z632">
            <v>4.9496861284801822E-3</v>
          </cell>
          <cell r="AA632">
            <v>4.4688889492938699E-3</v>
          </cell>
        </row>
        <row r="633">
          <cell r="Y633">
            <v>43286</v>
          </cell>
          <cell r="Z633">
            <v>4.9955422662613961E-3</v>
          </cell>
          <cell r="AA633">
            <v>4.5038508507477815E-3</v>
          </cell>
        </row>
        <row r="634">
          <cell r="Y634">
            <v>43293</v>
          </cell>
          <cell r="Z634">
            <v>5.0360843041178252E-3</v>
          </cell>
          <cell r="AA634">
            <v>4.5390016204827077E-3</v>
          </cell>
        </row>
        <row r="635">
          <cell r="Y635">
            <v>43300</v>
          </cell>
          <cell r="Z635">
            <v>5.0712194449970167E-3</v>
          </cell>
          <cell r="AA635">
            <v>4.5743412584986487E-3</v>
          </cell>
        </row>
        <row r="636">
          <cell r="Y636">
            <v>43307</v>
          </cell>
          <cell r="Z636">
            <v>5.1093431826700108E-3</v>
          </cell>
          <cell r="AA636">
            <v>4.6098697648755405E-3</v>
          </cell>
        </row>
        <row r="637">
          <cell r="Y637">
            <v>43314</v>
          </cell>
          <cell r="Z637">
            <v>5.1476570340939828E-3</v>
          </cell>
          <cell r="AA637">
            <v>4.645587139693319E-3</v>
          </cell>
        </row>
        <row r="638">
          <cell r="Y638">
            <v>43321</v>
          </cell>
          <cell r="Z638">
            <v>5.1890159967587961E-3</v>
          </cell>
          <cell r="AA638">
            <v>4.6814933830319205E-3</v>
          </cell>
        </row>
        <row r="639">
          <cell r="Y639">
            <v>43328</v>
          </cell>
          <cell r="Z639">
            <v>5.2248551231760853E-3</v>
          </cell>
          <cell r="AA639">
            <v>4.7175884948114089E-3</v>
          </cell>
        </row>
        <row r="640">
          <cell r="Y640">
            <v>43335</v>
          </cell>
          <cell r="Z640">
            <v>5.2637393834629956E-3</v>
          </cell>
          <cell r="AA640">
            <v>4.7538724752715922E-3</v>
          </cell>
        </row>
        <row r="641">
          <cell r="Y641">
            <v>43342</v>
          </cell>
          <cell r="Z641">
            <v>5.2912378281824626E-3</v>
          </cell>
          <cell r="AA641">
            <v>4.7903453243325345E-3</v>
          </cell>
        </row>
        <row r="642">
          <cell r="Y642">
            <v>43349</v>
          </cell>
          <cell r="Z642">
            <v>5.3275410547265756E-3</v>
          </cell>
          <cell r="AA642">
            <v>4.8270070422340439E-3</v>
          </cell>
        </row>
        <row r="643">
          <cell r="Y643">
            <v>43356</v>
          </cell>
          <cell r="Z643">
            <v>5.3669249758926578E-3</v>
          </cell>
          <cell r="AA643">
            <v>4.8638576288162483E-3</v>
          </cell>
        </row>
        <row r="644">
          <cell r="Y644">
            <v>43363</v>
          </cell>
          <cell r="Z644">
            <v>5.4064990506872733E-3</v>
          </cell>
          <cell r="AA644">
            <v>4.9008970842390198E-3</v>
          </cell>
        </row>
        <row r="645">
          <cell r="Y645">
            <v>43370</v>
          </cell>
          <cell r="Z645">
            <v>5.4462632903990726E-3</v>
          </cell>
          <cell r="AA645">
            <v>4.9381254085822945E-3</v>
          </cell>
        </row>
        <row r="646">
          <cell r="Y646">
            <v>43377</v>
          </cell>
          <cell r="Z646">
            <v>5.4891791382698464E-3</v>
          </cell>
          <cell r="AA646">
            <v>4.9755426017661364E-3</v>
          </cell>
        </row>
        <row r="647">
          <cell r="Y647">
            <v>43384</v>
          </cell>
          <cell r="Z647">
            <v>5.5293379420594795E-3</v>
          </cell>
          <cell r="AA647">
            <v>5.0131486640303535E-3</v>
          </cell>
        </row>
        <row r="648">
          <cell r="Y648">
            <v>43391</v>
          </cell>
          <cell r="Z648">
            <v>5.5696869531912966E-3</v>
          </cell>
          <cell r="AA648">
            <v>5.050943595374946E-3</v>
          </cell>
        </row>
        <row r="649">
          <cell r="Y649">
            <v>43398</v>
          </cell>
          <cell r="Z649">
            <v>5.6102261832393372E-3</v>
          </cell>
          <cell r="AA649">
            <v>5.0889273957999137E-3</v>
          </cell>
        </row>
        <row r="650">
          <cell r="Y650">
            <v>43405</v>
          </cell>
          <cell r="Z650">
            <v>5.6479373616404671E-3</v>
          </cell>
          <cell r="AA650">
            <v>5.1271000654651289E-3</v>
          </cell>
        </row>
        <row r="651">
          <cell r="Y651">
            <v>43412</v>
          </cell>
          <cell r="Z651">
            <v>5.6888428309713598E-3</v>
          </cell>
          <cell r="AA651">
            <v>5.1654616043705914E-3</v>
          </cell>
        </row>
        <row r="652">
          <cell r="Y652">
            <v>43419</v>
          </cell>
          <cell r="Z652">
            <v>5.7299385457653925E-3</v>
          </cell>
          <cell r="AA652">
            <v>5.2040120125163014E-3</v>
          </cell>
        </row>
        <row r="653">
          <cell r="Y653">
            <v>43426</v>
          </cell>
          <cell r="Z653">
            <v>5.7712245177475498E-3</v>
          </cell>
          <cell r="AA653">
            <v>5.2511944372235497E-3</v>
          </cell>
        </row>
        <row r="654">
          <cell r="Y654">
            <v>43433</v>
          </cell>
          <cell r="Z654">
            <v>5.8127007586958159E-3</v>
          </cell>
          <cell r="AA654">
            <v>5.28167943700808E-3</v>
          </cell>
        </row>
        <row r="655">
          <cell r="Y655">
            <v>43440</v>
          </cell>
          <cell r="Z655">
            <v>5.8574568158315148E-3</v>
          </cell>
          <cell r="AA655">
            <v>5.3207964535140206E-3</v>
          </cell>
        </row>
        <row r="656">
          <cell r="Y656">
            <v>43447</v>
          </cell>
          <cell r="Z656">
            <v>5.8993277972362208E-3</v>
          </cell>
          <cell r="AA656">
            <v>5.3601023395000169E-3</v>
          </cell>
        </row>
        <row r="657">
          <cell r="Y657">
            <v>43454</v>
          </cell>
          <cell r="Z657">
            <v>5.9413852471808751E-3</v>
          </cell>
          <cell r="AA657">
            <v>5.3995970952058769E-3</v>
          </cell>
        </row>
        <row r="658">
          <cell r="Y658">
            <v>43469</v>
          </cell>
          <cell r="Z658">
            <v>6.0289565624808486E-3</v>
          </cell>
          <cell r="AA658">
            <v>5.49066507273821E-3</v>
          </cell>
        </row>
        <row r="659">
          <cell r="Y659">
            <v>43473</v>
          </cell>
          <cell r="Z659">
            <v>6.0532687758928332E-3</v>
          </cell>
          <cell r="AA659">
            <v>5.5077492035948694E-3</v>
          </cell>
        </row>
        <row r="660">
          <cell r="Y660">
            <v>43481</v>
          </cell>
          <cell r="Z660">
            <v>6.099094157253248E-3</v>
          </cell>
          <cell r="AA660">
            <v>5.55370321794868E-3</v>
          </cell>
        </row>
        <row r="661">
          <cell r="Y661">
            <v>43487</v>
          </cell>
          <cell r="Z661">
            <v>6.1387541835908411E-3</v>
          </cell>
          <cell r="AA661">
            <v>5.5883306172965774E-3</v>
          </cell>
        </row>
        <row r="662">
          <cell r="Y662">
            <v>43494</v>
          </cell>
          <cell r="Z662">
            <v>6.1817109361966861E-3</v>
          </cell>
          <cell r="AA662">
            <v>5.6289046289670353E-3</v>
          </cell>
        </row>
        <row r="663">
          <cell r="Y663">
            <v>43501</v>
          </cell>
          <cell r="Z663">
            <v>6.2247991844186943E-3</v>
          </cell>
          <cell r="AA663">
            <v>5.6696675107570371E-3</v>
          </cell>
        </row>
        <row r="664">
          <cell r="Y664">
            <v>43509</v>
          </cell>
          <cell r="Z664">
            <v>6.2680105247169037E-3</v>
          </cell>
          <cell r="AA664">
            <v>5.716484930937682E-3</v>
          </cell>
        </row>
        <row r="665">
          <cell r="Y665">
            <v>43515</v>
          </cell>
          <cell r="Z665">
            <v>6.3113365528464985E-3</v>
          </cell>
          <cell r="AA665">
            <v>5.751759884695673E-3</v>
          </cell>
        </row>
        <row r="666">
          <cell r="Y666">
            <v>43522</v>
          </cell>
          <cell r="Z666">
            <v>6.3579631764010148E-3</v>
          </cell>
          <cell r="AA666">
            <v>5.7930893769242431E-3</v>
          </cell>
        </row>
        <row r="667">
          <cell r="Y667">
            <v>43529</v>
          </cell>
          <cell r="Z667">
            <v>6.4078932390512888E-3</v>
          </cell>
          <cell r="AA667">
            <v>5.8346077395121654E-3</v>
          </cell>
        </row>
        <row r="668">
          <cell r="Y668">
            <v>43536</v>
          </cell>
          <cell r="Z668">
            <v>6.4515216676563425E-3</v>
          </cell>
          <cell r="AA668">
            <v>5.8763149724594399E-3</v>
          </cell>
        </row>
        <row r="669">
          <cell r="Y669">
            <v>43543</v>
          </cell>
          <cell r="Z669">
            <v>6.4952294171317024E-3</v>
          </cell>
          <cell r="AA669">
            <v>5.9182110757660666E-3</v>
          </cell>
        </row>
        <row r="670">
          <cell r="Y670">
            <v>43550</v>
          </cell>
          <cell r="Z670">
            <v>6.5390082162918939E-3</v>
          </cell>
          <cell r="AA670">
            <v>5.9602960495919177E-3</v>
          </cell>
        </row>
        <row r="671">
          <cell r="Y671">
            <v>43557</v>
          </cell>
          <cell r="Z671">
            <v>6.5796433321705598E-3</v>
          </cell>
          <cell r="AA671">
            <v>6.0025698940169292E-3</v>
          </cell>
        </row>
        <row r="672">
          <cell r="Y672">
            <v>43564</v>
          </cell>
          <cell r="Z672">
            <v>6.6235385626334606E-3</v>
          </cell>
          <cell r="AA672">
            <v>6.0450326090411011E-3</v>
          </cell>
        </row>
        <row r="673">
          <cell r="Y673">
            <v>43571</v>
          </cell>
          <cell r="Z673">
            <v>6.6674804191698567E-3</v>
          </cell>
          <cell r="AA673">
            <v>6.0876841946644333E-3</v>
          </cell>
        </row>
        <row r="674">
          <cell r="Y674">
            <v>43580</v>
          </cell>
          <cell r="Z674">
            <v>6.7240322152661127E-3</v>
          </cell>
          <cell r="AA674">
            <v>6.1427994721263701E-3</v>
          </cell>
        </row>
        <row r="675">
          <cell r="Y675">
            <v>43587</v>
          </cell>
          <cell r="Z675">
            <v>6.780879390992969E-3</v>
          </cell>
          <cell r="AA675">
            <v>6.198444256362734E-3</v>
          </cell>
        </row>
        <row r="676">
          <cell r="Y676">
            <v>43594</v>
          </cell>
          <cell r="Z676">
            <v>6.8217068726690805E-3</v>
          </cell>
          <cell r="AA676">
            <v>6.2291549237158961E-3</v>
          </cell>
        </row>
        <row r="677">
          <cell r="Y677">
            <v>43601</v>
          </cell>
          <cell r="Z677">
            <v>6.8657521412962544E-3</v>
          </cell>
          <cell r="AA677">
            <v>6.2726159560089201E-3</v>
          </cell>
        </row>
        <row r="678">
          <cell r="Y678">
            <v>43608</v>
          </cell>
          <cell r="Z678">
            <v>6.9097995914274386E-3</v>
          </cell>
          <cell r="AA678">
            <v>6.3162658593807208E-3</v>
          </cell>
        </row>
        <row r="679">
          <cell r="Y679">
            <v>43615</v>
          </cell>
          <cell r="Z679">
            <v>6.9442278336328198E-3</v>
          </cell>
          <cell r="AA679">
            <v>6.3601046338312983E-3</v>
          </cell>
        </row>
        <row r="680">
          <cell r="Y680">
            <v>43622</v>
          </cell>
          <cell r="Z680">
            <v>6.9882582443871622E-3</v>
          </cell>
          <cell r="AA680">
            <v>6.4041322793606525E-3</v>
          </cell>
        </row>
        <row r="681">
          <cell r="Y681">
            <v>43629</v>
          </cell>
          <cell r="Z681">
            <v>7.0322664377577256E-3</v>
          </cell>
          <cell r="AA681">
            <v>6.4483215079569334E-3</v>
          </cell>
        </row>
        <row r="682">
          <cell r="Y682">
            <v>43636</v>
          </cell>
          <cell r="Z682">
            <v>7.0762478054185486E-3</v>
          </cell>
          <cell r="AA682">
            <v>6.4925100647705847E-3</v>
          </cell>
        </row>
        <row r="683">
          <cell r="Y683">
            <v>43643</v>
          </cell>
          <cell r="Z683">
            <v>7.1202020866732475E-3</v>
          </cell>
          <cell r="AA683">
            <v>6.5366706615499481E-3</v>
          </cell>
        </row>
        <row r="684">
          <cell r="Y684">
            <v>43650</v>
          </cell>
          <cell r="Z684">
            <v>7.1737264627804997E-3</v>
          </cell>
          <cell r="AA684">
            <v>6.5808032982150877E-3</v>
          </cell>
        </row>
        <row r="685">
          <cell r="Y685">
            <v>43657</v>
          </cell>
          <cell r="Z685">
            <v>7.2208212687909631E-3</v>
          </cell>
          <cell r="AA685">
            <v>6.6249079746860673E-3</v>
          </cell>
        </row>
        <row r="686">
          <cell r="Y686">
            <v>43664</v>
          </cell>
          <cell r="Z686">
            <v>7.2614932333998402E-3</v>
          </cell>
          <cell r="AA686">
            <v>6.6689846912026951E-3</v>
          </cell>
        </row>
        <row r="687">
          <cell r="Y687">
            <v>43671</v>
          </cell>
          <cell r="Z687">
            <v>7.305335999837374E-3</v>
          </cell>
          <cell r="AA687">
            <v>6.713033447525163E-3</v>
          </cell>
        </row>
        <row r="688">
          <cell r="Y688">
            <v>43678</v>
          </cell>
          <cell r="Z688">
            <v>7.3491516845225827E-3</v>
          </cell>
          <cell r="AA688">
            <v>6.757054243813343E-3</v>
          </cell>
        </row>
        <row r="689">
          <cell r="Y689">
            <v>43685</v>
          </cell>
          <cell r="Z689">
            <v>7.3929402855786889E-3</v>
          </cell>
          <cell r="AA689">
            <v>6.801047079907363E-3</v>
          </cell>
        </row>
        <row r="690">
          <cell r="Y690">
            <v>43692</v>
          </cell>
          <cell r="Z690">
            <v>7.4367018011293438E-3</v>
          </cell>
          <cell r="AA690">
            <v>6.8450119558072231E-3</v>
          </cell>
        </row>
        <row r="691">
          <cell r="Y691">
            <v>43699</v>
          </cell>
          <cell r="Z691">
            <v>7.4804362292999176E-3</v>
          </cell>
          <cell r="AA691">
            <v>6.8889488716727953E-3</v>
          </cell>
        </row>
        <row r="692">
          <cell r="Y692">
            <v>43706</v>
          </cell>
          <cell r="Z692">
            <v>7.5145714243591375E-3</v>
          </cell>
          <cell r="AA692">
            <v>6.9328578272642716E-3</v>
          </cell>
        </row>
        <row r="693">
          <cell r="Y693">
            <v>43713</v>
          </cell>
          <cell r="Z693">
            <v>7.5550649386751144E-3</v>
          </cell>
          <cell r="AA693">
            <v>6.97673882282146E-3</v>
          </cell>
        </row>
        <row r="694">
          <cell r="Y694">
            <v>43720</v>
          </cell>
          <cell r="Z694">
            <v>7.5987221667714782E-3</v>
          </cell>
          <cell r="AA694">
            <v>7.0205918580246163E-3</v>
          </cell>
        </row>
        <row r="695">
          <cell r="Y695">
            <v>43727</v>
          </cell>
          <cell r="Z695">
            <v>7.6423522817345652E-3</v>
          </cell>
          <cell r="AA695">
            <v>7.0644169331135487E-3</v>
          </cell>
        </row>
        <row r="696">
          <cell r="Y696">
            <v>43734</v>
          </cell>
          <cell r="Z696">
            <v>7.6859552817350688E-3</v>
          </cell>
          <cell r="AA696">
            <v>7.1082140480882572E-3</v>
          </cell>
        </row>
        <row r="697">
          <cell r="Y697">
            <v>43741</v>
          </cell>
          <cell r="Z697">
            <v>7.7327169161017515E-3</v>
          </cell>
          <cell r="AA697">
            <v>7.1519832027089336E-3</v>
          </cell>
        </row>
        <row r="698">
          <cell r="Y698">
            <v>43748</v>
          </cell>
          <cell r="Z698">
            <v>7.7890031682055372E-3</v>
          </cell>
          <cell r="AA698">
            <v>7.1957243972153861E-3</v>
          </cell>
        </row>
        <row r="699">
          <cell r="Y699">
            <v>43755</v>
          </cell>
          <cell r="Z699">
            <v>7.8197853271078088E-3</v>
          </cell>
          <cell r="AA699">
            <v>7.2394376314477427E-3</v>
          </cell>
        </row>
        <row r="700">
          <cell r="Y700">
            <v>43762</v>
          </cell>
          <cell r="Z700">
            <v>7.8632788569019171E-3</v>
          </cell>
          <cell r="AA700">
            <v>7.2831229054060032E-3</v>
          </cell>
        </row>
        <row r="701">
          <cell r="Y701">
            <v>43769</v>
          </cell>
          <cell r="Z701">
            <v>7.9035634933372623E-3</v>
          </cell>
          <cell r="AA701">
            <v>7.3267802190901676E-3</v>
          </cell>
        </row>
        <row r="702">
          <cell r="Y702">
            <v>43776</v>
          </cell>
          <cell r="Z702">
            <v>7.9470037652030617E-3</v>
          </cell>
          <cell r="AA702">
            <v>7.3704095725801722E-3</v>
          </cell>
        </row>
        <row r="703">
          <cell r="Y703">
            <v>43783</v>
          </cell>
          <cell r="Z703">
            <v>7.9904169093305659E-3</v>
          </cell>
          <cell r="AA703">
            <v>7.4140109657161446E-3</v>
          </cell>
        </row>
        <row r="704">
          <cell r="Y704">
            <v>43790</v>
          </cell>
          <cell r="Z704">
            <v>8.0338029239001279E-3</v>
          </cell>
          <cell r="AA704">
            <v>7.4575843986579571E-3</v>
          </cell>
        </row>
        <row r="705">
          <cell r="Y705">
            <v>43797</v>
          </cell>
          <cell r="Z705">
            <v>8.0771618070912283E-3</v>
          </cell>
          <cell r="AA705">
            <v>7.5011298712457375E-3</v>
          </cell>
        </row>
        <row r="706">
          <cell r="Y706">
            <v>43804</v>
          </cell>
          <cell r="Z706">
            <v>8.1236704602899723E-3</v>
          </cell>
          <cell r="AA706">
            <v>7.5446473835594219E-3</v>
          </cell>
        </row>
        <row r="707">
          <cell r="Y707">
            <v>43811</v>
          </cell>
          <cell r="Z707">
            <v>8.1669741212041166E-3</v>
          </cell>
          <cell r="AA707">
            <v>7.5881369355190742E-3</v>
          </cell>
        </row>
        <row r="708">
          <cell r="Y708">
            <v>43818</v>
          </cell>
          <cell r="Z708">
            <v>8.2102512431050899E-3</v>
          </cell>
          <cell r="AA708">
            <v>7.6315985272046305E-3</v>
          </cell>
        </row>
        <row r="709">
          <cell r="Y709">
            <v>43829</v>
          </cell>
          <cell r="Z709">
            <v>8.278208434480492E-3</v>
          </cell>
          <cell r="AA709">
            <v>7.7189331580232844E-3</v>
          </cell>
        </row>
        <row r="710">
          <cell r="Y710">
            <v>43838</v>
          </cell>
          <cell r="Z710">
            <v>8.3305944121987371E-3</v>
          </cell>
          <cell r="AA710">
            <v>7.7556204361872716E-3</v>
          </cell>
        </row>
        <row r="711">
          <cell r="Y711">
            <v>43846</v>
          </cell>
          <cell r="Z711">
            <v>8.379953202289939E-3</v>
          </cell>
          <cell r="AA711">
            <v>7.805165290406535E-3</v>
          </cell>
        </row>
        <row r="712">
          <cell r="Y712">
            <v>43853</v>
          </cell>
          <cell r="Z712">
            <v>8.4231224618749913E-3</v>
          </cell>
          <cell r="AA712">
            <v>7.8484870803219309E-3</v>
          </cell>
        </row>
        <row r="713">
          <cell r="Y713">
            <v>43860</v>
          </cell>
          <cell r="Z713">
            <v>8.4662751548600836E-3</v>
          </cell>
          <cell r="AA713">
            <v>7.8917809097234226E-3</v>
          </cell>
        </row>
        <row r="714">
          <cell r="Y714">
            <v>43867</v>
          </cell>
          <cell r="Z714">
            <v>8.5094130024732095E-3</v>
          </cell>
          <cell r="AA714">
            <v>7.9350467789307544E-3</v>
          </cell>
        </row>
        <row r="715">
          <cell r="Y715">
            <v>43875</v>
          </cell>
          <cell r="Z715">
            <v>8.5586974299270459E-3</v>
          </cell>
          <cell r="AA715">
            <v>7.99081041298777E-3</v>
          </cell>
        </row>
        <row r="716">
          <cell r="Y716">
            <v>43882</v>
          </cell>
          <cell r="Z716">
            <v>8.6018092626967066E-3</v>
          </cell>
          <cell r="AA716">
            <v>8.0340142956192295E-3</v>
          </cell>
        </row>
        <row r="717">
          <cell r="Y717">
            <v>43889</v>
          </cell>
          <cell r="Z717">
            <v>8.6449116606442129E-3</v>
          </cell>
          <cell r="AA717">
            <v>8.0771902269294316E-3</v>
          </cell>
        </row>
        <row r="718">
          <cell r="Y718">
            <v>43896</v>
          </cell>
          <cell r="Z718">
            <v>8.6975482728800426E-3</v>
          </cell>
          <cell r="AA718">
            <v>8.1203382068917307E-3</v>
          </cell>
        </row>
        <row r="719">
          <cell r="Y719">
            <v>43903</v>
          </cell>
          <cell r="Z719">
            <v>8.7406414291078885E-3</v>
          </cell>
          <cell r="AA719">
            <v>8.1634582355061269E-3</v>
          </cell>
        </row>
        <row r="720">
          <cell r="Y720">
            <v>43913</v>
          </cell>
          <cell r="Z720">
            <v>8.799012025535893E-3</v>
          </cell>
          <cell r="AA720">
            <v>8.2186697604313963E-3</v>
          </cell>
        </row>
        <row r="721">
          <cell r="Y721">
            <v>43917</v>
          </cell>
          <cell r="Z721">
            <v>8.8268177405158074E-3</v>
          </cell>
          <cell r="AA721">
            <v>8.2496144384514025E-3</v>
          </cell>
        </row>
        <row r="722">
          <cell r="Y722">
            <v>43924</v>
          </cell>
          <cell r="Z722">
            <v>8.8699042848715218E-3</v>
          </cell>
          <cell r="AA722">
            <v>8.2926506127556365E-3</v>
          </cell>
        </row>
        <row r="723">
          <cell r="Y723">
            <v>43935</v>
          </cell>
          <cell r="Z723">
            <v>8.9312337736876211E-3</v>
          </cell>
          <cell r="AA723">
            <v>8.3538887091094693E-3</v>
          </cell>
        </row>
        <row r="724">
          <cell r="Y724">
            <v>43938</v>
          </cell>
          <cell r="Z724">
            <v>8.9560826249502935E-3</v>
          </cell>
          <cell r="AA724">
            <v>8.3786391068141342E-3</v>
          </cell>
        </row>
        <row r="725">
          <cell r="Y725">
            <v>43945</v>
          </cell>
          <cell r="Z725">
            <v>8.9991778107460056E-3</v>
          </cell>
          <cell r="AA725">
            <v>8.4215914265417524E-3</v>
          </cell>
        </row>
        <row r="726">
          <cell r="Y726">
            <v>43958</v>
          </cell>
          <cell r="Z726">
            <v>9.0824275715051962E-3</v>
          </cell>
          <cell r="AA726">
            <v>8.4949586765770135E-3</v>
          </cell>
        </row>
        <row r="727">
          <cell r="Y727">
            <v>43962</v>
          </cell>
          <cell r="Z727">
            <v>9.1006680812356494E-3</v>
          </cell>
          <cell r="AA727">
            <v>8.5194617703709952E-3</v>
          </cell>
        </row>
        <row r="728">
          <cell r="Y728">
            <v>43969</v>
          </cell>
          <cell r="Z728">
            <v>9.1437895408556496E-3</v>
          </cell>
          <cell r="AA728">
            <v>8.5623202154039291E-3</v>
          </cell>
        </row>
        <row r="729">
          <cell r="Y729">
            <v>43977</v>
          </cell>
          <cell r="Z729">
            <v>9.193086061644571E-3</v>
          </cell>
          <cell r="AA729">
            <v>8.6112670579829853E-3</v>
          </cell>
        </row>
        <row r="730">
          <cell r="Y730">
            <v>43983</v>
          </cell>
          <cell r="Z730">
            <v>9.2268647017361826E-3</v>
          </cell>
          <cell r="AA730">
            <v>8.6479532238481482E-3</v>
          </cell>
        </row>
        <row r="731">
          <cell r="Y731">
            <v>43990</v>
          </cell>
          <cell r="Z731">
            <v>9.2700250583612354E-3</v>
          </cell>
          <cell r="AA731">
            <v>8.6907277871794975E-3</v>
          </cell>
        </row>
        <row r="732">
          <cell r="Y732">
            <v>43997</v>
          </cell>
          <cell r="Z732">
            <v>9.3132024667412702E-3</v>
          </cell>
          <cell r="AA732">
            <v>8.7334881917566776E-3</v>
          </cell>
        </row>
        <row r="733">
          <cell r="Y733">
            <v>44004</v>
          </cell>
          <cell r="Z733">
            <v>9.3563975150108541E-3</v>
          </cell>
          <cell r="AA733">
            <v>8.7762641643607253E-3</v>
          </cell>
        </row>
        <row r="734">
          <cell r="Y734">
            <v>44011</v>
          </cell>
          <cell r="Z734">
            <v>9.3996102109464991E-3</v>
          </cell>
          <cell r="AA734">
            <v>8.8190567667023601E-3</v>
          </cell>
        </row>
        <row r="735">
          <cell r="Y735">
            <v>44018</v>
          </cell>
          <cell r="Z735">
            <v>9.4460580534723275E-3</v>
          </cell>
          <cell r="AA735">
            <v>8.8618659987815818E-3</v>
          </cell>
        </row>
        <row r="736">
          <cell r="Y736">
            <v>44025</v>
          </cell>
          <cell r="Z736">
            <v>9.4893084436429107E-3</v>
          </cell>
          <cell r="AA736">
            <v>8.9046918605983905E-3</v>
          </cell>
        </row>
        <row r="737">
          <cell r="Y737">
            <v>44033</v>
          </cell>
          <cell r="Z737">
            <v>9.5387590815369985E-3</v>
          </cell>
          <cell r="AA737">
            <v>8.9536560656888753E-3</v>
          </cell>
        </row>
        <row r="738">
          <cell r="Y738">
            <v>44039</v>
          </cell>
          <cell r="Z738">
            <v>9.5758621953101006E-3</v>
          </cell>
          <cell r="AA738">
            <v>8.9903934736046409E-3</v>
          </cell>
        </row>
        <row r="739">
          <cell r="Y739">
            <v>44046</v>
          </cell>
          <cell r="Z739">
            <v>9.6191655590540381E-3</v>
          </cell>
          <cell r="AA739">
            <v>9.0332692246342106E-3</v>
          </cell>
        </row>
        <row r="740">
          <cell r="Y740">
            <v>44053</v>
          </cell>
          <cell r="Z740">
            <v>9.66248658290483E-3</v>
          </cell>
          <cell r="AA740">
            <v>9.0761616055612393E-3</v>
          </cell>
        </row>
        <row r="741">
          <cell r="Y741">
            <v>44060</v>
          </cell>
          <cell r="Z741">
            <v>9.7058252679876663E-3</v>
          </cell>
          <cell r="AA741">
            <v>9.119070616225855E-3</v>
          </cell>
        </row>
        <row r="742">
          <cell r="Y742">
            <v>44067</v>
          </cell>
          <cell r="Z742">
            <v>9.7491816154285978E-3</v>
          </cell>
          <cell r="AA742">
            <v>9.1619962567079938E-3</v>
          </cell>
        </row>
        <row r="743">
          <cell r="Y743">
            <v>44075</v>
          </cell>
          <cell r="Z743">
            <v>9.7890427105407508E-3</v>
          </cell>
          <cell r="AA743">
            <v>9.2110744945017586E-3</v>
          </cell>
        </row>
        <row r="744">
          <cell r="Y744">
            <v>44081</v>
          </cell>
          <cell r="Z744">
            <v>9.8294690637936704E-3</v>
          </cell>
          <cell r="AA744">
            <v>9.2478974269649683E-3</v>
          </cell>
        </row>
        <row r="745">
          <cell r="Y745">
            <v>44088</v>
          </cell>
          <cell r="Z745">
            <v>9.8728735114525738E-3</v>
          </cell>
          <cell r="AA745">
            <v>9.2908729568197401E-3</v>
          </cell>
        </row>
        <row r="746">
          <cell r="Y746">
            <v>44097</v>
          </cell>
          <cell r="Z746">
            <v>9.9254608903773991E-3</v>
          </cell>
          <cell r="AA746">
            <v>9.3461516451665005E-3</v>
          </cell>
        </row>
        <row r="747">
          <cell r="Y747">
            <v>44102</v>
          </cell>
          <cell r="Z747">
            <v>9.9597353738441821E-3</v>
          </cell>
          <cell r="AA747">
            <v>9.3768739059818529E-3</v>
          </cell>
        </row>
        <row r="748">
          <cell r="Y748">
            <v>44109</v>
          </cell>
          <cell r="Z748">
            <v>1.0006441584958545E-2</v>
          </cell>
          <cell r="AA748">
            <v>9.4198993252891938E-3</v>
          </cell>
        </row>
        <row r="749">
          <cell r="Y749">
            <v>44117</v>
          </cell>
          <cell r="Z749">
            <v>1.0052880033118104E-2</v>
          </cell>
          <cell r="AA749">
            <v>9.4690915961059829E-3</v>
          </cell>
        </row>
        <row r="750">
          <cell r="Y750">
            <v>44123</v>
          </cell>
          <cell r="Z750">
            <v>1.0090160601854805E-2</v>
          </cell>
          <cell r="AA750">
            <v>9.5060000533564448E-3</v>
          </cell>
        </row>
        <row r="751">
          <cell r="Y751">
            <v>44130</v>
          </cell>
          <cell r="Z751">
            <v>1.0133670998171466E-2</v>
          </cell>
          <cell r="AA751">
            <v>9.5490753621962909E-3</v>
          </cell>
        </row>
        <row r="752">
          <cell r="Y752">
            <v>44137</v>
          </cell>
          <cell r="Z752">
            <v>1.0186976068664073E-2</v>
          </cell>
          <cell r="AA752">
            <v>9.5953738484411133E-3</v>
          </cell>
        </row>
        <row r="753">
          <cell r="Y753">
            <v>44144</v>
          </cell>
          <cell r="Z753">
            <v>1.0220744777982514E-2</v>
          </cell>
          <cell r="AA753">
            <v>9.6352758693285523E-3</v>
          </cell>
        </row>
        <row r="754">
          <cell r="Y754">
            <v>44151</v>
          </cell>
          <cell r="Z754">
            <v>1.0264308163713791E-2</v>
          </cell>
          <cell r="AA754">
            <v>9.6784010677009036E-3</v>
          </cell>
        </row>
        <row r="755">
          <cell r="Y755">
            <v>44159</v>
          </cell>
          <cell r="Z755">
            <v>1.0310850260098699E-2</v>
          </cell>
          <cell r="AA755">
            <v>9.7277073717005891E-3</v>
          </cell>
        </row>
        <row r="756">
          <cell r="Y756">
            <v>44165</v>
          </cell>
          <cell r="Z756">
            <v>1.0341683595534622E-2</v>
          </cell>
          <cell r="AA756">
            <v>9.7647013539781113E-3</v>
          </cell>
        </row>
        <row r="757">
          <cell r="Y757">
            <v>44172</v>
          </cell>
          <cell r="Z757">
            <v>1.0395104317643403E-2</v>
          </cell>
          <cell r="AA757">
            <v>9.8078764418829678E-3</v>
          </cell>
        </row>
        <row r="758">
          <cell r="Y758">
            <v>44179</v>
          </cell>
          <cell r="Z758">
            <v>1.0438738085363709E-2</v>
          </cell>
          <cell r="AA758">
            <v>9.8510681597652194E-3</v>
          </cell>
        </row>
        <row r="759">
          <cell r="Y759">
            <v>44186</v>
          </cell>
          <cell r="Z759">
            <v>1.0482384142475935E-2</v>
          </cell>
          <cell r="AA759">
            <v>9.8942765074649941E-3</v>
          </cell>
        </row>
        <row r="760">
          <cell r="Y760">
            <v>44195</v>
          </cell>
          <cell r="Z760">
            <v>1.0538503924745994E-2</v>
          </cell>
          <cell r="AA760">
            <v>9.9627606578476247E-3</v>
          </cell>
        </row>
        <row r="761">
          <cell r="Y761">
            <v>44202</v>
          </cell>
          <cell r="Z761">
            <v>1.0578871003763939E-2</v>
          </cell>
          <cell r="AA761">
            <v>9.9931008920606246E-3</v>
          </cell>
        </row>
        <row r="762">
          <cell r="Y762">
            <v>44210</v>
          </cell>
          <cell r="Z762">
            <v>1.0628725859346566E-2</v>
          </cell>
          <cell r="AA762">
            <v>1.0042545665376323E-2</v>
          </cell>
        </row>
        <row r="763">
          <cell r="Y763">
            <v>44217</v>
          </cell>
          <cell r="Z763">
            <v>1.0672320088556071E-2</v>
          </cell>
          <cell r="AA763">
            <v>1.0085827659844782E-2</v>
          </cell>
        </row>
        <row r="764">
          <cell r="Y764">
            <v>44224</v>
          </cell>
          <cell r="Z764">
            <v>1.071587776751943E-2</v>
          </cell>
          <cell r="AA764">
            <v>1.0129126284290635E-2</v>
          </cell>
        </row>
        <row r="765">
          <cell r="Y765">
            <v>44231</v>
          </cell>
          <cell r="Z765">
            <v>1.0759389637471398E-2</v>
          </cell>
          <cell r="AA765">
            <v>1.0172441538474075E-2</v>
          </cell>
        </row>
        <row r="766">
          <cell r="Y766">
            <v>44239</v>
          </cell>
          <cell r="Z766">
            <v>1.0809049517981032E-2</v>
          </cell>
          <cell r="AA766">
            <v>1.022844772917253E-2</v>
          </cell>
        </row>
        <row r="767">
          <cell r="Y767">
            <v>44245</v>
          </cell>
          <cell r="Z767">
            <v>1.0846238911276309E-2</v>
          </cell>
          <cell r="AA767">
            <v>1.0259121936853077E-2</v>
          </cell>
        </row>
        <row r="768">
          <cell r="Y768">
            <v>44252</v>
          </cell>
          <cell r="Z768">
            <v>1.0889557793597099E-2</v>
          </cell>
          <cell r="AA768">
            <v>1.0302487080968703E-2</v>
          </cell>
        </row>
        <row r="769">
          <cell r="Y769">
            <v>44259</v>
          </cell>
          <cell r="Z769">
            <v>1.0948898885868263E-2</v>
          </cell>
          <cell r="AA769">
            <v>1.0345868855061724E-2</v>
          </cell>
        </row>
        <row r="770">
          <cell r="Y770">
            <v>44266</v>
          </cell>
          <cell r="Z770">
            <v>1.099199284589451E-2</v>
          </cell>
          <cell r="AA770">
            <v>1.0389267259052204E-2</v>
          </cell>
        </row>
        <row r="771">
          <cell r="Y771">
            <v>44273</v>
          </cell>
          <cell r="Z771">
            <v>1.1038179078638922E-2</v>
          </cell>
          <cell r="AA771">
            <v>1.0432682293020079E-2</v>
          </cell>
        </row>
        <row r="772">
          <cell r="Y772">
            <v>44280</v>
          </cell>
          <cell r="Z772">
            <v>1.1077857927343842E-2</v>
          </cell>
          <cell r="AA772">
            <v>1.0476113956965349E-2</v>
          </cell>
        </row>
        <row r="773">
          <cell r="Y773">
            <v>44287</v>
          </cell>
          <cell r="Z773">
            <v>1.111108259284299E-2</v>
          </cell>
          <cell r="AA773">
            <v>1.0532595697513969E-2</v>
          </cell>
        </row>
        <row r="774">
          <cell r="Y774">
            <v>44294</v>
          </cell>
          <cell r="Z774">
            <v>1.1153740924738934E-2</v>
          </cell>
          <cell r="AA774">
            <v>1.0563027174708139E-2</v>
          </cell>
        </row>
        <row r="775">
          <cell r="Y775">
            <v>44301</v>
          </cell>
          <cell r="Z775">
            <v>1.1196259905531981E-2</v>
          </cell>
          <cell r="AA775">
            <v>1.0606508728585595E-2</v>
          </cell>
        </row>
        <row r="776">
          <cell r="Y776">
            <v>44308</v>
          </cell>
          <cell r="Z776">
            <v>1.1238630368262916E-2</v>
          </cell>
          <cell r="AA776">
            <v>1.0650006912440446E-2</v>
          </cell>
        </row>
        <row r="777">
          <cell r="Y777">
            <v>44316</v>
          </cell>
          <cell r="Z777">
            <v>1.1283735011358154E-2</v>
          </cell>
          <cell r="AA777">
            <v>1.0716083238651031E-2</v>
          </cell>
        </row>
        <row r="778">
          <cell r="Y778">
            <v>44326</v>
          </cell>
          <cell r="Z778">
            <v>1.1349940876411436E-2</v>
          </cell>
          <cell r="AA778">
            <v>1.0761935747520823E-2</v>
          </cell>
        </row>
        <row r="779">
          <cell r="Y779">
            <v>44333</v>
          </cell>
          <cell r="Z779">
            <v>1.139169192862953E-2</v>
          </cell>
          <cell r="AA779">
            <v>1.080549332426628E-2</v>
          </cell>
        </row>
        <row r="780">
          <cell r="Y780">
            <v>44340</v>
          </cell>
          <cell r="Z780">
            <v>1.1433252374402649E-2</v>
          </cell>
          <cell r="AA780">
            <v>1.0849067530989132E-2</v>
          </cell>
        </row>
        <row r="781">
          <cell r="Y781">
            <v>44348</v>
          </cell>
          <cell r="Z781">
            <v>1.1477445895046927E-2</v>
          </cell>
          <cell r="AA781">
            <v>1.0898886987709133E-2</v>
          </cell>
        </row>
        <row r="782">
          <cell r="Y782">
            <v>44354</v>
          </cell>
          <cell r="Z782">
            <v>1.1512718369754073E-2</v>
          </cell>
          <cell r="AA782">
            <v>1.0936265834606829E-2</v>
          </cell>
        </row>
        <row r="783">
          <cell r="Y783">
            <v>44361</v>
          </cell>
          <cell r="Z783">
            <v>1.15536670883676E-2</v>
          </cell>
          <cell r="AA783">
            <v>1.0979840537652663E-2</v>
          </cell>
        </row>
        <row r="784">
          <cell r="Y784">
            <v>44368</v>
          </cell>
          <cell r="Z784">
            <v>1.1594394039159534E-2</v>
          </cell>
          <cell r="AA784">
            <v>1.1023209193918859E-2</v>
          </cell>
        </row>
        <row r="785">
          <cell r="Y785">
            <v>44375</v>
          </cell>
          <cell r="Z785">
            <v>1.1637902041167311E-2</v>
          </cell>
          <cell r="AA785">
            <v>1.1066356418112377E-2</v>
          </cell>
        </row>
        <row r="786">
          <cell r="Y786">
            <v>44382</v>
          </cell>
          <cell r="Z786">
            <v>1.1678170621963264E-2</v>
          </cell>
          <cell r="AA786">
            <v>1.1109282210473026E-2</v>
          </cell>
        </row>
        <row r="787">
          <cell r="Y787">
            <v>44389</v>
          </cell>
          <cell r="Z787">
            <v>1.1718217270105658E-2</v>
          </cell>
          <cell r="AA787">
            <v>1.1151986570681061E-2</v>
          </cell>
        </row>
        <row r="788">
          <cell r="Y788">
            <v>44397</v>
          </cell>
          <cell r="Z788">
            <v>1.1763713096294233E-2</v>
          </cell>
          <cell r="AA788">
            <v>1.1200520412426584E-2</v>
          </cell>
        </row>
        <row r="789">
          <cell r="Y789">
            <v>44403</v>
          </cell>
          <cell r="Z789">
            <v>1.1797644714180554E-2</v>
          </cell>
          <cell r="AA789">
            <v>1.1236730994719224E-2</v>
          </cell>
        </row>
        <row r="790">
          <cell r="Y790">
            <v>44410</v>
          </cell>
          <cell r="Z790">
            <v>1.1837025483178516E-2</v>
          </cell>
          <cell r="AA790">
            <v>1.1278771058309545E-2</v>
          </cell>
        </row>
        <row r="791">
          <cell r="Y791">
            <v>44417</v>
          </cell>
          <cell r="Z791">
            <v>1.1876184265651664E-2</v>
          </cell>
          <cell r="AA791">
            <v>1.1320589689427507E-2</v>
          </cell>
        </row>
        <row r="792">
          <cell r="Y792">
            <v>44424</v>
          </cell>
          <cell r="Z792">
            <v>1.191512104831975E-2</v>
          </cell>
          <cell r="AA792">
            <v>1.1362186888232984E-2</v>
          </cell>
        </row>
        <row r="793">
          <cell r="Y793">
            <v>44431</v>
          </cell>
          <cell r="Z793">
            <v>1.1953835817978554E-2</v>
          </cell>
          <cell r="AA793">
            <v>1.140356265440623E-2</v>
          </cell>
        </row>
        <row r="794">
          <cell r="Y794">
            <v>44439</v>
          </cell>
          <cell r="Z794">
            <v>1.1989196145267613E-2</v>
          </cell>
          <cell r="AA794">
            <v>1.1450578102421005E-2</v>
          </cell>
        </row>
        <row r="795">
          <cell r="Y795">
            <v>44445</v>
          </cell>
          <cell r="Z795">
            <v>1.2024883435229687E-2</v>
          </cell>
          <cell r="AA795">
            <v>1.1485649888935967E-2</v>
          </cell>
        </row>
        <row r="796">
          <cell r="Y796">
            <v>44452</v>
          </cell>
          <cell r="Z796">
            <v>1.20629612724216E-2</v>
          </cell>
          <cell r="AA796">
            <v>1.1526361357132586E-2</v>
          </cell>
        </row>
        <row r="797">
          <cell r="Y797">
            <v>44460</v>
          </cell>
          <cell r="Z797">
            <v>1.2106206894130309E-2</v>
          </cell>
          <cell r="AA797">
            <v>1.1572617607082947E-2</v>
          </cell>
        </row>
        <row r="798">
          <cell r="Y798">
            <v>44467</v>
          </cell>
          <cell r="Z798">
            <v>1.214099484413193E-2</v>
          </cell>
          <cell r="AA798">
            <v>1.1612854576199538E-2</v>
          </cell>
        </row>
        <row r="799">
          <cell r="Y799">
            <v>44474</v>
          </cell>
          <cell r="Z799">
            <v>1.218118878372916E-2</v>
          </cell>
          <cell r="AA799">
            <v>1.1652870112444091E-2</v>
          </cell>
        </row>
        <row r="800">
          <cell r="Y800">
            <v>44482</v>
          </cell>
          <cell r="Z800">
            <v>1.2218346590737606E-2</v>
          </cell>
          <cell r="AA800">
            <v>1.1698331011169572E-2</v>
          </cell>
        </row>
        <row r="801">
          <cell r="Y801">
            <v>44488</v>
          </cell>
          <cell r="Z801">
            <v>1.2255282289238643E-2</v>
          </cell>
          <cell r="AA801">
            <v>1.1732236885437786E-2</v>
          </cell>
        </row>
        <row r="802">
          <cell r="Y802">
            <v>44495</v>
          </cell>
          <cell r="Z802">
            <v>1.2291995866841739E-2</v>
          </cell>
          <cell r="AA802">
            <v>1.1771588122186927E-2</v>
          </cell>
        </row>
        <row r="803">
          <cell r="Y803">
            <v>44502</v>
          </cell>
          <cell r="Z803">
            <v>1.2336702188999547E-2</v>
          </cell>
          <cell r="AA803">
            <v>1.1813697705247428E-2</v>
          </cell>
        </row>
        <row r="804">
          <cell r="Y804">
            <v>44509</v>
          </cell>
          <cell r="Z804">
            <v>1.2362030276357619E-2</v>
          </cell>
          <cell r="AA804">
            <v>1.1849626295710181E-2</v>
          </cell>
        </row>
        <row r="805">
          <cell r="Y805">
            <v>44516</v>
          </cell>
          <cell r="Z805">
            <v>1.2398092051401747E-2</v>
          </cell>
          <cell r="AA805">
            <v>1.1888313232404357E-2</v>
          </cell>
        </row>
        <row r="806">
          <cell r="Y806">
            <v>44524</v>
          </cell>
          <cell r="Z806">
            <v>1.2439033469355723E-2</v>
          </cell>
          <cell r="AA806">
            <v>1.1932255731244013E-2</v>
          </cell>
        </row>
        <row r="807">
          <cell r="Y807">
            <v>44530</v>
          </cell>
          <cell r="Z807">
            <v>1.2472231512879493E-2</v>
          </cell>
          <cell r="AA807">
            <v>1.1965022805098258E-2</v>
          </cell>
        </row>
        <row r="808">
          <cell r="Y808">
            <v>44537</v>
          </cell>
          <cell r="Z808">
            <v>1.2507612109032975E-2</v>
          </cell>
          <cell r="AA808">
            <v>1.2003045441097981E-2</v>
          </cell>
        </row>
        <row r="809">
          <cell r="Y809">
            <v>44544</v>
          </cell>
          <cell r="Z809">
            <v>1.2542770934917055E-2</v>
          </cell>
          <cell r="AA809">
            <v>1.204084664334637E-2</v>
          </cell>
        </row>
        <row r="810">
          <cell r="Y810">
            <v>44551</v>
          </cell>
          <cell r="Z810">
            <v>1.2577715725651093E-2</v>
          </cell>
          <cell r="AA810">
            <v>1.2078426411763488E-2</v>
          </cell>
        </row>
        <row r="811">
          <cell r="Y811">
            <v>44560</v>
          </cell>
          <cell r="Z811">
            <v>1.2622352480697556E-2</v>
          </cell>
          <cell r="AA811">
            <v>1.2137846830077237E-2</v>
          </cell>
        </row>
        <row r="812">
          <cell r="Y812">
            <v>44567</v>
          </cell>
          <cell r="Z812">
            <v>1.2654241544691783E-2</v>
          </cell>
          <cell r="AA812">
            <v>1.2163491518561997E-2</v>
          </cell>
        </row>
        <row r="813">
          <cell r="Y813">
            <v>44574</v>
          </cell>
          <cell r="Z813">
            <v>1.268858774603999E-2</v>
          </cell>
          <cell r="AA813">
            <v>1.220034371841372E-2</v>
          </cell>
        </row>
        <row r="814">
          <cell r="Y814">
            <v>44581</v>
          </cell>
          <cell r="Z814">
            <v>1.2722778045092481E-2</v>
          </cell>
          <cell r="AA814">
            <v>1.2236974484114427E-2</v>
          </cell>
        </row>
        <row r="815">
          <cell r="Y815">
            <v>44588</v>
          </cell>
          <cell r="Z815">
            <v>1.2756826509404776E-2</v>
          </cell>
          <cell r="AA815">
            <v>1.2273383815744054E-2</v>
          </cell>
        </row>
        <row r="816">
          <cell r="Y816">
            <v>44595</v>
          </cell>
          <cell r="Z816">
            <v>1.27907472075221E-2</v>
          </cell>
          <cell r="AA816">
            <v>1.2309571713142731E-2</v>
          </cell>
        </row>
        <row r="817">
          <cell r="Y817">
            <v>44602</v>
          </cell>
          <cell r="Z817">
            <v>1.2824554208970548E-2</v>
          </cell>
          <cell r="AA817">
            <v>1.2353849497721558E-2</v>
          </cell>
        </row>
        <row r="818">
          <cell r="Y818">
            <v>44609</v>
          </cell>
          <cell r="Z818">
            <v>1.2858261584248699E-2</v>
          </cell>
          <cell r="AA818">
            <v>1.2381283205007421E-2</v>
          </cell>
        </row>
        <row r="819">
          <cell r="Y819">
            <v>44616</v>
          </cell>
          <cell r="Z819">
            <v>1.2891883404817457E-2</v>
          </cell>
          <cell r="AA819">
            <v>1.2416806799393498E-2</v>
          </cell>
        </row>
        <row r="820">
          <cell r="Y820">
            <v>44623</v>
          </cell>
          <cell r="Z820">
            <v>1.2938469639386562E-2</v>
          </cell>
          <cell r="AA820">
            <v>1.245210895922888E-2</v>
          </cell>
        </row>
        <row r="821">
          <cell r="Y821">
            <v>44630</v>
          </cell>
          <cell r="Z821">
            <v>1.2971983944032029E-2</v>
          </cell>
          <cell r="AA821">
            <v>1.2487189684593503E-2</v>
          </cell>
        </row>
        <row r="822">
          <cell r="Y822">
            <v>44637</v>
          </cell>
          <cell r="Z822">
            <v>1.3008079318315217E-2</v>
          </cell>
          <cell r="AA822">
            <v>1.2522048975327493E-2</v>
          </cell>
        </row>
        <row r="823">
          <cell r="Y823">
            <v>44644</v>
          </cell>
          <cell r="Z823">
            <v>1.3038911196290947E-2</v>
          </cell>
          <cell r="AA823">
            <v>1.2556686831430852E-2</v>
          </cell>
        </row>
        <row r="824">
          <cell r="Y824">
            <v>44651</v>
          </cell>
          <cell r="Z824">
            <v>1.3064458676632786E-2</v>
          </cell>
          <cell r="AA824">
            <v>1.2591103252743707E-2</v>
          </cell>
        </row>
        <row r="825">
          <cell r="Y825">
            <v>44658</v>
          </cell>
          <cell r="Z825">
            <v>1.3097878224816024E-2</v>
          </cell>
          <cell r="AA825">
            <v>1.2625298239266058E-2</v>
          </cell>
        </row>
        <row r="826">
          <cell r="Y826">
            <v>44665</v>
          </cell>
          <cell r="Z826">
            <v>1.3131312159504362E-2</v>
          </cell>
          <cell r="AA826">
            <v>1.2669825037578519E-2</v>
          </cell>
        </row>
        <row r="827">
          <cell r="Y827">
            <v>44672</v>
          </cell>
          <cell r="Z827">
            <v>1.3164774406990492E-2</v>
          </cell>
          <cell r="AA827">
            <v>1.2693023907699441E-2</v>
          </cell>
        </row>
        <row r="828">
          <cell r="Y828">
            <v>44679</v>
          </cell>
          <cell r="Z828">
            <v>1.3206277457582658E-2</v>
          </cell>
          <cell r="AA828">
            <v>1.2744803930788695E-2</v>
          </cell>
        </row>
        <row r="829">
          <cell r="Y829">
            <v>44691</v>
          </cell>
          <cell r="Z829">
            <v>1.3258536259450086E-2</v>
          </cell>
          <cell r="AA829">
            <v>1.2783520582733132E-2</v>
          </cell>
        </row>
        <row r="830">
          <cell r="Y830">
            <v>44698</v>
          </cell>
          <cell r="Z830">
            <v>1.3292236385628429E-2</v>
          </cell>
          <cell r="AA830">
            <v>1.2816450226385001E-2</v>
          </cell>
        </row>
        <row r="831">
          <cell r="Y831">
            <v>44705</v>
          </cell>
          <cell r="Z831">
            <v>1.3326030756418888E-2</v>
          </cell>
          <cell r="AA831">
            <v>1.284915843476675E-2</v>
          </cell>
        </row>
        <row r="832">
          <cell r="Y832">
            <v>44713</v>
          </cell>
          <cell r="Z832">
            <v>1.3362068697978896E-2</v>
          </cell>
          <cell r="AA832">
            <v>1.2886268099228104E-2</v>
          </cell>
        </row>
        <row r="833">
          <cell r="Y833">
            <v>44719</v>
          </cell>
          <cell r="Z833">
            <v>1.3391230552531904E-2</v>
          </cell>
          <cell r="AA833">
            <v>1.2913910545719887E-2</v>
          </cell>
        </row>
        <row r="834">
          <cell r="Y834">
            <v>44726</v>
          </cell>
          <cell r="Z834">
            <v>1.342537897704143E-2</v>
          </cell>
          <cell r="AA834">
            <v>1.2946029483869026E-2</v>
          </cell>
        </row>
        <row r="835">
          <cell r="Y835">
            <v>44733</v>
          </cell>
          <cell r="Z835">
            <v>1.3459668970960268E-2</v>
          </cell>
          <cell r="AA835">
            <v>1.297826526215573E-2</v>
          </cell>
        </row>
        <row r="836">
          <cell r="Y836">
            <v>44740</v>
          </cell>
          <cell r="Z836">
            <v>1.3494100724348404E-2</v>
          </cell>
          <cell r="AA836">
            <v>1.3010641252604316E-2</v>
          </cell>
        </row>
        <row r="837">
          <cell r="Y837">
            <v>44747</v>
          </cell>
          <cell r="Z837">
            <v>1.3531446980028941E-2</v>
          </cell>
          <cell r="AA837">
            <v>1.3043157455134846E-2</v>
          </cell>
        </row>
        <row r="838">
          <cell r="Y838">
            <v>44754</v>
          </cell>
          <cell r="Z838">
            <v>1.3566173704723046E-2</v>
          </cell>
          <cell r="AA838">
            <v>1.3075813869667385E-2</v>
          </cell>
        </row>
        <row r="839">
          <cell r="Y839">
            <v>44762</v>
          </cell>
          <cell r="Z839">
            <v>1.3601042220294454E-2</v>
          </cell>
          <cell r="AA839">
            <v>1.3113307174767996E-2</v>
          </cell>
        </row>
        <row r="840">
          <cell r="Y840">
            <v>44768</v>
          </cell>
          <cell r="Z840">
            <v>1.3636052534250633E-2</v>
          </cell>
          <cell r="AA840">
            <v>1.3141547335377979E-2</v>
          </cell>
        </row>
        <row r="841">
          <cell r="Y841">
            <v>44775</v>
          </cell>
          <cell r="Z841">
            <v>1.3671204654129035E-2</v>
          </cell>
          <cell r="AA841">
            <v>1.3174624386635969E-2</v>
          </cell>
        </row>
        <row r="842">
          <cell r="Y842">
            <v>44782</v>
          </cell>
          <cell r="Z842">
            <v>1.3706498587498386E-2</v>
          </cell>
          <cell r="AA842">
            <v>1.320784165005584E-2</v>
          </cell>
        </row>
        <row r="843">
          <cell r="Y843">
            <v>44789</v>
          </cell>
          <cell r="Z843">
            <v>1.3741934341956089E-2</v>
          </cell>
          <cell r="AA843">
            <v>1.3241199125957337E-2</v>
          </cell>
        </row>
        <row r="844">
          <cell r="Y844">
            <v>44796</v>
          </cell>
          <cell r="Z844">
            <v>1.3777511925132995E-2</v>
          </cell>
          <cell r="AA844">
            <v>1.327469681410065E-2</v>
          </cell>
        </row>
        <row r="845">
          <cell r="Y845">
            <v>44804</v>
          </cell>
          <cell r="Z845">
            <v>1.38097509656167E-2</v>
          </cell>
          <cell r="AA845">
            <v>1.3313151574916304E-2</v>
          </cell>
        </row>
        <row r="846">
          <cell r="Y846">
            <v>44810</v>
          </cell>
          <cell r="Z846">
            <v>1.3840468293512124E-2</v>
          </cell>
          <cell r="AA846">
            <v>1.3342112827672281E-2</v>
          </cell>
        </row>
        <row r="847">
          <cell r="Y847">
            <v>44817</v>
          </cell>
          <cell r="Z847">
            <v>1.3876436869323168E-2</v>
          </cell>
          <cell r="AA847">
            <v>1.3376031153100598E-2</v>
          </cell>
        </row>
        <row r="848">
          <cell r="Y848">
            <v>44825</v>
          </cell>
          <cell r="Z848">
            <v>1.3912547275908963E-2</v>
          </cell>
          <cell r="AA848">
            <v>1.3414966642493198E-2</v>
          </cell>
        </row>
        <row r="849">
          <cell r="Y849">
            <v>44832</v>
          </cell>
          <cell r="Z849">
            <v>1.3953989992155981E-2</v>
          </cell>
          <cell r="AA849">
            <v>1.3449185423342058E-2</v>
          </cell>
        </row>
        <row r="850">
          <cell r="Y850">
            <v>44839</v>
          </cell>
          <cell r="Z850">
            <v>1.3993325702957847E-2</v>
          </cell>
          <cell r="AA850">
            <v>1.3483544416832416E-2</v>
          </cell>
        </row>
        <row r="851">
          <cell r="Y851">
            <v>44847</v>
          </cell>
          <cell r="Z851">
            <v>1.4035129012403967E-2</v>
          </cell>
          <cell r="AA851">
            <v>1.3522983526970123E-2</v>
          </cell>
        </row>
        <row r="852">
          <cell r="Y852">
            <v>44854</v>
          </cell>
          <cell r="Z852">
            <v>1.4071858915135566E-2</v>
          </cell>
          <cell r="AA852">
            <v>1.3557642976120832E-2</v>
          </cell>
        </row>
        <row r="853">
          <cell r="Y853">
            <v>44861</v>
          </cell>
          <cell r="Z853">
            <v>1.4108730699230966E-2</v>
          </cell>
          <cell r="AA853">
            <v>1.359244263807291E-2</v>
          </cell>
        </row>
        <row r="854">
          <cell r="Y854">
            <v>44869</v>
          </cell>
          <cell r="Z854">
            <v>1.4159963515573576E-2</v>
          </cell>
          <cell r="AA854">
            <v>1.3637908654651199E-2</v>
          </cell>
        </row>
        <row r="855">
          <cell r="Y855">
            <v>44875</v>
          </cell>
          <cell r="Z855">
            <v>1.4179919073783397E-2</v>
          </cell>
          <cell r="AA855">
            <v>1.3662462600301239E-2</v>
          </cell>
        </row>
        <row r="856">
          <cell r="Y856">
            <v>44882</v>
          </cell>
          <cell r="Z856">
            <v>1.4217204946680882E-2</v>
          </cell>
          <cell r="AA856">
            <v>1.3697682900657426E-2</v>
          </cell>
        </row>
        <row r="857">
          <cell r="Y857">
            <v>44890</v>
          </cell>
          <cell r="Z857">
            <v>1.4254632722530958E-2</v>
          </cell>
          <cell r="AA857">
            <v>1.3743697783761277E-2</v>
          </cell>
        </row>
        <row r="858">
          <cell r="Y858">
            <v>44896</v>
          </cell>
          <cell r="Z858">
            <v>1.4295218116075694E-2</v>
          </cell>
          <cell r="AA858">
            <v>1.3768544140013717E-2</v>
          </cell>
        </row>
        <row r="859">
          <cell r="Y859">
            <v>44903</v>
          </cell>
          <cell r="Z859">
            <v>1.4332941354327507E-2</v>
          </cell>
          <cell r="AA859">
            <v>1.3804185079173692E-2</v>
          </cell>
        </row>
        <row r="860">
          <cell r="Y860">
            <v>44910</v>
          </cell>
          <cell r="Z860">
            <v>1.4370806426352176E-2</v>
          </cell>
          <cell r="AA860">
            <v>1.3839966231374845E-2</v>
          </cell>
        </row>
        <row r="861">
          <cell r="Y861">
            <v>44917</v>
          </cell>
          <cell r="Z861">
            <v>1.4408809827569343E-2</v>
          </cell>
          <cell r="AA861">
            <v>1.3890094443609335E-2</v>
          </cell>
        </row>
        <row r="862">
          <cell r="Y862">
            <v>44925</v>
          </cell>
          <cell r="Z862">
            <v>1.4452401887510439E-2</v>
          </cell>
          <cell r="AA862">
            <v>1.3928527595041373E-2</v>
          </cell>
        </row>
        <row r="863">
          <cell r="Y863">
            <v>44932</v>
          </cell>
          <cell r="Z863">
            <v>1.4487606723599116E-2</v>
          </cell>
          <cell r="AA863">
            <v>1.3961928103656263E-2</v>
          </cell>
        </row>
        <row r="864">
          <cell r="Y864">
            <v>44939</v>
          </cell>
          <cell r="Z864">
            <v>1.4525986955223112E-2</v>
          </cell>
          <cell r="AA864">
            <v>1.3995447163237529E-2</v>
          </cell>
        </row>
        <row r="865">
          <cell r="Y865">
            <v>44946</v>
          </cell>
          <cell r="Z865">
            <v>1.4564474123153547E-2</v>
          </cell>
          <cell r="AA865">
            <v>1.4031972285364347E-2</v>
          </cell>
        </row>
        <row r="866">
          <cell r="Y866">
            <v>44953</v>
          </cell>
          <cell r="Z866">
            <v>1.4603060323436246E-2</v>
          </cell>
          <cell r="AA866">
            <v>1.4068637639157444E-2</v>
          </cell>
        </row>
        <row r="867">
          <cell r="Y867">
            <v>44960</v>
          </cell>
          <cell r="Z867">
            <v>1.46417376515248E-2</v>
          </cell>
          <cell r="AA867">
            <v>1.4105443224696756E-2</v>
          </cell>
        </row>
        <row r="868">
          <cell r="Y868">
            <v>44967</v>
          </cell>
          <cell r="Z868">
            <v>1.4680498202273939E-2</v>
          </cell>
          <cell r="AA868">
            <v>1.4142389042168801E-2</v>
          </cell>
        </row>
        <row r="869">
          <cell r="Y869">
            <v>44974</v>
          </cell>
          <cell r="Z869">
            <v>1.4719334069938212E-2</v>
          </cell>
          <cell r="AA869">
            <v>1.417947509168016E-2</v>
          </cell>
        </row>
        <row r="870">
          <cell r="Y870">
            <v>44981</v>
          </cell>
          <cell r="Z870">
            <v>1.4758237348166248E-2</v>
          </cell>
          <cell r="AA870">
            <v>1.4216701373337415E-2</v>
          </cell>
        </row>
        <row r="871">
          <cell r="Y871">
            <v>44988</v>
          </cell>
          <cell r="Z871">
            <v>1.4809623708364441E-2</v>
          </cell>
          <cell r="AA871">
            <v>1.4254067887300437E-2</v>
          </cell>
        </row>
        <row r="872">
          <cell r="Y872">
            <v>44995</v>
          </cell>
          <cell r="Z872">
            <v>1.4848643220566076E-2</v>
          </cell>
          <cell r="AA872">
            <v>1.4291574633702453E-2</v>
          </cell>
        </row>
        <row r="873">
          <cell r="Y873">
            <v>45002</v>
          </cell>
          <cell r="Z873">
            <v>1.4890811939832733E-2</v>
          </cell>
          <cell r="AA873">
            <v>1.43292216126234E-2</v>
          </cell>
        </row>
        <row r="874">
          <cell r="Y874">
            <v>45009</v>
          </cell>
          <cell r="Z874">
            <v>1.4926798749808417E-2</v>
          </cell>
          <cell r="AA874">
            <v>1.4367008824303085E-2</v>
          </cell>
        </row>
        <row r="875">
          <cell r="Y875">
            <v>45016</v>
          </cell>
          <cell r="Z875">
            <v>1.4956596068266747E-2</v>
          </cell>
          <cell r="AA875">
            <v>1.4404936268741508E-2</v>
          </cell>
        </row>
        <row r="876">
          <cell r="Y876">
            <v>45027</v>
          </cell>
          <cell r="Z876">
            <v>1.5021215562218476E-2</v>
          </cell>
          <cell r="AA876">
            <v>1.4458779919905851E-2</v>
          </cell>
        </row>
        <row r="877">
          <cell r="Y877">
            <v>45030</v>
          </cell>
          <cell r="Z877">
            <v>1.5044207209437067E-2</v>
          </cell>
          <cell r="AA877">
            <v>1.4481211856667286E-2</v>
          </cell>
        </row>
        <row r="878">
          <cell r="Y878">
            <v>45037</v>
          </cell>
          <cell r="Z878">
            <v>1.5083359110178184E-2</v>
          </cell>
          <cell r="AA878">
            <v>1.4519560000421095E-2</v>
          </cell>
        </row>
        <row r="879">
          <cell r="Y879">
            <v>45044</v>
          </cell>
          <cell r="Z879">
            <v>1.5125608196114679E-2</v>
          </cell>
          <cell r="AA879">
            <v>1.4561098208147882E-2</v>
          </cell>
        </row>
        <row r="880">
          <cell r="Y880">
            <v>45056</v>
          </cell>
          <cell r="Z880">
            <v>1.5186482237957325E-2</v>
          </cell>
          <cell r="AA880">
            <v>1.461821889017223E-2</v>
          </cell>
        </row>
        <row r="881">
          <cell r="Y881">
            <v>45063</v>
          </cell>
          <cell r="Z881">
            <v>1.522557887355978E-2</v>
          </cell>
          <cell r="AA881">
            <v>1.4657064708973877E-2</v>
          </cell>
        </row>
        <row r="882">
          <cell r="Y882">
            <v>45070</v>
          </cell>
          <cell r="Z882">
            <v>1.5264641871211548E-2</v>
          </cell>
          <cell r="AA882">
            <v>1.4696050741695998E-2</v>
          </cell>
        </row>
        <row r="883">
          <cell r="Y883">
            <v>45078</v>
          </cell>
          <cell r="Z883">
            <v>1.5306143430942091E-2</v>
          </cell>
          <cell r="AA883">
            <v>1.4740777898394342E-2</v>
          </cell>
        </row>
        <row r="884">
          <cell r="Y884">
            <v>45085</v>
          </cell>
          <cell r="Z884">
            <v>1.5345110915682702E-2</v>
          </cell>
          <cell r="AA884">
            <v>1.4780064389894321E-2</v>
          </cell>
        </row>
        <row r="885">
          <cell r="Y885">
            <v>45092</v>
          </cell>
          <cell r="Z885">
            <v>1.5384020412981578E-2</v>
          </cell>
          <cell r="AA885">
            <v>1.4819465541755505E-2</v>
          </cell>
        </row>
        <row r="886">
          <cell r="Y886">
            <v>45099</v>
          </cell>
          <cell r="Z886">
            <v>1.5422867587262015E-2</v>
          </cell>
          <cell r="AA886">
            <v>1.4858829411599217E-2</v>
          </cell>
        </row>
        <row r="887">
          <cell r="Y887">
            <v>45106</v>
          </cell>
          <cell r="Z887">
            <v>1.5461652191404527E-2</v>
          </cell>
          <cell r="AA887">
            <v>1.4898130445866187E-2</v>
          </cell>
        </row>
        <row r="888">
          <cell r="Y888">
            <v>45113</v>
          </cell>
          <cell r="Z888">
            <v>1.5512679714569877E-2</v>
          </cell>
          <cell r="AA888">
            <v>1.4937368644396543E-2</v>
          </cell>
        </row>
        <row r="889">
          <cell r="Y889">
            <v>45120</v>
          </cell>
          <cell r="Z889">
            <v>1.5548254637625603E-2</v>
          </cell>
          <cell r="AA889">
            <v>1.4976544007030412E-2</v>
          </cell>
        </row>
        <row r="890">
          <cell r="Y890">
            <v>45127</v>
          </cell>
          <cell r="Z890">
            <v>1.5586843082980823E-2</v>
          </cell>
          <cell r="AA890">
            <v>1.5015656534007604E-2</v>
          </cell>
        </row>
        <row r="891">
          <cell r="Y891">
            <v>45134</v>
          </cell>
          <cell r="Z891">
            <v>1.5625368946832623E-2</v>
          </cell>
          <cell r="AA891">
            <v>1.5054706225168246E-2</v>
          </cell>
        </row>
        <row r="892">
          <cell r="Y892">
            <v>45141</v>
          </cell>
          <cell r="Z892">
            <v>1.5663832225443781E-2</v>
          </cell>
          <cell r="AA892">
            <v>1.5093693080432402E-2</v>
          </cell>
        </row>
        <row r="893">
          <cell r="Y893">
            <v>45148</v>
          </cell>
          <cell r="Z893">
            <v>1.5705294979523977E-2</v>
          </cell>
          <cell r="AA893">
            <v>1.5132617099880008E-2</v>
          </cell>
        </row>
        <row r="894">
          <cell r="Y894">
            <v>45155</v>
          </cell>
          <cell r="Z894">
            <v>1.5740571012024043E-2</v>
          </cell>
          <cell r="AA894">
            <v>1.5171478283431128E-2</v>
          </cell>
        </row>
        <row r="895">
          <cell r="Y895">
            <v>45162</v>
          </cell>
          <cell r="Z895">
            <v>1.5778846512548784E-2</v>
          </cell>
          <cell r="AA895">
            <v>1.5210276631165698E-2</v>
          </cell>
        </row>
        <row r="896">
          <cell r="Y896">
            <v>45169</v>
          </cell>
          <cell r="Z896">
            <v>1.5804842986803531E-2</v>
          </cell>
          <cell r="AA896">
            <v>1.5249012142923846E-2</v>
          </cell>
        </row>
        <row r="897">
          <cell r="Y897">
            <v>45176</v>
          </cell>
          <cell r="Z897">
            <v>1.5843004488603873E-2</v>
          </cell>
          <cell r="AA897">
            <v>1.5287684818785507E-2</v>
          </cell>
        </row>
        <row r="898">
          <cell r="Y898">
            <v>45183</v>
          </cell>
          <cell r="Z898">
            <v>1.5881103378870234E-2</v>
          </cell>
          <cell r="AA898">
            <v>1.5326294658670747E-2</v>
          </cell>
        </row>
        <row r="899">
          <cell r="Y899">
            <v>45190</v>
          </cell>
          <cell r="Z899">
            <v>1.5919139653984851E-2</v>
          </cell>
          <cell r="AA899">
            <v>1.5364841662579565E-2</v>
          </cell>
        </row>
        <row r="900">
          <cell r="Y900">
            <v>45197</v>
          </cell>
          <cell r="Z900">
            <v>1.5957113310337421E-2</v>
          </cell>
          <cell r="AA900">
            <v>1.540332583051196E-2</v>
          </cell>
        </row>
        <row r="901">
          <cell r="Y901">
            <v>45204</v>
          </cell>
          <cell r="Z901">
            <v>1.599806472272516E-2</v>
          </cell>
          <cell r="AA901">
            <v>1.5441747162467934E-2</v>
          </cell>
        </row>
        <row r="902">
          <cell r="Y902">
            <v>45211</v>
          </cell>
          <cell r="Z902">
            <v>1.603591033390691E-2</v>
          </cell>
          <cell r="AA902">
            <v>1.5480105658287613E-2</v>
          </cell>
        </row>
        <row r="903">
          <cell r="Y903">
            <v>45218</v>
          </cell>
          <cell r="Z903">
            <v>1.6073693316433608E-2</v>
          </cell>
          <cell r="AA903">
            <v>1.5518401318210806E-2</v>
          </cell>
        </row>
        <row r="904">
          <cell r="Y904">
            <v>45225</v>
          </cell>
          <cell r="Z904">
            <v>1.6111413666698528E-2</v>
          </cell>
          <cell r="AA904">
            <v>1.5556634141917769E-2</v>
          </cell>
        </row>
        <row r="905">
          <cell r="Y905">
            <v>45232</v>
          </cell>
          <cell r="Z905">
            <v>1.6146042184686449E-2</v>
          </cell>
          <cell r="AA905">
            <v>1.5603988852070927E-2</v>
          </cell>
        </row>
        <row r="906">
          <cell r="Y906">
            <v>45239</v>
          </cell>
          <cell r="Z906">
            <v>1.6183640052960566E-2</v>
          </cell>
          <cell r="AA906">
            <v>1.563291128116262E-2</v>
          </cell>
        </row>
        <row r="907">
          <cell r="Y907">
            <v>45246</v>
          </cell>
          <cell r="Z907">
            <v>1.6221175277359976E-2</v>
          </cell>
          <cell r="AA907">
            <v>1.5670955596620573E-2</v>
          </cell>
        </row>
        <row r="908">
          <cell r="Y908">
            <v>45254</v>
          </cell>
          <cell r="Z908">
            <v>1.6263995965315886E-2</v>
          </cell>
          <cell r="AA908">
            <v>1.5720463388806394E-2</v>
          </cell>
        </row>
        <row r="909">
          <cell r="Y909">
            <v>45260</v>
          </cell>
          <cell r="Z909">
            <v>1.6299075808269191E-2</v>
          </cell>
          <cell r="AA909">
            <v>1.5746855718967723E-2</v>
          </cell>
        </row>
        <row r="910">
          <cell r="Y910">
            <v>45267</v>
          </cell>
          <cell r="Z910">
            <v>1.6336420289550086E-2</v>
          </cell>
          <cell r="AA910">
            <v>1.5784711525936856E-2</v>
          </cell>
        </row>
        <row r="911">
          <cell r="Y911">
            <v>45274</v>
          </cell>
          <cell r="Z911">
            <v>1.6373702215043109E-2</v>
          </cell>
          <cell r="AA911">
            <v>1.5822504496609824E-2</v>
          </cell>
        </row>
        <row r="912">
          <cell r="Y912">
            <v>45281</v>
          </cell>
          <cell r="Z912">
            <v>1.6410923388614169E-2</v>
          </cell>
          <cell r="AA912">
            <v>1.5860234631066561E-2</v>
          </cell>
        </row>
        <row r="913">
          <cell r="Y913">
            <v>45289</v>
          </cell>
          <cell r="Z913">
            <v>1.6450383562087528E-2</v>
          </cell>
          <cell r="AA913">
            <v>1.5918469565394666E-2</v>
          </cell>
        </row>
        <row r="914">
          <cell r="Y914">
            <v>45300</v>
          </cell>
          <cell r="Z914">
            <v>1.650866564905025E-2</v>
          </cell>
          <cell r="AA914">
            <v>1.5962328250065383E-2</v>
          </cell>
        </row>
        <row r="915">
          <cell r="Y915">
            <v>45306</v>
          </cell>
          <cell r="Z915">
            <v>1.654340932829193E-2</v>
          </cell>
          <cell r="AA915">
            <v>1.5994472162237372E-2</v>
          </cell>
        </row>
        <row r="916">
          <cell r="Y916">
            <v>45313</v>
          </cell>
          <cell r="Z916">
            <v>1.6577389251755992E-2</v>
          </cell>
          <cell r="AA916">
            <v>1.6031915045111589E-2</v>
          </cell>
        </row>
        <row r="917">
          <cell r="Y917">
            <v>45320</v>
          </cell>
          <cell r="Z917">
            <v>1.6614331534677073E-2</v>
          </cell>
          <cell r="AA917">
            <v>1.6069295091689639E-2</v>
          </cell>
        </row>
        <row r="918">
          <cell r="Y918">
            <v>45327</v>
          </cell>
          <cell r="Z918">
            <v>1.6651234122870204E-2</v>
          </cell>
          <cell r="AA918">
            <v>1.6106612301811651E-2</v>
          </cell>
        </row>
        <row r="919">
          <cell r="Y919">
            <v>45335</v>
          </cell>
          <cell r="Z919">
            <v>1.6693364113430573E-2</v>
          </cell>
          <cell r="AA919">
            <v>1.614918359957862E-2</v>
          </cell>
        </row>
        <row r="920">
          <cell r="Y920">
            <v>45341</v>
          </cell>
          <cell r="Z920">
            <v>1.6724933342338946E-2</v>
          </cell>
          <cell r="AA920">
            <v>1.618105821308724E-2</v>
          </cell>
        </row>
        <row r="921">
          <cell r="Y921">
            <v>45348</v>
          </cell>
          <cell r="Z921">
            <v>1.6764744191708845E-2</v>
          </cell>
          <cell r="AA921">
            <v>1.6218186914080945E-2</v>
          </cell>
        </row>
        <row r="922">
          <cell r="Y922">
            <v>45355</v>
          </cell>
          <cell r="Z922">
            <v>1.6804531676060205E-2</v>
          </cell>
          <cell r="AA922">
            <v>1.6255252778618612E-2</v>
          </cell>
        </row>
        <row r="923">
          <cell r="Y923">
            <v>45362</v>
          </cell>
          <cell r="Z923">
            <v>1.6841288429671888E-2</v>
          </cell>
          <cell r="AA923">
            <v>1.629225580670024E-2</v>
          </cell>
        </row>
        <row r="924">
          <cell r="Y924">
            <v>45369</v>
          </cell>
          <cell r="Z924">
            <v>1.6878025652396659E-2</v>
          </cell>
          <cell r="AA924">
            <v>1.6329195998245893E-2</v>
          </cell>
        </row>
        <row r="925">
          <cell r="Y925">
            <v>45376</v>
          </cell>
          <cell r="Z925">
            <v>1.6914746592078256E-2</v>
          </cell>
          <cell r="AA925">
            <v>1.6366073353415445E-2</v>
          </cell>
        </row>
        <row r="926">
          <cell r="Y926">
            <v>45385</v>
          </cell>
          <cell r="Z926">
            <v>1.6958922223695147E-2</v>
          </cell>
          <cell r="AA926">
            <v>1.6413394764445144E-2</v>
          </cell>
        </row>
        <row r="927">
          <cell r="Y927">
            <v>45390</v>
          </cell>
          <cell r="Z927">
            <v>1.6985132475336347E-2</v>
          </cell>
          <cell r="AA927">
            <v>1.6439639554066687E-2</v>
          </cell>
        </row>
        <row r="928">
          <cell r="Y928">
            <v>45397</v>
          </cell>
          <cell r="Z928">
            <v>1.7021821350323617E-2</v>
          </cell>
          <cell r="AA928">
            <v>1.6476328399628315E-2</v>
          </cell>
        </row>
        <row r="929">
          <cell r="Y929">
            <v>45404</v>
          </cell>
          <cell r="Z929">
            <v>1.7058506790446692E-2</v>
          </cell>
          <cell r="AA929">
            <v>1.6512954408494096E-2</v>
          </cell>
        </row>
        <row r="930">
          <cell r="Y930">
            <v>45412</v>
          </cell>
          <cell r="Z930">
            <v>1.7103462101159612E-2</v>
          </cell>
          <cell r="AA930">
            <v>1.6554735761671324E-2</v>
          </cell>
        </row>
        <row r="931">
          <cell r="Y931">
            <v>45420</v>
          </cell>
          <cell r="Z931">
            <v>1.7140154284563416E-2</v>
          </cell>
          <cell r="AA931">
            <v>1.6596435042499635E-2</v>
          </cell>
        </row>
        <row r="932">
          <cell r="Y932">
            <v>45425</v>
          </cell>
          <cell r="Z932">
            <v>1.7171610114358242E-2</v>
          </cell>
          <cell r="AA932">
            <v>1.662245541571572E-2</v>
          </cell>
        </row>
        <row r="933">
          <cell r="Y933">
            <v>45432</v>
          </cell>
          <cell r="Z933">
            <v>1.7208317741110819E-2</v>
          </cell>
          <cell r="AA933">
            <v>1.6658830078197795E-2</v>
          </cell>
        </row>
        <row r="934">
          <cell r="Y934">
            <v>45440</v>
          </cell>
          <cell r="Z934">
            <v>1.7250285371531244E-2</v>
          </cell>
          <cell r="AA934">
            <v>1.6700324178113846E-2</v>
          </cell>
        </row>
        <row r="935">
          <cell r="Y935">
            <v>45446</v>
          </cell>
          <cell r="Z935">
            <v>1.7278730247986551E-2</v>
          </cell>
          <cell r="AA935">
            <v>1.6731390893074405E-2</v>
          </cell>
        </row>
        <row r="936">
          <cell r="Y936">
            <v>45453</v>
          </cell>
          <cell r="Z936">
            <v>1.7315483123609431E-2</v>
          </cell>
          <cell r="AA936">
            <v>1.676757733339862E-2</v>
          </cell>
        </row>
        <row r="937">
          <cell r="Y937">
            <v>45460</v>
          </cell>
          <cell r="Z937">
            <v>1.7352258159737875E-2</v>
          </cell>
          <cell r="AA937">
            <v>1.680374903375359E-2</v>
          </cell>
        </row>
        <row r="938">
          <cell r="Y938">
            <v>45467</v>
          </cell>
          <cell r="Z938">
            <v>1.7389055902134656E-2</v>
          </cell>
          <cell r="AA938">
            <v>1.6839942570561206E-2</v>
          </cell>
        </row>
        <row r="939">
          <cell r="Y939">
            <v>45474</v>
          </cell>
          <cell r="Z939">
            <v>1.7444233193562347E-2</v>
          </cell>
          <cell r="AA939">
            <v>1.6876157943901404E-2</v>
          </cell>
        </row>
        <row r="940">
          <cell r="Y940">
            <v>45481</v>
          </cell>
          <cell r="Z940">
            <v>1.7465781331007707E-2</v>
          </cell>
          <cell r="AA940">
            <v>1.6912395153614312E-2</v>
          </cell>
        </row>
        <row r="941">
          <cell r="Y941">
            <v>45489</v>
          </cell>
          <cell r="Z941">
            <v>1.750791949803818E-2</v>
          </cell>
          <cell r="AA941">
            <v>1.6953835846251764E-2</v>
          </cell>
        </row>
        <row r="942">
          <cell r="Y942">
            <v>45495</v>
          </cell>
          <cell r="Z942">
            <v>1.7539542594353641E-2</v>
          </cell>
          <cell r="AA942">
            <v>1.6984935082637875E-2</v>
          </cell>
        </row>
        <row r="943">
          <cell r="Y943">
            <v>45502</v>
          </cell>
          <cell r="Z943">
            <v>1.7576457301510782E-2</v>
          </cell>
          <cell r="AA943">
            <v>1.702123780194853E-2</v>
          </cell>
        </row>
        <row r="944">
          <cell r="Y944">
            <v>45509</v>
          </cell>
          <cell r="Z944">
            <v>1.7613394727322273E-2</v>
          </cell>
          <cell r="AA944">
            <v>1.7057562357711831E-2</v>
          </cell>
        </row>
        <row r="945">
          <cell r="Y945">
            <v>45516</v>
          </cell>
          <cell r="Z945">
            <v>1.7650354873037115E-2</v>
          </cell>
          <cell r="AA945">
            <v>1.709390875008765E-2</v>
          </cell>
        </row>
        <row r="946">
          <cell r="Y946">
            <v>45523</v>
          </cell>
          <cell r="Z946">
            <v>1.7687337739905606E-2</v>
          </cell>
          <cell r="AA946">
            <v>1.7130276978916115E-2</v>
          </cell>
        </row>
        <row r="947">
          <cell r="Y947">
            <v>45531</v>
          </cell>
          <cell r="Z947">
            <v>1.7729631696895277E-2</v>
          </cell>
          <cell r="AA947">
            <v>1.7171867407537178E-2</v>
          </cell>
        </row>
        <row r="948">
          <cell r="Y948">
            <v>45537</v>
          </cell>
          <cell r="Z948">
            <v>1.7755193673293746E-2</v>
          </cell>
          <cell r="AA948">
            <v>1.7203078946090855E-2</v>
          </cell>
        </row>
        <row r="949">
          <cell r="Y949">
            <v>45544</v>
          </cell>
          <cell r="Z949">
            <v>1.7792237822694911E-2</v>
          </cell>
          <cell r="AA949">
            <v>1.7239512684597003E-2</v>
          </cell>
        </row>
        <row r="950">
          <cell r="Y950">
            <v>45552</v>
          </cell>
          <cell r="Z950">
            <v>1.7831506083031787E-2</v>
          </cell>
          <cell r="AA950">
            <v>1.7281177981409712E-2</v>
          </cell>
        </row>
        <row r="951">
          <cell r="Y951">
            <v>45559</v>
          </cell>
          <cell r="Z951">
            <v>1.7868595457778483E-2</v>
          </cell>
          <cell r="AA951">
            <v>1.7317658512405742E-2</v>
          </cell>
        </row>
        <row r="952">
          <cell r="Y952">
            <v>45565</v>
          </cell>
          <cell r="Z952">
            <v>1.7903506572978796E-2</v>
          </cell>
          <cell r="AA952">
            <v>1.7348944919151066E-2</v>
          </cell>
        </row>
        <row r="953">
          <cell r="Y953">
            <v>45572</v>
          </cell>
          <cell r="Z953">
            <v>1.7940641594569734E-2</v>
          </cell>
          <cell r="AA953">
            <v>1.7385466003867478E-2</v>
          </cell>
        </row>
        <row r="954">
          <cell r="Y954">
            <v>45580</v>
          </cell>
          <cell r="Z954">
            <v>1.7983109441136569E-2</v>
          </cell>
          <cell r="AA954">
            <v>1.7427231124989007E-2</v>
          </cell>
        </row>
        <row r="955">
          <cell r="Y955">
            <v>45586</v>
          </cell>
          <cell r="Z955">
            <v>1.8018092784475852E-2</v>
          </cell>
          <cell r="AA955">
            <v>1.7458573682818113E-2</v>
          </cell>
        </row>
        <row r="956">
          <cell r="Y956">
            <v>45593</v>
          </cell>
          <cell r="Z956">
            <v>1.8052182991227666E-2</v>
          </cell>
          <cell r="AA956">
            <v>1.7495160277292143E-2</v>
          </cell>
        </row>
        <row r="957">
          <cell r="Y957">
            <v>45601</v>
          </cell>
          <cell r="Z957">
            <v>1.8097849190650345E-2</v>
          </cell>
          <cell r="AA957">
            <v>1.7537000266685254E-2</v>
          </cell>
        </row>
        <row r="958">
          <cell r="Y958">
            <v>45607</v>
          </cell>
          <cell r="Z958">
            <v>1.812665754467848E-2</v>
          </cell>
          <cell r="AA958">
            <v>1.7568398975917887E-2</v>
          </cell>
        </row>
        <row r="959">
          <cell r="Y959">
            <v>45614</v>
          </cell>
          <cell r="Z959">
            <v>1.8163928911843808E-2</v>
          </cell>
          <cell r="AA959">
            <v>1.7605051080149536E-2</v>
          </cell>
        </row>
        <row r="960">
          <cell r="Y960">
            <v>45621</v>
          </cell>
          <cell r="Z960">
            <v>1.820435343448109E-2</v>
          </cell>
          <cell r="AA960">
            <v>1.7641725020993704E-2</v>
          </cell>
        </row>
        <row r="961">
          <cell r="Y961">
            <v>45628</v>
          </cell>
          <cell r="Z961">
            <v>1.823853983329108E-2</v>
          </cell>
          <cell r="AA961">
            <v>1.7678420798450389E-2</v>
          </cell>
        </row>
        <row r="962">
          <cell r="Y962">
            <v>45635</v>
          </cell>
          <cell r="Z962">
            <v>1.8275879390069485E-2</v>
          </cell>
          <cell r="AA962">
            <v>1.7715138412519593E-2</v>
          </cell>
        </row>
        <row r="963">
          <cell r="Y963">
            <v>45642</v>
          </cell>
          <cell r="Z963">
            <v>1.8313241679216406E-2</v>
          </cell>
          <cell r="AA963">
            <v>1.7751877863281251E-2</v>
          </cell>
        </row>
        <row r="964">
          <cell r="Y964">
            <v>45650</v>
          </cell>
          <cell r="Z964">
            <v>1.8355969275399342E-2</v>
          </cell>
          <cell r="AA964">
            <v>1.780002657616464E-2</v>
          </cell>
        </row>
        <row r="965">
          <cell r="Y965">
            <v>45663</v>
          </cell>
          <cell r="Z965">
            <v>1.8425464953376054E-2</v>
          </cell>
          <cell r="AA965">
            <v>1.7862227235321271E-2</v>
          </cell>
        </row>
        <row r="966">
          <cell r="Y966">
            <v>45665</v>
          </cell>
          <cell r="Z966">
            <v>1.8433011462039489E-2</v>
          </cell>
          <cell r="AA966">
            <v>1.7872746949221252E-2</v>
          </cell>
        </row>
        <row r="967">
          <cell r="Y967">
            <v>45673</v>
          </cell>
          <cell r="Z967">
            <v>1.8475820394925114E-2</v>
          </cell>
          <cell r="AA967">
            <v>1.7914843630482125E-2</v>
          </cell>
        </row>
        <row r="968">
          <cell r="Y968">
            <v>45680</v>
          </cell>
          <cell r="Z968">
            <v>1.8513302569046715E-2</v>
          </cell>
          <cell r="AA968">
            <v>1.7951701623140082E-2</v>
          </cell>
        </row>
        <row r="969">
          <cell r="Y969">
            <v>45687</v>
          </cell>
          <cell r="Z969">
            <v>1.8550807478465273E-2</v>
          </cell>
          <cell r="AA969">
            <v>1.7988581452330621E-2</v>
          </cell>
        </row>
        <row r="970">
          <cell r="Y970">
            <v>45694</v>
          </cell>
          <cell r="Z970">
            <v>1.8588335124428413E-2</v>
          </cell>
          <cell r="AA970">
            <v>1.802548311829355E-2</v>
          </cell>
        </row>
        <row r="971">
          <cell r="Y971">
            <v>45702</v>
          </cell>
          <cell r="Z971">
            <v>1.8631251704941423E-2</v>
          </cell>
          <cell r="AA971">
            <v>1.8073867678491951E-2</v>
          </cell>
        </row>
        <row r="972">
          <cell r="Y972">
            <v>45709</v>
          </cell>
          <cell r="Z972">
            <v>1.8668828076278354E-2</v>
          </cell>
          <cell r="AA972">
            <v>1.811082297091815E-2</v>
          </cell>
        </row>
        <row r="973">
          <cell r="Y973">
            <v>45716</v>
          </cell>
          <cell r="Z973">
            <v>1.8709605157008632E-2</v>
          </cell>
          <cell r="AA973">
            <v>1.8147800109842294E-2</v>
          </cell>
        </row>
        <row r="974">
          <cell r="Y974">
            <v>45723</v>
          </cell>
          <cell r="Z974">
            <v>1.8756777907267024E-2</v>
          </cell>
          <cell r="AA974">
            <v>1.8184799095264381E-2</v>
          </cell>
        </row>
        <row r="975">
          <cell r="Y975">
            <v>45730</v>
          </cell>
          <cell r="Z975">
            <v>1.8797623742976409E-2</v>
          </cell>
          <cell r="AA975">
            <v>1.8221819927237703E-2</v>
          </cell>
        </row>
        <row r="976">
          <cell r="Y976">
            <v>45740</v>
          </cell>
          <cell r="Z976">
            <v>1.8832118498394546E-2</v>
          </cell>
          <cell r="AA976">
            <v>1.8268523024014272E-2</v>
          </cell>
        </row>
        <row r="977">
          <cell r="Y977">
            <v>45744</v>
          </cell>
          <cell r="Z977">
            <v>1.886982294263722E-2</v>
          </cell>
          <cell r="AA977">
            <v>1.8295927130864698E-2</v>
          </cell>
        </row>
        <row r="978">
          <cell r="Y978">
            <v>45751</v>
          </cell>
          <cell r="Z978">
            <v>1.8907550154375459E-2</v>
          </cell>
          <cell r="AA978">
            <v>1.833301350257166E-2</v>
          </cell>
        </row>
        <row r="979">
          <cell r="Y979">
            <v>45758</v>
          </cell>
          <cell r="Z979">
            <v>1.894850143431915E-2</v>
          </cell>
          <cell r="AA979">
            <v>1.8370121720883148E-2</v>
          </cell>
        </row>
        <row r="980">
          <cell r="Y980">
            <v>45769</v>
          </cell>
          <cell r="Z980">
            <v>1.8998254964443056E-2</v>
          </cell>
          <cell r="AA980">
            <v>1.8422228475900582E-2</v>
          </cell>
        </row>
        <row r="981">
          <cell r="Y981">
            <v>45772</v>
          </cell>
          <cell r="Z981">
            <v>1.9020868407408201E-2</v>
          </cell>
          <cell r="AA981">
            <v>1.8444403697426281E-2</v>
          </cell>
        </row>
        <row r="982">
          <cell r="Y982">
            <v>45779</v>
          </cell>
          <cell r="Z982">
            <v>1.9061898838668729E-2</v>
          </cell>
          <cell r="AA982">
            <v>1.8487839404366824E-2</v>
          </cell>
        </row>
        <row r="983">
          <cell r="Y983">
            <v>45786</v>
          </cell>
          <cell r="Z983">
            <v>1.9096527770466089E-2</v>
          </cell>
          <cell r="AA983">
            <v>1.8518773060707261E-2</v>
          </cell>
        </row>
        <row r="984">
          <cell r="Y984">
            <v>45793</v>
          </cell>
          <cell r="Z984">
            <v>1.9134391614166288E-2</v>
          </cell>
          <cell r="AA984">
            <v>1.8555990512441056E-2</v>
          </cell>
        </row>
        <row r="985">
          <cell r="Y985">
            <v>45800</v>
          </cell>
          <cell r="Z985">
            <v>1.9175501255389259E-2</v>
          </cell>
          <cell r="AA985">
            <v>1.8596370997883138E-2</v>
          </cell>
        </row>
        <row r="986">
          <cell r="Y986">
            <v>45807</v>
          </cell>
          <cell r="Z986">
            <v>1.9200510414394877E-2</v>
          </cell>
          <cell r="AA986">
            <v>1.8630490956068613E-2</v>
          </cell>
        </row>
        <row r="987">
          <cell r="Y987">
            <v>45814</v>
          </cell>
          <cell r="Z987">
            <v>1.9248119809417149E-2</v>
          </cell>
          <cell r="AA987">
            <v>1.866777394804231E-2</v>
          </cell>
        </row>
        <row r="988">
          <cell r="Y988">
            <v>45821</v>
          </cell>
          <cell r="Z988">
            <v>1.9286074766850556E-2</v>
          </cell>
          <cell r="AA988">
            <v>1.8705078786833695E-2</v>
          </cell>
        </row>
        <row r="989">
          <cell r="Y989">
            <v>45828</v>
          </cell>
          <cell r="Z989">
            <v>1.9324052505944194E-2</v>
          </cell>
          <cell r="AA989">
            <v>1.8742405472442769E-2</v>
          </cell>
        </row>
        <row r="990">
          <cell r="Y990">
            <v>45835</v>
          </cell>
          <cell r="Z990">
            <v>1.9362053027990871E-2</v>
          </cell>
          <cell r="AA990">
            <v>1.8779754004869531E-2</v>
          </cell>
        </row>
        <row r="991">
          <cell r="Y991">
            <v>45842</v>
          </cell>
          <cell r="Z991">
            <v>1.9400076334283388E-2</v>
          </cell>
          <cell r="AA991">
            <v>1.8817124384167272E-2</v>
          </cell>
        </row>
        <row r="992">
          <cell r="Y992">
            <v>45849</v>
          </cell>
          <cell r="Z992">
            <v>1.9441371028023898E-2</v>
          </cell>
          <cell r="AA992">
            <v>1.8854516610362637E-2</v>
          </cell>
        </row>
        <row r="993">
          <cell r="Y993">
            <v>45856</v>
          </cell>
          <cell r="Z993">
            <v>1.9476191304783643E-2</v>
          </cell>
          <cell r="AA993">
            <v>1.8895099907592083E-2</v>
          </cell>
        </row>
        <row r="994">
          <cell r="Y994">
            <v>45863</v>
          </cell>
          <cell r="Z994">
            <v>1.9514282971581313E-2</v>
          </cell>
          <cell r="AA994">
            <v>1.8929366603472886E-2</v>
          </cell>
        </row>
        <row r="995">
          <cell r="Y995">
            <v>45870</v>
          </cell>
          <cell r="Z995">
            <v>1.955239742780554E-2</v>
          </cell>
          <cell r="AA995">
            <v>1.8966824370387769E-2</v>
          </cell>
        </row>
        <row r="996">
          <cell r="Y996">
            <v>45877</v>
          </cell>
          <cell r="Z996">
            <v>1.9590534674753888E-2</v>
          </cell>
          <cell r="AA996">
            <v>1.9004303984306858E-2</v>
          </cell>
        </row>
        <row r="997">
          <cell r="Y997">
            <v>45884</v>
          </cell>
          <cell r="Z997">
            <v>1.9628694713723908E-2</v>
          </cell>
          <cell r="AA997">
            <v>1.9041805445203508E-2</v>
          </cell>
        </row>
        <row r="998">
          <cell r="Y998">
            <v>45891</v>
          </cell>
          <cell r="Z998">
            <v>1.9666877546014892E-2</v>
          </cell>
          <cell r="AA998">
            <v>1.9082515664006205E-2</v>
          </cell>
        </row>
        <row r="999">
          <cell r="Y999">
            <v>45898</v>
          </cell>
          <cell r="Z999">
            <v>1.9695262673542224E-2</v>
          </cell>
          <cell r="AA999">
            <v>1.9116873908036069E-2</v>
          </cell>
        </row>
        <row r="1000">
          <cell r="Y1000">
            <v>45905</v>
          </cell>
          <cell r="Z1000">
            <v>1.9730203696219771E-2</v>
          </cell>
          <cell r="AA1000">
            <v>1.9154440909998627E-2</v>
          </cell>
        </row>
        <row r="1001">
          <cell r="Y1001">
            <v>45912</v>
          </cell>
          <cell r="Z1001">
            <v>1.9768440052117406E-2</v>
          </cell>
          <cell r="AA1001">
            <v>1.9195227342816423E-2</v>
          </cell>
        </row>
        <row r="1002">
          <cell r="Y1002">
            <v>45919</v>
          </cell>
          <cell r="Z1002">
            <v>1.980669918508941E-2</v>
          </cell>
          <cell r="AA1002">
            <v>1.9229640455149521E-2</v>
          </cell>
        </row>
        <row r="1003">
          <cell r="Y1003">
            <v>45926</v>
          </cell>
          <cell r="Z1003">
            <v>1.9844981096409905E-2</v>
          </cell>
          <cell r="AA1003">
            <v>1.9267272998391149E-2</v>
          </cell>
        </row>
        <row r="1004">
          <cell r="Y1004">
            <v>45933</v>
          </cell>
          <cell r="Z1004">
            <v>1.9899746332870696E-2</v>
          </cell>
          <cell r="AA1004">
            <v>1.9304927388743565E-2</v>
          </cell>
        </row>
        <row r="1005">
          <cell r="Y1005">
            <v>45940</v>
          </cell>
          <cell r="Z1005">
            <v>1.9924908153288425E-2</v>
          </cell>
          <cell r="AA1005">
            <v>1.9345815511830899E-2</v>
          </cell>
        </row>
        <row r="1006">
          <cell r="Y1006">
            <v>45947</v>
          </cell>
          <cell r="Z1006">
            <v>1.9963262148902181E-2</v>
          </cell>
          <cell r="AA1006">
            <v>1.9380301710913983E-2</v>
          </cell>
        </row>
        <row r="1007">
          <cell r="Y1007">
            <v>45954</v>
          </cell>
          <cell r="Z1007">
            <v>2.0001638933362792E-2</v>
          </cell>
          <cell r="AA1007">
            <v>1.9418021642758632E-2</v>
          </cell>
        </row>
        <row r="1008">
          <cell r="Y1008">
            <v>45961</v>
          </cell>
          <cell r="Z1008">
            <v>2.0036732372868769E-2</v>
          </cell>
          <cell r="AA1008">
            <v>1.9458986087541597E-2</v>
          </cell>
        </row>
        <row r="1009">
          <cell r="Y1009">
            <v>45968</v>
          </cell>
          <cell r="Z1009">
            <v>2.0075150981069819E-2</v>
          </cell>
          <cell r="AA1009">
            <v>1.949352704812668E-2</v>
          </cell>
        </row>
        <row r="1010">
          <cell r="Y1010">
            <v>45975</v>
          </cell>
          <cell r="Z1010">
            <v>2.0113592376557181E-2</v>
          </cell>
          <cell r="AA1010">
            <v>1.9531312521676725E-2</v>
          </cell>
        </row>
        <row r="1011">
          <cell r="Y1011">
            <v>45982</v>
          </cell>
          <cell r="Z1011">
            <v>2.0152056560610716E-2</v>
          </cell>
          <cell r="AA1011">
            <v>1.9572353334591508E-2</v>
          </cell>
        </row>
        <row r="1012">
          <cell r="Y1012">
            <v>45989</v>
          </cell>
          <cell r="Z1012">
            <v>2.0193864733369572E-2</v>
          </cell>
          <cell r="AA1012">
            <v>1.9606949010615438E-2</v>
          </cell>
        </row>
        <row r="1013">
          <cell r="Y1013">
            <v>45996</v>
          </cell>
          <cell r="Z1013">
            <v>2.0232378277922226E-2</v>
          </cell>
          <cell r="AA1013">
            <v>1.9644800026030751E-2</v>
          </cell>
        </row>
        <row r="1014">
          <cell r="Y1014">
            <v>46003</v>
          </cell>
          <cell r="Z1014">
            <v>2.0270914594648477E-2</v>
          </cell>
          <cell r="AA1014">
            <v>1.9682672888770014E-2</v>
          </cell>
        </row>
        <row r="1015">
          <cell r="Y1015">
            <v>46010</v>
          </cell>
          <cell r="Z1015">
            <v>2.0309471421412352E-2</v>
          </cell>
          <cell r="AA1015">
            <v>1.9720567598886518E-2</v>
          </cell>
        </row>
        <row r="1016">
          <cell r="Y1016">
            <v>46021</v>
          </cell>
          <cell r="Z1016">
            <v>2.0370087080273425E-2</v>
          </cell>
          <cell r="AA1016">
            <v>1.9789923133881615E-2</v>
          </cell>
        </row>
        <row r="1017">
          <cell r="Y1017">
            <v>46029</v>
          </cell>
          <cell r="Z1017">
            <v>2.0410842814182251E-2</v>
          </cell>
          <cell r="AA1017">
            <v>1.9817020417125519E-2</v>
          </cell>
        </row>
        <row r="1018">
          <cell r="Y1018">
            <v>46037</v>
          </cell>
          <cell r="Z1018">
            <v>2.0454929830860929E-2</v>
          </cell>
          <cell r="AA1018">
            <v>1.9860414830947803E-2</v>
          </cell>
        </row>
        <row r="1019">
          <cell r="Y1019">
            <v>46044</v>
          </cell>
          <cell r="Z1019">
            <v>2.0493495142217679E-2</v>
          </cell>
          <cell r="AA1019">
            <v>1.9898408339846796E-2</v>
          </cell>
        </row>
        <row r="1020">
          <cell r="Y1020">
            <v>46051</v>
          </cell>
          <cell r="Z1020">
            <v>2.0532043386046927E-2</v>
          </cell>
          <cell r="AA1020">
            <v>1.9936423685837923E-2</v>
          </cell>
        </row>
        <row r="1021">
          <cell r="Y1021">
            <v>46058</v>
          </cell>
          <cell r="Z1021">
            <v>2.0570567917065016E-2</v>
          </cell>
          <cell r="AA1021">
            <v>1.9974460868761312E-2</v>
          </cell>
        </row>
        <row r="1022">
          <cell r="Y1022">
            <v>46066</v>
          </cell>
          <cell r="Z1022">
            <v>2.0609062089478634E-2</v>
          </cell>
          <cell r="AA1022">
            <v>2.0024511786997934E-2</v>
          </cell>
        </row>
        <row r="1023">
          <cell r="Y1023">
            <v>46072</v>
          </cell>
          <cell r="Z1023">
            <v>2.0647519256988357E-2</v>
          </cell>
          <cell r="AA1023">
            <v>2.0050600745884495E-2</v>
          </cell>
        </row>
        <row r="1024">
          <cell r="Y1024">
            <v>46079</v>
          </cell>
          <cell r="Z1024">
            <v>2.0685932772786443E-2</v>
          </cell>
          <cell r="AA1024">
            <v>2.0088703440004352E-2</v>
          </cell>
        </row>
        <row r="1025">
          <cell r="Y1025">
            <v>46086</v>
          </cell>
          <cell r="Z1025">
            <v>2.0740869303255853E-2</v>
          </cell>
          <cell r="AA1025">
            <v>2.0126827971216343E-2</v>
          </cell>
        </row>
        <row r="1026">
          <cell r="Y1026">
            <v>46093</v>
          </cell>
          <cell r="Z1026">
            <v>2.07791492660447E-2</v>
          </cell>
          <cell r="AA1026">
            <v>2.0164974339440533E-2</v>
          </cell>
        </row>
        <row r="1027">
          <cell r="Y1027">
            <v>46100</v>
          </cell>
          <cell r="Z1027">
            <v>2.0827267461479927E-2</v>
          </cell>
          <cell r="AA1027">
            <v>2.0213026702708969E-2</v>
          </cell>
        </row>
        <row r="1028">
          <cell r="Y1028">
            <v>46107</v>
          </cell>
          <cell r="Z1028">
            <v>2.0855505041733145E-2</v>
          </cell>
          <cell r="AA1028">
            <v>2.0241332587245253E-2</v>
          </cell>
        </row>
        <row r="1029">
          <cell r="Y1029">
            <v>46114</v>
          </cell>
          <cell r="Z1029">
            <v>2.0883696764057956E-2</v>
          </cell>
          <cell r="AA1029">
            <v>2.0292753971116184E-2</v>
          </cell>
        </row>
        <row r="1030">
          <cell r="Y1030">
            <v>46121</v>
          </cell>
          <cell r="Z1030">
            <v>2.0921695035952193E-2</v>
          </cell>
          <cell r="AA1030">
            <v>2.0317778183418511E-2</v>
          </cell>
        </row>
        <row r="1031">
          <cell r="Y1031">
            <v>46128</v>
          </cell>
          <cell r="Z1031">
            <v>2.0959602467634137E-2</v>
          </cell>
          <cell r="AA1031">
            <v>2.035603373718331E-2</v>
          </cell>
        </row>
        <row r="1032">
          <cell r="Y1032">
            <v>46135</v>
          </cell>
          <cell r="Z1032">
            <v>2.0997412480067458E-2</v>
          </cell>
          <cell r="AA1032">
            <v>2.0394311128040243E-2</v>
          </cell>
        </row>
        <row r="1033">
          <cell r="Y1033">
            <v>46143</v>
          </cell>
          <cell r="Z1033">
            <v>2.1035118493729216E-2</v>
          </cell>
          <cell r="AA1033">
            <v>2.0454673715208926E-2</v>
          </cell>
        </row>
        <row r="1034">
          <cell r="Y1034">
            <v>46153</v>
          </cell>
          <cell r="Z1034">
            <v>2.1097393964466624E-2</v>
          </cell>
          <cell r="AA1034">
            <v>2.0492838977039796E-2</v>
          </cell>
        </row>
        <row r="1035">
          <cell r="Y1035">
            <v>46160</v>
          </cell>
          <cell r="Z1035">
            <v>2.1134794125967447E-2</v>
          </cell>
          <cell r="AA1035">
            <v>2.0531194357671367E-2</v>
          </cell>
        </row>
        <row r="1036">
          <cell r="Y1036">
            <v>46168</v>
          </cell>
          <cell r="Z1036">
            <v>2.1177380513443027E-2</v>
          </cell>
          <cell r="AA1036">
            <v>2.0575055817815269E-2</v>
          </cell>
        </row>
        <row r="1037">
          <cell r="Y1037">
            <v>46174</v>
          </cell>
          <cell r="Z1037">
            <v>2.1205980887933962E-2</v>
          </cell>
          <cell r="AA1037">
            <v>2.0607970630450723E-2</v>
          </cell>
        </row>
        <row r="1038">
          <cell r="Y1038">
            <v>46181</v>
          </cell>
          <cell r="Z1038">
            <v>2.1242987012196388E-2</v>
          </cell>
          <cell r="AA1038">
            <v>2.064639152251857E-2</v>
          </cell>
        </row>
        <row r="1039">
          <cell r="Y1039">
            <v>46188</v>
          </cell>
          <cell r="Z1039">
            <v>2.1279846288322541E-2</v>
          </cell>
          <cell r="AA1039">
            <v>2.0684781616342462E-2</v>
          </cell>
        </row>
        <row r="1040">
          <cell r="Y1040">
            <v>46195</v>
          </cell>
          <cell r="Z1040">
            <v>2.131655645579671E-2</v>
          </cell>
          <cell r="AA1040">
            <v>2.0723027543088079E-2</v>
          </cell>
        </row>
        <row r="1041">
          <cell r="Y1041">
            <v>46202</v>
          </cell>
          <cell r="Z1041">
            <v>2.1353117480777114E-2</v>
          </cell>
          <cell r="AA1041">
            <v>2.0761125253994095E-2</v>
          </cell>
        </row>
        <row r="1042">
          <cell r="Y1042">
            <v>46209</v>
          </cell>
          <cell r="Z1042">
            <v>2.1392711045417793E-2</v>
          </cell>
          <cell r="AA1042">
            <v>2.0799074748900637E-2</v>
          </cell>
        </row>
        <row r="1043">
          <cell r="Y1043">
            <v>46216</v>
          </cell>
          <cell r="Z1043">
            <v>2.1428965249739029E-2</v>
          </cell>
          <cell r="AA1043">
            <v>2.0836876027727769E-2</v>
          </cell>
        </row>
        <row r="1044">
          <cell r="Y1044">
            <v>46224</v>
          </cell>
          <cell r="Z1044">
            <v>2.1470215964858853E-2</v>
          </cell>
          <cell r="AA1044">
            <v>2.0879896000272069E-2</v>
          </cell>
        </row>
        <row r="1045">
          <cell r="Y1045">
            <v>46230</v>
          </cell>
          <cell r="Z1045">
            <v>2.150102613130437E-2</v>
          </cell>
          <cell r="AA1045">
            <v>2.0912033937303676E-2</v>
          </cell>
        </row>
        <row r="1046">
          <cell r="Y1046">
            <v>46237</v>
          </cell>
          <cell r="Z1046">
            <v>2.1536832792196335E-2</v>
          </cell>
          <cell r="AA1046">
            <v>2.0949390567732706E-2</v>
          </cell>
        </row>
        <row r="1047">
          <cell r="Y1047">
            <v>46244</v>
          </cell>
          <cell r="Z1047">
            <v>2.1572490255648679E-2</v>
          </cell>
          <cell r="AA1047">
            <v>2.0986598982082327E-2</v>
          </cell>
        </row>
        <row r="1048">
          <cell r="Y1048">
            <v>46251</v>
          </cell>
          <cell r="Z1048">
            <v>2.1607998513570051E-2</v>
          </cell>
          <cell r="AA1048">
            <v>2.1023659180192666E-2</v>
          </cell>
        </row>
        <row r="1049">
          <cell r="Y1049">
            <v>46258</v>
          </cell>
          <cell r="Z1049">
            <v>2.1643357557901678E-2</v>
          </cell>
          <cell r="AA1049">
            <v>2.1060571161903852E-2</v>
          </cell>
        </row>
        <row r="1050">
          <cell r="Y1050">
            <v>46266</v>
          </cell>
          <cell r="Z1050">
            <v>2.1674246441439324E-2</v>
          </cell>
          <cell r="AA1050">
            <v>2.110257479447597E-2</v>
          </cell>
        </row>
        <row r="1051">
          <cell r="Y1051">
            <v>46272</v>
          </cell>
          <cell r="Z1051">
            <v>2.170741751978067E-2</v>
          </cell>
          <cell r="AA1051">
            <v>2.1133950476368568E-2</v>
          </cell>
        </row>
        <row r="1052">
          <cell r="Y1052">
            <v>46279</v>
          </cell>
          <cell r="Z1052">
            <v>2.1742346004197971E-2</v>
          </cell>
          <cell r="AA1052">
            <v>2.1170417808962227E-2</v>
          </cell>
        </row>
        <row r="1053">
          <cell r="Y1053">
            <v>46289</v>
          </cell>
          <cell r="Z1053">
            <v>2.1788899499932301E-2</v>
          </cell>
          <cell r="AA1053">
            <v>2.1222256888151492E-2</v>
          </cell>
        </row>
        <row r="1054">
          <cell r="Y1054">
            <v>46293</v>
          </cell>
          <cell r="Z1054">
            <v>2.1814835130076059E-2</v>
          </cell>
          <cell r="AA1054">
            <v>2.124290782463234E-2</v>
          </cell>
        </row>
        <row r="1055">
          <cell r="Y1055">
            <v>46300</v>
          </cell>
          <cell r="Z1055">
            <v>2.1846236027601364E-2</v>
          </cell>
          <cell r="AA1055">
            <v>2.1278930507628857E-2</v>
          </cell>
        </row>
        <row r="1056">
          <cell r="Y1056">
            <v>46308</v>
          </cell>
          <cell r="Z1056">
            <v>2.1885459848977749E-2</v>
          </cell>
          <cell r="AA1056">
            <v>2.13199177984702E-2</v>
          </cell>
        </row>
        <row r="1057">
          <cell r="Y1057">
            <v>46314</v>
          </cell>
          <cell r="Z1057">
            <v>2.1914749774006859E-2</v>
          </cell>
          <cell r="AA1057">
            <v>2.1350531223784941E-2</v>
          </cell>
        </row>
        <row r="1058">
          <cell r="Y1058">
            <v>46321</v>
          </cell>
          <cell r="Z1058">
            <v>2.1948782743328236E-2</v>
          </cell>
          <cell r="AA1058">
            <v>2.1386109256784636E-2</v>
          </cell>
        </row>
        <row r="1059">
          <cell r="Y1059">
            <v>46328</v>
          </cell>
          <cell r="Z1059">
            <v>2.1991774988060386E-2</v>
          </cell>
          <cell r="AA1059">
            <v>2.1424701211416597E-2</v>
          </cell>
        </row>
        <row r="1060">
          <cell r="Y1060">
            <v>46335</v>
          </cell>
          <cell r="Z1060">
            <v>2.2016400836009357E-2</v>
          </cell>
          <cell r="AA1060">
            <v>2.145682067262733E-2</v>
          </cell>
        </row>
        <row r="1061">
          <cell r="Y1061">
            <v>46342</v>
          </cell>
          <cell r="Z1061">
            <v>2.2049985944187837E-2</v>
          </cell>
          <cell r="AA1061">
            <v>2.1491954055230522E-2</v>
          </cell>
        </row>
        <row r="1062">
          <cell r="Y1062">
            <v>46350</v>
          </cell>
          <cell r="Z1062">
            <v>2.208517561088057E-2</v>
          </cell>
          <cell r="AA1062">
            <v>2.1531925002502561E-2</v>
          </cell>
        </row>
        <row r="1063">
          <cell r="Y1063">
            <v>46356</v>
          </cell>
          <cell r="Z1063">
            <v>2.2107696849661178E-2</v>
          </cell>
          <cell r="AA1063">
            <v>2.1561776169880531E-2</v>
          </cell>
        </row>
        <row r="1064">
          <cell r="Y1064">
            <v>46363</v>
          </cell>
          <cell r="Z1064">
            <v>2.2149845425696264E-2</v>
          </cell>
          <cell r="AA1064">
            <v>2.1596464901767476E-2</v>
          </cell>
        </row>
        <row r="1065">
          <cell r="Y1065">
            <v>46370</v>
          </cell>
          <cell r="Z1065">
            <v>2.2182833280279153E-2</v>
          </cell>
          <cell r="AA1065">
            <v>2.1631005416695714E-2</v>
          </cell>
        </row>
        <row r="1066">
          <cell r="Y1066">
            <v>46377</v>
          </cell>
          <cell r="Z1066">
            <v>2.2215671802863848E-2</v>
          </cell>
          <cell r="AA1066">
            <v>2.1665397714505374E-2</v>
          </cell>
        </row>
        <row r="1067">
          <cell r="Y1067">
            <v>46386</v>
          </cell>
          <cell r="Z1067">
            <v>2.2257673322002142E-2</v>
          </cell>
          <cell r="AA1067">
            <v>2.1721761100655712E-2</v>
          </cell>
        </row>
        <row r="1068">
          <cell r="Y1068">
            <v>46393</v>
          </cell>
          <cell r="Z1068">
            <v>2.2287213137789738E-2</v>
          </cell>
          <cell r="AA1068">
            <v>2.1743452110571937E-2</v>
          </cell>
        </row>
        <row r="1069">
          <cell r="Y1069">
            <v>46401</v>
          </cell>
          <cell r="Z1069">
            <v>2.2324179784838374E-2</v>
          </cell>
          <cell r="AA1069">
            <v>2.178218892400885E-2</v>
          </cell>
        </row>
        <row r="1070">
          <cell r="Y1070">
            <v>46408</v>
          </cell>
          <cell r="Z1070">
            <v>2.2356365575448317E-2</v>
          </cell>
          <cell r="AA1070">
            <v>2.1815924831516398E-2</v>
          </cell>
        </row>
        <row r="1071">
          <cell r="Y1071">
            <v>46415</v>
          </cell>
          <cell r="Z1071">
            <v>2.2388402001341866E-2</v>
          </cell>
          <cell r="AA1071">
            <v>2.1849512521825432E-2</v>
          </cell>
        </row>
        <row r="1072">
          <cell r="Y1072">
            <v>46422</v>
          </cell>
          <cell r="Z1072">
            <v>2.2420289055364518E-2</v>
          </cell>
          <cell r="AA1072">
            <v>2.1882951994696143E-2</v>
          </cell>
        </row>
        <row r="1073">
          <cell r="Y1073">
            <v>46430</v>
          </cell>
          <cell r="Z1073">
            <v>2.2456548489355535E-2</v>
          </cell>
          <cell r="AA1073">
            <v>2.1927062214732729E-2</v>
          </cell>
        </row>
        <row r="1074">
          <cell r="Y1074">
            <v>46436</v>
          </cell>
          <cell r="Z1074">
            <v>2.2483615019350062E-2</v>
          </cell>
          <cell r="AA1074">
            <v>2.1949386288442341E-2</v>
          </cell>
        </row>
        <row r="1075">
          <cell r="Y1075">
            <v>46443</v>
          </cell>
          <cell r="Z1075">
            <v>2.2515053915171779E-2</v>
          </cell>
          <cell r="AA1075">
            <v>2.1982381109157956E-2</v>
          </cell>
        </row>
        <row r="1076">
          <cell r="Y1076">
            <v>46450</v>
          </cell>
          <cell r="Z1076">
            <v>2.2560768755241184E-2</v>
          </cell>
          <cell r="AA1076">
            <v>2.2015227712435248E-2</v>
          </cell>
        </row>
        <row r="1077">
          <cell r="Y1077">
            <v>46457</v>
          </cell>
          <cell r="Z1077">
            <v>2.2591865171427306E-2</v>
          </cell>
          <cell r="AA1077">
            <v>2.2047926098194282E-2</v>
          </cell>
        </row>
        <row r="1078">
          <cell r="Y1078">
            <v>46464</v>
          </cell>
          <cell r="Z1078">
            <v>2.2625677575403E-2</v>
          </cell>
          <cell r="AA1078">
            <v>2.2080476266275184E-2</v>
          </cell>
        </row>
        <row r="1079">
          <cell r="Y1079">
            <v>46471</v>
          </cell>
          <cell r="Z1079">
            <v>2.2653609646820054E-2</v>
          </cell>
          <cell r="AA1079">
            <v>2.2124824655300301E-2</v>
          </cell>
        </row>
        <row r="1080">
          <cell r="Y1080">
            <v>46478</v>
          </cell>
          <cell r="Z1080">
            <v>2.2675709588242353E-2</v>
          </cell>
          <cell r="AA1080">
            <v>2.2145131949802277E-2</v>
          </cell>
        </row>
        <row r="1081">
          <cell r="Y1081">
            <v>46485</v>
          </cell>
          <cell r="Z1081">
            <v>2.2706234454949216E-2</v>
          </cell>
          <cell r="AA1081">
            <v>2.2177237465008659E-2</v>
          </cell>
        </row>
        <row r="1082">
          <cell r="Y1082">
            <v>46492</v>
          </cell>
          <cell r="Z1082">
            <v>2.2736609865462207E-2</v>
          </cell>
          <cell r="AA1082">
            <v>2.2209194762456974E-2</v>
          </cell>
        </row>
        <row r="1083">
          <cell r="Y1083">
            <v>46499</v>
          </cell>
          <cell r="Z1083">
            <v>2.2766835812922555E-2</v>
          </cell>
          <cell r="AA1083">
            <v>2.2241003842227158E-2</v>
          </cell>
        </row>
        <row r="1084">
          <cell r="Y1084">
            <v>46507</v>
          </cell>
          <cell r="Z1084">
            <v>2.279838226973864E-2</v>
          </cell>
          <cell r="AA1084">
            <v>2.2291885248675314E-2</v>
          </cell>
        </row>
        <row r="1085">
          <cell r="Y1085">
            <v>46517</v>
          </cell>
          <cell r="Z1085">
            <v>2.2846674489939014E-2</v>
          </cell>
          <cell r="AA1085">
            <v>2.2322118026556481E-2</v>
          </cell>
        </row>
        <row r="1086">
          <cell r="Y1086">
            <v>46524</v>
          </cell>
          <cell r="Z1086">
            <v>2.2876357780717404E-2</v>
          </cell>
          <cell r="AA1086">
            <v>2.2353397756882387E-2</v>
          </cell>
        </row>
        <row r="1087">
          <cell r="Y1087">
            <v>46531</v>
          </cell>
          <cell r="Z1087">
            <v>2.290589157000765E-2</v>
          </cell>
          <cell r="AA1087">
            <v>2.2384529269130482E-2</v>
          </cell>
        </row>
        <row r="1088">
          <cell r="Y1088">
            <v>46539</v>
          </cell>
          <cell r="Z1088">
            <v>2.2936687927603876E-2</v>
          </cell>
          <cell r="AA1088">
            <v>2.2419926648957755E-2</v>
          </cell>
        </row>
        <row r="1089">
          <cell r="Y1089">
            <v>46545</v>
          </cell>
          <cell r="Z1089">
            <v>2.2961744711194821E-2</v>
          </cell>
          <cell r="AA1089">
            <v>2.2446347639792918E-2</v>
          </cell>
        </row>
        <row r="1090">
          <cell r="Y1090">
            <v>46552</v>
          </cell>
          <cell r="Z1090">
            <v>2.2990838790768318E-2</v>
          </cell>
          <cell r="AA1090">
            <v>2.2477034498047388E-2</v>
          </cell>
        </row>
        <row r="1091">
          <cell r="Y1091">
            <v>46559</v>
          </cell>
          <cell r="Z1091">
            <v>2.3019783349885477E-2</v>
          </cell>
          <cell r="AA1091">
            <v>2.2507573138224046E-2</v>
          </cell>
        </row>
        <row r="1092">
          <cell r="Y1092">
            <v>46566</v>
          </cell>
          <cell r="Z1092">
            <v>2.3051317760641298E-2</v>
          </cell>
          <cell r="AA1092">
            <v>2.2537963560242957E-2</v>
          </cell>
        </row>
        <row r="1093">
          <cell r="Y1093">
            <v>46573</v>
          </cell>
          <cell r="Z1093">
            <v>2.3079954401379575E-2</v>
          </cell>
          <cell r="AA1093">
            <v>2.2568205764104121E-2</v>
          </cell>
        </row>
        <row r="1094">
          <cell r="Y1094">
            <v>46580</v>
          </cell>
          <cell r="Z1094">
            <v>2.3108441494404507E-2</v>
          </cell>
          <cell r="AA1094">
            <v>2.2598299749727602E-2</v>
          </cell>
        </row>
        <row r="1095">
          <cell r="Y1095">
            <v>46588</v>
          </cell>
          <cell r="Z1095">
            <v>2.3140815044203237E-2</v>
          </cell>
          <cell r="AA1095">
            <v>2.2632511384452769E-2</v>
          </cell>
        </row>
        <row r="1096">
          <cell r="Y1096">
            <v>46594</v>
          </cell>
          <cell r="Z1096">
            <v>2.3164967011477619E-2</v>
          </cell>
          <cell r="AA1096">
            <v>2.2658043066261513E-2</v>
          </cell>
        </row>
        <row r="1097">
          <cell r="Y1097">
            <v>46601</v>
          </cell>
          <cell r="Z1097">
            <v>2.3193005422691284E-2</v>
          </cell>
          <cell r="AA1097">
            <v>2.2687692397012071E-2</v>
          </cell>
        </row>
        <row r="1098">
          <cell r="Y1098">
            <v>46608</v>
          </cell>
          <cell r="Z1098">
            <v>2.3220894260523005E-2</v>
          </cell>
          <cell r="AA1098">
            <v>2.2717193509445011E-2</v>
          </cell>
        </row>
        <row r="1099">
          <cell r="Y1099">
            <v>46615</v>
          </cell>
          <cell r="Z1099">
            <v>2.3248633518640895E-2</v>
          </cell>
          <cell r="AA1099">
            <v>2.2746546403480394E-2</v>
          </cell>
        </row>
        <row r="1100">
          <cell r="Y1100">
            <v>46622</v>
          </cell>
          <cell r="Z1100">
            <v>2.3276223190746077E-2</v>
          </cell>
          <cell r="AA1100">
            <v>2.2775751079118223E-2</v>
          </cell>
        </row>
        <row r="1101">
          <cell r="Y1101">
            <v>46630</v>
          </cell>
          <cell r="Z1101">
            <v>2.3302254127677721E-2</v>
          </cell>
          <cell r="AA1101">
            <v>2.2808946359322846E-2</v>
          </cell>
        </row>
        <row r="1102">
          <cell r="Y1102">
            <v>46636</v>
          </cell>
          <cell r="Z1102">
            <v>2.3325652116213409E-2</v>
          </cell>
          <cell r="AA1102">
            <v>2.2833715775041341E-2</v>
          </cell>
        </row>
        <row r="1103">
          <cell r="Y1103">
            <v>46643</v>
          </cell>
          <cell r="Z1103">
            <v>2.3352810865507292E-2</v>
          </cell>
          <cell r="AA1103">
            <v>2.2862475795086823E-2</v>
          </cell>
        </row>
        <row r="1104">
          <cell r="Y1104">
            <v>46651</v>
          </cell>
          <cell r="Z1104">
            <v>2.3383666258556233E-2</v>
          </cell>
          <cell r="AA1104">
            <v>2.2895162897391685E-2</v>
          </cell>
        </row>
        <row r="1105">
          <cell r="Y1105">
            <v>46658</v>
          </cell>
          <cell r="Z1105">
            <v>2.3410504440290806E-2</v>
          </cell>
          <cell r="AA1105">
            <v>2.2923605306299777E-2</v>
          </cell>
        </row>
        <row r="1106">
          <cell r="Y1106">
            <v>46665</v>
          </cell>
          <cell r="Z1106">
            <v>2.3439807130391958E-2</v>
          </cell>
          <cell r="AA1106">
            <v>2.2951899496490569E-2</v>
          </cell>
        </row>
        <row r="1107">
          <cell r="Y1107">
            <v>46673</v>
          </cell>
          <cell r="Z1107">
            <v>2.3466337121304283E-2</v>
          </cell>
          <cell r="AA1107">
            <v>2.2984054221613093E-2</v>
          </cell>
        </row>
        <row r="1108">
          <cell r="Y1108">
            <v>46679</v>
          </cell>
          <cell r="Z1108">
            <v>2.349271748437818E-2</v>
          </cell>
          <cell r="AA1108">
            <v>2.3008043220800189E-2</v>
          </cell>
        </row>
        <row r="1109">
          <cell r="Y1109">
            <v>46686</v>
          </cell>
          <cell r="Z1109">
            <v>2.3518948213656889E-2</v>
          </cell>
          <cell r="AA1109">
            <v>2.3035892754839082E-2</v>
          </cell>
        </row>
        <row r="1110">
          <cell r="Y1110">
            <v>46693</v>
          </cell>
          <cell r="Z1110">
            <v>2.3542451114269322E-2</v>
          </cell>
          <cell r="AA1110">
            <v>2.306630560295897E-2</v>
          </cell>
        </row>
        <row r="1111">
          <cell r="Y1111">
            <v>46700</v>
          </cell>
          <cell r="Z1111">
            <v>2.3568391560634335E-2</v>
          </cell>
          <cell r="AA1111">
            <v>2.3091147166605097E-2</v>
          </cell>
        </row>
        <row r="1112">
          <cell r="Y1112">
            <v>46707</v>
          </cell>
          <cell r="Z1112">
            <v>2.359418236384829E-2</v>
          </cell>
          <cell r="AA1112">
            <v>2.3118552044252283E-2</v>
          </cell>
        </row>
        <row r="1113">
          <cell r="Y1113">
            <v>46715</v>
          </cell>
          <cell r="Z1113">
            <v>2.3623474323580355E-2</v>
          </cell>
          <cell r="AA1113">
            <v>2.3149690411816692E-2</v>
          </cell>
        </row>
        <row r="1114">
          <cell r="Y1114">
            <v>46721</v>
          </cell>
          <cell r="Z1114">
            <v>2.36478571469452E-2</v>
          </cell>
          <cell r="AA1114">
            <v>2.3172917142755267E-2</v>
          </cell>
        </row>
        <row r="1115">
          <cell r="Y1115">
            <v>46728</v>
          </cell>
          <cell r="Z1115">
            <v>2.3673189950221503E-2</v>
          </cell>
          <cell r="AA1115">
            <v>2.319987736353113E-2</v>
          </cell>
        </row>
        <row r="1116">
          <cell r="Y1116">
            <v>46735</v>
          </cell>
          <cell r="Z1116">
            <v>2.3698373078941341E-2</v>
          </cell>
          <cell r="AA1116">
            <v>2.322668936542982E-2</v>
          </cell>
        </row>
        <row r="1117">
          <cell r="Y1117">
            <v>46742</v>
          </cell>
          <cell r="Z1117">
            <v>2.3723406527417026E-2</v>
          </cell>
          <cell r="AA1117">
            <v>2.3253353148211531E-2</v>
          </cell>
        </row>
        <row r="1118">
          <cell r="Y1118">
            <v>46751</v>
          </cell>
          <cell r="Z1118">
            <v>2.3755372442329677E-2</v>
          </cell>
          <cell r="AA1118">
            <v>2.3297965834109036E-2</v>
          </cell>
        </row>
        <row r="1119">
          <cell r="Y1119">
            <v>46758</v>
          </cell>
          <cell r="Z1119">
            <v>2.3777569470959246E-2</v>
          </cell>
          <cell r="AA1119">
            <v>2.3313742359842848E-2</v>
          </cell>
        </row>
        <row r="1120">
          <cell r="Y1120">
            <v>46765</v>
          </cell>
          <cell r="Z1120">
            <v>2.3802120154056715E-2</v>
          </cell>
          <cell r="AA1120">
            <v>2.3339919137068676E-2</v>
          </cell>
        </row>
        <row r="1121">
          <cell r="Y1121">
            <v>46772</v>
          </cell>
          <cell r="Z1121">
            <v>2.3826521141501387E-2</v>
          </cell>
          <cell r="AA1121">
            <v>2.3365947695177525E-2</v>
          </cell>
        </row>
        <row r="1122">
          <cell r="Y1122">
            <v>46779</v>
          </cell>
          <cell r="Z1122">
            <v>2.3850772427811053E-2</v>
          </cell>
          <cell r="AA1122">
            <v>2.3391828034009521E-2</v>
          </cell>
        </row>
        <row r="1123">
          <cell r="Y1123">
            <v>46786</v>
          </cell>
          <cell r="Z1123">
            <v>2.3874874007538644E-2</v>
          </cell>
          <cell r="AA1123">
            <v>2.3417560153724537E-2</v>
          </cell>
        </row>
        <row r="1124">
          <cell r="Y1124">
            <v>46793</v>
          </cell>
          <cell r="Z1124">
            <v>2.3898825875269151E-2</v>
          </cell>
          <cell r="AA1124">
            <v>2.3450896231642648E-2</v>
          </cell>
        </row>
        <row r="1125">
          <cell r="Y1125">
            <v>46800</v>
          </cell>
          <cell r="Z1125">
            <v>2.3922628025622696E-2</v>
          </cell>
          <cell r="AA1125">
            <v>2.3468579735244077E-2</v>
          </cell>
        </row>
        <row r="1126">
          <cell r="Y1126">
            <v>46807</v>
          </cell>
          <cell r="Z1126">
            <v>2.3946280453251919E-2</v>
          </cell>
          <cell r="AA1126">
            <v>2.3493867197048601E-2</v>
          </cell>
        </row>
        <row r="1127">
          <cell r="Y1127">
            <v>46814</v>
          </cell>
          <cell r="Z1127">
            <v>2.3979464076372088E-2</v>
          </cell>
          <cell r="AA1127">
            <v>2.3519006439496337E-2</v>
          </cell>
        </row>
        <row r="1128">
          <cell r="Y1128">
            <v>46821</v>
          </cell>
          <cell r="Z1128">
            <v>2.4002780434918367E-2</v>
          </cell>
          <cell r="AA1128">
            <v>2.3543997462587285E-2</v>
          </cell>
        </row>
        <row r="1129">
          <cell r="Y1129">
            <v>46828</v>
          </cell>
          <cell r="Z1129">
            <v>2.4028347009269448E-2</v>
          </cell>
          <cell r="AA1129">
            <v>2.3568840266241509E-2</v>
          </cell>
        </row>
        <row r="1130">
          <cell r="Y1130">
            <v>46835</v>
          </cell>
          <cell r="Z1130">
            <v>2.4048963825263926E-2</v>
          </cell>
          <cell r="AA1130">
            <v>2.3593534850459008E-2</v>
          </cell>
        </row>
        <row r="1131">
          <cell r="Y1131">
            <v>46842</v>
          </cell>
          <cell r="Z1131">
            <v>2.4064681296193595E-2</v>
          </cell>
          <cell r="AA1131">
            <v>2.3618081215159847E-2</v>
          </cell>
        </row>
        <row r="1132">
          <cell r="Y1132">
            <v>46849</v>
          </cell>
          <cell r="Z1132">
            <v>2.4087426091465278E-2</v>
          </cell>
          <cell r="AA1132">
            <v>2.3642479360423962E-2</v>
          </cell>
        </row>
        <row r="1133">
          <cell r="Y1133">
            <v>46856</v>
          </cell>
          <cell r="Z1133">
            <v>2.4110021118613809E-2</v>
          </cell>
          <cell r="AA1133">
            <v>2.3676741351284392E-2</v>
          </cell>
        </row>
        <row r="1134">
          <cell r="Y1134">
            <v>46863</v>
          </cell>
          <cell r="Z1134">
            <v>2.4132466372535515E-2</v>
          </cell>
          <cell r="AA1134">
            <v>2.369083099224234E-2</v>
          </cell>
        </row>
        <row r="1135">
          <cell r="Y1135">
            <v>46870</v>
          </cell>
          <cell r="Z1135">
            <v>2.4154761848159918E-2</v>
          </cell>
          <cell r="AA1135">
            <v>2.3714784478796602E-2</v>
          </cell>
        </row>
        <row r="1136">
          <cell r="Y1136">
            <v>46882</v>
          </cell>
          <cell r="Z1136">
            <v>2.4191827629944075E-2</v>
          </cell>
          <cell r="AA1136">
            <v>2.375550276106253E-2</v>
          </cell>
        </row>
        <row r="1137">
          <cell r="Y1137">
            <v>46884</v>
          </cell>
          <cell r="Z1137">
            <v>2.4205887209379304E-2</v>
          </cell>
          <cell r="AA1137">
            <v>2.3762246792955466E-2</v>
          </cell>
        </row>
        <row r="1138">
          <cell r="Y1138">
            <v>46891</v>
          </cell>
          <cell r="Z1138">
            <v>2.4227705594610727E-2</v>
          </cell>
          <cell r="AA1138">
            <v>2.3785755620560067E-2</v>
          </cell>
        </row>
        <row r="1139">
          <cell r="Y1139">
            <v>46898</v>
          </cell>
          <cell r="Z1139">
            <v>2.4249374154390751E-2</v>
          </cell>
          <cell r="AA1139">
            <v>2.38091162284082E-2</v>
          </cell>
        </row>
        <row r="1140">
          <cell r="Y1140">
            <v>46905</v>
          </cell>
          <cell r="Z1140">
            <v>2.4263992376728733E-2</v>
          </cell>
          <cell r="AA1140">
            <v>2.3832328616499865E-2</v>
          </cell>
        </row>
        <row r="1141">
          <cell r="Y1141">
            <v>46912</v>
          </cell>
          <cell r="Z1141">
            <v>2.4285389077986289E-2</v>
          </cell>
          <cell r="AA1141">
            <v>2.3855392784914997E-2</v>
          </cell>
        </row>
        <row r="1142">
          <cell r="Y1142">
            <v>46919</v>
          </cell>
          <cell r="Z1142">
            <v>2.4306635966401497E-2</v>
          </cell>
          <cell r="AA1142">
            <v>2.3878308733493725E-2</v>
          </cell>
        </row>
        <row r="1143">
          <cell r="Y1143">
            <v>46926</v>
          </cell>
          <cell r="Z1143">
            <v>2.4327733037173383E-2</v>
          </cell>
          <cell r="AA1143">
            <v>2.3901076462236048E-2</v>
          </cell>
        </row>
        <row r="1144">
          <cell r="Y1144">
            <v>46933</v>
          </cell>
          <cell r="Z1144">
            <v>2.4348680285537241E-2</v>
          </cell>
          <cell r="AA1144">
            <v>2.3923695971141967E-2</v>
          </cell>
        </row>
        <row r="1145">
          <cell r="Y1145">
            <v>46940</v>
          </cell>
          <cell r="Z1145">
            <v>2.4378491053600185E-2</v>
          </cell>
          <cell r="AA1145">
            <v>2.3946167260131546E-2</v>
          </cell>
        </row>
        <row r="1146">
          <cell r="Y1146">
            <v>46947</v>
          </cell>
          <cell r="Z1146">
            <v>2.4396858546631997E-2</v>
          </cell>
          <cell r="AA1146">
            <v>2.3968490329204784E-2</v>
          </cell>
        </row>
        <row r="1147">
          <cell r="Y1147">
            <v>46954</v>
          </cell>
          <cell r="Z1147">
            <v>2.4417328326582211E-2</v>
          </cell>
          <cell r="AA1147">
            <v>2.3990665178361681E-2</v>
          </cell>
        </row>
        <row r="1148">
          <cell r="Y1148">
            <v>46961</v>
          </cell>
          <cell r="Z1148">
            <v>2.4437648237541656E-2</v>
          </cell>
          <cell r="AA1148">
            <v>2.4012691807522302E-2</v>
          </cell>
        </row>
        <row r="1149">
          <cell r="Y1149">
            <v>46968</v>
          </cell>
          <cell r="Z1149">
            <v>2.445781827484439E-2</v>
          </cell>
          <cell r="AA1149">
            <v>2.4034570216686646E-2</v>
          </cell>
        </row>
        <row r="1150">
          <cell r="Y1150">
            <v>46975</v>
          </cell>
          <cell r="Z1150">
            <v>2.4480043904774047E-2</v>
          </cell>
          <cell r="AA1150">
            <v>2.4056300405854714E-2</v>
          </cell>
        </row>
        <row r="1151">
          <cell r="Y1151">
            <v>46982</v>
          </cell>
          <cell r="Z1151">
            <v>2.449770870998914E-2</v>
          </cell>
          <cell r="AA1151">
            <v>2.4077882375026505E-2</v>
          </cell>
        </row>
        <row r="1152">
          <cell r="Y1152">
            <v>46989</v>
          </cell>
          <cell r="Z1152">
            <v>2.4517429098670315E-2</v>
          </cell>
          <cell r="AA1152">
            <v>2.4099316124122083E-2</v>
          </cell>
        </row>
        <row r="1153">
          <cell r="Y1153">
            <v>46996</v>
          </cell>
          <cell r="Z1153">
            <v>2.4526100842033962E-2</v>
          </cell>
          <cell r="AA1153">
            <v>2.4120601653061513E-2</v>
          </cell>
        </row>
        <row r="1154">
          <cell r="Y1154">
            <v>47003</v>
          </cell>
          <cell r="Z1154">
            <v>2.4545568384971652E-2</v>
          </cell>
          <cell r="AA1154">
            <v>2.414173896192473E-2</v>
          </cell>
        </row>
        <row r="1155">
          <cell r="Y1155">
            <v>47010</v>
          </cell>
          <cell r="Z1155">
            <v>2.4564886074170643E-2</v>
          </cell>
          <cell r="AA1155">
            <v>2.4162728050551863E-2</v>
          </cell>
        </row>
        <row r="1156">
          <cell r="Y1156">
            <v>47017</v>
          </cell>
          <cell r="Z1156">
            <v>2.4584053905315713E-2</v>
          </cell>
          <cell r="AA1156">
            <v>2.4190451504364496E-2</v>
          </cell>
        </row>
        <row r="1157">
          <cell r="Y1157">
            <v>47024</v>
          </cell>
          <cell r="Z1157">
            <v>2.4603071874123434E-2</v>
          </cell>
          <cell r="AA1157">
            <v>2.4204261567417618E-2</v>
          </cell>
        </row>
        <row r="1158">
          <cell r="Y1158">
            <v>47031</v>
          </cell>
          <cell r="Z1158">
            <v>2.4624074301684881E-2</v>
          </cell>
          <cell r="AA1158">
            <v>2.4224805995416432E-2</v>
          </cell>
        </row>
        <row r="1159">
          <cell r="Y1159">
            <v>47038</v>
          </cell>
          <cell r="Z1159">
            <v>2.46427830996757E-2</v>
          </cell>
          <cell r="AA1159">
            <v>2.4245202203259097E-2</v>
          </cell>
        </row>
        <row r="1160">
          <cell r="Y1160">
            <v>47045</v>
          </cell>
          <cell r="Z1160">
            <v>2.4661342013142386E-2</v>
          </cell>
          <cell r="AA1160">
            <v>2.4265450190865678E-2</v>
          </cell>
        </row>
        <row r="1161">
          <cell r="Y1161">
            <v>47052</v>
          </cell>
          <cell r="Z1161">
            <v>2.4679751037914206E-2</v>
          </cell>
          <cell r="AA1161">
            <v>2.4285549958076302E-2</v>
          </cell>
        </row>
        <row r="1162">
          <cell r="Y1162">
            <v>47059</v>
          </cell>
          <cell r="Z1162">
            <v>2.4695913635524428E-2</v>
          </cell>
          <cell r="AA1162">
            <v>2.4312218123891949E-2</v>
          </cell>
        </row>
        <row r="1163">
          <cell r="Y1163">
            <v>47066</v>
          </cell>
          <cell r="Z1163">
            <v>2.4714032342231344E-2</v>
          </cell>
          <cell r="AA1163">
            <v>2.4325304831629424E-2</v>
          </cell>
        </row>
        <row r="1164">
          <cell r="Y1164">
            <v>47073</v>
          </cell>
          <cell r="Z1164">
            <v>2.4732001157554535E-2</v>
          </cell>
          <cell r="AA1164">
            <v>2.4344959937732114E-2</v>
          </cell>
        </row>
        <row r="1165">
          <cell r="Y1165">
            <v>47081</v>
          </cell>
          <cell r="Z1165">
            <v>2.4752353400876337E-2</v>
          </cell>
          <cell r="AA1165">
            <v>2.4371661739435169E-2</v>
          </cell>
        </row>
        <row r="1166">
          <cell r="Y1166">
            <v>47087</v>
          </cell>
          <cell r="Z1166">
            <v>2.4769547687754481E-2</v>
          </cell>
          <cell r="AA1166">
            <v>2.4383825488829558E-2</v>
          </cell>
        </row>
        <row r="1167">
          <cell r="Y1167">
            <v>47094</v>
          </cell>
          <cell r="Z1167">
            <v>2.478705729466919E-2</v>
          </cell>
          <cell r="AA1167">
            <v>2.4403035933744377E-2</v>
          </cell>
        </row>
        <row r="1168">
          <cell r="Y1168">
            <v>47101</v>
          </cell>
          <cell r="Z1168">
            <v>2.4804417011172166E-2</v>
          </cell>
          <cell r="AA1168">
            <v>2.4422098158183303E-2</v>
          </cell>
        </row>
        <row r="1169">
          <cell r="Y1169">
            <v>47108</v>
          </cell>
          <cell r="Z1169">
            <v>2.4821627736405272E-2</v>
          </cell>
          <cell r="AA1169">
            <v>2.44410121620664E-2</v>
          </cell>
        </row>
        <row r="1170">
          <cell r="Y1170">
            <v>47116</v>
          </cell>
          <cell r="Z1170">
            <v>2.4841117210636667E-2</v>
          </cell>
          <cell r="AA1170">
            <v>2.4473259115120882E-2</v>
          </cell>
        </row>
        <row r="1171">
          <cell r="Y1171">
            <v>47127</v>
          </cell>
          <cell r="Z1171">
            <v>2.4865600805117315E-2</v>
          </cell>
          <cell r="AA1171">
            <v>2.4491603020289077E-2</v>
          </cell>
        </row>
        <row r="1172">
          <cell r="Y1172">
            <v>47133</v>
          </cell>
          <cell r="Z1172">
            <v>2.4883907003828025E-2</v>
          </cell>
          <cell r="AA1172">
            <v>2.4507352212559397E-2</v>
          </cell>
        </row>
        <row r="1173">
          <cell r="Y1173">
            <v>47140</v>
          </cell>
          <cell r="Z1173">
            <v>2.4898463485415603E-2</v>
          </cell>
          <cell r="AA1173">
            <v>2.4525588636770124E-2</v>
          </cell>
        </row>
        <row r="1174">
          <cell r="Y1174">
            <v>47147</v>
          </cell>
          <cell r="Z1174">
            <v>2.4914880718678558E-2</v>
          </cell>
          <cell r="AA1174">
            <v>2.4543676840345086E-2</v>
          </cell>
        </row>
        <row r="1175">
          <cell r="Y1175">
            <v>47154</v>
          </cell>
          <cell r="Z1175">
            <v>2.4931162163642225E-2</v>
          </cell>
          <cell r="AA1175">
            <v>2.4561616823364218E-2</v>
          </cell>
        </row>
        <row r="1176">
          <cell r="Y1176">
            <v>47162</v>
          </cell>
          <cell r="Z1176">
            <v>2.4947639114624342E-2</v>
          </cell>
          <cell r="AA1176">
            <v>2.458193816621268E-2</v>
          </cell>
        </row>
        <row r="1177">
          <cell r="Y1177">
            <v>47168</v>
          </cell>
          <cell r="Z1177">
            <v>2.4963325765089039E-2</v>
          </cell>
          <cell r="AA1177">
            <v>2.4597052127095509E-2</v>
          </cell>
        </row>
        <row r="1178">
          <cell r="Y1178">
            <v>47175</v>
          </cell>
          <cell r="Z1178">
            <v>2.4981164640400972E-2</v>
          </cell>
          <cell r="AA1178">
            <v>2.4614547448047475E-2</v>
          </cell>
        </row>
        <row r="1179">
          <cell r="Y1179">
            <v>47182</v>
          </cell>
          <cell r="Z1179">
            <v>2.4998861212441398E-2</v>
          </cell>
          <cell r="AA1179">
            <v>2.4631894548203803E-2</v>
          </cell>
        </row>
        <row r="1180">
          <cell r="Y1180">
            <v>47189</v>
          </cell>
          <cell r="Z1180">
            <v>2.5014480243876567E-2</v>
          </cell>
          <cell r="AA1180">
            <v>2.4649093427564495E-2</v>
          </cell>
        </row>
        <row r="1181">
          <cell r="Y1181">
            <v>47196</v>
          </cell>
          <cell r="Z1181">
            <v>2.502997587255372E-2</v>
          </cell>
          <cell r="AA1181">
            <v>2.4668201049449223E-2</v>
          </cell>
        </row>
        <row r="1182">
          <cell r="Y1182">
            <v>47203</v>
          </cell>
          <cell r="Z1182">
            <v>2.5045350096360372E-2</v>
          </cell>
          <cell r="AA1182">
            <v>2.4683046523898966E-2</v>
          </cell>
        </row>
        <row r="1183">
          <cell r="Y1183">
            <v>47212</v>
          </cell>
          <cell r="Z1183">
            <v>2.5063025238401274E-2</v>
          </cell>
          <cell r="AA1183">
            <v>2.4704560435830913E-2</v>
          </cell>
        </row>
        <row r="1184">
          <cell r="Y1184">
            <v>47217</v>
          </cell>
          <cell r="Z1184">
            <v>2.5073830343697891E-2</v>
          </cell>
          <cell r="AA1184">
            <v>2.4716406737050889E-2</v>
          </cell>
        </row>
        <row r="1185">
          <cell r="Y1185">
            <v>47224</v>
          </cell>
          <cell r="Z1185">
            <v>2.5088858653774491E-2</v>
          </cell>
          <cell r="AA1185">
            <v>2.4732864512353459E-2</v>
          </cell>
        </row>
        <row r="1186">
          <cell r="Y1186">
            <v>47231</v>
          </cell>
          <cell r="Z1186">
            <v>2.5103773471316378E-2</v>
          </cell>
          <cell r="AA1186">
            <v>2.4749174066780455E-2</v>
          </cell>
        </row>
        <row r="1187">
          <cell r="Y1187">
            <v>47239</v>
          </cell>
          <cell r="Z1187">
            <v>2.5122574977317288E-2</v>
          </cell>
          <cell r="AA1187">
            <v>2.4767632062552281E-2</v>
          </cell>
        </row>
        <row r="1188">
          <cell r="Y1188">
            <v>47248</v>
          </cell>
          <cell r="Z1188">
            <v>2.5145187254957884E-2</v>
          </cell>
          <cell r="AA1188">
            <v>2.4788165901581394E-2</v>
          </cell>
        </row>
        <row r="1189">
          <cell r="Y1189">
            <v>47255</v>
          </cell>
          <cell r="Z1189">
            <v>2.5159710088300678E-2</v>
          </cell>
          <cell r="AA1189">
            <v>2.4803967269955152E-2</v>
          </cell>
        </row>
        <row r="1190">
          <cell r="Y1190">
            <v>47262</v>
          </cell>
          <cell r="Z1190">
            <v>2.5174128422531739E-2</v>
          </cell>
          <cell r="AA1190">
            <v>2.48196204173734E-2</v>
          </cell>
        </row>
        <row r="1191">
          <cell r="Y1191">
            <v>47269</v>
          </cell>
          <cell r="Z1191">
            <v>2.5182846105844793E-2</v>
          </cell>
          <cell r="AA1191">
            <v>2.483512534383614E-2</v>
          </cell>
        </row>
        <row r="1192">
          <cell r="Y1192">
            <v>47276</v>
          </cell>
          <cell r="Z1192">
            <v>2.5197079304352239E-2</v>
          </cell>
          <cell r="AA1192">
            <v>2.4850482049263434E-2</v>
          </cell>
        </row>
        <row r="1193">
          <cell r="Y1193">
            <v>47283</v>
          </cell>
          <cell r="Z1193">
            <v>2.5211213910536309E-2</v>
          </cell>
          <cell r="AA1193">
            <v>2.4865697069067494E-2</v>
          </cell>
        </row>
        <row r="1194">
          <cell r="Y1194">
            <v>47290</v>
          </cell>
          <cell r="Z1194">
            <v>2.5225251035707826E-2</v>
          </cell>
          <cell r="AA1194">
            <v>2.4880809263363446E-2</v>
          </cell>
        </row>
        <row r="1195">
          <cell r="Y1195">
            <v>47297</v>
          </cell>
          <cell r="Z1195">
            <v>2.5239190740367033E-2</v>
          </cell>
          <cell r="AA1195">
            <v>2.4895825167563501E-2</v>
          </cell>
        </row>
        <row r="1196">
          <cell r="Y1196">
            <v>47304</v>
          </cell>
          <cell r="Z1196">
            <v>2.5258541386618375E-2</v>
          </cell>
          <cell r="AA1196">
            <v>2.4910744781587724E-2</v>
          </cell>
        </row>
        <row r="1197">
          <cell r="Y1197">
            <v>47311</v>
          </cell>
          <cell r="Z1197">
            <v>2.5274097377044467E-2</v>
          </cell>
          <cell r="AA1197">
            <v>2.4925568105436113E-2</v>
          </cell>
        </row>
        <row r="1198">
          <cell r="Y1198">
            <v>47318</v>
          </cell>
          <cell r="Z1198">
            <v>2.5285897642809453E-2</v>
          </cell>
          <cell r="AA1198">
            <v>2.4940295139268542E-2</v>
          </cell>
        </row>
        <row r="1199">
          <cell r="Y1199">
            <v>47325</v>
          </cell>
          <cell r="Z1199">
            <v>2.5299429600048065E-2</v>
          </cell>
          <cell r="AA1199">
            <v>2.4954925882845203E-2</v>
          </cell>
        </row>
        <row r="1200">
          <cell r="Y1200">
            <v>47332</v>
          </cell>
          <cell r="Z1200">
            <v>2.5312864107352107E-2</v>
          </cell>
          <cell r="AA1200">
            <v>2.4969460336325966E-2</v>
          </cell>
        </row>
        <row r="1201">
          <cell r="Y1201">
            <v>47339</v>
          </cell>
          <cell r="Z1201">
            <v>2.5328006222338547E-2</v>
          </cell>
          <cell r="AA1201">
            <v>2.4983898499550961E-2</v>
          </cell>
        </row>
        <row r="1202">
          <cell r="Y1202">
            <v>47346</v>
          </cell>
          <cell r="Z1202">
            <v>2.5339440764152982E-2</v>
          </cell>
          <cell r="AA1202">
            <v>2.4998240372600122E-2</v>
          </cell>
        </row>
        <row r="1203">
          <cell r="Y1203">
            <v>47353</v>
          </cell>
          <cell r="Z1203">
            <v>2.5352582909685239E-2</v>
          </cell>
          <cell r="AA1203">
            <v>2.5012485955393515E-2</v>
          </cell>
        </row>
        <row r="1204">
          <cell r="Y1204">
            <v>47360</v>
          </cell>
          <cell r="Z1204">
            <v>2.5358474911331665E-2</v>
          </cell>
          <cell r="AA1204">
            <v>2.5026635248011075E-2</v>
          </cell>
        </row>
        <row r="1205">
          <cell r="Y1205">
            <v>47367</v>
          </cell>
          <cell r="Z1205">
            <v>2.536966299356146E-2</v>
          </cell>
          <cell r="AA1205">
            <v>2.5040688250452803E-2</v>
          </cell>
        </row>
        <row r="1206">
          <cell r="Y1206">
            <v>47374</v>
          </cell>
          <cell r="Z1206">
            <v>2.5382543057060308E-2</v>
          </cell>
          <cell r="AA1206">
            <v>2.5054644962558825E-2</v>
          </cell>
        </row>
        <row r="1207">
          <cell r="Y1207">
            <v>47381</v>
          </cell>
          <cell r="Z1207">
            <v>2.5397096926677545E-2</v>
          </cell>
          <cell r="AA1207">
            <v>2.5068505384489015E-2</v>
          </cell>
        </row>
        <row r="1208">
          <cell r="Y1208">
            <v>47388</v>
          </cell>
          <cell r="Z1208">
            <v>2.5408010888883423E-2</v>
          </cell>
          <cell r="AA1208">
            <v>2.5082269516163436E-2</v>
          </cell>
        </row>
        <row r="1209">
          <cell r="Y1209">
            <v>47395</v>
          </cell>
          <cell r="Z1209">
            <v>2.5422357742646205E-2</v>
          </cell>
          <cell r="AA1209">
            <v>2.5095937357502152E-2</v>
          </cell>
        </row>
        <row r="1210">
          <cell r="Y1210">
            <v>47402</v>
          </cell>
          <cell r="Z1210">
            <v>2.5434841986798944E-2</v>
          </cell>
          <cell r="AA1210">
            <v>2.5109508908585099E-2</v>
          </cell>
        </row>
        <row r="1211">
          <cell r="Y1211">
            <v>47409</v>
          </cell>
          <cell r="Z1211">
            <v>2.5447228785962023E-2</v>
          </cell>
          <cell r="AA1211">
            <v>2.5122984169412277E-2</v>
          </cell>
        </row>
        <row r="1212">
          <cell r="Y1212">
            <v>47416</v>
          </cell>
          <cell r="Z1212">
            <v>2.5459518138327222E-2</v>
          </cell>
          <cell r="AA1212">
            <v>2.513636313990375E-2</v>
          </cell>
        </row>
        <row r="1213">
          <cell r="Y1213">
            <v>47423</v>
          </cell>
          <cell r="Z1213">
            <v>2.5469975327632104E-2</v>
          </cell>
          <cell r="AA1213">
            <v>2.5149645820059519E-2</v>
          </cell>
        </row>
        <row r="1214">
          <cell r="Y1214">
            <v>47430</v>
          </cell>
          <cell r="Z1214">
            <v>2.5482075891105762E-2</v>
          </cell>
          <cell r="AA1214">
            <v>2.5162832209879582E-2</v>
          </cell>
        </row>
        <row r="1215">
          <cell r="Y1215">
            <v>47437</v>
          </cell>
          <cell r="Z1215">
            <v>2.5494079009021498E-2</v>
          </cell>
          <cell r="AA1215">
            <v>2.5175922309363941E-2</v>
          </cell>
        </row>
        <row r="1216">
          <cell r="Y1216">
            <v>47444</v>
          </cell>
          <cell r="Z1216">
            <v>2.5505984679637061E-2</v>
          </cell>
          <cell r="AA1216">
            <v>2.5194331128333136E-2</v>
          </cell>
        </row>
        <row r="1217">
          <cell r="Y1217">
            <v>47451</v>
          </cell>
          <cell r="Z1217">
            <v>2.5517792901223007E-2</v>
          </cell>
          <cell r="AA1217">
            <v>2.5201813637325543E-2</v>
          </cell>
        </row>
        <row r="1218">
          <cell r="Y1218">
            <v>47458</v>
          </cell>
          <cell r="Z1218">
            <v>2.5531207770291209E-2</v>
          </cell>
          <cell r="AA1218">
            <v>2.5214614865802787E-2</v>
          </cell>
        </row>
        <row r="1219">
          <cell r="Y1219">
            <v>47465</v>
          </cell>
          <cell r="Z1219">
            <v>2.5542814945632087E-2</v>
          </cell>
          <cell r="AA1219">
            <v>2.5227319803784454E-2</v>
          </cell>
        </row>
        <row r="1220">
          <cell r="Y1220">
            <v>47472</v>
          </cell>
          <cell r="Z1220">
            <v>2.5554324660220527E-2</v>
          </cell>
          <cell r="AA1220">
            <v>2.5239928451510352E-2</v>
          </cell>
        </row>
        <row r="1221">
          <cell r="Y1221">
            <v>47487</v>
          </cell>
          <cell r="Z1221">
            <v>2.557698153711296E-2</v>
          </cell>
          <cell r="AA1221">
            <v>2.527015961073964E-2</v>
          </cell>
        </row>
        <row r="1222">
          <cell r="Y1222">
            <v>47491</v>
          </cell>
          <cell r="Z1222">
            <v>2.5583398939036415E-2</v>
          </cell>
          <cell r="AA1222">
            <v>2.5273666541432149E-2</v>
          </cell>
        </row>
        <row r="1223">
          <cell r="Y1223">
            <v>47499</v>
          </cell>
          <cell r="Z1223">
            <v>2.5596221721994307E-2</v>
          </cell>
          <cell r="AA1223">
            <v>2.5287659821087161E-2</v>
          </cell>
        </row>
        <row r="1224">
          <cell r="Y1224">
            <v>47505</v>
          </cell>
          <cell r="Z1224">
            <v>2.560560923166335E-2</v>
          </cell>
          <cell r="AA1224">
            <v>2.5298072246089376E-2</v>
          </cell>
        </row>
        <row r="1225">
          <cell r="Y1225">
            <v>47512</v>
          </cell>
          <cell r="Z1225">
            <v>2.5616568183538382E-2</v>
          </cell>
          <cell r="AA1225">
            <v>2.5310130662834496E-2</v>
          </cell>
        </row>
        <row r="1226">
          <cell r="Y1226">
            <v>47519</v>
          </cell>
          <cell r="Z1226">
            <v>2.5627429670327249E-2</v>
          </cell>
          <cell r="AA1226">
            <v>2.5322092789004103E-2</v>
          </cell>
        </row>
        <row r="1227">
          <cell r="Y1227">
            <v>47527</v>
          </cell>
          <cell r="Z1227">
            <v>2.5638193690453309E-2</v>
          </cell>
          <cell r="AA1227">
            <v>2.533564588365067E-2</v>
          </cell>
        </row>
        <row r="1228">
          <cell r="Y1228">
            <v>47533</v>
          </cell>
          <cell r="Z1228">
            <v>2.5648860242354497E-2</v>
          </cell>
          <cell r="AA1228">
            <v>2.5345728170016457E-2</v>
          </cell>
        </row>
        <row r="1229">
          <cell r="Y1229">
            <v>47540</v>
          </cell>
          <cell r="Z1229">
            <v>2.5661061043914243E-2</v>
          </cell>
          <cell r="AA1229">
            <v>2.5357401424779269E-2</v>
          </cell>
        </row>
        <row r="1230">
          <cell r="Y1230">
            <v>47547</v>
          </cell>
          <cell r="Z1230">
            <v>2.5674775873069586E-2</v>
          </cell>
          <cell r="AA1230">
            <v>2.536897838912644E-2</v>
          </cell>
        </row>
        <row r="1231">
          <cell r="Y1231">
            <v>47554</v>
          </cell>
          <cell r="Z1231">
            <v>2.5685131324771376E-2</v>
          </cell>
          <cell r="AA1231">
            <v>2.5380459062898097E-2</v>
          </cell>
        </row>
        <row r="1232">
          <cell r="Y1232">
            <v>47561</v>
          </cell>
          <cell r="Z1232">
            <v>2.5695389281963743E-2</v>
          </cell>
          <cell r="AA1232">
            <v>2.5393548223373585E-2</v>
          </cell>
        </row>
        <row r="1233">
          <cell r="Y1233">
            <v>47568</v>
          </cell>
          <cell r="Z1233">
            <v>2.5705549743133986E-2</v>
          </cell>
          <cell r="AA1233">
            <v>2.5403131538874746E-2</v>
          </cell>
        </row>
        <row r="1234">
          <cell r="Y1234">
            <v>47575</v>
          </cell>
          <cell r="Z1234">
            <v>2.5714013205643281E-2</v>
          </cell>
          <cell r="AA1234">
            <v>2.5414323341159673E-2</v>
          </cell>
        </row>
        <row r="1235">
          <cell r="Y1235">
            <v>47582</v>
          </cell>
          <cell r="Z1235">
            <v>2.5723984926894407E-2</v>
          </cell>
          <cell r="AA1235">
            <v>2.542541885278915E-2</v>
          </cell>
        </row>
        <row r="1236">
          <cell r="Y1236">
            <v>47589</v>
          </cell>
          <cell r="Z1236">
            <v>2.5733859154420967E-2</v>
          </cell>
          <cell r="AA1236">
            <v>2.5436418073923051E-2</v>
          </cell>
        </row>
        <row r="1237">
          <cell r="Y1237">
            <v>47598</v>
          </cell>
          <cell r="Z1237">
            <v>2.5746411331396601E-2</v>
          </cell>
          <cell r="AA1237">
            <v>2.5450418441508305E-2</v>
          </cell>
        </row>
        <row r="1238">
          <cell r="Y1238">
            <v>47605</v>
          </cell>
          <cell r="Z1238">
            <v>2.5762350107542575E-2</v>
          </cell>
          <cell r="AA1238">
            <v>2.5467860304694057E-2</v>
          </cell>
        </row>
        <row r="1239">
          <cell r="Y1239">
            <v>47612</v>
          </cell>
          <cell r="Z1239">
            <v>2.5770314070038158E-2</v>
          </cell>
          <cell r="AA1239">
            <v>2.5471880407792469E-2</v>
          </cell>
        </row>
        <row r="1240">
          <cell r="Y1240">
            <v>47619</v>
          </cell>
          <cell r="Z1240">
            <v>2.5779751571143494E-2</v>
          </cell>
          <cell r="AA1240">
            <v>2.5482466955031313E-2</v>
          </cell>
        </row>
        <row r="1241">
          <cell r="Y1241">
            <v>47626</v>
          </cell>
          <cell r="Z1241">
            <v>2.5789091550647281E-2</v>
          </cell>
          <cell r="AA1241">
            <v>2.5492957211694645E-2</v>
          </cell>
        </row>
        <row r="1242">
          <cell r="Y1242">
            <v>47633</v>
          </cell>
          <cell r="Z1242">
            <v>2.5793693229642874E-2</v>
          </cell>
          <cell r="AA1242">
            <v>2.5503351177782463E-2</v>
          </cell>
        </row>
        <row r="1243">
          <cell r="Y1243">
            <v>47640</v>
          </cell>
          <cell r="Z1243">
            <v>2.5802857102899163E-2</v>
          </cell>
          <cell r="AA1243">
            <v>2.5513648853134896E-2</v>
          </cell>
        </row>
        <row r="1244">
          <cell r="Y1244">
            <v>47647</v>
          </cell>
          <cell r="Z1244">
            <v>2.5811923470851074E-2</v>
          </cell>
          <cell r="AA1244">
            <v>2.5523850237991752E-2</v>
          </cell>
        </row>
        <row r="1245">
          <cell r="Y1245">
            <v>47654</v>
          </cell>
          <cell r="Z1245">
            <v>2.5820892332168527E-2</v>
          </cell>
          <cell r="AA1245">
            <v>2.5533955332193159E-2</v>
          </cell>
        </row>
        <row r="1246">
          <cell r="Y1246">
            <v>47661</v>
          </cell>
          <cell r="Z1246">
            <v>2.58297636855341E-2</v>
          </cell>
          <cell r="AA1246">
            <v>2.5543964135819053E-2</v>
          </cell>
        </row>
        <row r="1247">
          <cell r="Y1247">
            <v>47668</v>
          </cell>
          <cell r="Z1247">
            <v>2.5843083397017408E-2</v>
          </cell>
          <cell r="AA1247">
            <v>2.5553876648709561E-2</v>
          </cell>
        </row>
        <row r="1248">
          <cell r="Y1248">
            <v>47675</v>
          </cell>
          <cell r="Z1248">
            <v>2.5853248556073731E-2</v>
          </cell>
          <cell r="AA1248">
            <v>2.5563692870944621E-2</v>
          </cell>
        </row>
        <row r="1249">
          <cell r="Y1249">
            <v>47682</v>
          </cell>
          <cell r="Z1249">
            <v>2.5860300444847838E-2</v>
          </cell>
          <cell r="AA1249">
            <v>2.5573412802604167E-2</v>
          </cell>
        </row>
        <row r="1250">
          <cell r="Y1250">
            <v>47689</v>
          </cell>
          <cell r="Z1250">
            <v>2.5868762668970986E-2</v>
          </cell>
          <cell r="AA1250">
            <v>2.5583036443528329E-2</v>
          </cell>
        </row>
        <row r="1251">
          <cell r="Y1251">
            <v>47696</v>
          </cell>
          <cell r="Z1251">
            <v>2.5877127358210312E-2</v>
          </cell>
          <cell r="AA1251">
            <v>2.5592563793797041E-2</v>
          </cell>
        </row>
        <row r="1252">
          <cell r="Y1252">
            <v>47703</v>
          </cell>
          <cell r="Z1252">
            <v>2.5885394511318206E-2</v>
          </cell>
          <cell r="AA1252">
            <v>2.5601994853330368E-2</v>
          </cell>
        </row>
        <row r="1253">
          <cell r="Y1253">
            <v>47710</v>
          </cell>
          <cell r="Z1253">
            <v>2.5893564127060391E-2</v>
          </cell>
          <cell r="AA1253">
            <v>2.5611329622208245E-2</v>
          </cell>
        </row>
        <row r="1254">
          <cell r="Y1254">
            <v>47717</v>
          </cell>
          <cell r="Z1254">
            <v>2.5901636204218911E-2</v>
          </cell>
          <cell r="AA1254">
            <v>2.5620568100430674E-2</v>
          </cell>
        </row>
        <row r="1255">
          <cell r="Y1255">
            <v>47724</v>
          </cell>
          <cell r="Z1255">
            <v>2.5905217797831375E-2</v>
          </cell>
          <cell r="AA1255">
            <v>2.5629710287917717E-2</v>
          </cell>
        </row>
        <row r="1256">
          <cell r="Y1256">
            <v>47731</v>
          </cell>
          <cell r="Z1256">
            <v>2.5910195461787838E-2</v>
          </cell>
          <cell r="AA1256">
            <v>2.5638756184669376E-2</v>
          </cell>
        </row>
        <row r="1257">
          <cell r="Y1257">
            <v>47738</v>
          </cell>
          <cell r="Z1257">
            <v>2.5918006959407634E-2</v>
          </cell>
          <cell r="AA1257">
            <v>2.5647705790685649E-2</v>
          </cell>
        </row>
        <row r="1258">
          <cell r="Y1258">
            <v>47745</v>
          </cell>
          <cell r="Z1258">
            <v>2.5925720948171634E-2</v>
          </cell>
          <cell r="AA1258">
            <v>2.5656559106126409E-2</v>
          </cell>
        </row>
        <row r="1259">
          <cell r="Y1259">
            <v>47752</v>
          </cell>
          <cell r="Z1259">
            <v>2.5933337426958084E-2</v>
          </cell>
          <cell r="AA1259">
            <v>2.5665316130671911E-2</v>
          </cell>
        </row>
        <row r="1260">
          <cell r="Y1260">
            <v>47759</v>
          </cell>
          <cell r="Z1260">
            <v>2.5942290268037075E-2</v>
          </cell>
          <cell r="AA1260">
            <v>2.5673976864561965E-2</v>
          </cell>
        </row>
        <row r="1261">
          <cell r="Y1261">
            <v>47766</v>
          </cell>
          <cell r="Z1261">
            <v>2.5949705289182744E-2</v>
          </cell>
          <cell r="AA1261">
            <v>2.5682541307636697E-2</v>
          </cell>
        </row>
        <row r="1262">
          <cell r="Y1262">
            <v>47773</v>
          </cell>
          <cell r="Z1262">
            <v>2.5957022790166793E-2</v>
          </cell>
          <cell r="AA1262">
            <v>2.5691009459976044E-2</v>
          </cell>
        </row>
        <row r="1263">
          <cell r="Y1263">
            <v>47780</v>
          </cell>
          <cell r="Z1263">
            <v>2.5964242769920192E-2</v>
          </cell>
          <cell r="AA1263">
            <v>2.5699381321580006E-2</v>
          </cell>
        </row>
        <row r="1264">
          <cell r="Y1264">
            <v>47787</v>
          </cell>
          <cell r="Z1264">
            <v>2.5969957133029558E-2</v>
          </cell>
          <cell r="AA1264">
            <v>2.5707656892368647E-2</v>
          </cell>
        </row>
        <row r="1265">
          <cell r="Y1265">
            <v>47794</v>
          </cell>
          <cell r="Z1265">
            <v>2.597698852922678E-2</v>
          </cell>
          <cell r="AA1265">
            <v>2.5715836172421902E-2</v>
          </cell>
        </row>
        <row r="1266">
          <cell r="Y1266">
            <v>47801</v>
          </cell>
          <cell r="Z1266">
            <v>2.5983922408002239E-2</v>
          </cell>
          <cell r="AA1266">
            <v>2.5723919161659836E-2</v>
          </cell>
        </row>
        <row r="1267">
          <cell r="Y1267">
            <v>47808</v>
          </cell>
          <cell r="Z1267">
            <v>2.5990758768349009E-2</v>
          </cell>
          <cell r="AA1267">
            <v>2.5731905860162385E-2</v>
          </cell>
        </row>
        <row r="1268">
          <cell r="Y1268">
            <v>47815</v>
          </cell>
          <cell r="Z1268">
            <v>2.599749760927517E-2</v>
          </cell>
          <cell r="AA1268">
            <v>2.5739796267849613E-2</v>
          </cell>
        </row>
        <row r="1269">
          <cell r="Y1269">
            <v>47822</v>
          </cell>
          <cell r="Z1269">
            <v>2.6005514644563334E-2</v>
          </cell>
          <cell r="AA1269">
            <v>2.5747590384801455E-2</v>
          </cell>
        </row>
        <row r="1270">
          <cell r="Y1270">
            <v>47829</v>
          </cell>
          <cell r="Z1270">
            <v>2.601205194698273E-2</v>
          </cell>
          <cell r="AA1270">
            <v>2.5755288210858041E-2</v>
          </cell>
        </row>
        <row r="1271">
          <cell r="Y1271">
            <v>47836</v>
          </cell>
          <cell r="Z1271">
            <v>2.6018491720137024E-2</v>
          </cell>
          <cell r="AA1271">
            <v>2.5762889746099304E-2</v>
          </cell>
        </row>
        <row r="1272">
          <cell r="Y1272">
            <v>47847</v>
          </cell>
          <cell r="Z1272">
            <v>2.6028414312482605E-2</v>
          </cell>
          <cell r="AA1272">
            <v>2.5783338132888849E-2</v>
          </cell>
        </row>
        <row r="1273">
          <cell r="Y1273">
            <v>47856</v>
          </cell>
          <cell r="Z1273">
            <v>2.6035009563516797E-2</v>
          </cell>
          <cell r="AA1273">
            <v>2.5784077836181751E-2</v>
          </cell>
        </row>
        <row r="1274">
          <cell r="Y1274">
            <v>47864</v>
          </cell>
          <cell r="Z1274">
            <v>2.6041938871551564E-2</v>
          </cell>
          <cell r="AA1274">
            <v>2.5792332978831212E-2</v>
          </cell>
        </row>
        <row r="1275">
          <cell r="Y1275">
            <v>47871</v>
          </cell>
          <cell r="Z1275">
            <v>2.604789752306896E-2</v>
          </cell>
          <cell r="AA1275">
            <v>2.5799453059915933E-2</v>
          </cell>
        </row>
        <row r="1276">
          <cell r="Y1276">
            <v>47878</v>
          </cell>
          <cell r="Z1276">
            <v>2.6053758646868298E-2</v>
          </cell>
          <cell r="AA1276">
            <v>2.5806476850185334E-2</v>
          </cell>
        </row>
        <row r="1277">
          <cell r="Y1277">
            <v>47885</v>
          </cell>
          <cell r="Z1277">
            <v>2.6059522242097666E-2</v>
          </cell>
          <cell r="AA1277">
            <v>2.5813404349639413E-2</v>
          </cell>
        </row>
        <row r="1278">
          <cell r="Y1278">
            <v>47893</v>
          </cell>
          <cell r="Z1278">
            <v>2.606598978426225E-2</v>
          </cell>
          <cell r="AA1278">
            <v>2.5824021214093662E-2</v>
          </cell>
        </row>
        <row r="1279">
          <cell r="Y1279">
            <v>47900</v>
          </cell>
          <cell r="Z1279">
            <v>2.6071544386899546E-2</v>
          </cell>
          <cell r="AA1279">
            <v>2.5830729582487777E-2</v>
          </cell>
        </row>
        <row r="1280">
          <cell r="Y1280">
            <v>47907</v>
          </cell>
          <cell r="Z1280">
            <v>2.6078297812921945E-2</v>
          </cell>
          <cell r="AA1280">
            <v>2.5837341646397505E-2</v>
          </cell>
        </row>
        <row r="1281">
          <cell r="Y1281">
            <v>47914</v>
          </cell>
          <cell r="Z1281">
            <v>2.6087516680793656E-2</v>
          </cell>
          <cell r="AA1281">
            <v>2.5843857405876136E-2</v>
          </cell>
        </row>
        <row r="1282">
          <cell r="Y1282">
            <v>47921</v>
          </cell>
          <cell r="Z1282">
            <v>2.6094033235423749E-2</v>
          </cell>
          <cell r="AA1282">
            <v>2.5850276860897026E-2</v>
          </cell>
        </row>
        <row r="1283">
          <cell r="Y1283">
            <v>47931</v>
          </cell>
          <cell r="Z1283">
            <v>2.6098790536264571E-2</v>
          </cell>
          <cell r="AA1283">
            <v>2.5856532436021595E-2</v>
          </cell>
        </row>
        <row r="1284">
          <cell r="Y1284">
            <v>47935</v>
          </cell>
          <cell r="Z1284">
            <v>2.6102930937530831E-2</v>
          </cell>
          <cell r="AA1284">
            <v>2.5862826857379062E-2</v>
          </cell>
        </row>
        <row r="1285">
          <cell r="Y1285">
            <v>47942</v>
          </cell>
          <cell r="Z1285">
            <v>2.6107873898099685E-2</v>
          </cell>
          <cell r="AA1285">
            <v>2.5868957398866854E-2</v>
          </cell>
        </row>
        <row r="1286">
          <cell r="Y1286">
            <v>47953</v>
          </cell>
          <cell r="Z1286">
            <v>2.6112941203165672E-2</v>
          </cell>
          <cell r="AA1286">
            <v>2.5875689002354818E-2</v>
          </cell>
        </row>
        <row r="1287">
          <cell r="Y1287">
            <v>47956</v>
          </cell>
          <cell r="Z1287">
            <v>2.6117467127297518E-2</v>
          </cell>
          <cell r="AA1287">
            <v>2.588092956820276E-2</v>
          </cell>
        </row>
        <row r="1288">
          <cell r="Y1288">
            <v>47963</v>
          </cell>
          <cell r="Z1288">
            <v>2.6122117394502771E-2</v>
          </cell>
          <cell r="AA1288">
            <v>2.5886771196024227E-2</v>
          </cell>
        </row>
        <row r="1289">
          <cell r="Y1289">
            <v>47970</v>
          </cell>
          <cell r="Z1289">
            <v>2.6127904660776413E-2</v>
          </cell>
          <cell r="AA1289">
            <v>2.589519046446398E-2</v>
          </cell>
        </row>
        <row r="1290">
          <cell r="Y1290">
            <v>47977</v>
          </cell>
          <cell r="Z1290">
            <v>2.613112523067531E-2</v>
          </cell>
          <cell r="AA1290">
            <v>2.5898165537920903E-2</v>
          </cell>
        </row>
        <row r="1291">
          <cell r="Y1291">
            <v>47984</v>
          </cell>
          <cell r="Z1291">
            <v>2.6135482798305285E-2</v>
          </cell>
          <cell r="AA1291">
            <v>2.5903718251996111E-2</v>
          </cell>
        </row>
        <row r="1292">
          <cell r="Y1292">
            <v>47991</v>
          </cell>
          <cell r="Z1292">
            <v>2.6140957396683595E-2</v>
          </cell>
          <cell r="AA1292">
            <v>2.5910492470342383E-2</v>
          </cell>
        </row>
        <row r="1293">
          <cell r="Y1293">
            <v>47998</v>
          </cell>
          <cell r="Z1293">
            <v>2.6140277960968399E-2</v>
          </cell>
          <cell r="AA1293">
            <v>2.5914534766240394E-2</v>
          </cell>
        </row>
        <row r="1294">
          <cell r="Y1294">
            <v>48005</v>
          </cell>
          <cell r="Z1294">
            <v>2.6147970091651665E-2</v>
          </cell>
          <cell r="AA1294">
            <v>2.5919798566409469E-2</v>
          </cell>
        </row>
        <row r="1295">
          <cell r="Y1295">
            <v>48012</v>
          </cell>
          <cell r="Z1295">
            <v>2.6151937384192851E-2</v>
          </cell>
          <cell r="AA1295">
            <v>2.5924966061880994E-2</v>
          </cell>
        </row>
        <row r="1296">
          <cell r="Y1296">
            <v>48019</v>
          </cell>
          <cell r="Z1296">
            <v>2.6155807106453967E-2</v>
          </cell>
          <cell r="AA1296">
            <v>2.593003725270826E-2</v>
          </cell>
        </row>
        <row r="1297">
          <cell r="Y1297">
            <v>48026</v>
          </cell>
          <cell r="Z1297">
            <v>2.6159579257859906E-2</v>
          </cell>
          <cell r="AA1297">
            <v>2.5935012138837976E-2</v>
          </cell>
        </row>
        <row r="1298">
          <cell r="Y1298">
            <v>48033</v>
          </cell>
          <cell r="Z1298">
            <v>2.6163253837851543E-2</v>
          </cell>
          <cell r="AA1298">
            <v>2.5939890720323433E-2</v>
          </cell>
        </row>
        <row r="1299">
          <cell r="Y1299">
            <v>48040</v>
          </cell>
          <cell r="Z1299">
            <v>2.6167998610120206E-2</v>
          </cell>
          <cell r="AA1299">
            <v>2.5944672997031404E-2</v>
          </cell>
        </row>
        <row r="1300">
          <cell r="Y1300">
            <v>48047</v>
          </cell>
          <cell r="Z1300">
            <v>2.6170310281421978E-2</v>
          </cell>
          <cell r="AA1300">
            <v>2.5950624636912334E-2</v>
          </cell>
        </row>
        <row r="1301">
          <cell r="Y1301">
            <v>48054</v>
          </cell>
          <cell r="Z1301">
            <v>2.6173692143954264E-2</v>
          </cell>
          <cell r="AA1301">
            <v>2.5953948636381341E-2</v>
          </cell>
        </row>
        <row r="1302">
          <cell r="Y1302">
            <v>48061</v>
          </cell>
          <cell r="Z1302">
            <v>2.6176976432976194E-2</v>
          </cell>
          <cell r="AA1302">
            <v>2.5958441998916726E-2</v>
          </cell>
        </row>
        <row r="1303">
          <cell r="Y1303">
            <v>48068</v>
          </cell>
          <cell r="Z1303">
            <v>2.6180163148001676E-2</v>
          </cell>
          <cell r="AA1303">
            <v>2.5962839056727915E-2</v>
          </cell>
        </row>
        <row r="1304">
          <cell r="Y1304">
            <v>48075</v>
          </cell>
          <cell r="Z1304">
            <v>2.618325228855671E-2</v>
          </cell>
          <cell r="AA1304">
            <v>2.5967139809734974E-2</v>
          </cell>
        </row>
        <row r="1305">
          <cell r="Y1305">
            <v>48082</v>
          </cell>
          <cell r="Z1305">
            <v>2.6186243854182851E-2</v>
          </cell>
          <cell r="AA1305">
            <v>2.5972577114148354E-2</v>
          </cell>
        </row>
        <row r="1306">
          <cell r="Y1306">
            <v>48089</v>
          </cell>
          <cell r="Z1306">
            <v>2.618577253246087E-2</v>
          </cell>
          <cell r="AA1306">
            <v>2.5975452401523214E-2</v>
          </cell>
        </row>
        <row r="1307">
          <cell r="Y1307">
            <v>48096</v>
          </cell>
          <cell r="Z1307">
            <v>2.6188589245464369E-2</v>
          </cell>
          <cell r="AA1307">
            <v>2.5979464240224459E-2</v>
          </cell>
        </row>
        <row r="1308">
          <cell r="Y1308">
            <v>48103</v>
          </cell>
          <cell r="Z1308">
            <v>2.6191308403423385E-2</v>
          </cell>
          <cell r="AA1308">
            <v>2.5984592860426314E-2</v>
          </cell>
        </row>
        <row r="1309">
          <cell r="Y1309">
            <v>48110</v>
          </cell>
          <cell r="Z1309">
            <v>2.6193930005940877E-2</v>
          </cell>
          <cell r="AA1309">
            <v>2.5987199003214556E-2</v>
          </cell>
        </row>
        <row r="1310">
          <cell r="Y1310">
            <v>48117</v>
          </cell>
          <cell r="Z1310">
            <v>2.6200831512915891E-2</v>
          </cell>
          <cell r="AA1310">
            <v>2.5990921927476762E-2</v>
          </cell>
        </row>
        <row r="1311">
          <cell r="Y1311">
            <v>48124</v>
          </cell>
          <cell r="Z1311">
            <v>2.6202144150584323E-2</v>
          </cell>
          <cell r="AA1311">
            <v>2.5994548546908192E-2</v>
          </cell>
        </row>
        <row r="1312">
          <cell r="Y1312">
            <v>48131</v>
          </cell>
          <cell r="Z1312">
            <v>2.6204452680087233E-2</v>
          </cell>
          <cell r="AA1312">
            <v>2.5999265491316592E-2</v>
          </cell>
        </row>
        <row r="1313">
          <cell r="Y1313">
            <v>48138</v>
          </cell>
          <cell r="Z1313">
            <v>2.6206663631514363E-2</v>
          </cell>
          <cell r="AA1313">
            <v>2.6001512871252075E-2</v>
          </cell>
        </row>
        <row r="1314">
          <cell r="Y1314">
            <v>48145</v>
          </cell>
          <cell r="Z1314">
            <v>2.6208777004537324E-2</v>
          </cell>
          <cell r="AA1314">
            <v>2.6004850576137883E-2</v>
          </cell>
        </row>
        <row r="1315">
          <cell r="Y1315">
            <v>48152</v>
          </cell>
          <cell r="Z1315">
            <v>2.6207610936330752E-2</v>
          </cell>
          <cell r="AA1315">
            <v>2.6009258690944392E-2</v>
          </cell>
        </row>
        <row r="1316">
          <cell r="Y1316">
            <v>48159</v>
          </cell>
          <cell r="Z1316">
            <v>2.6209549640836258E-2</v>
          </cell>
          <cell r="AA1316">
            <v>2.6011237071337234E-2</v>
          </cell>
        </row>
        <row r="1317">
          <cell r="Y1317">
            <v>48166</v>
          </cell>
          <cell r="Z1317">
            <v>2.6211390787235993E-2</v>
          </cell>
          <cell r="AA1317">
            <v>2.6014285861624131E-2</v>
          </cell>
        </row>
        <row r="1318">
          <cell r="Y1318">
            <v>48173</v>
          </cell>
          <cell r="Z1318">
            <v>2.6213134375261602E-2</v>
          </cell>
          <cell r="AA1318">
            <v>2.6018385084365381E-2</v>
          </cell>
        </row>
        <row r="1319">
          <cell r="Y1319">
            <v>48180</v>
          </cell>
          <cell r="Z1319">
            <v>2.6214780404658342E-2</v>
          </cell>
          <cell r="AA1319">
            <v>2.6020094527519078E-2</v>
          </cell>
        </row>
        <row r="1320">
          <cell r="Y1320">
            <v>48187</v>
          </cell>
          <cell r="Z1320">
            <v>2.6219408079642965E-2</v>
          </cell>
          <cell r="AA1320">
            <v>2.6022854403127127E-2</v>
          </cell>
        </row>
        <row r="1321">
          <cell r="Y1321">
            <v>48194</v>
          </cell>
          <cell r="Z1321">
            <v>2.6220838395867346E-2</v>
          </cell>
          <cell r="AA1321">
            <v>2.6025517973824464E-2</v>
          </cell>
        </row>
        <row r="1322">
          <cell r="Y1322">
            <v>48201</v>
          </cell>
          <cell r="Z1322">
            <v>2.6222171131583295E-2</v>
          </cell>
          <cell r="AA1322">
            <v>2.6028085239611087E-2</v>
          </cell>
        </row>
        <row r="1323">
          <cell r="Y1323">
            <v>48212</v>
          </cell>
          <cell r="Z1323">
            <v>2.6222065186200565E-2</v>
          </cell>
          <cell r="AA1323">
            <v>2.6035251594880293E-2</v>
          </cell>
        </row>
        <row r="1324">
          <cell r="Y1324">
            <v>48220</v>
          </cell>
          <cell r="Z1324">
            <v>2.6222314743019018E-2</v>
          </cell>
          <cell r="AA1324">
            <v>2.603236271811582E-2</v>
          </cell>
        </row>
        <row r="1325">
          <cell r="Y1325">
            <v>48228</v>
          </cell>
          <cell r="Z1325">
            <v>2.6223439335922215E-2</v>
          </cell>
          <cell r="AA1325">
            <v>2.6034895426958471E-2</v>
          </cell>
        </row>
        <row r="1326">
          <cell r="Y1326">
            <v>48235</v>
          </cell>
          <cell r="Z1326">
            <v>2.6224318826005174E-2</v>
          </cell>
          <cell r="AA1326">
            <v>2.6037008378132498E-2</v>
          </cell>
        </row>
        <row r="1327">
          <cell r="Y1327">
            <v>48242</v>
          </cell>
          <cell r="Z1327">
            <v>2.6225100755825848E-2</v>
          </cell>
          <cell r="AA1327">
            <v>2.6039025038251395E-2</v>
          </cell>
        </row>
        <row r="1328">
          <cell r="Y1328">
            <v>48249</v>
          </cell>
          <cell r="Z1328">
            <v>2.6225785125270476E-2</v>
          </cell>
          <cell r="AA1328">
            <v>2.60409454073951E-2</v>
          </cell>
        </row>
        <row r="1329">
          <cell r="Y1329">
            <v>48257</v>
          </cell>
          <cell r="Z1329">
            <v>2.6226371934238928E-2</v>
          </cell>
          <cell r="AA1329">
            <v>2.6045156388345703E-2</v>
          </cell>
        </row>
        <row r="1330">
          <cell r="Y1330">
            <v>48263</v>
          </cell>
          <cell r="Z1330">
            <v>2.6226861182645549E-2</v>
          </cell>
          <cell r="AA1330">
            <v>2.604449727251712E-2</v>
          </cell>
        </row>
        <row r="1331">
          <cell r="Y1331">
            <v>48270</v>
          </cell>
          <cell r="Z1331">
            <v>2.6227252870418754E-2</v>
          </cell>
          <cell r="AA1331">
            <v>2.60461287684155E-2</v>
          </cell>
        </row>
        <row r="1332">
          <cell r="Y1332">
            <v>48277</v>
          </cell>
          <cell r="Z1332">
            <v>2.623129614838567E-2</v>
          </cell>
          <cell r="AA1332">
            <v>2.6047663973418622E-2</v>
          </cell>
        </row>
        <row r="1333">
          <cell r="Y1333">
            <v>48284</v>
          </cell>
          <cell r="Z1333">
            <v>2.6231464889066882E-2</v>
          </cell>
          <cell r="AA1333">
            <v>2.6049102887286679E-2</v>
          </cell>
        </row>
        <row r="1334">
          <cell r="Y1334">
            <v>48291</v>
          </cell>
          <cell r="Z1334">
            <v>2.6234299612128656E-2</v>
          </cell>
          <cell r="AA1334">
            <v>2.6050445510179543E-2</v>
          </cell>
        </row>
        <row r="1335">
          <cell r="Y1335">
            <v>48298</v>
          </cell>
          <cell r="Z1335">
            <v>2.623150960339031E-2</v>
          </cell>
          <cell r="AA1335">
            <v>2.6055799159383497E-2</v>
          </cell>
        </row>
        <row r="1336">
          <cell r="Y1336">
            <v>48305</v>
          </cell>
          <cell r="Z1336">
            <v>2.6228658253723315E-2</v>
          </cell>
          <cell r="AA1336">
            <v>2.6052841882719946E-2</v>
          </cell>
        </row>
        <row r="1337">
          <cell r="Y1337">
            <v>48312</v>
          </cell>
          <cell r="Z1337">
            <v>2.6228457593850334E-2</v>
          </cell>
          <cell r="AA1337">
            <v>2.6053895632367485E-2</v>
          </cell>
        </row>
        <row r="1338">
          <cell r="Y1338">
            <v>48319</v>
          </cell>
          <cell r="Z1338">
            <v>2.6228159366184819E-2</v>
          </cell>
          <cell r="AA1338">
            <v>2.6054853091039831E-2</v>
          </cell>
        </row>
        <row r="1339">
          <cell r="Y1339">
            <v>48326</v>
          </cell>
          <cell r="Z1339">
            <v>2.6227763570772639E-2</v>
          </cell>
          <cell r="AA1339">
            <v>2.6055714258577112E-2</v>
          </cell>
        </row>
        <row r="1340">
          <cell r="Y1340">
            <v>48334</v>
          </cell>
          <cell r="Z1340">
            <v>2.6226310383186322E-2</v>
          </cell>
          <cell r="AA1340">
            <v>2.606153803962119E-2</v>
          </cell>
        </row>
        <row r="1341">
          <cell r="Y1341">
            <v>48344</v>
          </cell>
          <cell r="Z1341">
            <v>2.622716852654897E-2</v>
          </cell>
          <cell r="AA1341">
            <v>2.6057486536741337E-2</v>
          </cell>
        </row>
        <row r="1342">
          <cell r="Y1342">
            <v>48351</v>
          </cell>
          <cell r="Z1342">
            <v>2.6226417252012475E-2</v>
          </cell>
          <cell r="AA1342">
            <v>2.6058003807687413E-2</v>
          </cell>
        </row>
        <row r="1343">
          <cell r="Y1343">
            <v>48358</v>
          </cell>
          <cell r="Z1343">
            <v>2.622556840306178E-2</v>
          </cell>
          <cell r="AA1343">
            <v>2.605842478757836E-2</v>
          </cell>
        </row>
        <row r="1344">
          <cell r="Y1344">
            <v>48366</v>
          </cell>
          <cell r="Z1344">
            <v>2.6223630178585425E-2</v>
          </cell>
          <cell r="AA1344">
            <v>2.6058787999998501E-2</v>
          </cell>
        </row>
        <row r="1345">
          <cell r="Y1345">
            <v>48372</v>
          </cell>
          <cell r="Z1345">
            <v>2.6222735388415162E-2</v>
          </cell>
          <cell r="AA1345">
            <v>2.6058977874274802E-2</v>
          </cell>
        </row>
        <row r="1346">
          <cell r="Y1346">
            <v>48379</v>
          </cell>
          <cell r="Z1346">
            <v>2.6221600868673624E-2</v>
          </cell>
          <cell r="AA1346">
            <v>2.6059109980920425E-2</v>
          </cell>
        </row>
        <row r="1347">
          <cell r="Y1347">
            <v>48386</v>
          </cell>
          <cell r="Z1347">
            <v>2.6220368782146831E-2</v>
          </cell>
          <cell r="AA1347">
            <v>2.6059145796590855E-2</v>
          </cell>
        </row>
        <row r="1348">
          <cell r="Y1348">
            <v>48393</v>
          </cell>
          <cell r="Z1348">
            <v>2.6219860546981388E-2</v>
          </cell>
          <cell r="AA1348">
            <v>2.6059085321206155E-2</v>
          </cell>
        </row>
        <row r="1349">
          <cell r="Y1349">
            <v>48400</v>
          </cell>
          <cell r="Z1349">
            <v>2.6218426254679069E-2</v>
          </cell>
          <cell r="AA1349">
            <v>2.6058928554766325E-2</v>
          </cell>
        </row>
        <row r="1350">
          <cell r="Y1350">
            <v>48407</v>
          </cell>
          <cell r="Z1350">
            <v>2.6216894389143347E-2</v>
          </cell>
          <cell r="AA1350">
            <v>2.6058675497271366E-2</v>
          </cell>
        </row>
        <row r="1351">
          <cell r="Y1351">
            <v>48415</v>
          </cell>
          <cell r="Z1351">
            <v>2.6215024208533406E-2</v>
          </cell>
          <cell r="AA1351">
            <v>2.6058268381250471E-2</v>
          </cell>
        </row>
        <row r="1352">
          <cell r="Y1352">
            <v>48421</v>
          </cell>
          <cell r="Z1352">
            <v>2.6213537939285297E-2</v>
          </cell>
          <cell r="AA1352">
            <v>2.605788050911606E-2</v>
          </cell>
        </row>
        <row r="1353">
          <cell r="Y1353">
            <v>48428</v>
          </cell>
          <cell r="Z1353">
            <v>2.6211713355459531E-2</v>
          </cell>
          <cell r="AA1353">
            <v>2.6057338578375777E-2</v>
          </cell>
        </row>
        <row r="1354">
          <cell r="Y1354">
            <v>48435</v>
          </cell>
          <cell r="Z1354">
            <v>2.6209791199390001E-2</v>
          </cell>
          <cell r="AA1354">
            <v>2.6056700356740237E-2</v>
          </cell>
        </row>
        <row r="1355">
          <cell r="Y1355">
            <v>48442</v>
          </cell>
          <cell r="Z1355">
            <v>2.6207771471360396E-2</v>
          </cell>
          <cell r="AA1355">
            <v>2.6055965843889695E-2</v>
          </cell>
        </row>
        <row r="1356">
          <cell r="Y1356">
            <v>48449</v>
          </cell>
          <cell r="Z1356">
            <v>2.6205654171668737E-2</v>
          </cell>
          <cell r="AA1356">
            <v>2.6055135040063959E-2</v>
          </cell>
        </row>
        <row r="1357">
          <cell r="Y1357">
            <v>48457</v>
          </cell>
          <cell r="Z1357">
            <v>2.6200843515392189E-2</v>
          </cell>
          <cell r="AA1357">
            <v>2.6054067642533596E-2</v>
          </cell>
        </row>
        <row r="1358">
          <cell r="Y1358">
            <v>48463</v>
          </cell>
          <cell r="Z1358">
            <v>2.6199625463925669E-2</v>
          </cell>
          <cell r="AA1358">
            <v>2.6053184559167164E-2</v>
          </cell>
        </row>
        <row r="1359">
          <cell r="Y1359">
            <v>48470</v>
          </cell>
          <cell r="Z1359">
            <v>2.6197229736183329E-2</v>
          </cell>
          <cell r="AA1359">
            <v>2.6052064882255976E-2</v>
          </cell>
        </row>
        <row r="1360">
          <cell r="Y1360">
            <v>48480</v>
          </cell>
          <cell r="Z1360">
            <v>2.6192903725196271E-2</v>
          </cell>
          <cell r="AA1360">
            <v>2.6050298308248898E-2</v>
          </cell>
        </row>
        <row r="1361">
          <cell r="Y1361">
            <v>48484</v>
          </cell>
          <cell r="Z1361">
            <v>2.6192145612143319E-2</v>
          </cell>
          <cell r="AA1361">
            <v>2.6049536655108341E-2</v>
          </cell>
        </row>
        <row r="1362">
          <cell r="Y1362">
            <v>48491</v>
          </cell>
          <cell r="Z1362">
            <v>2.6189457216587917E-2</v>
          </cell>
          <cell r="AA1362">
            <v>2.6048128104871893E-2</v>
          </cell>
        </row>
        <row r="1363">
          <cell r="Y1363">
            <v>48499</v>
          </cell>
          <cell r="Z1363">
            <v>2.6186265309237618E-2</v>
          </cell>
          <cell r="AA1363">
            <v>2.6046400425911997E-2</v>
          </cell>
        </row>
        <row r="1364">
          <cell r="Y1364">
            <v>48505</v>
          </cell>
          <cell r="Z1364">
            <v>2.618449582396035E-2</v>
          </cell>
          <cell r="AA1364">
            <v>2.6045022131473416E-2</v>
          </cell>
        </row>
        <row r="1365">
          <cell r="Y1365">
            <v>48512</v>
          </cell>
          <cell r="Z1365">
            <v>2.6180806700538503E-2</v>
          </cell>
          <cell r="AA1365">
            <v>2.6043324708231452E-2</v>
          </cell>
        </row>
        <row r="1366">
          <cell r="Y1366">
            <v>48519</v>
          </cell>
          <cell r="Z1366">
            <v>2.6180498912248235E-2</v>
          </cell>
          <cell r="AA1366">
            <v>2.6041530993854423E-2</v>
          </cell>
        </row>
        <row r="1367">
          <cell r="Y1367">
            <v>48526</v>
          </cell>
          <cell r="Z1367">
            <v>2.6174551919596528E-2</v>
          </cell>
          <cell r="AA1367">
            <v>2.60396409885022E-2</v>
          </cell>
        </row>
        <row r="1368">
          <cell r="Y1368">
            <v>48533</v>
          </cell>
          <cell r="Z1368">
            <v>2.6171278199401817E-2</v>
          </cell>
          <cell r="AA1368">
            <v>2.6037654692094847E-2</v>
          </cell>
        </row>
        <row r="1369">
          <cell r="Y1369">
            <v>48540</v>
          </cell>
          <cell r="Z1369">
            <v>2.6167906926690711E-2</v>
          </cell>
          <cell r="AA1369">
            <v>2.6036360866847907E-2</v>
          </cell>
        </row>
        <row r="1370">
          <cell r="Y1370">
            <v>48547</v>
          </cell>
          <cell r="Z1370">
            <v>2.6165102956762349E-2</v>
          </cell>
          <cell r="AA1370">
            <v>2.6033393226114754E-2</v>
          </cell>
        </row>
        <row r="1371">
          <cell r="Y1371">
            <v>48554</v>
          </cell>
          <cell r="Z1371">
            <v>2.616087172570191E-2</v>
          </cell>
          <cell r="AA1371">
            <v>2.6031118056621949E-2</v>
          </cell>
        </row>
        <row r="1372">
          <cell r="Y1372">
            <v>48561</v>
          </cell>
          <cell r="Z1372">
            <v>2.6157207798451963E-2</v>
          </cell>
          <cell r="AA1372">
            <v>2.6028746596074015E-2</v>
          </cell>
        </row>
        <row r="1373">
          <cell r="Y1373">
            <v>48568</v>
          </cell>
          <cell r="Z1373">
            <v>2.61534463207398E-2</v>
          </cell>
          <cell r="AA1373">
            <v>2.6026278844470951E-2</v>
          </cell>
        </row>
        <row r="1374">
          <cell r="Y1374">
            <v>48578</v>
          </cell>
          <cell r="Z1374">
            <v>2.6147903562054802E-2</v>
          </cell>
          <cell r="AA1374">
            <v>2.6025584558338366E-2</v>
          </cell>
        </row>
        <row r="1375">
          <cell r="Y1375">
            <v>48585</v>
          </cell>
          <cell r="Z1375">
            <v>2.6143278969355775E-2</v>
          </cell>
          <cell r="AA1375">
            <v>2.6019884848258457E-2</v>
          </cell>
        </row>
        <row r="1376">
          <cell r="Y1376">
            <v>48592</v>
          </cell>
          <cell r="Z1376">
            <v>2.6139190299818912E-2</v>
          </cell>
          <cell r="AA1376">
            <v>2.6017086956020563E-2</v>
          </cell>
        </row>
        <row r="1377">
          <cell r="Y1377">
            <v>48599</v>
          </cell>
          <cell r="Z1377">
            <v>2.6135004089304768E-2</v>
          </cell>
          <cell r="AA1377">
            <v>2.601419277272754E-2</v>
          </cell>
        </row>
        <row r="1378">
          <cell r="Y1378">
            <v>48606</v>
          </cell>
          <cell r="Z1378">
            <v>2.6130720338422793E-2</v>
          </cell>
          <cell r="AA1378">
            <v>2.6011202298379388E-2</v>
          </cell>
        </row>
        <row r="1379">
          <cell r="Y1379">
            <v>48613</v>
          </cell>
          <cell r="Z1379">
            <v>2.6126339047794375E-2</v>
          </cell>
          <cell r="AA1379">
            <v>2.6008115533135978E-2</v>
          </cell>
        </row>
        <row r="1380">
          <cell r="Y1380">
            <v>48620</v>
          </cell>
          <cell r="Z1380">
            <v>2.6121860218056351E-2</v>
          </cell>
          <cell r="AA1380">
            <v>2.6007054357748416E-2</v>
          </cell>
        </row>
        <row r="1381">
          <cell r="Y1381">
            <v>48627</v>
          </cell>
          <cell r="Z1381">
            <v>2.6117283849858366E-2</v>
          </cell>
          <cell r="AA1381">
            <v>2.6001653129403834E-2</v>
          </cell>
        </row>
        <row r="1382">
          <cell r="Y1382">
            <v>48634</v>
          </cell>
          <cell r="Z1382">
            <v>2.6112609943864638E-2</v>
          </cell>
          <cell r="AA1382">
            <v>2.5998277490995036E-2</v>
          </cell>
        </row>
        <row r="1383">
          <cell r="Y1383">
            <v>48641</v>
          </cell>
          <cell r="Z1383">
            <v>2.6110671344893272E-2</v>
          </cell>
          <cell r="AA1383">
            <v>2.5994805561690981E-2</v>
          </cell>
        </row>
        <row r="1384">
          <cell r="Y1384">
            <v>48648</v>
          </cell>
          <cell r="Z1384">
            <v>2.6105765764840562E-2</v>
          </cell>
          <cell r="AA1384">
            <v>2.599123734125186E-2</v>
          </cell>
        </row>
        <row r="1385">
          <cell r="Y1385">
            <v>48655</v>
          </cell>
          <cell r="Z1385">
            <v>2.6101312512148377E-2</v>
          </cell>
          <cell r="AA1385">
            <v>2.5987572829837546E-2</v>
          </cell>
        </row>
        <row r="1386">
          <cell r="Y1386">
            <v>48662</v>
          </cell>
          <cell r="Z1386">
            <v>2.6095661894729661E-2</v>
          </cell>
          <cell r="AA1386">
            <v>2.5983812027448039E-2</v>
          </cell>
        </row>
        <row r="1387">
          <cell r="Y1387">
            <v>48669</v>
          </cell>
          <cell r="Z1387">
            <v>2.6088853894814926E-2</v>
          </cell>
          <cell r="AA1387">
            <v>2.5979954934163274E-2</v>
          </cell>
        </row>
        <row r="1388">
          <cell r="Y1388">
            <v>48676</v>
          </cell>
          <cell r="Z1388">
            <v>2.6083580084442035E-2</v>
          </cell>
          <cell r="AA1388">
            <v>2.5976001549663508E-2</v>
          </cell>
        </row>
        <row r="1389">
          <cell r="Y1389">
            <v>48683</v>
          </cell>
          <cell r="Z1389">
            <v>2.6078208727549651E-2</v>
          </cell>
          <cell r="AA1389">
            <v>2.5974522560908042E-2</v>
          </cell>
        </row>
        <row r="1390">
          <cell r="Y1390">
            <v>48690</v>
          </cell>
          <cell r="Z1390">
            <v>2.6072739824926649E-2</v>
          </cell>
          <cell r="AA1390">
            <v>2.5967805907898267E-2</v>
          </cell>
        </row>
        <row r="1391">
          <cell r="Y1391">
            <v>48697</v>
          </cell>
          <cell r="Z1391">
            <v>2.6068694780280212E-2</v>
          </cell>
          <cell r="AA1391">
            <v>2.5967954922458958E-2</v>
          </cell>
        </row>
        <row r="1392">
          <cell r="Y1392">
            <v>48709</v>
          </cell>
          <cell r="Z1392">
            <v>2.6057899124575672E-2</v>
          </cell>
          <cell r="AA1392">
            <v>2.5956067185584075E-2</v>
          </cell>
        </row>
        <row r="1393">
          <cell r="Y1393">
            <v>48716</v>
          </cell>
          <cell r="Z1393">
            <v>2.6052060529406593E-2</v>
          </cell>
          <cell r="AA1393">
            <v>2.5951563566986025E-2</v>
          </cell>
        </row>
        <row r="1394">
          <cell r="Y1394">
            <v>48723</v>
          </cell>
          <cell r="Z1394">
            <v>2.6046124385563158E-2</v>
          </cell>
          <cell r="AA1394">
            <v>2.594696365741278E-2</v>
          </cell>
        </row>
        <row r="1395">
          <cell r="Y1395">
            <v>48731</v>
          </cell>
          <cell r="Z1395">
            <v>2.6038748846611347E-2</v>
          </cell>
          <cell r="AA1395">
            <v>2.5941588710685082E-2</v>
          </cell>
        </row>
        <row r="1396">
          <cell r="Y1396">
            <v>48737</v>
          </cell>
          <cell r="Z1396">
            <v>2.6033493876768905E-2</v>
          </cell>
          <cell r="AA1396">
            <v>2.5937474965500584E-2</v>
          </cell>
        </row>
        <row r="1397">
          <cell r="Y1397">
            <v>48744</v>
          </cell>
          <cell r="Z1397">
            <v>2.602727250657743E-2</v>
          </cell>
          <cell r="AA1397">
            <v>2.5932586183081696E-2</v>
          </cell>
        </row>
        <row r="1398">
          <cell r="Y1398">
            <v>48751</v>
          </cell>
          <cell r="Z1398">
            <v>2.6020953598133504E-2</v>
          </cell>
          <cell r="AA1398">
            <v>2.5927601109687615E-2</v>
          </cell>
        </row>
        <row r="1399">
          <cell r="Y1399">
            <v>48758</v>
          </cell>
          <cell r="Z1399">
            <v>2.6014537152366228E-2</v>
          </cell>
          <cell r="AA1399">
            <v>2.592251974531834E-2</v>
          </cell>
        </row>
        <row r="1400">
          <cell r="Y1400">
            <v>48765</v>
          </cell>
          <cell r="Z1400">
            <v>2.6008459050433631E-2</v>
          </cell>
          <cell r="AA1400">
            <v>2.5917342090053808E-2</v>
          </cell>
        </row>
        <row r="1401">
          <cell r="Y1401">
            <v>48772</v>
          </cell>
          <cell r="Z1401">
            <v>2.600184009121639E-2</v>
          </cell>
          <cell r="AA1401">
            <v>2.5912068143814082E-2</v>
          </cell>
        </row>
        <row r="1402">
          <cell r="Y1402">
            <v>48780</v>
          </cell>
          <cell r="Z1402">
            <v>2.5995123590738863E-2</v>
          </cell>
          <cell r="AA1402">
            <v>2.5905922869444709E-2</v>
          </cell>
        </row>
        <row r="1403">
          <cell r="Y1403">
            <v>48786</v>
          </cell>
          <cell r="Z1403">
            <v>2.5988309549992865E-2</v>
          </cell>
          <cell r="AA1403">
            <v>2.5901231378568923E-2</v>
          </cell>
        </row>
        <row r="1404">
          <cell r="Y1404">
            <v>48793</v>
          </cell>
          <cell r="Z1404">
            <v>2.5981397969984114E-2</v>
          </cell>
          <cell r="AA1404">
            <v>2.5895668559483553E-2</v>
          </cell>
        </row>
        <row r="1405">
          <cell r="Y1405">
            <v>48800</v>
          </cell>
          <cell r="Z1405">
            <v>2.5974388851733095E-2</v>
          </cell>
          <cell r="AA1405">
            <v>2.5890009449582863E-2</v>
          </cell>
        </row>
        <row r="1406">
          <cell r="Y1406">
            <v>48807</v>
          </cell>
          <cell r="Z1406">
            <v>2.5967282196273766E-2</v>
          </cell>
          <cell r="AA1406">
            <v>2.5884254048706978E-2</v>
          </cell>
        </row>
        <row r="1407">
          <cell r="Y1407">
            <v>48814</v>
          </cell>
          <cell r="Z1407">
            <v>2.5960078004656158E-2</v>
          </cell>
          <cell r="AA1407">
            <v>2.5878402356935837E-2</v>
          </cell>
        </row>
        <row r="1408">
          <cell r="Y1408">
            <v>48822</v>
          </cell>
          <cell r="Z1408">
            <v>2.5950597857112411E-2</v>
          </cell>
          <cell r="AA1408">
            <v>2.5871596801936292E-2</v>
          </cell>
        </row>
        <row r="1409">
          <cell r="Y1409">
            <v>48828</v>
          </cell>
          <cell r="Z1409">
            <v>2.5944268936003233E-2</v>
          </cell>
          <cell r="AA1409">
            <v>2.586641010054791E-2</v>
          </cell>
        </row>
        <row r="1410">
          <cell r="Y1410">
            <v>48835</v>
          </cell>
          <cell r="Z1410">
            <v>2.5936794647277613E-2</v>
          </cell>
          <cell r="AA1410">
            <v>2.5860269536090996E-2</v>
          </cell>
        </row>
        <row r="1411">
          <cell r="Y1411">
            <v>48843</v>
          </cell>
          <cell r="Z1411">
            <v>2.5929577898700536E-2</v>
          </cell>
          <cell r="AA1411">
            <v>2.5853133840856302E-2</v>
          </cell>
        </row>
        <row r="1412">
          <cell r="Y1412">
            <v>48850</v>
          </cell>
          <cell r="Z1412">
            <v>2.5920449960368942E-2</v>
          </cell>
          <cell r="AA1412">
            <v>2.58467869386525E-2</v>
          </cell>
        </row>
        <row r="1413">
          <cell r="Y1413">
            <v>48857</v>
          </cell>
          <cell r="Z1413">
            <v>2.5913008152190716E-2</v>
          </cell>
          <cell r="AA1413">
            <v>2.5840343745633376E-2</v>
          </cell>
        </row>
        <row r="1414">
          <cell r="Y1414">
            <v>48865</v>
          </cell>
          <cell r="Z1414">
            <v>2.5903987864322863E-2</v>
          </cell>
          <cell r="AA1414">
            <v>2.5832862189218986E-2</v>
          </cell>
        </row>
        <row r="1415">
          <cell r="Y1415">
            <v>48872</v>
          </cell>
          <cell r="Z1415">
            <v>2.5895990633643864E-2</v>
          </cell>
          <cell r="AA1415">
            <v>2.5826212658612846E-2</v>
          </cell>
        </row>
        <row r="1416">
          <cell r="Y1416">
            <v>48879</v>
          </cell>
          <cell r="Z1416">
            <v>2.5887895890645767E-2</v>
          </cell>
          <cell r="AA1416">
            <v>2.5819466837111449E-2</v>
          </cell>
        </row>
        <row r="1417">
          <cell r="Y1417">
            <v>48887</v>
          </cell>
          <cell r="Z1417">
            <v>2.5879440995576878E-2</v>
          </cell>
          <cell r="AA1417">
            <v>2.5812502065605258E-2</v>
          </cell>
        </row>
        <row r="1418">
          <cell r="Y1418">
            <v>48893</v>
          </cell>
          <cell r="Z1418">
            <v>2.5871113720252026E-2</v>
          </cell>
          <cell r="AA1418">
            <v>2.5805686321502819E-2</v>
          </cell>
        </row>
        <row r="1419">
          <cell r="Y1419">
            <v>48900</v>
          </cell>
          <cell r="Z1419">
            <v>2.5862734010433607E-2</v>
          </cell>
          <cell r="AA1419">
            <v>2.5798651627395586E-2</v>
          </cell>
        </row>
        <row r="1420">
          <cell r="Y1420">
            <v>48908</v>
          </cell>
          <cell r="Z1420">
            <v>2.5854256799784359E-2</v>
          </cell>
          <cell r="AA1420">
            <v>2.5791312411520551E-2</v>
          </cell>
        </row>
        <row r="1421">
          <cell r="Y1421">
            <v>48914</v>
          </cell>
          <cell r="Z1421">
            <v>2.5845959532743878E-2</v>
          </cell>
          <cell r="AA1421">
            <v>2.578429336665522E-2</v>
          </cell>
        </row>
        <row r="1422">
          <cell r="Y1422">
            <v>48921</v>
          </cell>
          <cell r="Z1422">
            <v>2.5837279741153792E-2</v>
          </cell>
          <cell r="AA1422">
            <v>2.5776969800181959E-2</v>
          </cell>
        </row>
        <row r="1423">
          <cell r="Y1423">
            <v>48928</v>
          </cell>
          <cell r="Z1423">
            <v>2.582850250323885E-2</v>
          </cell>
          <cell r="AA1423">
            <v>2.5769549942653569E-2</v>
          </cell>
        </row>
        <row r="1424">
          <cell r="Y1424">
            <v>48935</v>
          </cell>
          <cell r="Z1424">
            <v>2.5819629774741431E-2</v>
          </cell>
          <cell r="AA1424">
            <v>2.5763931629478876E-2</v>
          </cell>
        </row>
        <row r="1425">
          <cell r="Y1425">
            <v>48943</v>
          </cell>
          <cell r="Z1425">
            <v>2.5809378035848471E-2</v>
          </cell>
          <cell r="AA1425">
            <v>2.5754811706198311E-2</v>
          </cell>
        </row>
        <row r="1426">
          <cell r="Y1426">
            <v>48950</v>
          </cell>
          <cell r="Z1426">
            <v>2.5800073091269044E-2</v>
          </cell>
          <cell r="AA1426">
            <v>2.5746696534407754E-2</v>
          </cell>
        </row>
        <row r="1427">
          <cell r="Y1427">
            <v>48957</v>
          </cell>
          <cell r="Z1427">
            <v>2.5790933624762126E-2</v>
          </cell>
          <cell r="AA1427">
            <v>2.5738499233876055E-2</v>
          </cell>
        </row>
        <row r="1428">
          <cell r="Y1428">
            <v>48964</v>
          </cell>
          <cell r="Z1428">
            <v>2.5781716155865247E-2</v>
          </cell>
          <cell r="AA1428">
            <v>2.5730569277158111E-2</v>
          </cell>
        </row>
        <row r="1429">
          <cell r="Y1429">
            <v>48971</v>
          </cell>
          <cell r="Z1429">
            <v>2.577242508621724E-2</v>
          </cell>
          <cell r="AA1429">
            <v>2.5722543016275523E-2</v>
          </cell>
        </row>
        <row r="1430">
          <cell r="Y1430">
            <v>48978</v>
          </cell>
          <cell r="Z1430">
            <v>2.5763064817383184E-2</v>
          </cell>
          <cell r="AA1430">
            <v>2.5714420451175002E-2</v>
          </cell>
        </row>
        <row r="1431">
          <cell r="Y1431">
            <v>48985</v>
          </cell>
          <cell r="Z1431">
            <v>2.5753639750856171E-2</v>
          </cell>
          <cell r="AA1431">
            <v>2.5706201581936483E-2</v>
          </cell>
        </row>
        <row r="1432">
          <cell r="Y1432">
            <v>48992</v>
          </cell>
          <cell r="Z1432">
            <v>2.5744154288051564E-2</v>
          </cell>
          <cell r="AA1432">
            <v>2.5697886408533321E-2</v>
          </cell>
        </row>
        <row r="1433">
          <cell r="Y1433">
            <v>48999</v>
          </cell>
          <cell r="Z1433">
            <v>2.5734612830309207E-2</v>
          </cell>
          <cell r="AA1433">
            <v>2.5689474931018808E-2</v>
          </cell>
        </row>
        <row r="1434">
          <cell r="Y1434">
            <v>49006</v>
          </cell>
          <cell r="Z1434">
            <v>2.5725869952960875E-2</v>
          </cell>
          <cell r="AA1434">
            <v>2.5680967149419587E-2</v>
          </cell>
        </row>
        <row r="1435">
          <cell r="Y1435">
            <v>49013</v>
          </cell>
          <cell r="Z1435">
            <v>2.5716222394514484E-2</v>
          </cell>
          <cell r="AA1435">
            <v>2.5672363063682369E-2</v>
          </cell>
        </row>
        <row r="1436">
          <cell r="Y1436">
            <v>49020</v>
          </cell>
          <cell r="Z1436">
            <v>2.5706742445364934E-2</v>
          </cell>
          <cell r="AA1436">
            <v>2.5663951626082593E-2</v>
          </cell>
        </row>
        <row r="1437">
          <cell r="Y1437">
            <v>49027</v>
          </cell>
          <cell r="Z1437">
            <v>2.5696807011494689E-2</v>
          </cell>
          <cell r="AA1437">
            <v>2.5654865980140329E-2</v>
          </cell>
        </row>
        <row r="1438">
          <cell r="Y1438">
            <v>49034</v>
          </cell>
          <cell r="Z1438">
            <v>2.5686426687511237E-2</v>
          </cell>
          <cell r="AA1438">
            <v>2.5645972982308862E-2</v>
          </cell>
        </row>
        <row r="1439">
          <cell r="Y1439">
            <v>49045</v>
          </cell>
          <cell r="Z1439">
            <v>2.5671243651765766E-2</v>
          </cell>
          <cell r="AA1439">
            <v>2.5631277358071358E-2</v>
          </cell>
        </row>
        <row r="1440">
          <cell r="Y1440">
            <v>49048</v>
          </cell>
          <cell r="Z1440">
            <v>2.5667447876678441E-2</v>
          </cell>
          <cell r="AA1440">
            <v>2.5627898074684907E-2</v>
          </cell>
        </row>
        <row r="1441">
          <cell r="Y1441">
            <v>49055</v>
          </cell>
          <cell r="Z1441">
            <v>2.5657615776418865E-2</v>
          </cell>
          <cell r="AA1441">
            <v>2.5618716164919064E-2</v>
          </cell>
        </row>
        <row r="1442">
          <cell r="Y1442">
            <v>49062</v>
          </cell>
          <cell r="Z1442">
            <v>2.5647973568371264E-2</v>
          </cell>
          <cell r="AA1442">
            <v>2.5609681766176617E-2</v>
          </cell>
        </row>
        <row r="1443">
          <cell r="Y1443">
            <v>49074</v>
          </cell>
          <cell r="Z1443">
            <v>2.5630656290930601E-2</v>
          </cell>
          <cell r="AA1443">
            <v>2.5592844513084856E-2</v>
          </cell>
        </row>
        <row r="1444">
          <cell r="Y1444">
            <v>49081</v>
          </cell>
          <cell r="Z1444">
            <v>2.5620787389384628E-2</v>
          </cell>
          <cell r="AA1444">
            <v>2.5583320014774813E-2</v>
          </cell>
        </row>
        <row r="1445">
          <cell r="Y1445">
            <v>49088</v>
          </cell>
          <cell r="Z1445">
            <v>2.561091871292252E-2</v>
          </cell>
          <cell r="AA1445">
            <v>2.5573699225889257E-2</v>
          </cell>
        </row>
        <row r="1446">
          <cell r="Y1446">
            <v>49096</v>
          </cell>
          <cell r="Z1446">
            <v>2.5599439329207999E-2</v>
          </cell>
          <cell r="AA1446">
            <v>2.5562586131524512E-2</v>
          </cell>
        </row>
        <row r="1447">
          <cell r="Y1447">
            <v>49103</v>
          </cell>
          <cell r="Z1447">
            <v>2.5589585259424018E-2</v>
          </cell>
          <cell r="AA1447">
            <v>2.555275900545162E-2</v>
          </cell>
        </row>
        <row r="1448">
          <cell r="Y1448">
            <v>49110</v>
          </cell>
          <cell r="Z1448">
            <v>2.5579744949145923E-2</v>
          </cell>
          <cell r="AA1448">
            <v>2.55428497265342E-2</v>
          </cell>
        </row>
        <row r="1449">
          <cell r="Y1449">
            <v>49117</v>
          </cell>
          <cell r="Z1449">
            <v>2.5569920807142852E-2</v>
          </cell>
          <cell r="AA1449">
            <v>2.5532942357768817E-2</v>
          </cell>
        </row>
        <row r="1450">
          <cell r="Y1450">
            <v>49124</v>
          </cell>
          <cell r="Z1450">
            <v>2.5560112968533829E-2</v>
          </cell>
          <cell r="AA1450">
            <v>2.5523051036806521E-2</v>
          </cell>
        </row>
        <row r="1451">
          <cell r="Y1451">
            <v>49131</v>
          </cell>
          <cell r="Z1451">
            <v>2.5551158031491585E-2</v>
          </cell>
          <cell r="AA1451">
            <v>2.5513175763647311E-2</v>
          </cell>
        </row>
        <row r="1452">
          <cell r="Y1452">
            <v>49138</v>
          </cell>
          <cell r="Z1452">
            <v>2.5541174992605886E-2</v>
          </cell>
          <cell r="AA1452">
            <v>2.5503316538530996E-2</v>
          </cell>
        </row>
        <row r="1453">
          <cell r="Y1453">
            <v>49145</v>
          </cell>
          <cell r="Z1453">
            <v>2.5531417493441535E-2</v>
          </cell>
          <cell r="AA1453">
            <v>2.5493473361137831E-2</v>
          </cell>
        </row>
        <row r="1454">
          <cell r="Y1454">
            <v>49152</v>
          </cell>
          <cell r="Z1454">
            <v>2.5521676300890448E-2</v>
          </cell>
          <cell r="AA1454">
            <v>2.5483646231627688E-2</v>
          </cell>
        </row>
        <row r="1455">
          <cell r="Y1455">
            <v>49159</v>
          </cell>
          <cell r="Z1455">
            <v>2.5511951414709806E-2</v>
          </cell>
          <cell r="AA1455">
            <v>2.547383515016044E-2</v>
          </cell>
        </row>
        <row r="1456">
          <cell r="Y1456">
            <v>49166</v>
          </cell>
          <cell r="Z1456">
            <v>2.5502454460492947E-2</v>
          </cell>
          <cell r="AA1456">
            <v>2.5464040116416342E-2</v>
          </cell>
        </row>
        <row r="1457">
          <cell r="Y1457">
            <v>49173</v>
          </cell>
          <cell r="Z1457">
            <v>2.5492550560492037E-2</v>
          </cell>
          <cell r="AA1457">
            <v>2.5454261130635203E-2</v>
          </cell>
        </row>
        <row r="1458">
          <cell r="Y1458">
            <v>49180</v>
          </cell>
          <cell r="Z1458">
            <v>2.5482874591971426E-2</v>
          </cell>
          <cell r="AA1458">
            <v>2.544449819265715E-2</v>
          </cell>
        </row>
        <row r="1459">
          <cell r="Y1459">
            <v>49187</v>
          </cell>
          <cell r="Z1459">
            <v>2.5472150387996408E-2</v>
          </cell>
          <cell r="AA1459">
            <v>2.543475130256212E-2</v>
          </cell>
        </row>
        <row r="1460">
          <cell r="Y1460">
            <v>49194</v>
          </cell>
          <cell r="Z1460">
            <v>2.5462504597701292E-2</v>
          </cell>
          <cell r="AA1460">
            <v>2.5425020460350112E-2</v>
          </cell>
        </row>
        <row r="1461">
          <cell r="Y1461">
            <v>49201</v>
          </cell>
          <cell r="Z1461">
            <v>2.5452875105413095E-2</v>
          </cell>
          <cell r="AA1461">
            <v>2.541530566594119E-2</v>
          </cell>
        </row>
        <row r="1462">
          <cell r="Y1462">
            <v>49208</v>
          </cell>
          <cell r="Z1462">
            <v>2.5443476168373926E-2</v>
          </cell>
          <cell r="AA1462">
            <v>2.5405606919495227E-2</v>
          </cell>
        </row>
        <row r="1463">
          <cell r="Y1463">
            <v>49215</v>
          </cell>
          <cell r="Z1463">
            <v>2.5433665013925178E-2</v>
          </cell>
          <cell r="AA1463">
            <v>2.5395924220852351E-2</v>
          </cell>
        </row>
        <row r="1464">
          <cell r="Y1464">
            <v>49222</v>
          </cell>
          <cell r="Z1464">
            <v>2.5424299653741426E-2</v>
          </cell>
          <cell r="AA1464">
            <v>2.538625757001256E-2</v>
          </cell>
        </row>
        <row r="1465">
          <cell r="Y1465">
            <v>49229</v>
          </cell>
          <cell r="Z1465">
            <v>2.5414735844223907E-2</v>
          </cell>
          <cell r="AA1465">
            <v>2.5376606967135729E-2</v>
          </cell>
        </row>
        <row r="1466">
          <cell r="Y1466">
            <v>49236</v>
          </cell>
          <cell r="Z1466">
            <v>2.5405188332928062E-2</v>
          </cell>
          <cell r="AA1466">
            <v>2.5366972412061983E-2</v>
          </cell>
        </row>
        <row r="1467">
          <cell r="Y1467">
            <v>49243</v>
          </cell>
          <cell r="Z1467">
            <v>2.539565711962111E-2</v>
          </cell>
          <cell r="AA1467">
            <v>2.5357353904951196E-2</v>
          </cell>
        </row>
        <row r="1468">
          <cell r="Y1468">
            <v>49250</v>
          </cell>
          <cell r="Z1468">
            <v>2.5385924984044513E-2</v>
          </cell>
          <cell r="AA1468">
            <v>2.5348372878548631E-2</v>
          </cell>
        </row>
        <row r="1469">
          <cell r="Y1469">
            <v>49257</v>
          </cell>
          <cell r="Z1469">
            <v>2.5376425867447115E-2</v>
          </cell>
          <cell r="AA1469">
            <v>2.5338165034058946E-2</v>
          </cell>
        </row>
        <row r="1470">
          <cell r="Y1470">
            <v>49264</v>
          </cell>
          <cell r="Z1470">
            <v>2.5366943046771232E-2</v>
          </cell>
          <cell r="AA1470">
            <v>2.532859467051729E-2</v>
          </cell>
        </row>
        <row r="1471">
          <cell r="Y1471">
            <v>49272</v>
          </cell>
          <cell r="Z1471">
            <v>2.5356125491321817E-2</v>
          </cell>
          <cell r="AA1471">
            <v>2.5318093970181366E-2</v>
          </cell>
        </row>
        <row r="1472">
          <cell r="Y1472">
            <v>49278</v>
          </cell>
          <cell r="Z1472">
            <v>2.5348245514809298E-2</v>
          </cell>
          <cell r="AA1472">
            <v>2.5309502086843239E-2</v>
          </cell>
        </row>
        <row r="1473">
          <cell r="Y1473">
            <v>49285</v>
          </cell>
          <cell r="Z1473">
            <v>2.5338812084574534E-2</v>
          </cell>
          <cell r="AA1473">
            <v>2.5299979866710842E-2</v>
          </cell>
        </row>
        <row r="1474">
          <cell r="Y1474">
            <v>49292</v>
          </cell>
          <cell r="Z1474">
            <v>2.5329394950712372E-2</v>
          </cell>
          <cell r="AA1474">
            <v>2.5290473694541404E-2</v>
          </cell>
        </row>
        <row r="1475">
          <cell r="Y1475">
            <v>49299</v>
          </cell>
          <cell r="Z1475">
            <v>2.5319994112992666E-2</v>
          </cell>
          <cell r="AA1475">
            <v>2.5280983570175053E-2</v>
          </cell>
        </row>
        <row r="1476">
          <cell r="Y1476">
            <v>49307</v>
          </cell>
          <cell r="Z1476">
            <v>2.5309270252622407E-2</v>
          </cell>
          <cell r="AA1476">
            <v>2.5271212769446549E-2</v>
          </cell>
        </row>
        <row r="1477">
          <cell r="Y1477">
            <v>49318</v>
          </cell>
          <cell r="Z1477">
            <v>2.5294337576275749E-2</v>
          </cell>
          <cell r="AA1477">
            <v>2.5255305555420549E-2</v>
          </cell>
        </row>
        <row r="1478">
          <cell r="Y1478">
            <v>49324</v>
          </cell>
          <cell r="Z1478">
            <v>2.5286775338314239E-2</v>
          </cell>
          <cell r="AA1478">
            <v>2.5247221271698095E-2</v>
          </cell>
        </row>
        <row r="1479">
          <cell r="Y1479">
            <v>49331</v>
          </cell>
          <cell r="Z1479">
            <v>2.527722637485711E-2</v>
          </cell>
          <cell r="AA1479">
            <v>2.5237804508888573E-2</v>
          </cell>
        </row>
        <row r="1480">
          <cell r="Y1480">
            <v>49338</v>
          </cell>
          <cell r="Z1480">
            <v>2.5267916325751396E-2</v>
          </cell>
          <cell r="AA1480">
            <v>2.5228403793962073E-2</v>
          </cell>
        </row>
        <row r="1481">
          <cell r="Y1481">
            <v>49345</v>
          </cell>
          <cell r="Z1481">
            <v>2.5258622571291314E-2</v>
          </cell>
          <cell r="AA1481">
            <v>2.521901912683866E-2</v>
          </cell>
        </row>
        <row r="1482">
          <cell r="Y1482">
            <v>49353</v>
          </cell>
          <cell r="Z1482">
            <v>2.5247796395888134E-2</v>
          </cell>
          <cell r="AA1482">
            <v>2.5208313443458863E-2</v>
          </cell>
        </row>
        <row r="1483">
          <cell r="Y1483">
            <v>49359</v>
          </cell>
          <cell r="Z1483">
            <v>2.5240083945401962E-2</v>
          </cell>
          <cell r="AA1483">
            <v>2.5200297936160965E-2</v>
          </cell>
        </row>
        <row r="1484">
          <cell r="Y1484">
            <v>49366</v>
          </cell>
          <cell r="Z1484">
            <v>2.5231064792340659E-2</v>
          </cell>
          <cell r="AA1484">
            <v>2.5190961412526747E-2</v>
          </cell>
        </row>
        <row r="1485">
          <cell r="Y1485">
            <v>49373</v>
          </cell>
          <cell r="Z1485">
            <v>2.5222063036277081E-2</v>
          </cell>
          <cell r="AA1485">
            <v>2.5181640936775551E-2</v>
          </cell>
        </row>
        <row r="1486">
          <cell r="Y1486">
            <v>49380</v>
          </cell>
          <cell r="Z1486">
            <v>2.5212851797103492E-2</v>
          </cell>
          <cell r="AA1486">
            <v>2.5172336508827442E-2</v>
          </cell>
        </row>
        <row r="1487">
          <cell r="Y1487">
            <v>49387</v>
          </cell>
          <cell r="Z1487">
            <v>2.5203656853923593E-2</v>
          </cell>
          <cell r="AA1487">
            <v>2.5163048128762355E-2</v>
          </cell>
        </row>
        <row r="1488">
          <cell r="Y1488">
            <v>49396</v>
          </cell>
          <cell r="Z1488">
            <v>2.5191858728888832E-2</v>
          </cell>
          <cell r="AA1488">
            <v>2.5151129506273406E-2</v>
          </cell>
        </row>
        <row r="1489">
          <cell r="Y1489">
            <v>49401</v>
          </cell>
          <cell r="Z1489">
            <v>2.5185087454568024E-2</v>
          </cell>
          <cell r="AA1489">
            <v>2.5144519512041441E-2</v>
          </cell>
        </row>
        <row r="1490">
          <cell r="Y1490">
            <v>49408</v>
          </cell>
          <cell r="Z1490">
            <v>2.5175940869818975E-2</v>
          </cell>
          <cell r="AA1490">
            <v>2.5135279275545486E-2</v>
          </cell>
        </row>
        <row r="1491">
          <cell r="Y1491">
            <v>49415</v>
          </cell>
          <cell r="Z1491">
            <v>2.5166810578813981E-2</v>
          </cell>
          <cell r="AA1491">
            <v>2.5126055086692745E-2</v>
          </cell>
        </row>
        <row r="1492">
          <cell r="Y1492">
            <v>49422</v>
          </cell>
          <cell r="Z1492">
            <v>2.5157696581329839E-2</v>
          </cell>
          <cell r="AA1492">
            <v>2.5116846945802962E-2</v>
          </cell>
        </row>
        <row r="1493">
          <cell r="Y1493">
            <v>49430</v>
          </cell>
          <cell r="Z1493">
            <v>2.5147531132215555E-2</v>
          </cell>
          <cell r="AA1493">
            <v>2.5106343006404686E-2</v>
          </cell>
        </row>
        <row r="1494">
          <cell r="Y1494">
            <v>49439</v>
          </cell>
          <cell r="Z1494">
            <v>2.5136324457242801E-2</v>
          </cell>
          <cell r="AA1494">
            <v>2.5094551129090092E-2</v>
          </cell>
        </row>
        <row r="1495">
          <cell r="Y1495">
            <v>49446</v>
          </cell>
          <cell r="Z1495">
            <v>2.5127267928454818E-2</v>
          </cell>
          <cell r="AA1495">
            <v>2.5085398009228044E-2</v>
          </cell>
        </row>
        <row r="1496">
          <cell r="Y1496">
            <v>49453</v>
          </cell>
          <cell r="Z1496">
            <v>2.5118227696219329E-2</v>
          </cell>
          <cell r="AA1496">
            <v>2.5076260937249018E-2</v>
          </cell>
        </row>
        <row r="1497">
          <cell r="Y1497">
            <v>49460</v>
          </cell>
          <cell r="Z1497">
            <v>2.5108504890678035E-2</v>
          </cell>
          <cell r="AA1497">
            <v>2.5067139912993142E-2</v>
          </cell>
        </row>
        <row r="1498">
          <cell r="Y1498">
            <v>49467</v>
          </cell>
          <cell r="Z1498">
            <v>2.5099495631945336E-2</v>
          </cell>
          <cell r="AA1498">
            <v>2.5058034936700224E-2</v>
          </cell>
        </row>
        <row r="1499">
          <cell r="Y1499">
            <v>49474</v>
          </cell>
          <cell r="Z1499">
            <v>2.509050266508453E-2</v>
          </cell>
          <cell r="AA1499">
            <v>2.5048946008050521E-2</v>
          </cell>
        </row>
        <row r="1500">
          <cell r="Y1500">
            <v>49481</v>
          </cell>
          <cell r="Z1500">
            <v>2.5081525989875904E-2</v>
          </cell>
          <cell r="AA1500">
            <v>2.5039873127363776E-2</v>
          </cell>
        </row>
        <row r="1501">
          <cell r="Y1501">
            <v>49488</v>
          </cell>
          <cell r="Z1501">
            <v>2.5072565606099308E-2</v>
          </cell>
          <cell r="AA1501">
            <v>2.5030816294400182E-2</v>
          </cell>
        </row>
        <row r="1502">
          <cell r="Y1502">
            <v>49495</v>
          </cell>
          <cell r="Z1502">
            <v>2.5064328517811967E-2</v>
          </cell>
          <cell r="AA1502">
            <v>2.502177550931961E-2</v>
          </cell>
        </row>
        <row r="1503">
          <cell r="Y1503">
            <v>49502</v>
          </cell>
          <cell r="Z1503">
            <v>2.505563869643989E-2</v>
          </cell>
          <cell r="AA1503">
            <v>2.5012750771962189E-2</v>
          </cell>
        </row>
        <row r="1504">
          <cell r="Y1504">
            <v>49509</v>
          </cell>
          <cell r="Z1504">
            <v>2.5046492487268278E-2</v>
          </cell>
          <cell r="AA1504">
            <v>2.500374208248779E-2</v>
          </cell>
        </row>
        <row r="1505">
          <cell r="Y1505">
            <v>49516</v>
          </cell>
          <cell r="Z1505">
            <v>2.5037598913919112E-2</v>
          </cell>
          <cell r="AA1505">
            <v>2.4994749440896413E-2</v>
          </cell>
        </row>
        <row r="1506">
          <cell r="Y1506">
            <v>49523</v>
          </cell>
          <cell r="Z1506">
            <v>2.5028721634888531E-2</v>
          </cell>
          <cell r="AA1506">
            <v>2.4985772846868315E-2</v>
          </cell>
        </row>
        <row r="1507">
          <cell r="Y1507">
            <v>49530</v>
          </cell>
          <cell r="Z1507">
            <v>2.5020099190923004E-2</v>
          </cell>
          <cell r="AA1507">
            <v>2.4976812300883111E-2</v>
          </cell>
        </row>
        <row r="1508">
          <cell r="Y1508">
            <v>49537</v>
          </cell>
          <cell r="Z1508">
            <v>2.5011015958902958E-2</v>
          </cell>
          <cell r="AA1508">
            <v>2.4967867802541122E-2</v>
          </cell>
        </row>
        <row r="1509">
          <cell r="Y1509">
            <v>49544</v>
          </cell>
          <cell r="Z1509">
            <v>2.500218756150703E-2</v>
          </cell>
          <cell r="AA1509">
            <v>2.4958939352162091E-2</v>
          </cell>
        </row>
        <row r="1510">
          <cell r="Y1510">
            <v>49551</v>
          </cell>
          <cell r="Z1510">
            <v>2.4992655230486955E-2</v>
          </cell>
          <cell r="AA1510">
            <v>2.495002694950621E-2</v>
          </cell>
        </row>
        <row r="1511">
          <cell r="Y1511">
            <v>49558</v>
          </cell>
          <cell r="Z1511">
            <v>2.498361724561917E-2</v>
          </cell>
          <cell r="AA1511">
            <v>2.4941130594653416E-2</v>
          </cell>
        </row>
        <row r="1512">
          <cell r="Y1512">
            <v>49565</v>
          </cell>
          <cell r="Z1512">
            <v>2.4974835495271162E-2</v>
          </cell>
          <cell r="AA1512">
            <v>2.4932250287603708E-2</v>
          </cell>
        </row>
        <row r="1513">
          <cell r="Y1513">
            <v>49572</v>
          </cell>
          <cell r="Z1513">
            <v>2.4966311653020188E-2</v>
          </cell>
          <cell r="AA1513">
            <v>2.4923386028357086E-2</v>
          </cell>
        </row>
        <row r="1514">
          <cell r="Y1514">
            <v>49579</v>
          </cell>
          <cell r="Z1514">
            <v>2.4957320856880998E-2</v>
          </cell>
          <cell r="AA1514">
            <v>2.4914537816913551E-2</v>
          </cell>
        </row>
        <row r="1515">
          <cell r="Y1515">
            <v>49586</v>
          </cell>
          <cell r="Z1515">
            <v>2.4948830711453773E-2</v>
          </cell>
          <cell r="AA1515">
            <v>2.4905705653273102E-2</v>
          </cell>
        </row>
        <row r="1516">
          <cell r="Y1516">
            <v>49593</v>
          </cell>
          <cell r="Z1516">
            <v>2.4941088551363493E-2</v>
          </cell>
          <cell r="AA1516">
            <v>2.489688953743574E-2</v>
          </cell>
        </row>
        <row r="1517">
          <cell r="Y1517">
            <v>49600</v>
          </cell>
          <cell r="Z1517">
            <v>2.493141492261778E-2</v>
          </cell>
          <cell r="AA1517">
            <v>2.4888089469321528E-2</v>
          </cell>
        </row>
        <row r="1518">
          <cell r="Y1518">
            <v>49607</v>
          </cell>
          <cell r="Z1518">
            <v>2.4922731459940131E-2</v>
          </cell>
          <cell r="AA1518">
            <v>2.4879305449010403E-2</v>
          </cell>
        </row>
        <row r="1519">
          <cell r="Y1519">
            <v>49614</v>
          </cell>
          <cell r="Z1519">
            <v>2.4913819281087109E-2</v>
          </cell>
          <cell r="AA1519">
            <v>2.48705374765823E-2</v>
          </cell>
        </row>
        <row r="1520">
          <cell r="Y1520">
            <v>49621</v>
          </cell>
          <cell r="Z1520">
            <v>2.4905167824835053E-2</v>
          </cell>
          <cell r="AA1520">
            <v>2.4861785551957283E-2</v>
          </cell>
        </row>
        <row r="1521">
          <cell r="Y1521">
            <v>49628</v>
          </cell>
          <cell r="Z1521">
            <v>2.4896532654392622E-2</v>
          </cell>
          <cell r="AA1521">
            <v>2.4853049675055416E-2</v>
          </cell>
        </row>
        <row r="1522">
          <cell r="Y1522">
            <v>49635</v>
          </cell>
          <cell r="Z1522">
            <v>2.4887913769549436E-2</v>
          </cell>
          <cell r="AA1522">
            <v>2.4845035171974228E-2</v>
          </cell>
        </row>
        <row r="1523">
          <cell r="Y1523">
            <v>49642</v>
          </cell>
          <cell r="Z1523">
            <v>2.4879311170095987E-2</v>
          </cell>
          <cell r="AA1523">
            <v>2.4835626064660943E-2</v>
          </cell>
        </row>
        <row r="1524">
          <cell r="Y1524">
            <v>49649</v>
          </cell>
          <cell r="Z1524">
            <v>2.4870972714868805E-2</v>
          </cell>
          <cell r="AA1524">
            <v>2.48269383310884E-2</v>
          </cell>
        </row>
        <row r="1525">
          <cell r="Y1525">
            <v>49656</v>
          </cell>
          <cell r="Z1525">
            <v>2.4862403260551069E-2</v>
          </cell>
          <cell r="AA1525">
            <v>2.4818266645398879E-2</v>
          </cell>
        </row>
        <row r="1526">
          <cell r="Y1526">
            <v>49663</v>
          </cell>
          <cell r="Z1526">
            <v>2.4853850092298721E-2</v>
          </cell>
          <cell r="AA1526">
            <v>2.4809611007512444E-2</v>
          </cell>
        </row>
        <row r="1527">
          <cell r="Y1527">
            <v>49678</v>
          </cell>
          <cell r="Z1527">
            <v>2.4835326464865422E-2</v>
          </cell>
          <cell r="AA1527">
            <v>2.479159415291754E-2</v>
          </cell>
        </row>
        <row r="1528">
          <cell r="Y1528">
            <v>49682</v>
          </cell>
          <cell r="Z1528">
            <v>2.4830465862212308E-2</v>
          </cell>
          <cell r="AA1528">
            <v>2.4786198026918171E-2</v>
          </cell>
        </row>
        <row r="1529">
          <cell r="Y1529">
            <v>49690</v>
          </cell>
          <cell r="Z1529">
            <v>2.482197260210962E-2</v>
          </cell>
          <cell r="AA1529">
            <v>2.4776375300525899E-2</v>
          </cell>
        </row>
        <row r="1530">
          <cell r="Y1530">
            <v>49696</v>
          </cell>
          <cell r="Z1530">
            <v>2.4813495625790046E-2</v>
          </cell>
          <cell r="AA1530">
            <v>2.476902201094866E-2</v>
          </cell>
        </row>
        <row r="1531">
          <cell r="Y1531">
            <v>49703</v>
          </cell>
          <cell r="Z1531">
            <v>2.4805034933047154E-2</v>
          </cell>
          <cell r="AA1531">
            <v>2.4760458074508662E-2</v>
          </cell>
        </row>
        <row r="1532">
          <cell r="Y1532">
            <v>49710</v>
          </cell>
          <cell r="Z1532">
            <v>2.4796590523675839E-2</v>
          </cell>
          <cell r="AA1532">
            <v>2.4751910186031623E-2</v>
          </cell>
        </row>
        <row r="1533">
          <cell r="Y1533">
            <v>49718</v>
          </cell>
          <cell r="Z1533">
            <v>2.478816239746923E-2</v>
          </cell>
          <cell r="AA1533">
            <v>2.4742160820876435E-2</v>
          </cell>
        </row>
        <row r="1534">
          <cell r="Y1534">
            <v>49724</v>
          </cell>
          <cell r="Z1534">
            <v>2.4779750554223094E-2</v>
          </cell>
          <cell r="AA1534">
            <v>2.4734862552167058E-2</v>
          </cell>
        </row>
        <row r="1535">
          <cell r="Y1535">
            <v>49731</v>
          </cell>
          <cell r="Z1535">
            <v>2.4771354993731884E-2</v>
          </cell>
          <cell r="AA1535">
            <v>2.4726362807019342E-2</v>
          </cell>
        </row>
        <row r="1536">
          <cell r="Y1536">
            <v>49738</v>
          </cell>
          <cell r="Z1536">
            <v>2.4763486316882046E-2</v>
          </cell>
          <cell r="AA1536">
            <v>2.471787910951484E-2</v>
          </cell>
        </row>
        <row r="1537">
          <cell r="Y1537">
            <v>49745</v>
          </cell>
          <cell r="Z1537">
            <v>2.4755124504391799E-2</v>
          </cell>
          <cell r="AA1537">
            <v>2.4709411459813424E-2</v>
          </cell>
        </row>
        <row r="1538">
          <cell r="Y1538">
            <v>49752</v>
          </cell>
          <cell r="Z1538">
            <v>2.4746778976623817E-2</v>
          </cell>
          <cell r="AA1538">
            <v>2.4700959857915095E-2</v>
          </cell>
        </row>
        <row r="1539">
          <cell r="Y1539">
            <v>49759</v>
          </cell>
          <cell r="Z1539">
            <v>2.4738449733371748E-2</v>
          </cell>
          <cell r="AA1539">
            <v>2.4692524303739916E-2</v>
          </cell>
        </row>
        <row r="1540">
          <cell r="Y1540">
            <v>49766</v>
          </cell>
          <cell r="Z1540">
            <v>2.4729879065477078E-2</v>
          </cell>
          <cell r="AA1540">
            <v>2.4684104797367823E-2</v>
          </cell>
        </row>
        <row r="1541">
          <cell r="Y1541">
            <v>49773</v>
          </cell>
          <cell r="Z1541">
            <v>2.4721581793867627E-2</v>
          </cell>
          <cell r="AA1541">
            <v>2.4675701338798817E-2</v>
          </cell>
        </row>
        <row r="1542">
          <cell r="Y1542">
            <v>49782</v>
          </cell>
          <cell r="Z1542">
            <v>2.471093779867594E-2</v>
          </cell>
          <cell r="AA1542">
            <v>2.4664920472359242E-2</v>
          </cell>
        </row>
        <row r="1543">
          <cell r="Y1543">
            <v>49789</v>
          </cell>
          <cell r="Z1543">
            <v>2.4702677744179374E-2</v>
          </cell>
          <cell r="AA1543">
            <v>2.465655369436881E-2</v>
          </cell>
        </row>
        <row r="1544">
          <cell r="Y1544">
            <v>49797</v>
          </cell>
          <cell r="Z1544">
            <v>2.4694038912752746E-2</v>
          </cell>
          <cell r="AA1544">
            <v>2.4648003760535886E-2</v>
          </cell>
        </row>
        <row r="1545">
          <cell r="Y1545">
            <v>49804</v>
          </cell>
          <cell r="Z1545">
            <v>2.4685554452614694E-2</v>
          </cell>
          <cell r="AA1545">
            <v>2.4639176166472154E-2</v>
          </cell>
        </row>
        <row r="1546">
          <cell r="Y1546">
            <v>49811</v>
          </cell>
          <cell r="Z1546">
            <v>2.4677346777550124E-2</v>
          </cell>
          <cell r="AA1546">
            <v>2.4630860978973601E-2</v>
          </cell>
        </row>
        <row r="1547">
          <cell r="Y1547">
            <v>49818</v>
          </cell>
          <cell r="Z1547">
            <v>2.4669417699448033E-2</v>
          </cell>
          <cell r="AA1547">
            <v>2.4622811719594573E-2</v>
          </cell>
        </row>
        <row r="1548">
          <cell r="Y1548">
            <v>49825</v>
          </cell>
          <cell r="Z1548">
            <v>2.466019194216635E-2</v>
          </cell>
          <cell r="AA1548">
            <v>2.4614278755059615E-2</v>
          </cell>
        </row>
        <row r="1549">
          <cell r="Y1549">
            <v>49832</v>
          </cell>
          <cell r="Z1549">
            <v>2.4652821456024272E-2</v>
          </cell>
          <cell r="AA1549">
            <v>2.4606011718590892E-2</v>
          </cell>
        </row>
        <row r="1550">
          <cell r="Y1550">
            <v>49839</v>
          </cell>
          <cell r="Z1550">
            <v>2.4644678916063499E-2</v>
          </cell>
          <cell r="AA1550">
            <v>2.4597760732429919E-2</v>
          </cell>
        </row>
        <row r="1551">
          <cell r="Y1551">
            <v>49846</v>
          </cell>
          <cell r="Z1551">
            <v>2.4636552659374106E-2</v>
          </cell>
          <cell r="AA1551">
            <v>2.458952579660334E-2</v>
          </cell>
        </row>
        <row r="1552">
          <cell r="Y1552">
            <v>49853</v>
          </cell>
          <cell r="Z1552">
            <v>2.4628442685754308E-2</v>
          </cell>
          <cell r="AA1552">
            <v>2.4581306911137801E-2</v>
          </cell>
        </row>
        <row r="1553">
          <cell r="Y1553">
            <v>49860</v>
          </cell>
          <cell r="Z1553">
            <v>2.4620348995004048E-2</v>
          </cell>
          <cell r="AA1553">
            <v>2.4573104075953367E-2</v>
          </cell>
        </row>
        <row r="1554">
          <cell r="Y1554">
            <v>49867</v>
          </cell>
          <cell r="Z1554">
            <v>2.4612538172703088E-2</v>
          </cell>
          <cell r="AA1554">
            <v>2.4564917291076682E-2</v>
          </cell>
        </row>
        <row r="1555">
          <cell r="Y1555">
            <v>49874</v>
          </cell>
          <cell r="Z1555">
            <v>2.4604210461309329E-2</v>
          </cell>
          <cell r="AA1555">
            <v>2.4557001111451537E-2</v>
          </cell>
        </row>
        <row r="1556">
          <cell r="Y1556">
            <v>49881</v>
          </cell>
          <cell r="Z1556">
            <v>2.4596165617965623E-2</v>
          </cell>
          <cell r="AA1556">
            <v>2.4548591872299852E-2</v>
          </cell>
        </row>
        <row r="1557">
          <cell r="Y1557">
            <v>49888</v>
          </cell>
          <cell r="Z1557">
            <v>2.4588137056692525E-2</v>
          </cell>
          <cell r="AA1557">
            <v>2.4540453238373061E-2</v>
          </cell>
        </row>
        <row r="1558">
          <cell r="Y1558">
            <v>49895</v>
          </cell>
          <cell r="Z1558">
            <v>2.4580124777290418E-2</v>
          </cell>
          <cell r="AA1558">
            <v>2.453233065475402E-2</v>
          </cell>
        </row>
        <row r="1559">
          <cell r="Y1559">
            <v>49902</v>
          </cell>
          <cell r="Z1559">
            <v>2.4572128779561397E-2</v>
          </cell>
          <cell r="AA1559">
            <v>2.4524224121416083E-2</v>
          </cell>
        </row>
        <row r="1560">
          <cell r="Y1560">
            <v>49909</v>
          </cell>
          <cell r="Z1560">
            <v>2.4564149063307141E-2</v>
          </cell>
          <cell r="AA1560">
            <v>2.4516391158131423E-2</v>
          </cell>
        </row>
        <row r="1561">
          <cell r="Y1561">
            <v>49916</v>
          </cell>
          <cell r="Z1561">
            <v>2.4555373297946229E-2</v>
          </cell>
          <cell r="AA1561">
            <v>2.4508059205636812E-2</v>
          </cell>
        </row>
        <row r="1562">
          <cell r="Y1562">
            <v>49923</v>
          </cell>
          <cell r="Z1562">
            <v>2.4547153015302695E-2</v>
          </cell>
          <cell r="AA1562">
            <v>2.4500000823195478E-2</v>
          </cell>
        </row>
        <row r="1563">
          <cell r="Y1563">
            <v>49930</v>
          </cell>
          <cell r="Z1563">
            <v>2.4539219641210669E-2</v>
          </cell>
          <cell r="AA1563">
            <v>2.4492217804992222E-2</v>
          </cell>
        </row>
        <row r="1564">
          <cell r="Y1564">
            <v>49937</v>
          </cell>
          <cell r="Z1564">
            <v>2.4531302542761133E-2</v>
          </cell>
          <cell r="AA1564">
            <v>2.4484192123732651E-2</v>
          </cell>
        </row>
        <row r="1565">
          <cell r="Y1565">
            <v>49944</v>
          </cell>
          <cell r="Z1565">
            <v>2.4523401719762417E-2</v>
          </cell>
          <cell r="AA1565">
            <v>2.4475921977558102E-2</v>
          </cell>
        </row>
        <row r="1566">
          <cell r="Y1566">
            <v>49951</v>
          </cell>
          <cell r="Z1566">
            <v>2.4516886721120561E-2</v>
          </cell>
          <cell r="AA1566">
            <v>2.4467927796241185E-2</v>
          </cell>
        </row>
        <row r="1567">
          <cell r="Y1567">
            <v>49958</v>
          </cell>
          <cell r="Z1567">
            <v>2.4507923293728563E-2</v>
          </cell>
          <cell r="AA1567">
            <v>2.4460211389214503E-2</v>
          </cell>
        </row>
        <row r="1568">
          <cell r="Y1568">
            <v>49965</v>
          </cell>
          <cell r="Z1568">
            <v>2.4500071927284983E-2</v>
          </cell>
          <cell r="AA1568">
            <v>2.4451987584424018E-2</v>
          </cell>
        </row>
        <row r="1569">
          <cell r="Y1569">
            <v>49972</v>
          </cell>
          <cell r="Z1569">
            <v>2.4492236836785506E-2</v>
          </cell>
          <cell r="AA1569">
            <v>2.4444041553897122E-2</v>
          </cell>
        </row>
        <row r="1570">
          <cell r="Y1570">
            <v>49979</v>
          </cell>
          <cell r="Z1570">
            <v>2.4484141729847454E-2</v>
          </cell>
          <cell r="AA1570">
            <v>2.4436375118537246E-2</v>
          </cell>
        </row>
        <row r="1571">
          <cell r="Y1571">
            <v>49986</v>
          </cell>
          <cell r="Z1571">
            <v>2.4476338555548916E-2</v>
          </cell>
          <cell r="AA1571">
            <v>2.4428197643659999E-2</v>
          </cell>
        </row>
        <row r="1572">
          <cell r="Y1572">
            <v>49993</v>
          </cell>
          <cell r="Z1572">
            <v>2.4468551655370551E-2</v>
          </cell>
          <cell r="AA1572">
            <v>2.4420299763949771E-2</v>
          </cell>
        </row>
        <row r="1573">
          <cell r="Y1573">
            <v>50000</v>
          </cell>
          <cell r="Z1573">
            <v>2.4460781029122896E-2</v>
          </cell>
          <cell r="AA1573">
            <v>2.4412683311580974E-2</v>
          </cell>
        </row>
        <row r="1574">
          <cell r="Y1574">
            <v>50007</v>
          </cell>
          <cell r="Z1574">
            <v>2.4453305516780821E-2</v>
          </cell>
          <cell r="AA1574">
            <v>2.4404552155239401E-2</v>
          </cell>
        </row>
        <row r="1575">
          <cell r="Y1575">
            <v>50014</v>
          </cell>
          <cell r="Z1575">
            <v>2.4445568077951393E-2</v>
          </cell>
          <cell r="AA1575">
            <v>2.4396702426265904E-2</v>
          </cell>
        </row>
        <row r="1576">
          <cell r="Y1576">
            <v>50021</v>
          </cell>
          <cell r="Z1576">
            <v>2.4437846913738785E-2</v>
          </cell>
          <cell r="AA1576">
            <v>2.4388868747546866E-2</v>
          </cell>
        </row>
        <row r="1577">
          <cell r="Y1577">
            <v>50028</v>
          </cell>
          <cell r="Z1577">
            <v>2.4430142023954136E-2</v>
          </cell>
          <cell r="AA1577">
            <v>2.4381051119055641E-2</v>
          </cell>
        </row>
        <row r="1578">
          <cell r="Y1578">
            <v>50039</v>
          </cell>
          <cell r="Z1578">
            <v>2.4418067220545122E-2</v>
          </cell>
          <cell r="AA1578">
            <v>2.4369605345420098E-2</v>
          </cell>
        </row>
        <row r="1579">
          <cell r="Y1579">
            <v>50047</v>
          </cell>
          <cell r="Z1579">
            <v>2.4409028271806157E-2</v>
          </cell>
          <cell r="AA1579">
            <v>2.4359373924296435E-2</v>
          </cell>
        </row>
        <row r="1580">
          <cell r="Y1580">
            <v>50055</v>
          </cell>
          <cell r="Z1580">
            <v>2.4400292353545548E-2</v>
          </cell>
          <cell r="AA1580">
            <v>2.4350507512771458E-2</v>
          </cell>
        </row>
        <row r="1581">
          <cell r="Y1581">
            <v>50062</v>
          </cell>
          <cell r="Z1581">
            <v>2.4392665859660514E-2</v>
          </cell>
          <cell r="AA1581">
            <v>2.434276659678325E-2</v>
          </cell>
        </row>
        <row r="1582">
          <cell r="Y1582">
            <v>50069</v>
          </cell>
          <cell r="Z1582">
            <v>2.4385055637868545E-2</v>
          </cell>
          <cell r="AA1582">
            <v>2.4335041728438256E-2</v>
          </cell>
        </row>
        <row r="1583">
          <cell r="Y1583">
            <v>50076</v>
          </cell>
          <cell r="Z1583">
            <v>2.4377461687986362E-2</v>
          </cell>
          <cell r="AA1583">
            <v>2.4327332907896349E-2</v>
          </cell>
        </row>
        <row r="1584">
          <cell r="Y1584">
            <v>50084</v>
          </cell>
          <cell r="Z1584">
            <v>2.4369884009828039E-2</v>
          </cell>
          <cell r="AA1584">
            <v>2.4319087899513647E-2</v>
          </cell>
        </row>
        <row r="1585">
          <cell r="Y1585">
            <v>50090</v>
          </cell>
          <cell r="Z1585">
            <v>2.4362322603212059E-2</v>
          </cell>
          <cell r="AA1585">
            <v>2.4311963409822113E-2</v>
          </cell>
        </row>
        <row r="1586">
          <cell r="Y1586">
            <v>50097</v>
          </cell>
          <cell r="Z1586">
            <v>2.4354777467954704E-2</v>
          </cell>
          <cell r="AA1586">
            <v>2.430430273236972E-2</v>
          </cell>
        </row>
        <row r="1587">
          <cell r="Y1587">
            <v>50104</v>
          </cell>
          <cell r="Z1587">
            <v>2.4348688469449892E-2</v>
          </cell>
          <cell r="AA1587">
            <v>2.4296658102640478E-2</v>
          </cell>
        </row>
        <row r="1588">
          <cell r="Y1588">
            <v>50111</v>
          </cell>
          <cell r="Z1588">
            <v>2.4341179164474203E-2</v>
          </cell>
          <cell r="AA1588">
            <v>2.4289029520634386E-2</v>
          </cell>
        </row>
        <row r="1589">
          <cell r="Y1589">
            <v>50118</v>
          </cell>
          <cell r="Z1589">
            <v>2.4334554920159911E-2</v>
          </cell>
          <cell r="AA1589">
            <v>2.4282244415736454E-2</v>
          </cell>
        </row>
        <row r="1590">
          <cell r="Y1590">
            <v>50125</v>
          </cell>
          <cell r="Z1590">
            <v>2.432620938529537E-2</v>
          </cell>
          <cell r="AA1590">
            <v>2.4273820499711718E-2</v>
          </cell>
        </row>
        <row r="1591">
          <cell r="Y1591">
            <v>50132</v>
          </cell>
          <cell r="Z1591">
            <v>2.4317876848218553E-2</v>
          </cell>
          <cell r="AA1591">
            <v>2.4267348524835697E-2</v>
          </cell>
        </row>
        <row r="1592">
          <cell r="Y1592">
            <v>50139</v>
          </cell>
          <cell r="Z1592">
            <v>2.4310430661971725E-2</v>
          </cell>
          <cell r="AA1592">
            <v>2.4258675669761587E-2</v>
          </cell>
        </row>
        <row r="1593">
          <cell r="Y1593">
            <v>50146</v>
          </cell>
          <cell r="Z1593">
            <v>2.4303000748274978E-2</v>
          </cell>
          <cell r="AA1593">
            <v>2.4251127326291311E-2</v>
          </cell>
        </row>
        <row r="1594">
          <cell r="Y1594">
            <v>50153</v>
          </cell>
          <cell r="Z1594">
            <v>2.429558710694529E-2</v>
          </cell>
          <cell r="AA1594">
            <v>2.4243595030544185E-2</v>
          </cell>
        </row>
        <row r="1595">
          <cell r="Y1595">
            <v>50161</v>
          </cell>
          <cell r="Z1595">
            <v>2.4288189737802262E-2</v>
          </cell>
          <cell r="AA1595">
            <v>2.4236405337250133E-2</v>
          </cell>
        </row>
        <row r="1596">
          <cell r="Y1596">
            <v>50171</v>
          </cell>
          <cell r="Z1596">
            <v>2.4276892494637985E-2</v>
          </cell>
          <cell r="AA1596">
            <v>2.4224299958603979E-2</v>
          </cell>
        </row>
        <row r="1597">
          <cell r="Y1597">
            <v>50178</v>
          </cell>
          <cell r="Z1597">
            <v>2.4269537636830853E-2</v>
          </cell>
          <cell r="AA1597">
            <v>2.4216824976051043E-2</v>
          </cell>
        </row>
        <row r="1598">
          <cell r="Y1598">
            <v>50186</v>
          </cell>
          <cell r="Z1598">
            <v>2.4261152010877664E-2</v>
          </cell>
          <cell r="AA1598">
            <v>2.4208301789174769E-2</v>
          </cell>
        </row>
        <row r="1599">
          <cell r="Y1599">
            <v>50192</v>
          </cell>
          <cell r="Z1599">
            <v>2.4254580409416544E-2</v>
          </cell>
          <cell r="AA1599">
            <v>2.420192315419456E-2</v>
          </cell>
        </row>
        <row r="1600">
          <cell r="Y1600">
            <v>50199</v>
          </cell>
          <cell r="Z1600">
            <v>2.4247273696292163E-2</v>
          </cell>
          <cell r="AA1600">
            <v>2.4194496314811076E-2</v>
          </cell>
        </row>
        <row r="1601">
          <cell r="Y1601">
            <v>50206</v>
          </cell>
          <cell r="Z1601">
            <v>2.4239983254171562E-2</v>
          </cell>
          <cell r="AA1601">
            <v>2.4187085523150742E-2</v>
          </cell>
        </row>
        <row r="1602">
          <cell r="Y1602">
            <v>50213</v>
          </cell>
          <cell r="Z1602">
            <v>2.4232709082875212E-2</v>
          </cell>
          <cell r="AA1602">
            <v>2.4179690779133622E-2</v>
          </cell>
        </row>
        <row r="1603">
          <cell r="Y1603">
            <v>50220</v>
          </cell>
          <cell r="Z1603">
            <v>2.4225451182226205E-2</v>
          </cell>
          <cell r="AA1603">
            <v>2.4172312082919589E-2</v>
          </cell>
        </row>
        <row r="1604">
          <cell r="Y1604">
            <v>50227</v>
          </cell>
          <cell r="Z1604">
            <v>2.421850925956023E-2</v>
          </cell>
          <cell r="AA1604">
            <v>2.4164949434268834E-2</v>
          </cell>
        </row>
        <row r="1605">
          <cell r="Y1605">
            <v>50234</v>
          </cell>
          <cell r="Z1605">
            <v>2.4211284578851328E-2</v>
          </cell>
          <cell r="AA1605">
            <v>2.4157602833421166E-2</v>
          </cell>
        </row>
        <row r="1606">
          <cell r="Y1606">
            <v>50242</v>
          </cell>
          <cell r="Z1606">
            <v>2.4203047724968455E-2</v>
          </cell>
          <cell r="AA1606">
            <v>2.4149226368379573E-2</v>
          </cell>
        </row>
        <row r="1607">
          <cell r="Y1607">
            <v>50248</v>
          </cell>
          <cell r="Z1607">
            <v>2.4196884031253033E-2</v>
          </cell>
          <cell r="AA1607">
            <v>2.4142957774735407E-2</v>
          </cell>
        </row>
        <row r="1608">
          <cell r="Y1608">
            <v>50255</v>
          </cell>
          <cell r="Z1608">
            <v>2.4189708164009577E-2</v>
          </cell>
          <cell r="AA1608">
            <v>2.4135659316977254E-2</v>
          </cell>
        </row>
        <row r="1609">
          <cell r="Y1609">
            <v>50262</v>
          </cell>
          <cell r="Z1609">
            <v>2.4182548567568216E-2</v>
          </cell>
          <cell r="AA1609">
            <v>2.4128376906782378E-2</v>
          </cell>
        </row>
        <row r="1610">
          <cell r="Y1610">
            <v>50269</v>
          </cell>
          <cell r="Z1610">
            <v>2.4175405241751269E-2</v>
          </cell>
          <cell r="AA1610">
            <v>2.4121110544390589E-2</v>
          </cell>
        </row>
        <row r="1611">
          <cell r="Y1611">
            <v>50276</v>
          </cell>
          <cell r="Z1611">
            <v>2.416827818638409E-2</v>
          </cell>
          <cell r="AA1611">
            <v>2.4113860229721951E-2</v>
          </cell>
        </row>
        <row r="1612">
          <cell r="Y1612">
            <v>50284</v>
          </cell>
          <cell r="Z1612">
            <v>2.4159237321727634E-2</v>
          </cell>
          <cell r="AA1612">
            <v>2.4105593806016401E-2</v>
          </cell>
        </row>
        <row r="1613">
          <cell r="Y1613">
            <v>50290</v>
          </cell>
          <cell r="Z1613">
            <v>2.4153461238211087E-2</v>
          </cell>
          <cell r="AA1613">
            <v>2.4099407743314316E-2</v>
          </cell>
        </row>
        <row r="1614">
          <cell r="Y1614">
            <v>50297</v>
          </cell>
          <cell r="Z1614">
            <v>2.4146381613071331E-2</v>
          </cell>
          <cell r="AA1614">
            <v>2.4092205571735192E-2</v>
          </cell>
        </row>
        <row r="1615">
          <cell r="Y1615">
            <v>50307</v>
          </cell>
          <cell r="Z1615">
            <v>2.4135988699773209E-2</v>
          </cell>
          <cell r="AA1615">
            <v>2.4081944592868609E-2</v>
          </cell>
        </row>
        <row r="1616">
          <cell r="Y1616">
            <v>50311</v>
          </cell>
          <cell r="Z1616">
            <v>2.4132271164611991E-2</v>
          </cell>
          <cell r="AA1616">
            <v>2.4077849371426652E-2</v>
          </cell>
        </row>
        <row r="1617">
          <cell r="Y1617">
            <v>50318</v>
          </cell>
          <cell r="Z1617">
            <v>2.4125240340949823E-2</v>
          </cell>
          <cell r="AA1617">
            <v>2.4070695342857107E-2</v>
          </cell>
        </row>
        <row r="1618">
          <cell r="Y1618">
            <v>50326</v>
          </cell>
          <cell r="Z1618">
            <v>2.4117225032448068E-2</v>
          </cell>
          <cell r="AA1618">
            <v>2.4062538960407664E-2</v>
          </cell>
        </row>
        <row r="1619">
          <cell r="Y1619">
            <v>50332</v>
          </cell>
          <cell r="Z1619">
            <v>2.4111227493903587E-2</v>
          </cell>
          <cell r="AA1619">
            <v>2.4056435428727596E-2</v>
          </cell>
        </row>
        <row r="1620">
          <cell r="Y1620">
            <v>50339</v>
          </cell>
          <cell r="Z1620">
            <v>2.4104556109486606E-2</v>
          </cell>
          <cell r="AA1620">
            <v>2.404932954316763E-2</v>
          </cell>
        </row>
        <row r="1621">
          <cell r="Y1621">
            <v>50346</v>
          </cell>
          <cell r="Z1621">
            <v>2.4098213968432994E-2</v>
          </cell>
          <cell r="AA1621">
            <v>2.4042536728057229E-2</v>
          </cell>
        </row>
        <row r="1622">
          <cell r="Y1622">
            <v>50353</v>
          </cell>
          <cell r="Z1622">
            <v>2.4090330221473739E-2</v>
          </cell>
          <cell r="AA1622">
            <v>2.4035165915217149E-2</v>
          </cell>
        </row>
        <row r="1623">
          <cell r="Y1623">
            <v>50360</v>
          </cell>
          <cell r="Z1623">
            <v>2.4083396996155918E-2</v>
          </cell>
          <cell r="AA1623">
            <v>2.4028108172746698E-2</v>
          </cell>
        </row>
        <row r="1624">
          <cell r="Y1624">
            <v>50368</v>
          </cell>
          <cell r="Z1624">
            <v>2.4075179768077663E-2</v>
          </cell>
          <cell r="AA1624">
            <v>2.4020061831553363E-2</v>
          </cell>
        </row>
        <row r="1625">
          <cell r="Y1625">
            <v>50374</v>
          </cell>
          <cell r="Z1625">
            <v>2.4068637400794981E-2</v>
          </cell>
          <cell r="AA1625">
            <v>2.4014040830735439E-2</v>
          </cell>
        </row>
        <row r="1626">
          <cell r="Y1626">
            <v>50381</v>
          </cell>
          <cell r="Z1626">
            <v>2.406269491431328E-2</v>
          </cell>
          <cell r="AA1626">
            <v>2.4007031231354503E-2</v>
          </cell>
        </row>
        <row r="1627">
          <cell r="Y1627">
            <v>50388</v>
          </cell>
          <cell r="Z1627">
            <v>2.4055826751176158E-2</v>
          </cell>
          <cell r="AA1627">
            <v>2.4000037679536845E-2</v>
          </cell>
        </row>
        <row r="1628">
          <cell r="Y1628">
            <v>50395</v>
          </cell>
          <cell r="Z1628">
            <v>2.4048974853164987E-2</v>
          </cell>
          <cell r="AA1628">
            <v>2.3993060175522274E-2</v>
          </cell>
        </row>
        <row r="1629">
          <cell r="Y1629">
            <v>50404</v>
          </cell>
          <cell r="Z1629">
            <v>2.404018916951714E-2</v>
          </cell>
          <cell r="AA1629">
            <v>2.3985323725337793E-2</v>
          </cell>
        </row>
        <row r="1630">
          <cell r="Y1630">
            <v>50411</v>
          </cell>
          <cell r="Z1630">
            <v>2.4033056650147364E-2</v>
          </cell>
          <cell r="AA1630">
            <v>2.397717185534276E-2</v>
          </cell>
        </row>
        <row r="1631">
          <cell r="Y1631">
            <v>50419</v>
          </cell>
          <cell r="Z1631">
            <v>2.4025287500931244E-2</v>
          </cell>
          <cell r="AA1631">
            <v>2.3969259135583343E-2</v>
          </cell>
        </row>
        <row r="1632">
          <cell r="Y1632">
            <v>50426</v>
          </cell>
          <cell r="Z1632">
            <v>2.401850692022969E-2</v>
          </cell>
          <cell r="AA1632">
            <v>2.3962352699680167E-2</v>
          </cell>
        </row>
        <row r="1633">
          <cell r="Y1633">
            <v>50433</v>
          </cell>
          <cell r="Z1633">
            <v>2.4011742602560598E-2</v>
          </cell>
          <cell r="AA1633">
            <v>2.3955462311580078E-2</v>
          </cell>
        </row>
        <row r="1634">
          <cell r="Y1634">
            <v>50440</v>
          </cell>
          <cell r="Z1634">
            <v>2.4004994547760131E-2</v>
          </cell>
          <cell r="AA1634">
            <v>2.3948587971123203E-2</v>
          </cell>
        </row>
        <row r="1635">
          <cell r="Y1635">
            <v>50448</v>
          </cell>
          <cell r="Z1635">
            <v>2.399730239863827E-2</v>
          </cell>
          <cell r="AA1635">
            <v>2.3941365237858392E-2</v>
          </cell>
        </row>
        <row r="1636">
          <cell r="Y1636">
            <v>50454</v>
          </cell>
          <cell r="Z1636">
            <v>2.3991547226112322E-2</v>
          </cell>
          <cell r="AA1636">
            <v>2.3934887433139096E-2</v>
          </cell>
        </row>
        <row r="1637">
          <cell r="Y1637">
            <v>50461</v>
          </cell>
          <cell r="Z1637">
            <v>2.3984847958939494E-2</v>
          </cell>
          <cell r="AA1637">
            <v>2.3928061235611864E-2</v>
          </cell>
        </row>
        <row r="1638">
          <cell r="Y1638">
            <v>50468</v>
          </cell>
          <cell r="Z1638">
            <v>2.3979783882640868E-2</v>
          </cell>
          <cell r="AA1638">
            <v>2.3921251085807782E-2</v>
          </cell>
        </row>
        <row r="1639">
          <cell r="Y1639">
            <v>50475</v>
          </cell>
          <cell r="Z1639">
            <v>2.3973120742623498E-2</v>
          </cell>
          <cell r="AA1639">
            <v>2.3914456983646915E-2</v>
          </cell>
        </row>
        <row r="1640">
          <cell r="Y1640">
            <v>50482</v>
          </cell>
          <cell r="Z1640">
            <v>2.3966799349329725E-2</v>
          </cell>
          <cell r="AA1640">
            <v>2.3907678929129261E-2</v>
          </cell>
        </row>
        <row r="1641">
          <cell r="Y1641">
            <v>50489</v>
          </cell>
          <cell r="Z1641">
            <v>2.3959843265903689E-2</v>
          </cell>
          <cell r="AA1641">
            <v>2.3900916922334758E-2</v>
          </cell>
        </row>
        <row r="1642">
          <cell r="Y1642">
            <v>50496</v>
          </cell>
          <cell r="Z1642">
            <v>2.3952248651818171E-2</v>
          </cell>
          <cell r="AA1642">
            <v>2.389417096318347E-2</v>
          </cell>
        </row>
        <row r="1643">
          <cell r="Y1643">
            <v>50503</v>
          </cell>
          <cell r="Z1643">
            <v>2.3945648405743022E-2</v>
          </cell>
          <cell r="AA1643">
            <v>2.3887441051675395E-2</v>
          </cell>
        </row>
        <row r="1644">
          <cell r="Y1644">
            <v>50510</v>
          </cell>
          <cell r="Z1644">
            <v>2.3939064423286523E-2</v>
          </cell>
          <cell r="AA1644">
            <v>2.3880727187810535E-2</v>
          </cell>
        </row>
        <row r="1645">
          <cell r="Y1645">
            <v>50517</v>
          </cell>
          <cell r="Z1645">
            <v>2.393249670428749E-2</v>
          </cell>
          <cell r="AA1645">
            <v>2.3875285184098871E-2</v>
          </cell>
        </row>
        <row r="1646">
          <cell r="Y1646">
            <v>50525</v>
          </cell>
          <cell r="Z1646">
            <v>2.3924681050673319E-2</v>
          </cell>
          <cell r="AA1646">
            <v>2.3867968363373571E-2</v>
          </cell>
        </row>
        <row r="1647">
          <cell r="Y1647">
            <v>50535</v>
          </cell>
          <cell r="Z1647">
            <v>2.391601369325987E-2</v>
          </cell>
          <cell r="AA1647">
            <v>2.3856880103982903E-2</v>
          </cell>
        </row>
        <row r="1648">
          <cell r="Y1648">
            <v>50542</v>
          </cell>
          <cell r="Z1648">
            <v>2.3909504788624598E-2</v>
          </cell>
          <cell r="AA1648">
            <v>2.3850239600875511E-2</v>
          </cell>
        </row>
        <row r="1649">
          <cell r="Y1649">
            <v>50549</v>
          </cell>
          <cell r="Z1649">
            <v>2.3903012147893463E-2</v>
          </cell>
          <cell r="AA1649">
            <v>2.3843615145411334E-2</v>
          </cell>
        </row>
        <row r="1650">
          <cell r="Y1650">
            <v>50557</v>
          </cell>
          <cell r="Z1650">
            <v>2.3895278866383471E-2</v>
          </cell>
          <cell r="AA1650">
            <v>2.3836063989390865E-2</v>
          </cell>
        </row>
        <row r="1651">
          <cell r="Y1651">
            <v>50563</v>
          </cell>
          <cell r="Z1651">
            <v>2.388974199160972E-2</v>
          </cell>
          <cell r="AA1651">
            <v>2.3830414377332687E-2</v>
          </cell>
        </row>
        <row r="1652">
          <cell r="Y1652">
            <v>50570</v>
          </cell>
          <cell r="Z1652">
            <v>2.3883297405027735E-2</v>
          </cell>
          <cell r="AA1652">
            <v>2.3823838064878089E-2</v>
          </cell>
        </row>
        <row r="1653">
          <cell r="Y1653">
            <v>50577</v>
          </cell>
          <cell r="Z1653">
            <v>2.3876869080538189E-2</v>
          </cell>
          <cell r="AA1653">
            <v>2.3817277800066705E-2</v>
          </cell>
        </row>
        <row r="1654">
          <cell r="Y1654">
            <v>50584</v>
          </cell>
          <cell r="Z1654">
            <v>2.3870792897215606E-2</v>
          </cell>
          <cell r="AA1654">
            <v>2.38107335828186E-2</v>
          </cell>
        </row>
        <row r="1655">
          <cell r="Y1655">
            <v>50591</v>
          </cell>
          <cell r="Z1655">
            <v>2.3864397836565444E-2</v>
          </cell>
          <cell r="AA1655">
            <v>2.3804205413293644E-2</v>
          </cell>
        </row>
        <row r="1656">
          <cell r="Y1656">
            <v>50598</v>
          </cell>
          <cell r="Z1656">
            <v>2.3858019038708999E-2</v>
          </cell>
          <cell r="AA1656">
            <v>2.3797693291491839E-2</v>
          </cell>
        </row>
        <row r="1657">
          <cell r="Y1657">
            <v>50606</v>
          </cell>
          <cell r="Z1657">
            <v>2.3850748897439131E-2</v>
          </cell>
          <cell r="AA1657">
            <v>2.3790270516617085E-2</v>
          </cell>
        </row>
        <row r="1658">
          <cell r="Y1658">
            <v>50612</v>
          </cell>
          <cell r="Z1658">
            <v>2.3845310230748647E-2</v>
          </cell>
          <cell r="AA1658">
            <v>2.3784717190578064E-2</v>
          </cell>
        </row>
        <row r="1659">
          <cell r="Y1659">
            <v>50619</v>
          </cell>
          <cell r="Z1659">
            <v>2.383898022033238E-2</v>
          </cell>
          <cell r="AA1659">
            <v>2.3778253211625966E-2</v>
          </cell>
        </row>
        <row r="1660">
          <cell r="Y1660">
            <v>50626</v>
          </cell>
          <cell r="Z1660">
            <v>2.3832666472083812E-2</v>
          </cell>
          <cell r="AA1660">
            <v>2.3771805280317082E-2</v>
          </cell>
        </row>
        <row r="1661">
          <cell r="Y1661">
            <v>50633</v>
          </cell>
          <cell r="Z1661">
            <v>2.3826368985847848E-2</v>
          </cell>
          <cell r="AA1661">
            <v>2.3765373396651412E-2</v>
          </cell>
        </row>
        <row r="1662">
          <cell r="Y1662">
            <v>50640</v>
          </cell>
          <cell r="Z1662">
            <v>2.3820087761469398E-2</v>
          </cell>
          <cell r="AA1662">
            <v>2.3758957560628957E-2</v>
          </cell>
        </row>
        <row r="1663">
          <cell r="Y1663">
            <v>50648</v>
          </cell>
          <cell r="Z1663">
            <v>2.3811901323280274E-2</v>
          </cell>
          <cell r="AA1663">
            <v>2.3751644826770502E-2</v>
          </cell>
        </row>
        <row r="1664">
          <cell r="Y1664">
            <v>50654</v>
          </cell>
          <cell r="Z1664">
            <v>2.3806887518376289E-2</v>
          </cell>
          <cell r="AA1664">
            <v>2.3746174031513689E-2</v>
          </cell>
        </row>
        <row r="1665">
          <cell r="Y1665">
            <v>50661</v>
          </cell>
          <cell r="Z1665">
            <v>2.3800653575158391E-2</v>
          </cell>
          <cell r="AA1665">
            <v>2.3739806338340941E-2</v>
          </cell>
        </row>
        <row r="1666">
          <cell r="Y1666">
            <v>50669</v>
          </cell>
          <cell r="Z1666">
            <v>2.3793548977488657E-2</v>
          </cell>
          <cell r="AA1666">
            <v>2.3732548625030603E-2</v>
          </cell>
        </row>
        <row r="1667">
          <cell r="Y1667">
            <v>50676</v>
          </cell>
          <cell r="Z1667">
            <v>2.3787004349609071E-2</v>
          </cell>
          <cell r="AA1667">
            <v>2.3726215319790356E-2</v>
          </cell>
        </row>
        <row r="1668">
          <cell r="Y1668">
            <v>50683</v>
          </cell>
          <cell r="Z1668">
            <v>2.3781167030327892E-2</v>
          </cell>
          <cell r="AA1668">
            <v>2.3719898062193323E-2</v>
          </cell>
        </row>
        <row r="1669">
          <cell r="Y1669">
            <v>50691</v>
          </cell>
          <cell r="Z1669">
            <v>2.3775000444480662E-2</v>
          </cell>
          <cell r="AA1669">
            <v>2.371269798925546E-2</v>
          </cell>
        </row>
        <row r="1670">
          <cell r="Y1670">
            <v>50697</v>
          </cell>
          <cell r="Z1670">
            <v>2.376885011692309E-2</v>
          </cell>
          <cell r="AA1670">
            <v>2.3707311689769028E-2</v>
          </cell>
        </row>
        <row r="1671">
          <cell r="Y1671">
            <v>50704</v>
          </cell>
          <cell r="Z1671">
            <v>2.3762716047503653E-2</v>
          </cell>
          <cell r="AA1671">
            <v>2.3701042574941766E-2</v>
          </cell>
        </row>
        <row r="1672">
          <cell r="Y1672">
            <v>50711</v>
          </cell>
          <cell r="Z1672">
            <v>2.3757646702697782E-2</v>
          </cell>
          <cell r="AA1672">
            <v>2.3695123267937213E-2</v>
          </cell>
        </row>
        <row r="1673">
          <cell r="Y1673">
            <v>50718</v>
          </cell>
          <cell r="Z1673">
            <v>2.3750146608940041E-2</v>
          </cell>
          <cell r="AA1673">
            <v>2.3688552488456693E-2</v>
          </cell>
        </row>
        <row r="1674">
          <cell r="Y1674">
            <v>50725</v>
          </cell>
          <cell r="Z1674">
            <v>2.3744060550897096E-2</v>
          </cell>
          <cell r="AA1674">
            <v>2.368233151663901E-2</v>
          </cell>
        </row>
        <row r="1675">
          <cell r="Y1675">
            <v>50733</v>
          </cell>
          <cell r="Z1675">
            <v>2.3737124961762487E-2</v>
          </cell>
          <cell r="AA1675">
            <v>2.3675241484717446E-2</v>
          </cell>
        </row>
        <row r="1676">
          <cell r="Y1676">
            <v>50739</v>
          </cell>
          <cell r="Z1676">
            <v>2.3732289567280407E-2</v>
          </cell>
          <cell r="AA1676">
            <v>2.3669937715773415E-2</v>
          </cell>
        </row>
        <row r="1677">
          <cell r="Y1677">
            <v>50746</v>
          </cell>
          <cell r="Z1677">
            <v>2.3726253043572697E-2</v>
          </cell>
          <cell r="AA1677">
            <v>2.3663764886885374E-2</v>
          </cell>
        </row>
        <row r="1678">
          <cell r="Y1678">
            <v>50753</v>
          </cell>
          <cell r="Z1678">
            <v>2.3720232784171371E-2</v>
          </cell>
          <cell r="AA1678">
            <v>2.3657608105560612E-2</v>
          </cell>
        </row>
        <row r="1679">
          <cell r="Y1679">
            <v>50760</v>
          </cell>
          <cell r="Z1679">
            <v>2.3714228917133557E-2</v>
          </cell>
          <cell r="AA1679">
            <v>2.3651467371959001E-2</v>
          </cell>
        </row>
        <row r="1680">
          <cell r="Y1680">
            <v>50769</v>
          </cell>
          <cell r="Z1680">
            <v>2.370653411434432E-2</v>
          </cell>
          <cell r="AA1680">
            <v>2.3644955807839096E-2</v>
          </cell>
        </row>
        <row r="1681">
          <cell r="Y1681">
            <v>50776</v>
          </cell>
          <cell r="Z1681">
            <v>2.3700211928218209E-2</v>
          </cell>
          <cell r="AA1681">
            <v>2.3637491669683541E-2</v>
          </cell>
        </row>
        <row r="1682">
          <cell r="Y1682">
            <v>50783</v>
          </cell>
          <cell r="Z1682">
            <v>2.3694262639499086E-2</v>
          </cell>
          <cell r="AA1682">
            <v>2.3631403663983974E-2</v>
          </cell>
        </row>
        <row r="1683">
          <cell r="Y1683">
            <v>50790</v>
          </cell>
          <cell r="Z1683">
            <v>2.3688330703945496E-2</v>
          </cell>
          <cell r="AA1683">
            <v>2.3625331705847685E-2</v>
          </cell>
        </row>
        <row r="1684">
          <cell r="Y1684">
            <v>50797</v>
          </cell>
          <cell r="Z1684">
            <v>2.3682416354312251E-2</v>
          </cell>
          <cell r="AA1684">
            <v>2.3619275795354611E-2</v>
          </cell>
        </row>
        <row r="1685">
          <cell r="Y1685">
            <v>50804</v>
          </cell>
          <cell r="Z1685">
            <v>2.3676519823351068E-2</v>
          </cell>
          <cell r="AA1685">
            <v>2.361323593250475E-2</v>
          </cell>
        </row>
        <row r="1686">
          <cell r="Y1686">
            <v>50811</v>
          </cell>
          <cell r="Z1686">
            <v>2.3670641343812342E-2</v>
          </cell>
          <cell r="AA1686">
            <v>2.3608245525477134E-2</v>
          </cell>
        </row>
        <row r="1687">
          <cell r="Y1687">
            <v>50818</v>
          </cell>
          <cell r="Z1687">
            <v>2.3664781148442934E-2</v>
          </cell>
          <cell r="AA1687">
            <v>2.36012043495748E-2</v>
          </cell>
        </row>
        <row r="1688">
          <cell r="Y1688">
            <v>50825</v>
          </cell>
          <cell r="Z1688">
            <v>2.365893946998926E-2</v>
          </cell>
          <cell r="AA1688">
            <v>2.3595212629654583E-2</v>
          </cell>
        </row>
        <row r="1689">
          <cell r="Y1689">
            <v>50832</v>
          </cell>
          <cell r="Z1689">
            <v>2.3654940737545975E-2</v>
          </cell>
          <cell r="AA1689">
            <v>2.3589236957217707E-2</v>
          </cell>
        </row>
        <row r="1690">
          <cell r="Y1690">
            <v>50839</v>
          </cell>
          <cell r="Z1690">
            <v>2.3649142270987456E-2</v>
          </cell>
          <cell r="AA1690">
            <v>2.3583277332424046E-2</v>
          </cell>
        </row>
        <row r="1691">
          <cell r="Y1691">
            <v>50846</v>
          </cell>
          <cell r="Z1691">
            <v>2.364373054221016E-2</v>
          </cell>
          <cell r="AA1691">
            <v>2.35773337552736E-2</v>
          </cell>
        </row>
        <row r="1692">
          <cell r="Y1692">
            <v>50853</v>
          </cell>
          <cell r="Z1692">
            <v>2.3637603476782173E-2</v>
          </cell>
          <cell r="AA1692">
            <v>2.3571406225766367E-2</v>
          </cell>
        </row>
        <row r="1693">
          <cell r="Y1693">
            <v>50860</v>
          </cell>
          <cell r="Z1693">
            <v>2.3630755236807542E-2</v>
          </cell>
          <cell r="AA1693">
            <v>2.3565494743822413E-2</v>
          </cell>
        </row>
        <row r="1694">
          <cell r="Y1694">
            <v>50867</v>
          </cell>
          <cell r="Z1694">
            <v>2.3625031864350918E-2</v>
          </cell>
          <cell r="AA1694">
            <v>2.3561001573842333E-2</v>
          </cell>
        </row>
        <row r="1695">
          <cell r="Y1695">
            <v>50874</v>
          </cell>
          <cell r="Z1695">
            <v>2.3619328664023616E-2</v>
          </cell>
          <cell r="AA1695">
            <v>2.3553719922944083E-2</v>
          </cell>
        </row>
        <row r="1696">
          <cell r="Y1696">
            <v>50881</v>
          </cell>
          <cell r="Z1696">
            <v>2.3613645866037116E-2</v>
          </cell>
          <cell r="AA1696">
            <v>2.3547856583849835E-2</v>
          </cell>
        </row>
        <row r="1697">
          <cell r="Y1697">
            <v>50888</v>
          </cell>
          <cell r="Z1697">
            <v>2.3609106206846961E-2</v>
          </cell>
          <cell r="AA1697">
            <v>2.354448020397415E-2</v>
          </cell>
        </row>
        <row r="1698">
          <cell r="Y1698">
            <v>50900</v>
          </cell>
          <cell r="Z1698">
            <v>2.3598701900910426E-2</v>
          </cell>
          <cell r="AA1698">
            <v>2.3532022699486177E-2</v>
          </cell>
        </row>
        <row r="1699">
          <cell r="Y1699">
            <v>50907</v>
          </cell>
          <cell r="Z1699">
            <v>2.3593098114967761E-2</v>
          </cell>
          <cell r="AA1699">
            <v>2.3526218965832513E-2</v>
          </cell>
        </row>
        <row r="1700">
          <cell r="Y1700">
            <v>50914</v>
          </cell>
          <cell r="Z1700">
            <v>2.3587515822384792E-2</v>
          </cell>
          <cell r="AA1700">
            <v>2.3520431279901999E-2</v>
          </cell>
        </row>
        <row r="1701">
          <cell r="Y1701">
            <v>50922</v>
          </cell>
          <cell r="Z1701">
            <v>2.3580782726367898E-2</v>
          </cell>
          <cell r="AA1701">
            <v>2.3513836431794388E-2</v>
          </cell>
        </row>
        <row r="1702">
          <cell r="Y1702">
            <v>50928</v>
          </cell>
          <cell r="Z1702">
            <v>2.3576035633493916E-2</v>
          </cell>
          <cell r="AA1702">
            <v>2.3508904050730806E-2</v>
          </cell>
        </row>
        <row r="1703">
          <cell r="Y1703">
            <v>50935</v>
          </cell>
          <cell r="Z1703">
            <v>2.3570517955520814E-2</v>
          </cell>
          <cell r="AA1703">
            <v>2.3503165742422283E-2</v>
          </cell>
        </row>
        <row r="1704">
          <cell r="Y1704">
            <v>50942</v>
          </cell>
          <cell r="Z1704">
            <v>2.3565022551262388E-2</v>
          </cell>
          <cell r="AA1704">
            <v>2.3497449048903718E-2</v>
          </cell>
        </row>
        <row r="1705">
          <cell r="Y1705">
            <v>50949</v>
          </cell>
          <cell r="Z1705">
            <v>2.3559549423557462E-2</v>
          </cell>
          <cell r="AA1705">
            <v>2.3491754354907357E-2</v>
          </cell>
        </row>
        <row r="1706">
          <cell r="Y1706">
            <v>50956</v>
          </cell>
          <cell r="Z1706">
            <v>2.3554484509462532E-2</v>
          </cell>
          <cell r="AA1706">
            <v>2.34860816604332E-2</v>
          </cell>
        </row>
        <row r="1707">
          <cell r="Y1707">
            <v>50963</v>
          </cell>
          <cell r="Z1707">
            <v>2.3549057172510064E-2</v>
          </cell>
          <cell r="AA1707">
            <v>2.3480430965321375E-2</v>
          </cell>
        </row>
        <row r="1708">
          <cell r="Y1708">
            <v>50971</v>
          </cell>
          <cell r="Z1708">
            <v>2.3543652113078732E-2</v>
          </cell>
          <cell r="AA1708">
            <v>2.3473999966228121E-2</v>
          </cell>
        </row>
        <row r="1709">
          <cell r="Y1709">
            <v>50977</v>
          </cell>
          <cell r="Z1709">
            <v>2.3538269330985198E-2</v>
          </cell>
          <cell r="AA1709">
            <v>2.3469195573504464E-2</v>
          </cell>
        </row>
        <row r="1710">
          <cell r="Y1710">
            <v>50984</v>
          </cell>
          <cell r="Z1710">
            <v>2.3532908826049175E-2</v>
          </cell>
          <cell r="AA1710">
            <v>2.3463610876719443E-2</v>
          </cell>
        </row>
        <row r="1711">
          <cell r="Y1711">
            <v>50991</v>
          </cell>
          <cell r="Z1711">
            <v>2.3527570598088198E-2</v>
          </cell>
          <cell r="AA1711">
            <v>2.3458048179536561E-2</v>
          </cell>
        </row>
        <row r="1712">
          <cell r="Y1712">
            <v>50998</v>
          </cell>
          <cell r="Z1712">
            <v>2.3522254646923719E-2</v>
          </cell>
          <cell r="AA1712">
            <v>2.3452507481716012E-2</v>
          </cell>
        </row>
        <row r="1713">
          <cell r="Y1713">
            <v>51005</v>
          </cell>
          <cell r="Z1713">
            <v>2.351696097237457E-2</v>
          </cell>
          <cell r="AA1713">
            <v>2.3446988783417666E-2</v>
          </cell>
        </row>
        <row r="1714">
          <cell r="Y1714">
            <v>51013</v>
          </cell>
          <cell r="Z1714">
            <v>2.3510146345157256E-2</v>
          </cell>
          <cell r="AA1714">
            <v>2.3440708637734176E-2</v>
          </cell>
        </row>
        <row r="1715">
          <cell r="Y1715">
            <v>51019</v>
          </cell>
          <cell r="Z1715">
            <v>2.3505646318315986E-2</v>
          </cell>
          <cell r="AA1715">
            <v>2.3436017384987906E-2</v>
          </cell>
        </row>
        <row r="1716">
          <cell r="Y1716">
            <v>51026</v>
          </cell>
          <cell r="Z1716">
            <v>2.3500416969125831E-2</v>
          </cell>
          <cell r="AA1716">
            <v>2.34305646850963E-2</v>
          </cell>
        </row>
        <row r="1717">
          <cell r="Y1717">
            <v>51034</v>
          </cell>
          <cell r="Z1717">
            <v>2.3495609396146158E-2</v>
          </cell>
          <cell r="AA1717">
            <v>2.3424359966037755E-2</v>
          </cell>
        </row>
        <row r="1718">
          <cell r="Y1718">
            <v>51041</v>
          </cell>
          <cell r="Z1718">
            <v>2.3489286221188857E-2</v>
          </cell>
          <cell r="AA1718">
            <v>2.3418954407636861E-2</v>
          </cell>
        </row>
        <row r="1719">
          <cell r="Y1719">
            <v>51048</v>
          </cell>
          <cell r="Z1719">
            <v>2.348452906558314E-2</v>
          </cell>
          <cell r="AA1719">
            <v>2.3413570848838106E-2</v>
          </cell>
        </row>
        <row r="1720">
          <cell r="Y1720">
            <v>51056</v>
          </cell>
          <cell r="Z1720">
            <v>2.3478661376352031E-2</v>
          </cell>
          <cell r="AA1720">
            <v>2.3407445148171391E-2</v>
          </cell>
        </row>
        <row r="1721">
          <cell r="Y1721">
            <v>51063</v>
          </cell>
          <cell r="Z1721">
            <v>2.3473551012913377E-2</v>
          </cell>
          <cell r="AA1721">
            <v>2.3402108730863347E-2</v>
          </cell>
        </row>
        <row r="1722">
          <cell r="Y1722">
            <v>51070</v>
          </cell>
          <cell r="Z1722">
            <v>2.3468462922960079E-2</v>
          </cell>
          <cell r="AA1722">
            <v>2.3396794313157443E-2</v>
          </cell>
        </row>
        <row r="1723">
          <cell r="Y1723">
            <v>51078</v>
          </cell>
          <cell r="Z1723">
            <v>2.3463898853067156E-2</v>
          </cell>
          <cell r="AA1723">
            <v>2.3391513698118871E-2</v>
          </cell>
        </row>
        <row r="1724">
          <cell r="Y1724">
            <v>51084</v>
          </cell>
          <cell r="Z1724">
            <v>2.3457944884189341E-2</v>
          </cell>
          <cell r="AA1724">
            <v>2.3386231475992503E-2</v>
          </cell>
        </row>
        <row r="1725">
          <cell r="Y1725">
            <v>51091</v>
          </cell>
          <cell r="Z1725">
            <v>2.345292234808628E-2</v>
          </cell>
          <cell r="AA1725">
            <v>2.338098305645353E-2</v>
          </cell>
        </row>
        <row r="1726">
          <cell r="Y1726">
            <v>51099</v>
          </cell>
          <cell r="Z1726">
            <v>2.344792208328934E-2</v>
          </cell>
          <cell r="AA1726">
            <v>2.3375785253465509E-2</v>
          </cell>
        </row>
        <row r="1727">
          <cell r="Y1727">
            <v>51105</v>
          </cell>
          <cell r="Z1727">
            <v>2.344335656950049E-2</v>
          </cell>
          <cell r="AA1727">
            <v>2.3370552215862261E-2</v>
          </cell>
        </row>
        <row r="1728">
          <cell r="Y1728">
            <v>51112</v>
          </cell>
          <cell r="Z1728">
            <v>2.3438402116891442E-2</v>
          </cell>
          <cell r="AA1728">
            <v>2.3365369794809965E-2</v>
          </cell>
        </row>
        <row r="1729">
          <cell r="Y1729">
            <v>51119</v>
          </cell>
          <cell r="Z1729">
            <v>2.3433469936586612E-2</v>
          </cell>
          <cell r="AA1729">
            <v>2.336020937312E-2</v>
          </cell>
        </row>
        <row r="1730">
          <cell r="Y1730">
            <v>51126</v>
          </cell>
          <cell r="Z1730">
            <v>2.3428560028420888E-2</v>
          </cell>
          <cell r="AA1730">
            <v>2.3357029432609089E-2</v>
          </cell>
        </row>
        <row r="1731">
          <cell r="Y1731">
            <v>51134</v>
          </cell>
          <cell r="Z1731">
            <v>2.3422558225247348E-2</v>
          </cell>
          <cell r="AA1731">
            <v>2.3350797590342864E-2</v>
          </cell>
        </row>
        <row r="1732">
          <cell r="Y1732">
            <v>51141</v>
          </cell>
          <cell r="Z1732">
            <v>2.3417694766268947E-2</v>
          </cell>
          <cell r="AA1732">
            <v>2.3345316785456927E-2</v>
          </cell>
        </row>
        <row r="1733">
          <cell r="Y1733">
            <v>51148</v>
          </cell>
          <cell r="Z1733">
            <v>2.3412853577421341E-2</v>
          </cell>
          <cell r="AA1733">
            <v>2.3339855634798568E-2</v>
          </cell>
        </row>
        <row r="1734">
          <cell r="Y1734">
            <v>51155</v>
          </cell>
          <cell r="Z1734">
            <v>2.3408034658542461E-2</v>
          </cell>
          <cell r="AA1734">
            <v>2.3334810841841858E-2</v>
          </cell>
        </row>
        <row r="1735">
          <cell r="Y1735">
            <v>51162</v>
          </cell>
          <cell r="Z1735">
            <v>2.3403238009471996E-2</v>
          </cell>
          <cell r="AA1735">
            <v>2.3329788051311695E-2</v>
          </cell>
        </row>
        <row r="1736">
          <cell r="Y1736">
            <v>51169</v>
          </cell>
          <cell r="Z1736">
            <v>2.3398463630050072E-2</v>
          </cell>
          <cell r="AA1736">
            <v>2.3324787263234725E-2</v>
          </cell>
        </row>
        <row r="1737">
          <cell r="Y1737">
            <v>51176</v>
          </cell>
          <cell r="Z1737">
            <v>2.3393711520116382E-2</v>
          </cell>
          <cell r="AA1737">
            <v>2.3319808477557658E-2</v>
          </cell>
        </row>
        <row r="1738">
          <cell r="Y1738">
            <v>51183</v>
          </cell>
          <cell r="Z1738">
            <v>2.3388981679513685E-2</v>
          </cell>
          <cell r="AA1738">
            <v>2.3314851694280492E-2</v>
          </cell>
        </row>
        <row r="1739">
          <cell r="Y1739">
            <v>51190</v>
          </cell>
          <cell r="Z1739">
            <v>2.338427410808255E-2</v>
          </cell>
          <cell r="AA1739">
            <v>2.3309916913403228E-2</v>
          </cell>
        </row>
        <row r="1740">
          <cell r="Y1740">
            <v>51197</v>
          </cell>
          <cell r="Z1740">
            <v>2.3380877105699201E-2</v>
          </cell>
          <cell r="AA1740">
            <v>2.3305004134979157E-2</v>
          </cell>
        </row>
        <row r="1741">
          <cell r="Y1741">
            <v>51204</v>
          </cell>
          <cell r="Z1741">
            <v>2.3376217941764969E-2</v>
          </cell>
          <cell r="AA1741">
            <v>2.3300113358954988E-2</v>
          </cell>
        </row>
        <row r="1742">
          <cell r="Y1742">
            <v>51211</v>
          </cell>
          <cell r="Z1742">
            <v>2.3372013350125301E-2</v>
          </cell>
          <cell r="AA1742">
            <v>2.3295244585304076E-2</v>
          </cell>
        </row>
        <row r="1743">
          <cell r="Y1743">
            <v>51218</v>
          </cell>
          <cell r="Z1743">
            <v>2.3366966433221503E-2</v>
          </cell>
          <cell r="AA1743">
            <v>2.3290397814079711E-2</v>
          </cell>
        </row>
        <row r="1744">
          <cell r="Y1744">
            <v>51229</v>
          </cell>
          <cell r="Z1744">
            <v>2.3358889064377664E-2</v>
          </cell>
          <cell r="AA1744">
            <v>2.3282006140989964E-2</v>
          </cell>
        </row>
        <row r="1745">
          <cell r="Y1745">
            <v>51232</v>
          </cell>
          <cell r="Z1745">
            <v>2.3358240199347999E-2</v>
          </cell>
          <cell r="AA1745">
            <v>2.3280770278804042E-2</v>
          </cell>
        </row>
        <row r="1746">
          <cell r="Y1746">
            <v>51239</v>
          </cell>
          <cell r="Z1746">
            <v>2.3353256216372121E-2</v>
          </cell>
          <cell r="AA1746">
            <v>2.3275989514726092E-2</v>
          </cell>
        </row>
        <row r="1747">
          <cell r="Y1747">
            <v>51246</v>
          </cell>
          <cell r="Z1747">
            <v>2.3348730689058794E-2</v>
          </cell>
          <cell r="AA1747">
            <v>2.327123075307469E-2</v>
          </cell>
        </row>
        <row r="1748">
          <cell r="Y1748">
            <v>51253</v>
          </cell>
          <cell r="Z1748">
            <v>2.3345107738999667E-2</v>
          </cell>
          <cell r="AA1748">
            <v>2.3266908419437016E-2</v>
          </cell>
        </row>
        <row r="1749">
          <cell r="Y1749">
            <v>51265</v>
          </cell>
          <cell r="Z1749">
            <v>2.3336753905024387E-2</v>
          </cell>
          <cell r="AA1749">
            <v>2.3257592243366432E-2</v>
          </cell>
        </row>
        <row r="1750">
          <cell r="Y1750">
            <v>51267</v>
          </cell>
          <cell r="Z1750">
            <v>2.3335287739880323E-2</v>
          </cell>
          <cell r="AA1750">
            <v>2.3257086482439959E-2</v>
          </cell>
        </row>
        <row r="1751">
          <cell r="Y1751">
            <v>51274</v>
          </cell>
          <cell r="Z1751">
            <v>2.3330851300567543E-2</v>
          </cell>
          <cell r="AA1751">
            <v>2.3252415730308229E-2</v>
          </cell>
        </row>
        <row r="1752">
          <cell r="Y1752">
            <v>51281</v>
          </cell>
          <cell r="Z1752">
            <v>2.3326437132876715E-2</v>
          </cell>
          <cell r="AA1752">
            <v>2.3248186483255662E-2</v>
          </cell>
        </row>
        <row r="1753">
          <cell r="Y1753">
            <v>51288</v>
          </cell>
          <cell r="Z1753">
            <v>2.3322045236658335E-2</v>
          </cell>
          <cell r="AA1753">
            <v>2.3243140233191184E-2</v>
          </cell>
        </row>
        <row r="1754">
          <cell r="Y1754">
            <v>51295</v>
          </cell>
          <cell r="Z1754">
            <v>2.3317675611763337E-2</v>
          </cell>
          <cell r="AA1754">
            <v>2.3238535488179224E-2</v>
          </cell>
        </row>
        <row r="1755">
          <cell r="Y1755">
            <v>51302</v>
          </cell>
          <cell r="Z1755">
            <v>2.3313328258043515E-2</v>
          </cell>
          <cell r="AA1755">
            <v>2.3233952745567166E-2</v>
          </cell>
        </row>
        <row r="1756">
          <cell r="Y1756">
            <v>51309</v>
          </cell>
          <cell r="Z1756">
            <v>2.3310355227920673E-2</v>
          </cell>
          <cell r="AA1756">
            <v>2.3229392005301719E-2</v>
          </cell>
        </row>
        <row r="1757">
          <cell r="Y1757">
            <v>51316</v>
          </cell>
          <cell r="Z1757">
            <v>2.330334567533833E-2</v>
          </cell>
          <cell r="AA1757">
            <v>2.3224853267382883E-2</v>
          </cell>
        </row>
        <row r="1758">
          <cell r="Y1758">
            <v>51323</v>
          </cell>
          <cell r="Z1758">
            <v>2.3300419822464263E-2</v>
          </cell>
          <cell r="AA1758">
            <v>2.3220336531890595E-2</v>
          </cell>
        </row>
        <row r="1759">
          <cell r="Y1759">
            <v>51330</v>
          </cell>
          <cell r="Z1759">
            <v>2.3296616037363948E-2</v>
          </cell>
          <cell r="AA1759">
            <v>2.3216270243244796E-2</v>
          </cell>
        </row>
        <row r="1760">
          <cell r="Y1760">
            <v>51337</v>
          </cell>
          <cell r="Z1760">
            <v>2.3291925551937518E-2</v>
          </cell>
          <cell r="AA1760">
            <v>2.3211369067892562E-2</v>
          </cell>
        </row>
        <row r="1761">
          <cell r="Y1761">
            <v>51344</v>
          </cell>
          <cell r="Z1761">
            <v>2.3287711822198333E-2</v>
          </cell>
          <cell r="AA1761">
            <v>2.3206918339466753E-2</v>
          </cell>
        </row>
        <row r="1762">
          <cell r="Y1762">
            <v>51351</v>
          </cell>
          <cell r="Z1762">
            <v>2.3283520362618052E-2</v>
          </cell>
          <cell r="AA1762">
            <v>2.3202489613334265E-2</v>
          </cell>
        </row>
        <row r="1763">
          <cell r="Y1763">
            <v>51358</v>
          </cell>
          <cell r="Z1763">
            <v>2.3279810940691863E-2</v>
          </cell>
          <cell r="AA1763">
            <v>2.3198082889575034E-2</v>
          </cell>
        </row>
        <row r="1764">
          <cell r="Y1764">
            <v>51365</v>
          </cell>
          <cell r="Z1764">
            <v>2.3275204253366013E-2</v>
          </cell>
          <cell r="AA1764">
            <v>2.3193698168162413E-2</v>
          </cell>
        </row>
        <row r="1765">
          <cell r="Y1765">
            <v>51372</v>
          </cell>
          <cell r="Z1765">
            <v>2.3271079603412535E-2</v>
          </cell>
          <cell r="AA1765">
            <v>2.3189771615572674E-2</v>
          </cell>
        </row>
        <row r="1766">
          <cell r="Y1766">
            <v>51379</v>
          </cell>
          <cell r="Z1766">
            <v>2.3265123713109098E-2</v>
          </cell>
          <cell r="AA1766">
            <v>2.3184994732377007E-2</v>
          </cell>
        </row>
        <row r="1767">
          <cell r="Y1767">
            <v>51386</v>
          </cell>
          <cell r="Z1767">
            <v>2.3261038289577693E-2</v>
          </cell>
          <cell r="AA1767">
            <v>2.318067601800422E-2</v>
          </cell>
        </row>
        <row r="1768">
          <cell r="Y1768">
            <v>51393</v>
          </cell>
          <cell r="Z1768">
            <v>2.32569751294988E-2</v>
          </cell>
          <cell r="AA1768">
            <v>2.317681935325E-2</v>
          </cell>
        </row>
        <row r="1769">
          <cell r="Y1769">
            <v>51400</v>
          </cell>
          <cell r="Z1769">
            <v>2.3252934232737731E-2</v>
          </cell>
          <cell r="AA1769">
            <v>2.3172104596245191E-2</v>
          </cell>
        </row>
        <row r="1770">
          <cell r="Y1770">
            <v>51407</v>
          </cell>
          <cell r="Z1770">
            <v>2.3249384076605206E-2</v>
          </cell>
          <cell r="AA1770">
            <v>2.3167851888858948E-2</v>
          </cell>
        </row>
        <row r="1771">
          <cell r="Y1771">
            <v>51414</v>
          </cell>
          <cell r="Z1771">
            <v>2.3245389039805369E-2</v>
          </cell>
          <cell r="AA1771">
            <v>2.3164065125136357E-2</v>
          </cell>
        </row>
        <row r="1772">
          <cell r="Y1772">
            <v>51421</v>
          </cell>
          <cell r="Z1772">
            <v>2.3241416267387079E-2</v>
          </cell>
          <cell r="AA1772">
            <v>2.3159412481126296E-2</v>
          </cell>
        </row>
        <row r="1773">
          <cell r="Y1773">
            <v>51428</v>
          </cell>
          <cell r="Z1773">
            <v>2.3239357173595702E-2</v>
          </cell>
          <cell r="AA1773">
            <v>2.3155225780726596E-2</v>
          </cell>
        </row>
        <row r="1774">
          <cell r="Y1774">
            <v>51435</v>
          </cell>
          <cell r="Z1774">
            <v>2.3233537515163261E-2</v>
          </cell>
          <cell r="AA1774">
            <v>2.3151061082673507E-2</v>
          </cell>
        </row>
        <row r="1775">
          <cell r="Y1775">
            <v>51442</v>
          </cell>
          <cell r="Z1775">
            <v>2.3229156374383626E-2</v>
          </cell>
          <cell r="AA1775">
            <v>2.314691838691374E-2</v>
          </cell>
        </row>
        <row r="1776">
          <cell r="Y1776">
            <v>51449</v>
          </cell>
          <cell r="Z1776">
            <v>2.322527131713225E-2</v>
          </cell>
          <cell r="AA1776">
            <v>2.3142797693500583E-2</v>
          </cell>
        </row>
        <row r="1777">
          <cell r="Y1777">
            <v>51456</v>
          </cell>
          <cell r="Z1777">
            <v>2.3221408522147158E-2</v>
          </cell>
          <cell r="AA1777">
            <v>2.3138699002407392E-2</v>
          </cell>
        </row>
        <row r="1778">
          <cell r="Y1778">
            <v>51466</v>
          </cell>
          <cell r="Z1778">
            <v>2.3216888540077221E-2</v>
          </cell>
          <cell r="AA1778">
            <v>2.3131975048800157E-2</v>
          </cell>
        </row>
        <row r="1779">
          <cell r="Y1779">
            <v>51470</v>
          </cell>
          <cell r="Z1779">
            <v>2.3214230252082649E-2</v>
          </cell>
          <cell r="AA1779">
            <v>2.3130567627154264E-2</v>
          </cell>
        </row>
        <row r="1780">
          <cell r="Y1780">
            <v>51477</v>
          </cell>
          <cell r="Z1780">
            <v>2.3210435590002704E-2</v>
          </cell>
          <cell r="AA1780">
            <v>2.3126534942994326E-2</v>
          </cell>
        </row>
        <row r="1781">
          <cell r="Y1781">
            <v>51484</v>
          </cell>
          <cell r="Z1781">
            <v>2.320666319113689E-2</v>
          </cell>
          <cell r="AA1781">
            <v>2.3122524261127708E-2</v>
          </cell>
        </row>
        <row r="1782">
          <cell r="Y1782">
            <v>51491</v>
          </cell>
          <cell r="Z1782">
            <v>2.3202913055359594E-2</v>
          </cell>
          <cell r="AA1782">
            <v>2.3119911012723371E-2</v>
          </cell>
        </row>
        <row r="1783">
          <cell r="Y1783">
            <v>51505</v>
          </cell>
          <cell r="Z1783">
            <v>2.3194992290012831E-2</v>
          </cell>
          <cell r="AA1783">
            <v>2.3110624229367716E-2</v>
          </cell>
        </row>
        <row r="1784">
          <cell r="Y1784">
            <v>51509</v>
          </cell>
          <cell r="Z1784">
            <v>2.3192884020487466E-2</v>
          </cell>
          <cell r="AA1784">
            <v>2.3107457001207976E-2</v>
          </cell>
        </row>
        <row r="1785">
          <cell r="Y1785">
            <v>51517</v>
          </cell>
          <cell r="Z1785">
            <v>2.3189701450910025E-2</v>
          </cell>
          <cell r="AA1785">
            <v>2.3102987093324145E-2</v>
          </cell>
        </row>
        <row r="1786">
          <cell r="Y1786">
            <v>51523</v>
          </cell>
          <cell r="Z1786">
            <v>2.3185562320061411E-2</v>
          </cell>
          <cell r="AA1786">
            <v>2.3099653519027541E-2</v>
          </cell>
        </row>
        <row r="1787">
          <cell r="Y1787">
            <v>51530</v>
          </cell>
          <cell r="Z1787">
            <v>2.3181934861330668E-2</v>
          </cell>
          <cell r="AA1787">
            <v>2.3095784776980821E-2</v>
          </cell>
        </row>
        <row r="1788">
          <cell r="Y1788">
            <v>51537</v>
          </cell>
          <cell r="Z1788">
            <v>2.3178329663427363E-2</v>
          </cell>
          <cell r="AA1788">
            <v>2.3091938034296433E-2</v>
          </cell>
        </row>
        <row r="1789">
          <cell r="Y1789">
            <v>51545</v>
          </cell>
          <cell r="Z1789">
            <v>2.3174746726232254E-2</v>
          </cell>
          <cell r="AA1789">
            <v>2.3087568694926119E-2</v>
          </cell>
        </row>
        <row r="1790">
          <cell r="Y1790">
            <v>51551</v>
          </cell>
          <cell r="Z1790">
            <v>2.3171186049626095E-2</v>
          </cell>
          <cell r="AA1790">
            <v>2.3084310547174525E-2</v>
          </cell>
        </row>
        <row r="1791">
          <cell r="Y1791">
            <v>51558</v>
          </cell>
          <cell r="Z1791">
            <v>2.3168145205084322E-2</v>
          </cell>
          <cell r="AA1791">
            <v>2.3080529802657068E-2</v>
          </cell>
        </row>
        <row r="1792">
          <cell r="Y1792">
            <v>51565</v>
          </cell>
          <cell r="Z1792">
            <v>2.3165628743911686E-2</v>
          </cell>
          <cell r="AA1792">
            <v>2.3076771057501944E-2</v>
          </cell>
        </row>
        <row r="1793">
          <cell r="Y1793">
            <v>51572</v>
          </cell>
          <cell r="Z1793">
            <v>2.316213894874319E-2</v>
          </cell>
          <cell r="AA1793">
            <v>2.3073034311789087E-2</v>
          </cell>
        </row>
        <row r="1794">
          <cell r="Y1794">
            <v>51579</v>
          </cell>
          <cell r="Z1794">
            <v>2.315867141804279E-2</v>
          </cell>
          <cell r="AA1794">
            <v>2.306979426503819E-2</v>
          </cell>
        </row>
        <row r="1795">
          <cell r="Y1795">
            <v>51586</v>
          </cell>
          <cell r="Z1795">
            <v>2.3155226151693624E-2</v>
          </cell>
          <cell r="AA1795">
            <v>2.3065626818450369E-2</v>
          </cell>
        </row>
        <row r="1796">
          <cell r="Y1796">
            <v>51593</v>
          </cell>
          <cell r="Z1796">
            <v>2.3151298432210254E-2</v>
          </cell>
          <cell r="AA1796">
            <v>2.3061956070824507E-2</v>
          </cell>
        </row>
        <row r="1797">
          <cell r="Y1797">
            <v>51600</v>
          </cell>
          <cell r="Z1797">
            <v>2.3147896321436611E-2</v>
          </cell>
          <cell r="AA1797">
            <v>2.3058307322640914E-2</v>
          </cell>
        </row>
        <row r="1798">
          <cell r="Y1798">
            <v>51607</v>
          </cell>
          <cell r="Z1798">
            <v>2.3144516473220664E-2</v>
          </cell>
          <cell r="AA1798">
            <v>2.3054680573899589E-2</v>
          </cell>
        </row>
        <row r="1799">
          <cell r="Y1799">
            <v>51616</v>
          </cell>
          <cell r="Z1799">
            <v>2.3140203666232623E-2</v>
          </cell>
          <cell r="AA1799">
            <v>2.3050049936745864E-2</v>
          </cell>
        </row>
        <row r="1800">
          <cell r="Y1800">
            <v>51623</v>
          </cell>
          <cell r="Z1800">
            <v>2.3138918068919628E-2</v>
          </cell>
          <cell r="AA1800">
            <v>2.3048406820622702E-2</v>
          </cell>
        </row>
        <row r="1801">
          <cell r="Y1801">
            <v>51630</v>
          </cell>
          <cell r="Z1801">
            <v>2.3135104433930111E-2</v>
          </cell>
          <cell r="AA1801">
            <v>2.3042919007059126E-2</v>
          </cell>
        </row>
        <row r="1802">
          <cell r="Y1802">
            <v>51637</v>
          </cell>
          <cell r="Z1802">
            <v>2.313182413723433E-2</v>
          </cell>
          <cell r="AA1802">
            <v>2.3039386541219287E-2</v>
          </cell>
        </row>
        <row r="1803">
          <cell r="Y1803">
            <v>51644</v>
          </cell>
          <cell r="Z1803">
            <v>2.3128566106836175E-2</v>
          </cell>
          <cell r="AA1803">
            <v>2.3035876074741779E-2</v>
          </cell>
        </row>
        <row r="1804">
          <cell r="Y1804">
            <v>51651</v>
          </cell>
          <cell r="Z1804">
            <v>2.3123781473033438E-2</v>
          </cell>
          <cell r="AA1804">
            <v>2.3032387607706539E-2</v>
          </cell>
        </row>
        <row r="1805">
          <cell r="Y1805">
            <v>51658</v>
          </cell>
          <cell r="Z1805">
            <v>2.3120563820076684E-2</v>
          </cell>
          <cell r="AA1805">
            <v>2.3028921140113567E-2</v>
          </cell>
        </row>
        <row r="1806">
          <cell r="Y1806">
            <v>51665</v>
          </cell>
          <cell r="Z1806">
            <v>2.3117368428760766E-2</v>
          </cell>
          <cell r="AA1806">
            <v>2.3025476671882927E-2</v>
          </cell>
        </row>
        <row r="1807">
          <cell r="Y1807">
            <v>51672</v>
          </cell>
          <cell r="Z1807">
            <v>2.3114195298978228E-2</v>
          </cell>
          <cell r="AA1807">
            <v>2.3022054203014619E-2</v>
          </cell>
        </row>
        <row r="1808">
          <cell r="Y1808">
            <v>51679</v>
          </cell>
          <cell r="Z1808">
            <v>2.311104443062293E-2</v>
          </cell>
          <cell r="AA1808">
            <v>2.3018653733508643E-2</v>
          </cell>
        </row>
        <row r="1809">
          <cell r="Y1809">
            <v>51686</v>
          </cell>
          <cell r="Z1809">
            <v>2.310948551053451E-2</v>
          </cell>
          <cell r="AA1809">
            <v>2.3015275263205126E-2</v>
          </cell>
        </row>
        <row r="1810">
          <cell r="Y1810">
            <v>51693</v>
          </cell>
          <cell r="Z1810">
            <v>2.3106908273499569E-2</v>
          </cell>
          <cell r="AA1810">
            <v>2.3011918792503749E-2</v>
          </cell>
        </row>
        <row r="1811">
          <cell r="Y1811">
            <v>51700</v>
          </cell>
          <cell r="Z1811">
            <v>2.3103303437202117E-2</v>
          </cell>
          <cell r="AA1811">
            <v>2.3008584321004832E-2</v>
          </cell>
        </row>
        <row r="1812">
          <cell r="Y1812">
            <v>51707</v>
          </cell>
          <cell r="Z1812">
            <v>2.3100245798576384E-2</v>
          </cell>
          <cell r="AA1812">
            <v>2.3005271848948183E-2</v>
          </cell>
        </row>
        <row r="1813">
          <cell r="Y1813">
            <v>51714</v>
          </cell>
          <cell r="Z1813">
            <v>2.3097210425171717E-2</v>
          </cell>
          <cell r="AA1813">
            <v>2.3001981376333802E-2</v>
          </cell>
        </row>
        <row r="1814">
          <cell r="Y1814">
            <v>51721</v>
          </cell>
          <cell r="Z1814">
            <v>2.309419731688497E-2</v>
          </cell>
          <cell r="AA1814">
            <v>2.2998712903081753E-2</v>
          </cell>
        </row>
        <row r="1815">
          <cell r="Y1815">
            <v>51728</v>
          </cell>
          <cell r="Z1815">
            <v>2.3091206473612572E-2</v>
          </cell>
          <cell r="AA1815">
            <v>2.2995466429112099E-2</v>
          </cell>
        </row>
        <row r="1816">
          <cell r="Y1816">
            <v>51735</v>
          </cell>
          <cell r="Z1816">
            <v>2.3088237895253098E-2</v>
          </cell>
          <cell r="AA1816">
            <v>2.2992241954504777E-2</v>
          </cell>
        </row>
        <row r="1817">
          <cell r="Y1817">
            <v>51742</v>
          </cell>
          <cell r="Z1817">
            <v>2.3083688362445433E-2</v>
          </cell>
          <cell r="AA1817">
            <v>2.298903947941966E-2</v>
          </cell>
        </row>
        <row r="1818">
          <cell r="Y1818">
            <v>51749</v>
          </cell>
          <cell r="Z1818">
            <v>2.3079689268039251E-2</v>
          </cell>
          <cell r="AA1818">
            <v>2.2985859003457065E-2</v>
          </cell>
        </row>
        <row r="1819">
          <cell r="Y1819">
            <v>51756</v>
          </cell>
          <cell r="Z1819">
            <v>2.3076780459373492E-2</v>
          </cell>
          <cell r="AA1819">
            <v>2.2982700527016675E-2</v>
          </cell>
        </row>
        <row r="1820">
          <cell r="Y1820">
            <v>51763</v>
          </cell>
          <cell r="Z1820">
            <v>2.3073893908045803E-2</v>
          </cell>
          <cell r="AA1820">
            <v>2.2979564049938617E-2</v>
          </cell>
        </row>
        <row r="1821">
          <cell r="Y1821">
            <v>51770</v>
          </cell>
          <cell r="Z1821">
            <v>2.3071029613960355E-2</v>
          </cell>
          <cell r="AA1821">
            <v>2.2976449572142954E-2</v>
          </cell>
        </row>
        <row r="1822">
          <cell r="Y1822">
            <v>51777</v>
          </cell>
          <cell r="Z1822">
            <v>2.3068728542417271E-2</v>
          </cell>
          <cell r="AA1822">
            <v>2.2973357093869495E-2</v>
          </cell>
        </row>
        <row r="1823">
          <cell r="Y1823">
            <v>51784</v>
          </cell>
          <cell r="Z1823">
            <v>2.306591017276928E-2</v>
          </cell>
          <cell r="AA1823">
            <v>2.2970286614798496E-2</v>
          </cell>
        </row>
        <row r="1824">
          <cell r="Y1824">
            <v>51791</v>
          </cell>
          <cell r="Z1824">
            <v>2.306311406151422E-2</v>
          </cell>
          <cell r="AA1824">
            <v>2.2967238135089829E-2</v>
          </cell>
        </row>
        <row r="1825">
          <cell r="Y1825">
            <v>51798</v>
          </cell>
          <cell r="Z1825">
            <v>2.30603402085581E-2</v>
          </cell>
          <cell r="AA1825">
            <v>2.2964211654903366E-2</v>
          </cell>
        </row>
        <row r="1826">
          <cell r="Y1826">
            <v>51805</v>
          </cell>
          <cell r="Z1826">
            <v>2.3057041998869408E-2</v>
          </cell>
          <cell r="AA1826">
            <v>2.2961207173999298E-2</v>
          </cell>
        </row>
        <row r="1827">
          <cell r="Y1827">
            <v>51812</v>
          </cell>
          <cell r="Z1827">
            <v>2.3054311246268569E-2</v>
          </cell>
          <cell r="AA1827">
            <v>2.2958224692457563E-2</v>
          </cell>
        </row>
        <row r="1828">
          <cell r="Y1828">
            <v>51819</v>
          </cell>
          <cell r="Z1828">
            <v>2.305160275026032E-2</v>
          </cell>
          <cell r="AA1828">
            <v>2.2955264210198223E-2</v>
          </cell>
        </row>
        <row r="1829">
          <cell r="Y1829">
            <v>51826</v>
          </cell>
          <cell r="Z1829">
            <v>2.304891651075457E-2</v>
          </cell>
          <cell r="AA1829">
            <v>2.2952325727381151E-2</v>
          </cell>
        </row>
        <row r="1830">
          <cell r="Y1830">
            <v>51833</v>
          </cell>
          <cell r="Z1830">
            <v>2.3046252527662989E-2</v>
          </cell>
          <cell r="AA1830">
            <v>2.2949409243926411E-2</v>
          </cell>
        </row>
        <row r="1831">
          <cell r="Y1831">
            <v>51840</v>
          </cell>
          <cell r="Z1831">
            <v>2.3044164509973118E-2</v>
          </cell>
          <cell r="AA1831">
            <v>2.2946514759834002E-2</v>
          </cell>
        </row>
        <row r="1832">
          <cell r="Y1832">
            <v>51847</v>
          </cell>
          <cell r="Z1832">
            <v>2.304154646256085E-2</v>
          </cell>
          <cell r="AA1832">
            <v>2.2943642275103926E-2</v>
          </cell>
        </row>
        <row r="1833">
          <cell r="Y1833">
            <v>51854</v>
          </cell>
          <cell r="Z1833">
            <v>2.3038950672728539E-2</v>
          </cell>
          <cell r="AA1833">
            <v>2.2940791789656245E-2</v>
          </cell>
        </row>
        <row r="1834">
          <cell r="Y1834">
            <v>51865</v>
          </cell>
          <cell r="Z1834">
            <v>2.3034916543607672E-2</v>
          </cell>
          <cell r="AA1834">
            <v>2.2939541692556124E-2</v>
          </cell>
        </row>
        <row r="1835">
          <cell r="Y1835">
            <v>51874</v>
          </cell>
          <cell r="Z1835">
            <v>2.3031096138645343E-2</v>
          </cell>
          <cell r="AA1835">
            <v>2.2932768766610323E-2</v>
          </cell>
        </row>
        <row r="1836">
          <cell r="Y1836">
            <v>51882</v>
          </cell>
          <cell r="Z1836">
            <v>2.3028227818268993E-2</v>
          </cell>
          <cell r="AA1836">
            <v>2.2929609841728649E-2</v>
          </cell>
        </row>
        <row r="1837">
          <cell r="Y1837">
            <v>51889</v>
          </cell>
          <cell r="Z1837">
            <v>2.3025741883365758E-2</v>
          </cell>
          <cell r="AA1837">
            <v>2.2926869353092627E-2</v>
          </cell>
        </row>
        <row r="1838">
          <cell r="Y1838">
            <v>51896</v>
          </cell>
          <cell r="Z1838">
            <v>2.3023278204107808E-2</v>
          </cell>
          <cell r="AA1838">
            <v>2.2924150863898873E-2</v>
          </cell>
        </row>
        <row r="1839">
          <cell r="Y1839">
            <v>51903</v>
          </cell>
          <cell r="Z1839">
            <v>2.3020836780411669E-2</v>
          </cell>
          <cell r="AA1839">
            <v>2.2921454373987515E-2</v>
          </cell>
        </row>
        <row r="1840">
          <cell r="Y1840">
            <v>51911</v>
          </cell>
          <cell r="Z1840">
            <v>2.301807383350836E-2</v>
          </cell>
          <cell r="AA1840">
            <v>2.2919478952454497E-2</v>
          </cell>
        </row>
        <row r="1841">
          <cell r="Y1841">
            <v>51918</v>
          </cell>
          <cell r="Z1841">
            <v>2.3015680100033055E-2</v>
          </cell>
          <cell r="AA1841">
            <v>2.291683240989606E-2</v>
          </cell>
        </row>
        <row r="1842">
          <cell r="Y1842">
            <v>51925</v>
          </cell>
          <cell r="Z1842">
            <v>2.3013879708222783E-2</v>
          </cell>
          <cell r="AA1842">
            <v>2.2914207869497716E-2</v>
          </cell>
        </row>
        <row r="1843">
          <cell r="Y1843">
            <v>51932</v>
          </cell>
          <cell r="Z1843">
            <v>2.3013250479009251E-2</v>
          </cell>
          <cell r="AA1843">
            <v>2.2911605331339402E-2</v>
          </cell>
        </row>
        <row r="1844">
          <cell r="Y1844">
            <v>51939</v>
          </cell>
          <cell r="Z1844">
            <v>2.3011503897977702E-2</v>
          </cell>
          <cell r="AA1844">
            <v>2.2909024795341182E-2</v>
          </cell>
        </row>
        <row r="1845">
          <cell r="Y1845">
            <v>51949</v>
          </cell>
          <cell r="Z1845">
            <v>2.3008630341461469E-2</v>
          </cell>
          <cell r="AA1845">
            <v>2.2904281873286081E-2</v>
          </cell>
        </row>
        <row r="1846">
          <cell r="Y1846">
            <v>51953</v>
          </cell>
          <cell r="Z1846">
            <v>2.3006353663767101E-2</v>
          </cell>
          <cell r="AA1846">
            <v>2.2903929729931605E-2</v>
          </cell>
        </row>
        <row r="1847">
          <cell r="Y1847">
            <v>51964</v>
          </cell>
          <cell r="Z1847">
            <v>2.3001661928106369E-2</v>
          </cell>
          <cell r="AA1847">
            <v>2.2898887546940472E-2</v>
          </cell>
        </row>
        <row r="1848">
          <cell r="Y1848">
            <v>51967</v>
          </cell>
          <cell r="Z1848">
            <v>2.3002447493072984E-2</v>
          </cell>
          <cell r="AA1848">
            <v>2.2898922673242339E-2</v>
          </cell>
        </row>
        <row r="1849">
          <cell r="Y1849">
            <v>51974</v>
          </cell>
          <cell r="Z1849">
            <v>2.2999657194074829E-2</v>
          </cell>
          <cell r="AA1849">
            <v>2.289645214815117E-2</v>
          </cell>
        </row>
        <row r="1850">
          <cell r="Y1850">
            <v>51981</v>
          </cell>
          <cell r="Z1850">
            <v>2.2997469558388821E-2</v>
          </cell>
          <cell r="AA1850">
            <v>2.2894003625273385E-2</v>
          </cell>
        </row>
        <row r="1851">
          <cell r="Y1851">
            <v>51988</v>
          </cell>
          <cell r="Z1851">
            <v>2.2995888939472128E-2</v>
          </cell>
          <cell r="AA1851">
            <v>2.2892688102606584E-2</v>
          </cell>
        </row>
        <row r="1852">
          <cell r="Y1852">
            <v>51995</v>
          </cell>
          <cell r="Z1852">
            <v>2.2993161067888668E-2</v>
          </cell>
          <cell r="AA1852">
            <v>2.2889172586051387E-2</v>
          </cell>
        </row>
        <row r="1853">
          <cell r="Y1853">
            <v>52002</v>
          </cell>
          <cell r="Z1853">
            <v>2.299104021292761E-2</v>
          </cell>
          <cell r="AA1853">
            <v>2.2886790069707175E-2</v>
          </cell>
        </row>
        <row r="1854">
          <cell r="Y1854">
            <v>52009</v>
          </cell>
          <cell r="Z1854">
            <v>2.2989530740840019E-2</v>
          </cell>
          <cell r="AA1854">
            <v>2.2884989235898434E-2</v>
          </cell>
        </row>
        <row r="1855">
          <cell r="Y1855">
            <v>52016</v>
          </cell>
          <cell r="Z1855">
            <v>2.2985094527240232E-2</v>
          </cell>
          <cell r="AA1855">
            <v>2.2882091043552322E-2</v>
          </cell>
        </row>
        <row r="1856">
          <cell r="Y1856">
            <v>52023</v>
          </cell>
          <cell r="Z1856">
            <v>2.2984811208342396E-2</v>
          </cell>
          <cell r="AA1856">
            <v>2.2879774533741681E-2</v>
          </cell>
        </row>
        <row r="1857">
          <cell r="Y1857">
            <v>52030</v>
          </cell>
          <cell r="Z1857">
            <v>2.2982779393345063E-2</v>
          </cell>
          <cell r="AA1857">
            <v>2.2877480026091135E-2</v>
          </cell>
        </row>
        <row r="1858">
          <cell r="Y1858">
            <v>52037</v>
          </cell>
          <cell r="Z1858">
            <v>2.298076983816421E-2</v>
          </cell>
          <cell r="AA1858">
            <v>2.2875207520600682E-2</v>
          </cell>
        </row>
        <row r="1859">
          <cell r="Y1859">
            <v>52044</v>
          </cell>
          <cell r="Z1859">
            <v>2.2978782542731994E-2</v>
          </cell>
          <cell r="AA1859">
            <v>2.2872957017323614E-2</v>
          </cell>
        </row>
        <row r="1860">
          <cell r="Y1860">
            <v>52051</v>
          </cell>
          <cell r="Z1860">
            <v>2.2976817506980149E-2</v>
          </cell>
          <cell r="AA1860">
            <v>2.2870728516179994E-2</v>
          </cell>
        </row>
        <row r="1861">
          <cell r="Y1861">
            <v>52058</v>
          </cell>
          <cell r="Z1861">
            <v>2.2975474091395161E-2</v>
          </cell>
          <cell r="AA1861">
            <v>2.2868522017196469E-2</v>
          </cell>
        </row>
        <row r="1862">
          <cell r="Y1862">
            <v>52065</v>
          </cell>
          <cell r="Z1862">
            <v>2.2972954214255721E-2</v>
          </cell>
          <cell r="AA1862">
            <v>2.2866908624670224E-2</v>
          </cell>
        </row>
        <row r="1863">
          <cell r="Y1863">
            <v>52072</v>
          </cell>
          <cell r="Z1863">
            <v>2.2971055957150918E-2</v>
          </cell>
          <cell r="AA1863">
            <v>2.2864175025736344E-2</v>
          </cell>
        </row>
        <row r="1864">
          <cell r="Y1864">
            <v>52079</v>
          </cell>
          <cell r="Z1864">
            <v>2.2969179959465073E-2</v>
          </cell>
          <cell r="AA1864">
            <v>2.2862034533286391E-2</v>
          </cell>
        </row>
        <row r="1865">
          <cell r="Y1865">
            <v>52086</v>
          </cell>
          <cell r="Z1865">
            <v>2.29673262211351E-2</v>
          </cell>
          <cell r="AA1865">
            <v>2.285991604294324E-2</v>
          </cell>
        </row>
        <row r="1866">
          <cell r="Y1866">
            <v>52093</v>
          </cell>
          <cell r="Z1866">
            <v>2.2965494742097484E-2</v>
          </cell>
          <cell r="AA1866">
            <v>2.2857819554813474E-2</v>
          </cell>
        </row>
        <row r="1867">
          <cell r="Y1867">
            <v>52100</v>
          </cell>
          <cell r="Z1867">
            <v>2.296368552229E-2</v>
          </cell>
          <cell r="AA1867">
            <v>2.2856323358926289E-2</v>
          </cell>
        </row>
        <row r="1868">
          <cell r="Y1868">
            <v>52107</v>
          </cell>
          <cell r="Z1868">
            <v>2.2960070560637189E-2</v>
          </cell>
          <cell r="AA1868">
            <v>2.2853692584980934E-2</v>
          </cell>
        </row>
        <row r="1869">
          <cell r="Y1869">
            <v>52114</v>
          </cell>
          <cell r="Z1869">
            <v>2.2957690948903015E-2</v>
          </cell>
          <cell r="AA1869">
            <v>2.2851662103304804E-2</v>
          </cell>
        </row>
        <row r="1870">
          <cell r="Y1870">
            <v>52121</v>
          </cell>
          <cell r="Z1870">
            <v>2.2955942590190844E-2</v>
          </cell>
          <cell r="AA1870">
            <v>2.2850236242295541E-2</v>
          </cell>
        </row>
        <row r="1871">
          <cell r="Y1871">
            <v>52128</v>
          </cell>
          <cell r="Z1871">
            <v>2.2954216484807138E-2</v>
          </cell>
          <cell r="AA1871">
            <v>2.2847667146459472E-2</v>
          </cell>
        </row>
        <row r="1872">
          <cell r="Y1872">
            <v>52135</v>
          </cell>
          <cell r="Z1872">
            <v>2.2952512632694478E-2</v>
          </cell>
          <cell r="AA1872">
            <v>2.2845702671236978E-2</v>
          </cell>
        </row>
        <row r="1873">
          <cell r="Y1873">
            <v>52142</v>
          </cell>
          <cell r="Z1873">
            <v>2.2951447434330117E-2</v>
          </cell>
          <cell r="AA1873">
            <v>2.2843760198201224E-2</v>
          </cell>
        </row>
        <row r="1874">
          <cell r="Y1874">
            <v>52149</v>
          </cell>
          <cell r="Z1874">
            <v>2.2949789573015512E-2</v>
          </cell>
          <cell r="AA1874">
            <v>2.284242813669346E-2</v>
          </cell>
        </row>
        <row r="1875">
          <cell r="Y1875">
            <v>52156</v>
          </cell>
          <cell r="Z1875">
            <v>2.2948153966218698E-2</v>
          </cell>
          <cell r="AA1875">
            <v>2.2839941258583352E-2</v>
          </cell>
        </row>
        <row r="1876">
          <cell r="Y1876">
            <v>52163</v>
          </cell>
          <cell r="Z1876">
            <v>2.2946540613885649E-2</v>
          </cell>
          <cell r="AA1876">
            <v>2.2838064791974588E-2</v>
          </cell>
        </row>
        <row r="1877">
          <cell r="Y1877">
            <v>52170</v>
          </cell>
          <cell r="Z1877">
            <v>2.2944327169249303E-2</v>
          </cell>
          <cell r="AA1877">
            <v>2.2836803094841152E-2</v>
          </cell>
        </row>
        <row r="1878">
          <cell r="Y1878">
            <v>52177</v>
          </cell>
          <cell r="Z1878">
            <v>2.2942756835603203E-2</v>
          </cell>
          <cell r="AA1878">
            <v>2.2834377865237343E-2</v>
          </cell>
        </row>
        <row r="1879">
          <cell r="Y1879">
            <v>52184</v>
          </cell>
          <cell r="Z1879">
            <v>2.2941208754848785E-2</v>
          </cell>
          <cell r="AA1879">
            <v>2.2832567405082216E-2</v>
          </cell>
        </row>
        <row r="1880">
          <cell r="Y1880">
            <v>52191</v>
          </cell>
          <cell r="Z1880">
            <v>2.2939682926933498E-2</v>
          </cell>
          <cell r="AA1880">
            <v>2.2831376084979649E-2</v>
          </cell>
        </row>
        <row r="1881">
          <cell r="Y1881">
            <v>52198</v>
          </cell>
          <cell r="Z1881">
            <v>2.2938807667313779E-2</v>
          </cell>
          <cell r="AA1881">
            <v>2.2829012491252243E-2</v>
          </cell>
        </row>
        <row r="1882">
          <cell r="Y1882">
            <v>52205</v>
          </cell>
          <cell r="Z1882">
            <v>2.2937327840656521E-2</v>
          </cell>
          <cell r="AA1882">
            <v>2.2827268037524107E-2</v>
          </cell>
        </row>
        <row r="1883">
          <cell r="Y1883">
            <v>52212</v>
          </cell>
          <cell r="Z1883">
            <v>2.293587026810244E-2</v>
          </cell>
          <cell r="AA1883">
            <v>2.2825545585982709E-2</v>
          </cell>
        </row>
        <row r="1884">
          <cell r="Y1884">
            <v>52219</v>
          </cell>
          <cell r="Z1884">
            <v>2.2934434949601464E-2</v>
          </cell>
          <cell r="AA1884">
            <v>2.282384513652147E-2</v>
          </cell>
        </row>
        <row r="1885">
          <cell r="Y1885">
            <v>52230</v>
          </cell>
          <cell r="Z1885">
            <v>2.2932224411257002E-2</v>
          </cell>
          <cell r="AA1885">
            <v>2.2823033815511096E-2</v>
          </cell>
        </row>
        <row r="1886">
          <cell r="Y1886">
            <v>52238</v>
          </cell>
          <cell r="Z1886">
            <v>2.2930014381766801E-2</v>
          </cell>
          <cell r="AA1886">
            <v>2.2818127105246333E-2</v>
          </cell>
        </row>
        <row r="1887">
          <cell r="Y1887">
            <v>52246</v>
          </cell>
          <cell r="Z1887">
            <v>2.2928468581380545E-2</v>
          </cell>
          <cell r="AA1887">
            <v>2.281627557000121E-2</v>
          </cell>
        </row>
        <row r="1888">
          <cell r="Y1888">
            <v>52253</v>
          </cell>
          <cell r="Z1888">
            <v>2.292713984792049E-2</v>
          </cell>
          <cell r="AA1888">
            <v>2.2814679047247211E-2</v>
          </cell>
        </row>
        <row r="1889">
          <cell r="Y1889">
            <v>52260</v>
          </cell>
          <cell r="Z1889">
            <v>2.2925833366833195E-2</v>
          </cell>
          <cell r="AA1889">
            <v>2.2813104523935479E-2</v>
          </cell>
        </row>
        <row r="1890">
          <cell r="Y1890">
            <v>52267</v>
          </cell>
          <cell r="Z1890">
            <v>2.2924549138075387E-2</v>
          </cell>
          <cell r="AA1890">
            <v>2.2811551999986079E-2</v>
          </cell>
        </row>
        <row r="1891">
          <cell r="Y1891">
            <v>52275</v>
          </cell>
          <cell r="Z1891">
            <v>2.2923287161604657E-2</v>
          </cell>
          <cell r="AA1891">
            <v>2.2811033618168608E-2</v>
          </cell>
        </row>
        <row r="1892">
          <cell r="Y1892">
            <v>52281</v>
          </cell>
          <cell r="Z1892">
            <v>2.292204743737862E-2</v>
          </cell>
          <cell r="AA1892">
            <v>2.2808512949934467E-2</v>
          </cell>
        </row>
        <row r="1893">
          <cell r="Y1893">
            <v>52288</v>
          </cell>
          <cell r="Z1893">
            <v>2.2920829965357079E-2</v>
          </cell>
          <cell r="AA1893">
            <v>2.2807026423992127E-2</v>
          </cell>
        </row>
        <row r="1894">
          <cell r="Y1894">
            <v>52295</v>
          </cell>
          <cell r="Z1894">
            <v>2.2922882307331981E-2</v>
          </cell>
          <cell r="AA1894">
            <v>2.2805561897252247E-2</v>
          </cell>
        </row>
        <row r="1895">
          <cell r="Y1895">
            <v>52302</v>
          </cell>
          <cell r="Z1895">
            <v>2.2921716917973633E-2</v>
          </cell>
          <cell r="AA1895">
            <v>2.2804119369874698E-2</v>
          </cell>
        </row>
        <row r="1896">
          <cell r="Y1896">
            <v>52309</v>
          </cell>
          <cell r="Z1896">
            <v>2.2922533496187791E-2</v>
          </cell>
          <cell r="AA1896">
            <v>2.2802698841939417E-2</v>
          </cell>
        </row>
        <row r="1897">
          <cell r="Y1897">
            <v>52316</v>
          </cell>
          <cell r="Z1897">
            <v>2.2919452916619072E-2</v>
          </cell>
          <cell r="AA1897">
            <v>2.2803793635555181E-2</v>
          </cell>
        </row>
        <row r="1898">
          <cell r="Y1898">
            <v>52323</v>
          </cell>
          <cell r="Z1898">
            <v>2.2916387034699229E-2</v>
          </cell>
          <cell r="AA1898">
            <v>2.2799923783836107E-2</v>
          </cell>
        </row>
        <row r="1899">
          <cell r="Y1899">
            <v>52330</v>
          </cell>
          <cell r="Z1899">
            <v>2.2915306117112972E-2</v>
          </cell>
          <cell r="AA1899">
            <v>2.2798569253907885E-2</v>
          </cell>
        </row>
        <row r="1900">
          <cell r="Y1900">
            <v>52337</v>
          </cell>
          <cell r="Z1900">
            <v>2.2914247454282565E-2</v>
          </cell>
          <cell r="AA1900">
            <v>2.279723672326206E-2</v>
          </cell>
        </row>
        <row r="1901">
          <cell r="Y1901">
            <v>52344</v>
          </cell>
          <cell r="Z1901">
            <v>2.2913211046170449E-2</v>
          </cell>
          <cell r="AA1901">
            <v>2.279592619189863E-2</v>
          </cell>
        </row>
        <row r="1902">
          <cell r="Y1902">
            <v>52352</v>
          </cell>
          <cell r="Z1902">
            <v>2.2912196892742983E-2</v>
          </cell>
          <cell r="AA1902">
            <v>2.2797610703961801E-2</v>
          </cell>
        </row>
        <row r="1903">
          <cell r="Y1903">
            <v>52362</v>
          </cell>
          <cell r="Z1903">
            <v>2.2911312263861436E-2</v>
          </cell>
          <cell r="AA1903">
            <v>2.2792657271404337E-2</v>
          </cell>
        </row>
        <row r="1904">
          <cell r="Y1904">
            <v>52369</v>
          </cell>
          <cell r="Z1904">
            <v>2.2910356865772967E-2</v>
          </cell>
          <cell r="AA1904">
            <v>2.2791425309192093E-2</v>
          </cell>
        </row>
        <row r="1905">
          <cell r="Y1905">
            <v>52377</v>
          </cell>
          <cell r="Z1905">
            <v>2.2909292234455082E-2</v>
          </cell>
          <cell r="AA1905">
            <v>2.2790044290212919E-2</v>
          </cell>
        </row>
        <row r="1906">
          <cell r="Y1906">
            <v>52383</v>
          </cell>
          <cell r="Z1906">
            <v>2.2907844168451378E-2</v>
          </cell>
          <cell r="AA1906">
            <v>2.278902738261479E-2</v>
          </cell>
        </row>
        <row r="1907">
          <cell r="Y1907">
            <v>52390</v>
          </cell>
          <cell r="Z1907">
            <v>2.2906954004806288E-2</v>
          </cell>
          <cell r="AA1907">
            <v>2.2787861418249733E-2</v>
          </cell>
        </row>
        <row r="1908">
          <cell r="Y1908">
            <v>52397</v>
          </cell>
          <cell r="Z1908">
            <v>2.2906086095635745E-2</v>
          </cell>
          <cell r="AA1908">
            <v>2.2786717453247007E-2</v>
          </cell>
        </row>
        <row r="1909">
          <cell r="Y1909">
            <v>52404</v>
          </cell>
          <cell r="Z1909">
            <v>2.2905240440910919E-2</v>
          </cell>
          <cell r="AA1909">
            <v>2.278559548768655E-2</v>
          </cell>
        </row>
        <row r="1910">
          <cell r="Y1910">
            <v>52411</v>
          </cell>
          <cell r="Z1910">
            <v>2.2904417040602983E-2</v>
          </cell>
          <cell r="AA1910">
            <v>2.2784495521328552E-2</v>
          </cell>
        </row>
        <row r="1911">
          <cell r="Y1911">
            <v>52418</v>
          </cell>
          <cell r="Z1911">
            <v>2.2904292244733261E-2</v>
          </cell>
          <cell r="AA1911">
            <v>2.2783417554332885E-2</v>
          </cell>
        </row>
        <row r="1912">
          <cell r="Y1912">
            <v>52425</v>
          </cell>
          <cell r="Z1912">
            <v>2.2903514893602841E-2</v>
          </cell>
          <cell r="AA1912">
            <v>2.2782361586619615E-2</v>
          </cell>
        </row>
        <row r="1913">
          <cell r="Y1913">
            <v>52433</v>
          </cell>
          <cell r="Z1913">
            <v>2.2902653744241021E-2</v>
          </cell>
          <cell r="AA1913">
            <v>2.2781181704507603E-2</v>
          </cell>
        </row>
        <row r="1914">
          <cell r="Y1914">
            <v>52439</v>
          </cell>
          <cell r="Z1914">
            <v>2.2902026958548542E-2</v>
          </cell>
          <cell r="AA1914">
            <v>2.2780315649360006E-2</v>
          </cell>
        </row>
        <row r="1915">
          <cell r="Y1915">
            <v>52446</v>
          </cell>
          <cell r="Z1915">
            <v>2.2901316374573401E-2</v>
          </cell>
          <cell r="AA1915">
            <v>2.2779325679653795E-2</v>
          </cell>
        </row>
        <row r="1916">
          <cell r="Y1916">
            <v>52453</v>
          </cell>
          <cell r="Z1916">
            <v>2.2900628046269047E-2</v>
          </cell>
          <cell r="AA1916">
            <v>2.2778357709309915E-2</v>
          </cell>
        </row>
        <row r="1917">
          <cell r="Y1917">
            <v>52460</v>
          </cell>
          <cell r="Z1917">
            <v>2.2899961973610283E-2</v>
          </cell>
          <cell r="AA1917">
            <v>2.2777411738248432E-2</v>
          </cell>
        </row>
        <row r="1918">
          <cell r="Y1918">
            <v>52467</v>
          </cell>
          <cell r="Z1918">
            <v>2.2899318156576684E-2</v>
          </cell>
          <cell r="AA1918">
            <v>2.277648776654928E-2</v>
          </cell>
        </row>
        <row r="1919">
          <cell r="Y1919">
            <v>52475</v>
          </cell>
          <cell r="Z1919">
            <v>2.2897231925923047E-2</v>
          </cell>
          <cell r="AA1919">
            <v>2.2775458736967735E-2</v>
          </cell>
        </row>
        <row r="1920">
          <cell r="Y1920">
            <v>52481</v>
          </cell>
          <cell r="Z1920">
            <v>2.2896716937748744E-2</v>
          </cell>
          <cell r="AA1920">
            <v>2.2774705821237973E-2</v>
          </cell>
        </row>
        <row r="1921">
          <cell r="Y1921">
            <v>52488</v>
          </cell>
          <cell r="Z1921">
            <v>2.2896136781476711E-2</v>
          </cell>
          <cell r="AA1921">
            <v>2.2773847847465944E-2</v>
          </cell>
        </row>
        <row r="1922">
          <cell r="Y1922">
            <v>52498</v>
          </cell>
          <cell r="Z1922">
            <v>2.2895346588468979E-2</v>
          </cell>
          <cell r="AA1922">
            <v>2.2772660332899264E-2</v>
          </cell>
        </row>
        <row r="1923">
          <cell r="Y1923">
            <v>52502</v>
          </cell>
          <cell r="Z1923">
            <v>2.2895043227098233E-2</v>
          </cell>
          <cell r="AA1923">
            <v>2.277219789808882E-2</v>
          </cell>
        </row>
        <row r="1924">
          <cell r="Y1924">
            <v>52509</v>
          </cell>
          <cell r="Z1924">
            <v>2.2895226135962787E-2</v>
          </cell>
          <cell r="AA1924">
            <v>2.2771405922323851E-2</v>
          </cell>
        </row>
        <row r="1925">
          <cell r="Y1925">
            <v>52517</v>
          </cell>
          <cell r="Z1925">
            <v>2.2894668424678858E-2</v>
          </cell>
          <cell r="AA1925">
            <v>2.2770527745192837E-2</v>
          </cell>
        </row>
        <row r="1926">
          <cell r="Y1926">
            <v>52523</v>
          </cell>
          <cell r="Z1926">
            <v>2.2894269216127177E-2</v>
          </cell>
          <cell r="AA1926">
            <v>2.2769887968800973E-2</v>
          </cell>
        </row>
        <row r="1927">
          <cell r="Y1927">
            <v>52530</v>
          </cell>
          <cell r="Z1927">
            <v>2.2893824137291314E-2</v>
          </cell>
          <cell r="AA1927">
            <v>2.2769161991122999E-2</v>
          </cell>
        </row>
        <row r="1928">
          <cell r="Y1928">
            <v>52537</v>
          </cell>
          <cell r="Z1928">
            <v>2.289551003600674E-2</v>
          </cell>
          <cell r="AA1928">
            <v>2.2769128627091462E-2</v>
          </cell>
        </row>
        <row r="1929">
          <cell r="Y1929">
            <v>52544</v>
          </cell>
          <cell r="Z1929">
            <v>2.2892296628038832E-2</v>
          </cell>
          <cell r="AA1929">
            <v>2.2767776033694176E-2</v>
          </cell>
        </row>
        <row r="1930">
          <cell r="Y1930">
            <v>52551</v>
          </cell>
          <cell r="Z1930">
            <v>2.2891916745710603E-2</v>
          </cell>
          <cell r="AA1930">
            <v>2.276711605386339E-2</v>
          </cell>
        </row>
        <row r="1931">
          <cell r="Y1931">
            <v>52559</v>
          </cell>
          <cell r="Z1931">
            <v>2.2891509842544497E-2</v>
          </cell>
          <cell r="AA1931">
            <v>2.2766388729262843E-2</v>
          </cell>
        </row>
        <row r="1932">
          <cell r="Y1932">
            <v>52565</v>
          </cell>
          <cell r="Z1932">
            <v>2.2891932553347843E-2</v>
          </cell>
          <cell r="AA1932">
            <v>2.2765862092368749E-2</v>
          </cell>
        </row>
        <row r="1933">
          <cell r="Y1933">
            <v>52572</v>
          </cell>
          <cell r="Z1933">
            <v>2.2891620998517822E-2</v>
          </cell>
          <cell r="AA1933">
            <v>2.2765268110624959E-2</v>
          </cell>
        </row>
        <row r="1934">
          <cell r="Y1934">
            <v>52579</v>
          </cell>
          <cell r="Z1934" t="e">
            <v>#N/A</v>
          </cell>
          <cell r="AA1934">
            <v>2.2764696128163564E-2</v>
          </cell>
        </row>
        <row r="1935">
          <cell r="Y1935">
            <v>52586</v>
          </cell>
          <cell r="Z1935" t="e">
            <v>#N/A</v>
          </cell>
          <cell r="AA1935">
            <v>2.2764146145064501E-2</v>
          </cell>
        </row>
        <row r="1936">
          <cell r="Y1936">
            <v>52595</v>
          </cell>
          <cell r="Z1936" t="e">
            <v>#N/A</v>
          </cell>
          <cell r="AA1936">
            <v>2.2766205681350016E-2</v>
          </cell>
        </row>
        <row r="1937">
          <cell r="Y1937">
            <v>52602</v>
          </cell>
          <cell r="Z1937" t="e">
            <v>#N/A</v>
          </cell>
          <cell r="AA1937">
            <v>2.276297165048291E-2</v>
          </cell>
        </row>
        <row r="1938">
          <cell r="Y1938">
            <v>52610</v>
          </cell>
          <cell r="Z1938" t="e">
            <v>#N/A</v>
          </cell>
          <cell r="AA1938">
            <v>2.2762427503915106E-2</v>
          </cell>
        </row>
        <row r="1939">
          <cell r="Y1939">
            <v>52617</v>
          </cell>
          <cell r="Z1939" t="e">
            <v>#N/A</v>
          </cell>
          <cell r="AA1939">
            <v>2.2761974946323704E-2</v>
          </cell>
        </row>
        <row r="1940">
          <cell r="Y1940">
            <v>52624</v>
          </cell>
          <cell r="Z1940" t="e">
            <v>#N/A</v>
          </cell>
          <cell r="AA1940">
            <v>2.2761544388094634E-2</v>
          </cell>
        </row>
        <row r="1941">
          <cell r="Y1941">
            <v>52631</v>
          </cell>
          <cell r="Z1941" t="e">
            <v>#N/A</v>
          </cell>
          <cell r="AA1941">
            <v>2.2761135829227896E-2</v>
          </cell>
        </row>
        <row r="1942">
          <cell r="Y1942">
            <v>52639</v>
          </cell>
          <cell r="Z1942" t="e">
            <v>#N/A</v>
          </cell>
          <cell r="AA1942">
            <v>2.2762082063811917E-2</v>
          </cell>
        </row>
        <row r="1943">
          <cell r="Y1943">
            <v>52645</v>
          </cell>
          <cell r="Z1943" t="e">
            <v>#N/A</v>
          </cell>
          <cell r="AA1943">
            <v>2.2760384709341608E-2</v>
          </cell>
        </row>
        <row r="1944">
          <cell r="Y1944">
            <v>52652</v>
          </cell>
          <cell r="Z1944" t="e">
            <v>#N/A</v>
          </cell>
          <cell r="AA1944">
            <v>2.2760042148481929E-2</v>
          </cell>
        </row>
        <row r="1945">
          <cell r="Y1945">
            <v>52659</v>
          </cell>
          <cell r="Z1945" t="e">
            <v>#N/A</v>
          </cell>
          <cell r="AA1945">
            <v>2.2759721586904647E-2</v>
          </cell>
        </row>
        <row r="1946">
          <cell r="Y1946">
            <v>52666</v>
          </cell>
          <cell r="Z1946" t="e">
            <v>#N/A</v>
          </cell>
          <cell r="AA1946">
            <v>2.275942302460976E-2</v>
          </cell>
        </row>
        <row r="1947">
          <cell r="Y1947">
            <v>52673</v>
          </cell>
          <cell r="Z1947" t="e">
            <v>#N/A</v>
          </cell>
          <cell r="AA1947">
            <v>2.275914646175714E-2</v>
          </cell>
        </row>
        <row r="1948">
          <cell r="Y1948">
            <v>52680</v>
          </cell>
          <cell r="Z1948" t="e">
            <v>#N/A</v>
          </cell>
          <cell r="AA1948">
            <v>2.2758891898106981E-2</v>
          </cell>
        </row>
        <row r="1949">
          <cell r="Y1949">
            <v>52687</v>
          </cell>
          <cell r="Z1949" t="e">
            <v>#N/A</v>
          </cell>
          <cell r="AA1949">
            <v>2.2758659333819153E-2</v>
          </cell>
        </row>
        <row r="1950">
          <cell r="Y1950">
            <v>52694</v>
          </cell>
          <cell r="Z1950" t="e">
            <v>#N/A</v>
          </cell>
          <cell r="AA1950">
            <v>2.2758448768813722E-2</v>
          </cell>
        </row>
        <row r="1951">
          <cell r="Y1951">
            <v>52701</v>
          </cell>
          <cell r="Z1951" t="e">
            <v>#N/A</v>
          </cell>
          <cell r="AA1951">
            <v>2.2761088421965781E-2</v>
          </cell>
        </row>
        <row r="1952">
          <cell r="Y1952">
            <v>52708</v>
          </cell>
          <cell r="Z1952" t="e">
            <v>#N/A</v>
          </cell>
          <cell r="AA1952">
            <v>2.2758093636809917E-2</v>
          </cell>
        </row>
        <row r="1953">
          <cell r="Y1953">
            <v>52715</v>
          </cell>
          <cell r="Z1953" t="e">
            <v>#N/A</v>
          </cell>
          <cell r="AA1953">
            <v>2.2762922198140689E-2</v>
          </cell>
        </row>
        <row r="1954">
          <cell r="Y1954">
            <v>52727</v>
          </cell>
          <cell r="Z1954" t="e">
            <v>#N/A</v>
          </cell>
          <cell r="AA1954">
            <v>2.2757752422872812E-2</v>
          </cell>
        </row>
        <row r="1955">
          <cell r="Y1955">
            <v>52734</v>
          </cell>
          <cell r="Z1955" t="e">
            <v>#N/A</v>
          </cell>
          <cell r="AA1955">
            <v>2.2757667568349405E-2</v>
          </cell>
        </row>
        <row r="1956">
          <cell r="Y1956">
            <v>52741</v>
          </cell>
          <cell r="Z1956" t="e">
            <v>#N/A</v>
          </cell>
          <cell r="AA1956">
            <v>2.2757604713108393E-2</v>
          </cell>
        </row>
        <row r="1957">
          <cell r="Y1957">
            <v>52749</v>
          </cell>
          <cell r="Z1957" t="e">
            <v>#N/A</v>
          </cell>
          <cell r="AA1957">
            <v>2.2757559816461992E-2</v>
          </cell>
        </row>
        <row r="1958">
          <cell r="Y1958">
            <v>52755</v>
          </cell>
          <cell r="Z1958" t="e">
            <v>#N/A</v>
          </cell>
          <cell r="AA1958">
            <v>2.2757545000633428E-2</v>
          </cell>
        </row>
        <row r="1959">
          <cell r="Y1959">
            <v>52762</v>
          </cell>
          <cell r="Z1959" t="e">
            <v>#N/A</v>
          </cell>
          <cell r="AA1959" t="e">
            <v>#N/A</v>
          </cell>
        </row>
        <row r="1960">
          <cell r="Y1960">
            <v>52769</v>
          </cell>
          <cell r="Z1960" t="e">
            <v>#N/A</v>
          </cell>
          <cell r="AA1960" t="e">
            <v>#N/A</v>
          </cell>
        </row>
        <row r="1961">
          <cell r="Y1961">
            <v>52776</v>
          </cell>
          <cell r="Z1961" t="e">
            <v>#N/A</v>
          </cell>
          <cell r="AA1961" t="e">
            <v>#N/A</v>
          </cell>
        </row>
        <row r="1962">
          <cell r="Y1962">
            <v>52783</v>
          </cell>
          <cell r="Z1962" t="e">
            <v>#N/A</v>
          </cell>
          <cell r="AA1962" t="e">
            <v>#N/A</v>
          </cell>
        </row>
        <row r="1963">
          <cell r="Y1963">
            <v>52790</v>
          </cell>
          <cell r="Z1963" t="e">
            <v>#N/A</v>
          </cell>
          <cell r="AA1963" t="e">
            <v>#N/A</v>
          </cell>
        </row>
        <row r="1964">
          <cell r="Y1964">
            <v>52798</v>
          </cell>
          <cell r="Z1964" t="e">
            <v>#N/A</v>
          </cell>
          <cell r="AA1964" t="e">
            <v>#N/A</v>
          </cell>
        </row>
        <row r="1965">
          <cell r="Y1965">
            <v>52804</v>
          </cell>
          <cell r="Z1965" t="e">
            <v>#N/A</v>
          </cell>
          <cell r="AA1965" t="e">
            <v>#N/A</v>
          </cell>
        </row>
        <row r="1966">
          <cell r="Y1966">
            <v>52811</v>
          </cell>
          <cell r="Z1966" t="e">
            <v>#N/A</v>
          </cell>
          <cell r="AA1966" t="e">
            <v>#N/A</v>
          </cell>
        </row>
        <row r="1967">
          <cell r="Y1967">
            <v>52818</v>
          </cell>
          <cell r="Z1967" t="e">
            <v>#N/A</v>
          </cell>
          <cell r="AA1967" t="e">
            <v>#N/A</v>
          </cell>
        </row>
        <row r="1968">
          <cell r="Y1968">
            <v>52825</v>
          </cell>
          <cell r="Z1968" t="e">
            <v>#N/A</v>
          </cell>
          <cell r="AA1968" t="e">
            <v>#N/A</v>
          </cell>
        </row>
        <row r="1969">
          <cell r="Y1969">
            <v>52832</v>
          </cell>
          <cell r="Z1969" t="e">
            <v>#N/A</v>
          </cell>
          <cell r="AA1969" t="e">
            <v>#N/A</v>
          </cell>
        </row>
        <row r="1970">
          <cell r="Y1970">
            <v>52840</v>
          </cell>
          <cell r="Z1970" t="e">
            <v>#N/A</v>
          </cell>
          <cell r="AA1970" t="e">
            <v>#N/A</v>
          </cell>
        </row>
        <row r="1971">
          <cell r="Y1971">
            <v>52846</v>
          </cell>
          <cell r="Z1971" t="e">
            <v>#N/A</v>
          </cell>
          <cell r="AA1971" t="e">
            <v>#N/A</v>
          </cell>
        </row>
        <row r="1972">
          <cell r="Y1972">
            <v>52853</v>
          </cell>
          <cell r="Z1972" t="e">
            <v>#N/A</v>
          </cell>
          <cell r="AA1972" t="e">
            <v>#N/A</v>
          </cell>
        </row>
        <row r="1973">
          <cell r="Y1973">
            <v>52861</v>
          </cell>
          <cell r="Z1973" t="e">
            <v>#N/A</v>
          </cell>
          <cell r="AA1973" t="e">
            <v>#N/A</v>
          </cell>
        </row>
        <row r="1974">
          <cell r="Y1974">
            <v>52867</v>
          </cell>
          <cell r="Z1974" t="e">
            <v>#N/A</v>
          </cell>
          <cell r="AA1974" t="e">
            <v>#N/A</v>
          </cell>
        </row>
        <row r="1975">
          <cell r="Y1975">
            <v>52874</v>
          </cell>
          <cell r="Z1975" t="e">
            <v>#N/A</v>
          </cell>
          <cell r="AA1975" t="e">
            <v>#N/A</v>
          </cell>
        </row>
        <row r="1976">
          <cell r="Y1976">
            <v>52882</v>
          </cell>
          <cell r="Z1976" t="e">
            <v>#N/A</v>
          </cell>
          <cell r="AA1976" t="e">
            <v>#N/A</v>
          </cell>
        </row>
        <row r="1977">
          <cell r="Y1977">
            <v>52888</v>
          </cell>
          <cell r="Z1977" t="e">
            <v>#N/A</v>
          </cell>
          <cell r="AA1977" t="e">
            <v>#N/A</v>
          </cell>
        </row>
        <row r="1978">
          <cell r="Y1978">
            <v>52895</v>
          </cell>
          <cell r="Z1978" t="e">
            <v>#N/A</v>
          </cell>
          <cell r="AA1978" t="e">
            <v>#N/A</v>
          </cell>
        </row>
        <row r="1979">
          <cell r="Y1979">
            <v>52902</v>
          </cell>
          <cell r="Z1979" t="e">
            <v>#N/A</v>
          </cell>
          <cell r="AA1979" t="e">
            <v>#N/A</v>
          </cell>
        </row>
        <row r="1980">
          <cell r="Y1980">
            <v>52909</v>
          </cell>
          <cell r="Z1980" t="e">
            <v>#N/A</v>
          </cell>
          <cell r="AA1980" t="e">
            <v>#N/A</v>
          </cell>
        </row>
        <row r="1981">
          <cell r="Y1981">
            <v>52916</v>
          </cell>
          <cell r="Z1981" t="e">
            <v>#N/A</v>
          </cell>
          <cell r="AA1981" t="e">
            <v>#N/A</v>
          </cell>
        </row>
        <row r="1982">
          <cell r="Y1982">
            <v>52923</v>
          </cell>
          <cell r="Z1982" t="e">
            <v>#N/A</v>
          </cell>
          <cell r="AA1982" t="e">
            <v>#N/A</v>
          </cell>
        </row>
        <row r="1983">
          <cell r="Y1983">
            <v>52930</v>
          </cell>
          <cell r="Z1983" t="e">
            <v>#N/A</v>
          </cell>
          <cell r="AA1983" t="e">
            <v>#N/A</v>
          </cell>
        </row>
        <row r="1984">
          <cell r="Y1984">
            <v>52937</v>
          </cell>
          <cell r="Z1984" t="e">
            <v>#N/A</v>
          </cell>
          <cell r="AA1984" t="e">
            <v>#N/A</v>
          </cell>
        </row>
        <row r="1985">
          <cell r="Y1985">
            <v>52944</v>
          </cell>
          <cell r="Z1985" t="e">
            <v>#N/A</v>
          </cell>
          <cell r="AA1985" t="e">
            <v>#N/A</v>
          </cell>
        </row>
        <row r="1986">
          <cell r="Y1986">
            <v>52951</v>
          </cell>
          <cell r="Z1986" t="e">
            <v>#N/A</v>
          </cell>
          <cell r="AA1986" t="e">
            <v>#N/A</v>
          </cell>
        </row>
        <row r="1987">
          <cell r="Y1987">
            <v>52961</v>
          </cell>
          <cell r="Z1987" t="e">
            <v>#N/A</v>
          </cell>
          <cell r="AA1987" t="e">
            <v>#N/A</v>
          </cell>
        </row>
        <row r="1988">
          <cell r="Y1988">
            <v>52968</v>
          </cell>
          <cell r="Z1988" t="e">
            <v>#N/A</v>
          </cell>
          <cell r="AA1988" t="e">
            <v>#N/A</v>
          </cell>
        </row>
        <row r="1989">
          <cell r="Y1989">
            <v>52975</v>
          </cell>
          <cell r="Z1989" t="e">
            <v>#N/A</v>
          </cell>
          <cell r="AA1989" t="e">
            <v>#N/A</v>
          </cell>
        </row>
        <row r="1990">
          <cell r="Y1990">
            <v>52982</v>
          </cell>
          <cell r="Z1990" t="e">
            <v>#N/A</v>
          </cell>
          <cell r="AA1990" t="e">
            <v>#N/A</v>
          </cell>
        </row>
        <row r="1991">
          <cell r="Y1991">
            <v>52989</v>
          </cell>
          <cell r="Z1991" t="e">
            <v>#N/A</v>
          </cell>
          <cell r="AA1991" t="e">
            <v>#N/A</v>
          </cell>
        </row>
        <row r="1992">
          <cell r="Y1992">
            <v>52996</v>
          </cell>
          <cell r="Z1992" t="e">
            <v>#N/A</v>
          </cell>
          <cell r="AA1992" t="e">
            <v>#N/A</v>
          </cell>
        </row>
        <row r="1993">
          <cell r="Y1993">
            <v>53003</v>
          </cell>
          <cell r="Z1993" t="e">
            <v>#N/A</v>
          </cell>
          <cell r="AA1993" t="e">
            <v>#N/A</v>
          </cell>
        </row>
        <row r="1994">
          <cell r="Y1994">
            <v>53010</v>
          </cell>
          <cell r="Z1994" t="e">
            <v>#N/A</v>
          </cell>
          <cell r="AA1994" t="e">
            <v>#N/A</v>
          </cell>
        </row>
        <row r="1995">
          <cell r="Y1995">
            <v>53017</v>
          </cell>
          <cell r="Z1995" t="e">
            <v>#N/A</v>
          </cell>
          <cell r="AA1995" t="e">
            <v>#N/A</v>
          </cell>
        </row>
        <row r="1996">
          <cell r="Y1996">
            <v>53024</v>
          </cell>
          <cell r="Z1996" t="e">
            <v>#N/A</v>
          </cell>
          <cell r="AA1996" t="e">
            <v>#N/A</v>
          </cell>
        </row>
        <row r="1997">
          <cell r="Y1997">
            <v>53031</v>
          </cell>
          <cell r="Z1997" t="e">
            <v>#N/A</v>
          </cell>
          <cell r="AA1997" t="e">
            <v>#N/A</v>
          </cell>
        </row>
        <row r="1998">
          <cell r="Y1998">
            <v>53038</v>
          </cell>
          <cell r="Z1998" t="e">
            <v>#N/A</v>
          </cell>
          <cell r="AA1998" t="e">
            <v>#N/A</v>
          </cell>
        </row>
        <row r="1999">
          <cell r="Y1999">
            <v>53045</v>
          </cell>
          <cell r="Z1999" t="e">
            <v>#N/A</v>
          </cell>
          <cell r="AA1999" t="e">
            <v>#N/A</v>
          </cell>
        </row>
        <row r="2000">
          <cell r="Y2000">
            <v>53052</v>
          </cell>
          <cell r="Z2000" t="e">
            <v>#N/A</v>
          </cell>
          <cell r="AA2000" t="e">
            <v>#N/A</v>
          </cell>
        </row>
        <row r="2001">
          <cell r="Y2001">
            <v>53063</v>
          </cell>
          <cell r="Z2001" t="e">
            <v>#N/A</v>
          </cell>
          <cell r="AA2001" t="e">
            <v>#N/A</v>
          </cell>
        </row>
        <row r="2002">
          <cell r="Y2002">
            <v>53066</v>
          </cell>
          <cell r="Z2002" t="e">
            <v>#N/A</v>
          </cell>
          <cell r="AA2002" t="e">
            <v>#N/A</v>
          </cell>
        </row>
        <row r="2003">
          <cell r="Y2003">
            <v>53073</v>
          </cell>
          <cell r="Z2003" t="e">
            <v>#N/A</v>
          </cell>
          <cell r="AA2003" t="e">
            <v>#N/A</v>
          </cell>
        </row>
        <row r="2004">
          <cell r="Y2004">
            <v>53080</v>
          </cell>
          <cell r="Z2004" t="e">
            <v>#N/A</v>
          </cell>
          <cell r="AA2004" t="e">
            <v>#N/A</v>
          </cell>
        </row>
        <row r="2005">
          <cell r="Y2005">
            <v>53092</v>
          </cell>
          <cell r="Z2005" t="e">
            <v>#N/A</v>
          </cell>
          <cell r="AA2005" t="e">
            <v>#N/A</v>
          </cell>
        </row>
        <row r="2006">
          <cell r="Y2006">
            <v>53099</v>
          </cell>
          <cell r="Z2006" t="e">
            <v>#N/A</v>
          </cell>
          <cell r="AA2006" t="e">
            <v>#N/A</v>
          </cell>
        </row>
        <row r="2007">
          <cell r="Y2007">
            <v>53106</v>
          </cell>
          <cell r="Z2007" t="e">
            <v>#N/A</v>
          </cell>
          <cell r="AA2007" t="e">
            <v>#N/A</v>
          </cell>
        </row>
        <row r="2008">
          <cell r="Y2008">
            <v>53114</v>
          </cell>
          <cell r="Z2008" t="e">
            <v>#N/A</v>
          </cell>
          <cell r="AA2008" t="e">
            <v>#N/A</v>
          </cell>
        </row>
        <row r="2009">
          <cell r="Y2009">
            <v>53121</v>
          </cell>
          <cell r="Z2009" t="e">
            <v>#N/A</v>
          </cell>
          <cell r="AA2009" t="e">
            <v>#N/A</v>
          </cell>
        </row>
        <row r="2010">
          <cell r="Y2010">
            <v>53128</v>
          </cell>
          <cell r="Z2010" t="e">
            <v>#N/A</v>
          </cell>
          <cell r="AA2010" t="e">
            <v>#N/A</v>
          </cell>
        </row>
        <row r="2011">
          <cell r="Y2011">
            <v>53135</v>
          </cell>
          <cell r="Z2011" t="e">
            <v>#N/A</v>
          </cell>
          <cell r="AA2011" t="e">
            <v>#N/A</v>
          </cell>
        </row>
        <row r="2012">
          <cell r="Y2012">
            <v>53142</v>
          </cell>
          <cell r="Z2012" t="e">
            <v>#N/A</v>
          </cell>
          <cell r="AA2012" t="e">
            <v>#N/A</v>
          </cell>
        </row>
        <row r="2013">
          <cell r="Y2013">
            <v>53149</v>
          </cell>
          <cell r="Z2013" t="e">
            <v>#N/A</v>
          </cell>
          <cell r="AA2013" t="e">
            <v>#N/A</v>
          </cell>
        </row>
        <row r="2014">
          <cell r="Y2014">
            <v>53156</v>
          </cell>
          <cell r="Z2014" t="e">
            <v>#N/A</v>
          </cell>
          <cell r="AA2014" t="e">
            <v>#N/A</v>
          </cell>
        </row>
        <row r="2015">
          <cell r="Y2015">
            <v>53163</v>
          </cell>
          <cell r="Z2015" t="e">
            <v>#N/A</v>
          </cell>
          <cell r="AA2015" t="e">
            <v>#N/A</v>
          </cell>
        </row>
        <row r="2016">
          <cell r="Y2016">
            <v>53170</v>
          </cell>
          <cell r="Z2016" t="e">
            <v>#N/A</v>
          </cell>
          <cell r="AA2016" t="e">
            <v>#N/A</v>
          </cell>
        </row>
        <row r="2017">
          <cell r="Y2017">
            <v>53177</v>
          </cell>
          <cell r="Z2017" t="e">
            <v>#N/A</v>
          </cell>
          <cell r="AA2017" t="e">
            <v>#N/A</v>
          </cell>
        </row>
        <row r="2018">
          <cell r="Y2018">
            <v>53184</v>
          </cell>
          <cell r="Z2018" t="e">
            <v>#N/A</v>
          </cell>
          <cell r="AA2018" t="e">
            <v>#N/A</v>
          </cell>
        </row>
        <row r="2019">
          <cell r="Y2019">
            <v>53191</v>
          </cell>
          <cell r="Z2019" t="e">
            <v>#N/A</v>
          </cell>
          <cell r="AA2019" t="e">
            <v>#N/A</v>
          </cell>
        </row>
        <row r="2020">
          <cell r="Y2020">
            <v>53198</v>
          </cell>
          <cell r="Z2020" t="e">
            <v>#N/A</v>
          </cell>
          <cell r="AA2020" t="e">
            <v>#N/A</v>
          </cell>
        </row>
        <row r="2021">
          <cell r="Y2021">
            <v>53205</v>
          </cell>
          <cell r="Z2021" t="e">
            <v>#N/A</v>
          </cell>
          <cell r="AA2021" t="e">
            <v>#N/A</v>
          </cell>
        </row>
        <row r="2022">
          <cell r="Y2022">
            <v>53212</v>
          </cell>
          <cell r="Z2022" t="e">
            <v>#N/A</v>
          </cell>
          <cell r="AA2022" t="e">
            <v>#N/A</v>
          </cell>
        </row>
        <row r="2023">
          <cell r="Y2023">
            <v>53219</v>
          </cell>
          <cell r="Z2023" t="e">
            <v>#N/A</v>
          </cell>
          <cell r="AA2023" t="e">
            <v>#N/A</v>
          </cell>
        </row>
        <row r="2024">
          <cell r="Y2024">
            <v>53226</v>
          </cell>
          <cell r="Z2024" t="e">
            <v>#N/A</v>
          </cell>
          <cell r="AA2024" t="e">
            <v>#N/A</v>
          </cell>
        </row>
        <row r="2025">
          <cell r="Y2025">
            <v>53233</v>
          </cell>
          <cell r="Z2025" t="e">
            <v>#N/A</v>
          </cell>
          <cell r="AA2025" t="e">
            <v>#N/A</v>
          </cell>
        </row>
        <row r="2026">
          <cell r="Y2026">
            <v>53240</v>
          </cell>
          <cell r="Z2026" t="e">
            <v>#N/A</v>
          </cell>
          <cell r="AA2026" t="e">
            <v>#N/A</v>
          </cell>
        </row>
        <row r="2027">
          <cell r="Y2027">
            <v>53247</v>
          </cell>
          <cell r="Z2027" t="e">
            <v>#N/A</v>
          </cell>
          <cell r="AA2027" t="e">
            <v>#N/A</v>
          </cell>
        </row>
        <row r="2028">
          <cell r="Y2028">
            <v>53254</v>
          </cell>
          <cell r="Z2028" t="e">
            <v>#N/A</v>
          </cell>
          <cell r="AA2028" t="e">
            <v>#N/A</v>
          </cell>
        </row>
        <row r="2029">
          <cell r="Y2029">
            <v>53261</v>
          </cell>
          <cell r="Z2029" t="e">
            <v>#N/A</v>
          </cell>
          <cell r="AA2029" t="e">
            <v>#N/A</v>
          </cell>
        </row>
        <row r="2030">
          <cell r="Y2030">
            <v>53268</v>
          </cell>
          <cell r="Z2030" t="e">
            <v>#N/A</v>
          </cell>
          <cell r="AA2030" t="e">
            <v>#N/A</v>
          </cell>
        </row>
        <row r="2031">
          <cell r="Y2031">
            <v>53275</v>
          </cell>
          <cell r="Z2031" t="e">
            <v>#N/A</v>
          </cell>
          <cell r="AA2031" t="e">
            <v>#N/A</v>
          </cell>
        </row>
        <row r="2032">
          <cell r="Y2032">
            <v>53282</v>
          </cell>
          <cell r="Z2032" t="e">
            <v>#N/A</v>
          </cell>
          <cell r="AA2032" t="e">
            <v>#N/A</v>
          </cell>
        </row>
        <row r="2033">
          <cell r="Y2033">
            <v>53290</v>
          </cell>
          <cell r="Z2033" t="e">
            <v>#N/A</v>
          </cell>
          <cell r="AA2033" t="e">
            <v>#N/A</v>
          </cell>
        </row>
        <row r="2034">
          <cell r="Y2034">
            <v>53296</v>
          </cell>
          <cell r="Z2034" t="e">
            <v>#N/A</v>
          </cell>
          <cell r="AA2034" t="e">
            <v>#N/A</v>
          </cell>
        </row>
        <row r="2035">
          <cell r="Y2035">
            <v>53303</v>
          </cell>
          <cell r="Z2035" t="e">
            <v>#N/A</v>
          </cell>
          <cell r="AA2035" t="e">
            <v>#N/A</v>
          </cell>
        </row>
        <row r="2036">
          <cell r="Y2036">
            <v>53310</v>
          </cell>
          <cell r="Z2036" t="e">
            <v>#N/A</v>
          </cell>
          <cell r="AA2036" t="e">
            <v>#N/A</v>
          </cell>
        </row>
        <row r="2037">
          <cell r="Y2037">
            <v>53317</v>
          </cell>
          <cell r="Z2037" t="e">
            <v>#N/A</v>
          </cell>
          <cell r="AA2037" t="e">
            <v>#N/A</v>
          </cell>
        </row>
        <row r="2038">
          <cell r="Y2038">
            <v>53325</v>
          </cell>
          <cell r="Z2038" t="e">
            <v>#N/A</v>
          </cell>
          <cell r="AA2038" t="e">
            <v>#N/A</v>
          </cell>
        </row>
        <row r="2039">
          <cell r="Y2039">
            <v>53336</v>
          </cell>
          <cell r="Z2039" t="e">
            <v>#N/A</v>
          </cell>
          <cell r="AA2039" t="e">
            <v>#N/A</v>
          </cell>
        </row>
        <row r="2040">
          <cell r="Y2040">
            <v>53342</v>
          </cell>
          <cell r="Z2040" t="e">
            <v>#N/A</v>
          </cell>
          <cell r="AA2040" t="e">
            <v>#N/A</v>
          </cell>
        </row>
        <row r="2041">
          <cell r="Y2041">
            <v>53349</v>
          </cell>
          <cell r="Z2041" t="e">
            <v>#N/A</v>
          </cell>
          <cell r="AA2041" t="e">
            <v>#N/A</v>
          </cell>
        </row>
        <row r="2042">
          <cell r="Y2042">
            <v>53356</v>
          </cell>
          <cell r="Z2042" t="e">
            <v>#N/A</v>
          </cell>
          <cell r="AA2042" t="e">
            <v>#N/A</v>
          </cell>
        </row>
        <row r="2043">
          <cell r="Y2043">
            <v>53363</v>
          </cell>
          <cell r="Z2043" t="e">
            <v>#N/A</v>
          </cell>
          <cell r="AA2043" t="e">
            <v>#N/A</v>
          </cell>
        </row>
        <row r="2044">
          <cell r="Y2044">
            <v>53371</v>
          </cell>
          <cell r="Z2044" t="e">
            <v>#N/A</v>
          </cell>
          <cell r="AA2044" t="e">
            <v>#N/A</v>
          </cell>
        </row>
        <row r="2045">
          <cell r="Y2045">
            <v>53377</v>
          </cell>
          <cell r="Z2045" t="e">
            <v>#N/A</v>
          </cell>
          <cell r="AA2045" t="e">
            <v>#N/A</v>
          </cell>
        </row>
        <row r="2046">
          <cell r="Y2046">
            <v>53384</v>
          </cell>
          <cell r="Z2046" t="e">
            <v>#N/A</v>
          </cell>
          <cell r="AA2046" t="e">
            <v>#N/A</v>
          </cell>
        </row>
        <row r="2047">
          <cell r="Y2047">
            <v>53391</v>
          </cell>
          <cell r="Z2047" t="e">
            <v>#N/A</v>
          </cell>
          <cell r="AA2047" t="e">
            <v>#N/A</v>
          </cell>
        </row>
        <row r="2048">
          <cell r="Y2048">
            <v>53398</v>
          </cell>
          <cell r="Z2048" t="e">
            <v>#N/A</v>
          </cell>
          <cell r="AA2048" t="e">
            <v>#N/A</v>
          </cell>
        </row>
        <row r="2049">
          <cell r="Y2049">
            <v>53405</v>
          </cell>
          <cell r="Z2049" t="e">
            <v>#N/A</v>
          </cell>
          <cell r="AA2049" t="e">
            <v>#N/A</v>
          </cell>
        </row>
        <row r="2050">
          <cell r="Y2050">
            <v>53414</v>
          </cell>
          <cell r="Z2050" t="e">
            <v>#N/A</v>
          </cell>
          <cell r="AA2050" t="e">
            <v>#N/A</v>
          </cell>
        </row>
        <row r="2051">
          <cell r="Y2051">
            <v>53419</v>
          </cell>
          <cell r="Z2051" t="e">
            <v>#N/A</v>
          </cell>
          <cell r="AA2051" t="e">
            <v>#N/A</v>
          </cell>
        </row>
        <row r="2052">
          <cell r="Y2052">
            <v>53426</v>
          </cell>
          <cell r="Z2052" t="e">
            <v>#N/A</v>
          </cell>
          <cell r="AA2052" t="e">
            <v>#N/A</v>
          </cell>
        </row>
        <row r="2053">
          <cell r="Y2053">
            <v>53433</v>
          </cell>
          <cell r="Z2053" t="e">
            <v>#N/A</v>
          </cell>
          <cell r="AA2053" t="e">
            <v>#N/A</v>
          </cell>
        </row>
        <row r="2054">
          <cell r="Y2054">
            <v>53440</v>
          </cell>
          <cell r="Z2054" t="e">
            <v>#N/A</v>
          </cell>
          <cell r="AA2054" t="e">
            <v>#N/A</v>
          </cell>
        </row>
        <row r="2055">
          <cell r="Y2055">
            <v>53448</v>
          </cell>
          <cell r="Z2055" t="e">
            <v>#N/A</v>
          </cell>
          <cell r="AA2055" t="e">
            <v>#N/A</v>
          </cell>
        </row>
        <row r="2056">
          <cell r="Y2056">
            <v>53457</v>
          </cell>
          <cell r="Z2056" t="e">
            <v>#N/A</v>
          </cell>
          <cell r="AA2056" t="e">
            <v>#N/A</v>
          </cell>
        </row>
        <row r="2057">
          <cell r="Y2057">
            <v>53464</v>
          </cell>
          <cell r="Z2057" t="e">
            <v>#N/A</v>
          </cell>
          <cell r="AA2057" t="e">
            <v>#N/A</v>
          </cell>
        </row>
        <row r="2058">
          <cell r="Y2058">
            <v>53471</v>
          </cell>
          <cell r="Z2058" t="e">
            <v>#N/A</v>
          </cell>
          <cell r="AA2058" t="e">
            <v>#N/A</v>
          </cell>
        </row>
        <row r="2059">
          <cell r="Y2059">
            <v>53478</v>
          </cell>
          <cell r="Z2059" t="e">
            <v>#N/A</v>
          </cell>
          <cell r="AA2059" t="e">
            <v>#N/A</v>
          </cell>
        </row>
        <row r="2060">
          <cell r="Y2060">
            <v>53485</v>
          </cell>
          <cell r="Z2060" t="e">
            <v>#N/A</v>
          </cell>
          <cell r="AA2060" t="e">
            <v>#N/A</v>
          </cell>
        </row>
        <row r="2061">
          <cell r="Y2061">
            <v>53492</v>
          </cell>
          <cell r="Z2061" t="e">
            <v>#N/A</v>
          </cell>
          <cell r="AA2061" t="e">
            <v>#N/A</v>
          </cell>
        </row>
        <row r="2062">
          <cell r="Y2062">
            <v>53499</v>
          </cell>
          <cell r="Z2062" t="e">
            <v>#N/A</v>
          </cell>
          <cell r="AA2062" t="e">
            <v>#N/A</v>
          </cell>
        </row>
        <row r="2063">
          <cell r="Y2063">
            <v>53506</v>
          </cell>
          <cell r="Z2063" t="e">
            <v>#N/A</v>
          </cell>
          <cell r="AA2063" t="e">
            <v>#N/A</v>
          </cell>
        </row>
        <row r="2064">
          <cell r="Y2064">
            <v>53513</v>
          </cell>
          <cell r="Z2064" t="e">
            <v>#N/A</v>
          </cell>
          <cell r="AA2064" t="e">
            <v>#N/A</v>
          </cell>
        </row>
        <row r="2065">
          <cell r="Y2065">
            <v>53520</v>
          </cell>
          <cell r="Z2065" t="e">
            <v>#N/A</v>
          </cell>
          <cell r="AA2065" t="e">
            <v>#N/A</v>
          </cell>
        </row>
        <row r="2066">
          <cell r="Y2066">
            <v>53527</v>
          </cell>
          <cell r="Z2066" t="e">
            <v>#N/A</v>
          </cell>
          <cell r="AA2066" t="e">
            <v>#N/A</v>
          </cell>
        </row>
        <row r="2067">
          <cell r="Y2067">
            <v>53534</v>
          </cell>
          <cell r="Z2067" t="e">
            <v>#N/A</v>
          </cell>
          <cell r="AA2067" t="e">
            <v>#N/A</v>
          </cell>
        </row>
        <row r="2068">
          <cell r="Y2068">
            <v>53541</v>
          </cell>
          <cell r="Z2068" t="e">
            <v>#N/A</v>
          </cell>
          <cell r="AA2068" t="e">
            <v>#N/A</v>
          </cell>
        </row>
        <row r="2069">
          <cell r="Y2069">
            <v>53548</v>
          </cell>
          <cell r="Z2069" t="e">
            <v>#N/A</v>
          </cell>
          <cell r="AA2069" t="e">
            <v>#N/A</v>
          </cell>
        </row>
        <row r="2070">
          <cell r="Y2070">
            <v>53555</v>
          </cell>
          <cell r="Z2070" t="e">
            <v>#N/A</v>
          </cell>
          <cell r="AA2070" t="e">
            <v>#N/A</v>
          </cell>
        </row>
        <row r="2071">
          <cell r="Y2071">
            <v>53562</v>
          </cell>
          <cell r="Z2071" t="e">
            <v>#N/A</v>
          </cell>
          <cell r="AA2071" t="e">
            <v>#N/A</v>
          </cell>
        </row>
        <row r="2072">
          <cell r="Y2072">
            <v>53569</v>
          </cell>
          <cell r="Z2072" t="e">
            <v>#N/A</v>
          </cell>
          <cell r="AA2072" t="e">
            <v>#N/A</v>
          </cell>
        </row>
        <row r="2073">
          <cell r="Y2073">
            <v>53576</v>
          </cell>
          <cell r="Z2073" t="e">
            <v>#N/A</v>
          </cell>
          <cell r="AA2073" t="e">
            <v>#N/A</v>
          </cell>
        </row>
        <row r="2074">
          <cell r="Y2074">
            <v>53583</v>
          </cell>
          <cell r="Z2074" t="e">
            <v>#N/A</v>
          </cell>
          <cell r="AA2074" t="e">
            <v>#N/A</v>
          </cell>
        </row>
        <row r="2075">
          <cell r="Y2075">
            <v>53590</v>
          </cell>
          <cell r="Z2075" t="e">
            <v>#N/A</v>
          </cell>
          <cell r="AA2075" t="e">
            <v>#N/A</v>
          </cell>
        </row>
        <row r="2076">
          <cell r="Y2076">
            <v>53597</v>
          </cell>
          <cell r="Z2076" t="e">
            <v>#N/A</v>
          </cell>
          <cell r="AA2076" t="e">
            <v>#N/A</v>
          </cell>
        </row>
        <row r="2077">
          <cell r="Y2077">
            <v>53604</v>
          </cell>
          <cell r="Z2077" t="e">
            <v>#N/A</v>
          </cell>
          <cell r="AA2077" t="e">
            <v>#N/A</v>
          </cell>
        </row>
        <row r="2078">
          <cell r="Y2078">
            <v>53611</v>
          </cell>
          <cell r="Z2078" t="e">
            <v>#N/A</v>
          </cell>
          <cell r="AA2078" t="e">
            <v>#N/A</v>
          </cell>
        </row>
        <row r="2079">
          <cell r="Y2079">
            <v>53618</v>
          </cell>
          <cell r="Z2079" t="e">
            <v>#N/A</v>
          </cell>
          <cell r="AA2079" t="e">
            <v>#N/A</v>
          </cell>
        </row>
        <row r="2080">
          <cell r="Y2080">
            <v>53625</v>
          </cell>
          <cell r="Z2080" t="e">
            <v>#N/A</v>
          </cell>
          <cell r="AA2080" t="e">
            <v>#N/A</v>
          </cell>
        </row>
        <row r="2081">
          <cell r="Y2081">
            <v>53632</v>
          </cell>
          <cell r="Z2081" t="e">
            <v>#N/A</v>
          </cell>
          <cell r="AA2081" t="e">
            <v>#N/A</v>
          </cell>
        </row>
        <row r="2082">
          <cell r="Y2082">
            <v>53639</v>
          </cell>
          <cell r="Z2082" t="e">
            <v>#N/A</v>
          </cell>
          <cell r="AA2082" t="e">
            <v>#N/A</v>
          </cell>
        </row>
        <row r="2083">
          <cell r="Y2083">
            <v>53646</v>
          </cell>
          <cell r="Z2083" t="e">
            <v>#N/A</v>
          </cell>
          <cell r="AA2083" t="e">
            <v>#N/A</v>
          </cell>
        </row>
        <row r="2084">
          <cell r="Y2084">
            <v>53653</v>
          </cell>
          <cell r="Z2084" t="e">
            <v>#N/A</v>
          </cell>
          <cell r="AA2084" t="e">
            <v>#N/A</v>
          </cell>
        </row>
        <row r="2085">
          <cell r="Y2085">
            <v>53660</v>
          </cell>
          <cell r="Z2085" t="e">
            <v>#N/A</v>
          </cell>
          <cell r="AA2085" t="e">
            <v>#N/A</v>
          </cell>
        </row>
        <row r="2086">
          <cell r="Y2086">
            <v>53667</v>
          </cell>
          <cell r="Z2086" t="e">
            <v>#N/A</v>
          </cell>
          <cell r="AA2086" t="e">
            <v>#N/A</v>
          </cell>
        </row>
        <row r="2087">
          <cell r="Y2087">
            <v>53674</v>
          </cell>
          <cell r="Z2087" t="e">
            <v>#N/A</v>
          </cell>
          <cell r="AA2087" t="e">
            <v>#N/A</v>
          </cell>
        </row>
        <row r="2088">
          <cell r="Y2088">
            <v>53681</v>
          </cell>
          <cell r="Z2088" t="e">
            <v>#N/A</v>
          </cell>
          <cell r="AA2088" t="e">
            <v>#N/A</v>
          </cell>
        </row>
        <row r="2089">
          <cell r="Y2089">
            <v>53696</v>
          </cell>
          <cell r="Z2089" t="e">
            <v>#N/A</v>
          </cell>
          <cell r="AA2089" t="e">
            <v>#N/A</v>
          </cell>
        </row>
        <row r="2090">
          <cell r="Y2090">
            <v>53700</v>
          </cell>
          <cell r="Z2090" t="e">
            <v>#N/A</v>
          </cell>
          <cell r="AA2090" t="e">
            <v>#N/A</v>
          </cell>
        </row>
        <row r="2091">
          <cell r="Y2091">
            <v>53708</v>
          </cell>
          <cell r="Z2091" t="e">
            <v>#N/A</v>
          </cell>
          <cell r="AA2091" t="e">
            <v>#N/A</v>
          </cell>
        </row>
        <row r="2092">
          <cell r="Y2092">
            <v>53714</v>
          </cell>
          <cell r="Z2092" t="e">
            <v>#N/A</v>
          </cell>
          <cell r="AA2092" t="e">
            <v>#N/A</v>
          </cell>
        </row>
        <row r="2093">
          <cell r="Y2093">
            <v>53721</v>
          </cell>
          <cell r="Z2093" t="e">
            <v>#N/A</v>
          </cell>
          <cell r="AA2093" t="e">
            <v>#N/A</v>
          </cell>
        </row>
        <row r="2094">
          <cell r="Y2094">
            <v>53728</v>
          </cell>
          <cell r="Z2094" t="e">
            <v>#N/A</v>
          </cell>
          <cell r="AA2094" t="e">
            <v>#N/A</v>
          </cell>
        </row>
        <row r="2095">
          <cell r="Y2095">
            <v>53736</v>
          </cell>
          <cell r="Z2095" t="e">
            <v>#N/A</v>
          </cell>
          <cell r="AA2095" t="e">
            <v>#N/A</v>
          </cell>
        </row>
        <row r="2096">
          <cell r="Y2096">
            <v>53742</v>
          </cell>
          <cell r="Z2096" t="e">
            <v>#N/A</v>
          </cell>
          <cell r="AA2096" t="e">
            <v>#N/A</v>
          </cell>
        </row>
        <row r="2097">
          <cell r="Y2097">
            <v>53749</v>
          </cell>
          <cell r="Z2097" t="e">
            <v>#N/A</v>
          </cell>
          <cell r="AA2097" t="e">
            <v>#N/A</v>
          </cell>
        </row>
        <row r="2098">
          <cell r="Y2098">
            <v>53756</v>
          </cell>
          <cell r="Z2098" t="e">
            <v>#N/A</v>
          </cell>
          <cell r="AA2098" t="e">
            <v>#N/A</v>
          </cell>
        </row>
        <row r="2099">
          <cell r="Y2099">
            <v>53763</v>
          </cell>
          <cell r="Z2099" t="e">
            <v>#N/A</v>
          </cell>
          <cell r="AA2099" t="e">
            <v>#N/A</v>
          </cell>
        </row>
        <row r="2100">
          <cell r="Y2100">
            <v>53770</v>
          </cell>
          <cell r="Z2100" t="e">
            <v>#N/A</v>
          </cell>
          <cell r="AA2100" t="e">
            <v>#N/A</v>
          </cell>
        </row>
        <row r="2101">
          <cell r="Y2101">
            <v>53777</v>
          </cell>
          <cell r="Z2101" t="e">
            <v>#N/A</v>
          </cell>
          <cell r="AA2101" t="e">
            <v>#N/A</v>
          </cell>
        </row>
        <row r="2102">
          <cell r="Y2102">
            <v>53784</v>
          </cell>
          <cell r="Z2102" t="e">
            <v>#N/A</v>
          </cell>
          <cell r="AA2102" t="e">
            <v>#N/A</v>
          </cell>
        </row>
        <row r="2103">
          <cell r="Y2103">
            <v>53791</v>
          </cell>
          <cell r="Z2103" t="e">
            <v>#N/A</v>
          </cell>
          <cell r="AA2103" t="e">
            <v>#N/A</v>
          </cell>
        </row>
        <row r="2104">
          <cell r="Y2104">
            <v>53800</v>
          </cell>
          <cell r="Z2104" t="e">
            <v>#N/A</v>
          </cell>
          <cell r="AA2104" t="e">
            <v>#N/A</v>
          </cell>
        </row>
        <row r="2105">
          <cell r="Y2105">
            <v>53807</v>
          </cell>
          <cell r="Z2105" t="e">
            <v>#N/A</v>
          </cell>
          <cell r="AA2105" t="e">
            <v>#N/A</v>
          </cell>
        </row>
        <row r="2106">
          <cell r="Y2106">
            <v>53814</v>
          </cell>
          <cell r="Z2106" t="e">
            <v>#N/A</v>
          </cell>
          <cell r="AA2106" t="e">
            <v>#N/A</v>
          </cell>
        </row>
        <row r="2107">
          <cell r="Y2107">
            <v>53821</v>
          </cell>
          <cell r="Z2107" t="e">
            <v>#N/A</v>
          </cell>
          <cell r="AA2107" t="e">
            <v>#N/A</v>
          </cell>
        </row>
        <row r="2108">
          <cell r="Y2108">
            <v>53828</v>
          </cell>
          <cell r="Z2108" t="e">
            <v>#N/A</v>
          </cell>
          <cell r="AA2108" t="e">
            <v>#N/A</v>
          </cell>
        </row>
        <row r="2109">
          <cell r="Y2109">
            <v>53835</v>
          </cell>
          <cell r="Z2109" t="e">
            <v>#N/A</v>
          </cell>
          <cell r="AA2109" t="e">
            <v>#N/A</v>
          </cell>
        </row>
        <row r="2110">
          <cell r="Y2110">
            <v>53842</v>
          </cell>
          <cell r="Z2110" t="e">
            <v>#N/A</v>
          </cell>
          <cell r="AA2110" t="e">
            <v>#N/A</v>
          </cell>
        </row>
        <row r="2111">
          <cell r="Y2111">
            <v>53849</v>
          </cell>
          <cell r="Z2111" t="e">
            <v>#N/A</v>
          </cell>
          <cell r="AA2111" t="e">
            <v>#N/A</v>
          </cell>
        </row>
        <row r="2112">
          <cell r="Y2112">
            <v>53856</v>
          </cell>
          <cell r="Z2112" t="e">
            <v>#N/A</v>
          </cell>
          <cell r="AA2112" t="e">
            <v>#N/A</v>
          </cell>
        </row>
        <row r="2113">
          <cell r="Y2113">
            <v>53863</v>
          </cell>
          <cell r="Z2113" t="e">
            <v>#N/A</v>
          </cell>
          <cell r="AA2113" t="e">
            <v>#N/A</v>
          </cell>
        </row>
        <row r="2114">
          <cell r="Y2114">
            <v>53870</v>
          </cell>
          <cell r="Z2114" t="e">
            <v>#N/A</v>
          </cell>
          <cell r="AA2114" t="e">
            <v>#N/A</v>
          </cell>
        </row>
        <row r="2115">
          <cell r="Y2115">
            <v>53877</v>
          </cell>
          <cell r="Z2115" t="e">
            <v>#N/A</v>
          </cell>
          <cell r="AA2115" t="e">
            <v>#N/A</v>
          </cell>
        </row>
        <row r="2116">
          <cell r="Y2116">
            <v>53884</v>
          </cell>
          <cell r="Z2116" t="e">
            <v>#N/A</v>
          </cell>
          <cell r="AA2116" t="e">
            <v>#N/A</v>
          </cell>
        </row>
        <row r="2117">
          <cell r="Y2117">
            <v>53891</v>
          </cell>
          <cell r="Z2117" t="e">
            <v>#N/A</v>
          </cell>
          <cell r="AA2117" t="e">
            <v>#N/A</v>
          </cell>
        </row>
        <row r="2118">
          <cell r="Y2118">
            <v>53898</v>
          </cell>
          <cell r="Z2118" t="e">
            <v>#N/A</v>
          </cell>
          <cell r="AA2118" t="e">
            <v>#N/A</v>
          </cell>
        </row>
        <row r="2119">
          <cell r="Y2119">
            <v>53905</v>
          </cell>
          <cell r="Z2119" t="e">
            <v>#N/A</v>
          </cell>
          <cell r="AA2119" t="e">
            <v>#N/A</v>
          </cell>
        </row>
        <row r="2120">
          <cell r="Y2120">
            <v>53912</v>
          </cell>
          <cell r="Z2120" t="e">
            <v>#N/A</v>
          </cell>
          <cell r="AA2120" t="e">
            <v>#N/A</v>
          </cell>
        </row>
        <row r="2121">
          <cell r="Y2121">
            <v>53919</v>
          </cell>
          <cell r="Z2121" t="e">
            <v>#N/A</v>
          </cell>
          <cell r="AA2121" t="e">
            <v>#N/A</v>
          </cell>
        </row>
        <row r="2122">
          <cell r="Y2122">
            <v>53926</v>
          </cell>
          <cell r="Z2122" t="e">
            <v>#N/A</v>
          </cell>
          <cell r="AA2122" t="e">
            <v>#N/A</v>
          </cell>
        </row>
        <row r="2123">
          <cell r="Y2123">
            <v>53933</v>
          </cell>
          <cell r="Z2123" t="e">
            <v>#N/A</v>
          </cell>
          <cell r="AA2123" t="e">
            <v>#N/A</v>
          </cell>
        </row>
        <row r="2124">
          <cell r="Y2124">
            <v>53940</v>
          </cell>
          <cell r="Z2124" t="e">
            <v>#N/A</v>
          </cell>
          <cell r="AA2124" t="e">
            <v>#N/A</v>
          </cell>
        </row>
        <row r="2125">
          <cell r="Y2125">
            <v>53947</v>
          </cell>
          <cell r="Z2125" t="e">
            <v>#N/A</v>
          </cell>
          <cell r="AA2125" t="e">
            <v>#N/A</v>
          </cell>
        </row>
        <row r="2126">
          <cell r="Y2126">
            <v>53954</v>
          </cell>
          <cell r="Z2126" t="e">
            <v>#N/A</v>
          </cell>
          <cell r="AA2126" t="e">
            <v>#N/A</v>
          </cell>
        </row>
        <row r="2127">
          <cell r="Y2127">
            <v>53961</v>
          </cell>
          <cell r="Z2127" t="e">
            <v>#N/A</v>
          </cell>
          <cell r="AA2127" t="e">
            <v>#N/A</v>
          </cell>
        </row>
        <row r="2128">
          <cell r="Y2128">
            <v>53968</v>
          </cell>
          <cell r="Z2128" t="e">
            <v>#N/A</v>
          </cell>
          <cell r="AA2128" t="e">
            <v>#N/A</v>
          </cell>
        </row>
        <row r="2129">
          <cell r="Y2129">
            <v>53975</v>
          </cell>
          <cell r="Z2129" t="e">
            <v>#N/A</v>
          </cell>
          <cell r="AA2129" t="e">
            <v>#N/A</v>
          </cell>
        </row>
        <row r="2130">
          <cell r="Y2130">
            <v>53982</v>
          </cell>
          <cell r="Z2130" t="e">
            <v>#N/A</v>
          </cell>
          <cell r="AA2130" t="e">
            <v>#N/A</v>
          </cell>
        </row>
        <row r="2131">
          <cell r="Y2131">
            <v>53989</v>
          </cell>
          <cell r="Z2131" t="e">
            <v>#N/A</v>
          </cell>
          <cell r="AA2131" t="e">
            <v>#N/A</v>
          </cell>
        </row>
        <row r="2132">
          <cell r="Y2132">
            <v>53996</v>
          </cell>
          <cell r="Z2132" t="e">
            <v>#N/A</v>
          </cell>
          <cell r="AA2132" t="e">
            <v>#N/A</v>
          </cell>
        </row>
        <row r="2133">
          <cell r="Y2133">
            <v>54003</v>
          </cell>
          <cell r="Z2133" t="e">
            <v>#N/A</v>
          </cell>
          <cell r="AA2133" t="e">
            <v>#N/A</v>
          </cell>
        </row>
        <row r="2134">
          <cell r="Y2134">
            <v>54010</v>
          </cell>
          <cell r="Z2134" t="e">
            <v>#N/A</v>
          </cell>
          <cell r="AA2134" t="e">
            <v>#N/A</v>
          </cell>
        </row>
        <row r="2135">
          <cell r="Y2135">
            <v>54017</v>
          </cell>
          <cell r="Z2135" t="e">
            <v>#N/A</v>
          </cell>
          <cell r="AA2135" t="e">
            <v>#N/A</v>
          </cell>
        </row>
        <row r="2136">
          <cell r="Y2136">
            <v>54024</v>
          </cell>
          <cell r="Z2136" t="e">
            <v>#N/A</v>
          </cell>
          <cell r="AA2136" t="e">
            <v>#N/A</v>
          </cell>
        </row>
        <row r="2137">
          <cell r="Y2137">
            <v>54031</v>
          </cell>
          <cell r="Z2137" t="e">
            <v>#N/A</v>
          </cell>
          <cell r="AA2137" t="e">
            <v>#N/A</v>
          </cell>
        </row>
        <row r="2138">
          <cell r="Y2138">
            <v>54038</v>
          </cell>
          <cell r="Z2138" t="e">
            <v>#N/A</v>
          </cell>
          <cell r="AA2138" t="e">
            <v>#N/A</v>
          </cell>
        </row>
        <row r="2139">
          <cell r="Y2139">
            <v>54045</v>
          </cell>
          <cell r="Z2139" t="e">
            <v>#N/A</v>
          </cell>
          <cell r="AA2139" t="e">
            <v>#N/A</v>
          </cell>
        </row>
        <row r="2140">
          <cell r="Y2140">
            <v>54056</v>
          </cell>
          <cell r="Z2140" t="e">
            <v>#N/A</v>
          </cell>
          <cell r="AA2140" t="e">
            <v>#N/A</v>
          </cell>
        </row>
        <row r="2141">
          <cell r="Y2141">
            <v>54065</v>
          </cell>
          <cell r="Z2141" t="e">
            <v>#N/A</v>
          </cell>
          <cell r="AA2141" t="e">
            <v>#N/A</v>
          </cell>
        </row>
        <row r="2142">
          <cell r="Y2142">
            <v>54073</v>
          </cell>
          <cell r="Z2142" t="e">
            <v>#N/A</v>
          </cell>
          <cell r="AA2142" t="e">
            <v>#N/A</v>
          </cell>
        </row>
        <row r="2143">
          <cell r="Y2143">
            <v>54080</v>
          </cell>
          <cell r="Z2143" t="e">
            <v>#N/A</v>
          </cell>
          <cell r="AA2143" t="e">
            <v>#N/A</v>
          </cell>
        </row>
        <row r="2144">
          <cell r="Y2144">
            <v>54087</v>
          </cell>
          <cell r="Z2144" t="e">
            <v>#N/A</v>
          </cell>
          <cell r="AA2144" t="e">
            <v>#N/A</v>
          </cell>
        </row>
        <row r="2145">
          <cell r="Y2145">
            <v>54094</v>
          </cell>
          <cell r="Z2145" t="e">
            <v>#N/A</v>
          </cell>
          <cell r="AA2145" t="e">
            <v>#N/A</v>
          </cell>
        </row>
        <row r="2146">
          <cell r="Y2146">
            <v>54102</v>
          </cell>
          <cell r="Z2146" t="e">
            <v>#N/A</v>
          </cell>
          <cell r="AA2146" t="e">
            <v>#N/A</v>
          </cell>
        </row>
        <row r="2147">
          <cell r="Y2147">
            <v>54109</v>
          </cell>
          <cell r="Z2147" t="e">
            <v>#N/A</v>
          </cell>
          <cell r="AA2147" t="e">
            <v>#N/A</v>
          </cell>
        </row>
        <row r="2148">
          <cell r="Y2148">
            <v>54116</v>
          </cell>
          <cell r="Z2148" t="e">
            <v>#N/A</v>
          </cell>
          <cell r="AA2148" t="e">
            <v>#N/A</v>
          </cell>
        </row>
        <row r="2149">
          <cell r="Y2149">
            <v>54123</v>
          </cell>
          <cell r="Z2149" t="e">
            <v>#N/A</v>
          </cell>
          <cell r="AA2149" t="e">
            <v>#N/A</v>
          </cell>
        </row>
        <row r="2150">
          <cell r="Y2150">
            <v>54130</v>
          </cell>
          <cell r="Z2150" t="e">
            <v>#N/A</v>
          </cell>
          <cell r="AA2150" t="e">
            <v>#N/A</v>
          </cell>
        </row>
        <row r="2151">
          <cell r="Y2151">
            <v>54140</v>
          </cell>
          <cell r="Z2151" t="e">
            <v>#N/A</v>
          </cell>
          <cell r="AA2151" t="e">
            <v>#N/A</v>
          </cell>
        </row>
        <row r="2152">
          <cell r="Y2152">
            <v>54144</v>
          </cell>
          <cell r="Z2152" t="e">
            <v>#N/A</v>
          </cell>
          <cell r="AA2152" t="e">
            <v>#N/A</v>
          </cell>
        </row>
        <row r="2153">
          <cell r="Y2153">
            <v>54155</v>
          </cell>
          <cell r="Z2153" t="e">
            <v>#N/A</v>
          </cell>
          <cell r="AA2153" t="e">
            <v>#N/A</v>
          </cell>
        </row>
        <row r="2154">
          <cell r="Y2154">
            <v>54158</v>
          </cell>
          <cell r="Z2154" t="e">
            <v>#N/A</v>
          </cell>
          <cell r="AA2154" t="e">
            <v>#N/A</v>
          </cell>
        </row>
        <row r="2155">
          <cell r="Y2155">
            <v>54165</v>
          </cell>
          <cell r="Z2155" t="e">
            <v>#N/A</v>
          </cell>
          <cell r="AA2155" t="e">
            <v>#N/A</v>
          </cell>
        </row>
        <row r="2156">
          <cell r="Y2156">
            <v>54172</v>
          </cell>
          <cell r="Z2156" t="e">
            <v>#N/A</v>
          </cell>
          <cell r="AA2156" t="e">
            <v>#N/A</v>
          </cell>
        </row>
        <row r="2157">
          <cell r="Y2157">
            <v>54185</v>
          </cell>
          <cell r="Z2157" t="e">
            <v>#N/A</v>
          </cell>
          <cell r="AA2157" t="e">
            <v>#N/A</v>
          </cell>
        </row>
        <row r="2158">
          <cell r="Y2158">
            <v>54189</v>
          </cell>
          <cell r="Z2158" t="e">
            <v>#N/A</v>
          </cell>
          <cell r="AA2158" t="e">
            <v>#N/A</v>
          </cell>
        </row>
        <row r="2159">
          <cell r="Y2159">
            <v>54196</v>
          </cell>
          <cell r="Z2159" t="e">
            <v>#N/A</v>
          </cell>
          <cell r="AA2159" t="e">
            <v>#N/A</v>
          </cell>
        </row>
        <row r="2160">
          <cell r="Y2160">
            <v>54204</v>
          </cell>
          <cell r="Z2160" t="e">
            <v>#N/A</v>
          </cell>
          <cell r="AA2160" t="e">
            <v>#N/A</v>
          </cell>
        </row>
        <row r="2161">
          <cell r="Y2161">
            <v>54210</v>
          </cell>
          <cell r="Z2161" t="e">
            <v>#N/A</v>
          </cell>
          <cell r="AA2161" t="e">
            <v>#N/A</v>
          </cell>
        </row>
        <row r="2162">
          <cell r="Y2162">
            <v>54217</v>
          </cell>
          <cell r="Z2162" t="e">
            <v>#N/A</v>
          </cell>
          <cell r="AA2162" t="e">
            <v>#N/A</v>
          </cell>
        </row>
        <row r="2163">
          <cell r="Y2163">
            <v>54224</v>
          </cell>
          <cell r="Z2163" t="e">
            <v>#N/A</v>
          </cell>
          <cell r="AA2163" t="e">
            <v>#N/A</v>
          </cell>
        </row>
        <row r="2164">
          <cell r="Y2164">
            <v>54231</v>
          </cell>
          <cell r="Z2164" t="e">
            <v>#N/A</v>
          </cell>
          <cell r="AA2164" t="e">
            <v>#N/A</v>
          </cell>
        </row>
        <row r="2165">
          <cell r="Y2165">
            <v>54238</v>
          </cell>
          <cell r="Z2165" t="e">
            <v>#N/A</v>
          </cell>
          <cell r="AA2165" t="e">
            <v>#N/A</v>
          </cell>
        </row>
        <row r="2166">
          <cell r="Y2166">
            <v>54245</v>
          </cell>
          <cell r="Z2166" t="e">
            <v>#N/A</v>
          </cell>
          <cell r="AA2166" t="e">
            <v>#N/A</v>
          </cell>
        </row>
        <row r="2167">
          <cell r="Y2167">
            <v>54252</v>
          </cell>
          <cell r="Z2167" t="e">
            <v>#N/A</v>
          </cell>
          <cell r="AA2167" t="e">
            <v>#N/A</v>
          </cell>
        </row>
        <row r="2168">
          <cell r="Y2168">
            <v>54260</v>
          </cell>
          <cell r="Z2168" t="e">
            <v>#N/A</v>
          </cell>
          <cell r="AA2168" t="e">
            <v>#N/A</v>
          </cell>
        </row>
        <row r="2169">
          <cell r="Y2169">
            <v>54266</v>
          </cell>
          <cell r="Z2169" t="e">
            <v>#N/A</v>
          </cell>
          <cell r="AA2169" t="e">
            <v>#N/A</v>
          </cell>
        </row>
        <row r="2170">
          <cell r="Y2170">
            <v>54273</v>
          </cell>
          <cell r="Z2170" t="e">
            <v>#N/A</v>
          </cell>
          <cell r="AA2170" t="e">
            <v>#N/A</v>
          </cell>
        </row>
        <row r="2171">
          <cell r="Y2171">
            <v>54280</v>
          </cell>
          <cell r="Z2171" t="e">
            <v>#N/A</v>
          </cell>
          <cell r="AA2171" t="e">
            <v>#N/A</v>
          </cell>
        </row>
        <row r="2172">
          <cell r="Y2172">
            <v>54287</v>
          </cell>
          <cell r="Z2172" t="e">
            <v>#N/A</v>
          </cell>
          <cell r="AA2172" t="e">
            <v>#N/A</v>
          </cell>
        </row>
        <row r="2173">
          <cell r="Y2173">
            <v>54294</v>
          </cell>
          <cell r="Z2173" t="e">
            <v>#N/A</v>
          </cell>
          <cell r="AA2173" t="e">
            <v>#N/A</v>
          </cell>
        </row>
        <row r="2174">
          <cell r="Y2174">
            <v>54302</v>
          </cell>
          <cell r="Z2174" t="e">
            <v>#N/A</v>
          </cell>
          <cell r="AA2174" t="e">
            <v>#N/A</v>
          </cell>
        </row>
        <row r="2175">
          <cell r="Y2175">
            <v>54308</v>
          </cell>
          <cell r="Z2175" t="e">
            <v>#N/A</v>
          </cell>
          <cell r="AA2175" t="e">
            <v>#N/A</v>
          </cell>
        </row>
        <row r="2176">
          <cell r="Y2176">
            <v>54315</v>
          </cell>
          <cell r="Z2176" t="e">
            <v>#N/A</v>
          </cell>
          <cell r="AA2176" t="e">
            <v>#N/A</v>
          </cell>
        </row>
        <row r="2177">
          <cell r="Y2177">
            <v>54324</v>
          </cell>
          <cell r="Z2177" t="e">
            <v>#N/A</v>
          </cell>
          <cell r="AA2177" t="e">
            <v>#N/A</v>
          </cell>
        </row>
        <row r="2178">
          <cell r="Y2178">
            <v>54329</v>
          </cell>
          <cell r="Z2178" t="e">
            <v>#N/A</v>
          </cell>
          <cell r="AA2178" t="e">
            <v>#N/A</v>
          </cell>
        </row>
        <row r="2179">
          <cell r="Y2179">
            <v>54336</v>
          </cell>
          <cell r="Z2179" t="e">
            <v>#N/A</v>
          </cell>
          <cell r="AA2179" t="e">
            <v>#N/A</v>
          </cell>
        </row>
        <row r="2180">
          <cell r="Y2180">
            <v>54344</v>
          </cell>
          <cell r="Z2180" t="e">
            <v>#N/A</v>
          </cell>
          <cell r="AA2180" t="e">
            <v>#N/A</v>
          </cell>
        </row>
        <row r="2181">
          <cell r="Y2181">
            <v>54350</v>
          </cell>
          <cell r="Z2181" t="e">
            <v>#N/A</v>
          </cell>
          <cell r="AA2181" t="e">
            <v>#N/A</v>
          </cell>
        </row>
        <row r="2182">
          <cell r="Y2182">
            <v>54357</v>
          </cell>
          <cell r="Z2182" t="e">
            <v>#N/A</v>
          </cell>
          <cell r="AA2182" t="e">
            <v>#N/A</v>
          </cell>
        </row>
        <row r="2183">
          <cell r="Y2183">
            <v>54364</v>
          </cell>
          <cell r="Z2183" t="e">
            <v>#N/A</v>
          </cell>
          <cell r="AA2183" t="e">
            <v>#N/A</v>
          </cell>
        </row>
        <row r="2184">
          <cell r="Y2184">
            <v>54371</v>
          </cell>
          <cell r="Z2184" t="e">
            <v>#N/A</v>
          </cell>
          <cell r="AA2184" t="e">
            <v>#N/A</v>
          </cell>
        </row>
        <row r="2185">
          <cell r="Y2185">
            <v>54378</v>
          </cell>
          <cell r="Z2185" t="e">
            <v>#N/A</v>
          </cell>
          <cell r="AA2185" t="e">
            <v>#N/A</v>
          </cell>
        </row>
        <row r="2186">
          <cell r="Y2186">
            <v>54386</v>
          </cell>
          <cell r="Z2186" t="e">
            <v>#N/A</v>
          </cell>
          <cell r="AA2186" t="e">
            <v>#N/A</v>
          </cell>
        </row>
        <row r="2187">
          <cell r="Y2187">
            <v>54392</v>
          </cell>
          <cell r="Z2187" t="e">
            <v>#N/A</v>
          </cell>
          <cell r="AA2187" t="e">
            <v>#N/A</v>
          </cell>
        </row>
        <row r="2188">
          <cell r="Y2188">
            <v>54399</v>
          </cell>
          <cell r="Z2188" t="e">
            <v>#N/A</v>
          </cell>
          <cell r="AA2188" t="e">
            <v>#N/A</v>
          </cell>
        </row>
        <row r="2189">
          <cell r="Y2189">
            <v>54406</v>
          </cell>
          <cell r="Z2189" t="e">
            <v>#N/A</v>
          </cell>
          <cell r="AA2189" t="e">
            <v>#N/A</v>
          </cell>
        </row>
        <row r="2190">
          <cell r="Y2190">
            <v>54413</v>
          </cell>
          <cell r="Z2190" t="e">
            <v>#N/A</v>
          </cell>
          <cell r="AA2190" t="e">
            <v>#N/A</v>
          </cell>
        </row>
        <row r="2191">
          <cell r="Y2191">
            <v>54422</v>
          </cell>
          <cell r="Z2191" t="e">
            <v>#N/A</v>
          </cell>
          <cell r="AA2191" t="e">
            <v>#N/A</v>
          </cell>
        </row>
        <row r="2192">
          <cell r="Y2192">
            <v>54429</v>
          </cell>
          <cell r="Z2192" t="e">
            <v>#N/A</v>
          </cell>
          <cell r="AA2192" t="e">
            <v>#N/A</v>
          </cell>
        </row>
        <row r="2193">
          <cell r="Y2193">
            <v>54437</v>
          </cell>
          <cell r="Z2193" t="e">
            <v>#N/A</v>
          </cell>
          <cell r="AA2193" t="e">
            <v>#N/A</v>
          </cell>
        </row>
        <row r="2194">
          <cell r="Y2194">
            <v>54444</v>
          </cell>
          <cell r="Z2194" t="e">
            <v>#N/A</v>
          </cell>
          <cell r="AA2194" t="e">
            <v>#N/A</v>
          </cell>
        </row>
        <row r="2195">
          <cell r="Y2195">
            <v>54451</v>
          </cell>
          <cell r="Z2195" t="e">
            <v>#N/A</v>
          </cell>
          <cell r="AA2195" t="e">
            <v>#N/A</v>
          </cell>
        </row>
        <row r="2196">
          <cell r="Y2196">
            <v>54458</v>
          </cell>
          <cell r="Z2196" t="e">
            <v>#N/A</v>
          </cell>
          <cell r="AA2196" t="e">
            <v>#N/A</v>
          </cell>
        </row>
        <row r="2197">
          <cell r="Y2197">
            <v>54466</v>
          </cell>
          <cell r="Z2197" t="e">
            <v>#N/A</v>
          </cell>
          <cell r="AA2197" t="e">
            <v>#N/A</v>
          </cell>
        </row>
        <row r="2198">
          <cell r="Y2198">
            <v>54472</v>
          </cell>
          <cell r="Z2198" t="e">
            <v>#N/A</v>
          </cell>
          <cell r="AA2198" t="e">
            <v>#N/A</v>
          </cell>
        </row>
        <row r="2199">
          <cell r="Y2199">
            <v>54479</v>
          </cell>
          <cell r="Z2199" t="e">
            <v>#N/A</v>
          </cell>
          <cell r="AA2199" t="e">
            <v>#N/A</v>
          </cell>
        </row>
        <row r="2200">
          <cell r="Y2200">
            <v>54486</v>
          </cell>
          <cell r="Z2200" t="e">
            <v>#N/A</v>
          </cell>
          <cell r="AA2200" t="e">
            <v>#N/A</v>
          </cell>
        </row>
        <row r="2201">
          <cell r="Y2201">
            <v>54493</v>
          </cell>
          <cell r="Z2201" t="e">
            <v>#N/A</v>
          </cell>
          <cell r="AA2201" t="e">
            <v>#N/A</v>
          </cell>
        </row>
        <row r="2202">
          <cell r="Y2202">
            <v>54500</v>
          </cell>
          <cell r="Z2202" t="e">
            <v>#N/A</v>
          </cell>
          <cell r="AA2202" t="e">
            <v>#N/A</v>
          </cell>
        </row>
        <row r="2203">
          <cell r="Y2203">
            <v>54507</v>
          </cell>
          <cell r="Z2203" t="e">
            <v>#N/A</v>
          </cell>
          <cell r="AA2203" t="e">
            <v>#N/A</v>
          </cell>
        </row>
        <row r="2204">
          <cell r="Y2204">
            <v>54514</v>
          </cell>
          <cell r="Z2204" t="e">
            <v>#N/A</v>
          </cell>
          <cell r="AA2204" t="e">
            <v>#N/A</v>
          </cell>
        </row>
        <row r="2205">
          <cell r="Y2205">
            <v>54521</v>
          </cell>
          <cell r="Z2205" t="e">
            <v>#N/A</v>
          </cell>
          <cell r="AA2205" t="e">
            <v>#N/A</v>
          </cell>
        </row>
        <row r="2206">
          <cell r="Y2206">
            <v>54528</v>
          </cell>
          <cell r="Z2206" t="e">
            <v>#N/A</v>
          </cell>
          <cell r="AA2206" t="e">
            <v>#N/A</v>
          </cell>
        </row>
        <row r="2207">
          <cell r="Y2207">
            <v>54535</v>
          </cell>
          <cell r="Z2207" t="e">
            <v>#N/A</v>
          </cell>
          <cell r="AA2207" t="e">
            <v>#N/A</v>
          </cell>
        </row>
        <row r="2208">
          <cell r="Y2208">
            <v>54543</v>
          </cell>
          <cell r="Z2208" t="e">
            <v>#N/A</v>
          </cell>
          <cell r="AA2208" t="e">
            <v>#N/A</v>
          </cell>
        </row>
        <row r="2209">
          <cell r="Y2209">
            <v>54553</v>
          </cell>
          <cell r="Z2209" t="e">
            <v>#N/A</v>
          </cell>
          <cell r="AA2209" t="e">
            <v>#N/A</v>
          </cell>
        </row>
        <row r="2210">
          <cell r="Y2210">
            <v>54560</v>
          </cell>
          <cell r="Z2210" t="e">
            <v>#N/A</v>
          </cell>
          <cell r="AA2210" t="e">
            <v>#N/A</v>
          </cell>
        </row>
        <row r="2211">
          <cell r="Y2211">
            <v>54567</v>
          </cell>
          <cell r="Z2211" t="e">
            <v>#N/A</v>
          </cell>
          <cell r="AA2211" t="e">
            <v>#N/A</v>
          </cell>
        </row>
        <row r="2212">
          <cell r="Y2212">
            <v>54575</v>
          </cell>
          <cell r="Z2212" t="e">
            <v>#N/A</v>
          </cell>
          <cell r="AA2212" t="e">
            <v>#N/A</v>
          </cell>
        </row>
        <row r="2213">
          <cell r="Y2213">
            <v>54581</v>
          </cell>
          <cell r="Z2213" t="e">
            <v>#N/A</v>
          </cell>
          <cell r="AA2213" t="e">
            <v>#N/A</v>
          </cell>
        </row>
        <row r="2214">
          <cell r="Y2214">
            <v>54588</v>
          </cell>
          <cell r="Z2214" t="e">
            <v>#N/A</v>
          </cell>
          <cell r="AA2214" t="e">
            <v>#N/A</v>
          </cell>
        </row>
        <row r="2215">
          <cell r="Y2215">
            <v>54595</v>
          </cell>
          <cell r="Z2215" t="e">
            <v>#N/A</v>
          </cell>
          <cell r="AA2215" t="e">
            <v>#N/A</v>
          </cell>
        </row>
        <row r="2216">
          <cell r="Y2216">
            <v>54602</v>
          </cell>
          <cell r="Z2216" t="e">
            <v>#N/A</v>
          </cell>
          <cell r="AA2216" t="e">
            <v>#N/A</v>
          </cell>
        </row>
        <row r="2217">
          <cell r="Y2217">
            <v>54609</v>
          </cell>
          <cell r="Z2217" t="e">
            <v>#N/A</v>
          </cell>
          <cell r="AA2217" t="e">
            <v>#N/A</v>
          </cell>
        </row>
        <row r="2218">
          <cell r="Y2218">
            <v>54616</v>
          </cell>
          <cell r="Z2218" t="e">
            <v>#N/A</v>
          </cell>
          <cell r="AA2218" t="e">
            <v>#N/A</v>
          </cell>
        </row>
        <row r="2219">
          <cell r="Y2219">
            <v>54624</v>
          </cell>
          <cell r="Z2219" t="e">
            <v>#N/A</v>
          </cell>
          <cell r="AA2219" t="e">
            <v>#N/A</v>
          </cell>
        </row>
        <row r="2220">
          <cell r="Y2220">
            <v>54630</v>
          </cell>
          <cell r="Z2220" t="e">
            <v>#N/A</v>
          </cell>
          <cell r="AA2220" t="e">
            <v>#N/A</v>
          </cell>
        </row>
        <row r="2221">
          <cell r="Y2221">
            <v>54637</v>
          </cell>
          <cell r="Z2221" t="e">
            <v>#N/A</v>
          </cell>
          <cell r="AA2221" t="e">
            <v>#N/A</v>
          </cell>
        </row>
        <row r="2222">
          <cell r="Y2222">
            <v>54644</v>
          </cell>
          <cell r="Z2222" t="e">
            <v>#N/A</v>
          </cell>
          <cell r="AA2222" t="e">
            <v>#N/A</v>
          </cell>
        </row>
        <row r="2223">
          <cell r="Y2223">
            <v>54651</v>
          </cell>
          <cell r="Z2223" t="e">
            <v>#N/A</v>
          </cell>
          <cell r="AA2223" t="e">
            <v>#N/A</v>
          </cell>
        </row>
        <row r="2224">
          <cell r="Y2224">
            <v>54658</v>
          </cell>
          <cell r="Z2224" t="e">
            <v>#N/A</v>
          </cell>
          <cell r="AA2224" t="e">
            <v>#N/A</v>
          </cell>
        </row>
        <row r="2225">
          <cell r="Y2225">
            <v>54666</v>
          </cell>
          <cell r="Z2225" t="e">
            <v>#N/A</v>
          </cell>
          <cell r="AA2225" t="e">
            <v>#N/A</v>
          </cell>
        </row>
        <row r="2226">
          <cell r="Y2226">
            <v>54672</v>
          </cell>
          <cell r="Z2226" t="e">
            <v>#N/A</v>
          </cell>
          <cell r="AA2226" t="e">
            <v>#N/A</v>
          </cell>
        </row>
        <row r="2227">
          <cell r="Y2227">
            <v>54679</v>
          </cell>
          <cell r="Z2227" t="e">
            <v>#N/A</v>
          </cell>
          <cell r="AA2227" t="e">
            <v>#N/A</v>
          </cell>
        </row>
        <row r="2228">
          <cell r="Y2228">
            <v>54689</v>
          </cell>
          <cell r="Z2228" t="e">
            <v>#N/A</v>
          </cell>
          <cell r="AA2228" t="e">
            <v>#N/A</v>
          </cell>
        </row>
        <row r="2229">
          <cell r="Y2229">
            <v>54693</v>
          </cell>
          <cell r="Z2229" t="e">
            <v>#N/A</v>
          </cell>
          <cell r="AA2229" t="e">
            <v>#N/A</v>
          </cell>
        </row>
        <row r="2230">
          <cell r="Y2230">
            <v>54700</v>
          </cell>
          <cell r="Z2230" t="e">
            <v>#N/A</v>
          </cell>
          <cell r="AA2230" t="e">
            <v>#N/A</v>
          </cell>
        </row>
        <row r="2231">
          <cell r="Y2231">
            <v>54708</v>
          </cell>
          <cell r="Z2231" t="e">
            <v>#N/A</v>
          </cell>
          <cell r="AA2231" t="e">
            <v>#N/A</v>
          </cell>
        </row>
        <row r="2232">
          <cell r="Y2232">
            <v>54714</v>
          </cell>
          <cell r="Z2232" t="e">
            <v>#N/A</v>
          </cell>
          <cell r="AA2232" t="e">
            <v>#N/A</v>
          </cell>
        </row>
        <row r="2233">
          <cell r="Y2233">
            <v>54721</v>
          </cell>
          <cell r="Z2233" t="e">
            <v>#N/A</v>
          </cell>
          <cell r="AA2233" t="e">
            <v>#N/A</v>
          </cell>
        </row>
        <row r="2234">
          <cell r="Y2234">
            <v>54728</v>
          </cell>
          <cell r="Z2234" t="e">
            <v>#N/A</v>
          </cell>
          <cell r="AA2234" t="e">
            <v>#N/A</v>
          </cell>
        </row>
        <row r="2235">
          <cell r="Y2235">
            <v>54735</v>
          </cell>
          <cell r="Z2235" t="e">
            <v>#N/A</v>
          </cell>
          <cell r="AA2235" t="e">
            <v>#N/A</v>
          </cell>
        </row>
        <row r="2236">
          <cell r="Y2236">
            <v>54742</v>
          </cell>
          <cell r="Z2236" t="e">
            <v>#N/A</v>
          </cell>
          <cell r="AA2236" t="e">
            <v>#N/A</v>
          </cell>
        </row>
        <row r="2237">
          <cell r="Y2237">
            <v>54749</v>
          </cell>
          <cell r="Z2237" t="e">
            <v>#N/A</v>
          </cell>
          <cell r="AA2237" t="e">
            <v>#N/A</v>
          </cell>
        </row>
        <row r="2238">
          <cell r="Y2238">
            <v>54756</v>
          </cell>
          <cell r="Z2238" t="e">
            <v>#N/A</v>
          </cell>
          <cell r="AA2238" t="e">
            <v>#N/A</v>
          </cell>
        </row>
        <row r="2239">
          <cell r="Y2239">
            <v>54763</v>
          </cell>
          <cell r="Z2239" t="e">
            <v>#N/A</v>
          </cell>
          <cell r="AA2239" t="e">
            <v>#N/A</v>
          </cell>
        </row>
        <row r="2240">
          <cell r="Y2240">
            <v>54770</v>
          </cell>
          <cell r="Z2240" t="e">
            <v>#N/A</v>
          </cell>
          <cell r="AA2240" t="e">
            <v>#N/A</v>
          </cell>
        </row>
        <row r="2241">
          <cell r="Y2241">
            <v>54777</v>
          </cell>
          <cell r="Z2241" t="e">
            <v>#N/A</v>
          </cell>
          <cell r="AA2241" t="e">
            <v>#N/A</v>
          </cell>
        </row>
        <row r="2242">
          <cell r="Y2242">
            <v>54787</v>
          </cell>
          <cell r="Z2242" t="e">
            <v>#N/A</v>
          </cell>
          <cell r="AA2242" t="e">
            <v>#N/A</v>
          </cell>
        </row>
        <row r="2243">
          <cell r="Y2243">
            <v>54794</v>
          </cell>
          <cell r="Z2243" t="e">
            <v>#N/A</v>
          </cell>
          <cell r="AA2243" t="e">
            <v>#N/A</v>
          </cell>
        </row>
        <row r="2244">
          <cell r="Y2244">
            <v>54801</v>
          </cell>
          <cell r="Z2244" t="e">
            <v>#N/A</v>
          </cell>
          <cell r="AA2244" t="e">
            <v>#N/A</v>
          </cell>
        </row>
        <row r="2245">
          <cell r="Y2245">
            <v>54808</v>
          </cell>
          <cell r="Z2245" t="e">
            <v>#N/A</v>
          </cell>
          <cell r="AA2245" t="e">
            <v>#N/A</v>
          </cell>
        </row>
        <row r="2246">
          <cell r="Y2246">
            <v>54815</v>
          </cell>
          <cell r="Z2246" t="e">
            <v>#N/A</v>
          </cell>
          <cell r="AA2246" t="e">
            <v>#N/A</v>
          </cell>
        </row>
        <row r="2247">
          <cell r="Y2247">
            <v>54822</v>
          </cell>
          <cell r="Z2247" t="e">
            <v>#N/A</v>
          </cell>
          <cell r="AA2247" t="e">
            <v>#N/A</v>
          </cell>
        </row>
        <row r="2248">
          <cell r="Y2248">
            <v>54829</v>
          </cell>
          <cell r="Z2248" t="e">
            <v>#N/A</v>
          </cell>
          <cell r="AA2248" t="e">
            <v>#N/A</v>
          </cell>
        </row>
        <row r="2249">
          <cell r="Y2249">
            <v>54836</v>
          </cell>
          <cell r="Z2249" t="e">
            <v>#N/A</v>
          </cell>
          <cell r="AA2249" t="e">
            <v>#N/A</v>
          </cell>
        </row>
        <row r="2250">
          <cell r="Y2250">
            <v>54843</v>
          </cell>
          <cell r="Z2250" t="e">
            <v>#N/A</v>
          </cell>
          <cell r="AA2250" t="e">
            <v>#N/A</v>
          </cell>
        </row>
        <row r="2251">
          <cell r="Y2251">
            <v>54850</v>
          </cell>
          <cell r="Z2251" t="e">
            <v>#N/A</v>
          </cell>
          <cell r="AA2251" t="e">
            <v>#N/A</v>
          </cell>
        </row>
        <row r="2252">
          <cell r="Y2252">
            <v>54857</v>
          </cell>
          <cell r="Z2252" t="e">
            <v>#N/A</v>
          </cell>
          <cell r="AA2252" t="e">
            <v>#N/A</v>
          </cell>
        </row>
        <row r="2253">
          <cell r="Y2253">
            <v>54864</v>
          </cell>
          <cell r="Z2253" t="e">
            <v>#N/A</v>
          </cell>
          <cell r="AA2253" t="e">
            <v>#N/A</v>
          </cell>
        </row>
        <row r="2254">
          <cell r="Y2254">
            <v>54871</v>
          </cell>
          <cell r="Z2254" t="e">
            <v>#N/A</v>
          </cell>
          <cell r="AA2254" t="e">
            <v>#N/A</v>
          </cell>
        </row>
        <row r="2255">
          <cell r="Y2255">
            <v>54878</v>
          </cell>
          <cell r="Z2255" t="e">
            <v>#N/A</v>
          </cell>
          <cell r="AA2255" t="e">
            <v>#N/A</v>
          </cell>
        </row>
        <row r="2256">
          <cell r="Y2256">
            <v>54885</v>
          </cell>
          <cell r="Z2256" t="e">
            <v>#N/A</v>
          </cell>
          <cell r="AA2256" t="e">
            <v>#N/A</v>
          </cell>
        </row>
        <row r="2257">
          <cell r="Y2257">
            <v>54892</v>
          </cell>
          <cell r="Z2257" t="e">
            <v>#N/A</v>
          </cell>
          <cell r="AA2257" t="e">
            <v>#N/A</v>
          </cell>
        </row>
        <row r="2258">
          <cell r="Y2258">
            <v>54899</v>
          </cell>
          <cell r="Z2258" t="e">
            <v>#N/A</v>
          </cell>
          <cell r="AA2258" t="e">
            <v>#N/A</v>
          </cell>
        </row>
        <row r="2259">
          <cell r="Y2259">
            <v>54906</v>
          </cell>
          <cell r="Z2259" t="e">
            <v>#N/A</v>
          </cell>
          <cell r="AA2259" t="e">
            <v>#N/A</v>
          </cell>
        </row>
        <row r="2260">
          <cell r="Y2260">
            <v>54918</v>
          </cell>
          <cell r="Z2260" t="e">
            <v>#N/A</v>
          </cell>
          <cell r="AA2260" t="e">
            <v>#N/A</v>
          </cell>
        </row>
        <row r="2261">
          <cell r="Y2261">
            <v>54925</v>
          </cell>
          <cell r="Z2261" t="e">
            <v>#N/A</v>
          </cell>
          <cell r="AA2261" t="e">
            <v>#N/A</v>
          </cell>
        </row>
        <row r="2262">
          <cell r="Y2262">
            <v>54932</v>
          </cell>
          <cell r="Z2262" t="e">
            <v>#N/A</v>
          </cell>
          <cell r="AA2262" t="e">
            <v>#N/A</v>
          </cell>
        </row>
        <row r="2263">
          <cell r="Y2263">
            <v>54940</v>
          </cell>
          <cell r="Z2263" t="e">
            <v>#N/A</v>
          </cell>
          <cell r="AA2263" t="e">
            <v>#N/A</v>
          </cell>
        </row>
        <row r="2264">
          <cell r="Y2264">
            <v>54946</v>
          </cell>
          <cell r="Z2264" t="e">
            <v>#N/A</v>
          </cell>
          <cell r="AA2264" t="e">
            <v>#N/A</v>
          </cell>
        </row>
        <row r="2265">
          <cell r="Y2265">
            <v>54953</v>
          </cell>
          <cell r="Z2265" t="e">
            <v>#N/A</v>
          </cell>
          <cell r="AA2265" t="e">
            <v>#N/A</v>
          </cell>
        </row>
        <row r="2266">
          <cell r="Y2266">
            <v>54960</v>
          </cell>
          <cell r="Z2266" t="e">
            <v>#N/A</v>
          </cell>
          <cell r="AA2266" t="e">
            <v>#N/A</v>
          </cell>
        </row>
        <row r="2267">
          <cell r="Y2267">
            <v>54967</v>
          </cell>
          <cell r="Z2267" t="e">
            <v>#N/A</v>
          </cell>
          <cell r="AA2267" t="e">
            <v>#N/A</v>
          </cell>
        </row>
        <row r="2268">
          <cell r="Y2268">
            <v>54974</v>
          </cell>
          <cell r="Z2268" t="e">
            <v>#N/A</v>
          </cell>
          <cell r="AA2268" t="e">
            <v>#N/A</v>
          </cell>
        </row>
        <row r="2269">
          <cell r="Y2269">
            <v>54981</v>
          </cell>
          <cell r="Z2269" t="e">
            <v>#N/A</v>
          </cell>
          <cell r="AA2269" t="e">
            <v>#N/A</v>
          </cell>
        </row>
        <row r="2270">
          <cell r="Y2270">
            <v>54989</v>
          </cell>
          <cell r="Z2270" t="e">
            <v>#N/A</v>
          </cell>
          <cell r="AA2270" t="e">
            <v>#N/A</v>
          </cell>
        </row>
        <row r="2271">
          <cell r="Y2271">
            <v>54995</v>
          </cell>
          <cell r="Z2271" t="e">
            <v>#N/A</v>
          </cell>
          <cell r="AA2271" t="e">
            <v>#N/A</v>
          </cell>
        </row>
        <row r="2272">
          <cell r="Y2272">
            <v>55002</v>
          </cell>
          <cell r="Z2272" t="e">
            <v>#N/A</v>
          </cell>
          <cell r="AA2272" t="e">
            <v>#N/A</v>
          </cell>
        </row>
        <row r="2273">
          <cell r="Y2273">
            <v>55009</v>
          </cell>
          <cell r="Z2273" t="e">
            <v>#N/A</v>
          </cell>
          <cell r="AA2273" t="e">
            <v>#N/A</v>
          </cell>
        </row>
        <row r="2274">
          <cell r="Y2274">
            <v>55016</v>
          </cell>
          <cell r="Z2274" t="e">
            <v>#N/A</v>
          </cell>
          <cell r="AA2274" t="e">
            <v>#N/A</v>
          </cell>
        </row>
        <row r="2275">
          <cell r="Y2275">
            <v>55023</v>
          </cell>
          <cell r="Z2275" t="e">
            <v>#N/A</v>
          </cell>
          <cell r="AA2275" t="e">
            <v>#N/A</v>
          </cell>
        </row>
        <row r="2276">
          <cell r="Y2276">
            <v>55031</v>
          </cell>
          <cell r="Z2276" t="e">
            <v>#N/A</v>
          </cell>
          <cell r="AA2276" t="e">
            <v>#N/A</v>
          </cell>
        </row>
        <row r="2277">
          <cell r="Y2277">
            <v>55037</v>
          </cell>
          <cell r="Z2277" t="e">
            <v>#N/A</v>
          </cell>
          <cell r="AA2277" t="e">
            <v>#N/A</v>
          </cell>
        </row>
        <row r="2278">
          <cell r="Y2278">
            <v>55044</v>
          </cell>
          <cell r="Z2278" t="e">
            <v>#N/A</v>
          </cell>
          <cell r="AA2278" t="e">
            <v>#N/A</v>
          </cell>
        </row>
        <row r="2279">
          <cell r="Y2279">
            <v>55052</v>
          </cell>
          <cell r="Z2279" t="e">
            <v>#N/A</v>
          </cell>
          <cell r="AA2279" t="e">
            <v>#N/A</v>
          </cell>
        </row>
        <row r="2280">
          <cell r="Y2280">
            <v>55059</v>
          </cell>
          <cell r="Z2280" t="e">
            <v>#N/A</v>
          </cell>
          <cell r="AA2280" t="e">
            <v>#N/A</v>
          </cell>
        </row>
        <row r="2281">
          <cell r="Y2281">
            <v>55066</v>
          </cell>
          <cell r="Z2281" t="e">
            <v>#N/A</v>
          </cell>
          <cell r="AA2281" t="e">
            <v>#N/A</v>
          </cell>
        </row>
        <row r="2282">
          <cell r="Y2282">
            <v>55074</v>
          </cell>
          <cell r="Z2282" t="e">
            <v>#N/A</v>
          </cell>
          <cell r="AA2282" t="e">
            <v>#N/A</v>
          </cell>
        </row>
        <row r="2283">
          <cell r="Y2283">
            <v>55081</v>
          </cell>
          <cell r="Z2283" t="e">
            <v>#N/A</v>
          </cell>
          <cell r="AA2283" t="e">
            <v>#N/A</v>
          </cell>
        </row>
        <row r="2284">
          <cell r="Y2284">
            <v>55088</v>
          </cell>
          <cell r="Z2284" t="e">
            <v>#N/A</v>
          </cell>
          <cell r="AA2284" t="e">
            <v>#N/A</v>
          </cell>
        </row>
        <row r="2285">
          <cell r="Y2285">
            <v>55096</v>
          </cell>
          <cell r="Z2285" t="e">
            <v>#N/A</v>
          </cell>
          <cell r="AA2285" t="e">
            <v>#N/A</v>
          </cell>
        </row>
        <row r="2286">
          <cell r="Y2286">
            <v>55102</v>
          </cell>
          <cell r="Z2286" t="e">
            <v>#N/A</v>
          </cell>
          <cell r="AA2286" t="e">
            <v>#N/A</v>
          </cell>
        </row>
        <row r="2287">
          <cell r="Y2287">
            <v>55109</v>
          </cell>
          <cell r="Z2287" t="e">
            <v>#N/A</v>
          </cell>
          <cell r="AA2287" t="e">
            <v>#N/A</v>
          </cell>
        </row>
        <row r="2288">
          <cell r="Y2288">
            <v>55117</v>
          </cell>
          <cell r="Z2288" t="e">
            <v>#N/A</v>
          </cell>
          <cell r="AA2288" t="e">
            <v>#N/A</v>
          </cell>
        </row>
        <row r="2289">
          <cell r="Y2289">
            <v>55123</v>
          </cell>
          <cell r="Z2289" t="e">
            <v>#N/A</v>
          </cell>
          <cell r="AA2289" t="e">
            <v>#N/A</v>
          </cell>
        </row>
        <row r="2290">
          <cell r="Y2290">
            <v>55130</v>
          </cell>
          <cell r="Z2290" t="e">
            <v>#N/A</v>
          </cell>
          <cell r="AA2290" t="e">
            <v>#N/A</v>
          </cell>
        </row>
        <row r="2291">
          <cell r="Y2291">
            <v>55137</v>
          </cell>
          <cell r="Z2291" t="e">
            <v>#N/A</v>
          </cell>
          <cell r="AA2291" t="e">
            <v>#N/A</v>
          </cell>
        </row>
        <row r="2292">
          <cell r="Y2292">
            <v>55144</v>
          </cell>
          <cell r="Z2292" t="e">
            <v>#N/A</v>
          </cell>
          <cell r="AA2292" t="e">
            <v>#N/A</v>
          </cell>
        </row>
        <row r="2293">
          <cell r="Y2293">
            <v>55152</v>
          </cell>
          <cell r="Z2293" t="e">
            <v>#N/A</v>
          </cell>
          <cell r="AA2293" t="e">
            <v>#N/A</v>
          </cell>
        </row>
        <row r="2294">
          <cell r="Y2294">
            <v>55159</v>
          </cell>
          <cell r="Z2294" t="e">
            <v>#N/A</v>
          </cell>
          <cell r="AA2294" t="e">
            <v>#N/A</v>
          </cell>
        </row>
        <row r="2295">
          <cell r="Y2295">
            <v>55166</v>
          </cell>
          <cell r="Z2295" t="e">
            <v>#N/A</v>
          </cell>
          <cell r="AA2295" t="e">
            <v>#N/A</v>
          </cell>
        </row>
        <row r="2296">
          <cell r="Y2296">
            <v>55173</v>
          </cell>
          <cell r="Z2296" t="e">
            <v>#N/A</v>
          </cell>
          <cell r="AA2296" t="e">
            <v>#N/A</v>
          </cell>
        </row>
        <row r="2297">
          <cell r="Y2297">
            <v>55180</v>
          </cell>
          <cell r="Z2297" t="e">
            <v>#N/A</v>
          </cell>
          <cell r="AA2297" t="e">
            <v>#N/A</v>
          </cell>
        </row>
        <row r="2298">
          <cell r="Y2298">
            <v>55187</v>
          </cell>
          <cell r="Z2298" t="e">
            <v>#N/A</v>
          </cell>
          <cell r="AA2298" t="e">
            <v>#N/A</v>
          </cell>
        </row>
        <row r="2299">
          <cell r="Y2299">
            <v>55194</v>
          </cell>
          <cell r="Z2299" t="e">
            <v>#N/A</v>
          </cell>
          <cell r="AA2299" t="e">
            <v>#N/A</v>
          </cell>
        </row>
        <row r="2300">
          <cell r="Y2300">
            <v>55201</v>
          </cell>
          <cell r="Z2300" t="e">
            <v>#N/A</v>
          </cell>
          <cell r="AA2300" t="e">
            <v>#N/A</v>
          </cell>
        </row>
        <row r="2301">
          <cell r="Y2301">
            <v>55208</v>
          </cell>
          <cell r="Z2301" t="e">
            <v>#N/A</v>
          </cell>
          <cell r="AA2301" t="e">
            <v>#N/A</v>
          </cell>
        </row>
        <row r="2302">
          <cell r="Y2302">
            <v>55215</v>
          </cell>
          <cell r="Z2302" t="e">
            <v>#N/A</v>
          </cell>
          <cell r="AA2302" t="e">
            <v>#N/A</v>
          </cell>
        </row>
        <row r="2303">
          <cell r="Y2303">
            <v>55222</v>
          </cell>
          <cell r="Z2303" t="e">
            <v>#N/A</v>
          </cell>
          <cell r="AA2303" t="e">
            <v>#N/A</v>
          </cell>
        </row>
        <row r="2304">
          <cell r="Y2304">
            <v>55229</v>
          </cell>
          <cell r="Z2304" t="e">
            <v>#N/A</v>
          </cell>
          <cell r="AA2304" t="e">
            <v>#N/A</v>
          </cell>
        </row>
        <row r="2305">
          <cell r="Y2305">
            <v>55236</v>
          </cell>
          <cell r="Z2305" t="e">
            <v>#N/A</v>
          </cell>
          <cell r="AA2305" t="e">
            <v>#N/A</v>
          </cell>
        </row>
        <row r="2306">
          <cell r="Y2306">
            <v>55247</v>
          </cell>
          <cell r="Z2306" t="e">
            <v>#N/A</v>
          </cell>
          <cell r="AA2306" t="e">
            <v>#N/A</v>
          </cell>
        </row>
        <row r="2307">
          <cell r="Y2307">
            <v>55250</v>
          </cell>
          <cell r="Z2307" t="e">
            <v>#N/A</v>
          </cell>
          <cell r="AA2307" t="e">
            <v>#N/A</v>
          </cell>
        </row>
        <row r="2308">
          <cell r="Y2308">
            <v>55257</v>
          </cell>
          <cell r="Z2308" t="e">
            <v>#N/A</v>
          </cell>
          <cell r="AA2308" t="e">
            <v>#N/A</v>
          </cell>
        </row>
        <row r="2309">
          <cell r="Y2309">
            <v>55264</v>
          </cell>
          <cell r="Z2309" t="e">
            <v>#N/A</v>
          </cell>
          <cell r="AA2309" t="e">
            <v>#N/A</v>
          </cell>
        </row>
        <row r="2310">
          <cell r="Y2310">
            <v>55271</v>
          </cell>
          <cell r="Z2310" t="e">
            <v>#N/A</v>
          </cell>
          <cell r="AA2310" t="e">
            <v>#N/A</v>
          </cell>
        </row>
        <row r="2311">
          <cell r="Y2311">
            <v>55283</v>
          </cell>
          <cell r="Z2311" t="e">
            <v>#N/A</v>
          </cell>
          <cell r="AA2311" t="e">
            <v>#N/A</v>
          </cell>
        </row>
        <row r="2312">
          <cell r="Y2312">
            <v>55290</v>
          </cell>
          <cell r="Z2312" t="e">
            <v>#N/A</v>
          </cell>
          <cell r="AA2312" t="e">
            <v>#N/A</v>
          </cell>
        </row>
        <row r="2313">
          <cell r="Y2313">
            <v>55297</v>
          </cell>
          <cell r="Z2313" t="e">
            <v>#N/A</v>
          </cell>
          <cell r="AA2313" t="e">
            <v>#N/A</v>
          </cell>
        </row>
        <row r="2314">
          <cell r="Y2314">
            <v>55305</v>
          </cell>
          <cell r="Z2314" t="e">
            <v>#N/A</v>
          </cell>
          <cell r="AA2314" t="e">
            <v>#N/A</v>
          </cell>
        </row>
        <row r="2315">
          <cell r="Y2315">
            <v>55312</v>
          </cell>
          <cell r="Z2315" t="e">
            <v>#N/A</v>
          </cell>
          <cell r="AA2315" t="e">
            <v>#N/A</v>
          </cell>
        </row>
        <row r="2316">
          <cell r="Y2316">
            <v>55319</v>
          </cell>
          <cell r="Z2316" t="e">
            <v>#N/A</v>
          </cell>
          <cell r="AA2316" t="e">
            <v>#N/A</v>
          </cell>
        </row>
        <row r="2317">
          <cell r="Y2317">
            <v>55326</v>
          </cell>
          <cell r="Z2317" t="e">
            <v>#N/A</v>
          </cell>
          <cell r="AA2317" t="e">
            <v>#N/A</v>
          </cell>
        </row>
        <row r="2318">
          <cell r="Y2318">
            <v>55333</v>
          </cell>
          <cell r="Z2318" t="e">
            <v>#N/A</v>
          </cell>
          <cell r="AA2318" t="e">
            <v>#N/A</v>
          </cell>
        </row>
        <row r="2319">
          <cell r="Y2319">
            <v>55340</v>
          </cell>
          <cell r="Z2319" t="e">
            <v>#N/A</v>
          </cell>
          <cell r="AA2319" t="e">
            <v>#N/A</v>
          </cell>
        </row>
        <row r="2320">
          <cell r="Y2320">
            <v>55347</v>
          </cell>
          <cell r="Z2320" t="e">
            <v>#N/A</v>
          </cell>
          <cell r="AA2320" t="e">
            <v>#N/A</v>
          </cell>
        </row>
        <row r="2321">
          <cell r="Y2321">
            <v>55354</v>
          </cell>
          <cell r="Z2321" t="e">
            <v>#N/A</v>
          </cell>
          <cell r="AA2321" t="e">
            <v>#N/A</v>
          </cell>
        </row>
        <row r="2322">
          <cell r="Y2322">
            <v>55361</v>
          </cell>
          <cell r="Z2322" t="e">
            <v>#N/A</v>
          </cell>
          <cell r="AA2322" t="e">
            <v>#N/A</v>
          </cell>
        </row>
        <row r="2323">
          <cell r="Y2323">
            <v>55368</v>
          </cell>
          <cell r="Z2323" t="e">
            <v>#N/A</v>
          </cell>
          <cell r="AA2323" t="e">
            <v>#N/A</v>
          </cell>
        </row>
        <row r="2324">
          <cell r="Y2324">
            <v>55375</v>
          </cell>
          <cell r="Z2324" t="e">
            <v>#N/A</v>
          </cell>
          <cell r="AA2324" t="e">
            <v>#N/A</v>
          </cell>
        </row>
        <row r="2325">
          <cell r="Y2325">
            <v>55382</v>
          </cell>
          <cell r="Z2325" t="e">
            <v>#N/A</v>
          </cell>
          <cell r="AA2325" t="e">
            <v>#N/A</v>
          </cell>
        </row>
        <row r="2326">
          <cell r="Y2326">
            <v>55389</v>
          </cell>
          <cell r="Z2326" t="e">
            <v>#N/A</v>
          </cell>
          <cell r="AA2326" t="e">
            <v>#N/A</v>
          </cell>
        </row>
        <row r="2327">
          <cell r="Y2327">
            <v>55396</v>
          </cell>
          <cell r="Z2327" t="e">
            <v>#N/A</v>
          </cell>
          <cell r="AA2327" t="e">
            <v>#N/A</v>
          </cell>
        </row>
        <row r="2328">
          <cell r="Y2328">
            <v>55403</v>
          </cell>
          <cell r="Z2328" t="e">
            <v>#N/A</v>
          </cell>
          <cell r="AA2328" t="e">
            <v>#N/A</v>
          </cell>
        </row>
        <row r="2329">
          <cell r="Y2329">
            <v>55410</v>
          </cell>
          <cell r="Z2329" t="e">
            <v>#N/A</v>
          </cell>
          <cell r="AA2329" t="e">
            <v>#N/A</v>
          </cell>
        </row>
        <row r="2330">
          <cell r="Y2330">
            <v>55417</v>
          </cell>
          <cell r="Z2330" t="e">
            <v>#N/A</v>
          </cell>
          <cell r="AA2330" t="e">
            <v>#N/A</v>
          </cell>
        </row>
        <row r="2331">
          <cell r="Y2331">
            <v>55424</v>
          </cell>
          <cell r="Z2331" t="e">
            <v>#N/A</v>
          </cell>
          <cell r="AA2331" t="e">
            <v>#N/A</v>
          </cell>
        </row>
        <row r="2332">
          <cell r="Y2332">
            <v>55431</v>
          </cell>
          <cell r="Z2332" t="e">
            <v>#N/A</v>
          </cell>
          <cell r="AA2332" t="e">
            <v>#N/A</v>
          </cell>
        </row>
        <row r="2333">
          <cell r="Y2333">
            <v>55438</v>
          </cell>
          <cell r="Z2333" t="e">
            <v>#N/A</v>
          </cell>
          <cell r="AA2333" t="e">
            <v>#N/A</v>
          </cell>
        </row>
        <row r="2334">
          <cell r="Y2334">
            <v>55445</v>
          </cell>
          <cell r="Z2334" t="e">
            <v>#N/A</v>
          </cell>
          <cell r="AA2334" t="e">
            <v>#N/A</v>
          </cell>
        </row>
        <row r="2335">
          <cell r="Y2335">
            <v>55452</v>
          </cell>
          <cell r="Z2335" t="e">
            <v>#N/A</v>
          </cell>
          <cell r="AA2335" t="e">
            <v>#N/A</v>
          </cell>
        </row>
        <row r="2336">
          <cell r="Y2336">
            <v>55459</v>
          </cell>
          <cell r="Z2336" t="e">
            <v>#N/A</v>
          </cell>
          <cell r="AA2336" t="e">
            <v>#N/A</v>
          </cell>
        </row>
        <row r="2337">
          <cell r="Y2337">
            <v>55466</v>
          </cell>
          <cell r="Z2337" t="e">
            <v>#N/A</v>
          </cell>
          <cell r="AA2337" t="e">
            <v>#N/A</v>
          </cell>
        </row>
        <row r="2338">
          <cell r="Y2338">
            <v>55473</v>
          </cell>
          <cell r="Z2338" t="e">
            <v>#N/A</v>
          </cell>
          <cell r="AA2338" t="e">
            <v>#N/A</v>
          </cell>
        </row>
        <row r="2339">
          <cell r="Y2339">
            <v>55481</v>
          </cell>
          <cell r="Z2339" t="e">
            <v>#N/A</v>
          </cell>
          <cell r="AA2339" t="e">
            <v>#N/A</v>
          </cell>
        </row>
        <row r="2340">
          <cell r="Y2340">
            <v>55487</v>
          </cell>
          <cell r="Z2340" t="e">
            <v>#N/A</v>
          </cell>
          <cell r="AA2340" t="e">
            <v>#N/A</v>
          </cell>
        </row>
        <row r="2341">
          <cell r="Y2341">
            <v>55494</v>
          </cell>
          <cell r="Z2341" t="e">
            <v>#N/A</v>
          </cell>
          <cell r="AA2341" t="e">
            <v>#N/A</v>
          </cell>
        </row>
        <row r="2342">
          <cell r="Y2342">
            <v>55501</v>
          </cell>
          <cell r="Z2342" t="e">
            <v>#N/A</v>
          </cell>
          <cell r="AA2342" t="e">
            <v>#N/A</v>
          </cell>
        </row>
        <row r="2343">
          <cell r="Y2343">
            <v>55508</v>
          </cell>
          <cell r="Z2343" t="e">
            <v>#N/A</v>
          </cell>
          <cell r="AA2343" t="e">
            <v>#N/A</v>
          </cell>
        </row>
        <row r="2344">
          <cell r="Y2344">
            <v>55516</v>
          </cell>
          <cell r="Z2344" t="e">
            <v>#N/A</v>
          </cell>
          <cell r="AA2344" t="e">
            <v>#N/A</v>
          </cell>
        </row>
        <row r="2345">
          <cell r="Y2345">
            <v>55527</v>
          </cell>
          <cell r="Z2345" t="e">
            <v>#N/A</v>
          </cell>
          <cell r="AA2345" t="e">
            <v>#N/A</v>
          </cell>
        </row>
        <row r="2346">
          <cell r="Y2346">
            <v>55533</v>
          </cell>
          <cell r="Z2346" t="e">
            <v>#N/A</v>
          </cell>
          <cell r="AA2346" t="e">
            <v>#N/A</v>
          </cell>
        </row>
        <row r="2347">
          <cell r="Y2347">
            <v>55540</v>
          </cell>
          <cell r="Z2347" t="e">
            <v>#N/A</v>
          </cell>
          <cell r="AA2347" t="e">
            <v>#N/A</v>
          </cell>
        </row>
        <row r="2348">
          <cell r="Y2348">
            <v>55547</v>
          </cell>
          <cell r="Z2348" t="e">
            <v>#N/A</v>
          </cell>
          <cell r="AA2348" t="e">
            <v>#N/A</v>
          </cell>
        </row>
        <row r="2349">
          <cell r="Y2349">
            <v>55554</v>
          </cell>
          <cell r="Z2349" t="e">
            <v>#N/A</v>
          </cell>
          <cell r="AA2349" t="e">
            <v>#N/A</v>
          </cell>
        </row>
        <row r="2350">
          <cell r="Y2350">
            <v>55562</v>
          </cell>
          <cell r="Z2350" t="e">
            <v>#N/A</v>
          </cell>
          <cell r="AA2350" t="e">
            <v>#N/A</v>
          </cell>
        </row>
        <row r="2351">
          <cell r="Y2351">
            <v>55568</v>
          </cell>
          <cell r="Z2351" t="e">
            <v>#N/A</v>
          </cell>
          <cell r="AA2351" t="e">
            <v>#N/A</v>
          </cell>
        </row>
        <row r="2352">
          <cell r="Y2352">
            <v>55575</v>
          </cell>
          <cell r="Z2352" t="e">
            <v>#N/A</v>
          </cell>
          <cell r="AA2352" t="e">
            <v>#N/A</v>
          </cell>
        </row>
        <row r="2353">
          <cell r="Y2353">
            <v>55582</v>
          </cell>
          <cell r="Z2353" t="e">
            <v>#N/A</v>
          </cell>
          <cell r="AA2353" t="e">
            <v>#N/A</v>
          </cell>
        </row>
        <row r="2354">
          <cell r="Y2354">
            <v>55589</v>
          </cell>
          <cell r="Z2354" t="e">
            <v>#N/A</v>
          </cell>
          <cell r="AA2354" t="e">
            <v>#N/A</v>
          </cell>
        </row>
        <row r="2355">
          <cell r="Y2355">
            <v>55596</v>
          </cell>
          <cell r="Z2355" t="e">
            <v>#N/A</v>
          </cell>
          <cell r="AA2355" t="e">
            <v>#N/A</v>
          </cell>
        </row>
        <row r="2356">
          <cell r="Y2356">
            <v>55603</v>
          </cell>
          <cell r="Z2356" t="e">
            <v>#N/A</v>
          </cell>
          <cell r="AA2356" t="e">
            <v>#N/A</v>
          </cell>
        </row>
        <row r="2357">
          <cell r="Y2357">
            <v>55610</v>
          </cell>
          <cell r="Z2357" t="e">
            <v>#N/A</v>
          </cell>
          <cell r="AA2357" t="e">
            <v>#N/A</v>
          </cell>
        </row>
        <row r="2358">
          <cell r="Y2358">
            <v>55617</v>
          </cell>
          <cell r="Z2358" t="e">
            <v>#N/A</v>
          </cell>
          <cell r="AA2358" t="e">
            <v>#N/A</v>
          </cell>
        </row>
        <row r="2359">
          <cell r="Y2359">
            <v>55624</v>
          </cell>
          <cell r="Z2359" t="e">
            <v>#N/A</v>
          </cell>
          <cell r="AA2359" t="e">
            <v>#N/A</v>
          </cell>
        </row>
        <row r="2360">
          <cell r="Y2360">
            <v>55633</v>
          </cell>
          <cell r="Z2360" t="e">
            <v>#N/A</v>
          </cell>
          <cell r="AA2360" t="e">
            <v>#N/A</v>
          </cell>
        </row>
        <row r="2361">
          <cell r="Y2361">
            <v>55639</v>
          </cell>
          <cell r="Z2361" t="e">
            <v>#N/A</v>
          </cell>
          <cell r="AA2361" t="e">
            <v>#N/A</v>
          </cell>
        </row>
        <row r="2362">
          <cell r="Y2362">
            <v>55647</v>
          </cell>
          <cell r="Z2362" t="e">
            <v>#N/A</v>
          </cell>
          <cell r="AA2362" t="e">
            <v>#N/A</v>
          </cell>
        </row>
        <row r="2363">
          <cell r="Y2363">
            <v>55652</v>
          </cell>
          <cell r="Z2363" t="e">
            <v>#N/A</v>
          </cell>
          <cell r="AA2363" t="e">
            <v>#N/A</v>
          </cell>
        </row>
        <row r="2364">
          <cell r="Y2364">
            <v>55659</v>
          </cell>
          <cell r="Z2364" t="e">
            <v>#N/A</v>
          </cell>
          <cell r="AA2364" t="e">
            <v>#N/A</v>
          </cell>
        </row>
        <row r="2365">
          <cell r="Y2365">
            <v>55667</v>
          </cell>
          <cell r="Z2365" t="e">
            <v>#N/A</v>
          </cell>
          <cell r="AA2365" t="e">
            <v>#N/A</v>
          </cell>
        </row>
        <row r="2366">
          <cell r="Y2366">
            <v>55673</v>
          </cell>
          <cell r="Z2366" t="e">
            <v>#N/A</v>
          </cell>
          <cell r="AA2366" t="e">
            <v>#N/A</v>
          </cell>
        </row>
        <row r="2367">
          <cell r="Y2367">
            <v>55680</v>
          </cell>
          <cell r="Z2367" t="e">
            <v>#N/A</v>
          </cell>
          <cell r="AA2367" t="e">
            <v>#N/A</v>
          </cell>
        </row>
        <row r="2368">
          <cell r="Y2368">
            <v>55687</v>
          </cell>
          <cell r="Z2368" t="e">
            <v>#N/A</v>
          </cell>
          <cell r="AA2368" t="e">
            <v>#N/A</v>
          </cell>
        </row>
        <row r="2369">
          <cell r="Y2369">
            <v>55694</v>
          </cell>
          <cell r="Z2369" t="e">
            <v>#N/A</v>
          </cell>
          <cell r="AA2369" t="e">
            <v>#N/A</v>
          </cell>
        </row>
        <row r="2370">
          <cell r="Y2370">
            <v>55701</v>
          </cell>
          <cell r="Z2370" t="e">
            <v>#N/A</v>
          </cell>
          <cell r="AA2370" t="e">
            <v>#N/A</v>
          </cell>
        </row>
        <row r="2371">
          <cell r="Y2371">
            <v>55708</v>
          </cell>
          <cell r="Z2371" t="e">
            <v>#N/A</v>
          </cell>
          <cell r="AA2371" t="e">
            <v>#N/A</v>
          </cell>
        </row>
        <row r="2372">
          <cell r="Y2372">
            <v>55716</v>
          </cell>
          <cell r="Z2372" t="e">
            <v>#N/A</v>
          </cell>
          <cell r="AA2372" t="e">
            <v>#N/A</v>
          </cell>
        </row>
        <row r="2373">
          <cell r="Y2373">
            <v>55722</v>
          </cell>
          <cell r="Z2373" t="e">
            <v>#N/A</v>
          </cell>
          <cell r="AA2373" t="e">
            <v>#N/A</v>
          </cell>
        </row>
        <row r="2374">
          <cell r="Y2374">
            <v>55729</v>
          </cell>
          <cell r="Z2374" t="e">
            <v>#N/A</v>
          </cell>
          <cell r="AA2374" t="e">
            <v>#N/A</v>
          </cell>
        </row>
        <row r="2375">
          <cell r="Y2375">
            <v>55736</v>
          </cell>
          <cell r="Z2375" t="e">
            <v>#N/A</v>
          </cell>
          <cell r="AA2375" t="e">
            <v>#N/A</v>
          </cell>
        </row>
        <row r="2376">
          <cell r="Y2376">
            <v>55743</v>
          </cell>
          <cell r="Z2376" t="e">
            <v>#N/A</v>
          </cell>
          <cell r="AA2376" t="e">
            <v>#N/A</v>
          </cell>
        </row>
        <row r="2377">
          <cell r="Y2377">
            <v>55750</v>
          </cell>
          <cell r="Z2377" t="e">
            <v>#N/A</v>
          </cell>
          <cell r="AA2377" t="e">
            <v>#N/A</v>
          </cell>
        </row>
        <row r="2378">
          <cell r="Y2378">
            <v>55758</v>
          </cell>
          <cell r="Z2378" t="e">
            <v>#N/A</v>
          </cell>
          <cell r="AA2378" t="e">
            <v>#N/A</v>
          </cell>
        </row>
        <row r="2379">
          <cell r="Y2379">
            <v>55764</v>
          </cell>
          <cell r="Z2379" t="e">
            <v>#N/A</v>
          </cell>
          <cell r="AA2379" t="e">
            <v>#N/A</v>
          </cell>
        </row>
        <row r="2380">
          <cell r="Y2380">
            <v>55771</v>
          </cell>
          <cell r="Z2380" t="e">
            <v>#N/A</v>
          </cell>
          <cell r="AA2380" t="e">
            <v>#N/A</v>
          </cell>
        </row>
        <row r="2381">
          <cell r="Y2381">
            <v>55779</v>
          </cell>
          <cell r="Z2381" t="e">
            <v>#N/A</v>
          </cell>
          <cell r="AA2381" t="e">
            <v>#N/A</v>
          </cell>
        </row>
        <row r="2382">
          <cell r="Y2382">
            <v>55786</v>
          </cell>
          <cell r="Z2382" t="e">
            <v>#N/A</v>
          </cell>
          <cell r="AA2382" t="e">
            <v>#N/A</v>
          </cell>
        </row>
        <row r="2383">
          <cell r="Y2383">
            <v>55792</v>
          </cell>
          <cell r="Z2383" t="e">
            <v>#N/A</v>
          </cell>
          <cell r="AA2383" t="e">
            <v>#N/A</v>
          </cell>
        </row>
        <row r="2384">
          <cell r="Y2384">
            <v>55799</v>
          </cell>
          <cell r="Z2384" t="e">
            <v>#N/A</v>
          </cell>
          <cell r="AA2384" t="e">
            <v>#N/A</v>
          </cell>
        </row>
        <row r="2385">
          <cell r="Y2385">
            <v>55807</v>
          </cell>
          <cell r="Z2385" t="e">
            <v>#N/A</v>
          </cell>
          <cell r="AA2385" t="e">
            <v>#N/A</v>
          </cell>
        </row>
        <row r="2386">
          <cell r="Y2386">
            <v>55813</v>
          </cell>
          <cell r="Z2386" t="e">
            <v>#N/A</v>
          </cell>
          <cell r="AA2386" t="e">
            <v>#N/A</v>
          </cell>
        </row>
        <row r="2387">
          <cell r="Y2387">
            <v>55820</v>
          </cell>
          <cell r="Z2387" t="e">
            <v>#N/A</v>
          </cell>
          <cell r="AA2387" t="e">
            <v>#N/A</v>
          </cell>
        </row>
        <row r="2388">
          <cell r="Y2388">
            <v>55828</v>
          </cell>
          <cell r="Z2388" t="e">
            <v>#N/A</v>
          </cell>
          <cell r="AA2388" t="e">
            <v>#N/A</v>
          </cell>
        </row>
        <row r="2389">
          <cell r="Y2389">
            <v>55834</v>
          </cell>
          <cell r="Z2389" t="e">
            <v>#N/A</v>
          </cell>
          <cell r="AA2389" t="e">
            <v>#N/A</v>
          </cell>
        </row>
        <row r="2390">
          <cell r="Y2390">
            <v>55841</v>
          </cell>
          <cell r="Z2390" t="e">
            <v>#N/A</v>
          </cell>
          <cell r="AA2390" t="e">
            <v>#N/A</v>
          </cell>
        </row>
        <row r="2391">
          <cell r="Y2391">
            <v>55848</v>
          </cell>
          <cell r="Z2391" t="e">
            <v>#N/A</v>
          </cell>
          <cell r="AA2391" t="e">
            <v>#N/A</v>
          </cell>
        </row>
        <row r="2392">
          <cell r="Y2392">
            <v>55855</v>
          </cell>
          <cell r="Z2392" t="e">
            <v>#N/A</v>
          </cell>
          <cell r="AA2392" t="e">
            <v>#N/A</v>
          </cell>
        </row>
        <row r="2393">
          <cell r="Y2393">
            <v>55862</v>
          </cell>
          <cell r="Z2393" t="e">
            <v>#N/A</v>
          </cell>
          <cell r="AA2393" t="e">
            <v>#N/A</v>
          </cell>
        </row>
        <row r="2394">
          <cell r="Y2394">
            <v>55869</v>
          </cell>
          <cell r="Z2394" t="e">
            <v>#N/A</v>
          </cell>
          <cell r="AA2394" t="e">
            <v>#N/A</v>
          </cell>
        </row>
        <row r="2395">
          <cell r="Y2395">
            <v>55877</v>
          </cell>
          <cell r="Z2395" t="e">
            <v>#N/A</v>
          </cell>
          <cell r="AA2395" t="e">
            <v>#N/A</v>
          </cell>
        </row>
        <row r="2396">
          <cell r="Y2396">
            <v>55890</v>
          </cell>
          <cell r="Z2396" t="e">
            <v>#N/A</v>
          </cell>
          <cell r="AA2396" t="e">
            <v>#N/A</v>
          </cell>
        </row>
        <row r="2397">
          <cell r="Y2397">
            <v>55892</v>
          </cell>
          <cell r="Z2397" t="e">
            <v>#N/A</v>
          </cell>
          <cell r="AA2397" t="e">
            <v>#N/A</v>
          </cell>
        </row>
        <row r="2398">
          <cell r="Y2398">
            <v>55900</v>
          </cell>
          <cell r="Z2398" t="e">
            <v>#N/A</v>
          </cell>
          <cell r="AA2398" t="e">
            <v>#N/A</v>
          </cell>
        </row>
        <row r="2399">
          <cell r="Y2399">
            <v>55907</v>
          </cell>
          <cell r="Z2399" t="e">
            <v>#N/A</v>
          </cell>
          <cell r="AA2399" t="e">
            <v>#N/A</v>
          </cell>
        </row>
        <row r="2400">
          <cell r="Y2400">
            <v>55914</v>
          </cell>
          <cell r="Z2400" t="e">
            <v>#N/A</v>
          </cell>
          <cell r="AA2400" t="e">
            <v>#N/A</v>
          </cell>
        </row>
        <row r="2401">
          <cell r="Y2401">
            <v>55921</v>
          </cell>
          <cell r="Z2401" t="e">
            <v>#N/A</v>
          </cell>
          <cell r="AA2401" t="e">
            <v>#N/A</v>
          </cell>
        </row>
        <row r="2402">
          <cell r="Y2402">
            <v>55929</v>
          </cell>
          <cell r="Z2402" t="e">
            <v>#N/A</v>
          </cell>
          <cell r="AA2402" t="e">
            <v>#N/A</v>
          </cell>
        </row>
        <row r="2403">
          <cell r="Y2403">
            <v>55936</v>
          </cell>
          <cell r="Z2403" t="e">
            <v>#N/A</v>
          </cell>
          <cell r="AA2403" t="e">
            <v>#N/A</v>
          </cell>
        </row>
        <row r="2404">
          <cell r="Y2404">
            <v>55943</v>
          </cell>
          <cell r="Z2404" t="e">
            <v>#N/A</v>
          </cell>
          <cell r="AA2404" t="e">
            <v>#N/A</v>
          </cell>
        </row>
        <row r="2405">
          <cell r="Y2405">
            <v>55950</v>
          </cell>
          <cell r="Z2405" t="e">
            <v>#N/A</v>
          </cell>
          <cell r="AA2405" t="e">
            <v>#N/A</v>
          </cell>
        </row>
        <row r="2406">
          <cell r="Y2406">
            <v>55957</v>
          </cell>
          <cell r="Z2406" t="e">
            <v>#N/A</v>
          </cell>
          <cell r="AA2406" t="e">
            <v>#N/A</v>
          </cell>
        </row>
        <row r="2407">
          <cell r="Y2407">
            <v>55967</v>
          </cell>
          <cell r="Z2407" t="e">
            <v>#N/A</v>
          </cell>
          <cell r="AA2407" t="e">
            <v>#N/A</v>
          </cell>
        </row>
        <row r="2408">
          <cell r="Y2408">
            <v>55971</v>
          </cell>
          <cell r="Z2408" t="e">
            <v>#N/A</v>
          </cell>
          <cell r="AA2408" t="e">
            <v>#N/A</v>
          </cell>
        </row>
        <row r="2409">
          <cell r="Y2409">
            <v>55982</v>
          </cell>
          <cell r="Z2409" t="e">
            <v>#N/A</v>
          </cell>
          <cell r="AA2409" t="e">
            <v>#N/A</v>
          </cell>
        </row>
        <row r="2410">
          <cell r="Y2410">
            <v>55985</v>
          </cell>
          <cell r="Z2410" t="e">
            <v>#N/A</v>
          </cell>
          <cell r="AA2410" t="e">
            <v>#N/A</v>
          </cell>
        </row>
        <row r="2411">
          <cell r="Y2411">
            <v>55992</v>
          </cell>
          <cell r="Z2411" t="e">
            <v>#N/A</v>
          </cell>
          <cell r="AA2411" t="e">
            <v>#N/A</v>
          </cell>
        </row>
        <row r="2412">
          <cell r="Y2412">
            <v>55999</v>
          </cell>
          <cell r="Z2412" t="e">
            <v>#N/A</v>
          </cell>
          <cell r="AA2412" t="e">
            <v>#N/A</v>
          </cell>
        </row>
        <row r="2413">
          <cell r="Y2413">
            <v>56006</v>
          </cell>
          <cell r="Z2413" t="e">
            <v>#N/A</v>
          </cell>
          <cell r="AA2413" t="e">
            <v>#N/A</v>
          </cell>
        </row>
        <row r="2414">
          <cell r="Y2414">
            <v>56013</v>
          </cell>
          <cell r="Z2414" t="e">
            <v>#N/A</v>
          </cell>
          <cell r="AA2414" t="e">
            <v>#N/A</v>
          </cell>
        </row>
        <row r="2415">
          <cell r="Y2415">
            <v>56020</v>
          </cell>
          <cell r="Z2415" t="e">
            <v>#N/A</v>
          </cell>
          <cell r="AA2415" t="e">
            <v>#N/A</v>
          </cell>
        </row>
        <row r="2416">
          <cell r="Y2416">
            <v>56027</v>
          </cell>
          <cell r="Z2416" t="e">
            <v>#N/A</v>
          </cell>
          <cell r="AA2416" t="e">
            <v>#N/A</v>
          </cell>
        </row>
        <row r="2417">
          <cell r="Y2417">
            <v>56034</v>
          </cell>
          <cell r="Z2417" t="e">
            <v>#N/A</v>
          </cell>
          <cell r="AA2417" t="e">
            <v>#N/A</v>
          </cell>
        </row>
        <row r="2418">
          <cell r="Y2418">
            <v>56041</v>
          </cell>
          <cell r="Z2418" t="e">
            <v>#N/A</v>
          </cell>
          <cell r="AA2418" t="e">
            <v>#N/A</v>
          </cell>
        </row>
        <row r="2419">
          <cell r="Y2419">
            <v>56048</v>
          </cell>
          <cell r="Z2419" t="e">
            <v>#N/A</v>
          </cell>
          <cell r="AA2419" t="e">
            <v>#N/A</v>
          </cell>
        </row>
        <row r="2420">
          <cell r="Y2420">
            <v>56055</v>
          </cell>
          <cell r="Z2420" t="e">
            <v>#N/A</v>
          </cell>
          <cell r="AA2420" t="e">
            <v>#N/A</v>
          </cell>
        </row>
        <row r="2421">
          <cell r="Y2421">
            <v>56062</v>
          </cell>
          <cell r="Z2421" t="e">
            <v>#N/A</v>
          </cell>
          <cell r="AA2421" t="e">
            <v>#N/A</v>
          </cell>
        </row>
        <row r="2422">
          <cell r="Y2422">
            <v>56069</v>
          </cell>
          <cell r="Z2422" t="e">
            <v>#N/A</v>
          </cell>
          <cell r="AA2422" t="e">
            <v>#N/A</v>
          </cell>
        </row>
        <row r="2423">
          <cell r="Y2423">
            <v>56076</v>
          </cell>
          <cell r="Z2423" t="e">
            <v>#N/A</v>
          </cell>
          <cell r="AA2423" t="e">
            <v>#N/A</v>
          </cell>
        </row>
        <row r="2424">
          <cell r="Y2424">
            <v>56083</v>
          </cell>
          <cell r="Z2424" t="e">
            <v>#N/A</v>
          </cell>
          <cell r="AA2424" t="e">
            <v>#N/A</v>
          </cell>
        </row>
        <row r="2425">
          <cell r="Y2425">
            <v>56090</v>
          </cell>
          <cell r="Z2425" t="e">
            <v>#N/A</v>
          </cell>
          <cell r="AA2425" t="e">
            <v>#N/A</v>
          </cell>
        </row>
        <row r="2426">
          <cell r="Y2426">
            <v>56097</v>
          </cell>
          <cell r="Z2426" t="e">
            <v>#N/A</v>
          </cell>
          <cell r="AA2426" t="e">
            <v>#N/A</v>
          </cell>
        </row>
        <row r="2427">
          <cell r="Y2427">
            <v>56104</v>
          </cell>
          <cell r="Z2427" t="e">
            <v>#N/A</v>
          </cell>
          <cell r="AA2427" t="e">
            <v>#N/A</v>
          </cell>
        </row>
        <row r="2428">
          <cell r="Y2428">
            <v>56111</v>
          </cell>
          <cell r="Z2428" t="e">
            <v>#N/A</v>
          </cell>
          <cell r="AA2428" t="e">
            <v>#N/A</v>
          </cell>
        </row>
        <row r="2429">
          <cell r="Y2429">
            <v>56118</v>
          </cell>
          <cell r="Z2429" t="e">
            <v>#N/A</v>
          </cell>
          <cell r="AA2429" t="e">
            <v>#N/A</v>
          </cell>
        </row>
        <row r="2430">
          <cell r="Y2430">
            <v>56125</v>
          </cell>
          <cell r="Z2430" t="e">
            <v>#N/A</v>
          </cell>
          <cell r="AA2430" t="e">
            <v>#N/A</v>
          </cell>
        </row>
        <row r="2431">
          <cell r="Y2431">
            <v>56132</v>
          </cell>
          <cell r="Z2431" t="e">
            <v>#N/A</v>
          </cell>
          <cell r="AA2431" t="e">
            <v>#N/A</v>
          </cell>
        </row>
        <row r="2432">
          <cell r="Y2432">
            <v>56139</v>
          </cell>
          <cell r="Z2432" t="e">
            <v>#N/A</v>
          </cell>
          <cell r="AA2432" t="e">
            <v>#N/A</v>
          </cell>
        </row>
        <row r="2433">
          <cell r="Y2433">
            <v>56146</v>
          </cell>
          <cell r="Z2433" t="e">
            <v>#N/A</v>
          </cell>
          <cell r="AA2433" t="e">
            <v>#N/A</v>
          </cell>
        </row>
        <row r="2434">
          <cell r="Y2434">
            <v>56153</v>
          </cell>
          <cell r="Z2434" t="e">
            <v>#N/A</v>
          </cell>
          <cell r="AA2434" t="e">
            <v>#N/A</v>
          </cell>
        </row>
        <row r="2435">
          <cell r="Y2435">
            <v>56160</v>
          </cell>
          <cell r="Z2435" t="e">
            <v>#N/A</v>
          </cell>
          <cell r="AA2435" t="e">
            <v>#N/A</v>
          </cell>
        </row>
        <row r="2436">
          <cell r="Y2436">
            <v>56167</v>
          </cell>
          <cell r="Z2436" t="e">
            <v>#N/A</v>
          </cell>
          <cell r="AA2436" t="e">
            <v>#N/A</v>
          </cell>
        </row>
        <row r="2437">
          <cell r="Y2437">
            <v>56174</v>
          </cell>
          <cell r="Z2437" t="e">
            <v>#N/A</v>
          </cell>
          <cell r="AA2437" t="e">
            <v>#N/A</v>
          </cell>
        </row>
        <row r="2438">
          <cell r="Y2438">
            <v>56181</v>
          </cell>
          <cell r="Z2438" t="e">
            <v>#N/A</v>
          </cell>
          <cell r="AA2438" t="e">
            <v>#N/A</v>
          </cell>
        </row>
        <row r="2439">
          <cell r="Y2439">
            <v>56188</v>
          </cell>
          <cell r="Z2439" t="e">
            <v>#N/A</v>
          </cell>
          <cell r="AA2439" t="e">
            <v>#N/A</v>
          </cell>
        </row>
        <row r="2440">
          <cell r="Y2440">
            <v>56195</v>
          </cell>
          <cell r="Z2440" t="e">
            <v>#N/A</v>
          </cell>
          <cell r="AA2440" t="e">
            <v>#N/A</v>
          </cell>
        </row>
        <row r="2441">
          <cell r="Y2441">
            <v>56202</v>
          </cell>
          <cell r="Z2441" t="e">
            <v>#N/A</v>
          </cell>
          <cell r="AA2441" t="e">
            <v>#N/A</v>
          </cell>
        </row>
        <row r="2442">
          <cell r="Y2442">
            <v>56209</v>
          </cell>
          <cell r="Z2442" t="e">
            <v>#N/A</v>
          </cell>
          <cell r="AA2442" t="e">
            <v>#N/A</v>
          </cell>
        </row>
        <row r="2443">
          <cell r="Y2443">
            <v>56216</v>
          </cell>
          <cell r="Z2443" t="e">
            <v>#N/A</v>
          </cell>
          <cell r="AA2443" t="e">
            <v>#N/A</v>
          </cell>
        </row>
        <row r="2444">
          <cell r="Y2444">
            <v>56223</v>
          </cell>
          <cell r="Z2444" t="e">
            <v>#N/A</v>
          </cell>
          <cell r="AA2444" t="e">
            <v>#N/A</v>
          </cell>
        </row>
        <row r="2445">
          <cell r="Y2445">
            <v>56230</v>
          </cell>
          <cell r="Z2445" t="e">
            <v>#N/A</v>
          </cell>
          <cell r="AA2445" t="e">
            <v>#N/A</v>
          </cell>
        </row>
        <row r="2446">
          <cell r="Y2446">
            <v>56237</v>
          </cell>
          <cell r="Z2446" t="e">
            <v>#N/A</v>
          </cell>
          <cell r="AA2446" t="e">
            <v>#N/A</v>
          </cell>
        </row>
        <row r="2447">
          <cell r="Y2447">
            <v>56248</v>
          </cell>
          <cell r="Z2447" t="e">
            <v>#N/A</v>
          </cell>
          <cell r="AA2447" t="e">
            <v>#N/A</v>
          </cell>
        </row>
        <row r="2448">
          <cell r="Y2448">
            <v>56256</v>
          </cell>
          <cell r="Z2448" t="e">
            <v>#N/A</v>
          </cell>
          <cell r="AA2448" t="e">
            <v>#N/A</v>
          </cell>
        </row>
        <row r="2449">
          <cell r="Y2449">
            <v>56264</v>
          </cell>
          <cell r="Z2449" t="e">
            <v>#N/A</v>
          </cell>
          <cell r="AA2449" t="e">
            <v>#N/A</v>
          </cell>
        </row>
        <row r="2450">
          <cell r="Y2450">
            <v>56271</v>
          </cell>
          <cell r="Z2450" t="e">
            <v>#N/A</v>
          </cell>
          <cell r="AA2450" t="e">
            <v>#N/A</v>
          </cell>
        </row>
        <row r="2451">
          <cell r="Y2451">
            <v>56278</v>
          </cell>
          <cell r="Z2451" t="e">
            <v>#N/A</v>
          </cell>
          <cell r="AA2451" t="e">
            <v>#N/A</v>
          </cell>
        </row>
        <row r="2452">
          <cell r="Y2452">
            <v>56285</v>
          </cell>
          <cell r="Z2452" t="e">
            <v>#N/A</v>
          </cell>
          <cell r="AA2452" t="e">
            <v>#N/A</v>
          </cell>
        </row>
        <row r="2453">
          <cell r="Y2453">
            <v>56293</v>
          </cell>
          <cell r="Z2453" t="e">
            <v>#N/A</v>
          </cell>
          <cell r="AA2453" t="e">
            <v>#N/A</v>
          </cell>
        </row>
        <row r="2454">
          <cell r="Y2454">
            <v>56299</v>
          </cell>
          <cell r="Z2454" t="e">
            <v>#N/A</v>
          </cell>
          <cell r="AA2454" t="e">
            <v>#N/A</v>
          </cell>
        </row>
        <row r="2455">
          <cell r="Y2455">
            <v>56306</v>
          </cell>
          <cell r="Z2455" t="e">
            <v>#N/A</v>
          </cell>
          <cell r="AA2455" t="e">
            <v>#N/A</v>
          </cell>
        </row>
        <row r="2456">
          <cell r="Y2456">
            <v>56313</v>
          </cell>
          <cell r="Z2456" t="e">
            <v>#N/A</v>
          </cell>
          <cell r="AA2456" t="e">
            <v>#N/A</v>
          </cell>
        </row>
        <row r="2457">
          <cell r="Y2457">
            <v>56320</v>
          </cell>
          <cell r="Z2457" t="e">
            <v>#N/A</v>
          </cell>
          <cell r="AA2457" t="e">
            <v>#N/A</v>
          </cell>
        </row>
        <row r="2458">
          <cell r="Y2458">
            <v>56327</v>
          </cell>
          <cell r="Z2458" t="e">
            <v>#N/A</v>
          </cell>
          <cell r="AA2458" t="e">
            <v>#N/A</v>
          </cell>
        </row>
        <row r="2459">
          <cell r="Y2459">
            <v>56334</v>
          </cell>
          <cell r="Z2459" t="e">
            <v>#N/A</v>
          </cell>
          <cell r="AA2459" t="e">
            <v>#N/A</v>
          </cell>
        </row>
        <row r="2460">
          <cell r="Y2460">
            <v>56341</v>
          </cell>
          <cell r="Z2460" t="e">
            <v>#N/A</v>
          </cell>
          <cell r="AA2460" t="e">
            <v>#N/A</v>
          </cell>
        </row>
        <row r="2461">
          <cell r="Y2461">
            <v>56348</v>
          </cell>
          <cell r="Z2461" t="e">
            <v>#N/A</v>
          </cell>
          <cell r="AA2461" t="e">
            <v>#N/A</v>
          </cell>
        </row>
        <row r="2462">
          <cell r="Y2462">
            <v>56355</v>
          </cell>
          <cell r="Z2462" t="e">
            <v>#N/A</v>
          </cell>
          <cell r="AA2462" t="e">
            <v>#N/A</v>
          </cell>
        </row>
        <row r="2463">
          <cell r="Y2463">
            <v>56362</v>
          </cell>
          <cell r="Z2463" t="e">
            <v>#N/A</v>
          </cell>
          <cell r="AA2463" t="e">
            <v>#N/A</v>
          </cell>
        </row>
        <row r="2464">
          <cell r="Y2464">
            <v>56370</v>
          </cell>
          <cell r="Z2464" t="e">
            <v>#N/A</v>
          </cell>
          <cell r="AA2464" t="e">
            <v>#N/A</v>
          </cell>
        </row>
        <row r="2465">
          <cell r="Y2465">
            <v>56380</v>
          </cell>
          <cell r="Z2465" t="e">
            <v>#N/A</v>
          </cell>
          <cell r="AA2465" t="e">
            <v>#N/A</v>
          </cell>
        </row>
        <row r="2466">
          <cell r="Y2466">
            <v>56387</v>
          </cell>
          <cell r="Z2466" t="e">
            <v>#N/A</v>
          </cell>
          <cell r="AA2466" t="e">
            <v>#N/A</v>
          </cell>
        </row>
        <row r="2467">
          <cell r="Y2467">
            <v>56395</v>
          </cell>
          <cell r="Z2467" t="e">
            <v>#N/A</v>
          </cell>
          <cell r="AA2467" t="e">
            <v>#N/A</v>
          </cell>
        </row>
        <row r="2468">
          <cell r="Y2468">
            <v>56401</v>
          </cell>
          <cell r="Z2468" t="e">
            <v>#N/A</v>
          </cell>
          <cell r="AA2468" t="e">
            <v>#N/A</v>
          </cell>
        </row>
        <row r="2469">
          <cell r="Y2469">
            <v>56408</v>
          </cell>
          <cell r="Z2469" t="e">
            <v>#N/A</v>
          </cell>
          <cell r="AA2469" t="e">
            <v>#N/A</v>
          </cell>
        </row>
        <row r="2470">
          <cell r="Y2470">
            <v>56415</v>
          </cell>
          <cell r="Z2470" t="e">
            <v>#N/A</v>
          </cell>
          <cell r="AA2470" t="e">
            <v>#N/A</v>
          </cell>
        </row>
        <row r="2471">
          <cell r="Y2471">
            <v>56422</v>
          </cell>
          <cell r="Z2471" t="e">
            <v>#N/A</v>
          </cell>
          <cell r="AA2471" t="e">
            <v>#N/A</v>
          </cell>
        </row>
        <row r="2472">
          <cell r="Y2472">
            <v>56429</v>
          </cell>
          <cell r="Z2472" t="e">
            <v>#N/A</v>
          </cell>
          <cell r="AA2472" t="e">
            <v>#N/A</v>
          </cell>
        </row>
        <row r="2473">
          <cell r="Y2473">
            <v>56436</v>
          </cell>
          <cell r="Z2473" t="e">
            <v>#N/A</v>
          </cell>
          <cell r="AA2473" t="e">
            <v>#N/A</v>
          </cell>
        </row>
        <row r="2474">
          <cell r="Y2474">
            <v>56443</v>
          </cell>
          <cell r="Z2474" t="e">
            <v>#N/A</v>
          </cell>
          <cell r="AA2474" t="e">
            <v>#N/A</v>
          </cell>
        </row>
        <row r="2475">
          <cell r="Y2475">
            <v>56451</v>
          </cell>
          <cell r="Z2475" t="e">
            <v>#N/A</v>
          </cell>
          <cell r="AA2475" t="e">
            <v>#N/A</v>
          </cell>
        </row>
        <row r="2476">
          <cell r="Y2476">
            <v>56457</v>
          </cell>
          <cell r="Z2476" t="e">
            <v>#N/A</v>
          </cell>
          <cell r="AA2476" t="e">
            <v>#N/A</v>
          </cell>
        </row>
        <row r="2477">
          <cell r="Y2477">
            <v>56464</v>
          </cell>
          <cell r="Z2477" t="e">
            <v>#N/A</v>
          </cell>
          <cell r="AA2477" t="e">
            <v>#N/A</v>
          </cell>
        </row>
        <row r="2478">
          <cell r="Y2478">
            <v>56471</v>
          </cell>
          <cell r="Z2478" t="e">
            <v>#N/A</v>
          </cell>
          <cell r="AA2478" t="e">
            <v>#N/A</v>
          </cell>
        </row>
        <row r="2479">
          <cell r="Y2479">
            <v>56478</v>
          </cell>
          <cell r="Z2479" t="e">
            <v>#N/A</v>
          </cell>
          <cell r="AA2479" t="e">
            <v>#N/A</v>
          </cell>
        </row>
        <row r="2480">
          <cell r="Y2480">
            <v>56485</v>
          </cell>
          <cell r="Z2480" t="e">
            <v>#N/A</v>
          </cell>
          <cell r="AA2480" t="e">
            <v>#N/A</v>
          </cell>
        </row>
        <row r="2481">
          <cell r="Y2481">
            <v>56493</v>
          </cell>
          <cell r="Z2481" t="e">
            <v>#N/A</v>
          </cell>
          <cell r="AA2481" t="e">
            <v>#N/A</v>
          </cell>
        </row>
        <row r="2482">
          <cell r="Y2482">
            <v>56499</v>
          </cell>
          <cell r="Z2482" t="e">
            <v>#N/A</v>
          </cell>
          <cell r="AA2482" t="e">
            <v>#N/A</v>
          </cell>
        </row>
        <row r="2483">
          <cell r="Y2483">
            <v>56506</v>
          </cell>
          <cell r="Z2483" t="e">
            <v>#N/A</v>
          </cell>
          <cell r="AA2483" t="e">
            <v>#N/A</v>
          </cell>
        </row>
        <row r="2484">
          <cell r="Y2484">
            <v>56516</v>
          </cell>
          <cell r="Z2484" t="e">
            <v>#N/A</v>
          </cell>
          <cell r="AA2484" t="e">
            <v>#N/A</v>
          </cell>
        </row>
        <row r="2485">
          <cell r="Y2485">
            <v>56520</v>
          </cell>
          <cell r="Z2485" t="e">
            <v>#N/A</v>
          </cell>
          <cell r="AA2485" t="e">
            <v>#N/A</v>
          </cell>
        </row>
        <row r="2486">
          <cell r="Y2486">
            <v>56527</v>
          </cell>
          <cell r="Z2486" t="e">
            <v>#N/A</v>
          </cell>
          <cell r="AA2486" t="e">
            <v>#N/A</v>
          </cell>
        </row>
        <row r="2487">
          <cell r="Y2487">
            <v>56535</v>
          </cell>
          <cell r="Z2487" t="e">
            <v>#N/A</v>
          </cell>
          <cell r="AA2487" t="e">
            <v>#N/A</v>
          </cell>
        </row>
        <row r="2488">
          <cell r="Y2488">
            <v>56541</v>
          </cell>
          <cell r="Z2488" t="e">
            <v>#N/A</v>
          </cell>
          <cell r="AA2488" t="e">
            <v>#N/A</v>
          </cell>
        </row>
        <row r="2489">
          <cell r="Y2489">
            <v>56548</v>
          </cell>
          <cell r="Z2489" t="e">
            <v>#N/A</v>
          </cell>
          <cell r="AA2489" t="e">
            <v>#N/A</v>
          </cell>
        </row>
        <row r="2490">
          <cell r="Y2490">
            <v>56555</v>
          </cell>
          <cell r="Z2490" t="e">
            <v>#N/A</v>
          </cell>
          <cell r="AA2490" t="e">
            <v>#N/A</v>
          </cell>
        </row>
        <row r="2491">
          <cell r="Y2491">
            <v>56562</v>
          </cell>
          <cell r="Z2491" t="e">
            <v>#N/A</v>
          </cell>
          <cell r="AA2491" t="e">
            <v>#N/A</v>
          </cell>
        </row>
        <row r="2492">
          <cell r="Y2492">
            <v>56569</v>
          </cell>
          <cell r="Z2492" t="e">
            <v>#N/A</v>
          </cell>
          <cell r="AA2492" t="e">
            <v>#N/A</v>
          </cell>
        </row>
        <row r="2493">
          <cell r="Y2493">
            <v>56577</v>
          </cell>
          <cell r="Z2493" t="e">
            <v>#N/A</v>
          </cell>
          <cell r="AA2493" t="e">
            <v>#N/A</v>
          </cell>
        </row>
        <row r="2494">
          <cell r="Y2494">
            <v>56583</v>
          </cell>
          <cell r="Z2494" t="e">
            <v>#N/A</v>
          </cell>
          <cell r="AA2494" t="e">
            <v>#N/A</v>
          </cell>
        </row>
        <row r="2495">
          <cell r="Y2495">
            <v>56590</v>
          </cell>
          <cell r="Z2495" t="e">
            <v>#N/A</v>
          </cell>
          <cell r="AA2495" t="e">
            <v>#N/A</v>
          </cell>
        </row>
        <row r="2496">
          <cell r="Y2496">
            <v>56597</v>
          </cell>
          <cell r="Z2496" t="e">
            <v>#N/A</v>
          </cell>
          <cell r="AA2496" t="e">
            <v>#N/A</v>
          </cell>
        </row>
        <row r="2497">
          <cell r="Y2497">
            <v>56604</v>
          </cell>
          <cell r="Z2497" t="e">
            <v>#N/A</v>
          </cell>
          <cell r="AA2497" t="e">
            <v>#N/A</v>
          </cell>
        </row>
        <row r="2498">
          <cell r="Y2498">
            <v>56613</v>
          </cell>
          <cell r="Z2498" t="e">
            <v>#N/A</v>
          </cell>
          <cell r="AA2498" t="e">
            <v>#N/A</v>
          </cell>
        </row>
        <row r="2499">
          <cell r="Y2499">
            <v>56620</v>
          </cell>
          <cell r="Z2499" t="e">
            <v>#N/A</v>
          </cell>
          <cell r="AA2499" t="e">
            <v>#N/A</v>
          </cell>
        </row>
        <row r="2500">
          <cell r="Y2500">
            <v>56628</v>
          </cell>
          <cell r="Z2500" t="e">
            <v>#N/A</v>
          </cell>
          <cell r="AA2500" t="e">
            <v>#N/A</v>
          </cell>
        </row>
        <row r="2501">
          <cell r="Y2501">
            <v>56635</v>
          </cell>
          <cell r="Z2501" t="e">
            <v>#N/A</v>
          </cell>
          <cell r="AA2501" t="e">
            <v>#N/A</v>
          </cell>
        </row>
        <row r="2502">
          <cell r="Y2502">
            <v>56642</v>
          </cell>
          <cell r="Z2502" t="e">
            <v>#N/A</v>
          </cell>
          <cell r="AA2502" t="e">
            <v>#N/A</v>
          </cell>
        </row>
        <row r="2503">
          <cell r="Y2503">
            <v>56649</v>
          </cell>
          <cell r="Z2503" t="e">
            <v>#N/A</v>
          </cell>
          <cell r="AA2503" t="e">
            <v>#N/A</v>
          </cell>
        </row>
        <row r="2504">
          <cell r="Y2504">
            <v>56657</v>
          </cell>
          <cell r="Z2504" t="e">
            <v>#N/A</v>
          </cell>
          <cell r="AA2504" t="e">
            <v>#N/A</v>
          </cell>
        </row>
        <row r="2505">
          <cell r="Y2505">
            <v>56663</v>
          </cell>
          <cell r="Z2505" t="e">
            <v>#N/A</v>
          </cell>
          <cell r="AA2505" t="e">
            <v>#N/A</v>
          </cell>
        </row>
        <row r="2506">
          <cell r="Y2506">
            <v>56670</v>
          </cell>
          <cell r="Z2506" t="e">
            <v>#N/A</v>
          </cell>
          <cell r="AA2506" t="e">
            <v>#N/A</v>
          </cell>
        </row>
        <row r="2507">
          <cell r="Y2507">
            <v>56677</v>
          </cell>
          <cell r="Z2507" t="e">
            <v>#N/A</v>
          </cell>
          <cell r="AA2507" t="e">
            <v>#N/A</v>
          </cell>
        </row>
        <row r="2508">
          <cell r="Y2508">
            <v>56684</v>
          </cell>
          <cell r="Z2508" t="e">
            <v>#N/A</v>
          </cell>
          <cell r="AA2508" t="e">
            <v>#N/A</v>
          </cell>
        </row>
        <row r="2509">
          <cell r="Y2509">
            <v>56691</v>
          </cell>
          <cell r="Z2509" t="e">
            <v>#N/A</v>
          </cell>
          <cell r="AA2509" t="e">
            <v>#N/A</v>
          </cell>
        </row>
        <row r="2510">
          <cell r="Y2510">
            <v>56698</v>
          </cell>
          <cell r="Z2510" t="e">
            <v>#N/A</v>
          </cell>
          <cell r="AA2510" t="e">
            <v>#N/A</v>
          </cell>
        </row>
        <row r="2511">
          <cell r="Y2511">
            <v>56705</v>
          </cell>
          <cell r="Z2511" t="e">
            <v>#N/A</v>
          </cell>
          <cell r="AA2511" t="e">
            <v>#N/A</v>
          </cell>
        </row>
        <row r="2512">
          <cell r="Y2512">
            <v>56712</v>
          </cell>
          <cell r="Z2512" t="e">
            <v>#N/A</v>
          </cell>
          <cell r="AA2512" t="e">
            <v>#N/A</v>
          </cell>
        </row>
        <row r="2513">
          <cell r="Y2513">
            <v>56719</v>
          </cell>
          <cell r="Z2513" t="e">
            <v>#N/A</v>
          </cell>
          <cell r="AA2513" t="e">
            <v>#N/A</v>
          </cell>
        </row>
        <row r="2514">
          <cell r="Y2514">
            <v>56726</v>
          </cell>
          <cell r="Z2514" t="e">
            <v>#N/A</v>
          </cell>
          <cell r="AA2514" t="e">
            <v>#N/A</v>
          </cell>
        </row>
        <row r="2515">
          <cell r="Y2515">
            <v>56734</v>
          </cell>
          <cell r="Z2515" t="e">
            <v>#N/A</v>
          </cell>
          <cell r="AA2515" t="e">
            <v>#N/A</v>
          </cell>
        </row>
        <row r="2516">
          <cell r="Y2516">
            <v>56744</v>
          </cell>
          <cell r="Z2516" t="e">
            <v>#N/A</v>
          </cell>
          <cell r="AA2516" t="e">
            <v>#N/A</v>
          </cell>
        </row>
        <row r="2517">
          <cell r="Y2517">
            <v>56751</v>
          </cell>
          <cell r="Z2517" t="e">
            <v>#N/A</v>
          </cell>
          <cell r="AA2517" t="e">
            <v>#N/A</v>
          </cell>
        </row>
        <row r="2518">
          <cell r="Y2518">
            <v>56758</v>
          </cell>
          <cell r="Z2518" t="e">
            <v>#N/A</v>
          </cell>
          <cell r="AA2518" t="e">
            <v>#N/A</v>
          </cell>
        </row>
        <row r="2519">
          <cell r="Y2519">
            <v>56766</v>
          </cell>
          <cell r="Z2519" t="e">
            <v>#N/A</v>
          </cell>
          <cell r="AA2519" t="e">
            <v>#N/A</v>
          </cell>
        </row>
        <row r="2520">
          <cell r="Y2520">
            <v>56772</v>
          </cell>
          <cell r="Z2520" t="e">
            <v>#N/A</v>
          </cell>
          <cell r="AA2520" t="e">
            <v>#N/A</v>
          </cell>
        </row>
        <row r="2521">
          <cell r="Y2521">
            <v>56779</v>
          </cell>
          <cell r="Z2521" t="e">
            <v>#N/A</v>
          </cell>
          <cell r="AA2521" t="e">
            <v>#N/A</v>
          </cell>
        </row>
        <row r="2522">
          <cell r="Y2522">
            <v>56786</v>
          </cell>
          <cell r="Z2522" t="e">
            <v>#N/A</v>
          </cell>
          <cell r="AA2522" t="e">
            <v>#N/A</v>
          </cell>
        </row>
        <row r="2523">
          <cell r="Y2523">
            <v>56793</v>
          </cell>
          <cell r="Z2523" t="e">
            <v>#N/A</v>
          </cell>
          <cell r="AA2523" t="e">
            <v>#N/A</v>
          </cell>
        </row>
        <row r="2524">
          <cell r="Y2524">
            <v>56800</v>
          </cell>
          <cell r="Z2524" t="e">
            <v>#N/A</v>
          </cell>
          <cell r="AA2524" t="e">
            <v>#N/A</v>
          </cell>
        </row>
        <row r="2525">
          <cell r="Y2525">
            <v>56807</v>
          </cell>
          <cell r="Z2525" t="e">
            <v>#N/A</v>
          </cell>
          <cell r="AA2525" t="e">
            <v>#N/A</v>
          </cell>
        </row>
        <row r="2526">
          <cell r="Y2526">
            <v>56815</v>
          </cell>
          <cell r="Z2526" t="e">
            <v>#N/A</v>
          </cell>
          <cell r="AA2526" t="e">
            <v>#N/A</v>
          </cell>
        </row>
        <row r="2527">
          <cell r="Y2527">
            <v>56821</v>
          </cell>
          <cell r="Z2527" t="e">
            <v>#N/A</v>
          </cell>
          <cell r="AA2527" t="e">
            <v>#N/A</v>
          </cell>
        </row>
        <row r="2528">
          <cell r="Y2528">
            <v>56828</v>
          </cell>
          <cell r="Z2528" t="e">
            <v>#N/A</v>
          </cell>
          <cell r="AA2528" t="e">
            <v>#N/A</v>
          </cell>
        </row>
        <row r="2529">
          <cell r="Y2529">
            <v>56835</v>
          </cell>
          <cell r="Z2529" t="e">
            <v>#N/A</v>
          </cell>
          <cell r="AA2529" t="e">
            <v>#N/A</v>
          </cell>
        </row>
        <row r="2530">
          <cell r="Y2530">
            <v>56842</v>
          </cell>
          <cell r="Z2530" t="e">
            <v>#N/A</v>
          </cell>
          <cell r="AA2530" t="e">
            <v>#N/A</v>
          </cell>
        </row>
        <row r="2531">
          <cell r="Y2531">
            <v>56849</v>
          </cell>
          <cell r="Z2531" t="e">
            <v>#N/A</v>
          </cell>
          <cell r="AA2531" t="e">
            <v>#N/A</v>
          </cell>
        </row>
        <row r="2532">
          <cell r="Y2532">
            <v>56857</v>
          </cell>
          <cell r="Z2532" t="e">
            <v>#N/A</v>
          </cell>
          <cell r="AA2532" t="e">
            <v>#N/A</v>
          </cell>
        </row>
        <row r="2533">
          <cell r="Y2533">
            <v>56863</v>
          </cell>
          <cell r="Z2533" t="e">
            <v>#N/A</v>
          </cell>
          <cell r="AA2533" t="e">
            <v>#N/A</v>
          </cell>
        </row>
        <row r="2534">
          <cell r="Y2534">
            <v>56870</v>
          </cell>
          <cell r="Z2534" t="e">
            <v>#N/A</v>
          </cell>
          <cell r="AA2534" t="e">
            <v>#N/A</v>
          </cell>
        </row>
        <row r="2535">
          <cell r="Y2535">
            <v>56878</v>
          </cell>
          <cell r="Z2535" t="e">
            <v>#N/A</v>
          </cell>
          <cell r="AA2535" t="e">
            <v>#N/A</v>
          </cell>
        </row>
        <row r="2536">
          <cell r="Y2536">
            <v>56885</v>
          </cell>
          <cell r="Z2536" t="e">
            <v>#N/A</v>
          </cell>
          <cell r="AA2536" t="e">
            <v>#N/A</v>
          </cell>
        </row>
        <row r="2537">
          <cell r="Y2537">
            <v>56892</v>
          </cell>
          <cell r="Z2537" t="e">
            <v>#N/A</v>
          </cell>
          <cell r="AA2537" t="e">
            <v>#N/A</v>
          </cell>
        </row>
        <row r="2538">
          <cell r="Y2538">
            <v>56900</v>
          </cell>
          <cell r="Z2538" t="e">
            <v>#N/A</v>
          </cell>
          <cell r="AA2538" t="e">
            <v>#N/A</v>
          </cell>
        </row>
        <row r="2539">
          <cell r="Y2539">
            <v>56906</v>
          </cell>
          <cell r="Z2539" t="e">
            <v>#N/A</v>
          </cell>
          <cell r="AA2539" t="e">
            <v>#N/A</v>
          </cell>
        </row>
        <row r="2540">
          <cell r="Y2540">
            <v>56913</v>
          </cell>
          <cell r="Z2540" t="e">
            <v>#N/A</v>
          </cell>
          <cell r="AA2540" t="e">
            <v>#N/A</v>
          </cell>
        </row>
        <row r="2541">
          <cell r="Y2541">
            <v>56920</v>
          </cell>
          <cell r="Z2541" t="e">
            <v>#N/A</v>
          </cell>
          <cell r="AA2541" t="e">
            <v>#N/A</v>
          </cell>
        </row>
        <row r="2542">
          <cell r="Y2542">
            <v>56927</v>
          </cell>
          <cell r="Z2542" t="e">
            <v>#N/A</v>
          </cell>
          <cell r="AA2542" t="e">
            <v>#N/A</v>
          </cell>
        </row>
        <row r="2543">
          <cell r="Y2543">
            <v>56934</v>
          </cell>
          <cell r="Z2543" t="e">
            <v>#N/A</v>
          </cell>
          <cell r="AA2543" t="e">
            <v>#N/A</v>
          </cell>
        </row>
        <row r="2544">
          <cell r="Y2544">
            <v>56942</v>
          </cell>
          <cell r="Z2544" t="e">
            <v>#N/A</v>
          </cell>
          <cell r="AA2544" t="e">
            <v>#N/A</v>
          </cell>
        </row>
        <row r="2545">
          <cell r="Y2545">
            <v>56948</v>
          </cell>
          <cell r="Z2545" t="e">
            <v>#N/A</v>
          </cell>
          <cell r="AA2545" t="e">
            <v>#N/A</v>
          </cell>
        </row>
        <row r="2546">
          <cell r="Y2546">
            <v>56955</v>
          </cell>
          <cell r="Z2546" t="e">
            <v>#N/A</v>
          </cell>
          <cell r="AA2546" t="e">
            <v>#N/A</v>
          </cell>
        </row>
        <row r="2547">
          <cell r="Y2547">
            <v>56962</v>
          </cell>
          <cell r="Z2547" t="e">
            <v>#N/A</v>
          </cell>
          <cell r="AA2547" t="e">
            <v>#N/A</v>
          </cell>
        </row>
        <row r="2548">
          <cell r="Y2548">
            <v>56969</v>
          </cell>
          <cell r="Z2548" t="e">
            <v>#N/A</v>
          </cell>
          <cell r="AA2548" t="e">
            <v>#N/A</v>
          </cell>
        </row>
        <row r="2549">
          <cell r="Y2549">
            <v>56978</v>
          </cell>
          <cell r="Z2549" t="e">
            <v>#N/A</v>
          </cell>
          <cell r="AA2549" t="e">
            <v>#N/A</v>
          </cell>
        </row>
        <row r="2550">
          <cell r="Y2550">
            <v>56985</v>
          </cell>
          <cell r="Z2550" t="e">
            <v>#N/A</v>
          </cell>
          <cell r="AA2550" t="e">
            <v>#N/A</v>
          </cell>
        </row>
        <row r="2551">
          <cell r="Y2551">
            <v>56992</v>
          </cell>
          <cell r="Z2551" t="e">
            <v>#N/A</v>
          </cell>
          <cell r="AA2551" t="e">
            <v>#N/A</v>
          </cell>
        </row>
        <row r="2552">
          <cell r="Y2552">
            <v>56999</v>
          </cell>
          <cell r="Z2552" t="e">
            <v>#N/A</v>
          </cell>
          <cell r="AA2552" t="e">
            <v>#N/A</v>
          </cell>
        </row>
        <row r="2553">
          <cell r="Y2553">
            <v>57006</v>
          </cell>
          <cell r="Z2553" t="e">
            <v>#N/A</v>
          </cell>
          <cell r="AA2553" t="e">
            <v>#N/A</v>
          </cell>
        </row>
        <row r="2554">
          <cell r="Y2554">
            <v>57013</v>
          </cell>
          <cell r="Z2554" t="e">
            <v>#N/A</v>
          </cell>
          <cell r="AA2554" t="e">
            <v>#N/A</v>
          </cell>
        </row>
        <row r="2555">
          <cell r="Y2555">
            <v>57020</v>
          </cell>
          <cell r="Z2555" t="e">
            <v>#N/A</v>
          </cell>
          <cell r="AA2555" t="e">
            <v>#N/A</v>
          </cell>
        </row>
        <row r="2556">
          <cell r="Y2556">
            <v>57027</v>
          </cell>
          <cell r="Z2556" t="e">
            <v>#N/A</v>
          </cell>
          <cell r="AA2556" t="e">
            <v>#N/A</v>
          </cell>
        </row>
        <row r="2557">
          <cell r="Y2557">
            <v>57034</v>
          </cell>
          <cell r="Z2557" t="e">
            <v>#N/A</v>
          </cell>
          <cell r="AA2557" t="e">
            <v>#N/A</v>
          </cell>
        </row>
        <row r="2558">
          <cell r="Y2558">
            <v>57041</v>
          </cell>
          <cell r="Z2558" t="e">
            <v>#N/A</v>
          </cell>
          <cell r="AA2558" t="e">
            <v>#N/A</v>
          </cell>
        </row>
        <row r="2559">
          <cell r="Y2559">
            <v>57048</v>
          </cell>
          <cell r="Z2559" t="e">
            <v>#N/A</v>
          </cell>
          <cell r="AA2559" t="e">
            <v>#N/A</v>
          </cell>
        </row>
        <row r="2560">
          <cell r="Y2560">
            <v>57055</v>
          </cell>
          <cell r="Z2560" t="e">
            <v>#N/A</v>
          </cell>
          <cell r="AA2560" t="e">
            <v>#N/A</v>
          </cell>
        </row>
        <row r="2561">
          <cell r="Y2561">
            <v>57062</v>
          </cell>
          <cell r="Z2561" t="e">
            <v>#N/A</v>
          </cell>
          <cell r="AA2561" t="e">
            <v>#N/A</v>
          </cell>
        </row>
        <row r="2562">
          <cell r="Y2562">
            <v>57069</v>
          </cell>
          <cell r="Z2562" t="e">
            <v>#N/A</v>
          </cell>
          <cell r="AA2562" t="e">
            <v>#N/A</v>
          </cell>
        </row>
        <row r="2563">
          <cell r="Y2563">
            <v>57076</v>
          </cell>
          <cell r="Z2563" t="e">
            <v>#N/A</v>
          </cell>
          <cell r="AA2563" t="e">
            <v>#N/A</v>
          </cell>
        </row>
        <row r="2564">
          <cell r="Y2564">
            <v>57083</v>
          </cell>
          <cell r="Z2564" t="e">
            <v>#N/A</v>
          </cell>
          <cell r="AA2564" t="e">
            <v>#N/A</v>
          </cell>
        </row>
        <row r="2565">
          <cell r="Y2565">
            <v>57090</v>
          </cell>
          <cell r="Z2565" t="e">
            <v>#N/A</v>
          </cell>
          <cell r="AA2565" t="e">
            <v>#N/A</v>
          </cell>
        </row>
        <row r="2566">
          <cell r="Y2566">
            <v>57097</v>
          </cell>
          <cell r="Z2566" t="e">
            <v>#N/A</v>
          </cell>
          <cell r="AA2566" t="e">
            <v>#N/A</v>
          </cell>
        </row>
        <row r="2567">
          <cell r="Y2567">
            <v>57109</v>
          </cell>
          <cell r="Z2567" t="e">
            <v>#N/A</v>
          </cell>
          <cell r="AA2567" t="e">
            <v>#N/A</v>
          </cell>
        </row>
        <row r="2568">
          <cell r="Y2568">
            <v>57111</v>
          </cell>
          <cell r="Z2568" t="e">
            <v>#N/A</v>
          </cell>
          <cell r="AA2568" t="e">
            <v>#N/A</v>
          </cell>
        </row>
        <row r="2569">
          <cell r="Y2569">
            <v>57118</v>
          </cell>
          <cell r="Z2569" t="e">
            <v>#N/A</v>
          </cell>
          <cell r="AA2569" t="e">
            <v>#N/A</v>
          </cell>
        </row>
        <row r="2570">
          <cell r="Y2570">
            <v>57125</v>
          </cell>
          <cell r="Z2570" t="e">
            <v>#N/A</v>
          </cell>
          <cell r="AA2570" t="e">
            <v>#N/A</v>
          </cell>
        </row>
        <row r="2571">
          <cell r="Y2571">
            <v>57132</v>
          </cell>
          <cell r="Z2571" t="e">
            <v>#N/A</v>
          </cell>
          <cell r="AA2571" t="e">
            <v>#N/A</v>
          </cell>
        </row>
        <row r="2572">
          <cell r="Y2572">
            <v>57139</v>
          </cell>
          <cell r="Z2572" t="e">
            <v>#N/A</v>
          </cell>
          <cell r="AA2572" t="e">
            <v>#N/A</v>
          </cell>
        </row>
        <row r="2573">
          <cell r="Y2573">
            <v>57146</v>
          </cell>
          <cell r="Z2573" t="e">
            <v>#N/A</v>
          </cell>
          <cell r="AA2573" t="e">
            <v>#N/A</v>
          </cell>
        </row>
        <row r="2574">
          <cell r="Y2574">
            <v>57153</v>
          </cell>
          <cell r="Z2574" t="e">
            <v>#N/A</v>
          </cell>
          <cell r="AA2574" t="e">
            <v>#N/A</v>
          </cell>
        </row>
        <row r="2575">
          <cell r="Y2575">
            <v>57160</v>
          </cell>
          <cell r="Z2575" t="e">
            <v>#N/A</v>
          </cell>
          <cell r="AA2575" t="e">
            <v>#N/A</v>
          </cell>
        </row>
        <row r="2576">
          <cell r="Y2576">
            <v>57167</v>
          </cell>
          <cell r="Z2576" t="e">
            <v>#N/A</v>
          </cell>
          <cell r="AA2576" t="e">
            <v>#N/A</v>
          </cell>
        </row>
        <row r="2577">
          <cell r="Y2577">
            <v>57174</v>
          </cell>
          <cell r="Z2577" t="e">
            <v>#N/A</v>
          </cell>
          <cell r="AA2577" t="e">
            <v>#N/A</v>
          </cell>
        </row>
        <row r="2578">
          <cell r="Y2578">
            <v>57181</v>
          </cell>
          <cell r="Z2578" t="e">
            <v>#N/A</v>
          </cell>
          <cell r="AA2578" t="e">
            <v>#N/A</v>
          </cell>
        </row>
        <row r="2579">
          <cell r="Y2579">
            <v>57188</v>
          </cell>
          <cell r="Z2579" t="e">
            <v>#N/A</v>
          </cell>
          <cell r="AA2579" t="e">
            <v>#N/A</v>
          </cell>
        </row>
        <row r="2580">
          <cell r="Y2580">
            <v>57195</v>
          </cell>
          <cell r="Z2580" t="e">
            <v>#N/A</v>
          </cell>
          <cell r="AA2580" t="e">
            <v>#N/A</v>
          </cell>
        </row>
        <row r="2581">
          <cell r="Y2581">
            <v>57202</v>
          </cell>
          <cell r="Z2581" t="e">
            <v>#N/A</v>
          </cell>
          <cell r="AA2581" t="e">
            <v>#N/A</v>
          </cell>
        </row>
        <row r="2582">
          <cell r="Y2582">
            <v>57209</v>
          </cell>
          <cell r="Z2582" t="e">
            <v>#N/A</v>
          </cell>
          <cell r="AA2582" t="e">
            <v>#N/A</v>
          </cell>
        </row>
        <row r="2583">
          <cell r="Y2583">
            <v>57216</v>
          </cell>
          <cell r="Z2583" t="e">
            <v>#N/A</v>
          </cell>
          <cell r="AA2583" t="e">
            <v>#N/A</v>
          </cell>
        </row>
        <row r="2584">
          <cell r="Y2584">
            <v>57223</v>
          </cell>
          <cell r="Z2584" t="e">
            <v>#N/A</v>
          </cell>
          <cell r="AA2584" t="e">
            <v>#N/A</v>
          </cell>
        </row>
        <row r="2585">
          <cell r="Y2585">
            <v>57230</v>
          </cell>
          <cell r="Z2585" t="e">
            <v>#N/A</v>
          </cell>
          <cell r="AA2585" t="e">
            <v>#N/A</v>
          </cell>
        </row>
        <row r="2586">
          <cell r="Y2586">
            <v>57237</v>
          </cell>
          <cell r="Z2586" t="e">
            <v>#N/A</v>
          </cell>
          <cell r="AA2586" t="e">
            <v>#N/A</v>
          </cell>
        </row>
        <row r="2587">
          <cell r="Y2587">
            <v>57244</v>
          </cell>
          <cell r="Z2587" t="e">
            <v>#N/A</v>
          </cell>
          <cell r="AA2587" t="e">
            <v>#N/A</v>
          </cell>
        </row>
        <row r="2588">
          <cell r="Y2588">
            <v>57251</v>
          </cell>
          <cell r="Z2588" t="e">
            <v>#N/A</v>
          </cell>
          <cell r="AA2588" t="e">
            <v>#N/A</v>
          </cell>
        </row>
        <row r="2589">
          <cell r="Y2589">
            <v>57258</v>
          </cell>
          <cell r="Z2589" t="e">
            <v>#N/A</v>
          </cell>
          <cell r="AA2589" t="e">
            <v>#N/A</v>
          </cell>
        </row>
        <row r="2590">
          <cell r="Y2590">
            <v>57265</v>
          </cell>
          <cell r="Z2590" t="e">
            <v>#N/A</v>
          </cell>
          <cell r="AA2590" t="e">
            <v>#N/A</v>
          </cell>
        </row>
        <row r="2591">
          <cell r="Y2591">
            <v>57272</v>
          </cell>
          <cell r="Z2591" t="e">
            <v>#N/A</v>
          </cell>
          <cell r="AA2591" t="e">
            <v>#N/A</v>
          </cell>
        </row>
        <row r="2592">
          <cell r="Y2592">
            <v>57279</v>
          </cell>
          <cell r="Z2592" t="e">
            <v>#N/A</v>
          </cell>
          <cell r="AA2592" t="e">
            <v>#N/A</v>
          </cell>
        </row>
        <row r="2593">
          <cell r="Y2593">
            <v>57286</v>
          </cell>
          <cell r="Z2593" t="e">
            <v>#N/A</v>
          </cell>
          <cell r="AA2593" t="e">
            <v>#N/A</v>
          </cell>
        </row>
        <row r="2594">
          <cell r="Y2594">
            <v>57293</v>
          </cell>
          <cell r="Z2594" t="e">
            <v>#N/A</v>
          </cell>
          <cell r="AA2594" t="e">
            <v>#N/A</v>
          </cell>
        </row>
        <row r="2595">
          <cell r="Y2595">
            <v>57300</v>
          </cell>
          <cell r="Z2595" t="e">
            <v>#N/A</v>
          </cell>
          <cell r="AA2595" t="e">
            <v>#N/A</v>
          </cell>
        </row>
        <row r="2596">
          <cell r="Y2596">
            <v>57308</v>
          </cell>
          <cell r="Z2596" t="e">
            <v>#N/A</v>
          </cell>
          <cell r="AA2596" t="e">
            <v>#N/A</v>
          </cell>
        </row>
        <row r="2597">
          <cell r="Y2597">
            <v>57314</v>
          </cell>
          <cell r="Z2597" t="e">
            <v>#N/A</v>
          </cell>
          <cell r="AA2597" t="e">
            <v>#N/A</v>
          </cell>
        </row>
        <row r="2598">
          <cell r="Y2598">
            <v>57321</v>
          </cell>
          <cell r="Z2598" t="e">
            <v>#N/A</v>
          </cell>
          <cell r="AA2598" t="e">
            <v>#N/A</v>
          </cell>
        </row>
        <row r="2599">
          <cell r="Y2599">
            <v>57328</v>
          </cell>
          <cell r="Z2599" t="e">
            <v>#N/A</v>
          </cell>
          <cell r="AA2599" t="e">
            <v>#N/A</v>
          </cell>
        </row>
        <row r="2600">
          <cell r="Y2600">
            <v>57335</v>
          </cell>
          <cell r="Z2600" t="e">
            <v>#N/A</v>
          </cell>
          <cell r="AA2600" t="e">
            <v>#N/A</v>
          </cell>
        </row>
        <row r="2601">
          <cell r="Y2601">
            <v>57343</v>
          </cell>
          <cell r="Z2601" t="e">
            <v>#N/A</v>
          </cell>
          <cell r="AA2601" t="e">
            <v>#N/A</v>
          </cell>
        </row>
        <row r="2602">
          <cell r="Y2602">
            <v>57354</v>
          </cell>
          <cell r="Z2602" t="e">
            <v>#N/A</v>
          </cell>
          <cell r="AA2602" t="e">
            <v>#N/A</v>
          </cell>
        </row>
        <row r="2603">
          <cell r="Y2603">
            <v>57360</v>
          </cell>
          <cell r="Z2603" t="e">
            <v>#N/A</v>
          </cell>
          <cell r="AA2603" t="e">
            <v>#N/A</v>
          </cell>
        </row>
        <row r="2604">
          <cell r="Y2604">
            <v>57367</v>
          </cell>
          <cell r="Z2604" t="e">
            <v>#N/A</v>
          </cell>
          <cell r="AA2604" t="e">
            <v>#N/A</v>
          </cell>
        </row>
        <row r="2605">
          <cell r="Y2605">
            <v>57374</v>
          </cell>
          <cell r="Z2605" t="e">
            <v>#N/A</v>
          </cell>
          <cell r="AA2605" t="e">
            <v>#N/A</v>
          </cell>
        </row>
        <row r="2606">
          <cell r="Y2606">
            <v>57381</v>
          </cell>
          <cell r="Z2606" t="e">
            <v>#N/A</v>
          </cell>
          <cell r="AA2606" t="e">
            <v>#N/A</v>
          </cell>
        </row>
        <row r="2607">
          <cell r="Y2607">
            <v>57389</v>
          </cell>
          <cell r="Z2607" t="e">
            <v>#N/A</v>
          </cell>
          <cell r="AA2607" t="e">
            <v>#N/A</v>
          </cell>
        </row>
        <row r="2608">
          <cell r="Y2608">
            <v>57395</v>
          </cell>
          <cell r="Z2608" t="e">
            <v>#N/A</v>
          </cell>
          <cell r="AA2608" t="e">
            <v>#N/A</v>
          </cell>
        </row>
        <row r="2609">
          <cell r="Y2609">
            <v>57402</v>
          </cell>
          <cell r="Z2609" t="e">
            <v>#N/A</v>
          </cell>
          <cell r="AA2609" t="e">
            <v>#N/A</v>
          </cell>
        </row>
        <row r="2610">
          <cell r="Y2610">
            <v>57409</v>
          </cell>
          <cell r="Z2610" t="e">
            <v>#N/A</v>
          </cell>
          <cell r="AA2610" t="e">
            <v>#N/A</v>
          </cell>
        </row>
        <row r="2611">
          <cell r="Y2611">
            <v>57416</v>
          </cell>
          <cell r="Z2611" t="e">
            <v>#N/A</v>
          </cell>
          <cell r="AA2611" t="e">
            <v>#N/A</v>
          </cell>
        </row>
        <row r="2612">
          <cell r="Y2612">
            <v>57423</v>
          </cell>
          <cell r="Z2612" t="e">
            <v>#N/A</v>
          </cell>
          <cell r="AA2612" t="e">
            <v>#N/A</v>
          </cell>
        </row>
        <row r="2613">
          <cell r="Y2613">
            <v>57430</v>
          </cell>
          <cell r="Z2613" t="e">
            <v>#N/A</v>
          </cell>
          <cell r="AA2613" t="e">
            <v>#N/A</v>
          </cell>
        </row>
        <row r="2614">
          <cell r="Y2614">
            <v>57437</v>
          </cell>
          <cell r="Z2614" t="e">
            <v>#N/A</v>
          </cell>
          <cell r="AA2614" t="e">
            <v>#N/A</v>
          </cell>
        </row>
        <row r="2615">
          <cell r="Y2615">
            <v>57444</v>
          </cell>
          <cell r="Z2615" t="e">
            <v>#N/A</v>
          </cell>
          <cell r="AA2615" t="e">
            <v>#N/A</v>
          </cell>
        </row>
        <row r="2616">
          <cell r="Y2616">
            <v>57451</v>
          </cell>
          <cell r="Z2616" t="e">
            <v>#N/A</v>
          </cell>
          <cell r="AA2616" t="e">
            <v>#N/A</v>
          </cell>
        </row>
        <row r="2617">
          <cell r="Y2617">
            <v>57460</v>
          </cell>
          <cell r="Z2617" t="e">
            <v>#N/A</v>
          </cell>
          <cell r="AA2617" t="e">
            <v>#N/A</v>
          </cell>
        </row>
        <row r="2618">
          <cell r="Y2618">
            <v>57466</v>
          </cell>
          <cell r="Z2618" t="e">
            <v>#N/A</v>
          </cell>
          <cell r="AA2618" t="e">
            <v>#N/A</v>
          </cell>
        </row>
        <row r="2619">
          <cell r="Y2619">
            <v>57475</v>
          </cell>
          <cell r="Z2619" t="e">
            <v>#N/A</v>
          </cell>
          <cell r="AA2619" t="e">
            <v>#N/A</v>
          </cell>
        </row>
        <row r="2620">
          <cell r="Y2620">
            <v>57482</v>
          </cell>
          <cell r="Z2620" t="e">
            <v>#N/A</v>
          </cell>
          <cell r="AA2620" t="e">
            <v>#N/A</v>
          </cell>
        </row>
        <row r="2621">
          <cell r="Y2621">
            <v>57489</v>
          </cell>
          <cell r="Z2621" t="e">
            <v>#N/A</v>
          </cell>
          <cell r="AA2621" t="e">
            <v>#N/A</v>
          </cell>
        </row>
        <row r="2622">
          <cell r="Y2622">
            <v>57496</v>
          </cell>
          <cell r="Z2622" t="e">
            <v>#N/A</v>
          </cell>
          <cell r="AA2622" t="e">
            <v>#N/A</v>
          </cell>
        </row>
        <row r="2623">
          <cell r="Y2623">
            <v>57503</v>
          </cell>
          <cell r="Z2623" t="e">
            <v>#N/A</v>
          </cell>
          <cell r="AA2623" t="e">
            <v>#N/A</v>
          </cell>
        </row>
        <row r="2624">
          <cell r="Y2624">
            <v>57510</v>
          </cell>
          <cell r="Z2624" t="e">
            <v>#N/A</v>
          </cell>
          <cell r="AA2624" t="e">
            <v>#N/A</v>
          </cell>
        </row>
        <row r="2625">
          <cell r="Y2625">
            <v>57517</v>
          </cell>
          <cell r="Z2625" t="e">
            <v>#N/A</v>
          </cell>
          <cell r="AA2625" t="e">
            <v>#N/A</v>
          </cell>
        </row>
        <row r="2626">
          <cell r="Y2626">
            <v>57524</v>
          </cell>
          <cell r="Z2626" t="e">
            <v>#N/A</v>
          </cell>
          <cell r="AA2626" t="e">
            <v>#N/A</v>
          </cell>
        </row>
        <row r="2627">
          <cell r="Y2627">
            <v>57531</v>
          </cell>
          <cell r="Z2627" t="e">
            <v>#N/A</v>
          </cell>
          <cell r="AA2627" t="e">
            <v>#N/A</v>
          </cell>
        </row>
        <row r="2628">
          <cell r="Y2628">
            <v>57538</v>
          </cell>
          <cell r="Z2628" t="e">
            <v>#N/A</v>
          </cell>
          <cell r="AA2628" t="e">
            <v>#N/A</v>
          </cell>
        </row>
        <row r="2629">
          <cell r="Y2629">
            <v>57545</v>
          </cell>
          <cell r="Z2629" t="e">
            <v>#N/A</v>
          </cell>
          <cell r="AA2629" t="e">
            <v>#N/A</v>
          </cell>
        </row>
        <row r="2630">
          <cell r="Y2630">
            <v>57552</v>
          </cell>
          <cell r="Z2630" t="e">
            <v>#N/A</v>
          </cell>
          <cell r="AA2630" t="e">
            <v>#N/A</v>
          </cell>
        </row>
        <row r="2631">
          <cell r="Y2631">
            <v>57559</v>
          </cell>
          <cell r="Z2631" t="e">
            <v>#N/A</v>
          </cell>
          <cell r="AA2631" t="e">
            <v>#N/A</v>
          </cell>
        </row>
        <row r="2632">
          <cell r="Y2632">
            <v>57566</v>
          </cell>
          <cell r="Z2632" t="e">
            <v>#N/A</v>
          </cell>
          <cell r="AA2632" t="e">
            <v>#N/A</v>
          </cell>
        </row>
        <row r="2633">
          <cell r="Y2633">
            <v>57573</v>
          </cell>
          <cell r="Z2633" t="e">
            <v>#N/A</v>
          </cell>
          <cell r="AA2633" t="e">
            <v>#N/A</v>
          </cell>
        </row>
        <row r="2634">
          <cell r="Y2634">
            <v>57580</v>
          </cell>
          <cell r="Z2634" t="e">
            <v>#N/A</v>
          </cell>
          <cell r="AA2634" t="e">
            <v>#N/A</v>
          </cell>
        </row>
        <row r="2635">
          <cell r="Y2635">
            <v>57587</v>
          </cell>
          <cell r="Z2635" t="e">
            <v>#N/A</v>
          </cell>
          <cell r="AA2635" t="e">
            <v>#N/A</v>
          </cell>
        </row>
        <row r="2636">
          <cell r="Y2636">
            <v>57594</v>
          </cell>
          <cell r="Z2636" t="e">
            <v>#N/A</v>
          </cell>
          <cell r="AA2636" t="e">
            <v>#N/A</v>
          </cell>
        </row>
        <row r="2637">
          <cell r="Y2637">
            <v>57601</v>
          </cell>
          <cell r="Z2637" t="e">
            <v>#N/A</v>
          </cell>
          <cell r="AA2637" t="e">
            <v>#N/A</v>
          </cell>
        </row>
        <row r="2638">
          <cell r="Y2638">
            <v>57608</v>
          </cell>
          <cell r="Z2638" t="e">
            <v>#N/A</v>
          </cell>
          <cell r="AA2638" t="e">
            <v>#N/A</v>
          </cell>
        </row>
        <row r="2639">
          <cell r="Y2639">
            <v>57615</v>
          </cell>
          <cell r="Z2639" t="e">
            <v>#N/A</v>
          </cell>
          <cell r="AA2639" t="e">
            <v>#N/A</v>
          </cell>
        </row>
        <row r="2640">
          <cell r="Y2640">
            <v>57622</v>
          </cell>
          <cell r="Z2640" t="e">
            <v>#N/A</v>
          </cell>
          <cell r="AA2640" t="e">
            <v>#N/A</v>
          </cell>
        </row>
        <row r="2641">
          <cell r="Y2641">
            <v>57629</v>
          </cell>
          <cell r="Z2641" t="e">
            <v>#N/A</v>
          </cell>
          <cell r="AA2641" t="e">
            <v>#N/A</v>
          </cell>
        </row>
        <row r="2642">
          <cell r="Y2642">
            <v>57636</v>
          </cell>
          <cell r="Z2642" t="e">
            <v>#N/A</v>
          </cell>
          <cell r="AA2642" t="e">
            <v>#N/A</v>
          </cell>
        </row>
        <row r="2643">
          <cell r="Y2643">
            <v>57643</v>
          </cell>
          <cell r="Z2643" t="e">
            <v>#N/A</v>
          </cell>
          <cell r="AA2643" t="e">
            <v>#N/A</v>
          </cell>
        </row>
        <row r="2644">
          <cell r="Y2644">
            <v>57650</v>
          </cell>
          <cell r="Z2644" t="e">
            <v>#N/A</v>
          </cell>
          <cell r="AA2644" t="e">
            <v>#N/A</v>
          </cell>
        </row>
        <row r="2645">
          <cell r="Y2645">
            <v>57657</v>
          </cell>
          <cell r="Z2645" t="e">
            <v>#N/A</v>
          </cell>
          <cell r="AA2645" t="e">
            <v>#N/A</v>
          </cell>
        </row>
        <row r="2646">
          <cell r="Y2646">
            <v>57664</v>
          </cell>
          <cell r="Z2646" t="e">
            <v>#N/A</v>
          </cell>
          <cell r="AA2646" t="e">
            <v>#N/A</v>
          </cell>
        </row>
        <row r="2647">
          <cell r="Y2647">
            <v>57671</v>
          </cell>
          <cell r="Z2647" t="e">
            <v>#N/A</v>
          </cell>
          <cell r="AA2647" t="e">
            <v>#N/A</v>
          </cell>
        </row>
        <row r="2648">
          <cell r="Y2648">
            <v>57678</v>
          </cell>
          <cell r="Z2648" t="e">
            <v>#N/A</v>
          </cell>
          <cell r="AA2648" t="e">
            <v>#N/A</v>
          </cell>
        </row>
        <row r="2649">
          <cell r="Y2649">
            <v>57685</v>
          </cell>
          <cell r="Z2649" t="e">
            <v>#N/A</v>
          </cell>
          <cell r="AA2649" t="e">
            <v>#N/A</v>
          </cell>
        </row>
        <row r="2650">
          <cell r="Y2650">
            <v>57692</v>
          </cell>
          <cell r="Z2650" t="e">
            <v>#N/A</v>
          </cell>
          <cell r="AA2650" t="e">
            <v>#N/A</v>
          </cell>
        </row>
        <row r="2651">
          <cell r="Y2651">
            <v>57699</v>
          </cell>
          <cell r="Z2651" t="e">
            <v>#N/A</v>
          </cell>
          <cell r="AA2651" t="e">
            <v>#N/A</v>
          </cell>
        </row>
        <row r="2652">
          <cell r="Y2652">
            <v>57714</v>
          </cell>
          <cell r="Z2652" t="e">
            <v>#N/A</v>
          </cell>
          <cell r="AA2652" t="e">
            <v>#N/A</v>
          </cell>
        </row>
        <row r="2653">
          <cell r="Y2653">
            <v>57718</v>
          </cell>
          <cell r="Z2653" t="e">
            <v>#N/A</v>
          </cell>
          <cell r="AA2653" t="e">
            <v>#N/A</v>
          </cell>
        </row>
        <row r="2654">
          <cell r="Y2654">
            <v>57726</v>
          </cell>
          <cell r="Z2654" t="e">
            <v>#N/A</v>
          </cell>
          <cell r="AA2654" t="e">
            <v>#N/A</v>
          </cell>
        </row>
        <row r="2655">
          <cell r="Y2655">
            <v>57732</v>
          </cell>
          <cell r="Z2655" t="e">
            <v>#N/A</v>
          </cell>
          <cell r="AA2655" t="e">
            <v>#N/A</v>
          </cell>
        </row>
        <row r="2656">
          <cell r="Y2656">
            <v>57739</v>
          </cell>
          <cell r="Z2656" t="e">
            <v>#N/A</v>
          </cell>
          <cell r="AA2656" t="e">
            <v>#N/A</v>
          </cell>
        </row>
        <row r="2657">
          <cell r="Y2657">
            <v>57746</v>
          </cell>
          <cell r="Z2657" t="e">
            <v>#N/A</v>
          </cell>
          <cell r="AA2657" t="e">
            <v>#N/A</v>
          </cell>
        </row>
        <row r="2658">
          <cell r="Y2658">
            <v>57754</v>
          </cell>
          <cell r="Z2658" t="e">
            <v>#N/A</v>
          </cell>
          <cell r="AA2658" t="e">
            <v>#N/A</v>
          </cell>
        </row>
        <row r="2659">
          <cell r="Y2659">
            <v>57760</v>
          </cell>
          <cell r="Z2659" t="e">
            <v>#N/A</v>
          </cell>
          <cell r="AA2659" t="e">
            <v>#N/A</v>
          </cell>
        </row>
        <row r="2660">
          <cell r="Y2660">
            <v>57767</v>
          </cell>
          <cell r="Z2660" t="e">
            <v>#N/A</v>
          </cell>
          <cell r="AA2660" t="e">
            <v>#N/A</v>
          </cell>
        </row>
        <row r="2661">
          <cell r="Y2661">
            <v>57774</v>
          </cell>
          <cell r="Z2661" t="e">
            <v>#N/A</v>
          </cell>
          <cell r="AA2661" t="e">
            <v>#N/A</v>
          </cell>
        </row>
        <row r="2662">
          <cell r="Y2662">
            <v>57781</v>
          </cell>
          <cell r="Z2662" t="e">
            <v>#N/A</v>
          </cell>
          <cell r="AA2662" t="e">
            <v>#N/A</v>
          </cell>
        </row>
        <row r="2663">
          <cell r="Y2663">
            <v>57788</v>
          </cell>
          <cell r="Z2663" t="e">
            <v>#N/A</v>
          </cell>
          <cell r="AA2663" t="e">
            <v>#N/A</v>
          </cell>
        </row>
        <row r="2664">
          <cell r="Y2664">
            <v>57795</v>
          </cell>
          <cell r="Z2664" t="e">
            <v>#N/A</v>
          </cell>
          <cell r="AA2664" t="e">
            <v>#N/A</v>
          </cell>
        </row>
        <row r="2665">
          <cell r="Y2665">
            <v>57802</v>
          </cell>
          <cell r="Z2665" t="e">
            <v>#N/A</v>
          </cell>
          <cell r="AA2665" t="e">
            <v>#N/A</v>
          </cell>
        </row>
        <row r="2666">
          <cell r="Y2666">
            <v>57809</v>
          </cell>
          <cell r="Z2666" t="e">
            <v>#N/A</v>
          </cell>
          <cell r="AA2666" t="e">
            <v>#N/A</v>
          </cell>
        </row>
        <row r="2667">
          <cell r="Y2667">
            <v>57818</v>
          </cell>
          <cell r="Z2667" t="e">
            <v>#N/A</v>
          </cell>
          <cell r="AA2667" t="e">
            <v>#N/A</v>
          </cell>
        </row>
        <row r="2668">
          <cell r="Y2668">
            <v>57825</v>
          </cell>
          <cell r="Z2668" t="e">
            <v>#N/A</v>
          </cell>
          <cell r="AA2668" t="e">
            <v>#N/A</v>
          </cell>
        </row>
        <row r="2669">
          <cell r="Y2669">
            <v>57832</v>
          </cell>
          <cell r="Z2669" t="e">
            <v>#N/A</v>
          </cell>
          <cell r="AA2669" t="e">
            <v>#N/A</v>
          </cell>
        </row>
        <row r="2670">
          <cell r="Y2670">
            <v>57839</v>
          </cell>
          <cell r="Z2670" t="e">
            <v>#N/A</v>
          </cell>
          <cell r="AA2670" t="e">
            <v>#N/A</v>
          </cell>
        </row>
        <row r="2671">
          <cell r="Y2671">
            <v>57846</v>
          </cell>
          <cell r="Z2671" t="e">
            <v>#N/A</v>
          </cell>
          <cell r="AA2671" t="e">
            <v>#N/A</v>
          </cell>
        </row>
        <row r="2672">
          <cell r="Y2672">
            <v>57853</v>
          </cell>
          <cell r="Z2672" t="e">
            <v>#N/A</v>
          </cell>
          <cell r="AA2672" t="e">
            <v>#N/A</v>
          </cell>
        </row>
        <row r="2673">
          <cell r="Y2673">
            <v>57860</v>
          </cell>
          <cell r="Z2673" t="e">
            <v>#N/A</v>
          </cell>
          <cell r="AA2673" t="e">
            <v>#N/A</v>
          </cell>
        </row>
        <row r="2674">
          <cell r="Y2674">
            <v>57867</v>
          </cell>
          <cell r="Z2674" t="e">
            <v>#N/A</v>
          </cell>
          <cell r="AA2674" t="e">
            <v>#N/A</v>
          </cell>
        </row>
        <row r="2675">
          <cell r="Y2675">
            <v>57874</v>
          </cell>
          <cell r="Z2675" t="e">
            <v>#N/A</v>
          </cell>
          <cell r="AA2675" t="e">
            <v>#N/A</v>
          </cell>
        </row>
        <row r="2676">
          <cell r="Y2676">
            <v>57881</v>
          </cell>
          <cell r="Z2676" t="e">
            <v>#N/A</v>
          </cell>
          <cell r="AA2676" t="e">
            <v>#N/A</v>
          </cell>
        </row>
        <row r="2677">
          <cell r="Y2677">
            <v>57888</v>
          </cell>
          <cell r="Z2677" t="e">
            <v>#N/A</v>
          </cell>
          <cell r="AA2677" t="e">
            <v>#N/A</v>
          </cell>
        </row>
        <row r="2678">
          <cell r="Y2678">
            <v>57895</v>
          </cell>
          <cell r="Z2678" t="e">
            <v>#N/A</v>
          </cell>
          <cell r="AA2678" t="e">
            <v>#N/A</v>
          </cell>
        </row>
        <row r="2679">
          <cell r="Y2679">
            <v>57902</v>
          </cell>
          <cell r="Z2679" t="e">
            <v>#N/A</v>
          </cell>
          <cell r="AA2679" t="e">
            <v>#N/A</v>
          </cell>
        </row>
        <row r="2680">
          <cell r="Y2680">
            <v>57909</v>
          </cell>
          <cell r="Z2680" t="e">
            <v>#N/A</v>
          </cell>
          <cell r="AA2680" t="e">
            <v>#N/A</v>
          </cell>
        </row>
        <row r="2681">
          <cell r="Y2681">
            <v>57916</v>
          </cell>
          <cell r="Z2681" t="e">
            <v>#N/A</v>
          </cell>
          <cell r="AA2681" t="e">
            <v>#N/A</v>
          </cell>
        </row>
        <row r="2682">
          <cell r="Y2682">
            <v>57923</v>
          </cell>
          <cell r="Z2682" t="e">
            <v>#N/A</v>
          </cell>
          <cell r="AA2682" t="e">
            <v>#N/A</v>
          </cell>
        </row>
        <row r="2683">
          <cell r="Y2683">
            <v>57930</v>
          </cell>
          <cell r="Z2683" t="e">
            <v>#N/A</v>
          </cell>
          <cell r="AA2683" t="e">
            <v>#N/A</v>
          </cell>
        </row>
        <row r="2684">
          <cell r="Y2684">
            <v>57937</v>
          </cell>
          <cell r="Z2684" t="e">
            <v>#N/A</v>
          </cell>
          <cell r="AA2684" t="e">
            <v>#N/A</v>
          </cell>
        </row>
        <row r="2685">
          <cell r="Y2685">
            <v>57944</v>
          </cell>
          <cell r="Z2685" t="e">
            <v>#N/A</v>
          </cell>
          <cell r="AA2685" t="e">
            <v>#N/A</v>
          </cell>
        </row>
        <row r="2686">
          <cell r="Y2686">
            <v>57951</v>
          </cell>
          <cell r="Z2686" t="e">
            <v>#N/A</v>
          </cell>
          <cell r="AA2686" t="e">
            <v>#N/A</v>
          </cell>
        </row>
        <row r="2687">
          <cell r="Y2687">
            <v>57958</v>
          </cell>
          <cell r="Z2687" t="e">
            <v>#N/A</v>
          </cell>
          <cell r="AA2687" t="e">
            <v>#N/A</v>
          </cell>
        </row>
        <row r="2688">
          <cell r="Y2688">
            <v>57965</v>
          </cell>
          <cell r="Z2688" t="e">
            <v>#N/A</v>
          </cell>
          <cell r="AA2688" t="e">
            <v>#N/A</v>
          </cell>
        </row>
        <row r="2689">
          <cell r="Y2689">
            <v>57972</v>
          </cell>
          <cell r="Z2689" t="e">
            <v>#N/A</v>
          </cell>
          <cell r="AA2689" t="e">
            <v>#N/A</v>
          </cell>
        </row>
        <row r="2690">
          <cell r="Y2690">
            <v>57979</v>
          </cell>
          <cell r="Z2690" t="e">
            <v>#N/A</v>
          </cell>
          <cell r="AA2690" t="e">
            <v>#N/A</v>
          </cell>
        </row>
        <row r="2691">
          <cell r="Y2691">
            <v>57986</v>
          </cell>
          <cell r="Z2691" t="e">
            <v>#N/A</v>
          </cell>
          <cell r="AA2691" t="e">
            <v>#N/A</v>
          </cell>
        </row>
        <row r="2692">
          <cell r="Y2692">
            <v>57993</v>
          </cell>
          <cell r="Z2692" t="e">
            <v>#N/A</v>
          </cell>
          <cell r="AA2692" t="e">
            <v>#N/A</v>
          </cell>
        </row>
        <row r="2693">
          <cell r="Y2693">
            <v>58000</v>
          </cell>
          <cell r="Z2693" t="e">
            <v>#N/A</v>
          </cell>
          <cell r="AA2693" t="e">
            <v>#N/A</v>
          </cell>
        </row>
        <row r="2694">
          <cell r="Y2694">
            <v>58007</v>
          </cell>
          <cell r="Z2694" t="e">
            <v>#N/A</v>
          </cell>
          <cell r="AA2694" t="e">
            <v>#N/A</v>
          </cell>
        </row>
        <row r="2695">
          <cell r="Y2695">
            <v>58014</v>
          </cell>
          <cell r="Z2695" t="e">
            <v>#N/A</v>
          </cell>
          <cell r="AA2695" t="e">
            <v>#N/A</v>
          </cell>
        </row>
        <row r="2696">
          <cell r="Y2696">
            <v>58021</v>
          </cell>
          <cell r="Z2696" t="e">
            <v>#N/A</v>
          </cell>
          <cell r="AA2696" t="e">
            <v>#N/A</v>
          </cell>
        </row>
        <row r="2697">
          <cell r="Y2697">
            <v>58028</v>
          </cell>
          <cell r="Z2697" t="e">
            <v>#N/A</v>
          </cell>
          <cell r="AA2697" t="e">
            <v>#N/A</v>
          </cell>
        </row>
        <row r="2698">
          <cell r="Y2698">
            <v>58035</v>
          </cell>
          <cell r="Z2698" t="e">
            <v>#N/A</v>
          </cell>
          <cell r="AA2698" t="e">
            <v>#N/A</v>
          </cell>
        </row>
        <row r="2699">
          <cell r="Y2699">
            <v>58042</v>
          </cell>
          <cell r="Z2699" t="e">
            <v>#N/A</v>
          </cell>
          <cell r="AA2699" t="e">
            <v>#N/A</v>
          </cell>
        </row>
        <row r="2700">
          <cell r="Y2700">
            <v>58049</v>
          </cell>
          <cell r="Z2700" t="e">
            <v>#N/A</v>
          </cell>
          <cell r="AA2700" t="e">
            <v>#N/A</v>
          </cell>
        </row>
        <row r="2701">
          <cell r="Y2701">
            <v>58056</v>
          </cell>
          <cell r="Z2701" t="e">
            <v>#N/A</v>
          </cell>
          <cell r="AA2701" t="e">
            <v>#N/A</v>
          </cell>
        </row>
        <row r="2702">
          <cell r="Y2702">
            <v>58063</v>
          </cell>
          <cell r="Z2702" t="e">
            <v>#N/A</v>
          </cell>
          <cell r="AA2702" t="e">
            <v>#N/A</v>
          </cell>
        </row>
        <row r="2703">
          <cell r="Y2703">
            <v>58074</v>
          </cell>
          <cell r="Z2703" t="e">
            <v>#N/A</v>
          </cell>
          <cell r="AA2703" t="e">
            <v>#N/A</v>
          </cell>
        </row>
        <row r="2704">
          <cell r="Y2704">
            <v>58083</v>
          </cell>
          <cell r="Z2704" t="e">
            <v>#N/A</v>
          </cell>
          <cell r="AA2704" t="e">
            <v>#N/A</v>
          </cell>
        </row>
        <row r="2705">
          <cell r="Y2705">
            <v>58091</v>
          </cell>
          <cell r="Z2705" t="e">
            <v>#N/A</v>
          </cell>
          <cell r="AA2705" t="e">
            <v>#N/A</v>
          </cell>
        </row>
        <row r="2706">
          <cell r="Y2706">
            <v>58098</v>
          </cell>
          <cell r="Z2706" t="e">
            <v>#N/A</v>
          </cell>
          <cell r="AA2706" t="e">
            <v>#N/A</v>
          </cell>
        </row>
        <row r="2707">
          <cell r="Y2707">
            <v>58105</v>
          </cell>
          <cell r="Z2707" t="e">
            <v>#N/A</v>
          </cell>
          <cell r="AA2707" t="e">
            <v>#N/A</v>
          </cell>
        </row>
        <row r="2708">
          <cell r="Y2708">
            <v>58112</v>
          </cell>
          <cell r="Z2708" t="e">
            <v>#N/A</v>
          </cell>
          <cell r="AA2708" t="e">
            <v>#N/A</v>
          </cell>
        </row>
        <row r="2709">
          <cell r="Y2709">
            <v>58120</v>
          </cell>
          <cell r="Z2709" t="e">
            <v>#N/A</v>
          </cell>
          <cell r="AA2709" t="e">
            <v>#N/A</v>
          </cell>
        </row>
        <row r="2710">
          <cell r="Y2710">
            <v>58127</v>
          </cell>
          <cell r="Z2710" t="e">
            <v>#N/A</v>
          </cell>
          <cell r="AA2710" t="e">
            <v>#N/A</v>
          </cell>
        </row>
        <row r="2711">
          <cell r="Y2711">
            <v>58134</v>
          </cell>
          <cell r="Z2711" t="e">
            <v>#N/A</v>
          </cell>
          <cell r="AA2711" t="e">
            <v>#N/A</v>
          </cell>
        </row>
        <row r="2712">
          <cell r="Y2712">
            <v>58141</v>
          </cell>
          <cell r="Z2712" t="e">
            <v>#N/A</v>
          </cell>
          <cell r="AA2712" t="e">
            <v>#N/A</v>
          </cell>
        </row>
        <row r="2713">
          <cell r="Y2713">
            <v>58148</v>
          </cell>
          <cell r="Z2713" t="e">
            <v>#N/A</v>
          </cell>
          <cell r="AA2713" t="e">
            <v>#N/A</v>
          </cell>
        </row>
        <row r="2714">
          <cell r="Y2714">
            <v>58158</v>
          </cell>
          <cell r="Z2714" t="e">
            <v>#N/A</v>
          </cell>
          <cell r="AA2714" t="e">
            <v>#N/A</v>
          </cell>
        </row>
        <row r="2715">
          <cell r="Y2715">
            <v>58166</v>
          </cell>
          <cell r="Z2715" t="e">
            <v>#N/A</v>
          </cell>
          <cell r="AA2715" t="e">
            <v>#N/A</v>
          </cell>
        </row>
        <row r="2716">
          <cell r="Y2716">
            <v>58169</v>
          </cell>
          <cell r="Z2716" t="e">
            <v>#N/A</v>
          </cell>
          <cell r="AA2716" t="e">
            <v>#N/A</v>
          </cell>
        </row>
        <row r="2717">
          <cell r="Y2717">
            <v>58176</v>
          </cell>
          <cell r="Z2717" t="e">
            <v>#N/A</v>
          </cell>
          <cell r="AA2717" t="e">
            <v>#N/A</v>
          </cell>
        </row>
        <row r="2718">
          <cell r="Y2718">
            <v>58183</v>
          </cell>
          <cell r="Z2718" t="e">
            <v>#N/A</v>
          </cell>
          <cell r="AA2718" t="e">
            <v>#N/A</v>
          </cell>
        </row>
        <row r="2719">
          <cell r="Y2719">
            <v>58190</v>
          </cell>
          <cell r="Z2719" t="e">
            <v>#N/A</v>
          </cell>
          <cell r="AA2719" t="e">
            <v>#N/A</v>
          </cell>
        </row>
        <row r="2720">
          <cell r="Y2720">
            <v>58197</v>
          </cell>
          <cell r="Z2720" t="e">
            <v>#N/A</v>
          </cell>
          <cell r="AA2720" t="e">
            <v>#N/A</v>
          </cell>
        </row>
        <row r="2721">
          <cell r="Y2721">
            <v>58204</v>
          </cell>
          <cell r="Z2721" t="e">
            <v>#N/A</v>
          </cell>
          <cell r="AA2721" t="e">
            <v>#N/A</v>
          </cell>
        </row>
        <row r="2722">
          <cell r="Y2722">
            <v>58211</v>
          </cell>
          <cell r="Z2722" t="e">
            <v>#N/A</v>
          </cell>
          <cell r="AA2722" t="e">
            <v>#N/A</v>
          </cell>
        </row>
        <row r="2723">
          <cell r="Y2723">
            <v>58218</v>
          </cell>
          <cell r="Z2723" t="e">
            <v>#N/A</v>
          </cell>
          <cell r="AA2723" t="e">
            <v>#N/A</v>
          </cell>
        </row>
        <row r="2724">
          <cell r="Y2724">
            <v>58225</v>
          </cell>
          <cell r="Z2724" t="e">
            <v>#N/A</v>
          </cell>
          <cell r="AA2724" t="e">
            <v>#N/A</v>
          </cell>
        </row>
        <row r="2725">
          <cell r="Y2725">
            <v>58232</v>
          </cell>
          <cell r="Z2725" t="e">
            <v>#N/A</v>
          </cell>
          <cell r="AA2725" t="e">
            <v>#N/A</v>
          </cell>
        </row>
        <row r="2726">
          <cell r="Y2726">
            <v>58239</v>
          </cell>
          <cell r="Z2726" t="e">
            <v>#N/A</v>
          </cell>
          <cell r="AA2726" t="e">
            <v>#N/A</v>
          </cell>
        </row>
        <row r="2727">
          <cell r="Y2727">
            <v>58246</v>
          </cell>
          <cell r="Z2727" t="e">
            <v>#N/A</v>
          </cell>
          <cell r="AA2727" t="e">
            <v>#N/A</v>
          </cell>
        </row>
        <row r="2728">
          <cell r="Y2728">
            <v>58253</v>
          </cell>
          <cell r="Z2728" t="e">
            <v>#N/A</v>
          </cell>
          <cell r="AA2728" t="e">
            <v>#N/A</v>
          </cell>
        </row>
        <row r="2729">
          <cell r="Y2729">
            <v>58260</v>
          </cell>
          <cell r="Z2729" t="e">
            <v>#N/A</v>
          </cell>
          <cell r="AA2729" t="e">
            <v>#N/A</v>
          </cell>
        </row>
        <row r="2730">
          <cell r="Y2730">
            <v>58267</v>
          </cell>
          <cell r="Z2730" t="e">
            <v>#N/A</v>
          </cell>
          <cell r="AA2730" t="e">
            <v>#N/A</v>
          </cell>
        </row>
        <row r="2731">
          <cell r="Y2731">
            <v>58274</v>
          </cell>
          <cell r="Z2731" t="e">
            <v>#N/A</v>
          </cell>
          <cell r="AA2731" t="e">
            <v>#N/A</v>
          </cell>
        </row>
        <row r="2732">
          <cell r="Y2732">
            <v>58281</v>
          </cell>
          <cell r="Z2732" t="e">
            <v>#N/A</v>
          </cell>
          <cell r="AA2732" t="e">
            <v>#N/A</v>
          </cell>
        </row>
        <row r="2733">
          <cell r="Y2733">
            <v>58288</v>
          </cell>
          <cell r="Z2733" t="e">
            <v>#N/A</v>
          </cell>
          <cell r="AA2733" t="e">
            <v>#N/A</v>
          </cell>
        </row>
        <row r="2734">
          <cell r="Y2734">
            <v>58295</v>
          </cell>
          <cell r="Z2734" t="e">
            <v>#N/A</v>
          </cell>
          <cell r="AA2734" t="e">
            <v>#N/A</v>
          </cell>
        </row>
        <row r="2735">
          <cell r="Y2735">
            <v>58302</v>
          </cell>
          <cell r="Z2735" t="e">
            <v>#N/A</v>
          </cell>
          <cell r="AA2735" t="e">
            <v>#N/A</v>
          </cell>
        </row>
        <row r="2736">
          <cell r="Y2736">
            <v>58309</v>
          </cell>
          <cell r="Z2736" t="e">
            <v>#N/A</v>
          </cell>
          <cell r="AA2736" t="e">
            <v>#N/A</v>
          </cell>
        </row>
        <row r="2737">
          <cell r="Y2737">
            <v>58316</v>
          </cell>
          <cell r="Z2737" t="e">
            <v>#N/A</v>
          </cell>
          <cell r="AA2737" t="e">
            <v>#N/A</v>
          </cell>
        </row>
        <row r="2738">
          <cell r="Y2738">
            <v>58323</v>
          </cell>
          <cell r="Z2738" t="e">
            <v>#N/A</v>
          </cell>
          <cell r="AA2738" t="e">
            <v>#N/A</v>
          </cell>
        </row>
        <row r="2739">
          <cell r="Y2739">
            <v>58330</v>
          </cell>
          <cell r="Z2739" t="e">
            <v>#N/A</v>
          </cell>
          <cell r="AA2739" t="e">
            <v>#N/A</v>
          </cell>
        </row>
        <row r="2740">
          <cell r="Y2740">
            <v>58337</v>
          </cell>
          <cell r="Z2740" t="e">
            <v>#N/A</v>
          </cell>
          <cell r="AA2740" t="e">
            <v>#N/A</v>
          </cell>
        </row>
        <row r="2741">
          <cell r="Y2741">
            <v>58344</v>
          </cell>
          <cell r="Z2741" t="e">
            <v>#N/A</v>
          </cell>
          <cell r="AA2741" t="e">
            <v>#N/A</v>
          </cell>
        </row>
        <row r="2742">
          <cell r="Y2742">
            <v>58351</v>
          </cell>
          <cell r="Z2742" t="e">
            <v>#N/A</v>
          </cell>
          <cell r="AA2742" t="e">
            <v>#N/A</v>
          </cell>
        </row>
        <row r="2743">
          <cell r="Y2743">
            <v>58358</v>
          </cell>
          <cell r="Z2743" t="e">
            <v>#N/A</v>
          </cell>
          <cell r="AA2743" t="e">
            <v>#N/A</v>
          </cell>
        </row>
        <row r="2744">
          <cell r="Y2744">
            <v>58365</v>
          </cell>
          <cell r="Z2744" t="e">
            <v>#N/A</v>
          </cell>
          <cell r="AA2744" t="e">
            <v>#N/A</v>
          </cell>
        </row>
        <row r="2745">
          <cell r="Y2745">
            <v>58372</v>
          </cell>
          <cell r="Z2745" t="e">
            <v>#N/A</v>
          </cell>
          <cell r="AA2745" t="e">
            <v>#N/A</v>
          </cell>
        </row>
        <row r="2746">
          <cell r="Y2746">
            <v>58379</v>
          </cell>
          <cell r="Z2746" t="e">
            <v>#N/A</v>
          </cell>
          <cell r="AA2746" t="e">
            <v>#N/A</v>
          </cell>
        </row>
        <row r="2747">
          <cell r="Y2747">
            <v>58386</v>
          </cell>
          <cell r="Z2747" t="e">
            <v>#N/A</v>
          </cell>
          <cell r="AA2747" t="e">
            <v>#N/A</v>
          </cell>
        </row>
        <row r="2748">
          <cell r="Y2748">
            <v>58393</v>
          </cell>
          <cell r="Z2748" t="e">
            <v>#N/A</v>
          </cell>
          <cell r="AA2748" t="e">
            <v>#N/A</v>
          </cell>
        </row>
        <row r="2749">
          <cell r="Y2749">
            <v>58400</v>
          </cell>
          <cell r="Z2749" t="e">
            <v>#N/A</v>
          </cell>
          <cell r="AA2749" t="e">
            <v>#N/A</v>
          </cell>
        </row>
        <row r="2750">
          <cell r="Y2750">
            <v>58407</v>
          </cell>
          <cell r="Z2750" t="e">
            <v>#N/A</v>
          </cell>
          <cell r="AA2750" t="e">
            <v>#N/A</v>
          </cell>
        </row>
        <row r="2751">
          <cell r="Y2751">
            <v>58414</v>
          </cell>
          <cell r="Z2751" t="e">
            <v>#N/A</v>
          </cell>
          <cell r="AA2751" t="e">
            <v>#N/A</v>
          </cell>
        </row>
        <row r="2752">
          <cell r="Y2752">
            <v>58421</v>
          </cell>
          <cell r="Z2752" t="e">
            <v>#N/A</v>
          </cell>
          <cell r="AA2752" t="e">
            <v>#N/A</v>
          </cell>
        </row>
        <row r="2753">
          <cell r="Y2753">
            <v>58428</v>
          </cell>
          <cell r="Z2753" t="e">
            <v>#N/A</v>
          </cell>
          <cell r="AA2753" t="e">
            <v>#N/A</v>
          </cell>
        </row>
        <row r="2754">
          <cell r="Y2754">
            <v>58439</v>
          </cell>
          <cell r="Z2754" t="e">
            <v>#N/A</v>
          </cell>
          <cell r="AA2754" t="e">
            <v>#N/A</v>
          </cell>
        </row>
        <row r="2755">
          <cell r="Y2755">
            <v>58447</v>
          </cell>
          <cell r="Z2755" t="e">
            <v>#N/A</v>
          </cell>
          <cell r="AA2755" t="e">
            <v>#N/A</v>
          </cell>
        </row>
        <row r="2756">
          <cell r="Y2756">
            <v>58455</v>
          </cell>
          <cell r="Z2756" t="e">
            <v>#N/A</v>
          </cell>
          <cell r="AA2756" t="e">
            <v>#N/A</v>
          </cell>
        </row>
        <row r="2757">
          <cell r="Y2757">
            <v>58462</v>
          </cell>
          <cell r="Z2757" t="e">
            <v>#N/A</v>
          </cell>
          <cell r="AA2757" t="e">
            <v>#N/A</v>
          </cell>
        </row>
        <row r="2758">
          <cell r="Y2758">
            <v>58469</v>
          </cell>
          <cell r="Z2758" t="e">
            <v>#N/A</v>
          </cell>
          <cell r="AA2758" t="e">
            <v>#N/A</v>
          </cell>
        </row>
        <row r="2759">
          <cell r="Y2759">
            <v>58476</v>
          </cell>
          <cell r="Z2759" t="e">
            <v>#N/A</v>
          </cell>
          <cell r="AA2759" t="e">
            <v>#N/A</v>
          </cell>
        </row>
        <row r="2760">
          <cell r="Y2760">
            <v>58484</v>
          </cell>
          <cell r="Z2760" t="e">
            <v>#N/A</v>
          </cell>
          <cell r="AA2760" t="e">
            <v>#N/A</v>
          </cell>
        </row>
        <row r="2761">
          <cell r="Y2761">
            <v>58490</v>
          </cell>
          <cell r="Z2761" t="e">
            <v>#N/A</v>
          </cell>
          <cell r="AA2761" t="e">
            <v>#N/A</v>
          </cell>
        </row>
        <row r="2762">
          <cell r="Y2762">
            <v>58497</v>
          </cell>
          <cell r="Z2762" t="e">
            <v>#N/A</v>
          </cell>
          <cell r="AA2762" t="e">
            <v>#N/A</v>
          </cell>
        </row>
        <row r="2763">
          <cell r="Y2763">
            <v>58504</v>
          </cell>
          <cell r="Z2763" t="e">
            <v>#N/A</v>
          </cell>
          <cell r="AA2763" t="e">
            <v>#N/A</v>
          </cell>
        </row>
        <row r="2764">
          <cell r="Y2764">
            <v>58511</v>
          </cell>
          <cell r="Z2764" t="e">
            <v>#N/A</v>
          </cell>
          <cell r="AA2764" t="e">
            <v>#N/A</v>
          </cell>
        </row>
        <row r="2765">
          <cell r="Y2765">
            <v>58518</v>
          </cell>
          <cell r="Z2765" t="e">
            <v>#N/A</v>
          </cell>
          <cell r="AA2765" t="e">
            <v>#N/A</v>
          </cell>
        </row>
        <row r="2766">
          <cell r="Y2766">
            <v>58525</v>
          </cell>
          <cell r="Z2766" t="e">
            <v>#N/A</v>
          </cell>
          <cell r="AA2766" t="e">
            <v>#N/A</v>
          </cell>
        </row>
        <row r="2767">
          <cell r="Y2767">
            <v>58532</v>
          </cell>
          <cell r="Z2767" t="e">
            <v>#N/A</v>
          </cell>
          <cell r="AA2767" t="e">
            <v>#N/A</v>
          </cell>
        </row>
        <row r="2768">
          <cell r="Y2768">
            <v>58539</v>
          </cell>
          <cell r="Z2768" t="e">
            <v>#N/A</v>
          </cell>
          <cell r="AA2768" t="e">
            <v>#N/A</v>
          </cell>
        </row>
        <row r="2769">
          <cell r="Y2769">
            <v>58546</v>
          </cell>
          <cell r="Z2769" t="e">
            <v>#N/A</v>
          </cell>
          <cell r="AA2769" t="e">
            <v>#N/A</v>
          </cell>
        </row>
        <row r="2770">
          <cell r="Y2770">
            <v>58553</v>
          </cell>
          <cell r="Z2770" t="e">
            <v>#N/A</v>
          </cell>
          <cell r="AA2770" t="e">
            <v>#N/A</v>
          </cell>
        </row>
        <row r="2771">
          <cell r="Y2771">
            <v>58561</v>
          </cell>
          <cell r="Z2771" t="e">
            <v>#N/A</v>
          </cell>
          <cell r="AA2771" t="e">
            <v>#N/A</v>
          </cell>
        </row>
        <row r="2772">
          <cell r="Y2772">
            <v>58571</v>
          </cell>
          <cell r="Z2772" t="e">
            <v>#N/A</v>
          </cell>
          <cell r="AA2772" t="e">
            <v>#N/A</v>
          </cell>
        </row>
        <row r="2773">
          <cell r="Y2773">
            <v>58578</v>
          </cell>
          <cell r="Z2773" t="e">
            <v>#N/A</v>
          </cell>
          <cell r="AA2773" t="e">
            <v>#N/A</v>
          </cell>
        </row>
        <row r="2774">
          <cell r="Y2774">
            <v>58585</v>
          </cell>
          <cell r="Z2774" t="e">
            <v>#N/A</v>
          </cell>
          <cell r="AA2774" t="e">
            <v>#N/A</v>
          </cell>
        </row>
        <row r="2775">
          <cell r="Y2775">
            <v>58593</v>
          </cell>
          <cell r="Z2775" t="e">
            <v>#N/A</v>
          </cell>
          <cell r="AA2775" t="e">
            <v>#N/A</v>
          </cell>
        </row>
        <row r="2776">
          <cell r="Y2776">
            <v>58599</v>
          </cell>
          <cell r="Z2776" t="e">
            <v>#N/A</v>
          </cell>
          <cell r="AA2776" t="e">
            <v>#N/A</v>
          </cell>
        </row>
        <row r="2777">
          <cell r="Y2777">
            <v>58606</v>
          </cell>
          <cell r="Z2777" t="e">
            <v>#N/A</v>
          </cell>
          <cell r="AA2777" t="e">
            <v>#N/A</v>
          </cell>
        </row>
        <row r="2778">
          <cell r="Y2778">
            <v>58613</v>
          </cell>
          <cell r="Z2778" t="e">
            <v>#N/A</v>
          </cell>
          <cell r="AA2778" t="e">
            <v>#N/A</v>
          </cell>
        </row>
        <row r="2779">
          <cell r="Y2779">
            <v>58620</v>
          </cell>
          <cell r="Z2779" t="e">
            <v>#N/A</v>
          </cell>
          <cell r="AA2779" t="e">
            <v>#N/A</v>
          </cell>
        </row>
        <row r="2780">
          <cell r="Y2780">
            <v>58627</v>
          </cell>
          <cell r="Z2780" t="e">
            <v>#N/A</v>
          </cell>
          <cell r="AA2780" t="e">
            <v>#N/A</v>
          </cell>
        </row>
        <row r="2781">
          <cell r="Y2781">
            <v>58634</v>
          </cell>
          <cell r="Z2781" t="e">
            <v>#N/A</v>
          </cell>
          <cell r="AA2781" t="e">
            <v>#N/A</v>
          </cell>
        </row>
        <row r="2782">
          <cell r="Y2782">
            <v>58642</v>
          </cell>
          <cell r="Z2782" t="e">
            <v>#N/A</v>
          </cell>
          <cell r="AA2782" t="e">
            <v>#N/A</v>
          </cell>
        </row>
        <row r="2783">
          <cell r="Y2783">
            <v>58648</v>
          </cell>
          <cell r="Z2783" t="e">
            <v>#N/A</v>
          </cell>
          <cell r="AA2783" t="e">
            <v>#N/A</v>
          </cell>
        </row>
        <row r="2784">
          <cell r="Y2784">
            <v>58655</v>
          </cell>
          <cell r="Z2784" t="e">
            <v>#N/A</v>
          </cell>
          <cell r="AA2784" t="e">
            <v>#N/A</v>
          </cell>
        </row>
        <row r="2785">
          <cell r="Y2785">
            <v>58662</v>
          </cell>
          <cell r="Z2785" t="e">
            <v>#N/A</v>
          </cell>
          <cell r="AA2785" t="e">
            <v>#N/A</v>
          </cell>
        </row>
        <row r="2786">
          <cell r="Y2786">
            <v>58669</v>
          </cell>
          <cell r="Z2786" t="e">
            <v>#N/A</v>
          </cell>
          <cell r="AA2786" t="e">
            <v>#N/A</v>
          </cell>
        </row>
        <row r="2787">
          <cell r="Y2787">
            <v>58676</v>
          </cell>
          <cell r="Z2787" t="e">
            <v>#N/A</v>
          </cell>
          <cell r="AA2787" t="e">
            <v>#N/A</v>
          </cell>
        </row>
        <row r="2788">
          <cell r="Y2788">
            <v>58684</v>
          </cell>
          <cell r="Z2788" t="e">
            <v>#N/A</v>
          </cell>
          <cell r="AA2788" t="e">
            <v>#N/A</v>
          </cell>
        </row>
        <row r="2789">
          <cell r="Y2789">
            <v>58690</v>
          </cell>
          <cell r="Z2789" t="e">
            <v>#N/A</v>
          </cell>
          <cell r="AA2789" t="e">
            <v>#N/A</v>
          </cell>
        </row>
        <row r="2790">
          <cell r="Y2790">
            <v>58697</v>
          </cell>
          <cell r="Z2790" t="e">
            <v>#N/A</v>
          </cell>
          <cell r="AA2790" t="e">
            <v>#N/A</v>
          </cell>
        </row>
        <row r="2791">
          <cell r="Y2791">
            <v>58707</v>
          </cell>
          <cell r="Z2791" t="e">
            <v>#N/A</v>
          </cell>
          <cell r="AA2791" t="e">
            <v>#N/A</v>
          </cell>
        </row>
        <row r="2792">
          <cell r="Y2792">
            <v>58711</v>
          </cell>
          <cell r="Z2792" t="e">
            <v>#N/A</v>
          </cell>
          <cell r="AA2792" t="e">
            <v>#N/A</v>
          </cell>
        </row>
        <row r="2793">
          <cell r="Y2793">
            <v>58718</v>
          </cell>
          <cell r="Z2793" t="e">
            <v>#N/A</v>
          </cell>
          <cell r="AA2793" t="e">
            <v>#N/A</v>
          </cell>
        </row>
        <row r="2794">
          <cell r="Y2794">
            <v>58726</v>
          </cell>
          <cell r="Z2794" t="e">
            <v>#N/A</v>
          </cell>
          <cell r="AA2794" t="e">
            <v>#N/A</v>
          </cell>
        </row>
        <row r="2795">
          <cell r="Y2795">
            <v>58732</v>
          </cell>
          <cell r="Z2795" t="e">
            <v>#N/A</v>
          </cell>
          <cell r="AA2795" t="e">
            <v>#N/A</v>
          </cell>
        </row>
        <row r="2796">
          <cell r="Y2796">
            <v>58739</v>
          </cell>
          <cell r="Z2796" t="e">
            <v>#N/A</v>
          </cell>
          <cell r="AA2796" t="e">
            <v>#N/A</v>
          </cell>
        </row>
        <row r="2797">
          <cell r="Y2797">
            <v>58746</v>
          </cell>
          <cell r="Z2797" t="e">
            <v>#N/A</v>
          </cell>
          <cell r="AA2797" t="e">
            <v>#N/A</v>
          </cell>
        </row>
        <row r="2798">
          <cell r="Y2798">
            <v>58753</v>
          </cell>
          <cell r="Z2798" t="e">
            <v>#N/A</v>
          </cell>
          <cell r="AA2798" t="e">
            <v>#N/A</v>
          </cell>
        </row>
        <row r="2799">
          <cell r="Y2799">
            <v>58760</v>
          </cell>
          <cell r="Z2799" t="e">
            <v>#N/A</v>
          </cell>
          <cell r="AA2799" t="e">
            <v>#N/A</v>
          </cell>
        </row>
        <row r="2800">
          <cell r="Y2800">
            <v>58767</v>
          </cell>
          <cell r="Z2800" t="e">
            <v>#N/A</v>
          </cell>
          <cell r="AA2800" t="e">
            <v>#N/A</v>
          </cell>
        </row>
        <row r="2801">
          <cell r="Y2801">
            <v>58774</v>
          </cell>
          <cell r="Z2801" t="e">
            <v>#N/A</v>
          </cell>
          <cell r="AA2801" t="e">
            <v>#N/A</v>
          </cell>
        </row>
        <row r="2802">
          <cell r="Y2802">
            <v>58781</v>
          </cell>
          <cell r="Z2802" t="e">
            <v>#N/A</v>
          </cell>
          <cell r="AA2802" t="e">
            <v>#N/A</v>
          </cell>
        </row>
        <row r="2803">
          <cell r="Y2803">
            <v>58788</v>
          </cell>
          <cell r="Z2803" t="e">
            <v>#N/A</v>
          </cell>
          <cell r="AA2803" t="e">
            <v>#N/A</v>
          </cell>
        </row>
        <row r="2804">
          <cell r="Y2804">
            <v>58795</v>
          </cell>
          <cell r="Z2804" t="e">
            <v>#N/A</v>
          </cell>
          <cell r="AA2804" t="e">
            <v>#N/A</v>
          </cell>
        </row>
        <row r="2805">
          <cell r="Y2805">
            <v>58805</v>
          </cell>
          <cell r="Z2805" t="e">
            <v>#N/A</v>
          </cell>
          <cell r="AA2805" t="e">
            <v>#N/A</v>
          </cell>
        </row>
        <row r="2806">
          <cell r="Y2806">
            <v>58812</v>
          </cell>
          <cell r="Z2806" t="e">
            <v>#N/A</v>
          </cell>
          <cell r="AA2806" t="e">
            <v>#N/A</v>
          </cell>
        </row>
        <row r="2807">
          <cell r="Y2807">
            <v>58819</v>
          </cell>
          <cell r="Z2807" t="e">
            <v>#N/A</v>
          </cell>
          <cell r="AA2807" t="e">
            <v>#N/A</v>
          </cell>
        </row>
        <row r="2808">
          <cell r="Y2808">
            <v>58826</v>
          </cell>
          <cell r="Z2808" t="e">
            <v>#N/A</v>
          </cell>
          <cell r="AA2808" t="e">
            <v>#N/A</v>
          </cell>
        </row>
        <row r="2809">
          <cell r="Y2809">
            <v>58833</v>
          </cell>
          <cell r="Z2809" t="e">
            <v>#N/A</v>
          </cell>
          <cell r="AA2809" t="e">
            <v>#N/A</v>
          </cell>
        </row>
        <row r="2810">
          <cell r="Y2810">
            <v>58840</v>
          </cell>
          <cell r="Z2810" t="e">
            <v>#N/A</v>
          </cell>
          <cell r="AA2810" t="e">
            <v>#N/A</v>
          </cell>
        </row>
        <row r="2811">
          <cell r="Y2811">
            <v>58847</v>
          </cell>
          <cell r="Z2811" t="e">
            <v>#N/A</v>
          </cell>
          <cell r="AA2811" t="e">
            <v>#N/A</v>
          </cell>
        </row>
        <row r="2812">
          <cell r="Y2812">
            <v>58854</v>
          </cell>
          <cell r="Z2812" t="e">
            <v>#N/A</v>
          </cell>
          <cell r="AA2812" t="e">
            <v>#N/A</v>
          </cell>
        </row>
        <row r="2813">
          <cell r="Y2813">
            <v>58861</v>
          </cell>
          <cell r="Z2813" t="e">
            <v>#N/A</v>
          </cell>
          <cell r="AA2813" t="e">
            <v>#N/A</v>
          </cell>
        </row>
        <row r="2814">
          <cell r="Y2814">
            <v>58868</v>
          </cell>
          <cell r="Z2814" t="e">
            <v>#N/A</v>
          </cell>
          <cell r="AA2814" t="e">
            <v>#N/A</v>
          </cell>
        </row>
        <row r="2815">
          <cell r="Y2815">
            <v>58875</v>
          </cell>
          <cell r="Z2815" t="e">
            <v>#N/A</v>
          </cell>
          <cell r="AA2815" t="e">
            <v>#N/A</v>
          </cell>
        </row>
        <row r="2816">
          <cell r="Y2816">
            <v>58882</v>
          </cell>
          <cell r="Z2816" t="e">
            <v>#N/A</v>
          </cell>
          <cell r="AA2816" t="e">
            <v>#N/A</v>
          </cell>
        </row>
        <row r="2817">
          <cell r="Y2817">
            <v>58889</v>
          </cell>
          <cell r="Z2817" t="e">
            <v>#N/A</v>
          </cell>
          <cell r="AA2817" t="e">
            <v>#N/A</v>
          </cell>
        </row>
        <row r="2818">
          <cell r="Y2818">
            <v>58896</v>
          </cell>
          <cell r="Z2818" t="e">
            <v>#N/A</v>
          </cell>
          <cell r="AA2818" t="e">
            <v>#N/A</v>
          </cell>
        </row>
        <row r="2819">
          <cell r="Y2819">
            <v>58903</v>
          </cell>
          <cell r="Z2819" t="e">
            <v>#N/A</v>
          </cell>
          <cell r="AA2819" t="e">
            <v>#N/A</v>
          </cell>
        </row>
        <row r="2820">
          <cell r="Y2820">
            <v>58910</v>
          </cell>
          <cell r="Z2820" t="e">
            <v>#N/A</v>
          </cell>
          <cell r="AA2820" t="e">
            <v>#N/A</v>
          </cell>
        </row>
        <row r="2821">
          <cell r="Y2821">
            <v>58917</v>
          </cell>
          <cell r="Z2821" t="e">
            <v>#N/A</v>
          </cell>
          <cell r="AA2821" t="e">
            <v>#N/A</v>
          </cell>
        </row>
        <row r="2822">
          <cell r="Y2822">
            <v>58924</v>
          </cell>
          <cell r="Z2822" t="e">
            <v>#N/A</v>
          </cell>
          <cell r="AA2822" t="e">
            <v>#N/A</v>
          </cell>
        </row>
        <row r="2823">
          <cell r="Y2823">
            <v>58936</v>
          </cell>
          <cell r="Z2823" t="e">
            <v>#N/A</v>
          </cell>
          <cell r="AA2823" t="e">
            <v>#N/A</v>
          </cell>
        </row>
        <row r="2824">
          <cell r="Y2824">
            <v>58943</v>
          </cell>
          <cell r="Z2824" t="e">
            <v>#N/A</v>
          </cell>
          <cell r="AA2824" t="e">
            <v>#N/A</v>
          </cell>
        </row>
        <row r="2825">
          <cell r="Y2825">
            <v>58950</v>
          </cell>
          <cell r="Z2825" t="e">
            <v>#N/A</v>
          </cell>
          <cell r="AA2825" t="e">
            <v>#N/A</v>
          </cell>
        </row>
        <row r="2826">
          <cell r="Y2826">
            <v>58958</v>
          </cell>
          <cell r="Z2826" t="e">
            <v>#N/A</v>
          </cell>
          <cell r="AA2826" t="e">
            <v>#N/A</v>
          </cell>
        </row>
        <row r="2827">
          <cell r="Y2827">
            <v>58964</v>
          </cell>
          <cell r="Z2827" t="e">
            <v>#N/A</v>
          </cell>
          <cell r="AA2827" t="e">
            <v>#N/A</v>
          </cell>
        </row>
        <row r="2828">
          <cell r="Y2828">
            <v>58971</v>
          </cell>
          <cell r="Z2828" t="e">
            <v>#N/A</v>
          </cell>
          <cell r="AA2828" t="e">
            <v>#N/A</v>
          </cell>
        </row>
        <row r="2829">
          <cell r="Y2829">
            <v>58978</v>
          </cell>
          <cell r="Z2829" t="e">
            <v>#N/A</v>
          </cell>
          <cell r="AA2829" t="e">
            <v>#N/A</v>
          </cell>
        </row>
        <row r="2830">
          <cell r="Y2830">
            <v>58985</v>
          </cell>
          <cell r="Z2830" t="e">
            <v>#N/A</v>
          </cell>
          <cell r="AA2830" t="e">
            <v>#N/A</v>
          </cell>
        </row>
        <row r="2831">
          <cell r="Y2831">
            <v>58992</v>
          </cell>
          <cell r="Z2831" t="e">
            <v>#N/A</v>
          </cell>
          <cell r="AA2831" t="e">
            <v>#N/A</v>
          </cell>
        </row>
        <row r="2832">
          <cell r="Y2832">
            <v>58999</v>
          </cell>
          <cell r="Z2832" t="e">
            <v>#N/A</v>
          </cell>
          <cell r="AA2832" t="e">
            <v>#N/A</v>
          </cell>
        </row>
        <row r="2833">
          <cell r="Y2833">
            <v>59007</v>
          </cell>
          <cell r="Z2833" t="e">
            <v>#N/A</v>
          </cell>
          <cell r="AA2833" t="e">
            <v>#N/A</v>
          </cell>
        </row>
        <row r="2834">
          <cell r="Y2834">
            <v>59013</v>
          </cell>
          <cell r="Z2834" t="e">
            <v>#N/A</v>
          </cell>
          <cell r="AA2834" t="e">
            <v>#N/A</v>
          </cell>
        </row>
        <row r="2835">
          <cell r="Y2835">
            <v>59020</v>
          </cell>
          <cell r="Z2835" t="e">
            <v>#N/A</v>
          </cell>
          <cell r="AA2835" t="e">
            <v>#N/A</v>
          </cell>
        </row>
        <row r="2836">
          <cell r="Y2836">
            <v>59027</v>
          </cell>
          <cell r="Z2836" t="e">
            <v>#N/A</v>
          </cell>
          <cell r="AA2836" t="e">
            <v>#N/A</v>
          </cell>
        </row>
        <row r="2837">
          <cell r="Y2837">
            <v>59034</v>
          </cell>
          <cell r="Z2837" t="e">
            <v>#N/A</v>
          </cell>
          <cell r="AA2837" t="e">
            <v>#N/A</v>
          </cell>
        </row>
        <row r="2838">
          <cell r="Y2838">
            <v>59041</v>
          </cell>
          <cell r="Z2838" t="e">
            <v>#N/A</v>
          </cell>
          <cell r="AA2838" t="e">
            <v>#N/A</v>
          </cell>
        </row>
        <row r="2839">
          <cell r="Y2839">
            <v>59049</v>
          </cell>
          <cell r="Z2839" t="e">
            <v>#N/A</v>
          </cell>
          <cell r="AA2839" t="e">
            <v>#N/A</v>
          </cell>
        </row>
        <row r="2840">
          <cell r="Y2840">
            <v>59055</v>
          </cell>
          <cell r="Z2840" t="e">
            <v>#N/A</v>
          </cell>
          <cell r="AA2840" t="e">
            <v>#N/A</v>
          </cell>
        </row>
        <row r="2841">
          <cell r="Y2841">
            <v>59062</v>
          </cell>
          <cell r="Z2841" t="e">
            <v>#N/A</v>
          </cell>
          <cell r="AA2841" t="e">
            <v>#N/A</v>
          </cell>
        </row>
        <row r="2842">
          <cell r="Y2842">
            <v>59070</v>
          </cell>
          <cell r="Z2842" t="e">
            <v>#N/A</v>
          </cell>
          <cell r="AA2842" t="e">
            <v>#N/A</v>
          </cell>
        </row>
        <row r="2843">
          <cell r="Y2843">
            <v>59076</v>
          </cell>
          <cell r="Z2843" t="e">
            <v>#N/A</v>
          </cell>
          <cell r="AA2843" t="e">
            <v>#N/A</v>
          </cell>
        </row>
        <row r="2844">
          <cell r="Y2844">
            <v>59083</v>
          </cell>
          <cell r="Z2844" t="e">
            <v>#N/A</v>
          </cell>
          <cell r="AA2844" t="e">
            <v>#N/A</v>
          </cell>
        </row>
        <row r="2845">
          <cell r="Y2845">
            <v>59091</v>
          </cell>
          <cell r="Z2845" t="e">
            <v>#N/A</v>
          </cell>
          <cell r="AA2845" t="e">
            <v>#N/A</v>
          </cell>
        </row>
        <row r="2846">
          <cell r="Y2846">
            <v>59097</v>
          </cell>
          <cell r="Z2846" t="e">
            <v>#N/A</v>
          </cell>
          <cell r="AA2846" t="e">
            <v>#N/A</v>
          </cell>
        </row>
        <row r="2847">
          <cell r="Y2847">
            <v>59104</v>
          </cell>
          <cell r="Z2847" t="e">
            <v>#N/A</v>
          </cell>
          <cell r="AA2847" t="e">
            <v>#N/A</v>
          </cell>
        </row>
        <row r="2848">
          <cell r="Y2848">
            <v>59111</v>
          </cell>
          <cell r="Z2848" t="e">
            <v>#N/A</v>
          </cell>
          <cell r="AA2848" t="e">
            <v>#N/A</v>
          </cell>
        </row>
        <row r="2849">
          <cell r="Y2849">
            <v>59118</v>
          </cell>
          <cell r="Z2849" t="e">
            <v>#N/A</v>
          </cell>
          <cell r="AA2849" t="e">
            <v>#N/A</v>
          </cell>
        </row>
        <row r="2850">
          <cell r="Y2850">
            <v>59125</v>
          </cell>
          <cell r="Z2850" t="e">
            <v>#N/A</v>
          </cell>
          <cell r="AA2850" t="e">
            <v>#N/A</v>
          </cell>
        </row>
        <row r="2851">
          <cell r="Y2851">
            <v>59132</v>
          </cell>
          <cell r="Z2851" t="e">
            <v>#N/A</v>
          </cell>
          <cell r="AA2851" t="e">
            <v>#N/A</v>
          </cell>
        </row>
        <row r="2852">
          <cell r="Y2852">
            <v>59139</v>
          </cell>
          <cell r="Z2852" t="e">
            <v>#N/A</v>
          </cell>
          <cell r="AA2852" t="e">
            <v>#N/A</v>
          </cell>
        </row>
        <row r="2853">
          <cell r="Y2853">
            <v>59146</v>
          </cell>
          <cell r="Z2853" t="e">
            <v>#N/A</v>
          </cell>
          <cell r="AA2853" t="e">
            <v>#N/A</v>
          </cell>
        </row>
        <row r="2854">
          <cell r="Y2854">
            <v>59153</v>
          </cell>
          <cell r="Z2854" t="e">
            <v>#N/A</v>
          </cell>
          <cell r="AA2854" t="e">
            <v>#N/A</v>
          </cell>
        </row>
        <row r="2855">
          <cell r="Y2855">
            <v>59160</v>
          </cell>
          <cell r="Z2855" t="e">
            <v>#N/A</v>
          </cell>
          <cell r="AA2855" t="e">
            <v>#N/A</v>
          </cell>
        </row>
        <row r="2856">
          <cell r="Y2856">
            <v>59170</v>
          </cell>
          <cell r="Z2856" t="e">
            <v>#N/A</v>
          </cell>
          <cell r="AA2856" t="e">
            <v>#N/A</v>
          </cell>
        </row>
        <row r="2857">
          <cell r="Y2857">
            <v>59177</v>
          </cell>
          <cell r="Z2857" t="e">
            <v>#N/A</v>
          </cell>
          <cell r="AA2857" t="e">
            <v>#N/A</v>
          </cell>
        </row>
        <row r="2858">
          <cell r="Y2858">
            <v>59184</v>
          </cell>
          <cell r="Z2858" t="e">
            <v>#N/A</v>
          </cell>
          <cell r="AA2858" t="e">
            <v>#N/A</v>
          </cell>
        </row>
        <row r="2859">
          <cell r="Y2859">
            <v>59191</v>
          </cell>
          <cell r="Z2859" t="e">
            <v>#N/A</v>
          </cell>
          <cell r="AA2859" t="e">
            <v>#N/A</v>
          </cell>
        </row>
        <row r="2860">
          <cell r="Y2860">
            <v>59198</v>
          </cell>
          <cell r="Z2860" t="e">
            <v>#N/A</v>
          </cell>
          <cell r="AA2860" t="e">
            <v>#N/A</v>
          </cell>
        </row>
        <row r="2861">
          <cell r="Y2861">
            <v>59205</v>
          </cell>
          <cell r="Z2861" t="e">
            <v>#N/A</v>
          </cell>
          <cell r="AA2861" t="e">
            <v>#N/A</v>
          </cell>
        </row>
        <row r="2862">
          <cell r="Y2862">
            <v>59212</v>
          </cell>
          <cell r="Z2862" t="e">
            <v>#N/A</v>
          </cell>
          <cell r="AA2862" t="e">
            <v>#N/A</v>
          </cell>
        </row>
        <row r="2863">
          <cell r="Y2863">
            <v>59219</v>
          </cell>
          <cell r="Z2863" t="e">
            <v>#N/A</v>
          </cell>
          <cell r="AA2863" t="e">
            <v>#N/A</v>
          </cell>
        </row>
        <row r="2864">
          <cell r="Y2864">
            <v>59226</v>
          </cell>
          <cell r="Z2864" t="e">
            <v>#N/A</v>
          </cell>
          <cell r="AA2864" t="e">
            <v>#N/A</v>
          </cell>
        </row>
        <row r="2865">
          <cell r="Y2865">
            <v>59233</v>
          </cell>
          <cell r="Z2865" t="e">
            <v>#N/A</v>
          </cell>
          <cell r="AA2865" t="e">
            <v>#N/A</v>
          </cell>
        </row>
        <row r="2866">
          <cell r="Y2866">
            <v>59240</v>
          </cell>
          <cell r="Z2866" t="e">
            <v>#N/A</v>
          </cell>
          <cell r="AA2866" t="e">
            <v>#N/A</v>
          </cell>
        </row>
        <row r="2867">
          <cell r="Y2867">
            <v>59247</v>
          </cell>
          <cell r="Z2867" t="e">
            <v>#N/A</v>
          </cell>
          <cell r="AA2867" t="e">
            <v>#N/A</v>
          </cell>
        </row>
        <row r="2868">
          <cell r="Y2868">
            <v>59258</v>
          </cell>
          <cell r="Z2868" t="e">
            <v>#N/A</v>
          </cell>
          <cell r="AA2868" t="e">
            <v>#N/A</v>
          </cell>
        </row>
        <row r="2869">
          <cell r="Y2869">
            <v>59261</v>
          </cell>
          <cell r="Z2869" t="e">
            <v>#N/A</v>
          </cell>
          <cell r="AA2869" t="e">
            <v>#N/A</v>
          </cell>
        </row>
        <row r="2870">
          <cell r="Y2870">
            <v>59268</v>
          </cell>
          <cell r="Z2870" t="e">
            <v>#N/A</v>
          </cell>
          <cell r="AA2870" t="e">
            <v>#N/A</v>
          </cell>
        </row>
        <row r="2871">
          <cell r="Y2871">
            <v>59275</v>
          </cell>
          <cell r="Z2871" t="e">
            <v>#N/A</v>
          </cell>
          <cell r="AA2871" t="e">
            <v>#N/A</v>
          </cell>
        </row>
        <row r="2872">
          <cell r="Y2872">
            <v>59282</v>
          </cell>
          <cell r="Z2872" t="e">
            <v>#N/A</v>
          </cell>
          <cell r="AA2872" t="e">
            <v>#N/A</v>
          </cell>
        </row>
        <row r="2873">
          <cell r="Y2873">
            <v>59289</v>
          </cell>
          <cell r="Z2873" t="e">
            <v>#N/A</v>
          </cell>
          <cell r="AA2873" t="e">
            <v>#N/A</v>
          </cell>
        </row>
        <row r="2874">
          <cell r="Y2874">
            <v>59301</v>
          </cell>
          <cell r="Z2874" t="e">
            <v>#N/A</v>
          </cell>
          <cell r="AA2874" t="e">
            <v>#N/A</v>
          </cell>
        </row>
        <row r="2875">
          <cell r="Y2875">
            <v>59308</v>
          </cell>
          <cell r="Z2875" t="e">
            <v>#N/A</v>
          </cell>
          <cell r="AA2875" t="e">
            <v>#N/A</v>
          </cell>
        </row>
        <row r="2876">
          <cell r="Y2876">
            <v>59315</v>
          </cell>
          <cell r="Z2876" t="e">
            <v>#N/A</v>
          </cell>
          <cell r="AA2876" t="e">
            <v>#N/A</v>
          </cell>
        </row>
        <row r="2877">
          <cell r="Y2877">
            <v>59323</v>
          </cell>
          <cell r="Z2877" t="e">
            <v>#N/A</v>
          </cell>
          <cell r="AA2877" t="e">
            <v>#N/A</v>
          </cell>
        </row>
        <row r="2878">
          <cell r="Y2878">
            <v>59330</v>
          </cell>
          <cell r="Z2878" t="e">
            <v>#N/A</v>
          </cell>
          <cell r="AA2878" t="e">
            <v>#N/A</v>
          </cell>
        </row>
        <row r="2879">
          <cell r="Y2879">
            <v>59337</v>
          </cell>
          <cell r="Z2879" t="e">
            <v>#N/A</v>
          </cell>
          <cell r="AA2879" t="e">
            <v>#N/A</v>
          </cell>
        </row>
        <row r="2880">
          <cell r="Y2880">
            <v>59344</v>
          </cell>
          <cell r="Z2880" t="e">
            <v>#N/A</v>
          </cell>
          <cell r="AA2880" t="e">
            <v>#N/A</v>
          </cell>
        </row>
        <row r="2881">
          <cell r="Y2881">
            <v>59351</v>
          </cell>
          <cell r="Z2881" t="e">
            <v>#N/A</v>
          </cell>
          <cell r="AA2881" t="e">
            <v>#N/A</v>
          </cell>
        </row>
        <row r="2882">
          <cell r="Y2882">
            <v>59358</v>
          </cell>
          <cell r="Z2882" t="e">
            <v>#N/A</v>
          </cell>
          <cell r="AA2882" t="e">
            <v>#N/A</v>
          </cell>
        </row>
        <row r="2883">
          <cell r="Y2883">
            <v>59365</v>
          </cell>
          <cell r="Z2883" t="e">
            <v>#N/A</v>
          </cell>
          <cell r="AA2883" t="e">
            <v>#N/A</v>
          </cell>
        </row>
        <row r="2884">
          <cell r="Y2884">
            <v>59372</v>
          </cell>
          <cell r="Z2884" t="e">
            <v>#N/A</v>
          </cell>
          <cell r="AA2884" t="e">
            <v>#N/A</v>
          </cell>
        </row>
        <row r="2885">
          <cell r="Y2885">
            <v>59379</v>
          </cell>
          <cell r="Z2885" t="e">
            <v>#N/A</v>
          </cell>
          <cell r="AA2885" t="e">
            <v>#N/A</v>
          </cell>
        </row>
        <row r="2886">
          <cell r="Y2886">
            <v>59386</v>
          </cell>
          <cell r="Z2886" t="e">
            <v>#N/A</v>
          </cell>
          <cell r="AA2886" t="e">
            <v>#N/A</v>
          </cell>
        </row>
        <row r="2887">
          <cell r="Y2887">
            <v>59393</v>
          </cell>
          <cell r="Z2887" t="e">
            <v>#N/A</v>
          </cell>
          <cell r="AA2887" t="e">
            <v>#N/A</v>
          </cell>
        </row>
        <row r="2888">
          <cell r="Y2888">
            <v>59400</v>
          </cell>
          <cell r="Z2888" t="e">
            <v>#N/A</v>
          </cell>
          <cell r="AA2888" t="e">
            <v>#N/A</v>
          </cell>
        </row>
        <row r="2889">
          <cell r="Y2889">
            <v>59407</v>
          </cell>
          <cell r="Z2889" t="e">
            <v>#N/A</v>
          </cell>
          <cell r="AA2889" t="e">
            <v>#N/A</v>
          </cell>
        </row>
        <row r="2890">
          <cell r="Y2890">
            <v>59414</v>
          </cell>
          <cell r="Z2890" t="e">
            <v>#N/A</v>
          </cell>
          <cell r="AA2890" t="e">
            <v>#N/A</v>
          </cell>
        </row>
        <row r="2891">
          <cell r="Y2891">
            <v>59421</v>
          </cell>
          <cell r="Z2891" t="e">
            <v>#N/A</v>
          </cell>
          <cell r="AA2891" t="e">
            <v>#N/A</v>
          </cell>
        </row>
        <row r="2892">
          <cell r="Y2892">
            <v>59428</v>
          </cell>
          <cell r="Z2892" t="e">
            <v>#N/A</v>
          </cell>
          <cell r="AA2892" t="e">
            <v>#N/A</v>
          </cell>
        </row>
        <row r="2893">
          <cell r="Y2893">
            <v>59435</v>
          </cell>
          <cell r="Z2893" t="e">
            <v>#N/A</v>
          </cell>
          <cell r="AA2893" t="e">
            <v>#N/A</v>
          </cell>
        </row>
        <row r="2894">
          <cell r="Y2894">
            <v>59442</v>
          </cell>
          <cell r="Z2894" t="e">
            <v>#N/A</v>
          </cell>
          <cell r="AA2894" t="e">
            <v>#N/A</v>
          </cell>
        </row>
        <row r="2895">
          <cell r="Y2895">
            <v>59449</v>
          </cell>
          <cell r="Z2895" t="e">
            <v>#N/A</v>
          </cell>
          <cell r="AA2895" t="e">
            <v>#N/A</v>
          </cell>
        </row>
        <row r="2896">
          <cell r="Y2896">
            <v>59456</v>
          </cell>
          <cell r="Z2896" t="e">
            <v>#N/A</v>
          </cell>
          <cell r="AA2896" t="e">
            <v>#N/A</v>
          </cell>
        </row>
        <row r="2897">
          <cell r="Y2897">
            <v>59463</v>
          </cell>
          <cell r="Z2897" t="e">
            <v>#N/A</v>
          </cell>
          <cell r="AA2897" t="e">
            <v>#N/A</v>
          </cell>
        </row>
        <row r="2898">
          <cell r="Y2898">
            <v>59470</v>
          </cell>
          <cell r="Z2898" t="e">
            <v>#N/A</v>
          </cell>
          <cell r="AA2898" t="e">
            <v>#N/A</v>
          </cell>
        </row>
        <row r="2899">
          <cell r="Y2899">
            <v>59477</v>
          </cell>
          <cell r="Z2899" t="e">
            <v>#N/A</v>
          </cell>
          <cell r="AA2899" t="e">
            <v>#N/A</v>
          </cell>
        </row>
        <row r="2900">
          <cell r="Y2900">
            <v>59484</v>
          </cell>
          <cell r="Z2900" t="e">
            <v>#N/A</v>
          </cell>
          <cell r="AA2900" t="e">
            <v>#N/A</v>
          </cell>
        </row>
        <row r="2901">
          <cell r="Y2901">
            <v>59491</v>
          </cell>
          <cell r="Z2901" t="e">
            <v>#N/A</v>
          </cell>
          <cell r="AA2901" t="e">
            <v>#N/A</v>
          </cell>
        </row>
        <row r="2902">
          <cell r="Y2902">
            <v>59499</v>
          </cell>
          <cell r="Z2902" t="e">
            <v>#N/A</v>
          </cell>
          <cell r="AA2902" t="e">
            <v>#N/A</v>
          </cell>
        </row>
        <row r="2903">
          <cell r="Y2903">
            <v>59505</v>
          </cell>
          <cell r="Z2903" t="e">
            <v>#N/A</v>
          </cell>
          <cell r="AA2903" t="e">
            <v>#N/A</v>
          </cell>
        </row>
        <row r="2904">
          <cell r="Y2904">
            <v>59512</v>
          </cell>
          <cell r="Z2904" t="e">
            <v>#N/A</v>
          </cell>
          <cell r="AA2904" t="e">
            <v>#N/A</v>
          </cell>
        </row>
        <row r="2905">
          <cell r="Y2905">
            <v>59519</v>
          </cell>
          <cell r="Z2905" t="e">
            <v>#N/A</v>
          </cell>
          <cell r="AA2905" t="e">
            <v>#N/A</v>
          </cell>
        </row>
        <row r="2906">
          <cell r="Y2906">
            <v>59526</v>
          </cell>
          <cell r="Z2906" t="e">
            <v>#N/A</v>
          </cell>
          <cell r="AA2906" t="e">
            <v>#N/A</v>
          </cell>
        </row>
        <row r="2907">
          <cell r="Y2907">
            <v>59534</v>
          </cell>
          <cell r="Z2907" t="e">
            <v>#N/A</v>
          </cell>
          <cell r="AA2907" t="e">
            <v>#N/A</v>
          </cell>
        </row>
        <row r="2908">
          <cell r="Y2908">
            <v>59545</v>
          </cell>
          <cell r="Z2908" t="e">
            <v>#N/A</v>
          </cell>
          <cell r="AA2908" t="e">
            <v>#N/A</v>
          </cell>
        </row>
        <row r="2909">
          <cell r="Y2909">
            <v>59551</v>
          </cell>
          <cell r="Z2909" t="e">
            <v>#N/A</v>
          </cell>
          <cell r="AA2909" t="e">
            <v>#N/A</v>
          </cell>
        </row>
        <row r="2910">
          <cell r="Y2910">
            <v>59558</v>
          </cell>
          <cell r="Z2910" t="e">
            <v>#N/A</v>
          </cell>
          <cell r="AA2910" t="e">
            <v>#N/A</v>
          </cell>
        </row>
        <row r="2911">
          <cell r="Y2911">
            <v>59565</v>
          </cell>
          <cell r="Z2911" t="e">
            <v>#N/A</v>
          </cell>
          <cell r="AA2911" t="e">
            <v>#N/A</v>
          </cell>
        </row>
        <row r="2912">
          <cell r="Y2912">
            <v>59572</v>
          </cell>
          <cell r="Z2912" t="e">
            <v>#N/A</v>
          </cell>
          <cell r="AA2912" t="e">
            <v>#N/A</v>
          </cell>
        </row>
        <row r="2913">
          <cell r="Y2913">
            <v>59580</v>
          </cell>
          <cell r="Z2913" t="e">
            <v>#N/A</v>
          </cell>
          <cell r="AA2913" t="e">
            <v>#N/A</v>
          </cell>
        </row>
        <row r="2914">
          <cell r="Y2914">
            <v>59586</v>
          </cell>
          <cell r="Z2914" t="e">
            <v>#N/A</v>
          </cell>
          <cell r="AA2914" t="e">
            <v>#N/A</v>
          </cell>
        </row>
        <row r="2915">
          <cell r="Y2915">
            <v>59593</v>
          </cell>
          <cell r="Z2915" t="e">
            <v>#N/A</v>
          </cell>
          <cell r="AA2915" t="e">
            <v>#N/A</v>
          </cell>
        </row>
        <row r="2916">
          <cell r="Y2916">
            <v>59600</v>
          </cell>
          <cell r="Z2916" t="e">
            <v>#N/A</v>
          </cell>
          <cell r="AA2916" t="e">
            <v>#N/A</v>
          </cell>
        </row>
        <row r="2917">
          <cell r="Y2917">
            <v>59607</v>
          </cell>
          <cell r="Z2917" t="e">
            <v>#N/A</v>
          </cell>
          <cell r="AA2917" t="e">
            <v>#N/A</v>
          </cell>
        </row>
        <row r="2918">
          <cell r="Y2918">
            <v>59614</v>
          </cell>
          <cell r="Z2918" t="e">
            <v>#N/A</v>
          </cell>
          <cell r="AA2918" t="e">
            <v>#N/A</v>
          </cell>
        </row>
        <row r="2919">
          <cell r="Y2919">
            <v>59621</v>
          </cell>
          <cell r="Z2919" t="e">
            <v>#N/A</v>
          </cell>
          <cell r="AA2919" t="e">
            <v>#N/A</v>
          </cell>
        </row>
        <row r="2920">
          <cell r="Y2920">
            <v>59628</v>
          </cell>
          <cell r="Z2920" t="e">
            <v>#N/A</v>
          </cell>
          <cell r="AA2920" t="e">
            <v>#N/A</v>
          </cell>
        </row>
        <row r="2921">
          <cell r="Y2921">
            <v>59635</v>
          </cell>
          <cell r="Z2921" t="e">
            <v>#N/A</v>
          </cell>
          <cell r="AA2921" t="e">
            <v>#N/A</v>
          </cell>
        </row>
        <row r="2922">
          <cell r="Y2922">
            <v>59644</v>
          </cell>
          <cell r="Z2922" t="e">
            <v>#N/A</v>
          </cell>
          <cell r="AA2922" t="e">
            <v>#N/A</v>
          </cell>
        </row>
        <row r="2923">
          <cell r="Y2923">
            <v>59649</v>
          </cell>
          <cell r="Z2923" t="e">
            <v>#N/A</v>
          </cell>
          <cell r="AA2923" t="e">
            <v>#N/A</v>
          </cell>
        </row>
        <row r="2924">
          <cell r="Y2924">
            <v>59657</v>
          </cell>
          <cell r="Z2924" t="e">
            <v>#N/A</v>
          </cell>
          <cell r="AA2924" t="e">
            <v>#N/A</v>
          </cell>
        </row>
        <row r="2925">
          <cell r="Y2925">
            <v>59666</v>
          </cell>
          <cell r="Z2925" t="e">
            <v>#N/A</v>
          </cell>
          <cell r="AA2925" t="e">
            <v>#N/A</v>
          </cell>
        </row>
        <row r="2926">
          <cell r="Y2926">
            <v>59673</v>
          </cell>
          <cell r="Z2926" t="e">
            <v>#N/A</v>
          </cell>
          <cell r="AA2926" t="e">
            <v>#N/A</v>
          </cell>
        </row>
        <row r="2927">
          <cell r="Y2927">
            <v>59680</v>
          </cell>
          <cell r="Z2927" t="e">
            <v>#N/A</v>
          </cell>
          <cell r="AA2927" t="e">
            <v>#N/A</v>
          </cell>
        </row>
        <row r="2928">
          <cell r="Y2928">
            <v>59687</v>
          </cell>
          <cell r="Z2928" t="e">
            <v>#N/A</v>
          </cell>
          <cell r="AA2928" t="e">
            <v>#N/A</v>
          </cell>
        </row>
        <row r="2929">
          <cell r="Y2929">
            <v>59694</v>
          </cell>
          <cell r="Z2929" t="e">
            <v>#N/A</v>
          </cell>
          <cell r="AA2929" t="e">
            <v>#N/A</v>
          </cell>
        </row>
        <row r="2930">
          <cell r="Y2930">
            <v>59701</v>
          </cell>
          <cell r="Z2930" t="e">
            <v>#N/A</v>
          </cell>
          <cell r="AA2930" t="e">
            <v>#N/A</v>
          </cell>
        </row>
        <row r="2931">
          <cell r="Y2931">
            <v>59708</v>
          </cell>
          <cell r="Z2931" t="e">
            <v>#N/A</v>
          </cell>
          <cell r="AA2931" t="e">
            <v>#N/A</v>
          </cell>
        </row>
        <row r="2932">
          <cell r="Y2932">
            <v>59715</v>
          </cell>
          <cell r="Z2932" t="e">
            <v>#N/A</v>
          </cell>
          <cell r="AA2932" t="e">
            <v>#N/A</v>
          </cell>
        </row>
        <row r="2933">
          <cell r="Y2933">
            <v>59722</v>
          </cell>
          <cell r="Z2933" t="e">
            <v>#N/A</v>
          </cell>
          <cell r="AA2933" t="e">
            <v>#N/A</v>
          </cell>
        </row>
        <row r="2934">
          <cell r="Y2934">
            <v>59729</v>
          </cell>
          <cell r="Z2934" t="e">
            <v>#N/A</v>
          </cell>
          <cell r="AA2934" t="e">
            <v>#N/A</v>
          </cell>
        </row>
        <row r="2935">
          <cell r="Y2935">
            <v>59736</v>
          </cell>
          <cell r="Z2935" t="e">
            <v>#N/A</v>
          </cell>
          <cell r="AA2935" t="e">
            <v>#N/A</v>
          </cell>
        </row>
        <row r="2936">
          <cell r="Y2936">
            <v>59743</v>
          </cell>
          <cell r="Z2936" t="e">
            <v>#N/A</v>
          </cell>
          <cell r="AA2936" t="e">
            <v>#N/A</v>
          </cell>
        </row>
        <row r="2937">
          <cell r="Y2937">
            <v>59750</v>
          </cell>
          <cell r="Z2937" t="e">
            <v>#N/A</v>
          </cell>
          <cell r="AA2937" t="e">
            <v>#N/A</v>
          </cell>
        </row>
        <row r="2938">
          <cell r="Y2938">
            <v>59757</v>
          </cell>
          <cell r="Z2938" t="e">
            <v>#N/A</v>
          </cell>
          <cell r="AA2938" t="e">
            <v>#N/A</v>
          </cell>
        </row>
        <row r="2939">
          <cell r="Y2939">
            <v>59764</v>
          </cell>
          <cell r="Z2939" t="e">
            <v>#N/A</v>
          </cell>
          <cell r="AA2939" t="e">
            <v>#N/A</v>
          </cell>
        </row>
        <row r="2940">
          <cell r="Y2940">
            <v>59771</v>
          </cell>
          <cell r="Z2940" t="e">
            <v>#N/A</v>
          </cell>
          <cell r="AA2940" t="e">
            <v>#N/A</v>
          </cell>
        </row>
        <row r="2941">
          <cell r="Y2941">
            <v>59778</v>
          </cell>
          <cell r="Z2941" t="e">
            <v>#N/A</v>
          </cell>
          <cell r="AA2941" t="e">
            <v>#N/A</v>
          </cell>
        </row>
        <row r="2942">
          <cell r="Y2942">
            <v>59785</v>
          </cell>
          <cell r="Z2942" t="e">
            <v>#N/A</v>
          </cell>
          <cell r="AA2942" t="e">
            <v>#N/A</v>
          </cell>
        </row>
        <row r="2943">
          <cell r="Y2943">
            <v>59792</v>
          </cell>
          <cell r="Z2943" t="e">
            <v>#N/A</v>
          </cell>
          <cell r="AA2943" t="e">
            <v>#N/A</v>
          </cell>
        </row>
        <row r="2944">
          <cell r="Y2944">
            <v>59799</v>
          </cell>
          <cell r="Z2944" t="e">
            <v>#N/A</v>
          </cell>
          <cell r="AA2944" t="e">
            <v>#N/A</v>
          </cell>
        </row>
        <row r="2945">
          <cell r="Y2945">
            <v>59806</v>
          </cell>
          <cell r="Z2945" t="e">
            <v>#N/A</v>
          </cell>
          <cell r="AA2945" t="e">
            <v>#N/A</v>
          </cell>
        </row>
        <row r="2946">
          <cell r="Y2946">
            <v>59813</v>
          </cell>
          <cell r="Z2946" t="e">
            <v>#N/A</v>
          </cell>
          <cell r="AA2946" t="e">
            <v>#N/A</v>
          </cell>
        </row>
        <row r="2947">
          <cell r="Y2947">
            <v>59820</v>
          </cell>
          <cell r="Z2947" t="e">
            <v>#N/A</v>
          </cell>
          <cell r="AA2947" t="e">
            <v>#N/A</v>
          </cell>
        </row>
        <row r="2948">
          <cell r="Y2948">
            <v>59827</v>
          </cell>
          <cell r="Z2948" t="e">
            <v>#N/A</v>
          </cell>
          <cell r="AA2948" t="e">
            <v>#N/A</v>
          </cell>
        </row>
        <row r="2949">
          <cell r="Y2949">
            <v>59834</v>
          </cell>
          <cell r="Z2949" t="e">
            <v>#N/A</v>
          </cell>
          <cell r="AA2949" t="e">
            <v>#N/A</v>
          </cell>
        </row>
        <row r="2950">
          <cell r="Y2950">
            <v>59841</v>
          </cell>
          <cell r="Z2950" t="e">
            <v>#N/A</v>
          </cell>
          <cell r="AA2950" t="e">
            <v>#N/A</v>
          </cell>
        </row>
        <row r="2951">
          <cell r="Y2951">
            <v>59848</v>
          </cell>
          <cell r="Z2951" t="e">
            <v>#N/A</v>
          </cell>
          <cell r="AA2951" t="e">
            <v>#N/A</v>
          </cell>
        </row>
        <row r="2952">
          <cell r="Y2952">
            <v>59855</v>
          </cell>
          <cell r="Z2952" t="e">
            <v>#N/A</v>
          </cell>
          <cell r="AA2952" t="e">
            <v>#N/A</v>
          </cell>
        </row>
        <row r="2953">
          <cell r="Y2953">
            <v>59862</v>
          </cell>
          <cell r="Z2953" t="e">
            <v>#N/A</v>
          </cell>
          <cell r="AA2953" t="e">
            <v>#N/A</v>
          </cell>
        </row>
        <row r="2954">
          <cell r="Y2954">
            <v>59869</v>
          </cell>
          <cell r="Z2954" t="e">
            <v>#N/A</v>
          </cell>
          <cell r="AA2954" t="e">
            <v>#N/A</v>
          </cell>
        </row>
        <row r="2955">
          <cell r="Y2955">
            <v>59876</v>
          </cell>
          <cell r="Z2955" t="e">
            <v>#N/A</v>
          </cell>
          <cell r="AA2955" t="e">
            <v>#N/A</v>
          </cell>
        </row>
        <row r="2956">
          <cell r="Y2956">
            <v>59883</v>
          </cell>
          <cell r="Z2956" t="e">
            <v>#N/A</v>
          </cell>
          <cell r="AA2956" t="e">
            <v>#N/A</v>
          </cell>
        </row>
        <row r="2957">
          <cell r="Y2957">
            <v>59890</v>
          </cell>
          <cell r="Z2957" t="e">
            <v>#N/A</v>
          </cell>
          <cell r="AA2957" t="e">
            <v>#N/A</v>
          </cell>
        </row>
        <row r="2958">
          <cell r="Y2958">
            <v>59905</v>
          </cell>
          <cell r="Z2958" t="e">
            <v>#N/A</v>
          </cell>
          <cell r="AA2958" t="e">
            <v>#N/A</v>
          </cell>
        </row>
        <row r="2959">
          <cell r="Y2959">
            <v>59909</v>
          </cell>
          <cell r="Z2959" t="e">
            <v>#N/A</v>
          </cell>
          <cell r="AA2959" t="e">
            <v>#N/A</v>
          </cell>
        </row>
        <row r="2960">
          <cell r="Y2960">
            <v>59917</v>
          </cell>
          <cell r="Z2960" t="e">
            <v>#N/A</v>
          </cell>
          <cell r="AA2960" t="e">
            <v>#N/A</v>
          </cell>
        </row>
        <row r="2961">
          <cell r="Y2961">
            <v>59923</v>
          </cell>
          <cell r="Z2961" t="e">
            <v>#N/A</v>
          </cell>
          <cell r="AA2961" t="e">
            <v>#N/A</v>
          </cell>
        </row>
        <row r="2962">
          <cell r="Y2962">
            <v>59930</v>
          </cell>
          <cell r="Z2962" t="e">
            <v>#N/A</v>
          </cell>
          <cell r="AA2962" t="e">
            <v>#N/A</v>
          </cell>
        </row>
        <row r="2963">
          <cell r="Y2963">
            <v>59937</v>
          </cell>
          <cell r="Z2963" t="e">
            <v>#N/A</v>
          </cell>
          <cell r="AA2963" t="e">
            <v>#N/A</v>
          </cell>
        </row>
        <row r="2964">
          <cell r="Y2964">
            <v>59945</v>
          </cell>
          <cell r="Z2964" t="e">
            <v>#N/A</v>
          </cell>
          <cell r="AA2964" t="e">
            <v>#N/A</v>
          </cell>
        </row>
        <row r="2965">
          <cell r="Y2965">
            <v>59951</v>
          </cell>
          <cell r="Z2965" t="e">
            <v>#N/A</v>
          </cell>
          <cell r="AA2965" t="e">
            <v>#N/A</v>
          </cell>
        </row>
        <row r="2966">
          <cell r="Y2966">
            <v>59958</v>
          </cell>
          <cell r="Z2966" t="e">
            <v>#N/A</v>
          </cell>
          <cell r="AA2966" t="e">
            <v>#N/A</v>
          </cell>
        </row>
        <row r="2967">
          <cell r="Y2967">
            <v>59965</v>
          </cell>
          <cell r="Z2967" t="e">
            <v>#N/A</v>
          </cell>
          <cell r="AA2967" t="e">
            <v>#N/A</v>
          </cell>
        </row>
        <row r="2968">
          <cell r="Y2968">
            <v>59972</v>
          </cell>
          <cell r="Z2968" t="e">
            <v>#N/A</v>
          </cell>
          <cell r="AA2968" t="e">
            <v>#N/A</v>
          </cell>
        </row>
        <row r="2969">
          <cell r="Y2969">
            <v>59979</v>
          </cell>
          <cell r="Z2969" t="e">
            <v>#N/A</v>
          </cell>
          <cell r="AA2969" t="e">
            <v>#N/A</v>
          </cell>
        </row>
        <row r="2970">
          <cell r="Y2970">
            <v>59986</v>
          </cell>
          <cell r="Z2970" t="e">
            <v>#N/A</v>
          </cell>
          <cell r="AA2970" t="e">
            <v>#N/A</v>
          </cell>
        </row>
        <row r="2971">
          <cell r="Y2971">
            <v>59993</v>
          </cell>
          <cell r="Z2971" t="e">
            <v>#N/A</v>
          </cell>
          <cell r="AA2971" t="e">
            <v>#N/A</v>
          </cell>
        </row>
        <row r="2972">
          <cell r="Y2972">
            <v>60002</v>
          </cell>
          <cell r="Z2972" t="e">
            <v>#N/A</v>
          </cell>
          <cell r="AA2972" t="e">
            <v>#N/A</v>
          </cell>
        </row>
        <row r="2973">
          <cell r="Y2973">
            <v>60009</v>
          </cell>
          <cell r="Z2973" t="e">
            <v>#N/A</v>
          </cell>
          <cell r="AA2973" t="e">
            <v>#N/A</v>
          </cell>
        </row>
        <row r="2974">
          <cell r="Y2974">
            <v>60016</v>
          </cell>
          <cell r="Z2974" t="e">
            <v>#N/A</v>
          </cell>
          <cell r="AA2974" t="e">
            <v>#N/A</v>
          </cell>
        </row>
        <row r="2975">
          <cell r="Y2975">
            <v>60024</v>
          </cell>
          <cell r="Z2975" t="e">
            <v>#N/A</v>
          </cell>
          <cell r="AA2975" t="e">
            <v>#N/A</v>
          </cell>
        </row>
        <row r="2976">
          <cell r="Y2976">
            <v>60031</v>
          </cell>
          <cell r="Z2976" t="e">
            <v>#N/A</v>
          </cell>
          <cell r="AA2976" t="e">
            <v>#N/A</v>
          </cell>
        </row>
        <row r="2977">
          <cell r="Y2977">
            <v>60038</v>
          </cell>
          <cell r="Z2977" t="e">
            <v>#N/A</v>
          </cell>
          <cell r="AA2977" t="e">
            <v>#N/A</v>
          </cell>
        </row>
        <row r="2978">
          <cell r="Y2978">
            <v>60045</v>
          </cell>
          <cell r="Z2978" t="e">
            <v>#N/A</v>
          </cell>
          <cell r="AA2978" t="e">
            <v>#N/A</v>
          </cell>
        </row>
        <row r="2979">
          <cell r="Y2979">
            <v>60052</v>
          </cell>
          <cell r="Z2979" t="e">
            <v>#N/A</v>
          </cell>
          <cell r="AA2979" t="e">
            <v>#N/A</v>
          </cell>
        </row>
        <row r="2980">
          <cell r="Y2980">
            <v>60059</v>
          </cell>
          <cell r="Z2980" t="e">
            <v>#N/A</v>
          </cell>
          <cell r="AA2980" t="e">
            <v>#N/A</v>
          </cell>
        </row>
        <row r="2981">
          <cell r="Y2981">
            <v>60066</v>
          </cell>
          <cell r="Z2981" t="e">
            <v>#N/A</v>
          </cell>
          <cell r="AA2981" t="e">
            <v>#N/A</v>
          </cell>
        </row>
        <row r="2982">
          <cell r="Y2982">
            <v>60073</v>
          </cell>
          <cell r="Z2982" t="e">
            <v>#N/A</v>
          </cell>
          <cell r="AA2982" t="e">
            <v>#N/A</v>
          </cell>
        </row>
        <row r="2983">
          <cell r="Y2983">
            <v>60080</v>
          </cell>
          <cell r="Z2983" t="e">
            <v>#N/A</v>
          </cell>
          <cell r="AA2983" t="e">
            <v>#N/A</v>
          </cell>
        </row>
        <row r="2984">
          <cell r="Y2984">
            <v>60087</v>
          </cell>
          <cell r="Z2984" t="e">
            <v>#N/A</v>
          </cell>
          <cell r="AA2984" t="e">
            <v>#N/A</v>
          </cell>
        </row>
        <row r="2985">
          <cell r="Y2985">
            <v>60094</v>
          </cell>
          <cell r="Z2985" t="e">
            <v>#N/A</v>
          </cell>
          <cell r="AA2985" t="e">
            <v>#N/A</v>
          </cell>
        </row>
        <row r="2986">
          <cell r="Y2986">
            <v>60101</v>
          </cell>
          <cell r="Z2986" t="e">
            <v>#N/A</v>
          </cell>
          <cell r="AA2986" t="e">
            <v>#N/A</v>
          </cell>
        </row>
        <row r="2987">
          <cell r="Y2987">
            <v>60108</v>
          </cell>
          <cell r="Z2987" t="e">
            <v>#N/A</v>
          </cell>
          <cell r="AA2987" t="e">
            <v>#N/A</v>
          </cell>
        </row>
        <row r="2988">
          <cell r="Y2988">
            <v>60115</v>
          </cell>
          <cell r="Z2988" t="e">
            <v>#N/A</v>
          </cell>
          <cell r="AA2988" t="e">
            <v>#N/A</v>
          </cell>
        </row>
        <row r="2989">
          <cell r="Y2989">
            <v>60122</v>
          </cell>
          <cell r="Z2989" t="e">
            <v>#N/A</v>
          </cell>
          <cell r="AA2989" t="e">
            <v>#N/A</v>
          </cell>
        </row>
        <row r="2990">
          <cell r="Y2990">
            <v>60129</v>
          </cell>
          <cell r="Z2990" t="e">
            <v>#N/A</v>
          </cell>
          <cell r="AA2990" t="e">
            <v>#N/A</v>
          </cell>
        </row>
        <row r="2991">
          <cell r="Y2991">
            <v>60136</v>
          </cell>
          <cell r="Z2991" t="e">
            <v>#N/A</v>
          </cell>
          <cell r="AA2991" t="e">
            <v>#N/A</v>
          </cell>
        </row>
        <row r="2992">
          <cell r="Y2992">
            <v>60143</v>
          </cell>
          <cell r="Z2992" t="e">
            <v>#N/A</v>
          </cell>
          <cell r="AA2992" t="e">
            <v>#N/A</v>
          </cell>
        </row>
        <row r="2993">
          <cell r="Y2993">
            <v>60150</v>
          </cell>
          <cell r="Z2993" t="e">
            <v>#N/A</v>
          </cell>
          <cell r="AA2993" t="e">
            <v>#N/A</v>
          </cell>
        </row>
        <row r="2994">
          <cell r="Y2994">
            <v>60157</v>
          </cell>
          <cell r="Z2994" t="e">
            <v>#N/A</v>
          </cell>
          <cell r="AA2994" t="e">
            <v>#N/A</v>
          </cell>
        </row>
        <row r="2995">
          <cell r="Y2995">
            <v>60164</v>
          </cell>
          <cell r="Z2995" t="e">
            <v>#N/A</v>
          </cell>
          <cell r="AA2995" t="e">
            <v>#N/A</v>
          </cell>
        </row>
        <row r="2996">
          <cell r="Y2996">
            <v>60171</v>
          </cell>
          <cell r="Z2996" t="e">
            <v>#N/A</v>
          </cell>
          <cell r="AA2996" t="e">
            <v>#N/A</v>
          </cell>
        </row>
        <row r="2997">
          <cell r="Y2997">
            <v>60178</v>
          </cell>
          <cell r="Z2997" t="e">
            <v>#N/A</v>
          </cell>
          <cell r="AA2997" t="e">
            <v>#N/A</v>
          </cell>
        </row>
        <row r="2998">
          <cell r="Y2998">
            <v>60185</v>
          </cell>
          <cell r="Z2998" t="e">
            <v>#N/A</v>
          </cell>
          <cell r="AA2998" t="e">
            <v>#N/A</v>
          </cell>
        </row>
        <row r="2999">
          <cell r="Y2999">
            <v>60192</v>
          </cell>
          <cell r="Z2999" t="e">
            <v>#N/A</v>
          </cell>
          <cell r="AA2999" t="e">
            <v>#N/A</v>
          </cell>
        </row>
        <row r="3000">
          <cell r="Y3000">
            <v>60199</v>
          </cell>
          <cell r="Z3000" t="e">
            <v>#N/A</v>
          </cell>
          <cell r="AA3000" t="e">
            <v>#N/A</v>
          </cell>
        </row>
        <row r="3001">
          <cell r="Y3001">
            <v>60206</v>
          </cell>
          <cell r="Z3001" t="e">
            <v>#N/A</v>
          </cell>
          <cell r="AA3001" t="e">
            <v>#N/A</v>
          </cell>
        </row>
        <row r="3002">
          <cell r="Y3002">
            <v>60213</v>
          </cell>
          <cell r="Z3002" t="e">
            <v>#N/A</v>
          </cell>
          <cell r="AA3002" t="e">
            <v>#N/A</v>
          </cell>
        </row>
        <row r="3003">
          <cell r="Y3003">
            <v>60220</v>
          </cell>
          <cell r="Z3003" t="e">
            <v>#N/A</v>
          </cell>
          <cell r="AA3003" t="e">
            <v>#N/A</v>
          </cell>
        </row>
        <row r="3004">
          <cell r="Y3004">
            <v>60227</v>
          </cell>
          <cell r="Z3004" t="e">
            <v>#N/A</v>
          </cell>
          <cell r="AA3004" t="e">
            <v>#N/A</v>
          </cell>
        </row>
        <row r="3005">
          <cell r="Y3005">
            <v>60234</v>
          </cell>
          <cell r="Z3005" t="e">
            <v>#N/A</v>
          </cell>
          <cell r="AA3005" t="e">
            <v>#N/A</v>
          </cell>
        </row>
        <row r="3006">
          <cell r="Y3006">
            <v>60241</v>
          </cell>
          <cell r="Z3006" t="e">
            <v>#N/A</v>
          </cell>
          <cell r="AA3006" t="e">
            <v>#N/A</v>
          </cell>
        </row>
        <row r="3007">
          <cell r="Y3007">
            <v>60248</v>
          </cell>
          <cell r="Z3007" t="e">
            <v>#N/A</v>
          </cell>
          <cell r="AA3007" t="e">
            <v>#N/A</v>
          </cell>
        </row>
        <row r="3008">
          <cell r="Y3008">
            <v>60255</v>
          </cell>
          <cell r="Z3008" t="e">
            <v>#N/A</v>
          </cell>
          <cell r="AA3008" t="e">
            <v>#N/A</v>
          </cell>
        </row>
        <row r="3009">
          <cell r="Y3009">
            <v>60266</v>
          </cell>
          <cell r="Z3009" t="e">
            <v>#N/A</v>
          </cell>
          <cell r="AA3009" t="e">
            <v>#N/A</v>
          </cell>
        </row>
        <row r="3010">
          <cell r="Y3010">
            <v>60274</v>
          </cell>
          <cell r="Z3010" t="e">
            <v>#N/A</v>
          </cell>
          <cell r="AA3010" t="e">
            <v>#N/A</v>
          </cell>
        </row>
        <row r="3011">
          <cell r="Y3011">
            <v>60282</v>
          </cell>
          <cell r="Z3011" t="e">
            <v>#N/A</v>
          </cell>
          <cell r="AA3011" t="e">
            <v>#N/A</v>
          </cell>
        </row>
        <row r="3012">
          <cell r="Y3012">
            <v>60289</v>
          </cell>
          <cell r="Z3012" t="e">
            <v>#N/A</v>
          </cell>
          <cell r="AA3012" t="e">
            <v>#N/A</v>
          </cell>
        </row>
        <row r="3013">
          <cell r="Y3013">
            <v>60296</v>
          </cell>
          <cell r="Z3013" t="e">
            <v>#N/A</v>
          </cell>
          <cell r="AA3013" t="e">
            <v>#N/A</v>
          </cell>
        </row>
        <row r="3014">
          <cell r="Y3014">
            <v>60303</v>
          </cell>
          <cell r="Z3014" t="e">
            <v>#N/A</v>
          </cell>
          <cell r="AA3014" t="e">
            <v>#N/A</v>
          </cell>
        </row>
        <row r="3015">
          <cell r="Y3015">
            <v>60311</v>
          </cell>
          <cell r="Z3015" t="e">
            <v>#N/A</v>
          </cell>
          <cell r="AA3015" t="e">
            <v>#N/A</v>
          </cell>
        </row>
        <row r="3016">
          <cell r="Y3016">
            <v>60317</v>
          </cell>
          <cell r="Z3016" t="e">
            <v>#N/A</v>
          </cell>
          <cell r="AA3016" t="e">
            <v>#N/A</v>
          </cell>
        </row>
        <row r="3017">
          <cell r="Y3017">
            <v>60324</v>
          </cell>
          <cell r="Z3017" t="e">
            <v>#N/A</v>
          </cell>
          <cell r="AA3017" t="e">
            <v>#N/A</v>
          </cell>
        </row>
        <row r="3018">
          <cell r="Y3018">
            <v>60331</v>
          </cell>
          <cell r="Z3018" t="e">
            <v>#N/A</v>
          </cell>
          <cell r="AA3018" t="e">
            <v>#N/A</v>
          </cell>
        </row>
        <row r="3019">
          <cell r="Y3019">
            <v>60338</v>
          </cell>
          <cell r="Z3019" t="e">
            <v>#N/A</v>
          </cell>
          <cell r="AA3019" t="e">
            <v>#N/A</v>
          </cell>
        </row>
        <row r="3020">
          <cell r="Y3020">
            <v>60345</v>
          </cell>
          <cell r="Z3020" t="e">
            <v>#N/A</v>
          </cell>
          <cell r="AA3020" t="e">
            <v>#N/A</v>
          </cell>
        </row>
        <row r="3021">
          <cell r="Y3021">
            <v>60352</v>
          </cell>
          <cell r="Z3021" t="e">
            <v>#N/A</v>
          </cell>
          <cell r="AA3021" t="e">
            <v>#N/A</v>
          </cell>
        </row>
        <row r="3022">
          <cell r="Y3022">
            <v>60359</v>
          </cell>
          <cell r="Z3022" t="e">
            <v>#N/A</v>
          </cell>
          <cell r="AA3022" t="e">
            <v>#N/A</v>
          </cell>
        </row>
        <row r="3023">
          <cell r="Y3023">
            <v>60366</v>
          </cell>
          <cell r="Z3023" t="e">
            <v>#N/A</v>
          </cell>
          <cell r="AA3023" t="e">
            <v>#N/A</v>
          </cell>
        </row>
        <row r="3024">
          <cell r="Y3024">
            <v>60373</v>
          </cell>
          <cell r="Z3024" t="e">
            <v>#N/A</v>
          </cell>
          <cell r="AA3024" t="e">
            <v>#N/A</v>
          </cell>
        </row>
        <row r="3025">
          <cell r="Y3025">
            <v>60380</v>
          </cell>
          <cell r="Z3025" t="e">
            <v>#N/A</v>
          </cell>
          <cell r="AA3025" t="e">
            <v>#N/A</v>
          </cell>
        </row>
        <row r="3026">
          <cell r="Y3026">
            <v>60388</v>
          </cell>
          <cell r="Z3026" t="e">
            <v>#N/A</v>
          </cell>
          <cell r="AA3026" t="e">
            <v>#N/A</v>
          </cell>
        </row>
        <row r="3027">
          <cell r="Y3027">
            <v>60398</v>
          </cell>
          <cell r="Z3027" t="e">
            <v>#N/A</v>
          </cell>
          <cell r="AA3027" t="e">
            <v>#N/A</v>
          </cell>
        </row>
        <row r="3028">
          <cell r="Y3028">
            <v>60405</v>
          </cell>
          <cell r="Z3028" t="e">
            <v>#N/A</v>
          </cell>
          <cell r="AA3028" t="e">
            <v>#N/A</v>
          </cell>
        </row>
        <row r="3029">
          <cell r="Y3029">
            <v>60413</v>
          </cell>
          <cell r="Z3029" t="e">
            <v>#N/A</v>
          </cell>
          <cell r="AA3029" t="e">
            <v>#N/A</v>
          </cell>
        </row>
        <row r="3030">
          <cell r="Y3030">
            <v>60419</v>
          </cell>
          <cell r="Z3030" t="e">
            <v>#N/A</v>
          </cell>
          <cell r="AA3030" t="e">
            <v>#N/A</v>
          </cell>
        </row>
        <row r="3031">
          <cell r="Y3031">
            <v>60426</v>
          </cell>
          <cell r="Z3031" t="e">
            <v>#N/A</v>
          </cell>
          <cell r="AA3031" t="e">
            <v>#N/A</v>
          </cell>
        </row>
        <row r="3032">
          <cell r="Y3032">
            <v>60433</v>
          </cell>
          <cell r="Z3032" t="e">
            <v>#N/A</v>
          </cell>
          <cell r="AA3032" t="e">
            <v>#N/A</v>
          </cell>
        </row>
        <row r="3033">
          <cell r="Y3033">
            <v>60440</v>
          </cell>
          <cell r="Z3033" t="e">
            <v>#N/A</v>
          </cell>
          <cell r="AA3033" t="e">
            <v>#N/A</v>
          </cell>
        </row>
        <row r="3034">
          <cell r="Y3034">
            <v>60447</v>
          </cell>
          <cell r="Z3034" t="e">
            <v>#N/A</v>
          </cell>
          <cell r="AA3034" t="e">
            <v>#N/A</v>
          </cell>
        </row>
        <row r="3035">
          <cell r="Y3035">
            <v>60454</v>
          </cell>
          <cell r="Z3035" t="e">
            <v>#N/A</v>
          </cell>
          <cell r="AA3035" t="e">
            <v>#N/A</v>
          </cell>
        </row>
        <row r="3036">
          <cell r="Y3036">
            <v>60461</v>
          </cell>
          <cell r="Z3036" t="e">
            <v>#N/A</v>
          </cell>
          <cell r="AA3036" t="e">
            <v>#N/A</v>
          </cell>
        </row>
        <row r="3037">
          <cell r="Y3037">
            <v>60469</v>
          </cell>
          <cell r="Z3037" t="e">
            <v>#N/A</v>
          </cell>
          <cell r="AA3037" t="e">
            <v>#N/A</v>
          </cell>
        </row>
        <row r="3038">
          <cell r="Y3038">
            <v>60475</v>
          </cell>
          <cell r="Z3038" t="e">
            <v>#N/A</v>
          </cell>
          <cell r="AA3038" t="e">
            <v>#N/A</v>
          </cell>
        </row>
        <row r="3039">
          <cell r="Y3039">
            <v>60482</v>
          </cell>
          <cell r="Z3039" t="e">
            <v>#N/A</v>
          </cell>
          <cell r="AA3039" t="e">
            <v>#N/A</v>
          </cell>
        </row>
        <row r="3040">
          <cell r="Y3040">
            <v>60489</v>
          </cell>
          <cell r="Z3040" t="e">
            <v>#N/A</v>
          </cell>
          <cell r="AA3040" t="e">
            <v>#N/A</v>
          </cell>
        </row>
        <row r="3041">
          <cell r="Y3041">
            <v>60496</v>
          </cell>
          <cell r="Z3041" t="e">
            <v>#N/A</v>
          </cell>
          <cell r="AA3041" t="e">
            <v>#N/A</v>
          </cell>
        </row>
        <row r="3042">
          <cell r="Y3042">
            <v>60503</v>
          </cell>
          <cell r="Z3042" t="e">
            <v>#N/A</v>
          </cell>
          <cell r="AA3042" t="e">
            <v>#N/A</v>
          </cell>
        </row>
        <row r="3043">
          <cell r="Y3043">
            <v>60511</v>
          </cell>
          <cell r="Z3043" t="e">
            <v>#N/A</v>
          </cell>
          <cell r="AA3043" t="e">
            <v>#N/A</v>
          </cell>
        </row>
        <row r="3044">
          <cell r="Y3044">
            <v>60517</v>
          </cell>
          <cell r="Z3044" t="e">
            <v>#N/A</v>
          </cell>
          <cell r="AA3044" t="e">
            <v>#N/A</v>
          </cell>
        </row>
        <row r="3045">
          <cell r="Y3045">
            <v>60524</v>
          </cell>
          <cell r="Z3045" t="e">
            <v>#N/A</v>
          </cell>
          <cell r="AA3045" t="e">
            <v>#N/A</v>
          </cell>
        </row>
        <row r="3046">
          <cell r="Y3046">
            <v>60533</v>
          </cell>
          <cell r="Z3046" t="e">
            <v>#N/A</v>
          </cell>
          <cell r="AA3046" t="e">
            <v>#N/A</v>
          </cell>
        </row>
        <row r="3047">
          <cell r="Y3047">
            <v>60538</v>
          </cell>
          <cell r="Z3047" t="e">
            <v>#N/A</v>
          </cell>
          <cell r="AA3047" t="e">
            <v>#N/A</v>
          </cell>
        </row>
        <row r="3048">
          <cell r="Y3048">
            <v>60545</v>
          </cell>
          <cell r="Z3048" t="e">
            <v>#N/A</v>
          </cell>
          <cell r="AA3048" t="e">
            <v>#N/A</v>
          </cell>
        </row>
        <row r="3049">
          <cell r="Y3049">
            <v>60553</v>
          </cell>
          <cell r="Z3049" t="e">
            <v>#N/A</v>
          </cell>
          <cell r="AA3049" t="e">
            <v>#N/A</v>
          </cell>
        </row>
        <row r="3050">
          <cell r="Y3050">
            <v>60559</v>
          </cell>
          <cell r="Z3050" t="e">
            <v>#N/A</v>
          </cell>
          <cell r="AA3050" t="e">
            <v>#N/A</v>
          </cell>
        </row>
        <row r="3051">
          <cell r="Y3051">
            <v>60566</v>
          </cell>
          <cell r="Z3051" t="e">
            <v>#N/A</v>
          </cell>
          <cell r="AA3051" t="e">
            <v>#N/A</v>
          </cell>
        </row>
        <row r="3052">
          <cell r="Y3052">
            <v>60573</v>
          </cell>
          <cell r="Z3052" t="e">
            <v>#N/A</v>
          </cell>
          <cell r="AA3052" t="e">
            <v>#N/A</v>
          </cell>
        </row>
        <row r="3053">
          <cell r="Y3053">
            <v>60580</v>
          </cell>
          <cell r="Z3053" t="e">
            <v>#N/A</v>
          </cell>
          <cell r="AA3053" t="e">
            <v>#N/A</v>
          </cell>
        </row>
        <row r="3054">
          <cell r="Y3054">
            <v>60587</v>
          </cell>
          <cell r="Z3054" t="e">
            <v>#N/A</v>
          </cell>
          <cell r="AA3054" t="e">
            <v>#N/A</v>
          </cell>
        </row>
        <row r="3055">
          <cell r="Y3055">
            <v>60595</v>
          </cell>
          <cell r="Z3055" t="e">
            <v>#N/A</v>
          </cell>
          <cell r="AA3055" t="e">
            <v>#N/A</v>
          </cell>
        </row>
        <row r="3056">
          <cell r="Y3056">
            <v>60601</v>
          </cell>
          <cell r="Z3056" t="e">
            <v>#N/A</v>
          </cell>
          <cell r="AA3056" t="e">
            <v>#N/A</v>
          </cell>
        </row>
        <row r="3057">
          <cell r="Y3057">
            <v>60608</v>
          </cell>
          <cell r="Z3057" t="e">
            <v>#N/A</v>
          </cell>
          <cell r="AA3057" t="e">
            <v>#N/A</v>
          </cell>
        </row>
        <row r="3058">
          <cell r="Y3058">
            <v>60615</v>
          </cell>
          <cell r="Z3058" t="e">
            <v>#N/A</v>
          </cell>
          <cell r="AA3058" t="e">
            <v>#N/A</v>
          </cell>
        </row>
        <row r="3059">
          <cell r="Y3059">
            <v>60622</v>
          </cell>
          <cell r="Z3059" t="e">
            <v>#N/A</v>
          </cell>
          <cell r="AA3059" t="e">
            <v>#N/A</v>
          </cell>
        </row>
        <row r="3060">
          <cell r="Y3060">
            <v>60631</v>
          </cell>
          <cell r="Z3060" t="e">
            <v>#N/A</v>
          </cell>
          <cell r="AA3060" t="e">
            <v>#N/A</v>
          </cell>
        </row>
        <row r="3061">
          <cell r="Y3061">
            <v>60638</v>
          </cell>
          <cell r="Z3061" t="e">
            <v>#N/A</v>
          </cell>
          <cell r="AA3061" t="e">
            <v>#N/A</v>
          </cell>
        </row>
        <row r="3062">
          <cell r="Y3062">
            <v>60646</v>
          </cell>
          <cell r="Z3062" t="e">
            <v>#N/A</v>
          </cell>
          <cell r="AA3062" t="e">
            <v>#N/A</v>
          </cell>
        </row>
        <row r="3063">
          <cell r="Y3063">
            <v>60653</v>
          </cell>
          <cell r="Z3063" t="e">
            <v>#N/A</v>
          </cell>
          <cell r="AA3063" t="e">
            <v>#N/A</v>
          </cell>
        </row>
        <row r="3064">
          <cell r="Y3064">
            <v>60660</v>
          </cell>
          <cell r="Z3064" t="e">
            <v>#N/A</v>
          </cell>
          <cell r="AA3064" t="e">
            <v>#N/A</v>
          </cell>
        </row>
        <row r="3065">
          <cell r="Y3065">
            <v>60667</v>
          </cell>
          <cell r="Z3065" t="e">
            <v>#N/A</v>
          </cell>
          <cell r="AA3065" t="e">
            <v>#N/A</v>
          </cell>
        </row>
        <row r="3066">
          <cell r="Y3066">
            <v>60675</v>
          </cell>
          <cell r="Z3066" t="e">
            <v>#N/A</v>
          </cell>
          <cell r="AA3066" t="e">
            <v>#N/A</v>
          </cell>
        </row>
        <row r="3067">
          <cell r="Y3067">
            <v>60681</v>
          </cell>
          <cell r="Z3067" t="e">
            <v>#N/A</v>
          </cell>
          <cell r="AA3067" t="e">
            <v>#N/A</v>
          </cell>
        </row>
        <row r="3068">
          <cell r="Y3068">
            <v>60688</v>
          </cell>
          <cell r="Z3068" t="e">
            <v>#N/A</v>
          </cell>
          <cell r="AA3068" t="e">
            <v>#N/A</v>
          </cell>
        </row>
        <row r="3069">
          <cell r="Y3069">
            <v>60695</v>
          </cell>
          <cell r="Z3069" t="e">
            <v>#N/A</v>
          </cell>
          <cell r="AA3069" t="e">
            <v>#N/A</v>
          </cell>
        </row>
        <row r="3070">
          <cell r="Y3070">
            <v>60702</v>
          </cell>
          <cell r="Z3070" t="e">
            <v>#N/A</v>
          </cell>
          <cell r="AA3070" t="e">
            <v>#N/A</v>
          </cell>
        </row>
        <row r="3071">
          <cell r="Y3071">
            <v>60709</v>
          </cell>
          <cell r="Z3071" t="e">
            <v>#N/A</v>
          </cell>
          <cell r="AA3071" t="e">
            <v>#N/A</v>
          </cell>
        </row>
        <row r="3072">
          <cell r="Y3072">
            <v>60716</v>
          </cell>
          <cell r="Z3072" t="e">
            <v>#N/A</v>
          </cell>
          <cell r="AA3072" t="e">
            <v>#N/A</v>
          </cell>
        </row>
        <row r="3073">
          <cell r="Y3073">
            <v>60723</v>
          </cell>
          <cell r="Z3073" t="e">
            <v>#N/A</v>
          </cell>
          <cell r="AA3073" t="e">
            <v>#N/A</v>
          </cell>
        </row>
        <row r="3074">
          <cell r="Y3074">
            <v>60730</v>
          </cell>
          <cell r="Z3074" t="e">
            <v>#N/A</v>
          </cell>
          <cell r="AA3074" t="e">
            <v>#N/A</v>
          </cell>
        </row>
        <row r="3075">
          <cell r="Y3075">
            <v>60737</v>
          </cell>
          <cell r="Z3075" t="e">
            <v>#N/A</v>
          </cell>
          <cell r="AA3075" t="e">
            <v>#N/A</v>
          </cell>
        </row>
        <row r="3076">
          <cell r="Y3076">
            <v>60744</v>
          </cell>
          <cell r="Z3076" t="e">
            <v>#N/A</v>
          </cell>
          <cell r="AA3076" t="e">
            <v>#N/A</v>
          </cell>
        </row>
        <row r="3077">
          <cell r="Y3077">
            <v>60752</v>
          </cell>
          <cell r="Z3077" t="e">
            <v>#N/A</v>
          </cell>
          <cell r="AA3077" t="e">
            <v>#N/A</v>
          </cell>
        </row>
        <row r="3078">
          <cell r="Y3078">
            <v>60762</v>
          </cell>
          <cell r="Z3078" t="e">
            <v>#N/A</v>
          </cell>
          <cell r="AA3078" t="e">
            <v>#N/A</v>
          </cell>
        </row>
        <row r="3079">
          <cell r="Y3079">
            <v>60769</v>
          </cell>
          <cell r="Z3079" t="e">
            <v>#N/A</v>
          </cell>
          <cell r="AA3079" t="e">
            <v>#N/A</v>
          </cell>
        </row>
        <row r="3080">
          <cell r="Y3080">
            <v>60776</v>
          </cell>
          <cell r="Z3080" t="e">
            <v>#N/A</v>
          </cell>
          <cell r="AA3080" t="e">
            <v>#N/A</v>
          </cell>
        </row>
        <row r="3081">
          <cell r="Y3081">
            <v>60784</v>
          </cell>
          <cell r="Z3081" t="e">
            <v>#N/A</v>
          </cell>
          <cell r="AA3081" t="e">
            <v>#N/A</v>
          </cell>
        </row>
        <row r="3082">
          <cell r="Y3082">
            <v>60790</v>
          </cell>
          <cell r="Z3082" t="e">
            <v>#N/A</v>
          </cell>
          <cell r="AA3082" t="e">
            <v>#N/A</v>
          </cell>
        </row>
        <row r="3083">
          <cell r="Y3083">
            <v>60797</v>
          </cell>
          <cell r="Z3083" t="e">
            <v>#N/A</v>
          </cell>
          <cell r="AA3083" t="e">
            <v>#N/A</v>
          </cell>
        </row>
        <row r="3084">
          <cell r="Y3084">
            <v>60804</v>
          </cell>
          <cell r="Z3084" t="e">
            <v>#N/A</v>
          </cell>
          <cell r="AA3084" t="e">
            <v>#N/A</v>
          </cell>
        </row>
        <row r="3085">
          <cell r="Y3085">
            <v>60811</v>
          </cell>
          <cell r="Z3085" t="e">
            <v>#N/A</v>
          </cell>
          <cell r="AA3085" t="e">
            <v>#N/A</v>
          </cell>
        </row>
        <row r="3086">
          <cell r="Y3086">
            <v>60818</v>
          </cell>
          <cell r="Z3086" t="e">
            <v>#N/A</v>
          </cell>
          <cell r="AA3086" t="e">
            <v>#N/A</v>
          </cell>
        </row>
        <row r="3087">
          <cell r="Y3087">
            <v>60825</v>
          </cell>
          <cell r="Z3087" t="e">
            <v>#N/A</v>
          </cell>
          <cell r="AA3087" t="e">
            <v>#N/A</v>
          </cell>
        </row>
        <row r="3088">
          <cell r="Y3088">
            <v>60833</v>
          </cell>
          <cell r="Z3088" t="e">
            <v>#N/A</v>
          </cell>
          <cell r="AA3088" t="e">
            <v>#N/A</v>
          </cell>
        </row>
        <row r="3089">
          <cell r="Y3089">
            <v>60839</v>
          </cell>
          <cell r="Z3089" t="e">
            <v>#N/A</v>
          </cell>
          <cell r="AA3089" t="e">
            <v>#N/A</v>
          </cell>
        </row>
        <row r="3090">
          <cell r="Y3090">
            <v>60846</v>
          </cell>
          <cell r="Z3090" t="e">
            <v>#N/A</v>
          </cell>
          <cell r="AA3090" t="e">
            <v>#N/A</v>
          </cell>
        </row>
        <row r="3091">
          <cell r="Y3091">
            <v>60853</v>
          </cell>
          <cell r="Z3091" t="e">
            <v>#N/A</v>
          </cell>
          <cell r="AA3091" t="e">
            <v>#N/A</v>
          </cell>
        </row>
        <row r="3092">
          <cell r="Y3092">
            <v>60860</v>
          </cell>
          <cell r="Z3092" t="e">
            <v>#N/A</v>
          </cell>
          <cell r="AA3092" t="e">
            <v>#N/A</v>
          </cell>
        </row>
        <row r="3093">
          <cell r="Y3093">
            <v>60867</v>
          </cell>
          <cell r="Z3093" t="e">
            <v>#N/A</v>
          </cell>
          <cell r="AA3093" t="e">
            <v>#N/A</v>
          </cell>
        </row>
        <row r="3094">
          <cell r="Y3094">
            <v>60875</v>
          </cell>
          <cell r="Z3094" t="e">
            <v>#N/A</v>
          </cell>
          <cell r="AA3094" t="e">
            <v>#N/A</v>
          </cell>
        </row>
        <row r="3095">
          <cell r="Y3095">
            <v>60881</v>
          </cell>
          <cell r="Z3095" t="e">
            <v>#N/A</v>
          </cell>
          <cell r="AA3095" t="e">
            <v>#N/A</v>
          </cell>
        </row>
        <row r="3096">
          <cell r="Y3096">
            <v>60888</v>
          </cell>
          <cell r="Z3096" t="e">
            <v>#N/A</v>
          </cell>
          <cell r="AA3096" t="e">
            <v>#N/A</v>
          </cell>
        </row>
        <row r="3097">
          <cell r="Y3097">
            <v>60896</v>
          </cell>
          <cell r="Z3097" t="e">
            <v>#N/A</v>
          </cell>
          <cell r="AA3097" t="e">
            <v>#N/A</v>
          </cell>
        </row>
        <row r="3098">
          <cell r="Y3098">
            <v>60903</v>
          </cell>
          <cell r="Z3098" t="e">
            <v>#N/A</v>
          </cell>
          <cell r="AA3098" t="e">
            <v>#N/A</v>
          </cell>
        </row>
        <row r="3099">
          <cell r="Y3099">
            <v>60910</v>
          </cell>
          <cell r="Z3099" t="e">
            <v>#N/A</v>
          </cell>
          <cell r="AA3099" t="e">
            <v>#N/A</v>
          </cell>
        </row>
        <row r="3100">
          <cell r="Y3100">
            <v>60918</v>
          </cell>
          <cell r="Z3100" t="e">
            <v>#N/A</v>
          </cell>
          <cell r="AA3100" t="e">
            <v>#N/A</v>
          </cell>
        </row>
        <row r="3101">
          <cell r="Y3101">
            <v>60924</v>
          </cell>
          <cell r="Z3101" t="e">
            <v>#N/A</v>
          </cell>
          <cell r="AA3101" t="e">
            <v>#N/A</v>
          </cell>
        </row>
        <row r="3102">
          <cell r="Y3102">
            <v>60931</v>
          </cell>
          <cell r="Z3102" t="e">
            <v>#N/A</v>
          </cell>
          <cell r="AA3102" t="e">
            <v>#N/A</v>
          </cell>
        </row>
        <row r="3103">
          <cell r="Y3103">
            <v>60938</v>
          </cell>
          <cell r="Z3103" t="e">
            <v>#N/A</v>
          </cell>
          <cell r="AA3103" t="e">
            <v>#N/A</v>
          </cell>
        </row>
        <row r="3104">
          <cell r="Y3104">
            <v>60945</v>
          </cell>
          <cell r="Z3104" t="e">
            <v>#N/A</v>
          </cell>
          <cell r="AA3104" t="e">
            <v>#N/A</v>
          </cell>
        </row>
        <row r="3105">
          <cell r="Y3105">
            <v>60952</v>
          </cell>
          <cell r="Z3105" t="e">
            <v>#N/A</v>
          </cell>
          <cell r="AA3105" t="e">
            <v>#N/A</v>
          </cell>
        </row>
        <row r="3106">
          <cell r="Y3106">
            <v>60960</v>
          </cell>
          <cell r="Z3106" t="e">
            <v>#N/A</v>
          </cell>
          <cell r="AA3106" t="e">
            <v>#N/A</v>
          </cell>
        </row>
        <row r="3107">
          <cell r="Y3107">
            <v>60966</v>
          </cell>
          <cell r="Z3107" t="e">
            <v>#N/A</v>
          </cell>
          <cell r="AA3107" t="e">
            <v>#N/A</v>
          </cell>
        </row>
        <row r="3108">
          <cell r="Y3108">
            <v>60973</v>
          </cell>
          <cell r="Z3108" t="e">
            <v>#N/A</v>
          </cell>
          <cell r="AA3108" t="e">
            <v>#N/A</v>
          </cell>
        </row>
        <row r="3109">
          <cell r="Y3109">
            <v>60980</v>
          </cell>
          <cell r="Z3109" t="e">
            <v>#N/A</v>
          </cell>
          <cell r="AA3109" t="e">
            <v>#N/A</v>
          </cell>
        </row>
        <row r="3110">
          <cell r="Y3110">
            <v>60987</v>
          </cell>
          <cell r="Z3110" t="e">
            <v>#N/A</v>
          </cell>
          <cell r="AA3110" t="e">
            <v>#N/A</v>
          </cell>
        </row>
        <row r="3111">
          <cell r="Y3111">
            <v>60996</v>
          </cell>
          <cell r="Z3111" t="e">
            <v>#N/A</v>
          </cell>
          <cell r="AA3111" t="e">
            <v>#N/A</v>
          </cell>
        </row>
        <row r="3112">
          <cell r="Y3112">
            <v>61003</v>
          </cell>
          <cell r="Z3112" t="e">
            <v>#N/A</v>
          </cell>
          <cell r="AA3112" t="e">
            <v>#N/A</v>
          </cell>
        </row>
        <row r="3113">
          <cell r="Y3113">
            <v>61010</v>
          </cell>
          <cell r="Z3113" t="e">
            <v>#N/A</v>
          </cell>
          <cell r="AA3113" t="e">
            <v>#N/A</v>
          </cell>
        </row>
        <row r="3114">
          <cell r="Y3114">
            <v>61017</v>
          </cell>
          <cell r="Z3114" t="e">
            <v>#N/A</v>
          </cell>
          <cell r="AA3114" t="e">
            <v>#N/A</v>
          </cell>
        </row>
        <row r="3115">
          <cell r="Y3115">
            <v>61024</v>
          </cell>
          <cell r="Z3115" t="e">
            <v>#N/A</v>
          </cell>
          <cell r="AA3115" t="e">
            <v>#N/A</v>
          </cell>
        </row>
        <row r="3116">
          <cell r="Y3116">
            <v>61031</v>
          </cell>
          <cell r="Z3116" t="e">
            <v>#N/A</v>
          </cell>
          <cell r="AA3116" t="e">
            <v>#N/A</v>
          </cell>
        </row>
        <row r="3117">
          <cell r="Y3117">
            <v>61038</v>
          </cell>
          <cell r="Z3117" t="e">
            <v>#N/A</v>
          </cell>
          <cell r="AA3117" t="e">
            <v>#N/A</v>
          </cell>
        </row>
        <row r="3118">
          <cell r="Y3118">
            <v>61045</v>
          </cell>
          <cell r="Z3118" t="e">
            <v>#N/A</v>
          </cell>
          <cell r="AA3118" t="e">
            <v>#N/A</v>
          </cell>
        </row>
        <row r="3119">
          <cell r="Y3119">
            <v>61052</v>
          </cell>
          <cell r="Z3119" t="e">
            <v>#N/A</v>
          </cell>
          <cell r="AA3119" t="e">
            <v>#N/A</v>
          </cell>
        </row>
        <row r="3120">
          <cell r="Y3120">
            <v>61059</v>
          </cell>
          <cell r="Z3120" t="e">
            <v>#N/A</v>
          </cell>
          <cell r="AA3120" t="e">
            <v>#N/A</v>
          </cell>
        </row>
        <row r="3121">
          <cell r="Y3121">
            <v>61066</v>
          </cell>
          <cell r="Z3121" t="e">
            <v>#N/A</v>
          </cell>
          <cell r="AA3121" t="e">
            <v>#N/A</v>
          </cell>
        </row>
        <row r="3122">
          <cell r="Y3122">
            <v>61073</v>
          </cell>
          <cell r="Z3122" t="e">
            <v>#N/A</v>
          </cell>
          <cell r="AA3122" t="e">
            <v>#N/A</v>
          </cell>
        </row>
        <row r="3123">
          <cell r="Y3123">
            <v>61080</v>
          </cell>
          <cell r="Z3123" t="e">
            <v>#N/A</v>
          </cell>
          <cell r="AA3123" t="e">
            <v>#N/A</v>
          </cell>
        </row>
        <row r="3124">
          <cell r="Y3124">
            <v>61087</v>
          </cell>
          <cell r="Z3124" t="e">
            <v>#N/A</v>
          </cell>
          <cell r="AA3124" t="e">
            <v>#N/A</v>
          </cell>
        </row>
        <row r="3125">
          <cell r="Y3125">
            <v>61094</v>
          </cell>
          <cell r="Z3125" t="e">
            <v>#N/A</v>
          </cell>
          <cell r="AA3125" t="e">
            <v>#N/A</v>
          </cell>
        </row>
        <row r="3126">
          <cell r="Y3126">
            <v>61101</v>
          </cell>
          <cell r="Z3126" t="e">
            <v>#N/A</v>
          </cell>
          <cell r="AA3126" t="e">
            <v>#N/A</v>
          </cell>
        </row>
        <row r="3127">
          <cell r="Y3127">
            <v>61108</v>
          </cell>
          <cell r="Z3127" t="e">
            <v>#N/A</v>
          </cell>
          <cell r="AA3127" t="e">
            <v>#N/A</v>
          </cell>
        </row>
        <row r="3128">
          <cell r="Y3128">
            <v>61115</v>
          </cell>
          <cell r="Z3128" t="e">
            <v>#N/A</v>
          </cell>
          <cell r="AA3128" t="e">
            <v>#N/A</v>
          </cell>
        </row>
        <row r="3129">
          <cell r="Y3129">
            <v>61127</v>
          </cell>
          <cell r="Z3129" t="e">
            <v>#N/A</v>
          </cell>
          <cell r="AA3129" t="e">
            <v>#N/A</v>
          </cell>
        </row>
        <row r="3130">
          <cell r="Y3130">
            <v>61134</v>
          </cell>
          <cell r="Z3130" t="e">
            <v>#N/A</v>
          </cell>
          <cell r="AA3130" t="e">
            <v>#N/A</v>
          </cell>
        </row>
        <row r="3131">
          <cell r="Y3131">
            <v>61141</v>
          </cell>
          <cell r="Z3131" t="e">
            <v>#N/A</v>
          </cell>
          <cell r="AA3131" t="e">
            <v>#N/A</v>
          </cell>
        </row>
        <row r="3132">
          <cell r="Y3132">
            <v>61149</v>
          </cell>
          <cell r="Z3132" t="e">
            <v>#N/A</v>
          </cell>
          <cell r="AA3132" t="e">
            <v>#N/A</v>
          </cell>
        </row>
        <row r="3133">
          <cell r="Y3133">
            <v>61155</v>
          </cell>
          <cell r="Z3133" t="e">
            <v>#N/A</v>
          </cell>
          <cell r="AA3133" t="e">
            <v>#N/A</v>
          </cell>
        </row>
        <row r="3134">
          <cell r="Y3134">
            <v>61162</v>
          </cell>
          <cell r="Z3134" t="e">
            <v>#N/A</v>
          </cell>
          <cell r="AA3134" t="e">
            <v>#N/A</v>
          </cell>
        </row>
        <row r="3135">
          <cell r="Y3135">
            <v>61169</v>
          </cell>
          <cell r="Z3135" t="e">
            <v>#N/A</v>
          </cell>
          <cell r="AA3135" t="e">
            <v>#N/A</v>
          </cell>
        </row>
        <row r="3136">
          <cell r="Y3136">
            <v>61176</v>
          </cell>
          <cell r="Z3136" t="e">
            <v>#N/A</v>
          </cell>
          <cell r="AA3136" t="e">
            <v>#N/A</v>
          </cell>
        </row>
        <row r="3137">
          <cell r="Y3137">
            <v>61183</v>
          </cell>
          <cell r="Z3137" t="e">
            <v>#N/A</v>
          </cell>
          <cell r="AA3137" t="e">
            <v>#N/A</v>
          </cell>
        </row>
        <row r="3138">
          <cell r="Y3138">
            <v>61190</v>
          </cell>
          <cell r="Z3138" t="e">
            <v>#N/A</v>
          </cell>
          <cell r="AA3138" t="e">
            <v>#N/A</v>
          </cell>
        </row>
        <row r="3139">
          <cell r="Y3139">
            <v>61198</v>
          </cell>
          <cell r="Z3139" t="e">
            <v>#N/A</v>
          </cell>
          <cell r="AA3139" t="e">
            <v>#N/A</v>
          </cell>
        </row>
        <row r="3140">
          <cell r="Y3140">
            <v>61204</v>
          </cell>
          <cell r="Z3140" t="e">
            <v>#N/A</v>
          </cell>
          <cell r="AA3140" t="e">
            <v>#N/A</v>
          </cell>
        </row>
        <row r="3141">
          <cell r="Y3141">
            <v>61211</v>
          </cell>
          <cell r="Z3141" t="e">
            <v>#N/A</v>
          </cell>
          <cell r="AA3141" t="e">
            <v>#N/A</v>
          </cell>
        </row>
        <row r="3142">
          <cell r="Y3142">
            <v>61218</v>
          </cell>
          <cell r="Z3142" t="e">
            <v>#N/A</v>
          </cell>
          <cell r="AA3142" t="e">
            <v>#N/A</v>
          </cell>
        </row>
        <row r="3143">
          <cell r="Y3143">
            <v>61225</v>
          </cell>
          <cell r="Z3143" t="e">
            <v>#N/A</v>
          </cell>
          <cell r="AA3143" t="e">
            <v>#N/A</v>
          </cell>
        </row>
        <row r="3144">
          <cell r="Y3144">
            <v>61232</v>
          </cell>
          <cell r="Z3144" t="e">
            <v>#N/A</v>
          </cell>
          <cell r="AA3144" t="e">
            <v>#N/A</v>
          </cell>
        </row>
        <row r="3145">
          <cell r="Y3145">
            <v>61240</v>
          </cell>
          <cell r="Z3145" t="e">
            <v>#N/A</v>
          </cell>
          <cell r="AA3145" t="e">
            <v>#N/A</v>
          </cell>
        </row>
        <row r="3146">
          <cell r="Y3146">
            <v>61246</v>
          </cell>
          <cell r="Z3146" t="e">
            <v>#N/A</v>
          </cell>
          <cell r="AA3146" t="e">
            <v>#N/A</v>
          </cell>
        </row>
        <row r="3147">
          <cell r="Y3147">
            <v>61253</v>
          </cell>
          <cell r="Z3147" t="e">
            <v>#N/A</v>
          </cell>
          <cell r="AA3147" t="e">
            <v>#N/A</v>
          </cell>
        </row>
        <row r="3148">
          <cell r="Y3148">
            <v>61261</v>
          </cell>
          <cell r="Z3148" t="e">
            <v>#N/A</v>
          </cell>
          <cell r="AA3148" t="e">
            <v>#N/A</v>
          </cell>
        </row>
        <row r="3149">
          <cell r="Y3149">
            <v>61268</v>
          </cell>
          <cell r="Z3149" t="e">
            <v>#N/A</v>
          </cell>
          <cell r="AA3149" t="e">
            <v>#N/A</v>
          </cell>
        </row>
        <row r="3150">
          <cell r="Y3150">
            <v>61275</v>
          </cell>
          <cell r="Z3150" t="e">
            <v>#N/A</v>
          </cell>
          <cell r="AA3150" t="e">
            <v>#N/A</v>
          </cell>
        </row>
        <row r="3151">
          <cell r="Y3151">
            <v>61283</v>
          </cell>
          <cell r="Z3151" t="e">
            <v>#N/A</v>
          </cell>
          <cell r="AA3151" t="e">
            <v>#N/A</v>
          </cell>
        </row>
        <row r="3152">
          <cell r="Y3152">
            <v>61290</v>
          </cell>
          <cell r="Z3152" t="e">
            <v>#N/A</v>
          </cell>
          <cell r="AA3152" t="e">
            <v>#N/A</v>
          </cell>
        </row>
        <row r="3153">
          <cell r="Y3153">
            <v>61297</v>
          </cell>
          <cell r="Z3153" t="e">
            <v>#N/A</v>
          </cell>
          <cell r="AA3153" t="e">
            <v>#N/A</v>
          </cell>
        </row>
        <row r="3154">
          <cell r="Y3154">
            <v>61305</v>
          </cell>
          <cell r="Z3154" t="e">
            <v>#N/A</v>
          </cell>
          <cell r="AA3154" t="e">
            <v>#N/A</v>
          </cell>
        </row>
        <row r="3155">
          <cell r="Y3155">
            <v>61311</v>
          </cell>
          <cell r="Z3155" t="e">
            <v>#N/A</v>
          </cell>
          <cell r="AA3155" t="e">
            <v>#N/A</v>
          </cell>
        </row>
        <row r="3156">
          <cell r="Y3156">
            <v>61318</v>
          </cell>
          <cell r="Z3156" t="e">
            <v>#N/A</v>
          </cell>
          <cell r="AA3156" t="e">
            <v>#N/A</v>
          </cell>
        </row>
        <row r="3157">
          <cell r="Y3157">
            <v>61326</v>
          </cell>
          <cell r="Z3157" t="e">
            <v>#N/A</v>
          </cell>
          <cell r="AA3157" t="e">
            <v>#N/A</v>
          </cell>
        </row>
        <row r="3158">
          <cell r="Y3158">
            <v>61332</v>
          </cell>
          <cell r="Z3158" t="e">
            <v>#N/A</v>
          </cell>
          <cell r="AA3158" t="e">
            <v>#N/A</v>
          </cell>
        </row>
        <row r="3159">
          <cell r="Y3159">
            <v>61339</v>
          </cell>
          <cell r="Z3159" t="e">
            <v>#N/A</v>
          </cell>
          <cell r="AA3159" t="e">
            <v>#N/A</v>
          </cell>
        </row>
        <row r="3160">
          <cell r="Y3160">
            <v>61346</v>
          </cell>
          <cell r="Z3160" t="e">
            <v>#N/A</v>
          </cell>
          <cell r="AA3160" t="e">
            <v>#N/A</v>
          </cell>
        </row>
        <row r="3161">
          <cell r="Y3161">
            <v>61353</v>
          </cell>
          <cell r="Z3161" t="e">
            <v>#N/A</v>
          </cell>
          <cell r="AA3161" t="e">
            <v>#N/A</v>
          </cell>
        </row>
        <row r="3162">
          <cell r="Y3162">
            <v>61361</v>
          </cell>
          <cell r="Z3162" t="e">
            <v>#N/A</v>
          </cell>
          <cell r="AA3162" t="e">
            <v>#N/A</v>
          </cell>
        </row>
        <row r="3163">
          <cell r="Y3163">
            <v>61368</v>
          </cell>
          <cell r="Z3163" t="e">
            <v>#N/A</v>
          </cell>
          <cell r="AA3163" t="e">
            <v>#N/A</v>
          </cell>
        </row>
        <row r="3164">
          <cell r="Y3164">
            <v>61375</v>
          </cell>
          <cell r="Z3164" t="e">
            <v>#N/A</v>
          </cell>
          <cell r="AA3164" t="e">
            <v>#N/A</v>
          </cell>
        </row>
        <row r="3165">
          <cell r="Y3165">
            <v>61382</v>
          </cell>
          <cell r="Z3165" t="e">
            <v>#N/A</v>
          </cell>
          <cell r="AA3165" t="e">
            <v>#N/A</v>
          </cell>
        </row>
        <row r="3166">
          <cell r="Y3166">
            <v>61389</v>
          </cell>
          <cell r="Z3166" t="e">
            <v>#N/A</v>
          </cell>
          <cell r="AA3166" t="e">
            <v>#N/A</v>
          </cell>
        </row>
        <row r="3167">
          <cell r="Y3167">
            <v>61396</v>
          </cell>
          <cell r="Z3167" t="e">
            <v>#N/A</v>
          </cell>
          <cell r="AA3167" t="e">
            <v>#N/A</v>
          </cell>
        </row>
        <row r="3168">
          <cell r="Y3168">
            <v>61403</v>
          </cell>
          <cell r="Z3168" t="e">
            <v>#N/A</v>
          </cell>
          <cell r="AA3168" t="e">
            <v>#N/A</v>
          </cell>
        </row>
        <row r="3169">
          <cell r="Y3169">
            <v>61410</v>
          </cell>
          <cell r="Z3169" t="e">
            <v>#N/A</v>
          </cell>
          <cell r="AA3169" t="e">
            <v>#N/A</v>
          </cell>
        </row>
        <row r="3170">
          <cell r="Y3170">
            <v>61417</v>
          </cell>
          <cell r="Z3170" t="e">
            <v>#N/A</v>
          </cell>
          <cell r="AA3170" t="e">
            <v>#N/A</v>
          </cell>
        </row>
        <row r="3171">
          <cell r="Y3171">
            <v>61424</v>
          </cell>
          <cell r="Z3171" t="e">
            <v>#N/A</v>
          </cell>
          <cell r="AA3171" t="e">
            <v>#N/A</v>
          </cell>
        </row>
        <row r="3172">
          <cell r="Y3172">
            <v>61431</v>
          </cell>
          <cell r="Z3172" t="e">
            <v>#N/A</v>
          </cell>
          <cell r="AA3172" t="e">
            <v>#N/A</v>
          </cell>
        </row>
        <row r="3173">
          <cell r="Y3173">
            <v>61438</v>
          </cell>
          <cell r="Z3173" t="e">
            <v>#N/A</v>
          </cell>
          <cell r="AA3173" t="e">
            <v>#N/A</v>
          </cell>
        </row>
        <row r="3174">
          <cell r="Y3174">
            <v>61445</v>
          </cell>
          <cell r="Z3174" t="e">
            <v>#N/A</v>
          </cell>
          <cell r="AA3174" t="e">
            <v>#N/A</v>
          </cell>
        </row>
        <row r="3175">
          <cell r="Y3175">
            <v>61452</v>
          </cell>
          <cell r="Z3175" t="e">
            <v>#N/A</v>
          </cell>
          <cell r="AA3175" t="e">
            <v>#N/A</v>
          </cell>
        </row>
        <row r="3176">
          <cell r="Y3176">
            <v>61459</v>
          </cell>
          <cell r="Z3176" t="e">
            <v>#N/A</v>
          </cell>
          <cell r="AA3176" t="e">
            <v>#N/A</v>
          </cell>
        </row>
        <row r="3177">
          <cell r="Y3177">
            <v>61466</v>
          </cell>
          <cell r="Z3177" t="e">
            <v>#N/A</v>
          </cell>
          <cell r="AA3177" t="e">
            <v>#N/A</v>
          </cell>
        </row>
        <row r="3178">
          <cell r="Y3178">
            <v>61477</v>
          </cell>
          <cell r="Z3178" t="e">
            <v>#N/A</v>
          </cell>
          <cell r="AA3178" t="e">
            <v>#N/A</v>
          </cell>
        </row>
        <row r="3179">
          <cell r="Y3179">
            <v>61480</v>
          </cell>
          <cell r="Z3179" t="e">
            <v>#N/A</v>
          </cell>
          <cell r="AA3179" t="e">
            <v>#N/A</v>
          </cell>
        </row>
        <row r="3180">
          <cell r="Y3180">
            <v>61492</v>
          </cell>
          <cell r="Z3180" t="e">
            <v>#N/A</v>
          </cell>
          <cell r="AA3180" t="e">
            <v>#N/A</v>
          </cell>
        </row>
        <row r="3181">
          <cell r="Y3181">
            <v>61494</v>
          </cell>
          <cell r="Z3181" t="e">
            <v>#N/A</v>
          </cell>
          <cell r="AA3181" t="e">
            <v>#N/A</v>
          </cell>
        </row>
        <row r="3182">
          <cell r="Y3182">
            <v>61501</v>
          </cell>
          <cell r="Z3182" t="e">
            <v>#N/A</v>
          </cell>
          <cell r="AA3182" t="e">
            <v>#N/A</v>
          </cell>
        </row>
        <row r="3183">
          <cell r="Y3183">
            <v>61508</v>
          </cell>
          <cell r="Z3183" t="e">
            <v>#N/A</v>
          </cell>
          <cell r="AA3183" t="e">
            <v>#N/A</v>
          </cell>
        </row>
        <row r="3184">
          <cell r="Y3184">
            <v>61515</v>
          </cell>
          <cell r="Z3184" t="e">
            <v>#N/A</v>
          </cell>
          <cell r="AA3184" t="e">
            <v>#N/A</v>
          </cell>
        </row>
        <row r="3185">
          <cell r="Y3185">
            <v>61522</v>
          </cell>
          <cell r="Z3185" t="e">
            <v>#N/A</v>
          </cell>
          <cell r="AA3185" t="e">
            <v>#N/A</v>
          </cell>
        </row>
        <row r="3186">
          <cell r="Y3186">
            <v>61529</v>
          </cell>
          <cell r="Z3186" t="e">
            <v>#N/A</v>
          </cell>
          <cell r="AA3186" t="e">
            <v>#N/A</v>
          </cell>
        </row>
        <row r="3187">
          <cell r="Y3187">
            <v>61536</v>
          </cell>
          <cell r="Z3187" t="e">
            <v>#N/A</v>
          </cell>
          <cell r="AA3187" t="e">
            <v>#N/A</v>
          </cell>
        </row>
        <row r="3188">
          <cell r="Y3188">
            <v>61543</v>
          </cell>
          <cell r="Z3188" t="e">
            <v>#N/A</v>
          </cell>
          <cell r="AA3188" t="e">
            <v>#N/A</v>
          </cell>
        </row>
        <row r="3189">
          <cell r="Y3189">
            <v>61550</v>
          </cell>
          <cell r="Z3189" t="e">
            <v>#N/A</v>
          </cell>
          <cell r="AA3189" t="e">
            <v>#N/A</v>
          </cell>
        </row>
        <row r="3190">
          <cell r="Y3190">
            <v>61557</v>
          </cell>
          <cell r="Z3190" t="e">
            <v>#N/A</v>
          </cell>
          <cell r="AA3190" t="e">
            <v>#N/A</v>
          </cell>
        </row>
        <row r="3191">
          <cell r="Y3191">
            <v>61564</v>
          </cell>
          <cell r="Z3191" t="e">
            <v>#N/A</v>
          </cell>
          <cell r="AA3191" t="e">
            <v>#N/A</v>
          </cell>
        </row>
        <row r="3192">
          <cell r="Y3192">
            <v>61571</v>
          </cell>
          <cell r="Z3192" t="e">
            <v>#N/A</v>
          </cell>
          <cell r="AA3192" t="e">
            <v>#N/A</v>
          </cell>
        </row>
        <row r="3193">
          <cell r="Y3193">
            <v>61578</v>
          </cell>
          <cell r="Z3193" t="e">
            <v>#N/A</v>
          </cell>
          <cell r="AA3193" t="e">
            <v>#N/A</v>
          </cell>
        </row>
        <row r="3194">
          <cell r="Y3194">
            <v>61585</v>
          </cell>
          <cell r="Z3194" t="e">
            <v>#N/A</v>
          </cell>
          <cell r="AA3194" t="e">
            <v>#N/A</v>
          </cell>
        </row>
        <row r="3195">
          <cell r="Y3195">
            <v>61592</v>
          </cell>
          <cell r="Z3195" t="e">
            <v>#N/A</v>
          </cell>
          <cell r="AA3195" t="e">
            <v>#N/A</v>
          </cell>
        </row>
        <row r="3196">
          <cell r="Y3196">
            <v>61599</v>
          </cell>
          <cell r="Z3196" t="e">
            <v>#N/A</v>
          </cell>
          <cell r="AA3196" t="e">
            <v>#N/A</v>
          </cell>
        </row>
        <row r="3197">
          <cell r="Y3197">
            <v>61606</v>
          </cell>
          <cell r="Z3197" t="e">
            <v>#N/A</v>
          </cell>
          <cell r="AA3197" t="e">
            <v>#N/A</v>
          </cell>
        </row>
        <row r="3198">
          <cell r="Y3198">
            <v>61613</v>
          </cell>
          <cell r="Z3198" t="e">
            <v>#N/A</v>
          </cell>
          <cell r="AA3198" t="e">
            <v>#N/A</v>
          </cell>
        </row>
        <row r="3199">
          <cell r="Y3199">
            <v>61620</v>
          </cell>
          <cell r="Z3199" t="e">
            <v>#N/A</v>
          </cell>
          <cell r="AA3199" t="e">
            <v>#N/A</v>
          </cell>
        </row>
        <row r="3200">
          <cell r="Y3200">
            <v>61627</v>
          </cell>
          <cell r="Z3200" t="e">
            <v>#N/A</v>
          </cell>
          <cell r="AA3200" t="e">
            <v>#N/A</v>
          </cell>
        </row>
        <row r="3201">
          <cell r="Y3201">
            <v>61634</v>
          </cell>
          <cell r="Z3201" t="e">
            <v>#N/A</v>
          </cell>
          <cell r="AA3201" t="e">
            <v>#N/A</v>
          </cell>
        </row>
        <row r="3202">
          <cell r="Y3202">
            <v>61641</v>
          </cell>
          <cell r="Z3202" t="e">
            <v>#N/A</v>
          </cell>
          <cell r="AA3202" t="e">
            <v>#N/A</v>
          </cell>
        </row>
        <row r="3203">
          <cell r="Y3203">
            <v>61648</v>
          </cell>
          <cell r="Z3203" t="e">
            <v>#N/A</v>
          </cell>
          <cell r="AA3203" t="e">
            <v>#N/A</v>
          </cell>
        </row>
        <row r="3204">
          <cell r="Y3204">
            <v>61655</v>
          </cell>
          <cell r="Z3204" t="e">
            <v>#N/A</v>
          </cell>
          <cell r="AA3204" t="e">
            <v>#N/A</v>
          </cell>
        </row>
        <row r="3205">
          <cell r="Y3205">
            <v>61662</v>
          </cell>
          <cell r="Z3205" t="e">
            <v>#N/A</v>
          </cell>
          <cell r="AA3205" t="e">
            <v>#N/A</v>
          </cell>
        </row>
        <row r="3206">
          <cell r="Y3206">
            <v>61669</v>
          </cell>
          <cell r="Z3206" t="e">
            <v>#N/A</v>
          </cell>
          <cell r="AA3206" t="e">
            <v>#N/A</v>
          </cell>
        </row>
        <row r="3207">
          <cell r="Y3207">
            <v>61676</v>
          </cell>
          <cell r="Z3207" t="e">
            <v>#N/A</v>
          </cell>
          <cell r="AA3207" t="e">
            <v>#N/A</v>
          </cell>
        </row>
        <row r="3208">
          <cell r="Y3208">
            <v>61683</v>
          </cell>
          <cell r="Z3208" t="e">
            <v>#N/A</v>
          </cell>
          <cell r="AA3208" t="e">
            <v>#N/A</v>
          </cell>
        </row>
        <row r="3209">
          <cell r="Y3209">
            <v>61693</v>
          </cell>
          <cell r="Z3209" t="e">
            <v>#N/A</v>
          </cell>
          <cell r="AA3209" t="e">
            <v>#N/A</v>
          </cell>
        </row>
        <row r="3210">
          <cell r="Y3210">
            <v>61697</v>
          </cell>
          <cell r="Z3210" t="e">
            <v>#N/A</v>
          </cell>
          <cell r="AA3210" t="e">
            <v>#N/A</v>
          </cell>
        </row>
        <row r="3211">
          <cell r="Y3211">
            <v>61704</v>
          </cell>
          <cell r="Z3211" t="e">
            <v>#N/A</v>
          </cell>
          <cell r="AA3211" t="e">
            <v>#N/A</v>
          </cell>
        </row>
        <row r="3212">
          <cell r="Y3212">
            <v>61711</v>
          </cell>
          <cell r="Z3212" t="e">
            <v>#N/A</v>
          </cell>
          <cell r="AA3212" t="e">
            <v>#N/A</v>
          </cell>
        </row>
        <row r="3213">
          <cell r="Y3213">
            <v>61718</v>
          </cell>
          <cell r="Z3213" t="e">
            <v>#N/A</v>
          </cell>
          <cell r="AA3213" t="e">
            <v>#N/A</v>
          </cell>
        </row>
        <row r="3214">
          <cell r="Y3214">
            <v>61732</v>
          </cell>
          <cell r="Z3214" t="e">
            <v>#N/A</v>
          </cell>
          <cell r="AA3214" t="e">
            <v>#N/A</v>
          </cell>
        </row>
        <row r="3215">
          <cell r="Y3215">
            <v>61736</v>
          </cell>
          <cell r="Z3215" t="e">
            <v>#N/A</v>
          </cell>
          <cell r="AA3215" t="e">
            <v>#N/A</v>
          </cell>
        </row>
        <row r="3216">
          <cell r="Y3216">
            <v>61744</v>
          </cell>
          <cell r="Z3216" t="e">
            <v>#N/A</v>
          </cell>
          <cell r="AA3216" t="e">
            <v>#N/A</v>
          </cell>
        </row>
        <row r="3217">
          <cell r="Y3217">
            <v>61750</v>
          </cell>
          <cell r="Z3217" t="e">
            <v>#N/A</v>
          </cell>
          <cell r="AA3217" t="e">
            <v>#N/A</v>
          </cell>
        </row>
        <row r="3218">
          <cell r="Y3218">
            <v>61757</v>
          </cell>
          <cell r="Z3218" t="e">
            <v>#N/A</v>
          </cell>
          <cell r="AA3218" t="e">
            <v>#N/A</v>
          </cell>
        </row>
        <row r="3219">
          <cell r="Y3219">
            <v>61764</v>
          </cell>
          <cell r="Z3219" t="e">
            <v>#N/A</v>
          </cell>
          <cell r="AA3219" t="e">
            <v>#N/A</v>
          </cell>
        </row>
        <row r="3220">
          <cell r="Y3220">
            <v>61772</v>
          </cell>
          <cell r="Z3220" t="e">
            <v>#N/A</v>
          </cell>
          <cell r="AA3220" t="e">
            <v>#N/A</v>
          </cell>
        </row>
        <row r="3221">
          <cell r="Y3221">
            <v>61778</v>
          </cell>
          <cell r="Z3221" t="e">
            <v>#N/A</v>
          </cell>
          <cell r="AA3221" t="e">
            <v>#N/A</v>
          </cell>
        </row>
        <row r="3222">
          <cell r="Y3222">
            <v>61785</v>
          </cell>
          <cell r="Z3222" t="e">
            <v>#N/A</v>
          </cell>
          <cell r="AA3222" t="e">
            <v>#N/A</v>
          </cell>
        </row>
        <row r="3223">
          <cell r="Y3223">
            <v>61792</v>
          </cell>
          <cell r="Z3223" t="e">
            <v>#N/A</v>
          </cell>
          <cell r="AA3223" t="e">
            <v>#N/A</v>
          </cell>
        </row>
        <row r="3224">
          <cell r="Y3224">
            <v>61799</v>
          </cell>
          <cell r="Z3224" t="e">
            <v>#N/A</v>
          </cell>
          <cell r="AA3224" t="e">
            <v>#N/A</v>
          </cell>
        </row>
        <row r="3225">
          <cell r="Y3225">
            <v>61806</v>
          </cell>
          <cell r="Z3225" t="e">
            <v>#N/A</v>
          </cell>
          <cell r="AA3225" t="e">
            <v>#N/A</v>
          </cell>
        </row>
        <row r="3226">
          <cell r="Y3226">
            <v>61813</v>
          </cell>
          <cell r="Z3226" t="e">
            <v>#N/A</v>
          </cell>
          <cell r="AA3226" t="e">
            <v>#N/A</v>
          </cell>
        </row>
        <row r="3227">
          <cell r="Y3227">
            <v>61820</v>
          </cell>
          <cell r="Z3227" t="e">
            <v>#N/A</v>
          </cell>
          <cell r="AA3227" t="e">
            <v>#N/A</v>
          </cell>
        </row>
        <row r="3228">
          <cell r="Y3228">
            <v>61827</v>
          </cell>
          <cell r="Z3228" t="e">
            <v>#N/A</v>
          </cell>
          <cell r="AA3228" t="e">
            <v>#N/A</v>
          </cell>
        </row>
        <row r="3229">
          <cell r="Y3229">
            <v>61836</v>
          </cell>
          <cell r="Z3229" t="e">
            <v>#N/A</v>
          </cell>
          <cell r="AA3229" t="e">
            <v>#N/A</v>
          </cell>
        </row>
        <row r="3230">
          <cell r="Y3230">
            <v>61843</v>
          </cell>
          <cell r="Z3230" t="e">
            <v>#N/A</v>
          </cell>
          <cell r="AA3230" t="e">
            <v>#N/A</v>
          </cell>
        </row>
        <row r="3231">
          <cell r="Y3231">
            <v>61850</v>
          </cell>
          <cell r="Z3231" t="e">
            <v>#N/A</v>
          </cell>
          <cell r="AA3231" t="e">
            <v>#N/A</v>
          </cell>
        </row>
        <row r="3232">
          <cell r="Y3232">
            <v>61857</v>
          </cell>
          <cell r="Z3232" t="e">
            <v>#N/A</v>
          </cell>
          <cell r="AA3232" t="e">
            <v>#N/A</v>
          </cell>
        </row>
        <row r="3233">
          <cell r="Y3233">
            <v>61864</v>
          </cell>
          <cell r="Z3233" t="e">
            <v>#N/A</v>
          </cell>
          <cell r="AA3233" t="e">
            <v>#N/A</v>
          </cell>
        </row>
        <row r="3234">
          <cell r="Y3234">
            <v>61871</v>
          </cell>
          <cell r="Z3234" t="e">
            <v>#N/A</v>
          </cell>
          <cell r="AA3234" t="e">
            <v>#N/A</v>
          </cell>
        </row>
        <row r="3235">
          <cell r="Y3235">
            <v>61878</v>
          </cell>
          <cell r="Z3235" t="e">
            <v>#N/A</v>
          </cell>
          <cell r="AA3235" t="e">
            <v>#N/A</v>
          </cell>
        </row>
        <row r="3236">
          <cell r="Y3236">
            <v>61885</v>
          </cell>
          <cell r="Z3236" t="e">
            <v>#N/A</v>
          </cell>
          <cell r="AA3236" t="e">
            <v>#N/A</v>
          </cell>
        </row>
        <row r="3237">
          <cell r="Y3237">
            <v>61892</v>
          </cell>
          <cell r="Z3237" t="e">
            <v>#N/A</v>
          </cell>
          <cell r="AA3237" t="e">
            <v>#N/A</v>
          </cell>
        </row>
        <row r="3238">
          <cell r="Y3238">
            <v>61899</v>
          </cell>
          <cell r="Z3238" t="e">
            <v>#N/A</v>
          </cell>
          <cell r="AA3238" t="e">
            <v>#N/A</v>
          </cell>
        </row>
        <row r="3239">
          <cell r="Y3239">
            <v>61906</v>
          </cell>
          <cell r="Z3239" t="e">
            <v>#N/A</v>
          </cell>
          <cell r="AA3239" t="e">
            <v>#N/A</v>
          </cell>
        </row>
        <row r="3240">
          <cell r="Y3240">
            <v>61913</v>
          </cell>
          <cell r="Z3240" t="e">
            <v>#N/A</v>
          </cell>
          <cell r="AA3240" t="e">
            <v>#N/A</v>
          </cell>
        </row>
        <row r="3241">
          <cell r="Y3241">
            <v>61920</v>
          </cell>
          <cell r="Z3241" t="e">
            <v>#N/A</v>
          </cell>
          <cell r="AA3241" t="e">
            <v>#N/A</v>
          </cell>
        </row>
        <row r="3242">
          <cell r="Y3242">
            <v>61927</v>
          </cell>
          <cell r="Z3242" t="e">
            <v>#N/A</v>
          </cell>
          <cell r="AA3242" t="e">
            <v>#N/A</v>
          </cell>
        </row>
        <row r="3243">
          <cell r="Y3243">
            <v>61934</v>
          </cell>
          <cell r="Z3243" t="e">
            <v>#N/A</v>
          </cell>
          <cell r="AA3243" t="e">
            <v>#N/A</v>
          </cell>
        </row>
        <row r="3244">
          <cell r="Y3244">
            <v>61941</v>
          </cell>
          <cell r="Z3244" t="e">
            <v>#N/A</v>
          </cell>
          <cell r="AA3244" t="e">
            <v>#N/A</v>
          </cell>
        </row>
        <row r="3245">
          <cell r="Y3245">
            <v>61948</v>
          </cell>
          <cell r="Z3245" t="e">
            <v>#N/A</v>
          </cell>
          <cell r="AA3245" t="e">
            <v>#N/A</v>
          </cell>
        </row>
        <row r="3246">
          <cell r="Y3246">
            <v>61955</v>
          </cell>
          <cell r="Z3246" t="e">
            <v>#N/A</v>
          </cell>
          <cell r="AA3246" t="e">
            <v>#N/A</v>
          </cell>
        </row>
        <row r="3247">
          <cell r="Y3247">
            <v>61962</v>
          </cell>
          <cell r="Z3247" t="e">
            <v>#N/A</v>
          </cell>
          <cell r="AA3247" t="e">
            <v>#N/A</v>
          </cell>
        </row>
        <row r="3248">
          <cell r="Y3248">
            <v>61969</v>
          </cell>
          <cell r="Z3248" t="e">
            <v>#N/A</v>
          </cell>
          <cell r="AA3248" t="e">
            <v>#N/A</v>
          </cell>
        </row>
        <row r="3249">
          <cell r="Y3249">
            <v>61976</v>
          </cell>
          <cell r="Z3249" t="e">
            <v>#N/A</v>
          </cell>
          <cell r="AA3249" t="e">
            <v>#N/A</v>
          </cell>
        </row>
        <row r="3250">
          <cell r="Y3250">
            <v>61983</v>
          </cell>
          <cell r="Z3250" t="e">
            <v>#N/A</v>
          </cell>
          <cell r="AA3250" t="e">
            <v>#N/A</v>
          </cell>
        </row>
        <row r="3251">
          <cell r="Y3251">
            <v>61990</v>
          </cell>
          <cell r="Z3251" t="e">
            <v>#N/A</v>
          </cell>
          <cell r="AA3251" t="e">
            <v>#N/A</v>
          </cell>
        </row>
        <row r="3252">
          <cell r="Y3252">
            <v>61997</v>
          </cell>
          <cell r="Z3252" t="e">
            <v>#N/A</v>
          </cell>
          <cell r="AA3252" t="e">
            <v>#N/A</v>
          </cell>
        </row>
        <row r="3253">
          <cell r="Y3253">
            <v>62004</v>
          </cell>
          <cell r="Z3253" t="e">
            <v>#N/A</v>
          </cell>
          <cell r="AA3253" t="e">
            <v>#N/A</v>
          </cell>
        </row>
        <row r="3254">
          <cell r="Y3254">
            <v>62011</v>
          </cell>
          <cell r="Z3254" t="e">
            <v>#N/A</v>
          </cell>
          <cell r="AA3254" t="e">
            <v>#N/A</v>
          </cell>
        </row>
        <row r="3255">
          <cell r="Y3255">
            <v>62018</v>
          </cell>
          <cell r="Z3255" t="e">
            <v>#N/A</v>
          </cell>
          <cell r="AA3255" t="e">
            <v>#N/A</v>
          </cell>
        </row>
        <row r="3256">
          <cell r="Y3256">
            <v>62025</v>
          </cell>
          <cell r="Z3256" t="e">
            <v>#N/A</v>
          </cell>
          <cell r="AA3256" t="e">
            <v>#N/A</v>
          </cell>
        </row>
        <row r="3257">
          <cell r="Y3257">
            <v>62032</v>
          </cell>
          <cell r="Z3257" t="e">
            <v>#N/A</v>
          </cell>
          <cell r="AA3257" t="e">
            <v>#N/A</v>
          </cell>
        </row>
        <row r="3258">
          <cell r="Y3258">
            <v>62039</v>
          </cell>
          <cell r="Z3258" t="e">
            <v>#N/A</v>
          </cell>
          <cell r="AA3258" t="e">
            <v>#N/A</v>
          </cell>
        </row>
        <row r="3259">
          <cell r="Y3259">
            <v>62046</v>
          </cell>
          <cell r="Z3259" t="e">
            <v>#N/A</v>
          </cell>
          <cell r="AA3259" t="e">
            <v>#N/A</v>
          </cell>
        </row>
        <row r="3260">
          <cell r="Y3260">
            <v>62053</v>
          </cell>
          <cell r="Z3260" t="e">
            <v>#N/A</v>
          </cell>
          <cell r="AA3260" t="e">
            <v>#N/A</v>
          </cell>
        </row>
        <row r="3261">
          <cell r="Y3261">
            <v>62060</v>
          </cell>
          <cell r="Z3261" t="e">
            <v>#N/A</v>
          </cell>
          <cell r="AA3261" t="e">
            <v>#N/A</v>
          </cell>
        </row>
        <row r="3262">
          <cell r="Y3262">
            <v>62067</v>
          </cell>
          <cell r="Z3262" t="e">
            <v>#N/A</v>
          </cell>
          <cell r="AA3262" t="e">
            <v>#N/A</v>
          </cell>
        </row>
        <row r="3263">
          <cell r="Y3263">
            <v>62074</v>
          </cell>
          <cell r="Z3263" t="e">
            <v>#N/A</v>
          </cell>
          <cell r="AA3263" t="e">
            <v>#N/A</v>
          </cell>
        </row>
        <row r="3264">
          <cell r="Y3264">
            <v>62081</v>
          </cell>
          <cell r="Z3264" t="e">
            <v>#N/A</v>
          </cell>
          <cell r="AA3264" t="e">
            <v>#N/A</v>
          </cell>
        </row>
        <row r="3265">
          <cell r="Y3265">
            <v>62092</v>
          </cell>
          <cell r="Z3265" t="e">
            <v>#N/A</v>
          </cell>
          <cell r="AA3265" t="e">
            <v>#N/A</v>
          </cell>
        </row>
        <row r="3266">
          <cell r="Y3266">
            <v>62101</v>
          </cell>
          <cell r="Z3266" t="e">
            <v>#N/A</v>
          </cell>
          <cell r="AA3266" t="e">
            <v>#N/A</v>
          </cell>
        </row>
        <row r="3267">
          <cell r="Y3267">
            <v>62109</v>
          </cell>
          <cell r="Z3267" t="e">
            <v>#N/A</v>
          </cell>
          <cell r="AA3267" t="e">
            <v>#N/A</v>
          </cell>
        </row>
        <row r="3268">
          <cell r="Y3268">
            <v>62116</v>
          </cell>
          <cell r="Z3268" t="e">
            <v>#N/A</v>
          </cell>
          <cell r="AA3268" t="e">
            <v>#N/A</v>
          </cell>
        </row>
        <row r="3269">
          <cell r="Y3269">
            <v>62123</v>
          </cell>
          <cell r="Z3269" t="e">
            <v>#N/A</v>
          </cell>
          <cell r="AA3269" t="e">
            <v>#N/A</v>
          </cell>
        </row>
        <row r="3270">
          <cell r="Y3270">
            <v>62130</v>
          </cell>
          <cell r="Z3270" t="e">
            <v>#N/A</v>
          </cell>
          <cell r="AA3270" t="e">
            <v>#N/A</v>
          </cell>
        </row>
        <row r="3271">
          <cell r="Y3271">
            <v>62138</v>
          </cell>
          <cell r="Z3271" t="e">
            <v>#N/A</v>
          </cell>
          <cell r="AA3271" t="e">
            <v>#N/A</v>
          </cell>
        </row>
        <row r="3272">
          <cell r="Y3272">
            <v>62145</v>
          </cell>
          <cell r="Z3272" t="e">
            <v>#N/A</v>
          </cell>
          <cell r="AA3272" t="e">
            <v>#N/A</v>
          </cell>
        </row>
        <row r="3273">
          <cell r="Y3273">
            <v>62152</v>
          </cell>
          <cell r="Z3273" t="e">
            <v>#N/A</v>
          </cell>
          <cell r="AA3273" t="e">
            <v>#N/A</v>
          </cell>
        </row>
        <row r="3274">
          <cell r="Y3274">
            <v>62159</v>
          </cell>
          <cell r="Z3274" t="e">
            <v>#N/A</v>
          </cell>
          <cell r="AA3274" t="e">
            <v>#N/A</v>
          </cell>
        </row>
        <row r="3275">
          <cell r="Y3275">
            <v>62166</v>
          </cell>
          <cell r="Z3275" t="e">
            <v>#N/A</v>
          </cell>
          <cell r="AA3275" t="e">
            <v>#N/A</v>
          </cell>
        </row>
        <row r="3276">
          <cell r="Y3276">
            <v>62176</v>
          </cell>
          <cell r="Z3276" t="e">
            <v>#N/A</v>
          </cell>
          <cell r="AA3276" t="e">
            <v>#N/A</v>
          </cell>
        </row>
        <row r="3277">
          <cell r="Y3277">
            <v>62184</v>
          </cell>
          <cell r="Z3277" t="e">
            <v>#N/A</v>
          </cell>
          <cell r="AA3277" t="e">
            <v>#N/A</v>
          </cell>
        </row>
        <row r="3278">
          <cell r="Y3278">
            <v>62187</v>
          </cell>
          <cell r="Z3278" t="e">
            <v>#N/A</v>
          </cell>
          <cell r="AA3278" t="e">
            <v>#N/A</v>
          </cell>
        </row>
        <row r="3279">
          <cell r="Y3279">
            <v>62194</v>
          </cell>
          <cell r="Z3279" t="e">
            <v>#N/A</v>
          </cell>
          <cell r="AA3279" t="e">
            <v>#N/A</v>
          </cell>
        </row>
        <row r="3280">
          <cell r="Y3280">
            <v>62201</v>
          </cell>
          <cell r="Z3280" t="e">
            <v>#N/A</v>
          </cell>
          <cell r="AA3280" t="e">
            <v>#N/A</v>
          </cell>
        </row>
        <row r="3281">
          <cell r="Y3281">
            <v>62208</v>
          </cell>
          <cell r="Z3281" t="e">
            <v>#N/A</v>
          </cell>
          <cell r="AA3281" t="e">
            <v>#N/A</v>
          </cell>
        </row>
        <row r="3282">
          <cell r="Y3282">
            <v>62215</v>
          </cell>
          <cell r="Z3282" t="e">
            <v>#N/A</v>
          </cell>
          <cell r="AA3282" t="e">
            <v>#N/A</v>
          </cell>
        </row>
        <row r="3283">
          <cell r="Y3283">
            <v>62222</v>
          </cell>
          <cell r="Z3283" t="e">
            <v>#N/A</v>
          </cell>
          <cell r="AA3283" t="e">
            <v>#N/A</v>
          </cell>
        </row>
        <row r="3284">
          <cell r="Y3284">
            <v>62229</v>
          </cell>
          <cell r="Z3284" t="e">
            <v>#N/A</v>
          </cell>
          <cell r="AA3284" t="e">
            <v>#N/A</v>
          </cell>
        </row>
        <row r="3285">
          <cell r="Y3285">
            <v>62236</v>
          </cell>
          <cell r="Z3285" t="e">
            <v>#N/A</v>
          </cell>
          <cell r="AA3285" t="e">
            <v>#N/A</v>
          </cell>
        </row>
        <row r="3286">
          <cell r="Y3286">
            <v>62243</v>
          </cell>
          <cell r="Z3286" t="e">
            <v>#N/A</v>
          </cell>
          <cell r="AA3286" t="e">
            <v>#N/A</v>
          </cell>
        </row>
        <row r="3287">
          <cell r="Y3287">
            <v>62250</v>
          </cell>
          <cell r="Z3287" t="e">
            <v>#N/A</v>
          </cell>
          <cell r="AA3287" t="e">
            <v>#N/A</v>
          </cell>
        </row>
        <row r="3288">
          <cell r="Y3288">
            <v>62257</v>
          </cell>
          <cell r="Z3288" t="e">
            <v>#N/A</v>
          </cell>
          <cell r="AA3288" t="e">
            <v>#N/A</v>
          </cell>
        </row>
        <row r="3289">
          <cell r="Y3289">
            <v>62264</v>
          </cell>
          <cell r="Z3289" t="e">
            <v>#N/A</v>
          </cell>
          <cell r="AA3289" t="e">
            <v>#N/A</v>
          </cell>
        </row>
        <row r="3290">
          <cell r="Y3290">
            <v>62271</v>
          </cell>
          <cell r="Z3290" t="e">
            <v>#N/A</v>
          </cell>
          <cell r="AA3290" t="e">
            <v>#N/A</v>
          </cell>
        </row>
        <row r="3291">
          <cell r="Y3291">
            <v>62278</v>
          </cell>
          <cell r="Z3291" t="e">
            <v>#N/A</v>
          </cell>
          <cell r="AA3291" t="e">
            <v>#N/A</v>
          </cell>
        </row>
        <row r="3292">
          <cell r="Y3292">
            <v>62285</v>
          </cell>
          <cell r="Z3292" t="e">
            <v>#N/A</v>
          </cell>
          <cell r="AA3292" t="e">
            <v>#N/A</v>
          </cell>
        </row>
        <row r="3293">
          <cell r="Y3293">
            <v>62292</v>
          </cell>
          <cell r="Z3293" t="e">
            <v>#N/A</v>
          </cell>
          <cell r="AA3293" t="e">
            <v>#N/A</v>
          </cell>
        </row>
        <row r="3294">
          <cell r="Y3294">
            <v>62299</v>
          </cell>
          <cell r="Z3294" t="e">
            <v>#N/A</v>
          </cell>
          <cell r="AA3294" t="e">
            <v>#N/A</v>
          </cell>
        </row>
        <row r="3295">
          <cell r="Y3295">
            <v>62306</v>
          </cell>
          <cell r="Z3295" t="e">
            <v>#N/A</v>
          </cell>
          <cell r="AA3295" t="e">
            <v>#N/A</v>
          </cell>
        </row>
        <row r="3296">
          <cell r="Y3296">
            <v>62313</v>
          </cell>
          <cell r="Z3296" t="e">
            <v>#N/A</v>
          </cell>
          <cell r="AA3296" t="e">
            <v>#N/A</v>
          </cell>
        </row>
        <row r="3297">
          <cell r="Y3297">
            <v>62320</v>
          </cell>
          <cell r="Z3297" t="e">
            <v>#N/A</v>
          </cell>
          <cell r="AA3297" t="e">
            <v>#N/A</v>
          </cell>
        </row>
        <row r="3298">
          <cell r="Y3298">
            <v>62327</v>
          </cell>
          <cell r="Z3298" t="e">
            <v>#N/A</v>
          </cell>
          <cell r="AA3298" t="e">
            <v>#N/A</v>
          </cell>
        </row>
        <row r="3299">
          <cell r="Y3299">
            <v>62334</v>
          </cell>
          <cell r="Z3299" t="e">
            <v>#N/A</v>
          </cell>
          <cell r="AA3299" t="e">
            <v>#N/A</v>
          </cell>
        </row>
        <row r="3300">
          <cell r="Y3300">
            <v>62341</v>
          </cell>
          <cell r="Z3300" t="e">
            <v>#N/A</v>
          </cell>
          <cell r="AA3300" t="e">
            <v>#N/A</v>
          </cell>
        </row>
        <row r="3301">
          <cell r="Y3301">
            <v>62348</v>
          </cell>
          <cell r="Z3301" t="e">
            <v>#N/A</v>
          </cell>
          <cell r="AA3301" t="e">
            <v>#N/A</v>
          </cell>
        </row>
        <row r="3302">
          <cell r="Y3302">
            <v>62355</v>
          </cell>
          <cell r="Z3302" t="e">
            <v>#N/A</v>
          </cell>
          <cell r="AA3302" t="e">
            <v>#N/A</v>
          </cell>
        </row>
        <row r="3303">
          <cell r="Y3303">
            <v>62362</v>
          </cell>
          <cell r="Z3303" t="e">
            <v>#N/A</v>
          </cell>
          <cell r="AA3303" t="e">
            <v>#N/A</v>
          </cell>
        </row>
        <row r="3304">
          <cell r="Y3304">
            <v>62369</v>
          </cell>
          <cell r="Z3304" t="e">
            <v>#N/A</v>
          </cell>
          <cell r="AA3304" t="e">
            <v>#N/A</v>
          </cell>
        </row>
        <row r="3305">
          <cell r="Y3305">
            <v>62376</v>
          </cell>
          <cell r="Z3305" t="e">
            <v>#N/A</v>
          </cell>
          <cell r="AA3305" t="e">
            <v>#N/A</v>
          </cell>
        </row>
        <row r="3306">
          <cell r="Y3306">
            <v>62383</v>
          </cell>
          <cell r="Z3306" t="e">
            <v>#N/A</v>
          </cell>
          <cell r="AA3306" t="e">
            <v>#N/A</v>
          </cell>
        </row>
        <row r="3307">
          <cell r="Y3307">
            <v>62390</v>
          </cell>
          <cell r="Z3307" t="e">
            <v>#N/A</v>
          </cell>
          <cell r="AA3307" t="e">
            <v>#N/A</v>
          </cell>
        </row>
        <row r="3308">
          <cell r="Y3308">
            <v>62397</v>
          </cell>
          <cell r="Z3308" t="e">
            <v>#N/A</v>
          </cell>
          <cell r="AA3308" t="e">
            <v>#N/A</v>
          </cell>
        </row>
        <row r="3309">
          <cell r="Y3309">
            <v>62404</v>
          </cell>
          <cell r="Z3309" t="e">
            <v>#N/A</v>
          </cell>
          <cell r="AA3309" t="e">
            <v>#N/A</v>
          </cell>
        </row>
        <row r="3310">
          <cell r="Y3310">
            <v>62411</v>
          </cell>
          <cell r="Z3310" t="e">
            <v>#N/A</v>
          </cell>
          <cell r="AA3310" t="e">
            <v>#N/A</v>
          </cell>
        </row>
        <row r="3311">
          <cell r="Y3311">
            <v>62418</v>
          </cell>
          <cell r="Z3311" t="e">
            <v>#N/A</v>
          </cell>
          <cell r="AA3311" t="e">
            <v>#N/A</v>
          </cell>
        </row>
        <row r="3312">
          <cell r="Y3312">
            <v>62425</v>
          </cell>
          <cell r="Z3312" t="e">
            <v>#N/A</v>
          </cell>
          <cell r="AA3312" t="e">
            <v>#N/A</v>
          </cell>
        </row>
        <row r="3313">
          <cell r="Y3313">
            <v>62432</v>
          </cell>
          <cell r="Z3313" t="e">
            <v>#N/A</v>
          </cell>
          <cell r="AA3313" t="e">
            <v>#N/A</v>
          </cell>
        </row>
        <row r="3314">
          <cell r="Y3314">
            <v>62439</v>
          </cell>
          <cell r="Z3314" t="e">
            <v>#N/A</v>
          </cell>
          <cell r="AA3314" t="e">
            <v>#N/A</v>
          </cell>
        </row>
        <row r="3315">
          <cell r="Y3315">
            <v>62446</v>
          </cell>
          <cell r="Z3315" t="e">
            <v>#N/A</v>
          </cell>
          <cell r="AA3315" t="e">
            <v>#N/A</v>
          </cell>
        </row>
        <row r="3316">
          <cell r="Y3316">
            <v>62457</v>
          </cell>
          <cell r="Z3316" t="e">
            <v>#N/A</v>
          </cell>
          <cell r="AA3316" t="e">
            <v>#N/A</v>
          </cell>
        </row>
        <row r="3317">
          <cell r="Y3317">
            <v>62465</v>
          </cell>
          <cell r="Z3317" t="e">
            <v>#N/A</v>
          </cell>
          <cell r="AA3317" t="e">
            <v>#N/A</v>
          </cell>
        </row>
        <row r="3318">
          <cell r="Y3318">
            <v>62473</v>
          </cell>
          <cell r="Z3318" t="e">
            <v>#N/A</v>
          </cell>
          <cell r="AA3318" t="e">
            <v>#N/A</v>
          </cell>
        </row>
        <row r="3319">
          <cell r="Y3319">
            <v>62480</v>
          </cell>
          <cell r="Z3319" t="e">
            <v>#N/A</v>
          </cell>
          <cell r="AA3319" t="e">
            <v>#N/A</v>
          </cell>
        </row>
        <row r="3320">
          <cell r="Y3320">
            <v>62487</v>
          </cell>
          <cell r="Z3320" t="e">
            <v>#N/A</v>
          </cell>
          <cell r="AA3320" t="e">
            <v>#N/A</v>
          </cell>
        </row>
        <row r="3321">
          <cell r="Y3321">
            <v>62494</v>
          </cell>
          <cell r="Z3321" t="e">
            <v>#N/A</v>
          </cell>
          <cell r="AA3321" t="e">
            <v>#N/A</v>
          </cell>
        </row>
        <row r="3322">
          <cell r="Y3322">
            <v>62502</v>
          </cell>
          <cell r="Z3322" t="e">
            <v>#N/A</v>
          </cell>
          <cell r="AA3322" t="e">
            <v>#N/A</v>
          </cell>
        </row>
        <row r="3323">
          <cell r="Y3323">
            <v>62508</v>
          </cell>
          <cell r="Z3323" t="e">
            <v>#N/A</v>
          </cell>
          <cell r="AA3323" t="e">
            <v>#N/A</v>
          </cell>
        </row>
        <row r="3324">
          <cell r="Y3324">
            <v>62515</v>
          </cell>
          <cell r="Z3324" t="e">
            <v>#N/A</v>
          </cell>
          <cell r="AA3324" t="e">
            <v>#N/A</v>
          </cell>
        </row>
        <row r="3325">
          <cell r="Y3325">
            <v>62522</v>
          </cell>
          <cell r="Z3325" t="e">
            <v>#N/A</v>
          </cell>
          <cell r="AA3325" t="e">
            <v>#N/A</v>
          </cell>
        </row>
        <row r="3326">
          <cell r="Y3326">
            <v>62529</v>
          </cell>
          <cell r="Z3326" t="e">
            <v>#N/A</v>
          </cell>
          <cell r="AA3326" t="e">
            <v>#N/A</v>
          </cell>
        </row>
        <row r="3327">
          <cell r="Y3327">
            <v>62536</v>
          </cell>
          <cell r="Z3327" t="e">
            <v>#N/A</v>
          </cell>
          <cell r="AA3327" t="e">
            <v>#N/A</v>
          </cell>
        </row>
        <row r="3328">
          <cell r="Y3328">
            <v>62543</v>
          </cell>
          <cell r="Z3328" t="e">
            <v>#N/A</v>
          </cell>
          <cell r="AA3328" t="e">
            <v>#N/A</v>
          </cell>
        </row>
        <row r="3329">
          <cell r="Y3329">
            <v>62550</v>
          </cell>
          <cell r="Z3329" t="e">
            <v>#N/A</v>
          </cell>
          <cell r="AA3329" t="e">
            <v>#N/A</v>
          </cell>
        </row>
        <row r="3330">
          <cell r="Y3330">
            <v>62557</v>
          </cell>
          <cell r="Z3330" t="e">
            <v>#N/A</v>
          </cell>
          <cell r="AA3330" t="e">
            <v>#N/A</v>
          </cell>
        </row>
        <row r="3331">
          <cell r="Y3331">
            <v>62564</v>
          </cell>
          <cell r="Z3331" t="e">
            <v>#N/A</v>
          </cell>
          <cell r="AA3331" t="e">
            <v>#N/A</v>
          </cell>
        </row>
        <row r="3332">
          <cell r="Y3332">
            <v>62571</v>
          </cell>
          <cell r="Z3332" t="e">
            <v>#N/A</v>
          </cell>
          <cell r="AA3332" t="e">
            <v>#N/A</v>
          </cell>
        </row>
        <row r="3333">
          <cell r="Y3333">
            <v>62579</v>
          </cell>
          <cell r="Z3333" t="e">
            <v>#N/A</v>
          </cell>
          <cell r="AA3333" t="e">
            <v>#N/A</v>
          </cell>
        </row>
        <row r="3334">
          <cell r="Y3334">
            <v>62589</v>
          </cell>
          <cell r="Z3334" t="e">
            <v>#N/A</v>
          </cell>
          <cell r="AA3334" t="e">
            <v>#N/A</v>
          </cell>
        </row>
        <row r="3335">
          <cell r="Y3335">
            <v>62596</v>
          </cell>
          <cell r="Z3335" t="e">
            <v>#N/A</v>
          </cell>
          <cell r="AA3335" t="e">
            <v>#N/A</v>
          </cell>
        </row>
        <row r="3336">
          <cell r="Y3336">
            <v>62604</v>
          </cell>
          <cell r="Z3336" t="e">
            <v>#N/A</v>
          </cell>
          <cell r="AA3336" t="e">
            <v>#N/A</v>
          </cell>
        </row>
        <row r="3337">
          <cell r="Y3337">
            <v>62610</v>
          </cell>
          <cell r="Z3337" t="e">
            <v>#N/A</v>
          </cell>
          <cell r="AA3337" t="e">
            <v>#N/A</v>
          </cell>
        </row>
        <row r="3338">
          <cell r="Y3338">
            <v>62617</v>
          </cell>
          <cell r="Z3338" t="e">
            <v>#N/A</v>
          </cell>
          <cell r="AA3338" t="e">
            <v>#N/A</v>
          </cell>
        </row>
        <row r="3339">
          <cell r="Y3339">
            <v>62624</v>
          </cell>
          <cell r="Z3339" t="e">
            <v>#N/A</v>
          </cell>
          <cell r="AA3339" t="e">
            <v>#N/A</v>
          </cell>
        </row>
        <row r="3340">
          <cell r="Y3340">
            <v>62631</v>
          </cell>
          <cell r="Z3340" t="e">
            <v>#N/A</v>
          </cell>
          <cell r="AA3340" t="e">
            <v>#N/A</v>
          </cell>
        </row>
        <row r="3341">
          <cell r="Y3341">
            <v>62638</v>
          </cell>
          <cell r="Z3341" t="e">
            <v>#N/A</v>
          </cell>
          <cell r="AA3341" t="e">
            <v>#N/A</v>
          </cell>
        </row>
        <row r="3342">
          <cell r="Y3342">
            <v>62645</v>
          </cell>
          <cell r="Z3342" t="e">
            <v>#N/A</v>
          </cell>
          <cell r="AA3342" t="e">
            <v>#N/A</v>
          </cell>
        </row>
        <row r="3343">
          <cell r="Y3343">
            <v>62652</v>
          </cell>
          <cell r="Z3343" t="e">
            <v>#N/A</v>
          </cell>
          <cell r="AA3343" t="e">
            <v>#N/A</v>
          </cell>
        </row>
        <row r="3344">
          <cell r="Y3344">
            <v>62660</v>
          </cell>
          <cell r="Z3344" t="e">
            <v>#N/A</v>
          </cell>
          <cell r="AA3344" t="e">
            <v>#N/A</v>
          </cell>
        </row>
        <row r="3345">
          <cell r="Y3345">
            <v>62666</v>
          </cell>
          <cell r="Z3345" t="e">
            <v>#N/A</v>
          </cell>
          <cell r="AA3345" t="e">
            <v>#N/A</v>
          </cell>
        </row>
        <row r="3346">
          <cell r="Y3346">
            <v>62673</v>
          </cell>
          <cell r="Z3346" t="e">
            <v>#N/A</v>
          </cell>
          <cell r="AA3346" t="e">
            <v>#N/A</v>
          </cell>
        </row>
        <row r="3347">
          <cell r="Y3347">
            <v>62680</v>
          </cell>
          <cell r="Z3347" t="e">
            <v>#N/A</v>
          </cell>
          <cell r="AA3347" t="e">
            <v>#N/A</v>
          </cell>
        </row>
        <row r="3348">
          <cell r="Y3348">
            <v>62687</v>
          </cell>
          <cell r="Z3348" t="e">
            <v>#N/A</v>
          </cell>
          <cell r="AA3348" t="e">
            <v>#N/A</v>
          </cell>
        </row>
        <row r="3349">
          <cell r="Y3349">
            <v>62694</v>
          </cell>
          <cell r="Z3349" t="e">
            <v>#N/A</v>
          </cell>
          <cell r="AA3349" t="e">
            <v>#N/A</v>
          </cell>
        </row>
        <row r="3350">
          <cell r="Y3350">
            <v>62702</v>
          </cell>
          <cell r="Z3350" t="e">
            <v>#N/A</v>
          </cell>
          <cell r="AA3350" t="e">
            <v>#N/A</v>
          </cell>
        </row>
        <row r="3351">
          <cell r="Y3351">
            <v>62708</v>
          </cell>
          <cell r="Z3351" t="e">
            <v>#N/A</v>
          </cell>
          <cell r="AA3351" t="e">
            <v>#N/A</v>
          </cell>
        </row>
        <row r="3352">
          <cell r="Y3352">
            <v>62715</v>
          </cell>
          <cell r="Z3352" t="e">
            <v>#N/A</v>
          </cell>
          <cell r="AA3352" t="e">
            <v>#N/A</v>
          </cell>
        </row>
        <row r="3353">
          <cell r="Y3353">
            <v>62725</v>
          </cell>
          <cell r="Z3353" t="e">
            <v>#N/A</v>
          </cell>
          <cell r="AA3353" t="e">
            <v>#N/A</v>
          </cell>
        </row>
        <row r="3354">
          <cell r="Y3354">
            <v>62729</v>
          </cell>
          <cell r="Z3354" t="e">
            <v>#N/A</v>
          </cell>
          <cell r="AA3354" t="e">
            <v>#N/A</v>
          </cell>
        </row>
        <row r="3355">
          <cell r="Y3355">
            <v>62736</v>
          </cell>
          <cell r="Z3355" t="e">
            <v>#N/A</v>
          </cell>
          <cell r="AA3355" t="e">
            <v>#N/A</v>
          </cell>
        </row>
        <row r="3356">
          <cell r="Y3356">
            <v>62744</v>
          </cell>
          <cell r="Z3356" t="e">
            <v>#N/A</v>
          </cell>
          <cell r="AA3356" t="e">
            <v>#N/A</v>
          </cell>
        </row>
        <row r="3357">
          <cell r="Y3357">
            <v>62750</v>
          </cell>
          <cell r="Z3357" t="e">
            <v>#N/A</v>
          </cell>
          <cell r="AA3357" t="e">
            <v>#N/A</v>
          </cell>
        </row>
        <row r="3358">
          <cell r="Y3358">
            <v>62757</v>
          </cell>
          <cell r="Z3358" t="e">
            <v>#N/A</v>
          </cell>
          <cell r="AA3358" t="e">
            <v>#N/A</v>
          </cell>
        </row>
        <row r="3359">
          <cell r="Y3359">
            <v>62764</v>
          </cell>
          <cell r="Z3359" t="e">
            <v>#N/A</v>
          </cell>
          <cell r="AA3359" t="e">
            <v>#N/A</v>
          </cell>
        </row>
        <row r="3360">
          <cell r="Y3360">
            <v>62771</v>
          </cell>
          <cell r="Z3360" t="e">
            <v>#N/A</v>
          </cell>
          <cell r="AA3360" t="e">
            <v>#N/A</v>
          </cell>
        </row>
        <row r="3361">
          <cell r="Y3361">
            <v>62778</v>
          </cell>
          <cell r="Z3361" t="e">
            <v>#N/A</v>
          </cell>
          <cell r="AA3361" t="e">
            <v>#N/A</v>
          </cell>
        </row>
        <row r="3362">
          <cell r="Y3362">
            <v>62786</v>
          </cell>
          <cell r="Z3362" t="e">
            <v>#N/A</v>
          </cell>
          <cell r="AA3362" t="e">
            <v>#N/A</v>
          </cell>
        </row>
        <row r="3363">
          <cell r="Y3363">
            <v>62792</v>
          </cell>
          <cell r="Z3363" t="e">
            <v>#N/A</v>
          </cell>
          <cell r="AA3363" t="e">
            <v>#N/A</v>
          </cell>
        </row>
        <row r="3364">
          <cell r="Y3364">
            <v>62799</v>
          </cell>
          <cell r="Z3364" t="e">
            <v>#N/A</v>
          </cell>
          <cell r="AA3364" t="e">
            <v>#N/A</v>
          </cell>
        </row>
        <row r="3365">
          <cell r="Y3365">
            <v>62806</v>
          </cell>
          <cell r="Z3365" t="e">
            <v>#N/A</v>
          </cell>
          <cell r="AA3365" t="e">
            <v>#N/A</v>
          </cell>
        </row>
        <row r="3366">
          <cell r="Y3366">
            <v>62813</v>
          </cell>
          <cell r="Z3366" t="e">
            <v>#N/A</v>
          </cell>
          <cell r="AA3366" t="e">
            <v>#N/A</v>
          </cell>
        </row>
        <row r="3367">
          <cell r="Y3367">
            <v>62822</v>
          </cell>
          <cell r="Z3367" t="e">
            <v>#N/A</v>
          </cell>
          <cell r="AA3367" t="e">
            <v>#N/A</v>
          </cell>
        </row>
        <row r="3368">
          <cell r="Y3368">
            <v>62829</v>
          </cell>
          <cell r="Z3368" t="e">
            <v>#N/A</v>
          </cell>
          <cell r="AA3368" t="e">
            <v>#N/A</v>
          </cell>
        </row>
        <row r="3369">
          <cell r="Y3369">
            <v>62837</v>
          </cell>
          <cell r="Z3369" t="e">
            <v>#N/A</v>
          </cell>
          <cell r="AA3369" t="e">
            <v>#N/A</v>
          </cell>
        </row>
        <row r="3370">
          <cell r="Y3370">
            <v>62844</v>
          </cell>
          <cell r="Z3370" t="e">
            <v>#N/A</v>
          </cell>
          <cell r="AA3370" t="e">
            <v>#N/A</v>
          </cell>
        </row>
        <row r="3371">
          <cell r="Y3371">
            <v>62851</v>
          </cell>
          <cell r="Z3371" t="e">
            <v>#N/A</v>
          </cell>
          <cell r="AA3371" t="e">
            <v>#N/A</v>
          </cell>
        </row>
        <row r="3372">
          <cell r="Y3372">
            <v>62858</v>
          </cell>
          <cell r="Z3372" t="e">
            <v>#N/A</v>
          </cell>
          <cell r="AA3372" t="e">
            <v>#N/A</v>
          </cell>
        </row>
        <row r="3373">
          <cell r="Y3373">
            <v>62866</v>
          </cell>
          <cell r="Z3373" t="e">
            <v>#N/A</v>
          </cell>
          <cell r="AA3373" t="e">
            <v>#N/A</v>
          </cell>
        </row>
        <row r="3374">
          <cell r="Y3374">
            <v>62872</v>
          </cell>
          <cell r="Z3374" t="e">
            <v>#N/A</v>
          </cell>
          <cell r="AA3374" t="e">
            <v>#N/A</v>
          </cell>
        </row>
        <row r="3375">
          <cell r="Y3375">
            <v>62879</v>
          </cell>
          <cell r="Z3375" t="e">
            <v>#N/A</v>
          </cell>
          <cell r="AA3375" t="e">
            <v>#N/A</v>
          </cell>
        </row>
        <row r="3376">
          <cell r="Y3376">
            <v>62886</v>
          </cell>
          <cell r="Z3376" t="e">
            <v>#N/A</v>
          </cell>
          <cell r="AA3376" t="e">
            <v>#N/A</v>
          </cell>
        </row>
        <row r="3377">
          <cell r="Y3377">
            <v>62893</v>
          </cell>
          <cell r="Z3377" t="e">
            <v>#N/A</v>
          </cell>
          <cell r="AA3377" t="e">
            <v>#N/A</v>
          </cell>
        </row>
        <row r="3378">
          <cell r="Y3378">
            <v>62900</v>
          </cell>
          <cell r="Z3378" t="e">
            <v>#N/A</v>
          </cell>
          <cell r="AA3378" t="e">
            <v>#N/A</v>
          </cell>
        </row>
        <row r="3379">
          <cell r="Y3379">
            <v>62907</v>
          </cell>
          <cell r="Z3379" t="e">
            <v>#N/A</v>
          </cell>
          <cell r="AA3379" t="e">
            <v>#N/A</v>
          </cell>
        </row>
        <row r="3380">
          <cell r="Y3380">
            <v>62914</v>
          </cell>
          <cell r="Z3380" t="e">
            <v>#N/A</v>
          </cell>
          <cell r="AA3380" t="e">
            <v>#N/A</v>
          </cell>
        </row>
        <row r="3381">
          <cell r="Y3381">
            <v>62921</v>
          </cell>
          <cell r="Z3381" t="e">
            <v>#N/A</v>
          </cell>
          <cell r="AA3381" t="e">
            <v>#N/A</v>
          </cell>
        </row>
        <row r="3382">
          <cell r="Y3382">
            <v>62928</v>
          </cell>
          <cell r="Z3382" t="e">
            <v>#N/A</v>
          </cell>
          <cell r="AA3382" t="e">
            <v>#N/A</v>
          </cell>
        </row>
        <row r="3383">
          <cell r="Y3383">
            <v>62935</v>
          </cell>
          <cell r="Z3383" t="e">
            <v>#N/A</v>
          </cell>
          <cell r="AA3383" t="e">
            <v>#N/A</v>
          </cell>
        </row>
        <row r="3384">
          <cell r="Y3384">
            <v>62942</v>
          </cell>
          <cell r="Z3384" t="e">
            <v>#N/A</v>
          </cell>
          <cell r="AA3384" t="e">
            <v>#N/A</v>
          </cell>
        </row>
        <row r="3385">
          <cell r="Y3385">
            <v>62954</v>
          </cell>
          <cell r="Z3385" t="e">
            <v>#N/A</v>
          </cell>
          <cell r="AA3385" t="e">
            <v>#N/A</v>
          </cell>
        </row>
        <row r="3386">
          <cell r="Y3386">
            <v>62961</v>
          </cell>
          <cell r="Z3386" t="e">
            <v>#N/A</v>
          </cell>
          <cell r="AA3386" t="e">
            <v>#N/A</v>
          </cell>
        </row>
        <row r="3387">
          <cell r="Y3387">
            <v>62968</v>
          </cell>
          <cell r="Z3387" t="e">
            <v>#N/A</v>
          </cell>
          <cell r="AA3387" t="e">
            <v>#N/A</v>
          </cell>
        </row>
        <row r="3388">
          <cell r="Y3388">
            <v>62976</v>
          </cell>
          <cell r="Z3388" t="e">
            <v>#N/A</v>
          </cell>
          <cell r="AA3388" t="e">
            <v>#N/A</v>
          </cell>
        </row>
        <row r="3389">
          <cell r="Y3389">
            <v>62982</v>
          </cell>
          <cell r="Z3389" t="e">
            <v>#N/A</v>
          </cell>
          <cell r="AA3389" t="e">
            <v>#N/A</v>
          </cell>
        </row>
        <row r="3390">
          <cell r="Y3390">
            <v>62989</v>
          </cell>
          <cell r="Z3390" t="e">
            <v>#N/A</v>
          </cell>
          <cell r="AA3390" t="e">
            <v>#N/A</v>
          </cell>
        </row>
        <row r="3391">
          <cell r="Y3391">
            <v>62996</v>
          </cell>
          <cell r="Z3391" t="e">
            <v>#N/A</v>
          </cell>
          <cell r="AA3391" t="e">
            <v>#N/A</v>
          </cell>
        </row>
        <row r="3392">
          <cell r="Y3392">
            <v>63003</v>
          </cell>
          <cell r="Z3392" t="e">
            <v>#N/A</v>
          </cell>
          <cell r="AA3392" t="e">
            <v>#N/A</v>
          </cell>
        </row>
        <row r="3393">
          <cell r="Y3393">
            <v>63010</v>
          </cell>
          <cell r="Z3393" t="e">
            <v>#N/A</v>
          </cell>
          <cell r="AA3393" t="e">
            <v>#N/A</v>
          </cell>
        </row>
        <row r="3394">
          <cell r="Y3394">
            <v>63017</v>
          </cell>
          <cell r="Z3394" t="e">
            <v>#N/A</v>
          </cell>
          <cell r="AA3394" t="e">
            <v>#N/A</v>
          </cell>
        </row>
        <row r="3395">
          <cell r="Y3395">
            <v>63025</v>
          </cell>
          <cell r="Z3395" t="e">
            <v>#N/A</v>
          </cell>
          <cell r="AA3395" t="e">
            <v>#N/A</v>
          </cell>
        </row>
        <row r="3396">
          <cell r="Y3396">
            <v>63031</v>
          </cell>
          <cell r="Z3396" t="e">
            <v>#N/A</v>
          </cell>
          <cell r="AA3396" t="e">
            <v>#N/A</v>
          </cell>
        </row>
        <row r="3397">
          <cell r="Y3397">
            <v>63038</v>
          </cell>
          <cell r="Z3397" t="e">
            <v>#N/A</v>
          </cell>
          <cell r="AA3397" t="e">
            <v>#N/A</v>
          </cell>
        </row>
        <row r="3398">
          <cell r="Y3398">
            <v>63045</v>
          </cell>
          <cell r="Z3398" t="e">
            <v>#N/A</v>
          </cell>
          <cell r="AA3398" t="e">
            <v>#N/A</v>
          </cell>
        </row>
        <row r="3399">
          <cell r="Y3399">
            <v>63052</v>
          </cell>
          <cell r="Z3399" t="e">
            <v>#N/A</v>
          </cell>
          <cell r="AA3399" t="e">
            <v>#N/A</v>
          </cell>
        </row>
        <row r="3400">
          <cell r="Y3400">
            <v>63059</v>
          </cell>
          <cell r="Z3400" t="e">
            <v>#N/A</v>
          </cell>
          <cell r="AA3400" t="e">
            <v>#N/A</v>
          </cell>
        </row>
        <row r="3401">
          <cell r="Y3401">
            <v>63067</v>
          </cell>
          <cell r="Z3401" t="e">
            <v>#N/A</v>
          </cell>
          <cell r="AA3401" t="e">
            <v>#N/A</v>
          </cell>
        </row>
        <row r="3402">
          <cell r="Y3402">
            <v>63073</v>
          </cell>
          <cell r="Z3402" t="e">
            <v>#N/A</v>
          </cell>
          <cell r="AA3402" t="e">
            <v>#N/A</v>
          </cell>
        </row>
        <row r="3403">
          <cell r="Y3403">
            <v>63080</v>
          </cell>
          <cell r="Z3403" t="e">
            <v>#N/A</v>
          </cell>
          <cell r="AA3403" t="e">
            <v>#N/A</v>
          </cell>
        </row>
        <row r="3404">
          <cell r="Y3404">
            <v>63088</v>
          </cell>
          <cell r="Z3404" t="e">
            <v>#N/A</v>
          </cell>
          <cell r="AA3404" t="e">
            <v>#N/A</v>
          </cell>
        </row>
        <row r="3405">
          <cell r="Y3405">
            <v>63094</v>
          </cell>
          <cell r="Z3405" t="e">
            <v>#N/A</v>
          </cell>
          <cell r="AA3405" t="e">
            <v>#N/A</v>
          </cell>
        </row>
        <row r="3406">
          <cell r="Y3406">
            <v>63101</v>
          </cell>
          <cell r="Z3406" t="e">
            <v>#N/A</v>
          </cell>
          <cell r="AA3406" t="e">
            <v>#N/A</v>
          </cell>
        </row>
        <row r="3407">
          <cell r="Y3407">
            <v>63109</v>
          </cell>
          <cell r="Z3407" t="e">
            <v>#N/A</v>
          </cell>
          <cell r="AA3407" t="e">
            <v>#N/A</v>
          </cell>
        </row>
        <row r="3408">
          <cell r="Y3408">
            <v>63115</v>
          </cell>
          <cell r="Z3408" t="e">
            <v>#N/A</v>
          </cell>
          <cell r="AA3408" t="e">
            <v>#N/A</v>
          </cell>
        </row>
        <row r="3409">
          <cell r="Y3409">
            <v>63122</v>
          </cell>
          <cell r="Z3409" t="e">
            <v>#N/A</v>
          </cell>
          <cell r="AA3409" t="e">
            <v>#N/A</v>
          </cell>
        </row>
        <row r="3410">
          <cell r="Y3410">
            <v>63129</v>
          </cell>
          <cell r="Z3410" t="e">
            <v>#N/A</v>
          </cell>
          <cell r="AA3410" t="e">
            <v>#N/A</v>
          </cell>
        </row>
        <row r="3411">
          <cell r="Y3411">
            <v>63136</v>
          </cell>
          <cell r="Z3411" t="e">
            <v>#N/A</v>
          </cell>
          <cell r="AA3411" t="e">
            <v>#N/A</v>
          </cell>
        </row>
        <row r="3412">
          <cell r="Y3412">
            <v>63143</v>
          </cell>
          <cell r="Z3412" t="e">
            <v>#N/A</v>
          </cell>
          <cell r="AA3412" t="e">
            <v>#N/A</v>
          </cell>
        </row>
        <row r="3413">
          <cell r="Y3413">
            <v>63150</v>
          </cell>
          <cell r="Z3413" t="e">
            <v>#N/A</v>
          </cell>
          <cell r="AA3413" t="e">
            <v>#N/A</v>
          </cell>
        </row>
        <row r="3414">
          <cell r="Y3414">
            <v>63157</v>
          </cell>
          <cell r="Z3414" t="e">
            <v>#N/A</v>
          </cell>
          <cell r="AA3414" t="e">
            <v>#N/A</v>
          </cell>
        </row>
        <row r="3415">
          <cell r="Y3415">
            <v>63164</v>
          </cell>
          <cell r="Z3415" t="e">
            <v>#N/A</v>
          </cell>
          <cell r="AA3415" t="e">
            <v>#N/A</v>
          </cell>
        </row>
        <row r="3416">
          <cell r="Y3416">
            <v>63171</v>
          </cell>
          <cell r="Z3416" t="e">
            <v>#N/A</v>
          </cell>
          <cell r="AA3416" t="e">
            <v>#N/A</v>
          </cell>
        </row>
        <row r="3417">
          <cell r="Y3417">
            <v>63178</v>
          </cell>
          <cell r="Z3417" t="e">
            <v>#N/A</v>
          </cell>
          <cell r="AA3417" t="e">
            <v>#N/A</v>
          </cell>
        </row>
        <row r="3418">
          <cell r="Y3418">
            <v>63188</v>
          </cell>
          <cell r="Z3418" t="e">
            <v>#N/A</v>
          </cell>
          <cell r="AA3418" t="e">
            <v>#N/A</v>
          </cell>
        </row>
        <row r="3419">
          <cell r="Y3419">
            <v>63195</v>
          </cell>
          <cell r="Z3419" t="e">
            <v>#N/A</v>
          </cell>
          <cell r="AA3419" t="e">
            <v>#N/A</v>
          </cell>
        </row>
        <row r="3420">
          <cell r="Y3420">
            <v>63202</v>
          </cell>
          <cell r="Z3420" t="e">
            <v>#N/A</v>
          </cell>
          <cell r="AA3420" t="e">
            <v>#N/A</v>
          </cell>
        </row>
        <row r="3421">
          <cell r="Y3421">
            <v>63209</v>
          </cell>
          <cell r="Z3421" t="e">
            <v>#N/A</v>
          </cell>
          <cell r="AA3421" t="e">
            <v>#N/A</v>
          </cell>
        </row>
        <row r="3422">
          <cell r="Y3422">
            <v>63216</v>
          </cell>
          <cell r="Z3422" t="e">
            <v>#N/A</v>
          </cell>
          <cell r="AA3422" t="e">
            <v>#N/A</v>
          </cell>
        </row>
        <row r="3423">
          <cell r="Y3423">
            <v>63223</v>
          </cell>
          <cell r="Z3423" t="e">
            <v>#N/A</v>
          </cell>
          <cell r="AA3423" t="e">
            <v>#N/A</v>
          </cell>
        </row>
        <row r="3424">
          <cell r="Y3424">
            <v>63230</v>
          </cell>
          <cell r="Z3424" t="e">
            <v>#N/A</v>
          </cell>
          <cell r="AA3424" t="e">
            <v>#N/A</v>
          </cell>
        </row>
        <row r="3425">
          <cell r="Y3425">
            <v>63237</v>
          </cell>
          <cell r="Z3425" t="e">
            <v>#N/A</v>
          </cell>
          <cell r="AA3425" t="e">
            <v>#N/A</v>
          </cell>
        </row>
        <row r="3426">
          <cell r="Y3426">
            <v>63244</v>
          </cell>
          <cell r="Z3426" t="e">
            <v>#N/A</v>
          </cell>
          <cell r="AA3426" t="e">
            <v>#N/A</v>
          </cell>
        </row>
        <row r="3427">
          <cell r="Y3427">
            <v>63251</v>
          </cell>
          <cell r="Z3427" t="e">
            <v>#N/A</v>
          </cell>
          <cell r="AA3427" t="e">
            <v>#N/A</v>
          </cell>
        </row>
        <row r="3428">
          <cell r="Y3428">
            <v>63258</v>
          </cell>
          <cell r="Z3428" t="e">
            <v>#N/A</v>
          </cell>
          <cell r="AA3428" t="e">
            <v>#N/A</v>
          </cell>
        </row>
        <row r="3429">
          <cell r="Y3429">
            <v>63265</v>
          </cell>
          <cell r="Z3429" t="e">
            <v>#N/A</v>
          </cell>
          <cell r="AA3429" t="e">
            <v>#N/A</v>
          </cell>
        </row>
        <row r="3430">
          <cell r="Y3430">
            <v>63276</v>
          </cell>
          <cell r="Z3430" t="e">
            <v>#N/A</v>
          </cell>
          <cell r="AA3430" t="e">
            <v>#N/A</v>
          </cell>
        </row>
        <row r="3431">
          <cell r="Y3431">
            <v>63279</v>
          </cell>
          <cell r="Z3431" t="e">
            <v>#N/A</v>
          </cell>
          <cell r="AA3431" t="e">
            <v>#N/A</v>
          </cell>
        </row>
        <row r="3432">
          <cell r="Y3432">
            <v>63286</v>
          </cell>
          <cell r="Z3432" t="e">
            <v>#N/A</v>
          </cell>
          <cell r="AA3432" t="e">
            <v>#N/A</v>
          </cell>
        </row>
        <row r="3433">
          <cell r="Y3433">
            <v>63293</v>
          </cell>
          <cell r="Z3433" t="e">
            <v>#N/A</v>
          </cell>
          <cell r="AA3433" t="e">
            <v>#N/A</v>
          </cell>
        </row>
        <row r="3434">
          <cell r="Y3434">
            <v>63300</v>
          </cell>
          <cell r="Z3434" t="e">
            <v>#N/A</v>
          </cell>
          <cell r="AA3434" t="e">
            <v>#N/A</v>
          </cell>
        </row>
        <row r="3435">
          <cell r="Y3435">
            <v>63307</v>
          </cell>
          <cell r="Z3435" t="e">
            <v>#N/A</v>
          </cell>
          <cell r="AA3435" t="e">
            <v>#N/A</v>
          </cell>
        </row>
        <row r="3436">
          <cell r="Y3436">
            <v>63319</v>
          </cell>
          <cell r="Z3436" t="e">
            <v>#N/A</v>
          </cell>
          <cell r="AA3436" t="e">
            <v>#N/A</v>
          </cell>
        </row>
        <row r="3437">
          <cell r="Y3437">
            <v>63326</v>
          </cell>
          <cell r="Z3437" t="e">
            <v>#N/A</v>
          </cell>
          <cell r="AA3437" t="e">
            <v>#N/A</v>
          </cell>
        </row>
        <row r="3438">
          <cell r="Y3438">
            <v>63333</v>
          </cell>
          <cell r="Z3438" t="e">
            <v>#N/A</v>
          </cell>
          <cell r="AA3438" t="e">
            <v>#N/A</v>
          </cell>
        </row>
        <row r="3439">
          <cell r="Y3439">
            <v>63341</v>
          </cell>
          <cell r="Z3439" t="e">
            <v>#N/A</v>
          </cell>
          <cell r="AA3439" t="e">
            <v>#N/A</v>
          </cell>
        </row>
        <row r="3440">
          <cell r="Y3440">
            <v>63348</v>
          </cell>
          <cell r="Z3440" t="e">
            <v>#N/A</v>
          </cell>
          <cell r="AA3440" t="e">
            <v>#N/A</v>
          </cell>
        </row>
        <row r="3441">
          <cell r="Y3441">
            <v>63355</v>
          </cell>
          <cell r="Z3441" t="e">
            <v>#N/A</v>
          </cell>
          <cell r="AA3441" t="e">
            <v>#N/A</v>
          </cell>
        </row>
        <row r="3442">
          <cell r="Y3442">
            <v>63362</v>
          </cell>
          <cell r="Z3442" t="e">
            <v>#N/A</v>
          </cell>
          <cell r="AA3442" t="e">
            <v>#N/A</v>
          </cell>
        </row>
        <row r="3443">
          <cell r="Y3443">
            <v>63369</v>
          </cell>
          <cell r="Z3443" t="e">
            <v>#N/A</v>
          </cell>
          <cell r="AA3443" t="e">
            <v>#N/A</v>
          </cell>
        </row>
        <row r="3444">
          <cell r="Y3444">
            <v>63376</v>
          </cell>
          <cell r="Z3444" t="e">
            <v>#N/A</v>
          </cell>
          <cell r="AA3444" t="e">
            <v>#N/A</v>
          </cell>
        </row>
        <row r="3445">
          <cell r="Y3445">
            <v>63383</v>
          </cell>
          <cell r="Z3445" t="e">
            <v>#N/A</v>
          </cell>
          <cell r="AA3445" t="e">
            <v>#N/A</v>
          </cell>
        </row>
        <row r="3446">
          <cell r="Y3446">
            <v>63390</v>
          </cell>
          <cell r="Z3446" t="e">
            <v>#N/A</v>
          </cell>
          <cell r="AA3446" t="e">
            <v>#N/A</v>
          </cell>
        </row>
        <row r="3447">
          <cell r="Y3447">
            <v>63397</v>
          </cell>
          <cell r="Z3447" t="e">
            <v>#N/A</v>
          </cell>
          <cell r="AA3447" t="e">
            <v>#N/A</v>
          </cell>
        </row>
        <row r="3448">
          <cell r="Y3448">
            <v>63404</v>
          </cell>
          <cell r="Z3448" t="e">
            <v>#N/A</v>
          </cell>
          <cell r="AA3448" t="e">
            <v>#N/A</v>
          </cell>
        </row>
        <row r="3449">
          <cell r="Y3449">
            <v>63411</v>
          </cell>
          <cell r="Z3449" t="e">
            <v>#N/A</v>
          </cell>
          <cell r="AA3449" t="e">
            <v>#N/A</v>
          </cell>
        </row>
        <row r="3450">
          <cell r="Y3450">
            <v>63418</v>
          </cell>
          <cell r="Z3450" t="e">
            <v>#N/A</v>
          </cell>
          <cell r="AA3450" t="e">
            <v>#N/A</v>
          </cell>
        </row>
        <row r="3451">
          <cell r="Y3451">
            <v>63425</v>
          </cell>
          <cell r="Z3451" t="e">
            <v>#N/A</v>
          </cell>
          <cell r="AA3451" t="e">
            <v>#N/A</v>
          </cell>
        </row>
        <row r="3452">
          <cell r="Y3452">
            <v>63432</v>
          </cell>
          <cell r="Z3452" t="e">
            <v>#N/A</v>
          </cell>
          <cell r="AA3452" t="e">
            <v>#N/A</v>
          </cell>
        </row>
        <row r="3453">
          <cell r="Y3453">
            <v>63439</v>
          </cell>
          <cell r="Z3453" t="e">
            <v>#N/A</v>
          </cell>
          <cell r="AA3453" t="e">
            <v>#N/A</v>
          </cell>
        </row>
        <row r="3454">
          <cell r="Y3454">
            <v>63446</v>
          </cell>
          <cell r="Z3454" t="e">
            <v>#N/A</v>
          </cell>
          <cell r="AA3454" t="e">
            <v>#N/A</v>
          </cell>
        </row>
        <row r="3455">
          <cell r="Y3455">
            <v>63453</v>
          </cell>
          <cell r="Z3455" t="e">
            <v>#N/A</v>
          </cell>
          <cell r="AA3455" t="e">
            <v>#N/A</v>
          </cell>
        </row>
        <row r="3456">
          <cell r="Y3456">
            <v>63460</v>
          </cell>
          <cell r="Z3456" t="e">
            <v>#N/A</v>
          </cell>
          <cell r="AA3456" t="e">
            <v>#N/A</v>
          </cell>
        </row>
        <row r="3457">
          <cell r="Y3457">
            <v>63467</v>
          </cell>
          <cell r="Z3457" t="e">
            <v>#N/A</v>
          </cell>
          <cell r="AA3457" t="e">
            <v>#N/A</v>
          </cell>
        </row>
        <row r="3458">
          <cell r="Y3458">
            <v>63474</v>
          </cell>
          <cell r="Z3458" t="e">
            <v>#N/A</v>
          </cell>
          <cell r="AA3458" t="e">
            <v>#N/A</v>
          </cell>
        </row>
        <row r="3459">
          <cell r="Y3459">
            <v>63481</v>
          </cell>
          <cell r="Z3459" t="e">
            <v>#N/A</v>
          </cell>
          <cell r="AA3459" t="e">
            <v>#N/A</v>
          </cell>
        </row>
        <row r="3460">
          <cell r="Y3460">
            <v>63488</v>
          </cell>
          <cell r="Z3460" t="e">
            <v>#N/A</v>
          </cell>
          <cell r="AA3460" t="e">
            <v>#N/A</v>
          </cell>
        </row>
        <row r="3461">
          <cell r="Y3461">
            <v>63495</v>
          </cell>
          <cell r="Z3461" t="e">
            <v>#N/A</v>
          </cell>
          <cell r="AA3461" t="e">
            <v>#N/A</v>
          </cell>
        </row>
        <row r="3462">
          <cell r="Y3462">
            <v>63502</v>
          </cell>
          <cell r="Z3462" t="e">
            <v>#N/A</v>
          </cell>
          <cell r="AA3462" t="e">
            <v>#N/A</v>
          </cell>
        </row>
        <row r="3463">
          <cell r="Y3463">
            <v>63509</v>
          </cell>
          <cell r="Z3463" t="e">
            <v>#N/A</v>
          </cell>
          <cell r="AA3463" t="e">
            <v>#N/A</v>
          </cell>
        </row>
        <row r="3464">
          <cell r="Y3464">
            <v>63517</v>
          </cell>
          <cell r="Z3464" t="e">
            <v>#N/A</v>
          </cell>
          <cell r="AA3464" t="e">
            <v>#N/A</v>
          </cell>
        </row>
        <row r="3465">
          <cell r="Y3465">
            <v>63523</v>
          </cell>
          <cell r="Z3465" t="e">
            <v>#N/A</v>
          </cell>
          <cell r="AA3465" t="e">
            <v>#N/A</v>
          </cell>
        </row>
        <row r="3466">
          <cell r="Y3466">
            <v>63530</v>
          </cell>
          <cell r="Z3466" t="e">
            <v>#N/A</v>
          </cell>
          <cell r="AA3466" t="e">
            <v>#N/A</v>
          </cell>
        </row>
        <row r="3467">
          <cell r="Y3467">
            <v>63537</v>
          </cell>
          <cell r="Z3467" t="e">
            <v>#N/A</v>
          </cell>
          <cell r="AA3467" t="e">
            <v>#N/A</v>
          </cell>
        </row>
        <row r="3468">
          <cell r="Y3468">
            <v>63544</v>
          </cell>
          <cell r="Z3468" t="e">
            <v>#N/A</v>
          </cell>
          <cell r="AA3468" t="e">
            <v>#N/A</v>
          </cell>
        </row>
        <row r="3469">
          <cell r="Y3469">
            <v>63552</v>
          </cell>
          <cell r="Z3469" t="e">
            <v>#N/A</v>
          </cell>
          <cell r="AA3469" t="e">
            <v>#N/A</v>
          </cell>
        </row>
        <row r="3470">
          <cell r="Y3470">
            <v>63563</v>
          </cell>
          <cell r="Z3470" t="e">
            <v>#N/A</v>
          </cell>
          <cell r="AA3470" t="e">
            <v>#N/A</v>
          </cell>
        </row>
        <row r="3471">
          <cell r="Y3471">
            <v>63569</v>
          </cell>
          <cell r="Z3471" t="e">
            <v>#N/A</v>
          </cell>
          <cell r="AA3471" t="e">
            <v>#N/A</v>
          </cell>
        </row>
        <row r="3472">
          <cell r="Y3472">
            <v>63576</v>
          </cell>
          <cell r="Z3472" t="e">
            <v>#N/A</v>
          </cell>
          <cell r="AA3472" t="e">
            <v>#N/A</v>
          </cell>
        </row>
        <row r="3473">
          <cell r="Y3473">
            <v>63583</v>
          </cell>
          <cell r="Z3473" t="e">
            <v>#N/A</v>
          </cell>
          <cell r="AA3473" t="e">
            <v>#N/A</v>
          </cell>
        </row>
        <row r="3474">
          <cell r="Y3474">
            <v>63590</v>
          </cell>
          <cell r="Z3474" t="e">
            <v>#N/A</v>
          </cell>
          <cell r="AA3474" t="e">
            <v>#N/A</v>
          </cell>
        </row>
        <row r="3475">
          <cell r="Y3475">
            <v>63598</v>
          </cell>
          <cell r="Z3475" t="e">
            <v>#N/A</v>
          </cell>
          <cell r="AA3475" t="e">
            <v>#N/A</v>
          </cell>
        </row>
        <row r="3476">
          <cell r="Y3476">
            <v>63604</v>
          </cell>
          <cell r="Z3476" t="e">
            <v>#N/A</v>
          </cell>
          <cell r="AA3476" t="e">
            <v>#N/A</v>
          </cell>
        </row>
        <row r="3477">
          <cell r="Y3477">
            <v>63611</v>
          </cell>
          <cell r="Z3477" t="e">
            <v>#N/A</v>
          </cell>
          <cell r="AA3477" t="e">
            <v>#N/A</v>
          </cell>
        </row>
        <row r="3478">
          <cell r="Y3478">
            <v>63618</v>
          </cell>
          <cell r="Z3478" t="e">
            <v>#N/A</v>
          </cell>
          <cell r="AA3478" t="e">
            <v>#N/A</v>
          </cell>
        </row>
        <row r="3479">
          <cell r="Y3479">
            <v>63625</v>
          </cell>
          <cell r="Z3479" t="e">
            <v>#N/A</v>
          </cell>
          <cell r="AA3479" t="e">
            <v>#N/A</v>
          </cell>
        </row>
        <row r="3480">
          <cell r="Y3480">
            <v>63632</v>
          </cell>
          <cell r="Z3480" t="e">
            <v>#N/A</v>
          </cell>
          <cell r="AA3480" t="e">
            <v>#N/A</v>
          </cell>
        </row>
        <row r="3481">
          <cell r="Y3481">
            <v>63639</v>
          </cell>
          <cell r="Z3481" t="e">
            <v>#N/A</v>
          </cell>
          <cell r="AA3481" t="e">
            <v>#N/A</v>
          </cell>
        </row>
        <row r="3482">
          <cell r="Y3482">
            <v>63646</v>
          </cell>
          <cell r="Z3482" t="e">
            <v>#N/A</v>
          </cell>
          <cell r="AA3482" t="e">
            <v>#N/A</v>
          </cell>
        </row>
        <row r="3483">
          <cell r="Y3483">
            <v>63653</v>
          </cell>
          <cell r="Z3483" t="e">
            <v>#N/A</v>
          </cell>
          <cell r="AA3483" t="e">
            <v>#N/A</v>
          </cell>
        </row>
        <row r="3484">
          <cell r="Y3484">
            <v>63662</v>
          </cell>
          <cell r="Z3484" t="e">
            <v>#N/A</v>
          </cell>
          <cell r="AA3484" t="e">
            <v>#N/A</v>
          </cell>
        </row>
        <row r="3485">
          <cell r="Y3485">
            <v>63667</v>
          </cell>
          <cell r="Z3485" t="e">
            <v>#N/A</v>
          </cell>
          <cell r="AA3485" t="e">
            <v>#N/A</v>
          </cell>
        </row>
        <row r="3486">
          <cell r="Y3486">
            <v>63675</v>
          </cell>
          <cell r="Z3486" t="e">
            <v>#N/A</v>
          </cell>
          <cell r="AA3486" t="e">
            <v>#N/A</v>
          </cell>
        </row>
        <row r="3487">
          <cell r="Y3487">
            <v>63684</v>
          </cell>
          <cell r="Z3487" t="e">
            <v>#N/A</v>
          </cell>
          <cell r="AA3487" t="e">
            <v>#N/A</v>
          </cell>
        </row>
        <row r="3488">
          <cell r="Y3488">
            <v>63691</v>
          </cell>
          <cell r="Z3488" t="e">
            <v>#N/A</v>
          </cell>
          <cell r="AA3488" t="e">
            <v>#N/A</v>
          </cell>
        </row>
        <row r="3489">
          <cell r="Y3489">
            <v>63698</v>
          </cell>
          <cell r="Z3489" t="e">
            <v>#N/A</v>
          </cell>
          <cell r="AA3489" t="e">
            <v>#N/A</v>
          </cell>
        </row>
        <row r="3490">
          <cell r="Y3490">
            <v>63705</v>
          </cell>
          <cell r="Z3490" t="e">
            <v>#N/A</v>
          </cell>
          <cell r="AA3490" t="e">
            <v>#N/A</v>
          </cell>
        </row>
        <row r="3491">
          <cell r="Y3491">
            <v>63712</v>
          </cell>
          <cell r="Z3491" t="e">
            <v>#N/A</v>
          </cell>
          <cell r="AA3491" t="e">
            <v>#N/A</v>
          </cell>
        </row>
        <row r="3492">
          <cell r="Y3492">
            <v>63719</v>
          </cell>
          <cell r="Z3492" t="e">
            <v>#N/A</v>
          </cell>
          <cell r="AA3492" t="e">
            <v>#N/A</v>
          </cell>
        </row>
        <row r="3493">
          <cell r="Y3493">
            <v>63726</v>
          </cell>
          <cell r="Z3493" t="e">
            <v>#N/A</v>
          </cell>
          <cell r="AA3493" t="e">
            <v>#N/A</v>
          </cell>
        </row>
        <row r="3494">
          <cell r="Y3494">
            <v>63733</v>
          </cell>
          <cell r="Z3494" t="e">
            <v>#N/A</v>
          </cell>
          <cell r="AA3494" t="e">
            <v>#N/A</v>
          </cell>
        </row>
        <row r="3495">
          <cell r="Y3495">
            <v>63740</v>
          </cell>
          <cell r="Z3495" t="e">
            <v>#N/A</v>
          </cell>
          <cell r="AA3495" t="e">
            <v>#N/A</v>
          </cell>
        </row>
        <row r="3496">
          <cell r="Y3496">
            <v>63747</v>
          </cell>
          <cell r="Z3496" t="e">
            <v>#N/A</v>
          </cell>
          <cell r="AA3496" t="e">
            <v>#N/A</v>
          </cell>
        </row>
        <row r="3497">
          <cell r="Y3497">
            <v>63754</v>
          </cell>
          <cell r="Z3497" t="e">
            <v>#N/A</v>
          </cell>
          <cell r="AA3497" t="e">
            <v>#N/A</v>
          </cell>
        </row>
        <row r="3498">
          <cell r="Y3498">
            <v>63761</v>
          </cell>
          <cell r="Z3498" t="e">
            <v>#N/A</v>
          </cell>
          <cell r="AA3498" t="e">
            <v>#N/A</v>
          </cell>
        </row>
        <row r="3499">
          <cell r="Y3499">
            <v>63768</v>
          </cell>
          <cell r="Z3499" t="e">
            <v>#N/A</v>
          </cell>
          <cell r="AA3499" t="e">
            <v>#N/A</v>
          </cell>
        </row>
        <row r="3500">
          <cell r="Y3500">
            <v>63775</v>
          </cell>
          <cell r="Z3500" t="e">
            <v>#N/A</v>
          </cell>
          <cell r="AA3500" t="e">
            <v>#N/A</v>
          </cell>
        </row>
        <row r="3501">
          <cell r="Y3501">
            <v>63782</v>
          </cell>
          <cell r="Z3501" t="e">
            <v>#N/A</v>
          </cell>
          <cell r="AA3501" t="e">
            <v>#N/A</v>
          </cell>
        </row>
        <row r="3502">
          <cell r="Y3502">
            <v>63789</v>
          </cell>
          <cell r="Z3502" t="e">
            <v>#N/A</v>
          </cell>
          <cell r="AA3502" t="e">
            <v>#N/A</v>
          </cell>
        </row>
        <row r="3503">
          <cell r="Y3503">
            <v>63796</v>
          </cell>
          <cell r="Z3503" t="e">
            <v>#N/A</v>
          </cell>
          <cell r="AA3503" t="e">
            <v>#N/A</v>
          </cell>
        </row>
        <row r="3504">
          <cell r="Y3504">
            <v>63803</v>
          </cell>
          <cell r="Z3504" t="e">
            <v>#N/A</v>
          </cell>
          <cell r="AA3504" t="e">
            <v>#N/A</v>
          </cell>
        </row>
        <row r="3505">
          <cell r="Y3505">
            <v>63810</v>
          </cell>
          <cell r="Z3505" t="e">
            <v>#N/A</v>
          </cell>
          <cell r="AA3505" t="e">
            <v>#N/A</v>
          </cell>
        </row>
        <row r="3506">
          <cell r="Y3506">
            <v>63817</v>
          </cell>
          <cell r="Z3506" t="e">
            <v>#N/A</v>
          </cell>
          <cell r="AA3506" t="e">
            <v>#N/A</v>
          </cell>
        </row>
        <row r="3507">
          <cell r="Y3507">
            <v>63824</v>
          </cell>
          <cell r="Z3507" t="e">
            <v>#N/A</v>
          </cell>
          <cell r="AA3507" t="e">
            <v>#N/A</v>
          </cell>
        </row>
        <row r="3508">
          <cell r="Y3508">
            <v>63831</v>
          </cell>
          <cell r="Z3508" t="e">
            <v>#N/A</v>
          </cell>
          <cell r="AA3508" t="e">
            <v>#N/A</v>
          </cell>
        </row>
        <row r="3509">
          <cell r="Y3509">
            <v>63838</v>
          </cell>
          <cell r="Z3509" t="e">
            <v>#N/A</v>
          </cell>
          <cell r="AA3509" t="e">
            <v>#N/A</v>
          </cell>
        </row>
        <row r="3510">
          <cell r="Y3510">
            <v>63845</v>
          </cell>
          <cell r="Z3510" t="e">
            <v>#N/A</v>
          </cell>
          <cell r="AA3510" t="e">
            <v>#N/A</v>
          </cell>
        </row>
        <row r="3511">
          <cell r="Y3511">
            <v>63852</v>
          </cell>
          <cell r="Z3511" t="e">
            <v>#N/A</v>
          </cell>
          <cell r="AA3511" t="e">
            <v>#N/A</v>
          </cell>
        </row>
        <row r="3512">
          <cell r="Y3512">
            <v>63859</v>
          </cell>
          <cell r="Z3512" t="e">
            <v>#N/A</v>
          </cell>
          <cell r="AA3512" t="e">
            <v>#N/A</v>
          </cell>
        </row>
        <row r="3513">
          <cell r="Y3513">
            <v>63866</v>
          </cell>
          <cell r="Z3513" t="e">
            <v>#N/A</v>
          </cell>
          <cell r="AA3513" t="e">
            <v>#N/A</v>
          </cell>
        </row>
        <row r="3514">
          <cell r="Y3514">
            <v>63873</v>
          </cell>
          <cell r="Z3514" t="e">
            <v>#N/A</v>
          </cell>
          <cell r="AA3514" t="e">
            <v>#N/A</v>
          </cell>
        </row>
        <row r="3515">
          <cell r="Y3515">
            <v>63880</v>
          </cell>
          <cell r="Z3515" t="e">
            <v>#N/A</v>
          </cell>
          <cell r="AA3515" t="e">
            <v>#N/A</v>
          </cell>
        </row>
        <row r="3516">
          <cell r="Y3516">
            <v>63887</v>
          </cell>
          <cell r="Z3516" t="e">
            <v>#N/A</v>
          </cell>
          <cell r="AA3516" t="e">
            <v>#N/A</v>
          </cell>
        </row>
        <row r="3517">
          <cell r="Y3517">
            <v>63894</v>
          </cell>
          <cell r="Z3517" t="e">
            <v>#N/A</v>
          </cell>
          <cell r="AA3517" t="e">
            <v>#N/A</v>
          </cell>
        </row>
        <row r="3518">
          <cell r="Y3518">
            <v>63901</v>
          </cell>
          <cell r="Z3518" t="e">
            <v>#N/A</v>
          </cell>
          <cell r="AA3518" t="e">
            <v>#N/A</v>
          </cell>
        </row>
        <row r="3519">
          <cell r="Y3519">
            <v>63908</v>
          </cell>
          <cell r="Z3519" t="e">
            <v>#N/A</v>
          </cell>
          <cell r="AA3519" t="e">
            <v>#N/A</v>
          </cell>
        </row>
        <row r="3520">
          <cell r="Y3520">
            <v>63923</v>
          </cell>
          <cell r="Z3520" t="e">
            <v>#N/A</v>
          </cell>
          <cell r="AA3520" t="e">
            <v>#N/A</v>
          </cell>
        </row>
        <row r="3521">
          <cell r="Y3521">
            <v>63927</v>
          </cell>
          <cell r="Z3521" t="e">
            <v>#N/A</v>
          </cell>
          <cell r="AA3521" t="e">
            <v>#N/A</v>
          </cell>
        </row>
        <row r="3522">
          <cell r="Y3522">
            <v>63935</v>
          </cell>
          <cell r="Z3522" t="e">
            <v>#N/A</v>
          </cell>
          <cell r="AA3522" t="e">
            <v>#N/A</v>
          </cell>
        </row>
        <row r="3523">
          <cell r="Y3523">
            <v>63941</v>
          </cell>
          <cell r="Z3523" t="e">
            <v>#N/A</v>
          </cell>
          <cell r="AA3523" t="e">
            <v>#N/A</v>
          </cell>
        </row>
        <row r="3524">
          <cell r="Y3524">
            <v>63948</v>
          </cell>
          <cell r="Z3524" t="e">
            <v>#N/A</v>
          </cell>
          <cell r="AA3524" t="e">
            <v>#N/A</v>
          </cell>
        </row>
        <row r="3525">
          <cell r="Y3525">
            <v>63955</v>
          </cell>
          <cell r="Z3525" t="e">
            <v>#N/A</v>
          </cell>
          <cell r="AA3525" t="e">
            <v>#N/A</v>
          </cell>
        </row>
        <row r="3526">
          <cell r="Y3526">
            <v>63963</v>
          </cell>
          <cell r="Z3526" t="e">
            <v>#N/A</v>
          </cell>
          <cell r="AA3526" t="e">
            <v>#N/A</v>
          </cell>
        </row>
        <row r="3527">
          <cell r="Y3527">
            <v>63969</v>
          </cell>
          <cell r="Z3527" t="e">
            <v>#N/A</v>
          </cell>
          <cell r="AA3527" t="e">
            <v>#N/A</v>
          </cell>
        </row>
        <row r="3528">
          <cell r="Y3528">
            <v>63976</v>
          </cell>
          <cell r="Z3528" t="e">
            <v>#N/A</v>
          </cell>
          <cell r="AA3528" t="e">
            <v>#N/A</v>
          </cell>
        </row>
        <row r="3529">
          <cell r="Y3529">
            <v>63983</v>
          </cell>
          <cell r="Z3529" t="e">
            <v>#N/A</v>
          </cell>
          <cell r="AA3529" t="e">
            <v>#N/A</v>
          </cell>
        </row>
        <row r="3530">
          <cell r="Y3530">
            <v>63990</v>
          </cell>
          <cell r="Z3530" t="e">
            <v>#N/A</v>
          </cell>
          <cell r="AA3530" t="e">
            <v>#N/A</v>
          </cell>
        </row>
        <row r="3531">
          <cell r="Y3531">
            <v>63997</v>
          </cell>
          <cell r="Z3531" t="e">
            <v>#N/A</v>
          </cell>
          <cell r="AA3531" t="e">
            <v>#N/A</v>
          </cell>
        </row>
        <row r="3532">
          <cell r="Y3532">
            <v>64004</v>
          </cell>
          <cell r="Z3532" t="e">
            <v>#N/A</v>
          </cell>
          <cell r="AA3532" t="e">
            <v>#N/A</v>
          </cell>
        </row>
        <row r="3533">
          <cell r="Y3533">
            <v>64011</v>
          </cell>
          <cell r="Z3533" t="e">
            <v>#N/A</v>
          </cell>
          <cell r="AA3533" t="e">
            <v>#N/A</v>
          </cell>
        </row>
        <row r="3534">
          <cell r="Y3534">
            <v>64020</v>
          </cell>
          <cell r="Z3534" t="e">
            <v>#N/A</v>
          </cell>
          <cell r="AA3534" t="e">
            <v>#N/A</v>
          </cell>
        </row>
        <row r="3535">
          <cell r="Y3535">
            <v>64027</v>
          </cell>
          <cell r="Z3535" t="e">
            <v>#N/A</v>
          </cell>
          <cell r="AA3535" t="e">
            <v>#N/A</v>
          </cell>
        </row>
        <row r="3536">
          <cell r="Y3536">
            <v>64034</v>
          </cell>
          <cell r="Z3536" t="e">
            <v>#N/A</v>
          </cell>
          <cell r="AA3536" t="e">
            <v>#N/A</v>
          </cell>
        </row>
        <row r="3537">
          <cell r="Y3537">
            <v>64041</v>
          </cell>
          <cell r="Z3537" t="e">
            <v>#N/A</v>
          </cell>
          <cell r="AA3537" t="e">
            <v>#N/A</v>
          </cell>
        </row>
        <row r="3538">
          <cell r="Y3538">
            <v>64048</v>
          </cell>
          <cell r="Z3538" t="e">
            <v>#N/A</v>
          </cell>
          <cell r="AA3538" t="e">
            <v>#N/A</v>
          </cell>
        </row>
        <row r="3539">
          <cell r="Y3539">
            <v>64055</v>
          </cell>
          <cell r="Z3539" t="e">
            <v>#N/A</v>
          </cell>
          <cell r="AA3539" t="e">
            <v>#N/A</v>
          </cell>
        </row>
        <row r="3540">
          <cell r="Y3540">
            <v>64062</v>
          </cell>
          <cell r="Z3540" t="e">
            <v>#N/A</v>
          </cell>
          <cell r="AA3540" t="e">
            <v>#N/A</v>
          </cell>
        </row>
        <row r="3541">
          <cell r="Y3541">
            <v>64069</v>
          </cell>
          <cell r="Z3541" t="e">
            <v>#N/A</v>
          </cell>
          <cell r="AA3541" t="e">
            <v>#N/A</v>
          </cell>
        </row>
        <row r="3542">
          <cell r="Y3542">
            <v>64076</v>
          </cell>
          <cell r="Z3542" t="e">
            <v>#N/A</v>
          </cell>
          <cell r="AA3542" t="e">
            <v>#N/A</v>
          </cell>
        </row>
        <row r="3543">
          <cell r="Y3543">
            <v>64083</v>
          </cell>
          <cell r="Z3543" t="e">
            <v>#N/A</v>
          </cell>
          <cell r="AA3543" t="e">
            <v>#N/A</v>
          </cell>
        </row>
        <row r="3544">
          <cell r="Y3544">
            <v>64090</v>
          </cell>
          <cell r="Z3544" t="e">
            <v>#N/A</v>
          </cell>
          <cell r="AA3544" t="e">
            <v>#N/A</v>
          </cell>
        </row>
        <row r="3545">
          <cell r="Y3545">
            <v>64097</v>
          </cell>
          <cell r="Z3545" t="e">
            <v>#N/A</v>
          </cell>
          <cell r="AA3545" t="e">
            <v>#N/A</v>
          </cell>
        </row>
        <row r="3546">
          <cell r="Y3546">
            <v>64104</v>
          </cell>
          <cell r="Z3546" t="e">
            <v>#N/A</v>
          </cell>
          <cell r="AA3546" t="e">
            <v>#N/A</v>
          </cell>
        </row>
        <row r="3547">
          <cell r="Y3547">
            <v>64111</v>
          </cell>
          <cell r="Z3547" t="e">
            <v>#N/A</v>
          </cell>
          <cell r="AA3547" t="e">
            <v>#N/A</v>
          </cell>
        </row>
        <row r="3548">
          <cell r="Y3548">
            <v>64118</v>
          </cell>
          <cell r="Z3548" t="e">
            <v>#N/A</v>
          </cell>
          <cell r="AA3548" t="e">
            <v>#N/A</v>
          </cell>
        </row>
        <row r="3549">
          <cell r="Y3549">
            <v>64125</v>
          </cell>
          <cell r="Z3549" t="e">
            <v>#N/A</v>
          </cell>
          <cell r="AA3549" t="e">
            <v>#N/A</v>
          </cell>
        </row>
        <row r="3550">
          <cell r="Y3550">
            <v>64132</v>
          </cell>
          <cell r="Z3550" t="e">
            <v>#N/A</v>
          </cell>
          <cell r="AA3550" t="e">
            <v>#N/A</v>
          </cell>
        </row>
        <row r="3551">
          <cell r="Y3551">
            <v>64139</v>
          </cell>
          <cell r="Z3551" t="e">
            <v>#N/A</v>
          </cell>
          <cell r="AA3551" t="e">
            <v>#N/A</v>
          </cell>
        </row>
        <row r="3552">
          <cell r="Y3552">
            <v>64146</v>
          </cell>
          <cell r="Z3552" t="e">
            <v>#N/A</v>
          </cell>
          <cell r="AA3552"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60" customWidth="1"/>
    <col min="3" max="3" width="20.28515625" style="160" bestFit="1" customWidth="1"/>
    <col min="4" max="4" width="31.7109375" style="160" bestFit="1" customWidth="1"/>
    <col min="5" max="5" width="22.42578125" style="160" bestFit="1" customWidth="1"/>
    <col min="6" max="7" width="2.7109375" style="160" customWidth="1"/>
    <col min="8" max="8" width="4" style="160" bestFit="1" customWidth="1"/>
    <col min="9" max="9" width="3"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6.5" thickBot="1" x14ac:dyDescent="0.3">
      <c r="B2" s="213" t="s">
        <v>117</v>
      </c>
      <c r="C2" s="214"/>
      <c r="D2" s="214"/>
      <c r="E2" s="214"/>
      <c r="F2" s="215"/>
      <c r="K2" s="213" t="s">
        <v>117</v>
      </c>
      <c r="L2" s="214"/>
      <c r="M2" s="214"/>
      <c r="N2" s="216"/>
    </row>
    <row r="3" spans="2:14" ht="12" thickBot="1" x14ac:dyDescent="0.25">
      <c r="B3" s="56"/>
      <c r="C3" s="85"/>
      <c r="D3" s="55"/>
      <c r="E3" s="55"/>
      <c r="F3" s="54"/>
      <c r="K3" s="121"/>
      <c r="L3" s="124"/>
      <c r="M3" s="124"/>
      <c r="N3" s="123"/>
    </row>
    <row r="4" spans="2:14" x14ac:dyDescent="0.2">
      <c r="B4" s="56"/>
      <c r="C4" s="84" t="s">
        <v>100</v>
      </c>
      <c r="D4" s="71" t="s">
        <v>92</v>
      </c>
      <c r="E4" s="55"/>
      <c r="F4" s="54"/>
      <c r="H4" s="162" t="s">
        <v>99</v>
      </c>
      <c r="I4" s="163"/>
      <c r="K4" s="121"/>
      <c r="L4" s="120" t="s">
        <v>116</v>
      </c>
      <c r="M4" s="114" t="b">
        <v>0</v>
      </c>
      <c r="N4" s="119"/>
    </row>
    <row r="5" spans="2:14" x14ac:dyDescent="0.2">
      <c r="B5" s="56"/>
      <c r="C5" s="83" t="s">
        <v>98</v>
      </c>
      <c r="D5" s="57">
        <v>3</v>
      </c>
      <c r="E5" s="55"/>
      <c r="F5" s="54"/>
      <c r="H5" s="164" t="s">
        <v>97</v>
      </c>
      <c r="I5" s="165" t="s">
        <v>96</v>
      </c>
      <c r="K5" s="121"/>
      <c r="L5" s="120" t="s">
        <v>115</v>
      </c>
      <c r="M5" s="122"/>
      <c r="N5" s="119"/>
    </row>
    <row r="6" spans="2:14" x14ac:dyDescent="0.2">
      <c r="B6" s="56"/>
      <c r="C6" s="83" t="s">
        <v>95</v>
      </c>
      <c r="D6" s="57" t="str">
        <f>_xll.qlPeriodEquivalent(D5&amp;"M")</f>
        <v>3M</v>
      </c>
      <c r="E6" s="55"/>
      <c r="F6" s="54"/>
      <c r="H6" s="164" t="s">
        <v>94</v>
      </c>
      <c r="I6" s="165"/>
      <c r="K6" s="121"/>
      <c r="L6" s="120" t="s">
        <v>114</v>
      </c>
      <c r="M6" s="111" t="b">
        <v>1</v>
      </c>
      <c r="N6" s="119"/>
    </row>
    <row r="7" spans="2:14" ht="12" thickBot="1" x14ac:dyDescent="0.25">
      <c r="B7" s="56"/>
      <c r="C7" s="83" t="s">
        <v>93</v>
      </c>
      <c r="D7" s="57" t="str">
        <f>Months&amp;IF(UPPER(Currency)="EUR","E","L")</f>
        <v>3L</v>
      </c>
      <c r="E7" s="55"/>
      <c r="F7" s="54"/>
      <c r="H7" s="164" t="s">
        <v>92</v>
      </c>
      <c r="I7" s="165"/>
      <c r="K7" s="118"/>
      <c r="L7" s="117"/>
      <c r="M7" s="117"/>
      <c r="N7" s="116"/>
    </row>
    <row r="8" spans="2:14" ht="12" thickBot="1" x14ac:dyDescent="0.25">
      <c r="B8" s="56"/>
      <c r="C8" s="83" t="s">
        <v>91</v>
      </c>
      <c r="D8" s="57">
        <f>VLOOKUP(Currency,H4:I8,2)</f>
        <v>0</v>
      </c>
      <c r="E8" s="55"/>
      <c r="F8" s="54"/>
      <c r="H8" s="166" t="s">
        <v>90</v>
      </c>
      <c r="I8" s="167" t="s">
        <v>89</v>
      </c>
      <c r="K8" s="161"/>
      <c r="L8" s="161"/>
      <c r="M8" s="161"/>
      <c r="N8" s="161"/>
    </row>
    <row r="9" spans="2:14" ht="16.5" thickBot="1" x14ac:dyDescent="0.3">
      <c r="B9" s="56"/>
      <c r="C9" s="83" t="s">
        <v>88</v>
      </c>
      <c r="D9" s="57" t="str">
        <f>Currency&amp;"_YC"&amp;IndexTenor&amp;"RH"</f>
        <v>JPY_YC3MRH</v>
      </c>
      <c r="E9" s="55"/>
      <c r="F9" s="54"/>
      <c r="K9" s="213" t="s">
        <v>113</v>
      </c>
      <c r="L9" s="214"/>
      <c r="M9" s="214"/>
      <c r="N9" s="216"/>
    </row>
    <row r="10" spans="2:14" ht="12.75" x14ac:dyDescent="0.2">
      <c r="B10" s="56"/>
      <c r="C10" s="82" t="s">
        <v>87</v>
      </c>
      <c r="D10" s="57" t="b">
        <v>1</v>
      </c>
      <c r="E10" s="55"/>
      <c r="F10" s="54"/>
      <c r="K10" s="113"/>
      <c r="L10" s="115"/>
      <c r="M10" s="115"/>
      <c r="N10" s="110"/>
    </row>
    <row r="11" spans="2:14" ht="12.75" x14ac:dyDescent="0.2">
      <c r="B11" s="56"/>
      <c r="C11" s="82" t="s">
        <v>86</v>
      </c>
      <c r="D11" s="81"/>
      <c r="E11" s="55"/>
      <c r="F11" s="54"/>
      <c r="K11" s="113"/>
      <c r="L11" s="112" t="s">
        <v>112</v>
      </c>
      <c r="M11" s="114" t="s">
        <v>146</v>
      </c>
      <c r="N11" s="110"/>
    </row>
    <row r="12" spans="2:14" ht="12.75" x14ac:dyDescent="0.2">
      <c r="B12" s="56"/>
      <c r="C12" s="80" t="s">
        <v>85</v>
      </c>
      <c r="D12" s="79" t="b">
        <v>1</v>
      </c>
      <c r="E12" s="55"/>
      <c r="F12" s="54"/>
      <c r="K12" s="113"/>
      <c r="L12" s="112" t="s">
        <v>111</v>
      </c>
      <c r="M12" s="111" t="s">
        <v>110</v>
      </c>
      <c r="N12" s="110"/>
    </row>
    <row r="13" spans="2:14" ht="12.75" x14ac:dyDescent="0.2">
      <c r="B13" s="56"/>
      <c r="C13" s="61"/>
      <c r="D13" s="61"/>
      <c r="E13" s="55"/>
      <c r="F13" s="54"/>
      <c r="K13" s="113"/>
      <c r="L13" s="112" t="s">
        <v>136</v>
      </c>
      <c r="M13" s="114" t="s">
        <v>135</v>
      </c>
      <c r="N13" s="110"/>
    </row>
    <row r="14" spans="2:14" ht="12.75" x14ac:dyDescent="0.2">
      <c r="B14" s="56"/>
      <c r="C14" s="76" t="s">
        <v>84</v>
      </c>
      <c r="D14" s="78" t="str">
        <f>_xll.qlPiecewiseYieldCurve(D16,NDays,Calendar,RateHelpersSelected,DayCounter,,,Accuracy,TraitsID,InterpolatorID,Permanent,,ObjectOverwrite)</f>
        <v>_JPYYC3M#0008</v>
      </c>
      <c r="E14" s="55"/>
      <c r="F14" s="54"/>
      <c r="K14" s="113"/>
      <c r="L14" s="112" t="s">
        <v>134</v>
      </c>
      <c r="M14" s="114" t="s">
        <v>124</v>
      </c>
      <c r="N14" s="110"/>
    </row>
    <row r="15" spans="2:14" ht="12.75" x14ac:dyDescent="0.2">
      <c r="B15" s="56"/>
      <c r="C15" s="63" t="s">
        <v>0</v>
      </c>
      <c r="D15" s="77" t="str">
        <f>_xll.ohRangeRetrieveError(YieldCurve)</f>
        <v/>
      </c>
      <c r="E15" s="55"/>
      <c r="F15" s="54"/>
      <c r="K15" s="113"/>
      <c r="L15" s="112" t="s">
        <v>133</v>
      </c>
      <c r="M15" s="114" t="str">
        <f>PROPER(Currency)&amp;"ON"</f>
        <v>JpyON</v>
      </c>
      <c r="N15" s="110"/>
    </row>
    <row r="16" spans="2:14" ht="13.5" thickBot="1" x14ac:dyDescent="0.25">
      <c r="B16" s="56"/>
      <c r="C16" s="76" t="s">
        <v>83</v>
      </c>
      <c r="D16" s="75" t="str">
        <f>"_"&amp;Currency&amp;"YC"&amp;IndexTenor</f>
        <v>_JPYYC3M</v>
      </c>
      <c r="E16" s="55"/>
      <c r="F16" s="54"/>
      <c r="K16" s="109"/>
      <c r="L16" s="108"/>
      <c r="M16" s="108"/>
      <c r="N16" s="107"/>
    </row>
    <row r="17" spans="2:14" ht="12" thickBot="1" x14ac:dyDescent="0.25">
      <c r="B17" s="56"/>
      <c r="C17" s="65" t="s">
        <v>82</v>
      </c>
      <c r="D17" s="74">
        <v>2</v>
      </c>
      <c r="E17" s="55"/>
      <c r="F17" s="54"/>
    </row>
    <row r="18" spans="2:14" ht="18.75" thickBot="1" x14ac:dyDescent="0.3">
      <c r="B18" s="56"/>
      <c r="C18" s="65" t="s">
        <v>81</v>
      </c>
      <c r="D18" s="73"/>
      <c r="E18" s="55"/>
      <c r="F18" s="54"/>
      <c r="K18" s="303" t="s">
        <v>180</v>
      </c>
      <c r="L18" s="304"/>
      <c r="M18" s="304"/>
      <c r="N18" s="305"/>
    </row>
    <row r="19" spans="2:14" ht="12.75" x14ac:dyDescent="0.2">
      <c r="B19" s="56"/>
      <c r="C19" s="65" t="s">
        <v>80</v>
      </c>
      <c r="D19" s="72" t="str">
        <f>Currency&amp;"TOY_SYNTH"&amp;IndexTenor&amp;"_Quote"</f>
        <v>JPYTOY_SYNTH3M_Quote</v>
      </c>
      <c r="E19" s="71" t="str">
        <f>Currency&amp;"TOY2_SYNTH"&amp;IndexTenor&amp;"_Quote"</f>
        <v>JPYTOY2_SYNTH3M_Quote</v>
      </c>
      <c r="F19" s="54"/>
      <c r="K19" s="113"/>
      <c r="L19" s="115"/>
      <c r="M19" s="115"/>
      <c r="N19" s="110"/>
    </row>
    <row r="20" spans="2:14" ht="12.75" x14ac:dyDescent="0.2">
      <c r="B20" s="56"/>
      <c r="C20" s="65" t="s">
        <v>79</v>
      </c>
      <c r="D20" s="70">
        <f>DATE(YEAR(_xll.qlCalendarAdvance(Calendar,_xll.qlSettingsEvaluationDate(Trigger),NDays&amp;"D")),12,31)</f>
        <v>42004</v>
      </c>
      <c r="E20" s="69">
        <f>DATE(YEAR(D20+1),12,31)</f>
        <v>42369</v>
      </c>
      <c r="F20" s="54"/>
      <c r="K20" s="113"/>
      <c r="L20" s="112" t="s">
        <v>181</v>
      </c>
      <c r="M20" s="114" t="s">
        <v>182</v>
      </c>
      <c r="N20" s="110"/>
    </row>
    <row r="21" spans="2:14" ht="12.75" x14ac:dyDescent="0.2">
      <c r="B21" s="56"/>
      <c r="C21" s="65" t="s">
        <v>78</v>
      </c>
      <c r="D21" s="68"/>
      <c r="E21" s="67"/>
      <c r="F21" s="54"/>
      <c r="K21" s="113"/>
      <c r="L21" s="112" t="s">
        <v>183</v>
      </c>
      <c r="M21" s="111" t="s">
        <v>184</v>
      </c>
      <c r="N21" s="110"/>
    </row>
    <row r="22" spans="2:14" ht="12.75" x14ac:dyDescent="0.2">
      <c r="B22" s="56"/>
      <c r="C22" s="65" t="s">
        <v>77</v>
      </c>
      <c r="D22" s="66" t="e">
        <f>NA()</f>
        <v>#N/A</v>
      </c>
      <c r="E22" s="55"/>
      <c r="F22" s="54"/>
      <c r="K22" s="113"/>
      <c r="L22" s="112" t="s">
        <v>185</v>
      </c>
      <c r="M22" s="114" t="s">
        <v>145</v>
      </c>
      <c r="N22" s="110"/>
    </row>
    <row r="23" spans="2:14" ht="12.75" x14ac:dyDescent="0.2">
      <c r="B23" s="56"/>
      <c r="C23" s="65" t="s">
        <v>76</v>
      </c>
      <c r="D23" s="64" t="s">
        <v>75</v>
      </c>
      <c r="E23" s="55"/>
      <c r="F23" s="54"/>
      <c r="K23" s="113"/>
      <c r="L23" s="112" t="s">
        <v>186</v>
      </c>
      <c r="M23" s="114" t="str">
        <f>M20&amp;"("&amp;M21&amp;","&amp;M22&amp;")"</f>
        <v>JoinHolidays(UnitedKingdom::Exchange,Japan)</v>
      </c>
      <c r="N23" s="110"/>
    </row>
    <row r="24" spans="2:14" ht="13.5" thickBot="1" x14ac:dyDescent="0.25">
      <c r="B24" s="56"/>
      <c r="C24" s="63" t="s">
        <v>74</v>
      </c>
      <c r="D24" s="62" t="s">
        <v>73</v>
      </c>
      <c r="E24" s="55"/>
      <c r="F24" s="54"/>
      <c r="K24" s="109"/>
      <c r="L24" s="108"/>
      <c r="M24" s="108"/>
      <c r="N24" s="107"/>
    </row>
    <row r="25" spans="2:14" x14ac:dyDescent="0.2">
      <c r="B25" s="56"/>
      <c r="C25" s="61"/>
      <c r="D25" s="61"/>
      <c r="E25" s="55"/>
      <c r="F25" s="54"/>
    </row>
    <row r="26" spans="2:14" x14ac:dyDescent="0.2">
      <c r="B26" s="56"/>
      <c r="C26" s="60">
        <f>_xll.qlTermStructureReferenceDate(YieldCurve)</f>
        <v>41800</v>
      </c>
      <c r="D26" s="59">
        <f>MAX(_xll.ohPack(Selected!J1:J126))</f>
        <v>1</v>
      </c>
      <c r="E26" s="55"/>
      <c r="F26" s="54"/>
    </row>
    <row r="27" spans="2:14" x14ac:dyDescent="0.2">
      <c r="B27" s="56"/>
      <c r="C27" s="58">
        <f>MAX(_xll.ohPack(Selected!I2:I126))</f>
        <v>52758</v>
      </c>
      <c r="D27" s="57">
        <f>MIN(_xll.ohPack(Selected!J1:J126))</f>
        <v>0.60185694534497369</v>
      </c>
      <c r="E27" s="55"/>
      <c r="F27" s="54"/>
    </row>
    <row r="28" spans="2:14" x14ac:dyDescent="0.2">
      <c r="B28" s="56"/>
      <c r="C28" s="171" t="s">
        <v>0</v>
      </c>
      <c r="D28" s="173" t="str">
        <f>_xll.ohRangeRetrieveError(Selected!J1)</f>
        <v/>
      </c>
      <c r="E28" s="55"/>
      <c r="F28" s="54"/>
    </row>
    <row r="29" spans="2:14" x14ac:dyDescent="0.2">
      <c r="B29" s="56"/>
      <c r="C29" s="170" t="s">
        <v>153</v>
      </c>
      <c r="D29" s="172" t="b">
        <f>_xll.qlRelinkableHandleLinkTo(C29,YieldCurve)</f>
        <v>1</v>
      </c>
      <c r="E29" s="55"/>
      <c r="F29" s="54"/>
    </row>
    <row r="30" spans="2:14" ht="11.25" customHeight="1" thickBot="1" x14ac:dyDescent="0.25">
      <c r="B30" s="53"/>
      <c r="C30" s="169"/>
      <c r="D30" s="169"/>
      <c r="E30" s="52"/>
      <c r="F30" s="51"/>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114"/>
  <sheetViews>
    <sheetView topLeftCell="B79" workbookViewId="0">
      <selection activeCell="F1" sqref="F1"/>
    </sheetView>
  </sheetViews>
  <sheetFormatPr defaultRowHeight="11.25" x14ac:dyDescent="0.2"/>
  <cols>
    <col min="1" max="1" width="7.85546875" style="1" hidden="1" customWidth="1"/>
    <col min="2" max="2" width="12.28515625" style="2" customWidth="1"/>
    <col min="3" max="3" width="10.5703125" style="2" customWidth="1"/>
    <col min="4" max="4" width="11.7109375" style="2" customWidth="1"/>
    <col min="5" max="5" width="30.42578125" style="2"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17" t="s">
        <v>72</v>
      </c>
      <c r="C1" s="218"/>
      <c r="D1" s="219"/>
      <c r="E1" s="50" t="s">
        <v>71</v>
      </c>
      <c r="F1" s="50" t="s">
        <v>147</v>
      </c>
      <c r="G1" s="50" t="s">
        <v>70</v>
      </c>
      <c r="H1" s="50" t="s">
        <v>69</v>
      </c>
      <c r="I1" s="50" t="s">
        <v>68</v>
      </c>
      <c r="J1" s="50" t="s">
        <v>67</v>
      </c>
      <c r="K1" s="50" t="s">
        <v>66</v>
      </c>
      <c r="L1" s="50" t="s">
        <v>7</v>
      </c>
      <c r="M1" s="50" t="s">
        <v>6</v>
      </c>
    </row>
    <row r="2" spans="2:15" x14ac:dyDescent="0.2">
      <c r="B2" s="49"/>
      <c r="C2" s="35"/>
      <c r="D2" s="34" t="s">
        <v>65</v>
      </c>
      <c r="E2" s="34" t="str">
        <f>Deposits!J3</f>
        <v>obj_00414#0003</v>
      </c>
      <c r="F2" s="34" t="str">
        <f>_xll.qlRateHelperQuoteName(E2)</f>
        <v>JPYSND_SYNTH3M_Quote</v>
      </c>
      <c r="G2" s="33">
        <f>_xll.qlRateHelperQuoteValue($E2,Trigger)</f>
        <v>1.3500000000000001E-3</v>
      </c>
      <c r="H2" s="33"/>
      <c r="I2" s="32" t="b">
        <v>0</v>
      </c>
      <c r="J2" s="32">
        <v>10</v>
      </c>
      <c r="K2" s="32">
        <v>1</v>
      </c>
      <c r="L2" s="31">
        <f>_xll.qlRateHelperEarliestDate($E2,Trigger)</f>
        <v>41800</v>
      </c>
      <c r="M2" s="30">
        <f>_xll.qlRateHelperLatestDate($E2,Trigger)</f>
        <v>41801</v>
      </c>
      <c r="N2" s="1">
        <v>30</v>
      </c>
      <c r="O2" s="1" t="s">
        <v>64</v>
      </c>
    </row>
    <row r="3" spans="2:15" x14ac:dyDescent="0.2">
      <c r="B3" s="49"/>
      <c r="C3" s="35"/>
      <c r="D3" s="34" t="s">
        <v>63</v>
      </c>
      <c r="E3" s="34" t="str">
        <f>Deposits!J4</f>
        <v>obj_00418#0003</v>
      </c>
      <c r="F3" s="34" t="str">
        <f>_xll.qlRateHelperQuoteName(E3)</f>
        <v>JPYSWD_SYNTH3M_Quote</v>
      </c>
      <c r="G3" s="33">
        <f>_xll.qlRateHelperQuoteValue($E3,Trigger)</f>
        <v>1.3500000000000001E-3</v>
      </c>
      <c r="H3" s="33"/>
      <c r="I3" s="32" t="b">
        <v>0</v>
      </c>
      <c r="J3" s="32">
        <v>10</v>
      </c>
      <c r="K3" s="32">
        <v>1</v>
      </c>
      <c r="L3" s="31">
        <f>_xll.qlRateHelperEarliestDate($E3,Trigger)</f>
        <v>41800</v>
      </c>
      <c r="M3" s="30">
        <f>_xll.qlRateHelperLatestDate($E3,Trigger)</f>
        <v>41807</v>
      </c>
      <c r="N3" s="1">
        <v>40</v>
      </c>
      <c r="O3" s="1" t="s">
        <v>62</v>
      </c>
    </row>
    <row r="4" spans="2:15" x14ac:dyDescent="0.2">
      <c r="B4" s="49"/>
      <c r="C4" s="35"/>
      <c r="D4" s="34" t="s">
        <v>61</v>
      </c>
      <c r="E4" s="34" t="str">
        <f>Deposits!J5</f>
        <v>obj_00413#0003</v>
      </c>
      <c r="F4" s="34" t="str">
        <f>_xll.qlRateHelperQuoteName(E4)</f>
        <v>JPY2WD_SYNTH3M_Quote</v>
      </c>
      <c r="G4" s="33">
        <f>_xll.qlRateHelperQuoteValue($E4,Trigger)</f>
        <v>1.3500000000000001E-3</v>
      </c>
      <c r="H4" s="33"/>
      <c r="I4" s="32" t="b">
        <v>1</v>
      </c>
      <c r="J4" s="32">
        <v>10</v>
      </c>
      <c r="K4" s="32">
        <v>1</v>
      </c>
      <c r="L4" s="31">
        <f>_xll.qlRateHelperEarliestDate($E4,Trigger)</f>
        <v>41800</v>
      </c>
      <c r="M4" s="30">
        <f>_xll.qlRateHelperLatestDate($E4,Trigger)</f>
        <v>41814</v>
      </c>
      <c r="N4" s="1">
        <v>50</v>
      </c>
      <c r="O4" s="1" t="s">
        <v>60</v>
      </c>
    </row>
    <row r="5" spans="2:15" x14ac:dyDescent="0.2">
      <c r="B5" s="49"/>
      <c r="C5" s="35"/>
      <c r="D5" s="34" t="s">
        <v>59</v>
      </c>
      <c r="E5" s="34" t="str">
        <f>Deposits!J6</f>
        <v>obj_00416#0003</v>
      </c>
      <c r="F5" s="34" t="str">
        <f>_xll.qlRateHelperQuoteName(E5)</f>
        <v>JPY3WD_SYNTH3M_Quote</v>
      </c>
      <c r="G5" s="33">
        <f>_xll.qlRateHelperQuoteValue($E5,Trigger)</f>
        <v>1.3500000000000001E-3</v>
      </c>
      <c r="H5" s="33"/>
      <c r="I5" s="32" t="b">
        <v>1</v>
      </c>
      <c r="J5" s="32">
        <v>10</v>
      </c>
      <c r="K5" s="32">
        <v>1</v>
      </c>
      <c r="L5" s="31">
        <f>_xll.qlRateHelperEarliestDate($E5,Trigger)</f>
        <v>41800</v>
      </c>
      <c r="M5" s="30">
        <f>_xll.qlRateHelperLatestDate($E5,Trigger)</f>
        <v>41821</v>
      </c>
      <c r="N5" s="1">
        <v>60</v>
      </c>
      <c r="O5" s="1" t="s">
        <v>58</v>
      </c>
    </row>
    <row r="6" spans="2:15" x14ac:dyDescent="0.2">
      <c r="B6" s="49"/>
      <c r="C6" s="35"/>
      <c r="D6" s="34" t="s">
        <v>57</v>
      </c>
      <c r="E6" s="34" t="str">
        <f>Deposits!J7</f>
        <v>obj_00415#0003</v>
      </c>
      <c r="F6" s="34" t="str">
        <f>_xll.qlRateHelperQuoteName(E6)</f>
        <v>JPY1MD_SYNTH3M_Quote</v>
      </c>
      <c r="G6" s="33">
        <f>_xll.qlRateHelperQuoteValue($E6,Trigger)</f>
        <v>1.3500000000000001E-3</v>
      </c>
      <c r="H6" s="33"/>
      <c r="I6" s="32" t="b">
        <v>1</v>
      </c>
      <c r="J6" s="32">
        <v>10</v>
      </c>
      <c r="K6" s="32">
        <v>1</v>
      </c>
      <c r="L6" s="31">
        <f>_xll.qlRateHelperEarliestDate($E6,Trigger)</f>
        <v>41800</v>
      </c>
      <c r="M6" s="30">
        <f>_xll.qlRateHelperLatestDate($E6,Trigger)</f>
        <v>41830</v>
      </c>
      <c r="N6" s="1">
        <v>70</v>
      </c>
      <c r="O6" s="1" t="s">
        <v>56</v>
      </c>
    </row>
    <row r="7" spans="2:15" x14ac:dyDescent="0.2">
      <c r="B7" s="49"/>
      <c r="C7" s="35"/>
      <c r="D7" s="34" t="s">
        <v>55</v>
      </c>
      <c r="E7" s="34" t="str">
        <f>Deposits!J8</f>
        <v>obj_00412#0003</v>
      </c>
      <c r="F7" s="34" t="str">
        <f>_xll.qlRateHelperQuoteName(E7)</f>
        <v>JPY2MD_SYNTH3M_Quote</v>
      </c>
      <c r="G7" s="33">
        <f>_xll.qlRateHelperQuoteValue($E7,Trigger)</f>
        <v>1.3500000000000001E-3</v>
      </c>
      <c r="H7" s="33"/>
      <c r="I7" s="32" t="b">
        <v>1</v>
      </c>
      <c r="J7" s="32">
        <v>10</v>
      </c>
      <c r="K7" s="32">
        <v>1</v>
      </c>
      <c r="L7" s="31">
        <f>_xll.qlRateHelperEarliestDate($E7,Trigger)</f>
        <v>41800</v>
      </c>
      <c r="M7" s="30">
        <f>_xll.qlRateHelperLatestDate($E7,Trigger)</f>
        <v>41862</v>
      </c>
    </row>
    <row r="8" spans="2:15" x14ac:dyDescent="0.2">
      <c r="B8" s="49"/>
      <c r="C8" s="35"/>
      <c r="D8" s="34" t="s">
        <v>54</v>
      </c>
      <c r="E8" s="34" t="str">
        <f>Deposits!J9</f>
        <v>obj_00417#0003</v>
      </c>
      <c r="F8" s="34" t="str">
        <f>_xll.qlRateHelperQuoteName(E8)</f>
        <v>JPY3MD_SYNTH3M_Quote</v>
      </c>
      <c r="G8" s="33">
        <f>_xll.qlRateHelperQuoteValue($E8,Trigger)</f>
        <v>1.3500000000000001E-3</v>
      </c>
      <c r="H8" s="33"/>
      <c r="I8" s="32" t="b">
        <v>0</v>
      </c>
      <c r="J8" s="32">
        <v>10</v>
      </c>
      <c r="K8" s="32">
        <v>1</v>
      </c>
      <c r="L8" s="31">
        <f>_xll.qlRateHelperEarliestDate($E8,Trigger)</f>
        <v>41800</v>
      </c>
      <c r="M8" s="30">
        <f>_xll.qlRateHelperLatestDate($E8,Trigger)</f>
        <v>41892</v>
      </c>
    </row>
    <row r="9" spans="2:15" x14ac:dyDescent="0.2">
      <c r="B9" s="44">
        <v>1</v>
      </c>
      <c r="C9" s="43" t="s">
        <v>53</v>
      </c>
      <c r="D9" s="42" t="str">
        <f t="shared" ref="D9:D19" si="0">(B9+Months)&amp;"F"</f>
        <v>4F</v>
      </c>
      <c r="E9" s="42" t="str">
        <f>FRAs!G3</f>
        <v>obj_00410#0003</v>
      </c>
      <c r="F9" s="42" t="str">
        <f>_xll.qlRateHelperQuoteName(E9)</f>
        <v>JPY1x4F_Quote</v>
      </c>
      <c r="G9" s="41">
        <f>_xll.qlRateHelperQuoteValue($E9,Trigger)</f>
        <v>1.3500000000000001E-3</v>
      </c>
      <c r="H9" s="41"/>
      <c r="I9" s="40" t="b">
        <v>1</v>
      </c>
      <c r="J9" s="40">
        <v>20</v>
      </c>
      <c r="K9" s="40">
        <v>1</v>
      </c>
      <c r="L9" s="39">
        <f>_xll.qlRateHelperEarliestDate($E9,Trigger)</f>
        <v>41830</v>
      </c>
      <c r="M9" s="38">
        <f>_xll.qlRateHelperLatestDate($E9,Trigger)</f>
        <v>41922</v>
      </c>
    </row>
    <row r="10" spans="2:15" x14ac:dyDescent="0.2">
      <c r="B10" s="36">
        <v>2</v>
      </c>
      <c r="C10" s="35" t="s">
        <v>53</v>
      </c>
      <c r="D10" s="34" t="str">
        <f t="shared" si="0"/>
        <v>5F</v>
      </c>
      <c r="E10" s="34" t="str">
        <f>FRAs!G4</f>
        <v>obj_0040e#0003</v>
      </c>
      <c r="F10" s="34" t="str">
        <f>_xll.qlRateHelperQuoteName(E10)</f>
        <v>JPY2x5F_Quote</v>
      </c>
      <c r="G10" s="33">
        <f>_xll.qlRateHelperQuoteValue($E10,Trigger)</f>
        <v>1.3500000000000001E-3</v>
      </c>
      <c r="H10" s="33"/>
      <c r="I10" s="32" t="b">
        <v>1</v>
      </c>
      <c r="J10" s="32">
        <v>20</v>
      </c>
      <c r="K10" s="32">
        <v>1</v>
      </c>
      <c r="L10" s="31">
        <f>_xll.qlRateHelperEarliestDate($E10,Trigger)</f>
        <v>41862</v>
      </c>
      <c r="M10" s="30">
        <f>_xll.qlRateHelperLatestDate($E10,Trigger)</f>
        <v>41954</v>
      </c>
    </row>
    <row r="11" spans="2:15" x14ac:dyDescent="0.2">
      <c r="B11" s="36">
        <v>3</v>
      </c>
      <c r="C11" s="35" t="s">
        <v>53</v>
      </c>
      <c r="D11" s="34" t="str">
        <f t="shared" si="0"/>
        <v>6F</v>
      </c>
      <c r="E11" s="34" t="str">
        <f>FRAs!G5</f>
        <v>obj_0040d#0003</v>
      </c>
      <c r="F11" s="34" t="str">
        <f>_xll.qlRateHelperQuoteName(E11)</f>
        <v>JPY3x6F_Quote</v>
      </c>
      <c r="G11" s="33">
        <f>_xll.qlRateHelperQuoteValue($E11,Trigger)</f>
        <v>1.3500000000000001E-3</v>
      </c>
      <c r="H11" s="33"/>
      <c r="I11" s="32" t="b">
        <v>1</v>
      </c>
      <c r="J11" s="32">
        <v>20</v>
      </c>
      <c r="K11" s="32">
        <v>1</v>
      </c>
      <c r="L11" s="31">
        <f>_xll.qlRateHelperEarliestDate($E11,Trigger)</f>
        <v>41892</v>
      </c>
      <c r="M11" s="30">
        <f>_xll.qlRateHelperLatestDate($E11,Trigger)</f>
        <v>41983</v>
      </c>
    </row>
    <row r="12" spans="2:15" x14ac:dyDescent="0.2">
      <c r="B12" s="36">
        <v>4</v>
      </c>
      <c r="C12" s="35" t="s">
        <v>53</v>
      </c>
      <c r="D12" s="34" t="str">
        <f t="shared" si="0"/>
        <v>7F</v>
      </c>
      <c r="E12" s="34" t="str">
        <f>FRAs!G6</f>
        <v>obj_00411#0003</v>
      </c>
      <c r="F12" s="34" t="str">
        <f>_xll.qlRateHelperQuoteName(E12)</f>
        <v>JPY4x7F_Quote</v>
      </c>
      <c r="G12" s="33">
        <f>_xll.qlRateHelperQuoteValue($E12,Trigger)</f>
        <v>1.3500000000000001E-3</v>
      </c>
      <c r="H12" s="33"/>
      <c r="I12" s="32" t="b">
        <v>1</v>
      </c>
      <c r="J12" s="32">
        <v>20</v>
      </c>
      <c r="K12" s="32">
        <v>1</v>
      </c>
      <c r="L12" s="31">
        <f>_xll.qlRateHelperEarliestDate($E12,Trigger)</f>
        <v>41922</v>
      </c>
      <c r="M12" s="30">
        <f>_xll.qlRateHelperLatestDate($E12,Trigger)</f>
        <v>42017</v>
      </c>
    </row>
    <row r="13" spans="2:15" x14ac:dyDescent="0.2">
      <c r="B13" s="36">
        <v>5</v>
      </c>
      <c r="C13" s="35" t="s">
        <v>53</v>
      </c>
      <c r="D13" s="34" t="str">
        <f t="shared" si="0"/>
        <v>8F</v>
      </c>
      <c r="E13" s="34" t="str">
        <f>FRAs!G7</f>
        <v>obj_0040f#0003</v>
      </c>
      <c r="F13" s="34" t="str">
        <f>_xll.qlRateHelperQuoteName(E13)</f>
        <v>JPY5x8F_Quote</v>
      </c>
      <c r="G13" s="33">
        <f>_xll.qlRateHelperQuoteValue($E13,Trigger)</f>
        <v>1.3500000000000001E-3</v>
      </c>
      <c r="H13" s="33"/>
      <c r="I13" s="32" t="b">
        <v>1</v>
      </c>
      <c r="J13" s="32">
        <v>20</v>
      </c>
      <c r="K13" s="32">
        <v>1</v>
      </c>
      <c r="L13" s="31">
        <f>_xll.qlRateHelperEarliestDate($E13,Trigger)</f>
        <v>41953</v>
      </c>
      <c r="M13" s="30">
        <f>_xll.qlRateHelperLatestDate($E13,Trigger)</f>
        <v>42045</v>
      </c>
    </row>
    <row r="14" spans="2:15" x14ac:dyDescent="0.2">
      <c r="B14" s="36">
        <v>6</v>
      </c>
      <c r="C14" s="35" t="s">
        <v>53</v>
      </c>
      <c r="D14" s="34" t="str">
        <f t="shared" si="0"/>
        <v>9F</v>
      </c>
      <c r="E14" s="34" t="str">
        <f>FRAs!G8</f>
        <v>obj_003e1#0003</v>
      </c>
      <c r="F14" s="34" t="str">
        <f>_xll.qlRateHelperQuoteName(E14)</f>
        <v>JPY6x9F_Quote</v>
      </c>
      <c r="G14" s="33">
        <f>_xll.qlRateHelperQuoteValue($E14,Trigger)</f>
        <v>1.3500000000000001E-3</v>
      </c>
      <c r="H14" s="33"/>
      <c r="I14" s="32" t="b">
        <v>1</v>
      </c>
      <c r="J14" s="32">
        <v>20</v>
      </c>
      <c r="K14" s="32">
        <v>1</v>
      </c>
      <c r="L14" s="31">
        <f>_xll.qlRateHelperEarliestDate($E14,Trigger)</f>
        <v>41983</v>
      </c>
      <c r="M14" s="30">
        <f>_xll.qlRateHelperLatestDate($E14,Trigger)</f>
        <v>42073</v>
      </c>
    </row>
    <row r="15" spans="2:15" x14ac:dyDescent="0.2">
      <c r="B15" s="36">
        <v>7</v>
      </c>
      <c r="C15" s="35" t="s">
        <v>53</v>
      </c>
      <c r="D15" s="34" t="str">
        <f t="shared" si="0"/>
        <v>10F</v>
      </c>
      <c r="E15" s="34" t="str">
        <f>FRAs!G9</f>
        <v>obj_003dd#0003</v>
      </c>
      <c r="F15" s="34" t="str">
        <f>_xll.qlRateHelperQuoteName(E15)</f>
        <v>JPY9x12F_Quote</v>
      </c>
      <c r="G15" s="33">
        <f>_xll.qlRateHelperQuoteValue($E15,Trigger)</f>
        <v>1.3500000000000001E-3</v>
      </c>
      <c r="H15" s="33"/>
      <c r="I15" s="32" t="b">
        <v>1</v>
      </c>
      <c r="J15" s="32">
        <v>20</v>
      </c>
      <c r="K15" s="32">
        <v>1</v>
      </c>
      <c r="L15" s="31">
        <f>_xll.qlRateHelperEarliestDate($E15,Trigger)</f>
        <v>42073</v>
      </c>
      <c r="M15" s="30">
        <f>_xll.qlRateHelperLatestDate($E15,Trigger)</f>
        <v>42165</v>
      </c>
    </row>
    <row r="16" spans="2:15" x14ac:dyDescent="0.2">
      <c r="B16" s="36">
        <v>8</v>
      </c>
      <c r="C16" s="35" t="s">
        <v>53</v>
      </c>
      <c r="D16" s="34" t="str">
        <f t="shared" si="0"/>
        <v>11F</v>
      </c>
      <c r="E16" s="34" t="str">
        <f>FRAs!G10</f>
        <v>obj_003df#0003</v>
      </c>
      <c r="F16" s="34" t="str">
        <f>_xll.qlRateHelperQuoteName(E16)</f>
        <v>JPY12x15F_Quote</v>
      </c>
      <c r="G16" s="33">
        <f>_xll.qlRateHelperQuoteValue($E16,Trigger)</f>
        <v>1.3500000000000001E-3</v>
      </c>
      <c r="H16" s="33"/>
      <c r="I16" s="32" t="b">
        <v>1</v>
      </c>
      <c r="J16" s="32">
        <v>20</v>
      </c>
      <c r="K16" s="32">
        <v>1</v>
      </c>
      <c r="L16" s="31">
        <f>_xll.qlRateHelperEarliestDate($E16,Trigger)</f>
        <v>42165</v>
      </c>
      <c r="M16" s="30">
        <f>_xll.qlRateHelperLatestDate($E16,Trigger)</f>
        <v>42257</v>
      </c>
    </row>
    <row r="17" spans="1:13" x14ac:dyDescent="0.2">
      <c r="B17" s="36">
        <v>9</v>
      </c>
      <c r="C17" s="35" t="s">
        <v>53</v>
      </c>
      <c r="D17" s="34" t="str">
        <f t="shared" si="0"/>
        <v>12F</v>
      </c>
      <c r="E17" s="34" t="str">
        <f>FRAs!G11</f>
        <v>obj_003e0#0003</v>
      </c>
      <c r="F17" s="34" t="str">
        <f>_xll.qlRateHelperQuoteName(E17)</f>
        <v>JPY15x18F_Quote</v>
      </c>
      <c r="G17" s="33">
        <f>_xll.qlRateHelperQuoteValue($E17,Trigger)</f>
        <v>1.4000000000000002E-3</v>
      </c>
      <c r="H17" s="33"/>
      <c r="I17" s="32" t="b">
        <v>1</v>
      </c>
      <c r="J17" s="32">
        <v>20</v>
      </c>
      <c r="K17" s="32">
        <v>1</v>
      </c>
      <c r="L17" s="31">
        <f>_xll.qlRateHelperEarliestDate($E17,Trigger)</f>
        <v>42257</v>
      </c>
      <c r="M17" s="30">
        <f>_xll.qlRateHelperLatestDate($E17,Trigger)</f>
        <v>42348</v>
      </c>
    </row>
    <row r="18" spans="1:13" x14ac:dyDescent="0.2">
      <c r="B18" s="36">
        <v>10</v>
      </c>
      <c r="C18" s="35" t="s">
        <v>53</v>
      </c>
      <c r="D18" s="34" t="str">
        <f t="shared" si="0"/>
        <v>13F</v>
      </c>
      <c r="E18" s="34" t="str">
        <f>FRAs!G12</f>
        <v>obj_003e2#0003</v>
      </c>
      <c r="F18" s="34" t="str">
        <f>_xll.qlRateHelperQuoteName(E18)</f>
        <v>JPY18x21F_Quote</v>
      </c>
      <c r="G18" s="33">
        <f>_xll.qlRateHelperQuoteValue($E18,Trigger)</f>
        <v>1.3500000000000001E-3</v>
      </c>
      <c r="H18" s="33"/>
      <c r="I18" s="32" t="b">
        <v>1</v>
      </c>
      <c r="J18" s="32">
        <v>20</v>
      </c>
      <c r="K18" s="32">
        <v>1</v>
      </c>
      <c r="L18" s="31">
        <f>_xll.qlRateHelperEarliestDate($E18,Trigger)</f>
        <v>42348</v>
      </c>
      <c r="M18" s="30">
        <f>_xll.qlRateHelperLatestDate($E18,Trigger)</f>
        <v>42439</v>
      </c>
    </row>
    <row r="19" spans="1:13" x14ac:dyDescent="0.2">
      <c r="B19" s="29">
        <v>11</v>
      </c>
      <c r="C19" s="28" t="s">
        <v>53</v>
      </c>
      <c r="D19" s="27" t="str">
        <f t="shared" si="0"/>
        <v>14F</v>
      </c>
      <c r="E19" s="27" t="str">
        <f>FRAs!G13</f>
        <v>obj_003de#0003</v>
      </c>
      <c r="F19" s="27" t="str">
        <f>_xll.qlRateHelperQuoteName(E19)</f>
        <v>JPY21x24F_Quote</v>
      </c>
      <c r="G19" s="26">
        <f>_xll.qlRateHelperQuoteValue($E19,Trigger)</f>
        <v>1.4500000000000001E-3</v>
      </c>
      <c r="H19" s="26"/>
      <c r="I19" s="25" t="b">
        <v>1</v>
      </c>
      <c r="J19" s="25">
        <v>20</v>
      </c>
      <c r="K19" s="25">
        <v>1</v>
      </c>
      <c r="L19" s="24">
        <f>_xll.qlRateHelperEarliestDate($E19,Trigger)</f>
        <v>42439</v>
      </c>
      <c r="M19" s="23">
        <f>_xll.qlRateHelperLatestDate($E19,Trigger)</f>
        <v>42531</v>
      </c>
    </row>
    <row r="20" spans="1:13" ht="11.25" customHeight="1" x14ac:dyDescent="0.2">
      <c r="A20" s="43" t="b">
        <v>0</v>
      </c>
      <c r="B20" s="36"/>
      <c r="C20" s="35" t="str">
        <f t="shared" ref="C20:C61" si="1">IF(IndexTenor="6M","IMMFRA","FUT")&amp;IndexTenor</f>
        <v>FUT3M</v>
      </c>
      <c r="D20" s="34" t="str">
        <f t="array" ref="D20:D61">_xll.qlIMMNextCodes(_xll.qlSettingsEvaluationDate(Trigger)-1,$A20:$A61)</f>
        <v>M4</v>
      </c>
      <c r="E20" s="34" t="str">
        <f>Futures!H3</f>
        <v>obj_003f4#0003</v>
      </c>
      <c r="F20" s="34" t="str">
        <f>_xll.qlRateHelperQuoteName(E20)</f>
        <v>JPYFUT3MM4_Quote</v>
      </c>
      <c r="G20" s="48" t="e">
        <f>_xll.qlRateHelperQuoteValue($E20,Trigger)</f>
        <v>#NUM!</v>
      </c>
      <c r="H20" s="33" t="e">
        <f>_xll.qlFuturesRateHelperConvexityAdjustment($E20,Trigger)</f>
        <v>#NUM!</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obj_00405#0003</v>
      </c>
      <c r="F21" s="34" t="str">
        <f>_xll.qlRateHelperQuoteName(E21)</f>
        <v>JPYFUT3MN4_Quote</v>
      </c>
      <c r="G21" s="48"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obj_003e6#0003</v>
      </c>
      <c r="F22" s="34" t="str">
        <f>_xll.qlRateHelperQuoteName(E22)</f>
        <v>JPYFUT3MQ4_Quote</v>
      </c>
      <c r="G22" s="48"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obj_00401#0003</v>
      </c>
      <c r="F23" s="34" t="str">
        <f>_xll.qlRateHelperQuoteName(E23)</f>
        <v>JPYFUT3MU4_Quote</v>
      </c>
      <c r="G23" s="48" t="e">
        <f>_xll.qlRateHelperQuoteValue($E23,Trigger)</f>
        <v>#NUM!</v>
      </c>
      <c r="H23" s="33" t="e">
        <f>_xll.qlFuturesRateHelperConvexityAdjustment($E23,Trigger)</f>
        <v>#NUM!</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obj_003f3#0003</v>
      </c>
      <c r="F24" s="34" t="str">
        <f>_xll.qlRateHelperQuoteName(E24)</f>
        <v>JPYFUT3MV4_Quote</v>
      </c>
      <c r="G24" s="48"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obj_003f9#0003</v>
      </c>
      <c r="F25" s="34" t="str">
        <f>_xll.qlRateHelperQuoteName(E25)</f>
        <v>JPYFUT3MX4_Quote</v>
      </c>
      <c r="G25" s="48"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obj_003fc#0003</v>
      </c>
      <c r="F26" s="34" t="str">
        <f>_xll.qlRateHelperQuoteName(E26)</f>
        <v>JPYFUT3MZ4_Quote</v>
      </c>
      <c r="G26" s="48" t="e">
        <f>_xll.qlRateHelperQuoteValue($E26,Trigger)</f>
        <v>#NUM!</v>
      </c>
      <c r="H26" s="33" t="e">
        <f>_xll.qlFuturesRateHelperConvexityAdjustment($E26,Trigger)</f>
        <v>#NUM!</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obj_003fa#0003</v>
      </c>
      <c r="F27" s="34" t="str">
        <f>_xll.qlRateHelperQuoteName(E27)</f>
        <v>JPYFUT3MF5_Quote</v>
      </c>
      <c r="G27" s="48"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obj_0040a#0003</v>
      </c>
      <c r="F28" s="34" t="str">
        <f>_xll.qlRateHelperQuoteName(E28)</f>
        <v>JPYFUT3MG5_Quote</v>
      </c>
      <c r="G28" s="48"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obj_003e8#0003</v>
      </c>
      <c r="F29" s="34" t="str">
        <f>_xll.qlRateHelperQuoteName(E29)</f>
        <v>JPYFUT3MH5_Quote</v>
      </c>
      <c r="G29" s="48" t="e">
        <f>_xll.qlRateHelperQuoteValue($E29,Trigger)</f>
        <v>#NUM!</v>
      </c>
      <c r="H29" s="33" t="e">
        <f>_xll.qlFuturesRateHelperConvexityAdjustment($E29,Trigger)</f>
        <v>#NUM!</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obj_00407#0003</v>
      </c>
      <c r="F30" s="34" t="str">
        <f>_xll.qlRateHelperQuoteName(E30)</f>
        <v>JPYFUT3MJ5_Quote</v>
      </c>
      <c r="G30" s="48"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obj_003f0#0003</v>
      </c>
      <c r="F31" s="34" t="str">
        <f>_xll.qlRateHelperQuoteName(E31)</f>
        <v>JPYFUT3MK5_Quote</v>
      </c>
      <c r="G31" s="48"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obj_003ef#0003</v>
      </c>
      <c r="F32" s="34" t="str">
        <f>_xll.qlRateHelperQuoteName(E32)</f>
        <v>JPYFUT3MM5_Quote</v>
      </c>
      <c r="G32" s="48" t="e">
        <f>_xll.qlRateHelperQuoteValue($E32,Trigger)</f>
        <v>#NUM!</v>
      </c>
      <c r="H32" s="33" t="e">
        <f>_xll.qlFuturesRateHelperConvexityAdjustment($E32,Trigger)</f>
        <v>#NUM!</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obj_003ee#0003</v>
      </c>
      <c r="F33" s="34" t="str">
        <f>_xll.qlRateHelperQuoteName(E33)</f>
        <v>JPYFUT3MU5_Quote</v>
      </c>
      <c r="G33" s="48" t="e">
        <f>_xll.qlRateHelperQuoteValue($E33,Trigger)</f>
        <v>#NUM!</v>
      </c>
      <c r="H33" s="33" t="e">
        <f>_xll.qlFuturesRateHelperConvexityAdjustment($E33,Trigger)</f>
        <v>#NUM!</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obj_00404#0003</v>
      </c>
      <c r="F34" s="34" t="str">
        <f>_xll.qlRateHelperQuoteName(E34)</f>
        <v>JPYFUT3MZ5_Quote</v>
      </c>
      <c r="G34" s="48" t="e">
        <f>_xll.qlRateHelperQuoteValue($E34,Trigger)</f>
        <v>#NUM!</v>
      </c>
      <c r="H34" s="33" t="e">
        <f>_xll.qlFuturesRateHelperConvexityAdjustment($E34,Trigger)</f>
        <v>#NUM!</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obj_003f7#0003</v>
      </c>
      <c r="F35" s="34" t="str">
        <f>_xll.qlRateHelperQuoteName(E35)</f>
        <v>JPYFUT3MH6_Quote</v>
      </c>
      <c r="G35" s="48" t="e">
        <f>_xll.qlRateHelperQuoteValue($E35,Trigger)</f>
        <v>#NUM!</v>
      </c>
      <c r="H35" s="33" t="e">
        <f>_xll.qlFuturesRateHelperConvexityAdjustment($E35,Trigger)</f>
        <v>#NUM!</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obj_003e3#0003</v>
      </c>
      <c r="F36" s="34" t="str">
        <f>_xll.qlRateHelperQuoteName(E36)</f>
        <v>JPYFUT3MM6_Quote</v>
      </c>
      <c r="G36" s="48" t="e">
        <f>_xll.qlRateHelperQuoteValue($E36,Trigger)</f>
        <v>#NUM!</v>
      </c>
      <c r="H36" s="33" t="e">
        <f>_xll.qlFuturesRateHelperConvexityAdjustment($E36,Trigger)</f>
        <v>#NUM!</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obj_003f2#0003</v>
      </c>
      <c r="F37" s="34" t="str">
        <f>_xll.qlRateHelperQuoteName(E37)</f>
        <v>JPYFUT3MU6_Quote</v>
      </c>
      <c r="G37" s="48" t="e">
        <f>_xll.qlRateHelperQuoteValue($E37,Trigger)</f>
        <v>#NUM!</v>
      </c>
      <c r="H37" s="33" t="e">
        <f>_xll.qlFuturesRateHelperConvexityAdjustment($E37,Trigger)</f>
        <v>#NUM!</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obj_003fb#0003</v>
      </c>
      <c r="F38" s="34" t="str">
        <f>_xll.qlRateHelperQuoteName(E38)</f>
        <v>JPYFUT3MZ6_Quote</v>
      </c>
      <c r="G38" s="48" t="e">
        <f>_xll.qlRateHelperQuoteValue($E38,Trigger)</f>
        <v>#NUM!</v>
      </c>
      <c r="H38" s="33" t="e">
        <f>_xll.qlFuturesRateHelperConvexityAdjustment($E38,Trigger)</f>
        <v>#NUM!</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obj_00409#0003</v>
      </c>
      <c r="F39" s="34" t="str">
        <f>_xll.qlRateHelperQuoteName(E39)</f>
        <v>JPYFUT3MH7_Quote</v>
      </c>
      <c r="G39" s="48"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obj_00403#0003</v>
      </c>
      <c r="F40" s="34" t="str">
        <f>_xll.qlRateHelperQuoteName(E40)</f>
        <v>JPYFUT3MM7_Quote</v>
      </c>
      <c r="G40" s="48"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obj_003fe#0003</v>
      </c>
      <c r="F41" s="34" t="str">
        <f>_xll.qlRateHelperQuoteName(E41)</f>
        <v>JPYFUT3MU7_Quote</v>
      </c>
      <c r="G41" s="48"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obj_003ed#0003</v>
      </c>
      <c r="F42" s="34" t="str">
        <f>_xll.qlRateHelperQuoteName(E42)</f>
        <v>JPYFUT3MZ7_Quote</v>
      </c>
      <c r="G42" s="48"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obj_003ec#0003</v>
      </c>
      <c r="F43" s="34" t="str">
        <f>_xll.qlRateHelperQuoteName(E43)</f>
        <v>JPYFUT3MH8_Quote</v>
      </c>
      <c r="G43" s="48"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obj_003f5#0003</v>
      </c>
      <c r="F44" s="34" t="str">
        <f>_xll.qlRateHelperQuoteName(E44)</f>
        <v>JPYFUT3MM8_Quote</v>
      </c>
      <c r="G44" s="48"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obj_003f6#0003</v>
      </c>
      <c r="F45" s="34" t="str">
        <f>_xll.qlRateHelperQuoteName(E45)</f>
        <v>JPYFUT3MU8_Quote</v>
      </c>
      <c r="G45" s="48"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obj_003eb#0003</v>
      </c>
      <c r="F46" s="34" t="str">
        <f>_xll.qlRateHelperQuoteName(E46)</f>
        <v>JPYFUT3MZ8_Quote</v>
      </c>
      <c r="G46" s="48"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obj_00406#0003</v>
      </c>
      <c r="F47" s="34" t="str">
        <f>_xll.qlRateHelperQuoteName(E47)</f>
        <v>JPYFUT3MH9_Quote</v>
      </c>
      <c r="G47" s="48"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obj_00400#0003</v>
      </c>
      <c r="F48" s="34" t="str">
        <f>_xll.qlRateHelperQuoteName(E48)</f>
        <v>JPYFUT3MM9_Quote</v>
      </c>
      <c r="G48" s="48"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obj_00402#0003</v>
      </c>
      <c r="F49" s="34" t="str">
        <f>_xll.qlRateHelperQuoteName(E49)</f>
        <v>JPYFUT3MU9_Quote</v>
      </c>
      <c r="G49" s="48"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obj_00408#0003</v>
      </c>
      <c r="F50" s="34" t="str">
        <f>_xll.qlRateHelperQuoteName(E50)</f>
        <v>JPYFUT3MZ9_Quote</v>
      </c>
      <c r="G50" s="48"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obj_003e7#0003</v>
      </c>
      <c r="F51" s="34" t="str">
        <f>_xll.qlRateHelperQuoteName(E51)</f>
        <v>JPYFUT3MH0_Quote</v>
      </c>
      <c r="G51" s="48"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obj_003f8#0003</v>
      </c>
      <c r="F52" s="34" t="str">
        <f>_xll.qlRateHelperQuoteName(E52)</f>
        <v>JPYFUT3MM0_Quote</v>
      </c>
      <c r="G52" s="48"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obj_0040b#0003</v>
      </c>
      <c r="F53" s="34" t="str">
        <f>_xll.qlRateHelperQuoteName(E53)</f>
        <v>JPYFUT3MU0_Quote</v>
      </c>
      <c r="G53" s="48"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obj_003ea#0003</v>
      </c>
      <c r="F54" s="34" t="str">
        <f>_xll.qlRateHelperQuoteName(E54)</f>
        <v>JPYFUT3MZ0_Quote</v>
      </c>
      <c r="G54" s="48"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obj_003ff#0003</v>
      </c>
      <c r="F55" s="34" t="str">
        <f>_xll.qlRateHelperQuoteName(E55)</f>
        <v>JPYFUT3MH1_Quote</v>
      </c>
      <c r="G55" s="48"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obj_003e4#0003</v>
      </c>
      <c r="F56" s="34" t="str">
        <f>_xll.qlRateHelperQuoteName(E56)</f>
        <v>JPYFUT3MM1_Quote</v>
      </c>
      <c r="G56" s="48"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obj_0040c#0003</v>
      </c>
      <c r="F57" s="34" t="str">
        <f>_xll.qlRateHelperQuoteName(E57)</f>
        <v>JPYFUT3MU1_Quote</v>
      </c>
      <c r="G57" s="48"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obj_003f1#0003</v>
      </c>
      <c r="F58" s="34" t="str">
        <f>_xll.qlRateHelperQuoteName(E58)</f>
        <v>JPYFUT3MZ1_Quote</v>
      </c>
      <c r="G58" s="48"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obj_003e5#0003</v>
      </c>
      <c r="F59" s="34" t="str">
        <f>_xll.qlRateHelperQuoteName(E59)</f>
        <v>JPYFUT3MH2_Quote</v>
      </c>
      <c r="G59" s="48"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obj_003e9#0003</v>
      </c>
      <c r="F60" s="34" t="str">
        <f>_xll.qlRateHelperQuoteName(E60)</f>
        <v>JPYFUT3MM2_Quote</v>
      </c>
      <c r="G60" s="48"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obj_003fd#0003</v>
      </c>
      <c r="F61" s="27" t="str">
        <f>_xll.qlRateHelperQuoteName(E61)</f>
        <v>JPYFUT3MU2_Quote</v>
      </c>
      <c r="G61" s="47"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6"/>
    </row>
    <row r="62" spans="1:14" ht="11.25" customHeight="1" x14ac:dyDescent="0.2">
      <c r="B62" s="44">
        <v>2</v>
      </c>
      <c r="C62" s="43"/>
      <c r="D62" s="42" t="s">
        <v>52</v>
      </c>
      <c r="E62" s="42" t="str">
        <f t="shared" ref="E62:E79" si="2">RateHelperPrefix&amp;"_"&amp;$B62&amp;$C62&amp;$D62</f>
        <v>JPY_YC3MRH_2X1S</v>
      </c>
      <c r="F62" s="42" t="e">
        <f>_xll.qlRateHelperQuoteName(E62)</f>
        <v>#NUM!</v>
      </c>
      <c r="G62" s="41" t="e">
        <f>_xll.qlRateHelperQuoteValue($E62,Trigger)</f>
        <v>#NUM!</v>
      </c>
      <c r="H62" s="41" t="e">
        <f>_xll.qlSwapRateHelperSpread($E62,Trigger)</f>
        <v>#NUM!</v>
      </c>
      <c r="I62" s="40" t="b">
        <v>0</v>
      </c>
      <c r="J62" s="40">
        <v>40</v>
      </c>
      <c r="K62" s="40">
        <v>1</v>
      </c>
      <c r="L62" s="39" t="e">
        <f>_xll.qlRateHelperEarliestDate($E62,Trigger)</f>
        <v>#NUM!</v>
      </c>
      <c r="M62" s="38" t="e">
        <f>_xll.qlRateHelperLatestDate($E62,Trigger)</f>
        <v>#NUM!</v>
      </c>
      <c r="N62" s="37"/>
    </row>
    <row r="63" spans="1:14" x14ac:dyDescent="0.2">
      <c r="B63" s="36">
        <v>3</v>
      </c>
      <c r="C63" s="35"/>
      <c r="D63" s="34" t="s">
        <v>52</v>
      </c>
      <c r="E63" s="34" t="str">
        <f t="shared" si="2"/>
        <v>JPY_YC3MRH_3X1S</v>
      </c>
      <c r="F63" s="34" t="e">
        <f>_xll.qlRateHelperQuoteName(E63)</f>
        <v>#NUM!</v>
      </c>
      <c r="G63" s="33" t="e">
        <f>_xll.qlRateHelperQuoteValue($E63,Trigger)</f>
        <v>#NUM!</v>
      </c>
      <c r="H63" s="33" t="e">
        <f>_xll.qlSwapRateHelperSpread($E63,Trigger)</f>
        <v>#NUM!</v>
      </c>
      <c r="I63" s="32" t="b">
        <v>0</v>
      </c>
      <c r="J63" s="32">
        <v>40</v>
      </c>
      <c r="K63" s="32">
        <v>1</v>
      </c>
      <c r="L63" s="31" t="e">
        <f>_xll.qlRateHelperEarliestDate($E63,Trigger)</f>
        <v>#NUM!</v>
      </c>
      <c r="M63" s="30" t="e">
        <f>_xll.qlRateHelperLatestDate($E63,Trigger)</f>
        <v>#NUM!</v>
      </c>
      <c r="N63" s="45"/>
    </row>
    <row r="64" spans="1:14" x14ac:dyDescent="0.2">
      <c r="B64" s="36">
        <v>4</v>
      </c>
      <c r="C64" s="35"/>
      <c r="D64" s="34" t="s">
        <v>52</v>
      </c>
      <c r="E64" s="34" t="str">
        <f t="shared" si="2"/>
        <v>JPY_YC3MRH_4X1S</v>
      </c>
      <c r="F64" s="34" t="e">
        <f>_xll.qlRateHelperQuoteName(E64)</f>
        <v>#NUM!</v>
      </c>
      <c r="G64" s="33" t="e">
        <f>_xll.qlRateHelperQuoteValue($E64,Trigger)</f>
        <v>#NUM!</v>
      </c>
      <c r="H64" s="33" t="e">
        <f>_xll.qlSwapRateHelperSpread($E64,Trigger)</f>
        <v>#NUM!</v>
      </c>
      <c r="I64" s="32" t="b">
        <v>0</v>
      </c>
      <c r="J64" s="32">
        <v>40</v>
      </c>
      <c r="K64" s="32">
        <v>1</v>
      </c>
      <c r="L64" s="31" t="e">
        <f>_xll.qlRateHelperEarliestDate($E64,Trigger)</f>
        <v>#NUM!</v>
      </c>
      <c r="M64" s="30" t="e">
        <f>_xll.qlRateHelperLatestDate($E64,Trigger)</f>
        <v>#NUM!</v>
      </c>
    </row>
    <row r="65" spans="2:13" x14ac:dyDescent="0.2">
      <c r="B65" s="36">
        <v>5</v>
      </c>
      <c r="C65" s="35"/>
      <c r="D65" s="34" t="s">
        <v>52</v>
      </c>
      <c r="E65" s="34" t="str">
        <f t="shared" si="2"/>
        <v>JPY_YC3MRH_5X1S</v>
      </c>
      <c r="F65" s="34" t="e">
        <f>_xll.qlRateHelperQuoteName(E65)</f>
        <v>#NUM!</v>
      </c>
      <c r="G65" s="33" t="e">
        <f>_xll.qlRateHelperQuoteValue($E65,Trigger)</f>
        <v>#NUM!</v>
      </c>
      <c r="H65" s="33" t="e">
        <f>_xll.qlSwapRateHelperSpread($E65,Trigger)</f>
        <v>#NUM!</v>
      </c>
      <c r="I65" s="32" t="b">
        <v>0</v>
      </c>
      <c r="J65" s="32">
        <v>40</v>
      </c>
      <c r="K65" s="32">
        <v>1</v>
      </c>
      <c r="L65" s="31" t="e">
        <f>_xll.qlRateHelperEarliestDate($E65,Trigger)</f>
        <v>#NUM!</v>
      </c>
      <c r="M65" s="30" t="e">
        <f>_xll.qlRateHelperLatestDate($E65,Trigger)</f>
        <v>#NUM!</v>
      </c>
    </row>
    <row r="66" spans="2:13" ht="11.25" customHeight="1" x14ac:dyDescent="0.2">
      <c r="B66" s="36">
        <v>6</v>
      </c>
      <c r="C66" s="35"/>
      <c r="D66" s="34" t="s">
        <v>52</v>
      </c>
      <c r="E66" s="34" t="str">
        <f t="shared" si="2"/>
        <v>JPY_YC3MRH_6X1S</v>
      </c>
      <c r="F66" s="34" t="e">
        <f>_xll.qlRateHelperQuoteName(E66)</f>
        <v>#NUM!</v>
      </c>
      <c r="G66" s="33" t="e">
        <f>_xll.qlRateHelperQuoteValue($E66,Trigger)</f>
        <v>#NUM!</v>
      </c>
      <c r="H66" s="33" t="e">
        <f>_xll.qlSwapRateHelperSpread($E66,Trigger)</f>
        <v>#NUM!</v>
      </c>
      <c r="I66" s="32" t="b">
        <v>0</v>
      </c>
      <c r="J66" s="32">
        <v>40</v>
      </c>
      <c r="K66" s="32">
        <v>1</v>
      </c>
      <c r="L66" s="31" t="e">
        <f>_xll.qlRateHelperEarliestDate($E66,Trigger)</f>
        <v>#NUM!</v>
      </c>
      <c r="M66" s="30" t="e">
        <f>_xll.qlRateHelperLatestDate($E66,Trigger)</f>
        <v>#NUM!</v>
      </c>
    </row>
    <row r="67" spans="2:13" x14ac:dyDescent="0.2">
      <c r="B67" s="36">
        <v>7</v>
      </c>
      <c r="C67" s="35"/>
      <c r="D67" s="34" t="s">
        <v>52</v>
      </c>
      <c r="E67" s="34" t="str">
        <f t="shared" si="2"/>
        <v>JPY_YC3MRH_7X1S</v>
      </c>
      <c r="F67" s="34" t="e">
        <f>_xll.qlRateHelperQuoteName(E67)</f>
        <v>#NUM!</v>
      </c>
      <c r="G67" s="33" t="e">
        <f>_xll.qlRateHelperQuoteValue($E67,Trigger)</f>
        <v>#NUM!</v>
      </c>
      <c r="H67" s="33" t="e">
        <f>_xll.qlSwapRateHelperSpread($E67,Trigger)</f>
        <v>#NUM!</v>
      </c>
      <c r="I67" s="32" t="b">
        <v>0</v>
      </c>
      <c r="J67" s="32">
        <v>40</v>
      </c>
      <c r="K67" s="32">
        <v>1</v>
      </c>
      <c r="L67" s="31" t="e">
        <f>_xll.qlRateHelperEarliestDate($E67,Trigger)</f>
        <v>#NUM!</v>
      </c>
      <c r="M67" s="30" t="e">
        <f>_xll.qlRateHelperLatestDate($E67,Trigger)</f>
        <v>#NUM!</v>
      </c>
    </row>
    <row r="68" spans="2:13" x14ac:dyDescent="0.2">
      <c r="B68" s="36">
        <v>8</v>
      </c>
      <c r="C68" s="35"/>
      <c r="D68" s="34" t="s">
        <v>52</v>
      </c>
      <c r="E68" s="34" t="str">
        <f t="shared" si="2"/>
        <v>JPY_YC3MRH_8X1S</v>
      </c>
      <c r="F68" s="34" t="e">
        <f>_xll.qlRateHelperQuoteName(E68)</f>
        <v>#NUM!</v>
      </c>
      <c r="G68" s="33" t="e">
        <f>_xll.qlRateHelperQuoteValue($E68,Trigger)</f>
        <v>#NUM!</v>
      </c>
      <c r="H68" s="33" t="e">
        <f>_xll.qlSwapRateHelperSpread($E68,Trigger)</f>
        <v>#NUM!</v>
      </c>
      <c r="I68" s="32" t="b">
        <v>0</v>
      </c>
      <c r="J68" s="32">
        <v>40</v>
      </c>
      <c r="K68" s="32">
        <v>1</v>
      </c>
      <c r="L68" s="31" t="e">
        <f>_xll.qlRateHelperEarliestDate($E68,Trigger)</f>
        <v>#NUM!</v>
      </c>
      <c r="M68" s="30" t="e">
        <f>_xll.qlRateHelperLatestDate($E68,Trigger)</f>
        <v>#NUM!</v>
      </c>
    </row>
    <row r="69" spans="2:13" ht="11.25" customHeight="1" x14ac:dyDescent="0.2">
      <c r="B69" s="36">
        <v>9</v>
      </c>
      <c r="C69" s="35"/>
      <c r="D69" s="34" t="s">
        <v>52</v>
      </c>
      <c r="E69" s="34" t="str">
        <f t="shared" si="2"/>
        <v>JPY_YC3MRH_9X1S</v>
      </c>
      <c r="F69" s="34" t="e">
        <f>_xll.qlRateHelperQuoteName(E69)</f>
        <v>#NUM!</v>
      </c>
      <c r="G69" s="33" t="e">
        <f>_xll.qlRateHelperQuoteValue($E69,Trigger)</f>
        <v>#NUM!</v>
      </c>
      <c r="H69" s="33" t="e">
        <f>_xll.qlSwapRateHelperSpread($E69,Trigger)</f>
        <v>#NUM!</v>
      </c>
      <c r="I69" s="32" t="b">
        <v>0</v>
      </c>
      <c r="J69" s="32">
        <v>40</v>
      </c>
      <c r="K69" s="32">
        <v>1</v>
      </c>
      <c r="L69" s="31" t="e">
        <f>_xll.qlRateHelperEarliestDate($E69,Trigger)</f>
        <v>#NUM!</v>
      </c>
      <c r="M69" s="30" t="e">
        <f>_xll.qlRateHelperLatestDate($E69,Trigger)</f>
        <v>#NUM!</v>
      </c>
    </row>
    <row r="70" spans="2:13" x14ac:dyDescent="0.2">
      <c r="B70" s="36">
        <v>10</v>
      </c>
      <c r="C70" s="35"/>
      <c r="D70" s="34" t="s">
        <v>52</v>
      </c>
      <c r="E70" s="34" t="str">
        <f t="shared" si="2"/>
        <v>JPY_YC3MRH_10X1S</v>
      </c>
      <c r="F70" s="34" t="e">
        <f>_xll.qlRateHelperQuoteName(E70)</f>
        <v>#NUM!</v>
      </c>
      <c r="G70" s="33" t="e">
        <f>_xll.qlRateHelperQuoteValue($E70,Trigger)</f>
        <v>#NUM!</v>
      </c>
      <c r="H70" s="33" t="e">
        <f>_xll.qlSwapRateHelperSpread($E70,Trigger)</f>
        <v>#NUM!</v>
      </c>
      <c r="I70" s="32" t="b">
        <v>0</v>
      </c>
      <c r="J70" s="32">
        <v>40</v>
      </c>
      <c r="K70" s="32">
        <v>1</v>
      </c>
      <c r="L70" s="31" t="e">
        <f>_xll.qlRateHelperEarliestDate($E70,Trigger)</f>
        <v>#NUM!</v>
      </c>
      <c r="M70" s="30" t="e">
        <f>_xll.qlRateHelperLatestDate($E70,Trigger)</f>
        <v>#NUM!</v>
      </c>
    </row>
    <row r="71" spans="2:13" x14ac:dyDescent="0.2">
      <c r="B71" s="36">
        <v>11</v>
      </c>
      <c r="C71" s="35"/>
      <c r="D71" s="34" t="s">
        <v>52</v>
      </c>
      <c r="E71" s="34" t="str">
        <f t="shared" si="2"/>
        <v>JPY_YC3MRH_11X1S</v>
      </c>
      <c r="F71" s="34" t="e">
        <f>_xll.qlRateHelperQuoteName(E71)</f>
        <v>#NUM!</v>
      </c>
      <c r="G71" s="33" t="e">
        <f>_xll.qlRateHelperQuoteValue($E71,Trigger)</f>
        <v>#NUM!</v>
      </c>
      <c r="H71" s="33" t="e">
        <f>_xll.qlSwapRateHelperSpread($E71,Trigger)</f>
        <v>#NUM!</v>
      </c>
      <c r="I71" s="32" t="b">
        <v>0</v>
      </c>
      <c r="J71" s="32">
        <v>40</v>
      </c>
      <c r="K71" s="32">
        <v>1</v>
      </c>
      <c r="L71" s="31" t="e">
        <f>_xll.qlRateHelperEarliestDate($E71,Trigger)</f>
        <v>#NUM!</v>
      </c>
      <c r="M71" s="30" t="e">
        <f>_xll.qlRateHelperLatestDate($E71,Trigger)</f>
        <v>#NUM!</v>
      </c>
    </row>
    <row r="72" spans="2:13" x14ac:dyDescent="0.2">
      <c r="B72" s="29">
        <v>12</v>
      </c>
      <c r="C72" s="28"/>
      <c r="D72" s="27" t="s">
        <v>52</v>
      </c>
      <c r="E72" s="27" t="str">
        <f t="shared" si="2"/>
        <v>JPY_YC3MRH_12X1S</v>
      </c>
      <c r="F72" s="27" t="e">
        <f>_xll.qlRateHelperQuoteName(E72)</f>
        <v>#NUM!</v>
      </c>
      <c r="G72" s="26" t="e">
        <f>_xll.qlRateHelperQuoteValue($E72,Trigger)</f>
        <v>#NUM!</v>
      </c>
      <c r="H72" s="26" t="e">
        <f>_xll.qlSwapRateHelperSpread($E72,Trigger)</f>
        <v>#NUM!</v>
      </c>
      <c r="I72" s="25" t="b">
        <v>0</v>
      </c>
      <c r="J72" s="25">
        <v>40</v>
      </c>
      <c r="K72" s="32">
        <v>1</v>
      </c>
      <c r="L72" s="24" t="e">
        <f>_xll.qlRateHelperEarliestDate($E72,Trigger)</f>
        <v>#NUM!</v>
      </c>
      <c r="M72" s="23" t="e">
        <f>_xll.qlRateHelperLatestDate($E72,Trigger)</f>
        <v>#NUM!</v>
      </c>
    </row>
    <row r="73" spans="2:13" x14ac:dyDescent="0.2">
      <c r="B73" s="44" t="s">
        <v>48</v>
      </c>
      <c r="C73" s="43">
        <v>12</v>
      </c>
      <c r="D73" s="42"/>
      <c r="E73" s="42" t="str">
        <f t="shared" si="2"/>
        <v>JPY_YC3MRH_1S12</v>
      </c>
      <c r="F73" s="42" t="e">
        <f>_xll.qlRateHelperQuoteName(E73)</f>
        <v>#NUM!</v>
      </c>
      <c r="G73" s="41" t="e">
        <f>_xll.qlRateHelperQuoteValue($E73,Trigger)</f>
        <v>#NUM!</v>
      </c>
      <c r="H73" s="41" t="e">
        <f>_xll.qlSwapRateHelperSpread($E73,Trigger)</f>
        <v>#NUM!</v>
      </c>
      <c r="I73" s="40" t="b">
        <v>0</v>
      </c>
      <c r="J73" s="40">
        <v>40</v>
      </c>
      <c r="K73" s="40">
        <v>1</v>
      </c>
      <c r="L73" s="39" t="e">
        <f>_xll.qlRateHelperEarliestDate($E73,Trigger)</f>
        <v>#NUM!</v>
      </c>
      <c r="M73" s="38" t="e">
        <f>_xll.qlRateHelperLatestDate($E73,Trigger)</f>
        <v>#NUM!</v>
      </c>
    </row>
    <row r="74" spans="2:13" x14ac:dyDescent="0.2">
      <c r="B74" s="36" t="s">
        <v>49</v>
      </c>
      <c r="C74" s="35">
        <v>12</v>
      </c>
      <c r="D74" s="34"/>
      <c r="E74" s="34" t="str">
        <f t="shared" si="2"/>
        <v>JPY_YC3MRH_2S12</v>
      </c>
      <c r="F74" s="34" t="e">
        <f>_xll.qlRateHelperQuoteName(E74)</f>
        <v>#NUM!</v>
      </c>
      <c r="G74" s="33" t="e">
        <f>_xll.qlRateHelperQuoteValue($E74,Trigger)</f>
        <v>#NUM!</v>
      </c>
      <c r="H74" s="33" t="e">
        <f>_xll.qlSwapRateHelperSpread($E74,Trigger)</f>
        <v>#NUM!</v>
      </c>
      <c r="I74" s="32" t="b">
        <v>0</v>
      </c>
      <c r="J74" s="32">
        <v>40</v>
      </c>
      <c r="K74" s="32">
        <v>1</v>
      </c>
      <c r="L74" s="31" t="e">
        <f>_xll.qlRateHelperEarliestDate($E74,Trigger)</f>
        <v>#NUM!</v>
      </c>
      <c r="M74" s="30" t="e">
        <f>_xll.qlRateHelperLatestDate($E74,Trigger)</f>
        <v>#NUM!</v>
      </c>
    </row>
    <row r="75" spans="2:13" x14ac:dyDescent="0.2">
      <c r="B75" s="36" t="s">
        <v>51</v>
      </c>
      <c r="C75" s="35">
        <v>12</v>
      </c>
      <c r="D75" s="34"/>
      <c r="E75" s="34" t="str">
        <f t="shared" si="2"/>
        <v>JPY_YC3MRH_3S12</v>
      </c>
      <c r="F75" s="34" t="e">
        <f>_xll.qlRateHelperQuoteName(E75)</f>
        <v>#NUM!</v>
      </c>
      <c r="G75" s="33" t="e">
        <f>_xll.qlRateHelperQuoteValue($E75,Trigger)</f>
        <v>#NUM!</v>
      </c>
      <c r="H75" s="33" t="e">
        <f>_xll.qlSwapRateHelperSpread($E75,Trigger)</f>
        <v>#NUM!</v>
      </c>
      <c r="I75" s="32" t="b">
        <v>0</v>
      </c>
      <c r="J75" s="32">
        <v>40</v>
      </c>
      <c r="K75" s="32">
        <v>1</v>
      </c>
      <c r="L75" s="31" t="e">
        <f>_xll.qlRateHelperEarliestDate($E75,Trigger)</f>
        <v>#NUM!</v>
      </c>
      <c r="M75" s="30" t="e">
        <f>_xll.qlRateHelperLatestDate($E75,Trigger)</f>
        <v>#NUM!</v>
      </c>
    </row>
    <row r="76" spans="2:13" x14ac:dyDescent="0.2">
      <c r="B76" s="36" t="s">
        <v>50</v>
      </c>
      <c r="C76" s="35">
        <v>12</v>
      </c>
      <c r="D76" s="34"/>
      <c r="E76" s="34" t="str">
        <f t="shared" si="2"/>
        <v>JPY_YC3MRH_4S12</v>
      </c>
      <c r="F76" s="34" t="e">
        <f>_xll.qlRateHelperQuoteName(E76)</f>
        <v>#NUM!</v>
      </c>
      <c r="G76" s="33" t="e">
        <f>_xll.qlRateHelperQuoteValue($E76,Trigger)</f>
        <v>#NUM!</v>
      </c>
      <c r="H76" s="33" t="e">
        <f>_xll.qlSwapRateHelperSpread($E76,Trigger)</f>
        <v>#NUM!</v>
      </c>
      <c r="I76" s="32" t="b">
        <v>0</v>
      </c>
      <c r="J76" s="32">
        <v>40</v>
      </c>
      <c r="K76" s="32">
        <v>1</v>
      </c>
      <c r="L76" s="31" t="e">
        <f>_xll.qlRateHelperEarliestDate($E76,Trigger)</f>
        <v>#NUM!</v>
      </c>
      <c r="M76" s="30" t="e">
        <f>_xll.qlRateHelperLatestDate($E76,Trigger)</f>
        <v>#NUM!</v>
      </c>
    </row>
    <row r="77" spans="2:13" x14ac:dyDescent="0.2">
      <c r="B77" s="36" t="s">
        <v>48</v>
      </c>
      <c r="C77" s="35">
        <v>24</v>
      </c>
      <c r="D77" s="34"/>
      <c r="E77" s="34" t="str">
        <f t="shared" si="2"/>
        <v>JPY_YC3MRH_1S24</v>
      </c>
      <c r="F77" s="34" t="e">
        <f>_xll.qlRateHelperQuoteName(E77)</f>
        <v>#NUM!</v>
      </c>
      <c r="G77" s="33" t="e">
        <f>_xll.qlRateHelperQuoteValue($E77,Trigger)</f>
        <v>#NUM!</v>
      </c>
      <c r="H77" s="33" t="e">
        <f>_xll.qlSwapRateHelperSpread($E77,Trigger)</f>
        <v>#NUM!</v>
      </c>
      <c r="I77" s="32" t="b">
        <v>0</v>
      </c>
      <c r="J77" s="32">
        <v>40</v>
      </c>
      <c r="K77" s="32">
        <v>1</v>
      </c>
      <c r="L77" s="31" t="e">
        <f>_xll.qlRateHelperEarliestDate($E77,Trigger)</f>
        <v>#NUM!</v>
      </c>
      <c r="M77" s="30" t="e">
        <f>_xll.qlRateHelperLatestDate($E77,Trigger)</f>
        <v>#NUM!</v>
      </c>
    </row>
    <row r="78" spans="2:13" x14ac:dyDescent="0.2">
      <c r="B78" s="36" t="s">
        <v>49</v>
      </c>
      <c r="C78" s="35">
        <v>24</v>
      </c>
      <c r="D78" s="34"/>
      <c r="E78" s="34" t="str">
        <f t="shared" si="2"/>
        <v>JPY_YC3MRH_2S24</v>
      </c>
      <c r="F78" s="34" t="e">
        <f>_xll.qlRateHelperQuoteName(E78)</f>
        <v>#NUM!</v>
      </c>
      <c r="G78" s="33" t="e">
        <f>_xll.qlRateHelperQuoteValue($E78,Trigger)</f>
        <v>#NUM!</v>
      </c>
      <c r="H78" s="33" t="e">
        <f>_xll.qlSwapRateHelperSpread($E78,Trigger)</f>
        <v>#NUM!</v>
      </c>
      <c r="I78" s="32" t="b">
        <v>0</v>
      </c>
      <c r="J78" s="32">
        <v>40</v>
      </c>
      <c r="K78" s="32">
        <v>1</v>
      </c>
      <c r="L78" s="31" t="e">
        <f>_xll.qlRateHelperEarliestDate($E78,Trigger)</f>
        <v>#NUM!</v>
      </c>
      <c r="M78" s="30" t="e">
        <f>_xll.qlRateHelperLatestDate($E78,Trigger)</f>
        <v>#NUM!</v>
      </c>
    </row>
    <row r="79" spans="2:13" x14ac:dyDescent="0.2">
      <c r="B79" s="29" t="s">
        <v>48</v>
      </c>
      <c r="C79" s="28">
        <v>36</v>
      </c>
      <c r="D79" s="27"/>
      <c r="E79" s="27" t="str">
        <f t="shared" si="2"/>
        <v>JPY_YC3MRH_1S36</v>
      </c>
      <c r="F79" s="27" t="e">
        <f>_xll.qlRateHelperQuoteName(E79)</f>
        <v>#NUM!</v>
      </c>
      <c r="G79" s="26" t="e">
        <f>_xll.qlRateHelperQuoteValue($E79,Trigger)</f>
        <v>#NUM!</v>
      </c>
      <c r="H79" s="26" t="e">
        <f>_xll.qlSwapRateHelperSpread($E79,Trigger)</f>
        <v>#NUM!</v>
      </c>
      <c r="I79" s="25" t="b">
        <v>0</v>
      </c>
      <c r="J79" s="25">
        <v>40</v>
      </c>
      <c r="K79" s="25">
        <v>1</v>
      </c>
      <c r="L79" s="24" t="e">
        <f>_xll.qlRateHelperEarliestDate($E79,Trigger)</f>
        <v>#NUM!</v>
      </c>
      <c r="M79" s="23" t="e">
        <f>_xll.qlRateHelperLatestDate($E79,Trigger)</f>
        <v>#NUM!</v>
      </c>
    </row>
    <row r="80" spans="2:13" x14ac:dyDescent="0.2">
      <c r="B80" s="36">
        <f t="shared" ref="B80:B106" si="3">SwapFixedFreq</f>
        <v>0</v>
      </c>
      <c r="C80" s="35" t="str">
        <f t="shared" ref="C80:C113" si="4">IborType&amp;"BASIS"</f>
        <v>3LBASIS</v>
      </c>
      <c r="D80" s="34" t="str">
        <f>SwapsFromBasis!C6</f>
        <v>1Y</v>
      </c>
      <c r="E80" s="34" t="str">
        <f>SwapsFromBasis!K6</f>
        <v>obj_003bb#0012</v>
      </c>
      <c r="F80" s="34" t="str">
        <f>_xll.qlRateHelperQuoteName(E80)</f>
        <v>JPYSB6L1Y_Quote</v>
      </c>
      <c r="G80" s="33">
        <f>_xll.qlRateHelperQuoteValue($E80,Trigger)</f>
        <v>1.825E-3</v>
      </c>
      <c r="H80" s="33">
        <f>_xll.qlSwapRateHelperSpread($E80,Trigger)</f>
        <v>4.4999999999999999E-4</v>
      </c>
      <c r="I80" s="32" t="b">
        <f>IF(ISERROR(G80),FALSE,TRUE)</f>
        <v>1</v>
      </c>
      <c r="J80" s="32">
        <v>40</v>
      </c>
      <c r="K80" s="32">
        <v>1</v>
      </c>
      <c r="L80" s="31">
        <f>_xll.qlRateHelperEarliestDate($E80,Trigger)</f>
        <v>41800</v>
      </c>
      <c r="M80" s="30">
        <f>_xll.qlRateHelperLatestDate($E80,Trigger)</f>
        <v>42165</v>
      </c>
    </row>
    <row r="81" spans="2:13" x14ac:dyDescent="0.2">
      <c r="B81" s="36">
        <f t="shared" si="3"/>
        <v>0</v>
      </c>
      <c r="C81" s="35" t="str">
        <f t="shared" si="4"/>
        <v>3LBASIS</v>
      </c>
      <c r="D81" s="34" t="str">
        <f>SwapsFromBasis!C7</f>
        <v>2Y</v>
      </c>
      <c r="E81" s="34" t="str">
        <f>SwapsFromBasis!K7</f>
        <v>obj_003bc#0006</v>
      </c>
      <c r="F81" s="34" t="str">
        <f>_xll.qlRateHelperQuoteName(E81)</f>
        <v>JPYSB6L2Y_Quote</v>
      </c>
      <c r="G81" s="33">
        <f>_xll.qlRateHelperQuoteValue($E81,Trigger)</f>
        <v>1.8500000000000001E-3</v>
      </c>
      <c r="H81" s="33">
        <f>_xll.qlSwapRateHelperSpread($E81,Trigger)</f>
        <v>4.75E-4</v>
      </c>
      <c r="I81" s="32" t="b">
        <f t="shared" ref="I81:I113" si="5">IF(ISERROR(G81),FALSE,TRUE)</f>
        <v>1</v>
      </c>
      <c r="J81" s="32">
        <v>40</v>
      </c>
      <c r="K81" s="32">
        <v>1</v>
      </c>
      <c r="L81" s="31">
        <f>_xll.qlRateHelperEarliestDate($E81,Trigger)</f>
        <v>41800</v>
      </c>
      <c r="M81" s="30">
        <f>_xll.qlRateHelperLatestDate($E81,Trigger)</f>
        <v>42531</v>
      </c>
    </row>
    <row r="82" spans="2:13" x14ac:dyDescent="0.2">
      <c r="B82" s="36">
        <f t="shared" si="3"/>
        <v>0</v>
      </c>
      <c r="C82" s="35" t="str">
        <f t="shared" si="4"/>
        <v>3LBASIS</v>
      </c>
      <c r="D82" s="34" t="str">
        <f>SwapsFromBasis!C8</f>
        <v>3Y</v>
      </c>
      <c r="E82" s="34" t="str">
        <f>SwapsFromBasis!K8</f>
        <v>obj_003bd#0006</v>
      </c>
      <c r="F82" s="34" t="str">
        <f>_xll.qlRateHelperQuoteName(E82)</f>
        <v>JPYSB6L3Y_Quote</v>
      </c>
      <c r="G82" s="33">
        <f>_xll.qlRateHelperQuoteValue($E82,Trigger)</f>
        <v>2.0250000000000003E-3</v>
      </c>
      <c r="H82" s="33">
        <f>_xll.qlSwapRateHelperSpread($E82,Trigger)</f>
        <v>5.7499999999999999E-4</v>
      </c>
      <c r="I82" s="32" t="b">
        <f t="shared" si="5"/>
        <v>1</v>
      </c>
      <c r="J82" s="32">
        <v>40</v>
      </c>
      <c r="K82" s="32">
        <v>1</v>
      </c>
      <c r="L82" s="31">
        <f>_xll.qlRateHelperEarliestDate($E82,Trigger)</f>
        <v>41800</v>
      </c>
      <c r="M82" s="30">
        <f>_xll.qlRateHelperLatestDate($E82,Trigger)</f>
        <v>42898</v>
      </c>
    </row>
    <row r="83" spans="2:13" x14ac:dyDescent="0.2">
      <c r="B83" s="36">
        <f t="shared" si="3"/>
        <v>0</v>
      </c>
      <c r="C83" s="35" t="str">
        <f t="shared" si="4"/>
        <v>3LBASIS</v>
      </c>
      <c r="D83" s="34" t="str">
        <f>SwapsFromBasis!C9</f>
        <v>4Y</v>
      </c>
      <c r="E83" s="34" t="str">
        <f>SwapsFromBasis!K9</f>
        <v>obj_003be#0006</v>
      </c>
      <c r="F83" s="34" t="str">
        <f>_xll.qlRateHelperQuoteName(E83)</f>
        <v>JPYSB6L4Y_Quote</v>
      </c>
      <c r="G83" s="33">
        <f>_xll.qlRateHelperQuoteValue($E83,Trigger)</f>
        <v>2.4250000000000001E-3</v>
      </c>
      <c r="H83" s="33">
        <f>_xll.qlSwapRateHelperSpread($E83,Trigger)</f>
        <v>6.4999999999999997E-4</v>
      </c>
      <c r="I83" s="32" t="b">
        <f t="shared" si="5"/>
        <v>1</v>
      </c>
      <c r="J83" s="32">
        <v>40</v>
      </c>
      <c r="K83" s="32">
        <v>1</v>
      </c>
      <c r="L83" s="31">
        <f>_xll.qlRateHelperEarliestDate($E83,Trigger)</f>
        <v>41800</v>
      </c>
      <c r="M83" s="30">
        <f>_xll.qlRateHelperLatestDate($E83,Trigger)</f>
        <v>43262</v>
      </c>
    </row>
    <row r="84" spans="2:13" x14ac:dyDescent="0.2">
      <c r="B84" s="36">
        <f t="shared" si="3"/>
        <v>0</v>
      </c>
      <c r="C84" s="35" t="str">
        <f t="shared" si="4"/>
        <v>3LBASIS</v>
      </c>
      <c r="D84" s="34" t="str">
        <f>SwapsFromBasis!C10</f>
        <v>5Y</v>
      </c>
      <c r="E84" s="34" t="str">
        <f>SwapsFromBasis!K10</f>
        <v>obj_003bf#0006</v>
      </c>
      <c r="F84" s="34" t="str">
        <f>_xll.qlRateHelperQuoteName(E84)</f>
        <v>JPYSB6L5Y_Quote</v>
      </c>
      <c r="G84" s="33">
        <f>_xll.qlRateHelperQuoteValue($E84,Trigger)</f>
        <v>3.0249999999999999E-3</v>
      </c>
      <c r="H84" s="33">
        <f>_xll.qlSwapRateHelperSpread($E84,Trigger)</f>
        <v>7.7499999999999997E-4</v>
      </c>
      <c r="I84" s="32" t="b">
        <f t="shared" si="5"/>
        <v>1</v>
      </c>
      <c r="J84" s="32">
        <v>40</v>
      </c>
      <c r="K84" s="32">
        <v>1</v>
      </c>
      <c r="L84" s="31">
        <f>_xll.qlRateHelperEarliestDate($E84,Trigger)</f>
        <v>41800</v>
      </c>
      <c r="M84" s="30">
        <f>_xll.qlRateHelperLatestDate($E84,Trigger)</f>
        <v>43626</v>
      </c>
    </row>
    <row r="85" spans="2:13" x14ac:dyDescent="0.2">
      <c r="B85" s="36">
        <f t="shared" si="3"/>
        <v>0</v>
      </c>
      <c r="C85" s="35" t="str">
        <f t="shared" si="4"/>
        <v>3LBASIS</v>
      </c>
      <c r="D85" s="34" t="str">
        <f>SwapsFromBasis!C11</f>
        <v>6Y</v>
      </c>
      <c r="E85" s="34" t="str">
        <f>SwapsFromBasis!K11</f>
        <v>obj_003c0#0006</v>
      </c>
      <c r="F85" s="34" t="str">
        <f>_xll.qlRateHelperQuoteName(E85)</f>
        <v>JPYSB6L6Y_Quote</v>
      </c>
      <c r="G85" s="33">
        <f>_xll.qlRateHelperQuoteValue($E85,Trigger)</f>
        <v>3.8E-3</v>
      </c>
      <c r="H85" s="33">
        <f>_xll.qlSwapRateHelperSpread($E85,Trigger)</f>
        <v>8.4999999999999995E-4</v>
      </c>
      <c r="I85" s="32" t="b">
        <f t="shared" si="5"/>
        <v>1</v>
      </c>
      <c r="J85" s="32">
        <v>40</v>
      </c>
      <c r="K85" s="32">
        <v>1</v>
      </c>
      <c r="L85" s="31">
        <f>_xll.qlRateHelperEarliestDate($E85,Trigger)</f>
        <v>41800</v>
      </c>
      <c r="M85" s="30">
        <f>_xll.qlRateHelperLatestDate($E85,Trigger)</f>
        <v>43992</v>
      </c>
    </row>
    <row r="86" spans="2:13" x14ac:dyDescent="0.2">
      <c r="B86" s="36">
        <f t="shared" si="3"/>
        <v>0</v>
      </c>
      <c r="C86" s="35" t="str">
        <f t="shared" si="4"/>
        <v>3LBASIS</v>
      </c>
      <c r="D86" s="34" t="str">
        <f>SwapsFromBasis!C12</f>
        <v>7Y</v>
      </c>
      <c r="E86" s="34" t="str">
        <f>SwapsFromBasis!K12</f>
        <v>obj_003c1#0006</v>
      </c>
      <c r="F86" s="34" t="str">
        <f>_xll.qlRateHelperQuoteName(E86)</f>
        <v>JPYSB6L7Y_Quote</v>
      </c>
      <c r="G86" s="33">
        <f>_xll.qlRateHelperQuoteValue($E86,Trigger)</f>
        <v>4.6750000000000003E-3</v>
      </c>
      <c r="H86" s="33">
        <f>_xll.qlSwapRateHelperSpread($E86,Trigger)</f>
        <v>9.5E-4</v>
      </c>
      <c r="I86" s="32" t="b">
        <f t="shared" si="5"/>
        <v>1</v>
      </c>
      <c r="J86" s="32">
        <v>40</v>
      </c>
      <c r="K86" s="32">
        <v>1</v>
      </c>
      <c r="L86" s="31">
        <f>_xll.qlRateHelperEarliestDate($E86,Trigger)</f>
        <v>41800</v>
      </c>
      <c r="M86" s="30">
        <f>_xll.qlRateHelperLatestDate($E86,Trigger)</f>
        <v>44357</v>
      </c>
    </row>
    <row r="87" spans="2:13" x14ac:dyDescent="0.2">
      <c r="B87" s="36">
        <f t="shared" si="3"/>
        <v>0</v>
      </c>
      <c r="C87" s="35" t="str">
        <f t="shared" si="4"/>
        <v>3LBASIS</v>
      </c>
      <c r="D87" s="34" t="str">
        <f>SwapsFromBasis!C13</f>
        <v>8Y</v>
      </c>
      <c r="E87" s="34" t="str">
        <f>SwapsFromBasis!K13</f>
        <v>obj_003c2#0006</v>
      </c>
      <c r="F87" s="34" t="str">
        <f>_xll.qlRateHelperQuoteName(E87)</f>
        <v>JPYSB6L8Y_Quote</v>
      </c>
      <c r="G87" s="33">
        <f>_xll.qlRateHelperQuoteValue($E87,Trigger)</f>
        <v>5.6000000000000008E-3</v>
      </c>
      <c r="H87" s="33">
        <f>_xll.qlSwapRateHelperSpread($E87,Trigger)</f>
        <v>1.0499999999999999E-3</v>
      </c>
      <c r="I87" s="32" t="b">
        <f t="shared" si="5"/>
        <v>1</v>
      </c>
      <c r="J87" s="32">
        <v>40</v>
      </c>
      <c r="K87" s="32">
        <v>1</v>
      </c>
      <c r="L87" s="31">
        <f>_xll.qlRateHelperEarliestDate($E87,Trigger)</f>
        <v>41800</v>
      </c>
      <c r="M87" s="30">
        <f>_xll.qlRateHelperLatestDate($E87,Trigger)</f>
        <v>44722</v>
      </c>
    </row>
    <row r="88" spans="2:13" x14ac:dyDescent="0.2">
      <c r="B88" s="36">
        <f t="shared" si="3"/>
        <v>0</v>
      </c>
      <c r="C88" s="35" t="str">
        <f t="shared" si="4"/>
        <v>3LBASIS</v>
      </c>
      <c r="D88" s="34" t="str">
        <f>SwapsFromBasis!C14</f>
        <v>9Y</v>
      </c>
      <c r="E88" s="34" t="str">
        <f>SwapsFromBasis!K14</f>
        <v>obj_003c3#0006</v>
      </c>
      <c r="F88" s="34" t="str">
        <f>_xll.qlRateHelperQuoteName(E88)</f>
        <v>JPYSB6L9Y_Quote</v>
      </c>
      <c r="G88" s="33">
        <f>_xll.qlRateHelperQuoteValue($E88,Trigger)</f>
        <v>6.5250000000000004E-3</v>
      </c>
      <c r="H88" s="33">
        <f>_xll.qlSwapRateHelperSpread($E88,Trigger)</f>
        <v>1.1249999999999999E-3</v>
      </c>
      <c r="I88" s="32" t="b">
        <f t="shared" si="5"/>
        <v>1</v>
      </c>
      <c r="J88" s="32">
        <v>40</v>
      </c>
      <c r="K88" s="32">
        <v>1</v>
      </c>
      <c r="L88" s="31">
        <f>_xll.qlRateHelperEarliestDate($E88,Trigger)</f>
        <v>41800</v>
      </c>
      <c r="M88" s="30">
        <f>_xll.qlRateHelperLatestDate($E88,Trigger)</f>
        <v>45089</v>
      </c>
    </row>
    <row r="89" spans="2:13" x14ac:dyDescent="0.2">
      <c r="B89" s="36">
        <f t="shared" si="3"/>
        <v>0</v>
      </c>
      <c r="C89" s="35" t="str">
        <f t="shared" si="4"/>
        <v>3LBASIS</v>
      </c>
      <c r="D89" s="34" t="str">
        <f>SwapsFromBasis!C15</f>
        <v>10Y</v>
      </c>
      <c r="E89" s="34" t="str">
        <f>SwapsFromBasis!K15</f>
        <v>obj_003c4#0006</v>
      </c>
      <c r="F89" s="34" t="str">
        <f>_xll.qlRateHelperQuoteName(E89)</f>
        <v>JPYSB6L10Y_Quote</v>
      </c>
      <c r="G89" s="33">
        <f>_xll.qlRateHelperQuoteValue($E89,Trigger)</f>
        <v>7.45E-3</v>
      </c>
      <c r="H89" s="33">
        <f>_xll.qlSwapRateHelperSpread($E89,Trigger)</f>
        <v>1.225E-3</v>
      </c>
      <c r="I89" s="32" t="b">
        <f t="shared" si="5"/>
        <v>1</v>
      </c>
      <c r="J89" s="32">
        <v>40</v>
      </c>
      <c r="K89" s="32">
        <v>1</v>
      </c>
      <c r="L89" s="31">
        <f>_xll.qlRateHelperEarliestDate($E89,Trigger)</f>
        <v>41800</v>
      </c>
      <c r="M89" s="30">
        <f>_xll.qlRateHelperLatestDate($E89,Trigger)</f>
        <v>45453</v>
      </c>
    </row>
    <row r="90" spans="2:13" x14ac:dyDescent="0.2">
      <c r="B90" s="36">
        <f t="shared" si="3"/>
        <v>0</v>
      </c>
      <c r="C90" s="35" t="str">
        <f t="shared" si="4"/>
        <v>3LBASIS</v>
      </c>
      <c r="D90" s="34" t="str">
        <f>SwapsFromBasis!C16</f>
        <v>11Y</v>
      </c>
      <c r="E90" s="34" t="str">
        <f>SwapsFromBasis!K16</f>
        <v>obj_003c5#0006</v>
      </c>
      <c r="F90" s="34" t="str">
        <f>_xll.qlRateHelperQuoteName(E90)</f>
        <v>JPYSB6L11Y_Quote</v>
      </c>
      <c r="G90" s="33" t="e">
        <f>_xll.qlRateHelperQuoteValue($E90,Trigger)</f>
        <v>#NUM!</v>
      </c>
      <c r="H90" s="33">
        <f>_xll.qlSwapRateHelperSpread($E90,Trigger)</f>
        <v>1.3069064243652793E-3</v>
      </c>
      <c r="I90" s="32" t="b">
        <f t="shared" si="5"/>
        <v>0</v>
      </c>
      <c r="J90" s="32">
        <v>40</v>
      </c>
      <c r="K90" s="32">
        <v>1</v>
      </c>
      <c r="L90" s="31">
        <f>_xll.qlRateHelperEarliestDate($E90,Trigger)</f>
        <v>41800</v>
      </c>
      <c r="M90" s="30">
        <f>_xll.qlRateHelperLatestDate($E90,Trigger)</f>
        <v>45818</v>
      </c>
    </row>
    <row r="91" spans="2:13" x14ac:dyDescent="0.2">
      <c r="B91" s="36">
        <f t="shared" si="3"/>
        <v>0</v>
      </c>
      <c r="C91" s="35" t="str">
        <f t="shared" si="4"/>
        <v>3LBASIS</v>
      </c>
      <c r="D91" s="34" t="str">
        <f>SwapsFromBasis!C17</f>
        <v>12Y</v>
      </c>
      <c r="E91" s="34" t="str">
        <f>SwapsFromBasis!K17</f>
        <v>obj_003c6#0006</v>
      </c>
      <c r="F91" s="34" t="str">
        <f>_xll.qlRateHelperQuoteName(E91)</f>
        <v>JPYSB6L12Y_Quote</v>
      </c>
      <c r="G91" s="33">
        <f>_xll.qlRateHelperQuoteValue($E91,Trigger)</f>
        <v>9.2999999999999992E-3</v>
      </c>
      <c r="H91" s="33">
        <f>_xll.qlSwapRateHelperSpread($E91,Trigger)</f>
        <v>1.3608834408760497E-3</v>
      </c>
      <c r="I91" s="32" t="b">
        <f t="shared" si="5"/>
        <v>1</v>
      </c>
      <c r="J91" s="32">
        <v>40</v>
      </c>
      <c r="K91" s="32">
        <v>1</v>
      </c>
      <c r="L91" s="31">
        <f>_xll.qlRateHelperEarliestDate($E91,Trigger)</f>
        <v>41800</v>
      </c>
      <c r="M91" s="30">
        <f>_xll.qlRateHelperLatestDate($E91,Trigger)</f>
        <v>46183</v>
      </c>
    </row>
    <row r="92" spans="2:13" x14ac:dyDescent="0.2">
      <c r="B92" s="36">
        <f t="shared" si="3"/>
        <v>0</v>
      </c>
      <c r="C92" s="35" t="str">
        <f t="shared" si="4"/>
        <v>3LBASIS</v>
      </c>
      <c r="D92" s="34" t="str">
        <f>SwapsFromBasis!C18</f>
        <v>13Y</v>
      </c>
      <c r="E92" s="34" t="str">
        <f>SwapsFromBasis!K18</f>
        <v>obj_003c7#0006</v>
      </c>
      <c r="F92" s="34" t="str">
        <f>_xll.qlRateHelperQuoteName(E92)</f>
        <v>JPYSB6L13Y_Quote</v>
      </c>
      <c r="G92" s="33" t="e">
        <f>_xll.qlRateHelperQuoteValue($E92,Trigger)</f>
        <v>#NUM!</v>
      </c>
      <c r="H92" s="33">
        <f>_xll.qlSwapRateHelperSpread($E92,Trigger)</f>
        <v>1.3939072452041803E-3</v>
      </c>
      <c r="I92" s="32" t="b">
        <f t="shared" si="5"/>
        <v>0</v>
      </c>
      <c r="J92" s="32">
        <v>40</v>
      </c>
      <c r="K92" s="32">
        <v>1</v>
      </c>
      <c r="L92" s="31">
        <f>_xll.qlRateHelperEarliestDate($E92,Trigger)</f>
        <v>41800</v>
      </c>
      <c r="M92" s="30">
        <f>_xll.qlRateHelperLatestDate($E92,Trigger)</f>
        <v>46548</v>
      </c>
    </row>
    <row r="93" spans="2:13" x14ac:dyDescent="0.2">
      <c r="B93" s="36">
        <f t="shared" si="3"/>
        <v>0</v>
      </c>
      <c r="C93" s="35" t="str">
        <f t="shared" si="4"/>
        <v>3LBASIS</v>
      </c>
      <c r="D93" s="34" t="str">
        <f>SwapsFromBasis!C19</f>
        <v>14Y</v>
      </c>
      <c r="E93" s="34" t="str">
        <f>SwapsFromBasis!K19</f>
        <v>obj_003c8#0006</v>
      </c>
      <c r="F93" s="34" t="str">
        <f>_xll.qlRateHelperQuoteName(E93)</f>
        <v>JPYSB6L14Y_Quote</v>
      </c>
      <c r="G93" s="33" t="e">
        <f>_xll.qlRateHelperQuoteValue($E93,Trigger)</f>
        <v>#NUM!</v>
      </c>
      <c r="H93" s="33">
        <f>_xll.qlSwapRateHelperSpread($E93,Trigger)</f>
        <v>1.4129540330215407E-3</v>
      </c>
      <c r="I93" s="32" t="b">
        <f t="shared" si="5"/>
        <v>0</v>
      </c>
      <c r="J93" s="32">
        <v>40</v>
      </c>
      <c r="K93" s="32">
        <v>1</v>
      </c>
      <c r="L93" s="31">
        <f>_xll.qlRateHelperEarliestDate($E93,Trigger)</f>
        <v>41800</v>
      </c>
      <c r="M93" s="30">
        <f>_xll.qlRateHelperLatestDate($E93,Trigger)</f>
        <v>46916</v>
      </c>
    </row>
    <row r="94" spans="2:13" x14ac:dyDescent="0.2">
      <c r="B94" s="36">
        <f t="shared" si="3"/>
        <v>0</v>
      </c>
      <c r="C94" s="35" t="str">
        <f t="shared" si="4"/>
        <v>3LBASIS</v>
      </c>
      <c r="D94" s="34" t="str">
        <f>SwapsFromBasis!C20</f>
        <v>15Y</v>
      </c>
      <c r="E94" s="34" t="str">
        <f>SwapsFromBasis!K20</f>
        <v>obj_003c9#0006</v>
      </c>
      <c r="F94" s="34" t="str">
        <f>_xll.qlRateHelperQuoteName(E94)</f>
        <v>JPYSB6L15Y_Quote</v>
      </c>
      <c r="G94" s="33">
        <f>_xll.qlRateHelperQuoteValue($E94,Trigger)</f>
        <v>1.1950000000000001E-2</v>
      </c>
      <c r="H94" s="33">
        <f>_xll.qlSwapRateHelperSpread($E94,Trigger)</f>
        <v>1.4250000000000001E-3</v>
      </c>
      <c r="I94" s="32" t="b">
        <f t="shared" si="5"/>
        <v>1</v>
      </c>
      <c r="J94" s="32">
        <v>40</v>
      </c>
      <c r="K94" s="32">
        <v>1</v>
      </c>
      <c r="L94" s="31">
        <f>_xll.qlRateHelperEarliestDate($E94,Trigger)</f>
        <v>41800</v>
      </c>
      <c r="M94" s="30">
        <f>_xll.qlRateHelperLatestDate($E94,Trigger)</f>
        <v>47280</v>
      </c>
    </row>
    <row r="95" spans="2:13" x14ac:dyDescent="0.2">
      <c r="B95" s="36">
        <f t="shared" si="3"/>
        <v>0</v>
      </c>
      <c r="C95" s="35" t="str">
        <f t="shared" si="4"/>
        <v>3LBASIS</v>
      </c>
      <c r="D95" s="34" t="str">
        <f>SwapsFromBasis!C21</f>
        <v>16Y</v>
      </c>
      <c r="E95" s="34" t="str">
        <f>SwapsFromBasis!K21</f>
        <v>obj_003ca#0006</v>
      </c>
      <c r="F95" s="34" t="str">
        <f>_xll.qlRateHelperQuoteName(E95)</f>
        <v>JPYSB6L16Y_Quote</v>
      </c>
      <c r="G95" s="33" t="e">
        <f>_xll.qlRateHelperQuoteValue($E95,Trigger)</f>
        <v>#NUM!</v>
      </c>
      <c r="H95" s="33">
        <f>_xll.qlSwapRateHelperSpread($E95,Trigger)</f>
        <v>1.4358262668448338E-3</v>
      </c>
      <c r="I95" s="32" t="b">
        <f t="shared" si="5"/>
        <v>0</v>
      </c>
      <c r="J95" s="32">
        <v>40</v>
      </c>
      <c r="K95" s="32">
        <v>1</v>
      </c>
      <c r="L95" s="31">
        <f>_xll.qlRateHelperEarliestDate($E95,Trigger)</f>
        <v>41800</v>
      </c>
      <c r="M95" s="30">
        <f>_xll.qlRateHelperLatestDate($E95,Trigger)</f>
        <v>47644</v>
      </c>
    </row>
    <row r="96" spans="2:13" x14ac:dyDescent="0.2">
      <c r="B96" s="36">
        <f t="shared" si="3"/>
        <v>0</v>
      </c>
      <c r="C96" s="35" t="str">
        <f t="shared" si="4"/>
        <v>3LBASIS</v>
      </c>
      <c r="D96" s="34" t="str">
        <f>SwapsFromBasis!C22</f>
        <v>17Y</v>
      </c>
      <c r="E96" s="34" t="str">
        <f>SwapsFromBasis!K22</f>
        <v>obj_003cb#0006</v>
      </c>
      <c r="F96" s="34" t="str">
        <f>_xll.qlRateHelperQuoteName(E96)</f>
        <v>JPYSB6L17Y_Quote</v>
      </c>
      <c r="G96" s="33" t="e">
        <f>_xll.qlRateHelperQuoteValue($E96,Trigger)</f>
        <v>#NUM!</v>
      </c>
      <c r="H96" s="33">
        <f>_xll.qlSwapRateHelperSpread($E96,Trigger)</f>
        <v>1.4464336543949434E-3</v>
      </c>
      <c r="I96" s="32" t="b">
        <f t="shared" si="5"/>
        <v>0</v>
      </c>
      <c r="J96" s="32">
        <v>40</v>
      </c>
      <c r="K96" s="32">
        <v>1</v>
      </c>
      <c r="L96" s="31">
        <f>_xll.qlRateHelperEarliestDate($E96,Trigger)</f>
        <v>41800</v>
      </c>
      <c r="M96" s="30">
        <f>_xll.qlRateHelperLatestDate($E96,Trigger)</f>
        <v>48009</v>
      </c>
    </row>
    <row r="97" spans="2:13" x14ac:dyDescent="0.2">
      <c r="B97" s="36">
        <f t="shared" si="3"/>
        <v>0</v>
      </c>
      <c r="C97" s="35" t="str">
        <f t="shared" si="4"/>
        <v>3LBASIS</v>
      </c>
      <c r="D97" s="34" t="str">
        <f>SwapsFromBasis!C23</f>
        <v>18Y</v>
      </c>
      <c r="E97" s="34" t="str">
        <f>SwapsFromBasis!K23</f>
        <v>obj_003cc#0006</v>
      </c>
      <c r="F97" s="34" t="str">
        <f>_xll.qlRateHelperQuoteName(E97)</f>
        <v>JPYSB6L18Y_Quote</v>
      </c>
      <c r="G97" s="33" t="e">
        <f>_xll.qlRateHelperQuoteValue($E97,Trigger)</f>
        <v>#NUM!</v>
      </c>
      <c r="H97" s="33">
        <f>_xll.qlSwapRateHelperSpread($E97,Trigger)</f>
        <v>1.4566279085226361E-3</v>
      </c>
      <c r="I97" s="32" t="b">
        <f t="shared" si="5"/>
        <v>0</v>
      </c>
      <c r="J97" s="32">
        <v>40</v>
      </c>
      <c r="K97" s="32">
        <v>1</v>
      </c>
      <c r="L97" s="31">
        <f>_xll.qlRateHelperEarliestDate($E97,Trigger)</f>
        <v>41800</v>
      </c>
      <c r="M97" s="30">
        <f>_xll.qlRateHelperLatestDate($E97,Trigger)</f>
        <v>48375</v>
      </c>
    </row>
    <row r="98" spans="2:13" x14ac:dyDescent="0.2">
      <c r="B98" s="36">
        <f t="shared" si="3"/>
        <v>0</v>
      </c>
      <c r="C98" s="35" t="str">
        <f t="shared" si="4"/>
        <v>3LBASIS</v>
      </c>
      <c r="D98" s="34" t="str">
        <f>SwapsFromBasis!C24</f>
        <v>19Y</v>
      </c>
      <c r="E98" s="34" t="str">
        <f>SwapsFromBasis!K24</f>
        <v>obj_003cd#0006</v>
      </c>
      <c r="F98" s="34" t="str">
        <f>_xll.qlRateHelperQuoteName(E98)</f>
        <v>JPYSB6L19Y_Quote</v>
      </c>
      <c r="G98" s="33" t="e">
        <f>_xll.qlRateHelperQuoteValue($E98,Trigger)</f>
        <v>#NUM!</v>
      </c>
      <c r="H98" s="33">
        <f>_xll.qlSwapRateHelperSpread($E98,Trigger)</f>
        <v>1.466214775100219E-3</v>
      </c>
      <c r="I98" s="32" t="b">
        <f t="shared" si="5"/>
        <v>0</v>
      </c>
      <c r="J98" s="32">
        <v>40</v>
      </c>
      <c r="K98" s="32">
        <v>1</v>
      </c>
      <c r="L98" s="31">
        <f>_xll.qlRateHelperEarliestDate($E98,Trigger)</f>
        <v>41800</v>
      </c>
      <c r="M98" s="30">
        <f>_xll.qlRateHelperLatestDate($E98,Trigger)</f>
        <v>48740</v>
      </c>
    </row>
    <row r="99" spans="2:13" x14ac:dyDescent="0.2">
      <c r="B99" s="36">
        <f t="shared" si="3"/>
        <v>0</v>
      </c>
      <c r="C99" s="35" t="str">
        <f t="shared" si="4"/>
        <v>3LBASIS</v>
      </c>
      <c r="D99" s="34" t="str">
        <f>SwapsFromBasis!C25</f>
        <v>20Y</v>
      </c>
      <c r="E99" s="34" t="str">
        <f>SwapsFromBasis!K25</f>
        <v>obj_003ce#0006</v>
      </c>
      <c r="F99" s="34" t="str">
        <f>_xll.qlRateHelperQuoteName(E99)</f>
        <v>JPYSB6L20Y_Quote</v>
      </c>
      <c r="G99" s="33">
        <f>_xll.qlRateHelperQuoteValue($E99,Trigger)</f>
        <v>1.5125E-2</v>
      </c>
      <c r="H99" s="33">
        <f>_xll.qlSwapRateHelperSpread($E99,Trigger)</f>
        <v>1.475E-3</v>
      </c>
      <c r="I99" s="32" t="b">
        <f t="shared" si="5"/>
        <v>1</v>
      </c>
      <c r="J99" s="32">
        <v>40</v>
      </c>
      <c r="K99" s="32">
        <v>1</v>
      </c>
      <c r="L99" s="31">
        <f>_xll.qlRateHelperEarliestDate($E99,Trigger)</f>
        <v>41800</v>
      </c>
      <c r="M99" s="30">
        <f>_xll.qlRateHelperLatestDate($E99,Trigger)</f>
        <v>49107</v>
      </c>
    </row>
    <row r="100" spans="2:13" x14ac:dyDescent="0.2">
      <c r="B100" s="36">
        <f t="shared" si="3"/>
        <v>0</v>
      </c>
      <c r="C100" s="35" t="str">
        <f t="shared" si="4"/>
        <v>3LBASIS</v>
      </c>
      <c r="D100" s="34" t="str">
        <f>SwapsFromBasis!C26</f>
        <v>21Y</v>
      </c>
      <c r="E100" s="34" t="str">
        <f>SwapsFromBasis!K26</f>
        <v>obj_003cf#0006</v>
      </c>
      <c r="F100" s="34" t="str">
        <f>_xll.qlRateHelperQuoteName(E100)</f>
        <v>JPYSB6L21Y_Quote</v>
      </c>
      <c r="G100" s="33" t="e">
        <f>_xll.qlRateHelperQuoteValue($E100,Trigger)</f>
        <v>#NUM!</v>
      </c>
      <c r="H100" s="33">
        <f>_xll.qlSwapRateHelperSpread($E100,Trigger)</f>
        <v>1.48283830304566E-3</v>
      </c>
      <c r="I100" s="32" t="b">
        <f t="shared" si="5"/>
        <v>0</v>
      </c>
      <c r="J100" s="32">
        <v>40</v>
      </c>
      <c r="K100" s="32">
        <v>1</v>
      </c>
      <c r="L100" s="31">
        <f>_xll.qlRateHelperEarliestDate($E100,Trigger)</f>
        <v>41800</v>
      </c>
      <c r="M100" s="30">
        <f>_xll.qlRateHelperLatestDate($E100,Trigger)</f>
        <v>49471</v>
      </c>
    </row>
    <row r="101" spans="2:13" x14ac:dyDescent="0.2">
      <c r="B101" s="36">
        <f t="shared" si="3"/>
        <v>0</v>
      </c>
      <c r="C101" s="35" t="str">
        <f t="shared" si="4"/>
        <v>3LBASIS</v>
      </c>
      <c r="D101" s="34" t="str">
        <f>SwapsFromBasis!C27</f>
        <v>22Y</v>
      </c>
      <c r="E101" s="34" t="str">
        <f>SwapsFromBasis!K27</f>
        <v>obj_003d0#0006</v>
      </c>
      <c r="F101" s="34" t="str">
        <f>_xll.qlRateHelperQuoteName(E101)</f>
        <v>JPYSB6L22Y_Quote</v>
      </c>
      <c r="G101" s="33" t="e">
        <f>_xll.qlRateHelperQuoteValue($E101,Trigger)</f>
        <v>#NUM!</v>
      </c>
      <c r="H101" s="33">
        <f>_xll.qlSwapRateHelperSpread($E101,Trigger)</f>
        <v>1.4897802998663746E-3</v>
      </c>
      <c r="I101" s="32" t="b">
        <f t="shared" si="5"/>
        <v>0</v>
      </c>
      <c r="J101" s="32">
        <v>40</v>
      </c>
      <c r="K101" s="32">
        <v>1</v>
      </c>
      <c r="L101" s="31">
        <f>_xll.qlRateHelperEarliestDate($E101,Trigger)</f>
        <v>41800</v>
      </c>
      <c r="M101" s="30">
        <f>_xll.qlRateHelperLatestDate($E101,Trigger)</f>
        <v>49836</v>
      </c>
    </row>
    <row r="102" spans="2:13" x14ac:dyDescent="0.2">
      <c r="B102" s="36">
        <f t="shared" si="3"/>
        <v>0</v>
      </c>
      <c r="C102" s="35" t="str">
        <f t="shared" si="4"/>
        <v>3LBASIS</v>
      </c>
      <c r="D102" s="34" t="str">
        <f>SwapsFromBasis!C28</f>
        <v>23Y</v>
      </c>
      <c r="E102" s="34" t="str">
        <f>SwapsFromBasis!K28</f>
        <v>obj_003d1#0006</v>
      </c>
      <c r="F102" s="34" t="str">
        <f>_xll.qlRateHelperQuoteName(E102)</f>
        <v>JPYSB6L23Y_Quote</v>
      </c>
      <c r="G102" s="33" t="e">
        <f>_xll.qlRateHelperQuoteValue($E102,Trigger)</f>
        <v>#NUM!</v>
      </c>
      <c r="H102" s="33">
        <f>_xll.qlSwapRateHelperSpread($E102,Trigger)</f>
        <v>1.4959255800426935E-3</v>
      </c>
      <c r="I102" s="32" t="b">
        <f t="shared" si="5"/>
        <v>0</v>
      </c>
      <c r="J102" s="32">
        <v>40</v>
      </c>
      <c r="K102" s="32">
        <v>1</v>
      </c>
      <c r="L102" s="31">
        <f>_xll.qlRateHelperEarliestDate($E102,Trigger)</f>
        <v>41800</v>
      </c>
      <c r="M102" s="30">
        <f>_xll.qlRateHelperLatestDate($E102,Trigger)</f>
        <v>50201</v>
      </c>
    </row>
    <row r="103" spans="2:13" x14ac:dyDescent="0.2">
      <c r="B103" s="36">
        <f t="shared" si="3"/>
        <v>0</v>
      </c>
      <c r="C103" s="35" t="str">
        <f t="shared" si="4"/>
        <v>3LBASIS</v>
      </c>
      <c r="D103" s="34" t="str">
        <f>SwapsFromBasis!C29</f>
        <v>24Y</v>
      </c>
      <c r="E103" s="34" t="str">
        <f>SwapsFromBasis!K29</f>
        <v>obj_003d2#0006</v>
      </c>
      <c r="F103" s="34" t="str">
        <f>_xll.qlRateHelperQuoteName(E103)</f>
        <v>JPYSB6L24Y_Quote</v>
      </c>
      <c r="G103" s="33" t="e">
        <f>_xll.qlRateHelperQuoteValue($E103,Trigger)</f>
        <v>#NUM!</v>
      </c>
      <c r="H103" s="33">
        <f>_xll.qlSwapRateHelperSpread($E103,Trigger)</f>
        <v>1.5013737331551662E-3</v>
      </c>
      <c r="I103" s="32" t="b">
        <f t="shared" si="5"/>
        <v>0</v>
      </c>
      <c r="J103" s="32">
        <v>40</v>
      </c>
      <c r="K103" s="32">
        <v>1</v>
      </c>
      <c r="L103" s="31">
        <f>_xll.qlRateHelperEarliestDate($E103,Trigger)</f>
        <v>41800</v>
      </c>
      <c r="M103" s="30">
        <f>_xll.qlRateHelperLatestDate($E103,Trigger)</f>
        <v>50566</v>
      </c>
    </row>
    <row r="104" spans="2:13" x14ac:dyDescent="0.2">
      <c r="B104" s="36">
        <f t="shared" si="3"/>
        <v>0</v>
      </c>
      <c r="C104" s="35" t="str">
        <f t="shared" si="4"/>
        <v>3LBASIS</v>
      </c>
      <c r="D104" s="34" t="str">
        <f>SwapsFromBasis!C30</f>
        <v>25Y</v>
      </c>
      <c r="E104" s="34" t="str">
        <f>SwapsFromBasis!K30</f>
        <v>obj_003d3#0006</v>
      </c>
      <c r="F104" s="34" t="str">
        <f>_xll.qlRateHelperQuoteName(E104)</f>
        <v>JPYSB6L25Y_Quote</v>
      </c>
      <c r="G104" s="33">
        <f>_xll.qlRateHelperQuoteValue($E104,Trigger)</f>
        <v>1.6750000000000001E-2</v>
      </c>
      <c r="H104" s="33">
        <f>_xll.qlSwapRateHelperSpread($E104,Trigger)</f>
        <v>1.5062243487843419E-3</v>
      </c>
      <c r="I104" s="32" t="b">
        <f t="shared" si="5"/>
        <v>1</v>
      </c>
      <c r="J104" s="32">
        <v>40</v>
      </c>
      <c r="K104" s="32">
        <v>1</v>
      </c>
      <c r="L104" s="31">
        <f>_xll.qlRateHelperEarliestDate($E104,Trigger)</f>
        <v>41800</v>
      </c>
      <c r="M104" s="30">
        <f>_xll.qlRateHelperLatestDate($E104,Trigger)</f>
        <v>50931</v>
      </c>
    </row>
    <row r="105" spans="2:13" x14ac:dyDescent="0.2">
      <c r="B105" s="36">
        <f t="shared" si="3"/>
        <v>0</v>
      </c>
      <c r="C105" s="35" t="str">
        <f t="shared" si="4"/>
        <v>3LBASIS</v>
      </c>
      <c r="D105" s="34" t="str">
        <f>SwapsFromBasis!C31</f>
        <v>26Y</v>
      </c>
      <c r="E105" s="34" t="str">
        <f>SwapsFromBasis!K31</f>
        <v>obj_003d4#0006</v>
      </c>
      <c r="F105" s="34" t="str">
        <f>_xll.qlRateHelperQuoteName(E105)</f>
        <v>JPYSB6L26Y_Quote</v>
      </c>
      <c r="G105" s="33" t="e">
        <f>_xll.qlRateHelperQuoteValue($E105,Trigger)</f>
        <v>#NUM!</v>
      </c>
      <c r="H105" s="33">
        <f>_xll.qlSwapRateHelperSpread($E105,Trigger)</f>
        <v>1.5105770165107703E-3</v>
      </c>
      <c r="I105" s="32" t="b">
        <f t="shared" si="5"/>
        <v>0</v>
      </c>
      <c r="J105" s="32">
        <v>40</v>
      </c>
      <c r="K105" s="32">
        <v>1</v>
      </c>
      <c r="L105" s="31">
        <f>_xll.qlRateHelperEarliestDate($E105,Trigger)</f>
        <v>41800</v>
      </c>
      <c r="M105" s="30">
        <f>_xll.qlRateHelperLatestDate($E105,Trigger)</f>
        <v>51298</v>
      </c>
    </row>
    <row r="106" spans="2:13" x14ac:dyDescent="0.2">
      <c r="B106" s="36">
        <f t="shared" si="3"/>
        <v>0</v>
      </c>
      <c r="C106" s="35" t="str">
        <f t="shared" si="4"/>
        <v>3LBASIS</v>
      </c>
      <c r="D106" s="34" t="str">
        <f>SwapsFromBasis!C32</f>
        <v>27Y</v>
      </c>
      <c r="E106" s="34" t="str">
        <f>SwapsFromBasis!K32</f>
        <v>obj_003d5#0006</v>
      </c>
      <c r="F106" s="34" t="str">
        <f>_xll.qlRateHelperQuoteName(E106)</f>
        <v>JPYSB6L27Y_Quote</v>
      </c>
      <c r="G106" s="33" t="e">
        <f>_xll.qlRateHelperQuoteValue($E106,Trigger)</f>
        <v>#NUM!</v>
      </c>
      <c r="H106" s="33">
        <f>_xll.qlSwapRateHelperSpread($E106,Trigger)</f>
        <v>1.5145313259150009E-3</v>
      </c>
      <c r="I106" s="32" t="b">
        <f t="shared" si="5"/>
        <v>0</v>
      </c>
      <c r="J106" s="32">
        <v>40</v>
      </c>
      <c r="K106" s="32">
        <v>1</v>
      </c>
      <c r="L106" s="31">
        <f>_xll.qlRateHelperEarliestDate($E106,Trigger)</f>
        <v>41800</v>
      </c>
      <c r="M106" s="30">
        <f>_xll.qlRateHelperLatestDate($E106,Trigger)</f>
        <v>51662</v>
      </c>
    </row>
    <row r="107" spans="2:13" x14ac:dyDescent="0.2">
      <c r="B107" s="36">
        <f t="shared" ref="B107:B113" si="6">SwapFixedFreq</f>
        <v>0</v>
      </c>
      <c r="C107" s="35" t="str">
        <f t="shared" si="4"/>
        <v>3LBASIS</v>
      </c>
      <c r="D107" s="34" t="str">
        <f>SwapsFromBasis!C33</f>
        <v>28Y</v>
      </c>
      <c r="E107" s="34" t="str">
        <f>SwapsFromBasis!K33</f>
        <v>obj_003d6#0006</v>
      </c>
      <c r="F107" s="34" t="str">
        <f>_xll.qlRateHelperQuoteName(E107)</f>
        <v>JPYSB6L28Y_Quote</v>
      </c>
      <c r="G107" s="33" t="e">
        <f>_xll.qlRateHelperQuoteValue($E107,Trigger)</f>
        <v>#NUM!</v>
      </c>
      <c r="H107" s="33">
        <f>_xll.qlSwapRateHelperSpread($E107,Trigger)</f>
        <v>1.5181868665775831E-3</v>
      </c>
      <c r="I107" s="32" t="b">
        <f t="shared" si="5"/>
        <v>0</v>
      </c>
      <c r="J107" s="32">
        <v>40</v>
      </c>
      <c r="K107" s="32">
        <v>1</v>
      </c>
      <c r="L107" s="31">
        <f>_xll.qlRateHelperEarliestDate($E107,Trigger)</f>
        <v>41800</v>
      </c>
      <c r="M107" s="30">
        <f>_xll.qlRateHelperLatestDate($E107,Trigger)</f>
        <v>52027</v>
      </c>
    </row>
    <row r="108" spans="2:13" x14ac:dyDescent="0.2">
      <c r="B108" s="36">
        <f t="shared" si="6"/>
        <v>0</v>
      </c>
      <c r="C108" s="35" t="str">
        <f t="shared" si="4"/>
        <v>3LBASIS</v>
      </c>
      <c r="D108" s="34" t="str">
        <f>SwapsFromBasis!C34</f>
        <v>29Y</v>
      </c>
      <c r="E108" s="34" t="str">
        <f>SwapsFromBasis!K34</f>
        <v>obj_003d7#0006</v>
      </c>
      <c r="F108" s="34" t="str">
        <f>_xll.qlRateHelperQuoteName(E108)</f>
        <v>JPYSB6L29Y_Quote</v>
      </c>
      <c r="G108" s="33" t="e">
        <f>_xll.qlRateHelperQuoteValue($E108,Trigger)</f>
        <v>#NUM!</v>
      </c>
      <c r="H108" s="33">
        <f>_xll.qlSwapRateHelperSpread($E108,Trigger)</f>
        <v>1.5216432280790663E-3</v>
      </c>
      <c r="I108" s="32" t="b">
        <f t="shared" si="5"/>
        <v>0</v>
      </c>
      <c r="J108" s="32">
        <v>40</v>
      </c>
      <c r="K108" s="32">
        <v>1</v>
      </c>
      <c r="L108" s="31">
        <f>_xll.qlRateHelperEarliestDate($E108,Trigger)</f>
        <v>41800</v>
      </c>
      <c r="M108" s="30">
        <f>_xll.qlRateHelperLatestDate($E108,Trigger)</f>
        <v>52392</v>
      </c>
    </row>
    <row r="109" spans="2:13" x14ac:dyDescent="0.2">
      <c r="B109" s="36">
        <f t="shared" si="6"/>
        <v>0</v>
      </c>
      <c r="C109" s="35" t="str">
        <f t="shared" si="4"/>
        <v>3LBASIS</v>
      </c>
      <c r="D109" s="34" t="str">
        <f>SwapsFromBasis!C35</f>
        <v>30Y</v>
      </c>
      <c r="E109" s="34" t="str">
        <f>SwapsFromBasis!K35</f>
        <v>obj_003d8#0006</v>
      </c>
      <c r="F109" s="34" t="str">
        <f>_xll.qlRateHelperQuoteName(E109)</f>
        <v>JPYSB6L30Y_Quote</v>
      </c>
      <c r="G109" s="33">
        <f>_xll.qlRateHelperQuoteValue($E109,Trigger)</f>
        <v>1.7624999999999998E-2</v>
      </c>
      <c r="H109" s="33">
        <f>_xll.qlSwapRateHelperSpread($E109,Trigger)</f>
        <v>1.5250000000000001E-3</v>
      </c>
      <c r="I109" s="32" t="b">
        <f t="shared" si="5"/>
        <v>1</v>
      </c>
      <c r="J109" s="32">
        <v>40</v>
      </c>
      <c r="K109" s="32">
        <v>1</v>
      </c>
      <c r="L109" s="31">
        <f>_xll.qlRateHelperEarliestDate($E109,Trigger)</f>
        <v>41800</v>
      </c>
      <c r="M109" s="30">
        <f>_xll.qlRateHelperLatestDate($E109,Trigger)</f>
        <v>52758</v>
      </c>
    </row>
    <row r="110" spans="2:13" x14ac:dyDescent="0.2">
      <c r="B110" s="36">
        <f t="shared" si="6"/>
        <v>0</v>
      </c>
      <c r="C110" s="35" t="str">
        <f t="shared" si="4"/>
        <v>3LBASIS</v>
      </c>
      <c r="D110" s="34" t="str">
        <f>SwapsFromBasis!C36</f>
        <v>35Y</v>
      </c>
      <c r="E110" s="34" t="str">
        <f>SwapsFromBasis!K36</f>
        <v>obj_003d9#0006</v>
      </c>
      <c r="F110" s="34" t="str">
        <f>_xll.qlRateHelperQuoteName(E110)</f>
        <v>JPYSB6L35Y_Quote</v>
      </c>
      <c r="G110" s="33" t="e">
        <f>_xll.qlRateHelperQuoteValue($E110,Trigger)</f>
        <v>#NUM!</v>
      </c>
      <c r="H110" s="33">
        <f>_xll.qlSwapRateHelperSpread($E110,Trigger)</f>
        <v>1.5250000000000001E-3</v>
      </c>
      <c r="I110" s="32" t="b">
        <f t="shared" si="5"/>
        <v>0</v>
      </c>
      <c r="J110" s="32">
        <v>40</v>
      </c>
      <c r="K110" s="32">
        <v>1</v>
      </c>
      <c r="L110" s="31">
        <f>_xll.qlRateHelperEarliestDate($E110,Trigger)</f>
        <v>41800</v>
      </c>
      <c r="M110" s="30">
        <f>_xll.qlRateHelperLatestDate($E110,Trigger)</f>
        <v>54584</v>
      </c>
    </row>
    <row r="111" spans="2:13" x14ac:dyDescent="0.2">
      <c r="B111" s="36">
        <f t="shared" si="6"/>
        <v>0</v>
      </c>
      <c r="C111" s="35" t="str">
        <f t="shared" si="4"/>
        <v>3LBASIS</v>
      </c>
      <c r="D111" s="34" t="str">
        <f>SwapsFromBasis!C37</f>
        <v>40Y</v>
      </c>
      <c r="E111" s="34" t="str">
        <f>SwapsFromBasis!K37</f>
        <v>obj_003da#0006</v>
      </c>
      <c r="F111" s="34" t="str">
        <f>_xll.qlRateHelperQuoteName(E111)</f>
        <v>JPYSB6L40Y_Quote</v>
      </c>
      <c r="G111" s="33" t="e">
        <f>_xll.qlRateHelperQuoteValue($E111,Trigger)</f>
        <v>#NUM!</v>
      </c>
      <c r="H111" s="33">
        <f>_xll.qlSwapRateHelperSpread($E111,Trigger)</f>
        <v>1.5250000000000001E-3</v>
      </c>
      <c r="I111" s="32" t="b">
        <f t="shared" si="5"/>
        <v>0</v>
      </c>
      <c r="J111" s="32">
        <v>40</v>
      </c>
      <c r="K111" s="32">
        <v>1</v>
      </c>
      <c r="L111" s="31">
        <f>_xll.qlRateHelperEarliestDate($E111,Trigger)</f>
        <v>41800</v>
      </c>
      <c r="M111" s="30">
        <f>_xll.qlRateHelperLatestDate($E111,Trigger)</f>
        <v>56410</v>
      </c>
    </row>
    <row r="112" spans="2:13" x14ac:dyDescent="0.2">
      <c r="B112" s="36">
        <f t="shared" si="6"/>
        <v>0</v>
      </c>
      <c r="C112" s="35" t="str">
        <f t="shared" si="4"/>
        <v>3LBASIS</v>
      </c>
      <c r="D112" s="34" t="str">
        <f>SwapsFromBasis!C38</f>
        <v>50Y</v>
      </c>
      <c r="E112" s="34" t="str">
        <f>SwapsFromBasis!K38</f>
        <v>obj_003db#0006</v>
      </c>
      <c r="F112" s="34" t="str">
        <f>_xll.qlRateHelperQuoteName(E112)</f>
        <v>JPYSB6L50Y_Quote</v>
      </c>
      <c r="G112" s="33" t="e">
        <f>_xll.qlRateHelperQuoteValue($E112,Trigger)</f>
        <v>#NUM!</v>
      </c>
      <c r="H112" s="33">
        <f>_xll.qlSwapRateHelperSpread($E112,Trigger)</f>
        <v>1.5250000000000001E-3</v>
      </c>
      <c r="I112" s="32" t="b">
        <f t="shared" si="5"/>
        <v>0</v>
      </c>
      <c r="J112" s="32">
        <v>40</v>
      </c>
      <c r="K112" s="32">
        <v>1</v>
      </c>
      <c r="L112" s="31">
        <f>_xll.qlRateHelperEarliestDate($E112,Trigger)</f>
        <v>41800</v>
      </c>
      <c r="M112" s="30">
        <f>_xll.qlRateHelperLatestDate($E112,Trigger)</f>
        <v>60063</v>
      </c>
    </row>
    <row r="113" spans="2:13" x14ac:dyDescent="0.2">
      <c r="B113" s="36">
        <f t="shared" si="6"/>
        <v>0</v>
      </c>
      <c r="C113" s="35" t="str">
        <f t="shared" si="4"/>
        <v>3LBASIS</v>
      </c>
      <c r="D113" s="34" t="str">
        <f>SwapsFromBasis!C39</f>
        <v>60Y</v>
      </c>
      <c r="E113" s="34" t="str">
        <f>SwapsFromBasis!K39</f>
        <v>obj_003dc#0006</v>
      </c>
      <c r="F113" s="34" t="str">
        <f>_xll.qlRateHelperQuoteName(E113)</f>
        <v>JPYSB6L60Y_Quote</v>
      </c>
      <c r="G113" s="33" t="e">
        <f>_xll.qlRateHelperQuoteValue($E113,Trigger)</f>
        <v>#NUM!</v>
      </c>
      <c r="H113" s="33">
        <f>_xll.qlSwapRateHelperSpread($E113,Trigger)</f>
        <v>1.5250000000000001E-3</v>
      </c>
      <c r="I113" s="32" t="b">
        <f t="shared" si="5"/>
        <v>0</v>
      </c>
      <c r="J113" s="32">
        <v>40</v>
      </c>
      <c r="K113" s="32">
        <v>1</v>
      </c>
      <c r="L113" s="31">
        <f>_xll.qlRateHelperEarliestDate($E113,Trigger)</f>
        <v>41800</v>
      </c>
      <c r="M113" s="30">
        <f>_xll.qlRateHelperLatestDate($E113,Trigger)</f>
        <v>63716</v>
      </c>
    </row>
    <row r="114" spans="2:13" x14ac:dyDescent="0.2">
      <c r="B114" s="174"/>
      <c r="C114" s="174"/>
      <c r="D114" s="174"/>
      <c r="E114" s="174"/>
      <c r="F114" s="174"/>
      <c r="G114" s="174"/>
      <c r="H114" s="174"/>
      <c r="I114" s="174"/>
      <c r="J114" s="174"/>
      <c r="K114" s="174"/>
      <c r="L114" s="174"/>
      <c r="M114" s="17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E1" sqref="E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5" width="22.42578125" style="2"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12" thickBot="1" x14ac:dyDescent="0.25">
      <c r="A1" s="220" t="s">
        <v>10</v>
      </c>
      <c r="B1" s="221"/>
      <c r="D1" s="22" t="s">
        <v>9</v>
      </c>
      <c r="E1" s="178" t="s">
        <v>147</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obj_00413</v>
      </c>
      <c r="E2" s="179" t="str">
        <f>_xll.qlRateHelperQuoteName(D2)</f>
        <v>JPY2WD_SYNTH3M_Quote</v>
      </c>
      <c r="F2" s="10">
        <f>_xll.qlRateHelperRate($D2)</f>
        <v>1.3500000000000001E-3</v>
      </c>
      <c r="G2" s="10" t="str">
        <f>IF(ISERROR(_xll.qlSwapRateHelperSpread($D2)),IF(ISERROR(_xll.qlFuturesRateHelperConvexityAdjustment($D2)),"--",_xll.qlFuturesRateHelperConvexityAdjustment($D2)),_xll.qlSwapRateHelperSpread($D2))</f>
        <v>--</v>
      </c>
      <c r="H2" s="9">
        <f>_xll.qlRateHelperEarliestDate($D2)</f>
        <v>41800</v>
      </c>
      <c r="I2" s="8">
        <f>_xll.qlRateHelperLatestDate($D2)</f>
        <v>41814</v>
      </c>
      <c r="J2" s="3">
        <v>0.99994750275608701</v>
      </c>
    </row>
    <row r="3" spans="1:10" x14ac:dyDescent="0.2">
      <c r="A3" s="15" t="s">
        <v>4</v>
      </c>
      <c r="B3" s="17">
        <v>0</v>
      </c>
      <c r="D3" s="11" t="str">
        <v>obj_00416</v>
      </c>
      <c r="E3" s="179" t="str">
        <f>_xll.qlRateHelperQuoteName(D3)</f>
        <v>JPY3WD_SYNTH3M_Quote</v>
      </c>
      <c r="F3" s="10">
        <f>_xll.qlRateHelperRate($D3)</f>
        <v>1.3500000000000001E-3</v>
      </c>
      <c r="G3" s="10" t="str">
        <f>IF(ISERROR(_xll.qlSwapRateHelperSpread($D3)),IF(ISERROR(_xll.qlFuturesRateHelperConvexityAdjustment($D3)),"--",_xll.qlFuturesRateHelperConvexityAdjustment($D3)),_xll.qlSwapRateHelperSpread($D3))</f>
        <v>--</v>
      </c>
      <c r="H3" s="9">
        <f>_xll.qlRateHelperEarliestDate($D3)</f>
        <v>41800</v>
      </c>
      <c r="I3" s="8">
        <f>_xll.qlRateHelperLatestDate($D3)</f>
        <v>41821</v>
      </c>
      <c r="J3" s="3">
        <v>0.9999212562010743</v>
      </c>
    </row>
    <row r="4" spans="1:10" x14ac:dyDescent="0.2">
      <c r="A4" s="15" t="s">
        <v>3</v>
      </c>
      <c r="B4" s="17">
        <v>4</v>
      </c>
      <c r="D4" s="11" t="str">
        <v>obj_00415</v>
      </c>
      <c r="E4" s="179" t="str">
        <f>_xll.qlRateHelperQuoteName(D4)</f>
        <v>JPY1MD_SYNTH3M_Quote</v>
      </c>
      <c r="F4" s="10">
        <f>_xll.qlRateHelperRate($D4)</f>
        <v>1.3500000000000001E-3</v>
      </c>
      <c r="G4" s="10" t="str">
        <f>IF(ISERROR(_xll.qlSwapRateHelperSpread($D4)),IF(ISERROR(_xll.qlFuturesRateHelperConvexityAdjustment($D4)),"--",_xll.qlFuturesRateHelperConvexityAdjustment($D4)),_xll.qlSwapRateHelperSpread($D4))</f>
        <v>--</v>
      </c>
      <c r="H4" s="9">
        <f>_xll.qlRateHelperEarliestDate($D4)</f>
        <v>41800</v>
      </c>
      <c r="I4" s="8">
        <f>_xll.qlRateHelperLatestDate($D4)</f>
        <v>41830</v>
      </c>
      <c r="J4" s="3">
        <v>0.99988751265482645</v>
      </c>
    </row>
    <row r="5" spans="1:10" x14ac:dyDescent="0.2">
      <c r="A5" s="15" t="s">
        <v>2</v>
      </c>
      <c r="B5" s="16" t="s">
        <v>1</v>
      </c>
      <c r="D5" s="11" t="str">
        <v>obj_00412</v>
      </c>
      <c r="E5" s="179" t="str">
        <f>_xll.qlRateHelperQuoteName(D5)</f>
        <v>JPY2MD_SYNTH3M_Quote</v>
      </c>
      <c r="F5" s="10">
        <f>_xll.qlRateHelperRate($D5)</f>
        <v>1.3500000000000001E-3</v>
      </c>
      <c r="G5" s="10" t="str">
        <f>IF(ISERROR(_xll.qlSwapRateHelperSpread($D5)),IF(ISERROR(_xll.qlFuturesRateHelperConvexityAdjustment($D5)),"--",_xll.qlFuturesRateHelperConvexityAdjustment($D5)),_xll.qlSwapRateHelperSpread($D5))</f>
        <v>--</v>
      </c>
      <c r="H5" s="9">
        <f>_xll.qlRateHelperEarliestDate($D5)</f>
        <v>41800</v>
      </c>
      <c r="I5" s="8">
        <f>_xll.qlRateHelperLatestDate($D5)</f>
        <v>41862</v>
      </c>
      <c r="J5" s="3">
        <v>0.99976755404368489</v>
      </c>
    </row>
    <row r="6" spans="1:10" x14ac:dyDescent="0.2">
      <c r="A6" s="15" t="s">
        <v>0</v>
      </c>
      <c r="B6" s="14" t="str">
        <f>_xll.ohRangeRetrieveError(Selected!D2)</f>
        <v/>
      </c>
      <c r="D6" s="11" t="str">
        <v>obj_00410</v>
      </c>
      <c r="E6" s="179" t="str">
        <f>_xll.qlRateHelperQuoteName(D6)</f>
        <v>JPY1x4F_Quote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41830</v>
      </c>
      <c r="I6" s="8">
        <f>_xll.qlRateHelperLatestDate($D6)</f>
        <v>41922</v>
      </c>
      <c r="J6" s="3">
        <v>0.99954267043352685</v>
      </c>
    </row>
    <row r="7" spans="1:10" ht="12" thickBot="1" x14ac:dyDescent="0.25">
      <c r="A7" s="13" t="str">
        <f>_xll.ohGroup(,_xll.ohPack(D2:D126),Permanent,,ObjectOverwrite)</f>
        <v>obj_00419#0008</v>
      </c>
      <c r="B7" s="12" t="str">
        <f>_xll.ohRangeRetrieveError(RateHelpersSelected)</f>
        <v/>
      </c>
      <c r="D7" s="11" t="str">
        <v>obj_0040e</v>
      </c>
      <c r="E7" s="179" t="str">
        <f>_xll.qlRateHelperQuoteName(D7)</f>
        <v>JPY2x5F_Quote</v>
      </c>
      <c r="F7" s="10">
        <f>_xll.qlRateHelperRate($D7)</f>
        <v>1.3500000000000001E-3</v>
      </c>
      <c r="G7" s="10" t="str">
        <f>IF(ISERROR(_xll.qlSwapRateHelperSpread($D7)),IF(ISERROR(_xll.qlFuturesRateHelperConvexityAdjustment($D7)),"--",_xll.qlFuturesRateHelperConvexityAdjustment($D7)),_xll.qlSwapRateHelperSpread($D7))</f>
        <v>--</v>
      </c>
      <c r="H7" s="9">
        <f>_xll.qlRateHelperEarliestDate($D7)</f>
        <v>41862</v>
      </c>
      <c r="I7" s="8">
        <f>_xll.qlRateHelperLatestDate($D7)</f>
        <v>41954</v>
      </c>
      <c r="J7" s="3">
        <v>0.999422753193833</v>
      </c>
    </row>
    <row r="8" spans="1:10" x14ac:dyDescent="0.2">
      <c r="D8" s="11" t="str">
        <v>obj_0040d</v>
      </c>
      <c r="E8" s="179" t="str">
        <f>_xll.qlRateHelperQuoteName(D8)</f>
        <v>JPY3x6F_Quote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41892</v>
      </c>
      <c r="I8" s="8">
        <f>_xll.qlRateHelperLatestDate($D8)</f>
        <v>41983</v>
      </c>
      <c r="J8" s="3">
        <v>0.99931409052696929</v>
      </c>
    </row>
    <row r="9" spans="1:10" x14ac:dyDescent="0.2">
      <c r="D9" s="11" t="str">
        <v>obj_00411</v>
      </c>
      <c r="E9" s="179" t="str">
        <f>_xll.qlRateHelperQuoteName(D9)</f>
        <v>JPY4x7F_Quote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41922</v>
      </c>
      <c r="I9" s="8">
        <f>_xll.qlRateHelperLatestDate($D9)</f>
        <v>42017</v>
      </c>
      <c r="J9" s="3">
        <v>0.99918671016802962</v>
      </c>
    </row>
    <row r="10" spans="1:10" x14ac:dyDescent="0.2">
      <c r="D10" s="11" t="str">
        <v>obj_0040f</v>
      </c>
      <c r="E10" s="179" t="str">
        <f>_xll.qlRateHelperQuoteName(D10)</f>
        <v>JPY5x8F_Quote</v>
      </c>
      <c r="F10" s="10">
        <f>_xll.qlRateHelperRate($D10)</f>
        <v>1.3500000000000001E-3</v>
      </c>
      <c r="G10" s="10" t="str">
        <f>IF(ISERROR(_xll.qlSwapRateHelperSpread($D10)),IF(ISERROR(_xll.qlFuturesRateHelperConvexityAdjustment($D10)),"--",_xll.qlFuturesRateHelperConvexityAdjustment($D10)),_xll.qlSwapRateHelperSpread($D10))</f>
        <v>--</v>
      </c>
      <c r="H10" s="9">
        <f>_xll.qlRateHelperEarliestDate($D10)</f>
        <v>41953</v>
      </c>
      <c r="I10" s="8">
        <f>_xll.qlRateHelperLatestDate($D10)</f>
        <v>42045</v>
      </c>
      <c r="J10" s="3">
        <v>0.99908181718425892</v>
      </c>
    </row>
    <row r="11" spans="1:10" x14ac:dyDescent="0.2">
      <c r="D11" s="11" t="str">
        <v>obj_003e1</v>
      </c>
      <c r="E11" s="179" t="str">
        <f>_xll.qlRateHelperQuoteName(D11)</f>
        <v>JPY6x9F_Quote</v>
      </c>
      <c r="F11" s="10">
        <f>_xll.qlRateHelperRate($D11)</f>
        <v>1.3500000000000001E-3</v>
      </c>
      <c r="G11" s="10" t="str">
        <f>IF(ISERROR(_xll.qlSwapRateHelperSpread($D11)),IF(ISERROR(_xll.qlFuturesRateHelperConvexityAdjustment($D11)),"--",_xll.qlFuturesRateHelperConvexityAdjustment($D11)),_xll.qlSwapRateHelperSpread($D11))</f>
        <v>--</v>
      </c>
      <c r="H11" s="9">
        <f>_xll.qlRateHelperEarliestDate($D11)</f>
        <v>41983</v>
      </c>
      <c r="I11" s="8">
        <f>_xll.qlRateHelperLatestDate($D11)</f>
        <v>42073</v>
      </c>
      <c r="J11" s="3">
        <v>0.998976935811133</v>
      </c>
    </row>
    <row r="12" spans="1:10" x14ac:dyDescent="0.2">
      <c r="D12" s="11" t="str">
        <v>obj_003bb</v>
      </c>
      <c r="E12" s="179" t="str">
        <f>_xll.qlRateHelperQuoteName(D12)</f>
        <v>JPYSB6L1Y_Quote</v>
      </c>
      <c r="F12" s="10">
        <f>_xll.qlRateHelperRate($D12)</f>
        <v>1.825E-3</v>
      </c>
      <c r="G12" s="10">
        <f>IF(ISERROR(_xll.qlSwapRateHelperSpread($D12)),IF(ISERROR(_xll.qlFuturesRateHelperConvexityAdjustment($D12)),"--",_xll.qlFuturesRateHelperConvexityAdjustment($D12)),_xll.qlSwapRateHelperSpread($D12))</f>
        <v>4.4999999999999999E-4</v>
      </c>
      <c r="H12" s="9">
        <f>_xll.qlRateHelperEarliestDate($D12)</f>
        <v>41800</v>
      </c>
      <c r="I12" s="8">
        <f>_xll.qlRateHelperLatestDate($D12)</f>
        <v>42165</v>
      </c>
      <c r="J12" s="3">
        <v>0.99863265464813256</v>
      </c>
    </row>
    <row r="13" spans="1:10" x14ac:dyDescent="0.2">
      <c r="D13" s="11" t="str">
        <v>obj_003df</v>
      </c>
      <c r="E13" s="179" t="str">
        <f>_xll.qlRateHelperQuoteName(D13)</f>
        <v>JPY12x15F_Quote</v>
      </c>
      <c r="F13" s="10">
        <f>_xll.qlRateHelperRate($D13)</f>
        <v>1.3500000000000001E-3</v>
      </c>
      <c r="G13" s="10" t="str">
        <f>IF(ISERROR(_xll.qlSwapRateHelperSpread($D13)),IF(ISERROR(_xll.qlFuturesRateHelperConvexityAdjustment($D13)),"--",_xll.qlFuturesRateHelperConvexityAdjustment($D13)),_xll.qlSwapRateHelperSpread($D13))</f>
        <v>--</v>
      </c>
      <c r="H13" s="9">
        <f>_xll.qlRateHelperEarliestDate($D13)</f>
        <v>42165</v>
      </c>
      <c r="I13" s="8">
        <f>_xll.qlRateHelperLatestDate($D13)</f>
        <v>42257</v>
      </c>
      <c r="J13" s="3">
        <v>0.99828824520353709</v>
      </c>
    </row>
    <row r="14" spans="1:10" x14ac:dyDescent="0.2">
      <c r="D14" s="11" t="str">
        <v>obj_003e0</v>
      </c>
      <c r="E14" s="179" t="str">
        <f>_xll.qlRateHelperQuoteName(D14)</f>
        <v>JPY15x18F_Quote</v>
      </c>
      <c r="F14" s="10">
        <f>_xll.qlRateHelperRate($D14)</f>
        <v>1.4000000000000002E-3</v>
      </c>
      <c r="G14" s="10" t="str">
        <f>IF(ISERROR(_xll.qlSwapRateHelperSpread($D14)),IF(ISERROR(_xll.qlFuturesRateHelperConvexityAdjustment($D14)),"--",_xll.qlFuturesRateHelperConvexityAdjustment($D14)),_xll.qlSwapRateHelperSpread($D14))</f>
        <v>--</v>
      </c>
      <c r="H14" s="9">
        <f>_xll.qlRateHelperEarliestDate($D14)</f>
        <v>42257</v>
      </c>
      <c r="I14" s="8">
        <f>_xll.qlRateHelperLatestDate($D14)</f>
        <v>42348</v>
      </c>
      <c r="J14" s="3">
        <v>0.9979350870643926</v>
      </c>
    </row>
    <row r="15" spans="1:10" x14ac:dyDescent="0.2">
      <c r="D15" s="11" t="str">
        <v>obj_003e2</v>
      </c>
      <c r="E15" s="179" t="str">
        <f>_xll.qlRateHelperQuoteName(D15)</f>
        <v>JPY18x21F_Quote</v>
      </c>
      <c r="F15" s="10">
        <f>_xll.qlRateHelperRate($D15)</f>
        <v>1.3500000000000001E-3</v>
      </c>
      <c r="G15" s="10" t="str">
        <f>IF(ISERROR(_xll.qlSwapRateHelperSpread($D15)),IF(ISERROR(_xll.qlFuturesRateHelperConvexityAdjustment($D15)),"--",_xll.qlFuturesRateHelperConvexityAdjustment($D15)),_xll.qlSwapRateHelperSpread($D15))</f>
        <v>--</v>
      </c>
      <c r="H15" s="9">
        <f>_xll.qlRateHelperEarliestDate($D15)</f>
        <v>42348</v>
      </c>
      <c r="I15" s="8">
        <f>_xll.qlRateHelperLatestDate($D15)</f>
        <v>42439</v>
      </c>
      <c r="J15" s="3">
        <v>0.99759465788738855</v>
      </c>
    </row>
    <row r="16" spans="1:10" x14ac:dyDescent="0.2">
      <c r="D16" s="11" t="str">
        <v>obj_003bc</v>
      </c>
      <c r="E16" s="179" t="str">
        <f>_xll.qlRateHelperQuoteName(D16)</f>
        <v>JPYSB6L2Y_Quote</v>
      </c>
      <c r="F16" s="10">
        <f>_xll.qlRateHelperRate($D16)</f>
        <v>1.8500000000000001E-3</v>
      </c>
      <c r="G16" s="10">
        <f>IF(ISERROR(_xll.qlSwapRateHelperSpread($D16)),IF(ISERROR(_xll.qlFuturesRateHelperConvexityAdjustment($D16)),"--",_xll.qlFuturesRateHelperConvexityAdjustment($D16)),_xll.qlSwapRateHelperSpread($D16))</f>
        <v>4.75E-4</v>
      </c>
      <c r="H16" s="9">
        <f>_xll.qlRateHelperEarliestDate($D16)</f>
        <v>41800</v>
      </c>
      <c r="I16" s="8">
        <f>_xll.qlRateHelperLatestDate($D16)</f>
        <v>42531</v>
      </c>
      <c r="J16" s="3">
        <v>0.99726919068884878</v>
      </c>
    </row>
    <row r="17" spans="4:10" x14ac:dyDescent="0.2">
      <c r="D17" s="11" t="str">
        <v>obj_003bd</v>
      </c>
      <c r="E17" s="179" t="str">
        <f>_xll.qlRateHelperQuoteName(D17)</f>
        <v>JPYSB6L3Y_Quote</v>
      </c>
      <c r="F17" s="10">
        <f>_xll.qlRateHelperRate($D17)</f>
        <v>2.0250000000000003E-3</v>
      </c>
      <c r="G17" s="10">
        <f>IF(ISERROR(_xll.qlSwapRateHelperSpread($D17)),IF(ISERROR(_xll.qlFuturesRateHelperConvexityAdjustment($D17)),"--",_xll.qlFuturesRateHelperConvexityAdjustment($D17)),_xll.qlSwapRateHelperSpread($D17))</f>
        <v>5.7499999999999999E-4</v>
      </c>
      <c r="H17" s="9">
        <f>_xll.qlRateHelperEarliestDate($D17)</f>
        <v>41800</v>
      </c>
      <c r="I17" s="8">
        <f>_xll.qlRateHelperLatestDate($D17)</f>
        <v>42898</v>
      </c>
      <c r="J17" s="3">
        <v>0.99567823924258669</v>
      </c>
    </row>
    <row r="18" spans="4:10" x14ac:dyDescent="0.2">
      <c r="D18" s="11" t="str">
        <v>obj_003be</v>
      </c>
      <c r="E18" s="179" t="str">
        <f>_xll.qlRateHelperQuoteName(D18)</f>
        <v>JPYSB6L4Y_Quote</v>
      </c>
      <c r="F18" s="10">
        <f>_xll.qlRateHelperRate($D18)</f>
        <v>2.4250000000000001E-3</v>
      </c>
      <c r="G18" s="10">
        <f>IF(ISERROR(_xll.qlSwapRateHelperSpread($D18)),IF(ISERROR(_xll.qlFuturesRateHelperConvexityAdjustment($D18)),"--",_xll.qlFuturesRateHelperConvexityAdjustment($D18)),_xll.qlSwapRateHelperSpread($D18))</f>
        <v>6.4999999999999997E-4</v>
      </c>
      <c r="H18" s="9">
        <f>_xll.qlRateHelperEarliestDate($D18)</f>
        <v>41800</v>
      </c>
      <c r="I18" s="8">
        <f>_xll.qlRateHelperLatestDate($D18)</f>
        <v>43262</v>
      </c>
      <c r="J18" s="3">
        <v>0.99295900026085748</v>
      </c>
    </row>
    <row r="19" spans="4:10" x14ac:dyDescent="0.2">
      <c r="D19" s="11" t="str">
        <v>obj_003bf</v>
      </c>
      <c r="E19" s="179" t="str">
        <f>_xll.qlRateHelperQuoteName(D19)</f>
        <v>JPYSB6L5Y_Quote</v>
      </c>
      <c r="F19" s="10">
        <f>_xll.qlRateHelperRate($D19)</f>
        <v>3.0249999999999999E-3</v>
      </c>
      <c r="G19" s="10">
        <f>IF(ISERROR(_xll.qlSwapRateHelperSpread($D19)),IF(ISERROR(_xll.qlFuturesRateHelperConvexityAdjustment($D19)),"--",_xll.qlFuturesRateHelperConvexityAdjustment($D19)),_xll.qlSwapRateHelperSpread($D19))</f>
        <v>7.7499999999999997E-4</v>
      </c>
      <c r="H19" s="9">
        <f>_xll.qlRateHelperEarliestDate($D19)</f>
        <v>41800</v>
      </c>
      <c r="I19" s="8">
        <f>_xll.qlRateHelperLatestDate($D19)</f>
        <v>43626</v>
      </c>
      <c r="J19" s="3">
        <v>0.98886568683117804</v>
      </c>
    </row>
    <row r="20" spans="4:10" x14ac:dyDescent="0.2">
      <c r="D20" s="11" t="str">
        <v>obj_003c0</v>
      </c>
      <c r="E20" s="179" t="str">
        <f>_xll.qlRateHelperQuoteName(D20)</f>
        <v>JPYSB6L6Y_Quote</v>
      </c>
      <c r="F20" s="10">
        <f>_xll.qlRateHelperRate($D20)</f>
        <v>3.8E-3</v>
      </c>
      <c r="G20" s="10">
        <f>IF(ISERROR(_xll.qlSwapRateHelperSpread($D20)),IF(ISERROR(_xll.qlFuturesRateHelperConvexityAdjustment($D20)),"--",_xll.qlFuturesRateHelperConvexityAdjustment($D20)),_xll.qlSwapRateHelperSpread($D20))</f>
        <v>8.4999999999999995E-4</v>
      </c>
      <c r="H20" s="9">
        <f>_xll.qlRateHelperEarliestDate($D20)</f>
        <v>41800</v>
      </c>
      <c r="I20" s="8">
        <f>_xll.qlRateHelperLatestDate($D20)</f>
        <v>43992</v>
      </c>
      <c r="J20" s="3">
        <v>0.98251132065640767</v>
      </c>
    </row>
    <row r="21" spans="4:10" x14ac:dyDescent="0.2">
      <c r="D21" s="11" t="str">
        <v>obj_003c1</v>
      </c>
      <c r="E21" s="179" t="str">
        <f>_xll.qlRateHelperQuoteName(D21)</f>
        <v>JPYSB6L7Y_Quote</v>
      </c>
      <c r="F21" s="10">
        <f>_xll.qlRateHelperRate($D21)</f>
        <v>4.6750000000000003E-3</v>
      </c>
      <c r="G21" s="10">
        <f>IF(ISERROR(_xll.qlSwapRateHelperSpread($D21)),IF(ISERROR(_xll.qlFuturesRateHelperConvexityAdjustment($D21)),"--",_xll.qlFuturesRateHelperConvexityAdjustment($D21)),_xll.qlSwapRateHelperSpread($D21))</f>
        <v>9.5E-4</v>
      </c>
      <c r="H21" s="9">
        <f>_xll.qlRateHelperEarliestDate($D21)</f>
        <v>41800</v>
      </c>
      <c r="I21" s="8">
        <f>_xll.qlRateHelperLatestDate($D21)</f>
        <v>44357</v>
      </c>
      <c r="J21" s="3">
        <v>0.97430073999608435</v>
      </c>
    </row>
    <row r="22" spans="4:10" x14ac:dyDescent="0.2">
      <c r="D22" s="11" t="str">
        <v>obj_003c2</v>
      </c>
      <c r="E22" s="179" t="str">
        <f>_xll.qlRateHelperQuoteName(D22)</f>
        <v>JPYSB6L8Y_Quote</v>
      </c>
      <c r="F22" s="10">
        <f>_xll.qlRateHelperRate($D22)</f>
        <v>5.6000000000000008E-3</v>
      </c>
      <c r="G22" s="10">
        <f>IF(ISERROR(_xll.qlSwapRateHelperSpread($D22)),IF(ISERROR(_xll.qlFuturesRateHelperConvexityAdjustment($D22)),"--",_xll.qlFuturesRateHelperConvexityAdjustment($D22)),_xll.qlSwapRateHelperSpread($D22))</f>
        <v>1.0499999999999999E-3</v>
      </c>
      <c r="H22" s="9">
        <f>_xll.qlRateHelperEarliestDate($D22)</f>
        <v>41800</v>
      </c>
      <c r="I22" s="8">
        <f>_xll.qlRateHelperLatestDate($D22)</f>
        <v>44722</v>
      </c>
      <c r="J22" s="3">
        <v>0.96424222103107882</v>
      </c>
    </row>
    <row r="23" spans="4:10" x14ac:dyDescent="0.2">
      <c r="D23" s="11" t="str">
        <v>obj_003c3</v>
      </c>
      <c r="E23" s="179" t="str">
        <f>_xll.qlRateHelperQuoteName(D23)</f>
        <v>JPYSB6L9Y_Quote</v>
      </c>
      <c r="F23" s="10">
        <f>_xll.qlRateHelperRate($D23)</f>
        <v>6.5250000000000004E-3</v>
      </c>
      <c r="G23" s="10">
        <f>IF(ISERROR(_xll.qlSwapRateHelperSpread($D23)),IF(ISERROR(_xll.qlFuturesRateHelperConvexityAdjustment($D23)),"--",_xll.qlFuturesRateHelperConvexityAdjustment($D23)),_xll.qlSwapRateHelperSpread($D23))</f>
        <v>1.1249999999999999E-3</v>
      </c>
      <c r="H23" s="9">
        <f>_xll.qlRateHelperEarliestDate($D23)</f>
        <v>41800</v>
      </c>
      <c r="I23" s="8">
        <f>_xll.qlRateHelperLatestDate($D23)</f>
        <v>45089</v>
      </c>
      <c r="J23" s="3">
        <v>0.95241653983269203</v>
      </c>
    </row>
    <row r="24" spans="4:10" x14ac:dyDescent="0.2">
      <c r="D24" s="11" t="str">
        <v>obj_003c4</v>
      </c>
      <c r="E24" s="179" t="str">
        <f>_xll.qlRateHelperQuoteName(D24)</f>
        <v>JPYSB6L10Y_Quote</v>
      </c>
      <c r="F24" s="10">
        <f>_xll.qlRateHelperRate($D24)</f>
        <v>7.45E-3</v>
      </c>
      <c r="G24" s="10">
        <f>IF(ISERROR(_xll.qlSwapRateHelperSpread($D24)),IF(ISERROR(_xll.qlFuturesRateHelperConvexityAdjustment($D24)),"--",_xll.qlFuturesRateHelperConvexityAdjustment($D24)),_xll.qlSwapRateHelperSpread($D24))</f>
        <v>1.225E-3</v>
      </c>
      <c r="H24" s="9">
        <f>_xll.qlRateHelperEarliestDate($D24)</f>
        <v>41800</v>
      </c>
      <c r="I24" s="8">
        <f>_xll.qlRateHelperLatestDate($D24)</f>
        <v>45453</v>
      </c>
      <c r="J24" s="3">
        <v>0.93937054295715927</v>
      </c>
    </row>
    <row r="25" spans="4:10" x14ac:dyDescent="0.2">
      <c r="D25" s="11" t="str">
        <v>obj_003c6</v>
      </c>
      <c r="E25" s="179" t="str">
        <f>_xll.qlRateHelperQuoteName(D25)</f>
        <v>JPYSB6L12Y_Quote</v>
      </c>
      <c r="F25" s="10">
        <f>_xll.qlRateHelperRate($D25)</f>
        <v>9.2999999999999992E-3</v>
      </c>
      <c r="G25" s="10">
        <f>IF(ISERROR(_xll.qlSwapRateHelperSpread($D25)),IF(ISERROR(_xll.qlFuturesRateHelperConvexityAdjustment($D25)),"--",_xll.qlFuturesRateHelperConvexityAdjustment($D25)),_xll.qlSwapRateHelperSpread($D25))</f>
        <v>1.3608834408760497E-3</v>
      </c>
      <c r="H25" s="9">
        <f>_xll.qlRateHelperEarliestDate($D25)</f>
        <v>41800</v>
      </c>
      <c r="I25" s="8">
        <f>_xll.qlRateHelperLatestDate($D25)</f>
        <v>46183</v>
      </c>
      <c r="J25" s="3">
        <v>0.90820695197650947</v>
      </c>
    </row>
    <row r="26" spans="4:10" x14ac:dyDescent="0.2">
      <c r="D26" s="11" t="str">
        <v>obj_003c9</v>
      </c>
      <c r="E26" s="179" t="str">
        <f>_xll.qlRateHelperQuoteName(D26)</f>
        <v>JPYSB6L15Y_Quote</v>
      </c>
      <c r="F26" s="10">
        <f>_xll.qlRateHelperRate($D26)</f>
        <v>1.1950000000000001E-2</v>
      </c>
      <c r="G26" s="10">
        <f>IF(ISERROR(_xll.qlSwapRateHelperSpread($D26)),IF(ISERROR(_xll.qlFuturesRateHelperConvexityAdjustment($D26)),"--",_xll.qlFuturesRateHelperConvexityAdjustment($D26)),_xll.qlSwapRateHelperSpread($D26))</f>
        <v>1.4250000000000001E-3</v>
      </c>
      <c r="H26" s="9">
        <f>_xll.qlRateHelperEarliestDate($D26)</f>
        <v>41800</v>
      </c>
      <c r="I26" s="8">
        <f>_xll.qlRateHelperLatestDate($D26)</f>
        <v>47280</v>
      </c>
      <c r="J26" s="3">
        <v>0.85093842573827927</v>
      </c>
    </row>
    <row r="27" spans="4:10" x14ac:dyDescent="0.2">
      <c r="D27" s="11" t="str">
        <v>obj_003ce</v>
      </c>
      <c r="E27" s="179" t="str">
        <f>_xll.qlRateHelperQuoteName(D27)</f>
        <v>JPYSB6L20Y_Quote</v>
      </c>
      <c r="F27" s="10">
        <f>_xll.qlRateHelperRate($D27)</f>
        <v>1.5125E-2</v>
      </c>
      <c r="G27" s="10">
        <f>IF(ISERROR(_xll.qlSwapRateHelperSpread($D27)),IF(ISERROR(_xll.qlFuturesRateHelperConvexityAdjustment($D27)),"--",_xll.qlFuturesRateHelperConvexityAdjustment($D27)),_xll.qlSwapRateHelperSpread($D27))</f>
        <v>1.475E-3</v>
      </c>
      <c r="H27" s="9">
        <f>_xll.qlRateHelperEarliestDate($D27)</f>
        <v>41800</v>
      </c>
      <c r="I27" s="8">
        <f>_xll.qlRateHelperLatestDate($D27)</f>
        <v>49107</v>
      </c>
      <c r="J27" s="3">
        <v>0.75290645132592482</v>
      </c>
    </row>
    <row r="28" spans="4:10" x14ac:dyDescent="0.2">
      <c r="D28" s="11" t="str">
        <v>obj_003d3</v>
      </c>
      <c r="E28" s="179" t="str">
        <f>_xll.qlRateHelperQuoteName(D28)</f>
        <v>JPYSB6L25Y_Quote</v>
      </c>
      <c r="F28" s="10">
        <f>_xll.qlRateHelperRate($D28)</f>
        <v>1.6750000000000001E-2</v>
      </c>
      <c r="G28" s="10">
        <f>IF(ISERROR(_xll.qlSwapRateHelperSpread($D28)),IF(ISERROR(_xll.qlFuturesRateHelperConvexityAdjustment($D28)),"--",_xll.qlFuturesRateHelperConvexityAdjustment($D28)),_xll.qlSwapRateHelperSpread($D28))</f>
        <v>1.5062243487843419E-3</v>
      </c>
      <c r="H28" s="9">
        <f>_xll.qlRateHelperEarliestDate($D28)</f>
        <v>41800</v>
      </c>
      <c r="I28" s="8">
        <f>_xll.qlRateHelperLatestDate($D28)</f>
        <v>50931</v>
      </c>
      <c r="J28" s="3">
        <v>0.67079738279035128</v>
      </c>
    </row>
    <row r="29" spans="4:10" x14ac:dyDescent="0.2">
      <c r="D29" s="11" t="str">
        <v>obj_003d8</v>
      </c>
      <c r="E29" s="179" t="str">
        <f>_xll.qlRateHelperQuoteName(D29)</f>
        <v>JPYSB6L30Y_Quote</v>
      </c>
      <c r="F29" s="10">
        <f>_xll.qlRateHelperRate($D29)</f>
        <v>1.7624999999999998E-2</v>
      </c>
      <c r="G29" s="10">
        <f>IF(ISERROR(_xll.qlSwapRateHelperSpread($D29)),IF(ISERROR(_xll.qlFuturesRateHelperConvexityAdjustment($D29)),"--",_xll.qlFuturesRateHelperConvexityAdjustment($D29)),_xll.qlSwapRateHelperSpread($D29))</f>
        <v>1.5250000000000001E-3</v>
      </c>
      <c r="H29" s="9">
        <f>_xll.qlRateHelperEarliestDate($D29)</f>
        <v>41800</v>
      </c>
      <c r="I29" s="8">
        <f>_xll.qlRateHelperLatestDate($D29)</f>
        <v>52758</v>
      </c>
      <c r="J29" s="3">
        <v>0.60185694534497369</v>
      </c>
    </row>
    <row r="30" spans="4:10" x14ac:dyDescent="0.2">
      <c r="D30" s="11" t="e">
        <v>#N/A</v>
      </c>
      <c r="E30" s="17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7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7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7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7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7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7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7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7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7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7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7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7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7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7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7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9"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F1" sqref="F1"/>
    </sheetView>
  </sheetViews>
  <sheetFormatPr defaultRowHeight="12.75" x14ac:dyDescent="0.2"/>
  <cols>
    <col min="1" max="1" width="3" style="86" customWidth="1"/>
    <col min="2" max="2" width="3.42578125" style="86" bestFit="1" customWidth="1"/>
    <col min="3" max="5" width="9.5703125" style="86" customWidth="1"/>
    <col min="6" max="6" width="13.85546875" style="86" bestFit="1" customWidth="1"/>
    <col min="7" max="8" width="9.5703125" style="86" customWidth="1"/>
    <col min="9" max="9" width="20.42578125" style="86" bestFit="1" customWidth="1"/>
    <col min="10" max="10" width="19.7109375" style="86" bestFit="1" customWidth="1"/>
    <col min="11" max="11" width="23.5703125" style="86" customWidth="1"/>
    <col min="12" max="12" width="4.7109375" style="86" customWidth="1"/>
    <col min="13" max="16384" width="9.140625" style="86"/>
  </cols>
  <sheetData>
    <row r="1" spans="1:12" x14ac:dyDescent="0.2">
      <c r="A1" s="106"/>
      <c r="B1" s="105"/>
      <c r="C1" s="105"/>
      <c r="D1" s="105"/>
      <c r="E1" s="105"/>
      <c r="F1" s="94" t="str">
        <f>PROPER(Currency)&amp;FamilyName&amp;$B9</f>
        <v>JpyLibor3M</v>
      </c>
      <c r="G1" s="104" t="s">
        <v>101</v>
      </c>
      <c r="H1" s="105"/>
      <c r="I1" s="103" t="str">
        <f>Currency&amp;"_YC"&amp;$G$1&amp;"RH"</f>
        <v>JPY_YC3MRH</v>
      </c>
      <c r="J1" s="100" t="str">
        <f>$I$1&amp;"_Deposits.xml"</f>
        <v>JPY_YC3MRH_Deposits.xml</v>
      </c>
      <c r="K1" s="102"/>
      <c r="L1" s="90"/>
    </row>
    <row r="2" spans="1:12" ht="23.25" customHeight="1" x14ac:dyDescent="0.2">
      <c r="A2" s="96"/>
      <c r="B2" s="101"/>
      <c r="C2" s="101" t="s">
        <v>137</v>
      </c>
      <c r="D2" s="101" t="s">
        <v>138</v>
      </c>
      <c r="E2" s="101" t="s">
        <v>139</v>
      </c>
      <c r="F2" s="101" t="s">
        <v>140</v>
      </c>
      <c r="G2" s="101" t="s">
        <v>141</v>
      </c>
      <c r="H2" s="101" t="s">
        <v>142</v>
      </c>
      <c r="I2" s="101" t="s">
        <v>108</v>
      </c>
      <c r="J2" s="99" t="str">
        <f>IF(Serialize,_xll.ohObjectSave(J3:J9,SerializationPath&amp;J1,FileOverwrite,Serialize),"---")</f>
        <v>---</v>
      </c>
      <c r="K2" s="98" t="str">
        <f>_xll.ohRangeRetrieveError(J2)</f>
        <v/>
      </c>
      <c r="L2" s="90"/>
    </row>
    <row r="3" spans="1:12" x14ac:dyDescent="0.2">
      <c r="A3" s="96"/>
      <c r="B3" s="97" t="s">
        <v>107</v>
      </c>
      <c r="C3" s="94" t="s">
        <v>118</v>
      </c>
      <c r="D3" s="168">
        <f>_xll.qlInterestRateIndexFixingDays($F$1,Trigger)</f>
        <v>2</v>
      </c>
      <c r="E3" s="94" t="str">
        <f>_xll.qlIndexFixingCalendar($F$1,Trigger)</f>
        <v>London stock exchange</v>
      </c>
      <c r="F3" s="94" t="s">
        <v>144</v>
      </c>
      <c r="G3" s="94" t="b">
        <v>0</v>
      </c>
      <c r="H3" s="168" t="str">
        <f>_xll.qlInterestRateIndexDayCounter($F$1,Trigger)</f>
        <v>Actual/360</v>
      </c>
      <c r="I3" s="93" t="str">
        <f t="shared" ref="I3:I9" si="0">Currency&amp;B3&amp;"D_SYNTH"&amp;$G$1&amp;QuoteSuffix</f>
        <v>JPYSND_SYNTH3M_Quote</v>
      </c>
      <c r="J3" s="92" t="str">
        <f>_xll.qlDepositRateHelper2(,I3,C3,D3,E3,F3,G3,H3,Permanent,Trigger,ObjectOverwrite)</f>
        <v>obj_00414#0003</v>
      </c>
      <c r="K3" s="91" t="str">
        <f>_xll.ohRangeRetrieveError(J3)</f>
        <v/>
      </c>
      <c r="L3" s="90"/>
    </row>
    <row r="4" spans="1:12" x14ac:dyDescent="0.2">
      <c r="A4" s="96"/>
      <c r="B4" s="95" t="s">
        <v>106</v>
      </c>
      <c r="C4" s="94" t="s">
        <v>143</v>
      </c>
      <c r="D4" s="168">
        <f>_xll.qlInterestRateIndexFixingDays($F$1,Trigger)</f>
        <v>2</v>
      </c>
      <c r="E4" s="94" t="str">
        <f>_xll.qlIndexFixingCalendar($F$1,Trigger)</f>
        <v>London stock exchange</v>
      </c>
      <c r="F4" s="94" t="s">
        <v>144</v>
      </c>
      <c r="G4" s="94" t="b">
        <v>0</v>
      </c>
      <c r="H4" s="168" t="str">
        <f>_xll.qlInterestRateIndexDayCounter($F$1,Trigger)</f>
        <v>Actual/360</v>
      </c>
      <c r="I4" s="93" t="str">
        <f t="shared" si="0"/>
        <v>JPYSWD_SYNTH3M_Quote</v>
      </c>
      <c r="J4" s="92" t="str">
        <f>_xll.qlDepositRateHelper2(,I4,C4,D4,E4,F4,G4,H4,Permanent,Trigger,ObjectOverwrite)</f>
        <v>obj_00418#0003</v>
      </c>
      <c r="K4" s="91" t="str">
        <f>_xll.ohRangeRetrieveError(J4)</f>
        <v/>
      </c>
      <c r="L4" s="90"/>
    </row>
    <row r="5" spans="1:12" x14ac:dyDescent="0.2">
      <c r="A5" s="96"/>
      <c r="B5" s="95" t="s">
        <v>105</v>
      </c>
      <c r="C5" s="94" t="s">
        <v>105</v>
      </c>
      <c r="D5" s="168">
        <f>_xll.qlInterestRateIndexFixingDays($F$1,Trigger)</f>
        <v>2</v>
      </c>
      <c r="E5" s="94" t="str">
        <f>_xll.qlIndexFixingCalendar($F$1,Trigger)</f>
        <v>London stock exchange</v>
      </c>
      <c r="F5" s="94" t="s">
        <v>144</v>
      </c>
      <c r="G5" s="94" t="b">
        <v>0</v>
      </c>
      <c r="H5" s="168" t="str">
        <f>_xll.qlInterestRateIndexDayCounter($F$1,Trigger)</f>
        <v>Actual/360</v>
      </c>
      <c r="I5" s="93" t="str">
        <f t="shared" si="0"/>
        <v>JPY2WD_SYNTH3M_Quote</v>
      </c>
      <c r="J5" s="92" t="str">
        <f>_xll.qlDepositRateHelper2(,I5,C5,D5,E5,F5,G5,H5,Permanent,Trigger,ObjectOverwrite)</f>
        <v>obj_00413#0003</v>
      </c>
      <c r="K5" s="91" t="str">
        <f>_xll.ohRangeRetrieveError(J5)</f>
        <v/>
      </c>
      <c r="L5" s="90"/>
    </row>
    <row r="6" spans="1:12" x14ac:dyDescent="0.2">
      <c r="A6" s="96"/>
      <c r="B6" s="95" t="s">
        <v>104</v>
      </c>
      <c r="C6" s="94" t="s">
        <v>104</v>
      </c>
      <c r="D6" s="168">
        <f>_xll.qlInterestRateIndexFixingDays($F$1,Trigger)</f>
        <v>2</v>
      </c>
      <c r="E6" s="94" t="str">
        <f>_xll.qlIndexFixingCalendar($F$1,Trigger)</f>
        <v>London stock exchange</v>
      </c>
      <c r="F6" s="94" t="s">
        <v>144</v>
      </c>
      <c r="G6" s="94" t="b">
        <v>0</v>
      </c>
      <c r="H6" s="168" t="str">
        <f>_xll.qlInterestRateIndexDayCounter($F$1,Trigger)</f>
        <v>Actual/360</v>
      </c>
      <c r="I6" s="93" t="str">
        <f t="shared" si="0"/>
        <v>JPY3WD_SYNTH3M_Quote</v>
      </c>
      <c r="J6" s="92" t="str">
        <f>_xll.qlDepositRateHelper2(,I6,C6,D6,E6,F6,G6,H6,Permanent,Trigger,ObjectOverwrite)</f>
        <v>obj_00416#0003</v>
      </c>
      <c r="K6" s="91" t="str">
        <f>_xll.ohRangeRetrieveError(J6)</f>
        <v/>
      </c>
      <c r="L6" s="90"/>
    </row>
    <row r="7" spans="1:12" x14ac:dyDescent="0.2">
      <c r="A7" s="96"/>
      <c r="B7" s="95" t="s">
        <v>103</v>
      </c>
      <c r="C7" s="94" t="s">
        <v>103</v>
      </c>
      <c r="D7" s="168">
        <f>_xll.qlInterestRateIndexFixingDays($F$1,Trigger)</f>
        <v>2</v>
      </c>
      <c r="E7" s="94" t="str">
        <f>_xll.qlIndexFixingCalendar($F$1,Trigger)</f>
        <v>London stock exchange</v>
      </c>
      <c r="F7" s="94" t="str">
        <f>_xll.qlIborIndexBusinessDayConv($F$1,Trigger)</f>
        <v>Modified Following</v>
      </c>
      <c r="G7" s="94" t="b">
        <f>_xll.qlIborIndexEndOfMonth($F$1,Trigger)</f>
        <v>1</v>
      </c>
      <c r="H7" s="168" t="str">
        <f>_xll.qlInterestRateIndexDayCounter($F$1,Trigger)</f>
        <v>Actual/360</v>
      </c>
      <c r="I7" s="93" t="str">
        <f t="shared" si="0"/>
        <v>JPY1MD_SYNTH3M_Quote</v>
      </c>
      <c r="J7" s="92" t="str">
        <f>_xll.qlDepositRateHelper2(,I7,C7,D7,E7,F7,G7,H7,Permanent,Trigger,ObjectOverwrite)</f>
        <v>obj_00415#0003</v>
      </c>
      <c r="K7" s="91" t="str">
        <f>_xll.ohRangeRetrieveError(J7)</f>
        <v/>
      </c>
      <c r="L7" s="90"/>
    </row>
    <row r="8" spans="1:12" x14ac:dyDescent="0.2">
      <c r="A8" s="96"/>
      <c r="B8" s="95" t="s">
        <v>102</v>
      </c>
      <c r="C8" s="94" t="s">
        <v>102</v>
      </c>
      <c r="D8" s="168">
        <f>_xll.qlInterestRateIndexFixingDays($F$1,Trigger)</f>
        <v>2</v>
      </c>
      <c r="E8" s="94" t="str">
        <f>_xll.qlIndexFixingCalendar($F$1,Trigger)</f>
        <v>London stock exchange</v>
      </c>
      <c r="F8" s="94" t="str">
        <f>_xll.qlIborIndexBusinessDayConv($F$1,Trigger)</f>
        <v>Modified Following</v>
      </c>
      <c r="G8" s="94" t="b">
        <f>_xll.qlIborIndexEndOfMonth($F$1,Trigger)</f>
        <v>1</v>
      </c>
      <c r="H8" s="168" t="str">
        <f>_xll.qlInterestRateIndexDayCounter($F$1,Trigger)</f>
        <v>Actual/360</v>
      </c>
      <c r="I8" s="93" t="str">
        <f t="shared" si="0"/>
        <v>JPY2MD_SYNTH3M_Quote</v>
      </c>
      <c r="J8" s="92" t="str">
        <f>_xll.qlDepositRateHelper2(,I8,C8,D8,E8,F8,G8,H8,Permanent,Trigger,ObjectOverwrite)</f>
        <v>obj_00412#0003</v>
      </c>
      <c r="K8" s="91" t="str">
        <f>_xll.ohRangeRetrieveError(J8)</f>
        <v/>
      </c>
      <c r="L8" s="90"/>
    </row>
    <row r="9" spans="1:12" x14ac:dyDescent="0.2">
      <c r="A9" s="96"/>
      <c r="B9" s="95" t="s">
        <v>101</v>
      </c>
      <c r="C9" s="94" t="s">
        <v>101</v>
      </c>
      <c r="D9" s="168">
        <f>_xll.qlInterestRateIndexFixingDays($F$1,Trigger)</f>
        <v>2</v>
      </c>
      <c r="E9" s="94" t="str">
        <f>_xll.qlIndexFixingCalendar($F$1,Trigger)</f>
        <v>London stock exchange</v>
      </c>
      <c r="F9" s="94" t="str">
        <f>_xll.qlIborIndexBusinessDayConv($F$1,Trigger)</f>
        <v>Modified Following</v>
      </c>
      <c r="G9" s="94" t="b">
        <f>_xll.qlIborIndexEndOfMonth($F$1,Trigger)</f>
        <v>1</v>
      </c>
      <c r="H9" s="168" t="str">
        <f>_xll.qlInterestRateIndexDayCounter($F$1,Trigger)</f>
        <v>Actual/360</v>
      </c>
      <c r="I9" s="93" t="str">
        <f t="shared" si="0"/>
        <v>JPY3MD_SYNTH3M_Quote</v>
      </c>
      <c r="J9" s="92" t="str">
        <f>_xll.qlDepositRateHelper2(,I9,C9,D9,E9,F9,G9,H9,Permanent,Trigger,ObjectOverwrite)</f>
        <v>obj_00417#0003</v>
      </c>
      <c r="K9" s="91" t="str">
        <f>_xll.ohRangeRetrieveError(J9)</f>
        <v/>
      </c>
      <c r="L9" s="90"/>
    </row>
    <row r="10" spans="1:12" ht="13.5" thickBot="1" x14ac:dyDescent="0.25">
      <c r="A10" s="89"/>
      <c r="B10" s="88"/>
      <c r="C10" s="88"/>
      <c r="D10" s="88"/>
      <c r="E10" s="88"/>
      <c r="F10" s="88"/>
      <c r="G10" s="88"/>
      <c r="H10" s="88"/>
      <c r="I10" s="88"/>
      <c r="J10" s="88"/>
      <c r="K10" s="88"/>
      <c r="L10" s="8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3.7109375" style="102" customWidth="1"/>
    <col min="2" max="2" width="3.85546875" style="102" bestFit="1" customWidth="1"/>
    <col min="3" max="3" width="2.7109375" style="102" bestFit="1" customWidth="1"/>
    <col min="4" max="4" width="4.42578125" style="126" bestFit="1" customWidth="1"/>
    <col min="5" max="5" width="8.85546875" style="126" bestFit="1" customWidth="1"/>
    <col min="6" max="6" width="14.7109375" style="102" bestFit="1" customWidth="1"/>
    <col min="7" max="7" width="22.140625" style="125" bestFit="1" customWidth="1"/>
    <col min="8" max="8" width="38.28515625" style="102" customWidth="1"/>
    <col min="9" max="9" width="3" style="102" customWidth="1"/>
    <col min="10" max="16384" width="9.140625" style="102"/>
  </cols>
  <sheetData>
    <row r="1" spans="1:9" x14ac:dyDescent="0.2">
      <c r="A1" s="157"/>
      <c r="B1" s="138"/>
      <c r="C1" s="138"/>
      <c r="D1" s="138">
        <v>3</v>
      </c>
      <c r="E1" s="137" t="str">
        <f>_xll.qlPeriodEquivalent(D1&amp;"M")</f>
        <v>3M</v>
      </c>
      <c r="F1" s="136" t="str">
        <f>Currency&amp;"_YC"&amp;$E$1&amp;"RH"</f>
        <v>JPY_YC3MRH</v>
      </c>
      <c r="G1" s="100" t="str">
        <f>$F$1&amp;"_FRAs.xml"</f>
        <v>JPY_YC3MRH_FRAs.xml</v>
      </c>
      <c r="H1" s="135"/>
      <c r="I1" s="134"/>
    </row>
    <row r="2" spans="1:9" ht="23.25" customHeight="1" x14ac:dyDescent="0.2">
      <c r="A2" s="96"/>
      <c r="B2" s="97"/>
      <c r="C2" s="97"/>
      <c r="D2" s="133"/>
      <c r="E2" s="101" t="s">
        <v>109</v>
      </c>
      <c r="F2" s="101" t="s">
        <v>108</v>
      </c>
      <c r="G2" s="132" t="str">
        <f>IF(Serialize,_xll.ohObjectSave(G3:G13,SerializationPath&amp;G1,FileOverwrite,Serialize),"---")</f>
        <v>---</v>
      </c>
      <c r="H2" s="131" t="str">
        <f>_xll.ohRangeRetrieveError(G2)</f>
        <v/>
      </c>
      <c r="I2" s="90"/>
    </row>
    <row r="3" spans="1:9" x14ac:dyDescent="0.2">
      <c r="A3" s="96"/>
      <c r="B3" s="130" t="str">
        <f t="shared" ref="B3:B7" si="0">C3&amp;"M"</f>
        <v>1M</v>
      </c>
      <c r="C3" s="130">
        <v>1</v>
      </c>
      <c r="D3" s="129" t="str">
        <f t="shared" ref="D3:D13" si="1">"x"&amp;C3+$D$1&amp;"F"</f>
        <v>x4F</v>
      </c>
      <c r="E3" s="128" t="str">
        <f t="shared" ref="E3:E13" si="2">PROPER(Currency)&amp;FamilyName&amp;$E$1</f>
        <v>JpyLibor3M</v>
      </c>
      <c r="F3" s="128" t="str">
        <f t="shared" ref="F3:F13" si="3">Currency&amp;C3&amp;D3&amp;"_Quote"</f>
        <v>JPY1x4F_Quote</v>
      </c>
      <c r="G3" s="128" t="str">
        <f>_xll.qlFraRateHelper(,F3,B3,E3,Permanent,Trigger,ObjectOverwrite)</f>
        <v>obj_00410#0003</v>
      </c>
      <c r="H3" s="127" t="str">
        <f>_xll.ohRangeRetrieveError(G3)</f>
        <v/>
      </c>
      <c r="I3" s="90"/>
    </row>
    <row r="4" spans="1:9" x14ac:dyDescent="0.2">
      <c r="A4" s="96"/>
      <c r="B4" s="130" t="str">
        <f t="shared" si="0"/>
        <v>2M</v>
      </c>
      <c r="C4" s="130">
        <v>2</v>
      </c>
      <c r="D4" s="129" t="str">
        <f t="shared" si="1"/>
        <v>x5F</v>
      </c>
      <c r="E4" s="128" t="str">
        <f t="shared" si="2"/>
        <v>JpyLibor3M</v>
      </c>
      <c r="F4" s="128" t="str">
        <f t="shared" si="3"/>
        <v>JPY2x5F_Quote</v>
      </c>
      <c r="G4" s="128" t="str">
        <f>_xll.qlFraRateHelper(,F4,B4,E4,Permanent,Trigger,ObjectOverwrite)</f>
        <v>obj_0040e#0003</v>
      </c>
      <c r="H4" s="127" t="str">
        <f>_xll.ohRangeRetrieveError(G4)</f>
        <v/>
      </c>
      <c r="I4" s="90"/>
    </row>
    <row r="5" spans="1:9" x14ac:dyDescent="0.2">
      <c r="A5" s="96"/>
      <c r="B5" s="130" t="str">
        <f t="shared" si="0"/>
        <v>3M</v>
      </c>
      <c r="C5" s="130">
        <v>3</v>
      </c>
      <c r="D5" s="129" t="str">
        <f t="shared" si="1"/>
        <v>x6F</v>
      </c>
      <c r="E5" s="128" t="str">
        <f t="shared" si="2"/>
        <v>JpyLibor3M</v>
      </c>
      <c r="F5" s="128" t="str">
        <f t="shared" si="3"/>
        <v>JPY3x6F_Quote</v>
      </c>
      <c r="G5" s="128" t="str">
        <f>_xll.qlFraRateHelper(,F5,B5,E5,Permanent,Trigger,ObjectOverwrite)</f>
        <v>obj_0040d#0003</v>
      </c>
      <c r="H5" s="127" t="str">
        <f>_xll.ohRangeRetrieveError(G5)</f>
        <v/>
      </c>
      <c r="I5" s="90"/>
    </row>
    <row r="6" spans="1:9" x14ac:dyDescent="0.2">
      <c r="A6" s="96"/>
      <c r="B6" s="130" t="str">
        <f t="shared" si="0"/>
        <v>4M</v>
      </c>
      <c r="C6" s="130">
        <v>4</v>
      </c>
      <c r="D6" s="129" t="str">
        <f t="shared" si="1"/>
        <v>x7F</v>
      </c>
      <c r="E6" s="128" t="str">
        <f t="shared" si="2"/>
        <v>JpyLibor3M</v>
      </c>
      <c r="F6" s="128" t="str">
        <f t="shared" si="3"/>
        <v>JPY4x7F_Quote</v>
      </c>
      <c r="G6" s="128" t="str">
        <f>_xll.qlFraRateHelper(,F6,B6,E6,Permanent,Trigger,ObjectOverwrite)</f>
        <v>obj_00411#0003</v>
      </c>
      <c r="H6" s="127" t="str">
        <f>_xll.ohRangeRetrieveError(G6)</f>
        <v/>
      </c>
      <c r="I6" s="90"/>
    </row>
    <row r="7" spans="1:9" x14ac:dyDescent="0.2">
      <c r="A7" s="96"/>
      <c r="B7" s="130" t="str">
        <f t="shared" si="0"/>
        <v>5M</v>
      </c>
      <c r="C7" s="130">
        <v>5</v>
      </c>
      <c r="D7" s="129" t="str">
        <f t="shared" si="1"/>
        <v>x8F</v>
      </c>
      <c r="E7" s="128" t="str">
        <f t="shared" si="2"/>
        <v>JpyLibor3M</v>
      </c>
      <c r="F7" s="128" t="str">
        <f t="shared" si="3"/>
        <v>JPY5x8F_Quote</v>
      </c>
      <c r="G7" s="128" t="str">
        <f>_xll.qlFraRateHelper(,F7,B7,E7,Permanent,Trigger,ObjectOverwrite)</f>
        <v>obj_0040f#0003</v>
      </c>
      <c r="H7" s="127" t="str">
        <f>_xll.ohRangeRetrieveError(G7)</f>
        <v/>
      </c>
      <c r="I7" s="90"/>
    </row>
    <row r="8" spans="1:9" x14ac:dyDescent="0.2">
      <c r="A8" s="96"/>
      <c r="B8" s="175" t="s">
        <v>148</v>
      </c>
      <c r="C8" s="130">
        <v>6</v>
      </c>
      <c r="D8" s="129" t="str">
        <f t="shared" si="1"/>
        <v>x9F</v>
      </c>
      <c r="E8" s="128" t="str">
        <f t="shared" si="2"/>
        <v>JpyLibor3M</v>
      </c>
      <c r="F8" s="128" t="str">
        <f t="shared" si="3"/>
        <v>JPY6x9F_Quote</v>
      </c>
      <c r="G8" s="128" t="str">
        <f>_xll.qlFraRateHelper(,F8,B8,E8,Permanent,Trigger,ObjectOverwrite)</f>
        <v>obj_003e1#0003</v>
      </c>
      <c r="H8" s="127" t="str">
        <f>_xll.ohRangeRetrieveError(G8)</f>
        <v/>
      </c>
      <c r="I8" s="90"/>
    </row>
    <row r="9" spans="1:9" x14ac:dyDescent="0.2">
      <c r="A9" s="96"/>
      <c r="B9" s="175" t="s">
        <v>149</v>
      </c>
      <c r="C9" s="130">
        <v>9</v>
      </c>
      <c r="D9" s="129" t="str">
        <f t="shared" si="1"/>
        <v>x12F</v>
      </c>
      <c r="E9" s="128" t="str">
        <f t="shared" si="2"/>
        <v>JpyLibor3M</v>
      </c>
      <c r="F9" s="128" t="str">
        <f t="shared" si="3"/>
        <v>JPY9x12F_Quote</v>
      </c>
      <c r="G9" s="128" t="str">
        <f>_xll.qlFraRateHelper(,F9,B9,E9,Permanent,Trigger,ObjectOverwrite)</f>
        <v>obj_003dd#0003</v>
      </c>
      <c r="H9" s="127" t="str">
        <f>_xll.ohRangeRetrieveError(G9)</f>
        <v/>
      </c>
      <c r="I9" s="90"/>
    </row>
    <row r="10" spans="1:9" x14ac:dyDescent="0.2">
      <c r="A10" s="96"/>
      <c r="B10" s="175" t="s">
        <v>150</v>
      </c>
      <c r="C10" s="130">
        <v>12</v>
      </c>
      <c r="D10" s="129" t="str">
        <f t="shared" si="1"/>
        <v>x15F</v>
      </c>
      <c r="E10" s="128" t="str">
        <f t="shared" si="2"/>
        <v>JpyLibor3M</v>
      </c>
      <c r="F10" s="128" t="str">
        <f t="shared" si="3"/>
        <v>JPY12x15F_Quote</v>
      </c>
      <c r="G10" s="128" t="str">
        <f>_xll.qlFraRateHelper(,F10,B10,E10,Permanent,Trigger,ObjectOverwrite)</f>
        <v>obj_003df#0003</v>
      </c>
      <c r="H10" s="127" t="str">
        <f>_xll.ohRangeRetrieveError(G10)</f>
        <v/>
      </c>
      <c r="I10" s="90"/>
    </row>
    <row r="11" spans="1:9" x14ac:dyDescent="0.2">
      <c r="A11" s="96"/>
      <c r="B11" s="175" t="s">
        <v>46</v>
      </c>
      <c r="C11" s="130">
        <v>15</v>
      </c>
      <c r="D11" s="129" t="str">
        <f t="shared" si="1"/>
        <v>x18F</v>
      </c>
      <c r="E11" s="128" t="str">
        <f t="shared" si="2"/>
        <v>JpyLibor3M</v>
      </c>
      <c r="F11" s="128" t="str">
        <f t="shared" si="3"/>
        <v>JPY15x18F_Quote</v>
      </c>
      <c r="G11" s="128" t="str">
        <f>_xll.qlFraRateHelper(,F11,B11,E11,Permanent,Trigger,ObjectOverwrite)</f>
        <v>obj_003e0#0003</v>
      </c>
      <c r="H11" s="127" t="str">
        <f>_xll.ohRangeRetrieveError(G11)</f>
        <v/>
      </c>
      <c r="I11" s="90"/>
    </row>
    <row r="12" spans="1:9" x14ac:dyDescent="0.2">
      <c r="A12" s="96"/>
      <c r="B12" s="175" t="s">
        <v>45</v>
      </c>
      <c r="C12" s="130">
        <v>18</v>
      </c>
      <c r="D12" s="129" t="str">
        <f t="shared" si="1"/>
        <v>x21F</v>
      </c>
      <c r="E12" s="128" t="str">
        <f t="shared" si="2"/>
        <v>JpyLibor3M</v>
      </c>
      <c r="F12" s="128" t="str">
        <f t="shared" si="3"/>
        <v>JPY18x21F_Quote</v>
      </c>
      <c r="G12" s="128" t="str">
        <f>_xll.qlFraRateHelper(,F12,B12,E12,Permanent,Trigger,ObjectOverwrite)</f>
        <v>obj_003e2#0003</v>
      </c>
      <c r="H12" s="127" t="str">
        <f>_xll.ohRangeRetrieveError(G12)</f>
        <v/>
      </c>
      <c r="I12" s="90"/>
    </row>
    <row r="13" spans="1:9" x14ac:dyDescent="0.2">
      <c r="A13" s="96"/>
      <c r="B13" s="175" t="s">
        <v>44</v>
      </c>
      <c r="C13" s="130">
        <v>21</v>
      </c>
      <c r="D13" s="129" t="str">
        <f t="shared" si="1"/>
        <v>x24F</v>
      </c>
      <c r="E13" s="128" t="str">
        <f t="shared" si="2"/>
        <v>JpyLibor3M</v>
      </c>
      <c r="F13" s="128" t="str">
        <f t="shared" si="3"/>
        <v>JPY21x24F_Quote</v>
      </c>
      <c r="G13" s="128" t="str">
        <f>_xll.qlFraRateHelper(,F13,B13,E13,Permanent,Trigger,ObjectOverwrite)</f>
        <v>obj_003de#0003</v>
      </c>
      <c r="H13" s="127" t="str">
        <f>_xll.ohRangeRetrieveError(G13)</f>
        <v/>
      </c>
      <c r="I13" s="90"/>
    </row>
    <row r="14" spans="1:9" ht="12" thickBot="1" x14ac:dyDescent="0.25">
      <c r="A14" s="89"/>
      <c r="B14" s="176"/>
      <c r="C14" s="176"/>
      <c r="D14" s="176"/>
      <c r="E14" s="176"/>
      <c r="F14" s="176"/>
      <c r="G14" s="177"/>
      <c r="H14" s="177"/>
      <c r="I14" s="87"/>
    </row>
    <row r="16" spans="1:9" x14ac:dyDescent="0.2">
      <c r="D16" s="102"/>
      <c r="E16" s="102"/>
      <c r="G16"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topLeftCell="A13" workbookViewId="0">
      <selection activeCell="H2" sqref="H2"/>
    </sheetView>
  </sheetViews>
  <sheetFormatPr defaultRowHeight="12.75" x14ac:dyDescent="0.2"/>
  <cols>
    <col min="1" max="1" width="2.28515625" style="86" customWidth="1"/>
    <col min="2" max="2" width="3.5703125" style="86" bestFit="1" customWidth="1"/>
    <col min="3" max="3" width="5.7109375" style="86" bestFit="1" customWidth="1"/>
    <col min="4" max="4" width="6.140625" style="86" bestFit="1" customWidth="1"/>
    <col min="5" max="5" width="9.140625" style="86"/>
    <col min="6" max="6" width="15.85546875" style="86" bestFit="1" customWidth="1"/>
    <col min="7" max="7" width="22" style="86" bestFit="1" customWidth="1"/>
    <col min="8" max="8" width="23.28515625" style="86" bestFit="1" customWidth="1"/>
    <col min="9" max="9" width="15.5703125" style="86" customWidth="1"/>
    <col min="10" max="10" width="4.140625" style="86" customWidth="1"/>
    <col min="11" max="16384" width="9.140625" style="86"/>
  </cols>
  <sheetData>
    <row r="1" spans="1:11" x14ac:dyDescent="0.2">
      <c r="A1" s="152"/>
      <c r="B1" s="156"/>
      <c r="C1" s="156"/>
      <c r="D1" s="156"/>
      <c r="E1" s="104" t="s">
        <v>101</v>
      </c>
      <c r="F1" s="155"/>
      <c r="G1" s="154" t="str">
        <f>Currency&amp;"_YC"&amp;$E$1&amp;"RH"</f>
        <v>JPY_YC3MRH</v>
      </c>
      <c r="H1" s="100" t="str">
        <f>$G$1&amp;"_Futures"&amp;$E$1&amp;".xml"</f>
        <v>JPY_YC3MRH_Futures3M.xml</v>
      </c>
      <c r="I1" s="153"/>
      <c r="J1" s="90"/>
    </row>
    <row r="2" spans="1:11" ht="32.25" customHeight="1" x14ac:dyDescent="0.2">
      <c r="A2" s="152"/>
      <c r="B2" s="97" t="s">
        <v>123</v>
      </c>
      <c r="C2" s="101" t="s">
        <v>122</v>
      </c>
      <c r="D2" s="151" t="s">
        <v>121</v>
      </c>
      <c r="E2" s="101" t="s">
        <v>109</v>
      </c>
      <c r="F2" s="101" t="s">
        <v>108</v>
      </c>
      <c r="G2" s="97" t="s">
        <v>120</v>
      </c>
      <c r="H2" s="132" t="str">
        <f>IF(Serialize,_xll.ohObjectSave(H3:H44,SerializationPath&amp;H1,FileOverwrite,Serialize),"---")</f>
        <v>---</v>
      </c>
      <c r="I2" s="98" t="str">
        <f>_xll.ohRangeRetrieveError(H2)</f>
        <v/>
      </c>
      <c r="J2" s="90"/>
    </row>
    <row r="3" spans="1:11" x14ac:dyDescent="0.2">
      <c r="A3" s="146"/>
      <c r="B3" s="150">
        <v>1</v>
      </c>
      <c r="C3" s="144" t="b">
        <v>0</v>
      </c>
      <c r="D3" s="158" t="str">
        <f t="array" ref="D3:D44">_xll.qlIMMNextCodes(_xll.qlSettingsEvaluationDate(Trigger)-1,$C3:$C122)</f>
        <v>M4</v>
      </c>
      <c r="E3" s="144" t="str">
        <f t="shared" ref="E3:E34" si="0">PROPER(Currency)&amp;FamilyName&amp;$E$1</f>
        <v>JpyLibor3M</v>
      </c>
      <c r="F3" s="143" t="str">
        <f t="shared" ref="F3:F34" si="1">Currency&amp;"FUT"&amp;$E$1&amp;$D3&amp;QuoteSuffix</f>
        <v>JPYFUT3MM4_Quote</v>
      </c>
      <c r="G3" s="143" t="str">
        <f t="shared" ref="G3:G34" si="2">Currency&amp;"FUT"&amp;$E$1&amp;$D3&amp;"ConvAdj"&amp;QuoteSuffix</f>
        <v>JPYFUT3MM4ConvAdj_Quote</v>
      </c>
      <c r="H3" s="149" t="str">
        <f>_xll.qlFuturesRateHelper(,$F3,$D3,$E3,$G3,Permanent,Trigger,ObjectOverwrite)</f>
        <v>obj_003f4#0003</v>
      </c>
      <c r="I3" s="148" t="str">
        <f>_xll.ohRangeRetrieveError(H3)</f>
        <v/>
      </c>
      <c r="J3" s="90"/>
      <c r="K3" s="147"/>
    </row>
    <row r="4" spans="1:11" x14ac:dyDescent="0.2">
      <c r="A4" s="146"/>
      <c r="B4" s="95">
        <v>2</v>
      </c>
      <c r="C4" s="145" t="b">
        <v>0</v>
      </c>
      <c r="D4" s="159" t="str">
        <v>N4</v>
      </c>
      <c r="E4" s="144" t="str">
        <f t="shared" si="0"/>
        <v>JpyLibor3M</v>
      </c>
      <c r="F4" s="143" t="str">
        <f t="shared" si="1"/>
        <v>JPYFUT3MN4_Quote</v>
      </c>
      <c r="G4" s="143" t="str">
        <f t="shared" si="2"/>
        <v>JPYFUT3MN4ConvAdj_Quote</v>
      </c>
      <c r="H4" s="142" t="str">
        <f>_xll.qlFuturesRateHelper(,$F4,$D4,$E4,$G4,Permanent,Trigger,ObjectOverwrite)</f>
        <v>obj_00405#0003</v>
      </c>
      <c r="I4" s="91" t="str">
        <f>_xll.ohRangeRetrieveError(H4)</f>
        <v/>
      </c>
      <c r="J4" s="90"/>
      <c r="K4" s="147"/>
    </row>
    <row r="5" spans="1:11" x14ac:dyDescent="0.2">
      <c r="A5" s="146"/>
      <c r="B5" s="95">
        <v>3</v>
      </c>
      <c r="C5" s="145" t="b">
        <v>0</v>
      </c>
      <c r="D5" s="159" t="str">
        <v>Q4</v>
      </c>
      <c r="E5" s="144" t="str">
        <f t="shared" si="0"/>
        <v>JpyLibor3M</v>
      </c>
      <c r="F5" s="143" t="str">
        <f t="shared" si="1"/>
        <v>JPYFUT3MQ4_Quote</v>
      </c>
      <c r="G5" s="143" t="str">
        <f t="shared" si="2"/>
        <v>JPYFUT3MQ4ConvAdj_Quote</v>
      </c>
      <c r="H5" s="142" t="str">
        <f>_xll.qlFuturesRateHelper(,$F5,$D5,$E5,$G5,Permanent,Trigger,ObjectOverwrite)</f>
        <v>obj_003e6#0003</v>
      </c>
      <c r="I5" s="91" t="str">
        <f>_xll.ohRangeRetrieveError(H5)</f>
        <v/>
      </c>
      <c r="J5" s="90"/>
      <c r="K5" s="147"/>
    </row>
    <row r="6" spans="1:11" x14ac:dyDescent="0.2">
      <c r="A6" s="146"/>
      <c r="B6" s="95">
        <v>4</v>
      </c>
      <c r="C6" s="145" t="b">
        <v>0</v>
      </c>
      <c r="D6" s="159" t="str">
        <v>U4</v>
      </c>
      <c r="E6" s="144" t="str">
        <f t="shared" si="0"/>
        <v>JpyLibor3M</v>
      </c>
      <c r="F6" s="143" t="str">
        <f t="shared" si="1"/>
        <v>JPYFUT3MU4_Quote</v>
      </c>
      <c r="G6" s="143" t="str">
        <f t="shared" si="2"/>
        <v>JPYFUT3MU4ConvAdj_Quote</v>
      </c>
      <c r="H6" s="142" t="str">
        <f>_xll.qlFuturesRateHelper(,$F6,$D6,$E6,$G6,Permanent,Trigger,ObjectOverwrite)</f>
        <v>obj_00401#0003</v>
      </c>
      <c r="I6" s="91" t="str">
        <f>_xll.ohRangeRetrieveError(H6)</f>
        <v/>
      </c>
      <c r="J6" s="90"/>
      <c r="K6" s="147"/>
    </row>
    <row r="7" spans="1:11" x14ac:dyDescent="0.2">
      <c r="A7" s="146"/>
      <c r="B7" s="95">
        <v>5</v>
      </c>
      <c r="C7" s="145" t="b">
        <v>0</v>
      </c>
      <c r="D7" s="159" t="str">
        <v>V4</v>
      </c>
      <c r="E7" s="144" t="str">
        <f t="shared" si="0"/>
        <v>JpyLibor3M</v>
      </c>
      <c r="F7" s="143" t="str">
        <f t="shared" si="1"/>
        <v>JPYFUT3MV4_Quote</v>
      </c>
      <c r="G7" s="143" t="str">
        <f t="shared" si="2"/>
        <v>JPYFUT3MV4ConvAdj_Quote</v>
      </c>
      <c r="H7" s="142" t="str">
        <f>_xll.qlFuturesRateHelper(,$F7,$D7,$E7,$G7,Permanent,Trigger,ObjectOverwrite)</f>
        <v>obj_003f3#0003</v>
      </c>
      <c r="I7" s="91" t="str">
        <f>_xll.ohRangeRetrieveError(H7)</f>
        <v/>
      </c>
      <c r="J7" s="90"/>
      <c r="K7" s="147"/>
    </row>
    <row r="8" spans="1:11" x14ac:dyDescent="0.2">
      <c r="A8" s="146"/>
      <c r="B8" s="95">
        <v>6</v>
      </c>
      <c r="C8" s="145" t="b">
        <v>0</v>
      </c>
      <c r="D8" s="159" t="str">
        <v>X4</v>
      </c>
      <c r="E8" s="144" t="str">
        <f t="shared" si="0"/>
        <v>JpyLibor3M</v>
      </c>
      <c r="F8" s="143" t="str">
        <f t="shared" si="1"/>
        <v>JPYFUT3MX4_Quote</v>
      </c>
      <c r="G8" s="143" t="str">
        <f t="shared" si="2"/>
        <v>JPYFUT3MX4ConvAdj_Quote</v>
      </c>
      <c r="H8" s="142" t="str">
        <f>_xll.qlFuturesRateHelper(,$F8,$D8,$E8,$G8,Permanent,Trigger,ObjectOverwrite)</f>
        <v>obj_003f9#0003</v>
      </c>
      <c r="I8" s="91" t="str">
        <f>_xll.ohRangeRetrieveError(H8)</f>
        <v/>
      </c>
      <c r="J8" s="90"/>
      <c r="K8" s="147"/>
    </row>
    <row r="9" spans="1:11" x14ac:dyDescent="0.2">
      <c r="A9" s="146"/>
      <c r="B9" s="95">
        <v>7</v>
      </c>
      <c r="C9" s="145" t="b">
        <v>0</v>
      </c>
      <c r="D9" s="159" t="str">
        <v>Z4</v>
      </c>
      <c r="E9" s="144" t="str">
        <f t="shared" si="0"/>
        <v>JpyLibor3M</v>
      </c>
      <c r="F9" s="143" t="str">
        <f t="shared" si="1"/>
        <v>JPYFUT3MZ4_Quote</v>
      </c>
      <c r="G9" s="143" t="str">
        <f t="shared" si="2"/>
        <v>JPYFUT3MZ4ConvAdj_Quote</v>
      </c>
      <c r="H9" s="142" t="str">
        <f>_xll.qlFuturesRateHelper(,$F9,$D9,$E9,$G9,Permanent,Trigger,ObjectOverwrite)</f>
        <v>obj_003fc#0003</v>
      </c>
      <c r="I9" s="91" t="str">
        <f>_xll.ohRangeRetrieveError(H9)</f>
        <v/>
      </c>
      <c r="J9" s="90"/>
      <c r="K9" s="147"/>
    </row>
    <row r="10" spans="1:11" x14ac:dyDescent="0.2">
      <c r="A10" s="146"/>
      <c r="B10" s="95">
        <v>8</v>
      </c>
      <c r="C10" s="145" t="b">
        <v>0</v>
      </c>
      <c r="D10" s="159" t="str">
        <v>F5</v>
      </c>
      <c r="E10" s="144" t="str">
        <f t="shared" si="0"/>
        <v>JpyLibor3M</v>
      </c>
      <c r="F10" s="143" t="str">
        <f t="shared" si="1"/>
        <v>JPYFUT3MF5_Quote</v>
      </c>
      <c r="G10" s="143" t="str">
        <f t="shared" si="2"/>
        <v>JPYFUT3MF5ConvAdj_Quote</v>
      </c>
      <c r="H10" s="142" t="str">
        <f>_xll.qlFuturesRateHelper(,$F10,$D10,$E10,$G10,Permanent,Trigger,ObjectOverwrite)</f>
        <v>obj_003fa#0003</v>
      </c>
      <c r="I10" s="91" t="str">
        <f>_xll.ohRangeRetrieveError(H10)</f>
        <v/>
      </c>
      <c r="J10" s="90"/>
      <c r="K10" s="147"/>
    </row>
    <row r="11" spans="1:11" x14ac:dyDescent="0.2">
      <c r="A11" s="146"/>
      <c r="B11" s="95">
        <v>9</v>
      </c>
      <c r="C11" s="145" t="b">
        <v>0</v>
      </c>
      <c r="D11" s="159" t="str">
        <v>G5</v>
      </c>
      <c r="E11" s="144" t="str">
        <f t="shared" si="0"/>
        <v>JpyLibor3M</v>
      </c>
      <c r="F11" s="143" t="str">
        <f t="shared" si="1"/>
        <v>JPYFUT3MG5_Quote</v>
      </c>
      <c r="G11" s="143" t="str">
        <f t="shared" si="2"/>
        <v>JPYFUT3MG5ConvAdj_Quote</v>
      </c>
      <c r="H11" s="142" t="str">
        <f>_xll.qlFuturesRateHelper(,$F11,$D11,$E11,$G11,Permanent,Trigger,ObjectOverwrite)</f>
        <v>obj_0040a#0003</v>
      </c>
      <c r="I11" s="91" t="str">
        <f>_xll.ohRangeRetrieveError(H11)</f>
        <v/>
      </c>
      <c r="J11" s="90"/>
      <c r="K11" s="147"/>
    </row>
    <row r="12" spans="1:11" x14ac:dyDescent="0.2">
      <c r="A12" s="146"/>
      <c r="B12" s="95">
        <v>10</v>
      </c>
      <c r="C12" s="145" t="b">
        <v>0</v>
      </c>
      <c r="D12" s="159" t="str">
        <v>H5</v>
      </c>
      <c r="E12" s="144" t="str">
        <f t="shared" si="0"/>
        <v>JpyLibor3M</v>
      </c>
      <c r="F12" s="143" t="str">
        <f t="shared" si="1"/>
        <v>JPYFUT3MH5_Quote</v>
      </c>
      <c r="G12" s="143" t="str">
        <f t="shared" si="2"/>
        <v>JPYFUT3MH5ConvAdj_Quote</v>
      </c>
      <c r="H12" s="142" t="str">
        <f>_xll.qlFuturesRateHelper(,$F12,$D12,$E12,$G12,Permanent,Trigger,ObjectOverwrite)</f>
        <v>obj_003e8#0003</v>
      </c>
      <c r="I12" s="91" t="str">
        <f>_xll.ohRangeRetrieveError(H12)</f>
        <v/>
      </c>
      <c r="J12" s="90"/>
      <c r="K12" s="147"/>
    </row>
    <row r="13" spans="1:11" x14ac:dyDescent="0.2">
      <c r="A13" s="146"/>
      <c r="B13" s="95">
        <v>11</v>
      </c>
      <c r="C13" s="145" t="b">
        <v>0</v>
      </c>
      <c r="D13" s="159" t="str">
        <v>J5</v>
      </c>
      <c r="E13" s="144" t="str">
        <f t="shared" si="0"/>
        <v>JpyLibor3M</v>
      </c>
      <c r="F13" s="143" t="str">
        <f t="shared" si="1"/>
        <v>JPYFUT3MJ5_Quote</v>
      </c>
      <c r="G13" s="143" t="str">
        <f t="shared" si="2"/>
        <v>JPYFUT3MJ5ConvAdj_Quote</v>
      </c>
      <c r="H13" s="142" t="str">
        <f>_xll.qlFuturesRateHelper(,$F13,$D13,$E13,$G13,Permanent,Trigger,ObjectOverwrite)</f>
        <v>obj_00407#0003</v>
      </c>
      <c r="I13" s="91" t="str">
        <f>_xll.ohRangeRetrieveError(H13)</f>
        <v/>
      </c>
      <c r="J13" s="90"/>
      <c r="K13" s="147"/>
    </row>
    <row r="14" spans="1:11" x14ac:dyDescent="0.2">
      <c r="A14" s="146"/>
      <c r="B14" s="95">
        <v>12</v>
      </c>
      <c r="C14" s="145" t="b">
        <v>0</v>
      </c>
      <c r="D14" s="159" t="str">
        <v>K5</v>
      </c>
      <c r="E14" s="144" t="str">
        <f t="shared" si="0"/>
        <v>JpyLibor3M</v>
      </c>
      <c r="F14" s="143" t="str">
        <f t="shared" si="1"/>
        <v>JPYFUT3MK5_Quote</v>
      </c>
      <c r="G14" s="143" t="str">
        <f t="shared" si="2"/>
        <v>JPYFUT3MK5ConvAdj_Quote</v>
      </c>
      <c r="H14" s="142" t="str">
        <f>_xll.qlFuturesRateHelper(,$F14,$D14,$E14,$G14,Permanent,Trigger,ObjectOverwrite)</f>
        <v>obj_003f0#0003</v>
      </c>
      <c r="I14" s="91" t="str">
        <f>_xll.ohRangeRetrieveError(H14)</f>
        <v/>
      </c>
      <c r="J14" s="90"/>
      <c r="K14" s="147"/>
    </row>
    <row r="15" spans="1:11" x14ac:dyDescent="0.2">
      <c r="A15" s="146"/>
      <c r="B15" s="95">
        <v>13</v>
      </c>
      <c r="C15" s="145" t="b">
        <v>1</v>
      </c>
      <c r="D15" s="159" t="str">
        <v>M5</v>
      </c>
      <c r="E15" s="144" t="str">
        <f t="shared" si="0"/>
        <v>JpyLibor3M</v>
      </c>
      <c r="F15" s="143" t="str">
        <f t="shared" si="1"/>
        <v>JPYFUT3MM5_Quote</v>
      </c>
      <c r="G15" s="143" t="str">
        <f t="shared" si="2"/>
        <v>JPYFUT3MM5ConvAdj_Quote</v>
      </c>
      <c r="H15" s="142" t="str">
        <f>_xll.qlFuturesRateHelper(,$F15,$D15,$E15,$G15,Permanent,Trigger,ObjectOverwrite)</f>
        <v>obj_003ef#0003</v>
      </c>
      <c r="I15" s="91" t="str">
        <f>_xll.ohRangeRetrieveError(H15)</f>
        <v/>
      </c>
      <c r="J15" s="90"/>
      <c r="K15" s="147"/>
    </row>
    <row r="16" spans="1:11" x14ac:dyDescent="0.2">
      <c r="A16" s="146"/>
      <c r="B16" s="95">
        <v>14</v>
      </c>
      <c r="C16" s="145" t="b">
        <v>1</v>
      </c>
      <c r="D16" s="159" t="str">
        <v>U5</v>
      </c>
      <c r="E16" s="144" t="str">
        <f t="shared" si="0"/>
        <v>JpyLibor3M</v>
      </c>
      <c r="F16" s="143" t="str">
        <f t="shared" si="1"/>
        <v>JPYFUT3MU5_Quote</v>
      </c>
      <c r="G16" s="143" t="str">
        <f t="shared" si="2"/>
        <v>JPYFUT3MU5ConvAdj_Quote</v>
      </c>
      <c r="H16" s="142" t="str">
        <f>_xll.qlFuturesRateHelper(,$F16,$D16,$E16,$G16,Permanent,Trigger,ObjectOverwrite)</f>
        <v>obj_003ee#0003</v>
      </c>
      <c r="I16" s="91" t="str">
        <f>_xll.ohRangeRetrieveError(H16)</f>
        <v/>
      </c>
      <c r="J16" s="90"/>
      <c r="K16" s="147"/>
    </row>
    <row r="17" spans="1:11" x14ac:dyDescent="0.2">
      <c r="A17" s="146"/>
      <c r="B17" s="95">
        <v>15</v>
      </c>
      <c r="C17" s="145" t="b">
        <v>1</v>
      </c>
      <c r="D17" s="159" t="str">
        <v>Z5</v>
      </c>
      <c r="E17" s="144" t="str">
        <f t="shared" si="0"/>
        <v>JpyLibor3M</v>
      </c>
      <c r="F17" s="143" t="str">
        <f t="shared" si="1"/>
        <v>JPYFUT3MZ5_Quote</v>
      </c>
      <c r="G17" s="143" t="str">
        <f t="shared" si="2"/>
        <v>JPYFUT3MZ5ConvAdj_Quote</v>
      </c>
      <c r="H17" s="142" t="str">
        <f>_xll.qlFuturesRateHelper(,$F17,$D17,$E17,$G17,Permanent,Trigger,ObjectOverwrite)</f>
        <v>obj_00404#0003</v>
      </c>
      <c r="I17" s="91" t="str">
        <f>_xll.ohRangeRetrieveError(H17)</f>
        <v/>
      </c>
      <c r="J17" s="90"/>
      <c r="K17" s="147"/>
    </row>
    <row r="18" spans="1:11" x14ac:dyDescent="0.2">
      <c r="A18" s="146"/>
      <c r="B18" s="95">
        <v>16</v>
      </c>
      <c r="C18" s="145" t="b">
        <v>1</v>
      </c>
      <c r="D18" s="159" t="str">
        <v>H6</v>
      </c>
      <c r="E18" s="144" t="str">
        <f t="shared" si="0"/>
        <v>JpyLibor3M</v>
      </c>
      <c r="F18" s="143" t="str">
        <f t="shared" si="1"/>
        <v>JPYFUT3MH6_Quote</v>
      </c>
      <c r="G18" s="143" t="str">
        <f t="shared" si="2"/>
        <v>JPYFUT3MH6ConvAdj_Quote</v>
      </c>
      <c r="H18" s="142" t="str">
        <f>_xll.qlFuturesRateHelper(,$F18,$D18,$E18,$G18,Permanent,Trigger,ObjectOverwrite)</f>
        <v>obj_003f7#0003</v>
      </c>
      <c r="I18" s="91" t="str">
        <f>_xll.ohRangeRetrieveError(H18)</f>
        <v/>
      </c>
      <c r="J18" s="90"/>
      <c r="K18" s="147"/>
    </row>
    <row r="19" spans="1:11" x14ac:dyDescent="0.2">
      <c r="A19" s="146"/>
      <c r="B19" s="95">
        <v>17</v>
      </c>
      <c r="C19" s="145" t="b">
        <v>1</v>
      </c>
      <c r="D19" s="159" t="str">
        <v>M6</v>
      </c>
      <c r="E19" s="144" t="str">
        <f t="shared" si="0"/>
        <v>JpyLibor3M</v>
      </c>
      <c r="F19" s="143" t="str">
        <f t="shared" si="1"/>
        <v>JPYFUT3MM6_Quote</v>
      </c>
      <c r="G19" s="143" t="str">
        <f t="shared" si="2"/>
        <v>JPYFUT3MM6ConvAdj_Quote</v>
      </c>
      <c r="H19" s="142" t="str">
        <f>_xll.qlFuturesRateHelper(,$F19,$D19,$E19,$G19,Permanent,Trigger,ObjectOverwrite)</f>
        <v>obj_003e3#0003</v>
      </c>
      <c r="I19" s="91" t="str">
        <f>_xll.ohRangeRetrieveError(H19)</f>
        <v/>
      </c>
      <c r="J19" s="90"/>
      <c r="K19" s="147"/>
    </row>
    <row r="20" spans="1:11" x14ac:dyDescent="0.2">
      <c r="A20" s="146"/>
      <c r="B20" s="95">
        <v>18</v>
      </c>
      <c r="C20" s="145" t="b">
        <v>1</v>
      </c>
      <c r="D20" s="159" t="str">
        <v>U6</v>
      </c>
      <c r="E20" s="144" t="str">
        <f t="shared" si="0"/>
        <v>JpyLibor3M</v>
      </c>
      <c r="F20" s="143" t="str">
        <f t="shared" si="1"/>
        <v>JPYFUT3MU6_Quote</v>
      </c>
      <c r="G20" s="143" t="str">
        <f t="shared" si="2"/>
        <v>JPYFUT3MU6ConvAdj_Quote</v>
      </c>
      <c r="H20" s="142" t="str">
        <f>_xll.qlFuturesRateHelper(,$F20,$D20,$E20,$G20,Permanent,Trigger,ObjectOverwrite)</f>
        <v>obj_003f2#0003</v>
      </c>
      <c r="I20" s="91" t="str">
        <f>_xll.ohRangeRetrieveError(H20)</f>
        <v/>
      </c>
      <c r="J20" s="90"/>
      <c r="K20" s="147"/>
    </row>
    <row r="21" spans="1:11" x14ac:dyDescent="0.2">
      <c r="A21" s="146"/>
      <c r="B21" s="95">
        <v>19</v>
      </c>
      <c r="C21" s="145" t="b">
        <v>1</v>
      </c>
      <c r="D21" s="159" t="str">
        <v>Z6</v>
      </c>
      <c r="E21" s="144" t="str">
        <f t="shared" si="0"/>
        <v>JpyLibor3M</v>
      </c>
      <c r="F21" s="143" t="str">
        <f t="shared" si="1"/>
        <v>JPYFUT3MZ6_Quote</v>
      </c>
      <c r="G21" s="143" t="str">
        <f t="shared" si="2"/>
        <v>JPYFUT3MZ6ConvAdj_Quote</v>
      </c>
      <c r="H21" s="142" t="str">
        <f>_xll.qlFuturesRateHelper(,$F21,$D21,$E21,$G21,Permanent,Trigger,ObjectOverwrite)</f>
        <v>obj_003fb#0003</v>
      </c>
      <c r="I21" s="91" t="str">
        <f>_xll.ohRangeRetrieveError(H21)</f>
        <v/>
      </c>
      <c r="J21" s="90"/>
      <c r="K21" s="147"/>
    </row>
    <row r="22" spans="1:11" x14ac:dyDescent="0.2">
      <c r="A22" s="146"/>
      <c r="B22" s="95">
        <v>20</v>
      </c>
      <c r="C22" s="145" t="b">
        <v>1</v>
      </c>
      <c r="D22" s="159" t="str">
        <v>H7</v>
      </c>
      <c r="E22" s="144" t="str">
        <f t="shared" si="0"/>
        <v>JpyLibor3M</v>
      </c>
      <c r="F22" s="143" t="str">
        <f t="shared" si="1"/>
        <v>JPYFUT3MH7_Quote</v>
      </c>
      <c r="G22" s="143" t="str">
        <f t="shared" si="2"/>
        <v>JPYFUT3MH7ConvAdj_Quote</v>
      </c>
      <c r="H22" s="142" t="str">
        <f>_xll.qlFuturesRateHelper(,$F22,$D22,$E22,$G22,Permanent,Trigger,ObjectOverwrite)</f>
        <v>obj_00409#0003</v>
      </c>
      <c r="I22" s="91" t="str">
        <f>_xll.ohRangeRetrieveError(H22)</f>
        <v/>
      </c>
      <c r="J22" s="90"/>
      <c r="K22" s="147"/>
    </row>
    <row r="23" spans="1:11" x14ac:dyDescent="0.2">
      <c r="A23" s="146"/>
      <c r="B23" s="95">
        <v>21</v>
      </c>
      <c r="C23" s="145" t="b">
        <v>1</v>
      </c>
      <c r="D23" s="159" t="str">
        <v>M7</v>
      </c>
      <c r="E23" s="144" t="str">
        <f t="shared" si="0"/>
        <v>JpyLibor3M</v>
      </c>
      <c r="F23" s="143" t="str">
        <f t="shared" si="1"/>
        <v>JPYFUT3MM7_Quote</v>
      </c>
      <c r="G23" s="143" t="str">
        <f t="shared" si="2"/>
        <v>JPYFUT3MM7ConvAdj_Quote</v>
      </c>
      <c r="H23" s="142" t="str">
        <f>_xll.qlFuturesRateHelper(,$F23,$D23,$E23,$G23,Permanent,Trigger,ObjectOverwrite)</f>
        <v>obj_00403#0003</v>
      </c>
      <c r="I23" s="91" t="str">
        <f>_xll.ohRangeRetrieveError(H23)</f>
        <v/>
      </c>
      <c r="J23" s="90"/>
      <c r="K23" s="147"/>
    </row>
    <row r="24" spans="1:11" x14ac:dyDescent="0.2">
      <c r="A24" s="146"/>
      <c r="B24" s="95">
        <v>22</v>
      </c>
      <c r="C24" s="145" t="b">
        <v>1</v>
      </c>
      <c r="D24" s="159" t="str">
        <v>U7</v>
      </c>
      <c r="E24" s="144" t="str">
        <f t="shared" si="0"/>
        <v>JpyLibor3M</v>
      </c>
      <c r="F24" s="143" t="str">
        <f t="shared" si="1"/>
        <v>JPYFUT3MU7_Quote</v>
      </c>
      <c r="G24" s="143" t="str">
        <f t="shared" si="2"/>
        <v>JPYFUT3MU7ConvAdj_Quote</v>
      </c>
      <c r="H24" s="142" t="str">
        <f>_xll.qlFuturesRateHelper(,$F24,$D24,$E24,$G24,Permanent,Trigger,ObjectOverwrite)</f>
        <v>obj_003fe#0003</v>
      </c>
      <c r="I24" s="91" t="str">
        <f>_xll.ohRangeRetrieveError(H24)</f>
        <v/>
      </c>
      <c r="J24" s="90"/>
      <c r="K24" s="147"/>
    </row>
    <row r="25" spans="1:11" x14ac:dyDescent="0.2">
      <c r="A25" s="146"/>
      <c r="B25" s="95">
        <v>23</v>
      </c>
      <c r="C25" s="145" t="b">
        <v>1</v>
      </c>
      <c r="D25" s="159" t="str">
        <v>Z7</v>
      </c>
      <c r="E25" s="144" t="str">
        <f t="shared" si="0"/>
        <v>JpyLibor3M</v>
      </c>
      <c r="F25" s="143" t="str">
        <f t="shared" si="1"/>
        <v>JPYFUT3MZ7_Quote</v>
      </c>
      <c r="G25" s="143" t="str">
        <f t="shared" si="2"/>
        <v>JPYFUT3MZ7ConvAdj_Quote</v>
      </c>
      <c r="H25" s="142" t="str">
        <f>_xll.qlFuturesRateHelper(,$F25,$D25,$E25,$G25,Permanent,Trigger,ObjectOverwrite)</f>
        <v>obj_003ed#0003</v>
      </c>
      <c r="I25" s="91" t="str">
        <f>_xll.ohRangeRetrieveError(H25)</f>
        <v/>
      </c>
      <c r="J25" s="90"/>
      <c r="K25" s="147"/>
    </row>
    <row r="26" spans="1:11" x14ac:dyDescent="0.2">
      <c r="A26" s="146"/>
      <c r="B26" s="95">
        <v>24</v>
      </c>
      <c r="C26" s="145" t="b">
        <v>1</v>
      </c>
      <c r="D26" s="159" t="str">
        <v>H8</v>
      </c>
      <c r="E26" s="144" t="str">
        <f t="shared" si="0"/>
        <v>JpyLibor3M</v>
      </c>
      <c r="F26" s="143" t="str">
        <f t="shared" si="1"/>
        <v>JPYFUT3MH8_Quote</v>
      </c>
      <c r="G26" s="143" t="str">
        <f t="shared" si="2"/>
        <v>JPYFUT3MH8ConvAdj_Quote</v>
      </c>
      <c r="H26" s="142" t="str">
        <f>_xll.qlFuturesRateHelper(,$F26,$D26,$E26,$G26,Permanent,Trigger,ObjectOverwrite)</f>
        <v>obj_003ec#0003</v>
      </c>
      <c r="I26" s="91" t="str">
        <f>_xll.ohRangeRetrieveError(H26)</f>
        <v/>
      </c>
      <c r="J26" s="90"/>
      <c r="K26" s="147"/>
    </row>
    <row r="27" spans="1:11" x14ac:dyDescent="0.2">
      <c r="A27" s="146"/>
      <c r="B27" s="95">
        <v>25</v>
      </c>
      <c r="C27" s="145" t="b">
        <v>1</v>
      </c>
      <c r="D27" s="159" t="str">
        <v>M8</v>
      </c>
      <c r="E27" s="144" t="str">
        <f t="shared" si="0"/>
        <v>JpyLibor3M</v>
      </c>
      <c r="F27" s="143" t="str">
        <f t="shared" si="1"/>
        <v>JPYFUT3MM8_Quote</v>
      </c>
      <c r="G27" s="143" t="str">
        <f t="shared" si="2"/>
        <v>JPYFUT3MM8ConvAdj_Quote</v>
      </c>
      <c r="H27" s="142" t="str">
        <f>_xll.qlFuturesRateHelper(,$F27,$D27,$E27,$G27,Permanent,Trigger,ObjectOverwrite)</f>
        <v>obj_003f5#0003</v>
      </c>
      <c r="I27" s="91" t="str">
        <f>_xll.ohRangeRetrieveError(H27)</f>
        <v/>
      </c>
      <c r="J27" s="90"/>
      <c r="K27" s="147"/>
    </row>
    <row r="28" spans="1:11" x14ac:dyDescent="0.2">
      <c r="A28" s="146"/>
      <c r="B28" s="95">
        <v>26</v>
      </c>
      <c r="C28" s="145" t="b">
        <v>1</v>
      </c>
      <c r="D28" s="159" t="str">
        <v>U8</v>
      </c>
      <c r="E28" s="144" t="str">
        <f t="shared" si="0"/>
        <v>JpyLibor3M</v>
      </c>
      <c r="F28" s="143" t="str">
        <f t="shared" si="1"/>
        <v>JPYFUT3MU8_Quote</v>
      </c>
      <c r="G28" s="143" t="str">
        <f t="shared" si="2"/>
        <v>JPYFUT3MU8ConvAdj_Quote</v>
      </c>
      <c r="H28" s="142" t="str">
        <f>_xll.qlFuturesRateHelper(,$F28,$D28,$E28,$G28,Permanent,Trigger,ObjectOverwrite)</f>
        <v>obj_003f6#0003</v>
      </c>
      <c r="I28" s="91" t="str">
        <f>_xll.ohRangeRetrieveError(H28)</f>
        <v/>
      </c>
      <c r="J28" s="90"/>
      <c r="K28" s="147"/>
    </row>
    <row r="29" spans="1:11" x14ac:dyDescent="0.2">
      <c r="A29" s="146"/>
      <c r="B29" s="95">
        <v>27</v>
      </c>
      <c r="C29" s="145" t="b">
        <v>1</v>
      </c>
      <c r="D29" s="159" t="str">
        <v>Z8</v>
      </c>
      <c r="E29" s="144" t="str">
        <f t="shared" si="0"/>
        <v>JpyLibor3M</v>
      </c>
      <c r="F29" s="143" t="str">
        <f t="shared" si="1"/>
        <v>JPYFUT3MZ8_Quote</v>
      </c>
      <c r="G29" s="143" t="str">
        <f t="shared" si="2"/>
        <v>JPYFUT3MZ8ConvAdj_Quote</v>
      </c>
      <c r="H29" s="142" t="str">
        <f>_xll.qlFuturesRateHelper(,$F29,$D29,$E29,$G29,Permanent,Trigger,ObjectOverwrite)</f>
        <v>obj_003eb#0003</v>
      </c>
      <c r="I29" s="91" t="str">
        <f>_xll.ohRangeRetrieveError(H29)</f>
        <v/>
      </c>
      <c r="J29" s="90"/>
      <c r="K29" s="147"/>
    </row>
    <row r="30" spans="1:11" x14ac:dyDescent="0.2">
      <c r="A30" s="146"/>
      <c r="B30" s="95">
        <v>28</v>
      </c>
      <c r="C30" s="145" t="b">
        <v>1</v>
      </c>
      <c r="D30" s="159" t="str">
        <v>H9</v>
      </c>
      <c r="E30" s="144" t="str">
        <f t="shared" si="0"/>
        <v>JpyLibor3M</v>
      </c>
      <c r="F30" s="143" t="str">
        <f t="shared" si="1"/>
        <v>JPYFUT3MH9_Quote</v>
      </c>
      <c r="G30" s="143" t="str">
        <f t="shared" si="2"/>
        <v>JPYFUT3MH9ConvAdj_Quote</v>
      </c>
      <c r="H30" s="142" t="str">
        <f>_xll.qlFuturesRateHelper(,$F30,$D30,$E30,$G30,Permanent,Trigger,ObjectOverwrite)</f>
        <v>obj_00406#0003</v>
      </c>
      <c r="I30" s="91" t="str">
        <f>_xll.ohRangeRetrieveError(H30)</f>
        <v/>
      </c>
      <c r="J30" s="90"/>
      <c r="K30" s="147"/>
    </row>
    <row r="31" spans="1:11" x14ac:dyDescent="0.2">
      <c r="A31" s="146"/>
      <c r="B31" s="95">
        <v>29</v>
      </c>
      <c r="C31" s="145" t="b">
        <v>1</v>
      </c>
      <c r="D31" s="159" t="str">
        <v>M9</v>
      </c>
      <c r="E31" s="144" t="str">
        <f t="shared" si="0"/>
        <v>JpyLibor3M</v>
      </c>
      <c r="F31" s="143" t="str">
        <f t="shared" si="1"/>
        <v>JPYFUT3MM9_Quote</v>
      </c>
      <c r="G31" s="143" t="str">
        <f t="shared" si="2"/>
        <v>JPYFUT3MM9ConvAdj_Quote</v>
      </c>
      <c r="H31" s="142" t="str">
        <f>_xll.qlFuturesRateHelper(,$F31,$D31,$E31,$G31,Permanent,Trigger,ObjectOverwrite)</f>
        <v>obj_00400#0003</v>
      </c>
      <c r="I31" s="91" t="str">
        <f>_xll.ohRangeRetrieveError(H31)</f>
        <v/>
      </c>
      <c r="J31" s="90"/>
      <c r="K31" s="147"/>
    </row>
    <row r="32" spans="1:11" x14ac:dyDescent="0.2">
      <c r="A32" s="146"/>
      <c r="B32" s="95">
        <v>30</v>
      </c>
      <c r="C32" s="145" t="b">
        <v>1</v>
      </c>
      <c r="D32" s="159" t="str">
        <v>U9</v>
      </c>
      <c r="E32" s="144" t="str">
        <f t="shared" si="0"/>
        <v>JpyLibor3M</v>
      </c>
      <c r="F32" s="143" t="str">
        <f t="shared" si="1"/>
        <v>JPYFUT3MU9_Quote</v>
      </c>
      <c r="G32" s="143" t="str">
        <f t="shared" si="2"/>
        <v>JPYFUT3MU9ConvAdj_Quote</v>
      </c>
      <c r="H32" s="142" t="str">
        <f>_xll.qlFuturesRateHelper(,$F32,$D32,$E32,$G32,Permanent,Trigger,ObjectOverwrite)</f>
        <v>obj_00402#0003</v>
      </c>
      <c r="I32" s="91" t="str">
        <f>_xll.ohRangeRetrieveError(H32)</f>
        <v/>
      </c>
      <c r="J32" s="90"/>
      <c r="K32" s="147"/>
    </row>
    <row r="33" spans="1:11" x14ac:dyDescent="0.2">
      <c r="A33" s="146"/>
      <c r="B33" s="95">
        <v>31</v>
      </c>
      <c r="C33" s="145" t="b">
        <v>1</v>
      </c>
      <c r="D33" s="159" t="str">
        <v>Z9</v>
      </c>
      <c r="E33" s="144" t="str">
        <f t="shared" si="0"/>
        <v>JpyLibor3M</v>
      </c>
      <c r="F33" s="143" t="str">
        <f t="shared" si="1"/>
        <v>JPYFUT3MZ9_Quote</v>
      </c>
      <c r="G33" s="143" t="str">
        <f t="shared" si="2"/>
        <v>JPYFUT3MZ9ConvAdj_Quote</v>
      </c>
      <c r="H33" s="142" t="str">
        <f>_xll.qlFuturesRateHelper(,$F33,$D33,$E33,$G33,Permanent,Trigger,ObjectOverwrite)</f>
        <v>obj_00408#0003</v>
      </c>
      <c r="I33" s="91" t="str">
        <f>_xll.ohRangeRetrieveError(H33)</f>
        <v/>
      </c>
      <c r="J33" s="90"/>
      <c r="K33" s="147"/>
    </row>
    <row r="34" spans="1:11" x14ac:dyDescent="0.2">
      <c r="A34" s="146"/>
      <c r="B34" s="95">
        <v>32</v>
      </c>
      <c r="C34" s="145" t="b">
        <v>1</v>
      </c>
      <c r="D34" s="159" t="str">
        <v>H0</v>
      </c>
      <c r="E34" s="144" t="str">
        <f t="shared" si="0"/>
        <v>JpyLibor3M</v>
      </c>
      <c r="F34" s="143" t="str">
        <f t="shared" si="1"/>
        <v>JPYFUT3MH0_Quote</v>
      </c>
      <c r="G34" s="143" t="str">
        <f t="shared" si="2"/>
        <v>JPYFUT3MH0ConvAdj_Quote</v>
      </c>
      <c r="H34" s="142" t="str">
        <f>_xll.qlFuturesRateHelper(,$F34,$D34,$E34,$G34,Permanent,Trigger,ObjectOverwrite)</f>
        <v>obj_003e7#0003</v>
      </c>
      <c r="I34" s="91" t="str">
        <f>_xll.ohRangeRetrieveError(H34)</f>
        <v/>
      </c>
      <c r="J34" s="90"/>
      <c r="K34" s="147"/>
    </row>
    <row r="35" spans="1:11" x14ac:dyDescent="0.2">
      <c r="A35" s="146"/>
      <c r="B35" s="95">
        <v>33</v>
      </c>
      <c r="C35" s="145" t="b">
        <v>1</v>
      </c>
      <c r="D35" s="159" t="str">
        <v>M0</v>
      </c>
      <c r="E35" s="144" t="str">
        <f t="shared" ref="E35:E44" si="3">PROPER(Currency)&amp;FamilyName&amp;$E$1</f>
        <v>JpyLibor3M</v>
      </c>
      <c r="F35" s="143" t="str">
        <f t="shared" ref="F35:F44" si="4">Currency&amp;"FUT"&amp;$E$1&amp;$D35&amp;QuoteSuffix</f>
        <v>JPYFUT3MM0_Quote</v>
      </c>
      <c r="G35" s="143" t="str">
        <f t="shared" ref="G35:G44" si="5">Currency&amp;"FUT"&amp;$E$1&amp;$D35&amp;"ConvAdj"&amp;QuoteSuffix</f>
        <v>JPYFUT3MM0ConvAdj_Quote</v>
      </c>
      <c r="H35" s="142" t="str">
        <f>_xll.qlFuturesRateHelper(,$F35,$D35,$E35,$G35,Permanent,Trigger,ObjectOverwrite)</f>
        <v>obj_003f8#0003</v>
      </c>
      <c r="I35" s="91" t="str">
        <f>_xll.ohRangeRetrieveError(H35)</f>
        <v/>
      </c>
      <c r="J35" s="90"/>
      <c r="K35" s="147"/>
    </row>
    <row r="36" spans="1:11" x14ac:dyDescent="0.2">
      <c r="A36" s="146"/>
      <c r="B36" s="95">
        <v>34</v>
      </c>
      <c r="C36" s="145" t="b">
        <v>1</v>
      </c>
      <c r="D36" s="159" t="str">
        <v>U0</v>
      </c>
      <c r="E36" s="144" t="str">
        <f t="shared" si="3"/>
        <v>JpyLibor3M</v>
      </c>
      <c r="F36" s="143" t="str">
        <f t="shared" si="4"/>
        <v>JPYFUT3MU0_Quote</v>
      </c>
      <c r="G36" s="143" t="str">
        <f t="shared" si="5"/>
        <v>JPYFUT3MU0ConvAdj_Quote</v>
      </c>
      <c r="H36" s="142" t="str">
        <f>_xll.qlFuturesRateHelper(,$F36,$D36,$E36,$G36,Permanent,Trigger,ObjectOverwrite)</f>
        <v>obj_0040b#0003</v>
      </c>
      <c r="I36" s="91" t="str">
        <f>_xll.ohRangeRetrieveError(H36)</f>
        <v/>
      </c>
      <c r="J36" s="90"/>
      <c r="K36" s="147"/>
    </row>
    <row r="37" spans="1:11" x14ac:dyDescent="0.2">
      <c r="A37" s="146"/>
      <c r="B37" s="95">
        <v>35</v>
      </c>
      <c r="C37" s="145" t="b">
        <v>1</v>
      </c>
      <c r="D37" s="159" t="str">
        <v>Z0</v>
      </c>
      <c r="E37" s="144" t="str">
        <f t="shared" si="3"/>
        <v>JpyLibor3M</v>
      </c>
      <c r="F37" s="143" t="str">
        <f t="shared" si="4"/>
        <v>JPYFUT3MZ0_Quote</v>
      </c>
      <c r="G37" s="143" t="str">
        <f t="shared" si="5"/>
        <v>JPYFUT3MZ0ConvAdj_Quote</v>
      </c>
      <c r="H37" s="142" t="str">
        <f>_xll.qlFuturesRateHelper(,$F37,$D37,$E37,$G37,Permanent,Trigger,ObjectOverwrite)</f>
        <v>obj_003ea#0003</v>
      </c>
      <c r="I37" s="91" t="str">
        <f>_xll.ohRangeRetrieveError(H37)</f>
        <v/>
      </c>
      <c r="J37" s="90"/>
      <c r="K37" s="147"/>
    </row>
    <row r="38" spans="1:11" x14ac:dyDescent="0.2">
      <c r="A38" s="146"/>
      <c r="B38" s="95">
        <v>36</v>
      </c>
      <c r="C38" s="145" t="b">
        <v>1</v>
      </c>
      <c r="D38" s="159" t="str">
        <v>H1</v>
      </c>
      <c r="E38" s="144" t="str">
        <f t="shared" si="3"/>
        <v>JpyLibor3M</v>
      </c>
      <c r="F38" s="143" t="str">
        <f t="shared" si="4"/>
        <v>JPYFUT3MH1_Quote</v>
      </c>
      <c r="G38" s="143" t="str">
        <f t="shared" si="5"/>
        <v>JPYFUT3MH1ConvAdj_Quote</v>
      </c>
      <c r="H38" s="142" t="str">
        <f>_xll.qlFuturesRateHelper(,$F38,$D38,$E38,$G38,Permanent,Trigger,ObjectOverwrite)</f>
        <v>obj_003ff#0003</v>
      </c>
      <c r="I38" s="91" t="str">
        <f>_xll.ohRangeRetrieveError(H38)</f>
        <v/>
      </c>
      <c r="J38" s="90"/>
      <c r="K38" s="147"/>
    </row>
    <row r="39" spans="1:11" x14ac:dyDescent="0.2">
      <c r="A39" s="146"/>
      <c r="B39" s="95">
        <v>37</v>
      </c>
      <c r="C39" s="145" t="b">
        <v>1</v>
      </c>
      <c r="D39" s="159" t="str">
        <v>M1</v>
      </c>
      <c r="E39" s="144" t="str">
        <f t="shared" si="3"/>
        <v>JpyLibor3M</v>
      </c>
      <c r="F39" s="143" t="str">
        <f t="shared" si="4"/>
        <v>JPYFUT3MM1_Quote</v>
      </c>
      <c r="G39" s="143" t="str">
        <f t="shared" si="5"/>
        <v>JPYFUT3MM1ConvAdj_Quote</v>
      </c>
      <c r="H39" s="142" t="str">
        <f>_xll.qlFuturesRateHelper(,$F39,$D39,$E39,$G39,Permanent,Trigger,ObjectOverwrite)</f>
        <v>obj_003e4#0003</v>
      </c>
      <c r="I39" s="91" t="str">
        <f>_xll.ohRangeRetrieveError(H39)</f>
        <v/>
      </c>
      <c r="J39" s="90"/>
      <c r="K39" s="147"/>
    </row>
    <row r="40" spans="1:11" x14ac:dyDescent="0.2">
      <c r="A40" s="146"/>
      <c r="B40" s="95">
        <v>38</v>
      </c>
      <c r="C40" s="145" t="b">
        <v>1</v>
      </c>
      <c r="D40" s="159" t="str">
        <v>U1</v>
      </c>
      <c r="E40" s="144" t="str">
        <f t="shared" si="3"/>
        <v>JpyLibor3M</v>
      </c>
      <c r="F40" s="143" t="str">
        <f t="shared" si="4"/>
        <v>JPYFUT3MU1_Quote</v>
      </c>
      <c r="G40" s="143" t="str">
        <f t="shared" si="5"/>
        <v>JPYFUT3MU1ConvAdj_Quote</v>
      </c>
      <c r="H40" s="142" t="str">
        <f>_xll.qlFuturesRateHelper(,$F40,$D40,$E40,$G40,Permanent,Trigger,ObjectOverwrite)</f>
        <v>obj_0040c#0003</v>
      </c>
      <c r="I40" s="91" t="str">
        <f>_xll.ohRangeRetrieveError(H40)</f>
        <v/>
      </c>
      <c r="J40" s="90"/>
    </row>
    <row r="41" spans="1:11" x14ac:dyDescent="0.2">
      <c r="A41" s="146"/>
      <c r="B41" s="95">
        <v>39</v>
      </c>
      <c r="C41" s="145" t="b">
        <v>1</v>
      </c>
      <c r="D41" s="159" t="str">
        <v>Z1</v>
      </c>
      <c r="E41" s="144" t="str">
        <f t="shared" si="3"/>
        <v>JpyLibor3M</v>
      </c>
      <c r="F41" s="143" t="str">
        <f t="shared" si="4"/>
        <v>JPYFUT3MZ1_Quote</v>
      </c>
      <c r="G41" s="143" t="str">
        <f t="shared" si="5"/>
        <v>JPYFUT3MZ1ConvAdj_Quote</v>
      </c>
      <c r="H41" s="142" t="str">
        <f>_xll.qlFuturesRateHelper(,$F41,$D41,$E41,$G41,Permanent,Trigger,ObjectOverwrite)</f>
        <v>obj_003f1#0003</v>
      </c>
      <c r="I41" s="91" t="str">
        <f>_xll.ohRangeRetrieveError(H41)</f>
        <v/>
      </c>
      <c r="J41" s="90"/>
    </row>
    <row r="42" spans="1:11" x14ac:dyDescent="0.2">
      <c r="A42" s="146"/>
      <c r="B42" s="95">
        <v>40</v>
      </c>
      <c r="C42" s="145" t="b">
        <v>1</v>
      </c>
      <c r="D42" s="159" t="str">
        <v>H2</v>
      </c>
      <c r="E42" s="144" t="str">
        <f t="shared" si="3"/>
        <v>JpyLibor3M</v>
      </c>
      <c r="F42" s="143" t="str">
        <f t="shared" si="4"/>
        <v>JPYFUT3MH2_Quote</v>
      </c>
      <c r="G42" s="143" t="str">
        <f t="shared" si="5"/>
        <v>JPYFUT3MH2ConvAdj_Quote</v>
      </c>
      <c r="H42" s="142" t="str">
        <f>_xll.qlFuturesRateHelper(,$F42,$D42,$E42,$G42,Permanent,Trigger,ObjectOverwrite)</f>
        <v>obj_003e5#0003</v>
      </c>
      <c r="I42" s="91" t="str">
        <f>_xll.ohRangeRetrieveError(H42)</f>
        <v/>
      </c>
      <c r="J42" s="90"/>
    </row>
    <row r="43" spans="1:11" x14ac:dyDescent="0.2">
      <c r="A43" s="146"/>
      <c r="B43" s="95">
        <v>41</v>
      </c>
      <c r="C43" s="145" t="b">
        <v>1</v>
      </c>
      <c r="D43" s="159" t="str">
        <v>M2</v>
      </c>
      <c r="E43" s="144" t="str">
        <f t="shared" si="3"/>
        <v>JpyLibor3M</v>
      </c>
      <c r="F43" s="143" t="str">
        <f t="shared" si="4"/>
        <v>JPYFUT3MM2_Quote</v>
      </c>
      <c r="G43" s="143" t="str">
        <f t="shared" si="5"/>
        <v>JPYFUT3MM2ConvAdj_Quote</v>
      </c>
      <c r="H43" s="142" t="str">
        <f>_xll.qlFuturesRateHelper(,$F43,$D43,$E43,$G43,Permanent,Trigger,ObjectOverwrite)</f>
        <v>obj_003e9#0003</v>
      </c>
      <c r="I43" s="91" t="str">
        <f>_xll.ohRangeRetrieveError(H43)</f>
        <v/>
      </c>
      <c r="J43" s="90"/>
    </row>
    <row r="44" spans="1:11" x14ac:dyDescent="0.2">
      <c r="A44" s="146"/>
      <c r="B44" s="95">
        <v>42</v>
      </c>
      <c r="C44" s="145" t="b">
        <v>1</v>
      </c>
      <c r="D44" s="159" t="str">
        <v>U2</v>
      </c>
      <c r="E44" s="144" t="str">
        <f t="shared" si="3"/>
        <v>JpyLibor3M</v>
      </c>
      <c r="F44" s="143" t="str">
        <f t="shared" si="4"/>
        <v>JPYFUT3MU2_Quote</v>
      </c>
      <c r="G44" s="143" t="str">
        <f t="shared" si="5"/>
        <v>JPYFUT3MU2ConvAdj_Quote</v>
      </c>
      <c r="H44" s="142" t="str">
        <f>_xll.qlFuturesRateHelper(,$F44,$D44,$E44,$G44,Permanent,Trigger,ObjectOverwrite)</f>
        <v>obj_003fd#0003</v>
      </c>
      <c r="I44" s="91" t="str">
        <f>_xll.ohRangeRetrieveError(H44)</f>
        <v/>
      </c>
      <c r="J44" s="90"/>
    </row>
    <row r="45" spans="1:11" ht="13.5" thickBot="1" x14ac:dyDescent="0.25">
      <c r="A45" s="141"/>
      <c r="B45" s="140"/>
      <c r="C45" s="140"/>
      <c r="D45" s="140"/>
      <c r="E45" s="140"/>
      <c r="F45" s="140"/>
      <c r="G45" s="140"/>
      <c r="H45" s="140"/>
      <c r="I45" s="140"/>
      <c r="J45" s="13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40"/>
  <sheetViews>
    <sheetView workbookViewId="0">
      <selection activeCell="K3" sqref="K3"/>
    </sheetView>
  </sheetViews>
  <sheetFormatPr defaultRowHeight="11.25" x14ac:dyDescent="0.2"/>
  <cols>
    <col min="1" max="1" width="1.7109375" style="1" customWidth="1"/>
    <col min="2" max="2" width="6.28515625" style="1" customWidth="1"/>
    <col min="3" max="3" width="3.85546875" style="1" bestFit="1" customWidth="1"/>
    <col min="4" max="4" width="3.140625" style="1" bestFit="1" customWidth="1"/>
    <col min="5" max="5" width="2.7109375" style="1" bestFit="1" customWidth="1"/>
    <col min="6" max="6" width="11" style="1" bestFit="1" customWidth="1"/>
    <col min="7" max="7" width="19.28515625" style="1" bestFit="1" customWidth="1"/>
    <col min="8" max="8" width="20.28515625" style="1" bestFit="1" customWidth="1"/>
    <col min="9" max="9" width="17.28515625" style="1" bestFit="1" customWidth="1"/>
    <col min="10" max="10" width="23.42578125" style="1" bestFit="1" customWidth="1"/>
    <col min="11" max="11" width="34.85546875" style="2" bestFit="1" customWidth="1"/>
    <col min="12" max="12" width="16.5703125" style="1" customWidth="1"/>
    <col min="13" max="13" width="3.85546875" style="1" customWidth="1"/>
    <col min="14" max="14" width="2.5703125" style="1" customWidth="1"/>
    <col min="15" max="15" width="4" style="1" bestFit="1" customWidth="1"/>
    <col min="16" max="16" width="5.28515625" style="1" bestFit="1" customWidth="1"/>
    <col min="17" max="17" width="2.7109375" style="1" bestFit="1" customWidth="1"/>
    <col min="18" max="16384" width="9.140625" style="1"/>
  </cols>
  <sheetData>
    <row r="1" spans="1:17" x14ac:dyDescent="0.2">
      <c r="A1" s="180"/>
      <c r="B1" s="181"/>
      <c r="C1" s="181"/>
      <c r="D1" s="181"/>
      <c r="E1" s="181"/>
      <c r="F1" s="181"/>
      <c r="G1" s="181"/>
      <c r="H1" s="181"/>
      <c r="I1" s="181"/>
      <c r="J1" s="181"/>
      <c r="K1" s="181"/>
      <c r="L1" s="181"/>
      <c r="M1" s="182"/>
    </row>
    <row r="2" spans="1:17" ht="12" x14ac:dyDescent="0.2">
      <c r="A2" s="183"/>
      <c r="B2" s="184"/>
      <c r="C2" s="184"/>
      <c r="D2" s="184"/>
      <c r="E2" s="184"/>
      <c r="F2" s="184"/>
      <c r="G2" s="184"/>
      <c r="H2" s="32" t="s">
        <v>126</v>
      </c>
      <c r="I2" s="32" t="s">
        <v>148</v>
      </c>
      <c r="J2" s="32" t="str">
        <f>Currency&amp;"_YC"&amp;$I$2&amp;"RH"</f>
        <v>JPY_YC6MRH</v>
      </c>
      <c r="K2" s="187" t="str">
        <f>J2&amp;"_SwapsFromBasis.xml"</f>
        <v>JPY_YC6MRH_SwapsFromBasis.xml</v>
      </c>
      <c r="L2" s="184"/>
      <c r="M2" s="185"/>
    </row>
    <row r="3" spans="1:17" ht="22.5" x14ac:dyDescent="0.2">
      <c r="A3" s="183"/>
      <c r="B3" s="186" t="s">
        <v>132</v>
      </c>
      <c r="C3" s="186"/>
      <c r="D3" s="186"/>
      <c r="E3" s="186"/>
      <c r="F3" s="186" t="s">
        <v>131</v>
      </c>
      <c r="G3" s="186" t="s">
        <v>130</v>
      </c>
      <c r="H3" s="186" t="s">
        <v>129</v>
      </c>
      <c r="I3" s="186" t="s">
        <v>128</v>
      </c>
      <c r="J3" s="186" t="s">
        <v>108</v>
      </c>
      <c r="K3" s="188" t="str">
        <f>IF(Serialize,_xll.ohObjectSave(K4:K39,SerializationPath&amp;K2,FileOverwrite,Serialize),"---")</f>
        <v>---</v>
      </c>
      <c r="L3" s="189" t="str">
        <f>_xll.ohRangeRetrieveError(K3)</f>
        <v/>
      </c>
      <c r="M3" s="185"/>
    </row>
    <row r="4" spans="1:17" x14ac:dyDescent="0.2">
      <c r="A4" s="190"/>
      <c r="B4" s="184"/>
      <c r="C4" s="184"/>
      <c r="D4" s="184"/>
      <c r="E4" s="184"/>
      <c r="F4" s="184"/>
      <c r="G4" s="184"/>
      <c r="H4" s="184"/>
      <c r="I4" s="184"/>
      <c r="J4" s="184"/>
      <c r="K4" s="191" t="str">
        <f>_xll.qlLibor(,Currency,$I$2,,Permanent,Trigger,ObjectOverwrite)</f>
        <v>obj_003ba#0003</v>
      </c>
      <c r="L4" s="192" t="str">
        <f>_xll.ohRangeRetrieveError(K4)</f>
        <v/>
      </c>
      <c r="M4" s="185"/>
    </row>
    <row r="5" spans="1:17" x14ac:dyDescent="0.2">
      <c r="A5" s="190"/>
      <c r="B5" s="184"/>
      <c r="C5" s="184"/>
      <c r="D5" s="184"/>
      <c r="E5" s="184"/>
      <c r="F5" s="184"/>
      <c r="G5" s="184"/>
      <c r="H5" s="184"/>
      <c r="I5" s="184"/>
      <c r="J5" s="184"/>
      <c r="K5" s="184"/>
      <c r="L5" s="184"/>
      <c r="M5" s="185"/>
    </row>
    <row r="6" spans="1:17" x14ac:dyDescent="0.2">
      <c r="A6" s="183"/>
      <c r="B6" s="193" t="s">
        <v>119</v>
      </c>
      <c r="C6" s="194" t="s">
        <v>47</v>
      </c>
      <c r="D6" s="193" t="str">
        <f>VLOOKUP(Currency,Swap6MConventions,2)</f>
        <v>SB</v>
      </c>
      <c r="E6" s="193" t="s">
        <v>126</v>
      </c>
      <c r="F6" s="195" t="str">
        <f t="shared" ref="F6:F39" si="0">IF(UPPER(LEFT($D6))="A","Annual",IF(UPPER(LEFT($D6))="S","Semiannual","--"))</f>
        <v>Semiannual</v>
      </c>
      <c r="G6" s="195" t="s">
        <v>125</v>
      </c>
      <c r="H6" s="195" t="str">
        <f t="shared" ref="H6:H39" si="1">IF(UPPER(RIGHT($D6))="B",BondBasisDayCounter,IF(UPPER(RIGHT($D6))="M",MoneyMarketDayCounter,"--"))</f>
        <v>30/360 (Bond Basis)</v>
      </c>
      <c r="I6" s="196" t="str">
        <f t="shared" ref="I6:I39" si="2">Currency&amp;$E6&amp;"6L"&amp;$C6&amp;QuoteSuffix</f>
        <v>JPY3L6L1Y_Quote</v>
      </c>
      <c r="J6" s="197" t="str">
        <f t="shared" ref="J6:J39" si="3">Currency&amp;$D6&amp;"6L"&amp;$C6&amp;"_Quote"</f>
        <v>JPYSB6L1Y_Quote</v>
      </c>
      <c r="K6" s="198" t="str">
        <f>_xll.qlSwapRateHelper2(,$J6,$C6,Calendar,$F6,$G6,$H6,$K$4,$I6,B6,Discounting,Permanent,,ObjectOverwrite)</f>
        <v>obj_003bb#0012</v>
      </c>
      <c r="L6" s="189" t="str">
        <f>_xll.ohRangeRetrieveError(K6)</f>
        <v/>
      </c>
      <c r="M6" s="185"/>
    </row>
    <row r="7" spans="1:17" x14ac:dyDescent="0.2">
      <c r="A7" s="183"/>
      <c r="B7" s="194" t="str">
        <f>B6</f>
        <v>0D</v>
      </c>
      <c r="C7" s="194" t="s">
        <v>43</v>
      </c>
      <c r="D7" s="194" t="str">
        <f>D6</f>
        <v>SB</v>
      </c>
      <c r="E7" s="194" t="s">
        <v>126</v>
      </c>
      <c r="F7" s="199" t="str">
        <f t="shared" si="0"/>
        <v>Semiannual</v>
      </c>
      <c r="G7" s="199" t="s">
        <v>125</v>
      </c>
      <c r="H7" s="199" t="str">
        <f t="shared" si="1"/>
        <v>30/360 (Bond Basis)</v>
      </c>
      <c r="I7" s="196" t="str">
        <f t="shared" si="2"/>
        <v>JPY3L6L2Y_Quote</v>
      </c>
      <c r="J7" s="197" t="str">
        <f t="shared" si="3"/>
        <v>JPYSB6L2Y_Quote</v>
      </c>
      <c r="K7" s="198" t="str">
        <f>_xll.qlSwapRateHelper2(,$J7,$C7,Calendar,$F7,$G7,$H7,$K$4,$I7,B7,Discounting,Permanent,,ObjectOverwrite)</f>
        <v>obj_003bc#0006</v>
      </c>
      <c r="L7" s="189" t="str">
        <f>_xll.ohRangeRetrieveError(K7)</f>
        <v/>
      </c>
      <c r="M7" s="185"/>
    </row>
    <row r="8" spans="1:17" x14ac:dyDescent="0.2">
      <c r="A8" s="183"/>
      <c r="B8" s="194" t="str">
        <f t="shared" ref="B8:B39" si="4">B7</f>
        <v>0D</v>
      </c>
      <c r="C8" s="194" t="s">
        <v>42</v>
      </c>
      <c r="D8" s="194" t="str">
        <f t="shared" ref="D8:D23" si="5">D7</f>
        <v>SB</v>
      </c>
      <c r="E8" s="194" t="s">
        <v>126</v>
      </c>
      <c r="F8" s="199" t="str">
        <f t="shared" si="0"/>
        <v>Semiannual</v>
      </c>
      <c r="G8" s="199" t="s">
        <v>125</v>
      </c>
      <c r="H8" s="199" t="str">
        <f t="shared" si="1"/>
        <v>30/360 (Bond Basis)</v>
      </c>
      <c r="I8" s="196" t="str">
        <f t="shared" si="2"/>
        <v>JPY3L6L3Y_Quote</v>
      </c>
      <c r="J8" s="197" t="str">
        <f t="shared" si="3"/>
        <v>JPYSB6L3Y_Quote</v>
      </c>
      <c r="K8" s="198" t="str">
        <f>_xll.qlSwapRateHelper2(,$J8,$C8,Calendar,$F8,$G8,$H8,$K$4,$I8,B8,Discounting,Permanent,,ObjectOverwrite)</f>
        <v>obj_003bd#0006</v>
      </c>
      <c r="L8" s="189" t="str">
        <f>_xll.ohRangeRetrieveError(K8)</f>
        <v/>
      </c>
      <c r="M8" s="185"/>
    </row>
    <row r="9" spans="1:17" ht="12" thickBot="1" x14ac:dyDescent="0.25">
      <c r="A9" s="183"/>
      <c r="B9" s="194" t="str">
        <f t="shared" si="4"/>
        <v>0D</v>
      </c>
      <c r="C9" s="194" t="s">
        <v>41</v>
      </c>
      <c r="D9" s="194" t="str">
        <f t="shared" si="5"/>
        <v>SB</v>
      </c>
      <c r="E9" s="194" t="s">
        <v>126</v>
      </c>
      <c r="F9" s="199" t="str">
        <f t="shared" si="0"/>
        <v>Semiannual</v>
      </c>
      <c r="G9" s="199" t="s">
        <v>125</v>
      </c>
      <c r="H9" s="199" t="str">
        <f t="shared" si="1"/>
        <v>30/360 (Bond Basis)</v>
      </c>
      <c r="I9" s="196" t="str">
        <f t="shared" si="2"/>
        <v>JPY3L6L4Y_Quote</v>
      </c>
      <c r="J9" s="197" t="str">
        <f t="shared" si="3"/>
        <v>JPYSB6L4Y_Quote</v>
      </c>
      <c r="K9" s="198" t="str">
        <f>_xll.qlSwapRateHelper2(,$J9,$C9,Calendar,$F9,$G9,$H9,$K$4,$I9,B9,Discounting,Permanent,,ObjectOverwrite)</f>
        <v>obj_003be#0006</v>
      </c>
      <c r="L9" s="189" t="str">
        <f>_xll.ohRangeRetrieveError(K9)</f>
        <v/>
      </c>
      <c r="M9" s="185"/>
    </row>
    <row r="10" spans="1:17" x14ac:dyDescent="0.2">
      <c r="A10" s="183"/>
      <c r="B10" s="194" t="str">
        <f t="shared" si="4"/>
        <v>0D</v>
      </c>
      <c r="C10" s="194" t="s">
        <v>40</v>
      </c>
      <c r="D10" s="194" t="str">
        <f t="shared" si="5"/>
        <v>SB</v>
      </c>
      <c r="E10" s="194" t="s">
        <v>126</v>
      </c>
      <c r="F10" s="199" t="str">
        <f t="shared" si="0"/>
        <v>Semiannual</v>
      </c>
      <c r="G10" s="199" t="s">
        <v>125</v>
      </c>
      <c r="H10" s="199" t="str">
        <f t="shared" si="1"/>
        <v>30/360 (Bond Basis)</v>
      </c>
      <c r="I10" s="196" t="str">
        <f t="shared" si="2"/>
        <v>JPY3L6L5Y_Quote</v>
      </c>
      <c r="J10" s="197" t="str">
        <f t="shared" si="3"/>
        <v>JPYSB6L5Y_Quote</v>
      </c>
      <c r="K10" s="198" t="str">
        <f>_xll.qlSwapRateHelper2(,$J10,$C10,Calendar,$F10,$G10,$H10,$K$4,$I10,B10,Discounting,Permanent,,ObjectOverwrite)</f>
        <v>obj_003bf#0006</v>
      </c>
      <c r="L10" s="189" t="str">
        <f>_xll.ohRangeRetrieveError(K10)</f>
        <v/>
      </c>
      <c r="M10" s="185"/>
      <c r="O10" s="200" t="s">
        <v>99</v>
      </c>
      <c r="P10" s="201" t="s">
        <v>96</v>
      </c>
      <c r="Q10" s="202" t="s">
        <v>152</v>
      </c>
    </row>
    <row r="11" spans="1:17" x14ac:dyDescent="0.2">
      <c r="A11" s="183"/>
      <c r="B11" s="194" t="str">
        <f t="shared" si="4"/>
        <v>0D</v>
      </c>
      <c r="C11" s="194" t="s">
        <v>39</v>
      </c>
      <c r="D11" s="194" t="str">
        <f t="shared" si="5"/>
        <v>SB</v>
      </c>
      <c r="E11" s="194" t="s">
        <v>126</v>
      </c>
      <c r="F11" s="199" t="str">
        <f t="shared" si="0"/>
        <v>Semiannual</v>
      </c>
      <c r="G11" s="199" t="s">
        <v>125</v>
      </c>
      <c r="H11" s="199" t="str">
        <f t="shared" si="1"/>
        <v>30/360 (Bond Basis)</v>
      </c>
      <c r="I11" s="196" t="str">
        <f t="shared" si="2"/>
        <v>JPY3L6L6Y_Quote</v>
      </c>
      <c r="J11" s="197" t="str">
        <f t="shared" si="3"/>
        <v>JPYSB6L6Y_Quote</v>
      </c>
      <c r="K11" s="198" t="str">
        <f>_xll.qlSwapRateHelper2(,$J11,$C11,Calendar,$F11,$G11,$H11,$K$4,$I11,B11,Discounting,Permanent,,ObjectOverwrite)</f>
        <v>obj_003c0#0006</v>
      </c>
      <c r="L11" s="189" t="str">
        <f>_xll.ohRangeRetrieveError(K11)</f>
        <v/>
      </c>
      <c r="M11" s="185"/>
      <c r="O11" s="203" t="s">
        <v>97</v>
      </c>
      <c r="P11" s="204" t="s">
        <v>96</v>
      </c>
      <c r="Q11" s="205" t="s">
        <v>151</v>
      </c>
    </row>
    <row r="12" spans="1:17" x14ac:dyDescent="0.2">
      <c r="A12" s="183"/>
      <c r="B12" s="194" t="str">
        <f t="shared" si="4"/>
        <v>0D</v>
      </c>
      <c r="C12" s="194" t="s">
        <v>38</v>
      </c>
      <c r="D12" s="194" t="str">
        <f t="shared" si="5"/>
        <v>SB</v>
      </c>
      <c r="E12" s="194" t="s">
        <v>126</v>
      </c>
      <c r="F12" s="199" t="str">
        <f t="shared" si="0"/>
        <v>Semiannual</v>
      </c>
      <c r="G12" s="199" t="s">
        <v>125</v>
      </c>
      <c r="H12" s="199" t="str">
        <f t="shared" si="1"/>
        <v>30/360 (Bond Basis)</v>
      </c>
      <c r="I12" s="196" t="str">
        <f t="shared" si="2"/>
        <v>JPY3L6L7Y_Quote</v>
      </c>
      <c r="J12" s="197" t="str">
        <f t="shared" si="3"/>
        <v>JPYSB6L7Y_Quote</v>
      </c>
      <c r="K12" s="198" t="str">
        <f>_xll.qlSwapRateHelper2(,$J12,$C12,Calendar,$F12,$G12,$H12,$K$4,$I12,B12,Discounting,Permanent,,ObjectOverwrite)</f>
        <v>obj_003c1#0006</v>
      </c>
      <c r="L12" s="189" t="str">
        <f>_xll.ohRangeRetrieveError(K12)</f>
        <v/>
      </c>
      <c r="M12" s="185"/>
      <c r="O12" s="203" t="s">
        <v>94</v>
      </c>
      <c r="P12" s="204" t="s">
        <v>127</v>
      </c>
      <c r="Q12" s="205" t="s">
        <v>152</v>
      </c>
    </row>
    <row r="13" spans="1:17" x14ac:dyDescent="0.2">
      <c r="A13" s="183"/>
      <c r="B13" s="194" t="str">
        <f t="shared" si="4"/>
        <v>0D</v>
      </c>
      <c r="C13" s="194" t="s">
        <v>37</v>
      </c>
      <c r="D13" s="194" t="str">
        <f t="shared" si="5"/>
        <v>SB</v>
      </c>
      <c r="E13" s="194" t="s">
        <v>126</v>
      </c>
      <c r="F13" s="199" t="str">
        <f t="shared" si="0"/>
        <v>Semiannual</v>
      </c>
      <c r="G13" s="199" t="s">
        <v>125</v>
      </c>
      <c r="H13" s="199" t="str">
        <f t="shared" si="1"/>
        <v>30/360 (Bond Basis)</v>
      </c>
      <c r="I13" s="196" t="str">
        <f t="shared" si="2"/>
        <v>JPY3L6L8Y_Quote</v>
      </c>
      <c r="J13" s="197" t="str">
        <f t="shared" si="3"/>
        <v>JPYSB6L8Y_Quote</v>
      </c>
      <c r="K13" s="198" t="str">
        <f>_xll.qlSwapRateHelper2(,$J13,$C13,Calendar,$F13,$G13,$H13,$K$4,$I13,B13,Discounting,Permanent,,ObjectOverwrite)</f>
        <v>obj_003c2#0006</v>
      </c>
      <c r="L13" s="189" t="str">
        <f>_xll.ohRangeRetrieveError(K13)</f>
        <v/>
      </c>
      <c r="M13" s="185"/>
      <c r="O13" s="203" t="s">
        <v>92</v>
      </c>
      <c r="P13" s="204" t="s">
        <v>127</v>
      </c>
      <c r="Q13" s="205" t="s">
        <v>152</v>
      </c>
    </row>
    <row r="14" spans="1:17" ht="12" thickBot="1" x14ac:dyDescent="0.25">
      <c r="A14" s="183"/>
      <c r="B14" s="194" t="str">
        <f t="shared" si="4"/>
        <v>0D</v>
      </c>
      <c r="C14" s="194" t="s">
        <v>36</v>
      </c>
      <c r="D14" s="194" t="str">
        <f t="shared" si="5"/>
        <v>SB</v>
      </c>
      <c r="E14" s="194" t="s">
        <v>126</v>
      </c>
      <c r="F14" s="199" t="str">
        <f t="shared" si="0"/>
        <v>Semiannual</v>
      </c>
      <c r="G14" s="199" t="s">
        <v>125</v>
      </c>
      <c r="H14" s="199" t="str">
        <f t="shared" si="1"/>
        <v>30/360 (Bond Basis)</v>
      </c>
      <c r="I14" s="196" t="str">
        <f t="shared" si="2"/>
        <v>JPY3L6L9Y_Quote</v>
      </c>
      <c r="J14" s="197" t="str">
        <f t="shared" si="3"/>
        <v>JPYSB6L9Y_Quote</v>
      </c>
      <c r="K14" s="198" t="str">
        <f>_xll.qlSwapRateHelper2(,$J14,$C14,Calendar,$F14,$G14,$H14,$K$4,$I14,B14,Discounting,Permanent,,ObjectOverwrite)</f>
        <v>obj_003c3#0006</v>
      </c>
      <c r="L14" s="189" t="str">
        <f>_xll.ohRangeRetrieveError(K14)</f>
        <v/>
      </c>
      <c r="M14" s="185"/>
      <c r="O14" s="206" t="s">
        <v>90</v>
      </c>
      <c r="P14" s="207" t="s">
        <v>89</v>
      </c>
      <c r="Q14" s="208" t="s">
        <v>152</v>
      </c>
    </row>
    <row r="15" spans="1:17" x14ac:dyDescent="0.2">
      <c r="A15" s="183"/>
      <c r="B15" s="194" t="str">
        <f t="shared" si="4"/>
        <v>0D</v>
      </c>
      <c r="C15" s="194" t="s">
        <v>35</v>
      </c>
      <c r="D15" s="194" t="str">
        <f t="shared" si="5"/>
        <v>SB</v>
      </c>
      <c r="E15" s="194" t="s">
        <v>126</v>
      </c>
      <c r="F15" s="199" t="str">
        <f t="shared" si="0"/>
        <v>Semiannual</v>
      </c>
      <c r="G15" s="199" t="s">
        <v>125</v>
      </c>
      <c r="H15" s="199" t="str">
        <f t="shared" si="1"/>
        <v>30/360 (Bond Basis)</v>
      </c>
      <c r="I15" s="196" t="str">
        <f t="shared" si="2"/>
        <v>JPY3L6L10Y_Quote</v>
      </c>
      <c r="J15" s="197" t="str">
        <f t="shared" si="3"/>
        <v>JPYSB6L10Y_Quote</v>
      </c>
      <c r="K15" s="198" t="str">
        <f>_xll.qlSwapRateHelper2(,$J15,$C15,Calendar,$F15,$G15,$H15,$K$4,$I15,B15,Discounting,Permanent,,ObjectOverwrite)</f>
        <v>obj_003c4#0006</v>
      </c>
      <c r="L15" s="189" t="str">
        <f>_xll.ohRangeRetrieveError(K15)</f>
        <v/>
      </c>
      <c r="M15" s="185"/>
      <c r="O15" s="204"/>
      <c r="P15" s="204"/>
      <c r="Q15" s="204"/>
    </row>
    <row r="16" spans="1:17" x14ac:dyDescent="0.2">
      <c r="A16" s="183"/>
      <c r="B16" s="194" t="str">
        <f t="shared" si="4"/>
        <v>0D</v>
      </c>
      <c r="C16" s="194" t="s">
        <v>34</v>
      </c>
      <c r="D16" s="194" t="str">
        <f t="shared" si="5"/>
        <v>SB</v>
      </c>
      <c r="E16" s="194" t="s">
        <v>126</v>
      </c>
      <c r="F16" s="199" t="str">
        <f t="shared" si="0"/>
        <v>Semiannual</v>
      </c>
      <c r="G16" s="199" t="s">
        <v>125</v>
      </c>
      <c r="H16" s="199" t="str">
        <f t="shared" si="1"/>
        <v>30/360 (Bond Basis)</v>
      </c>
      <c r="I16" s="196" t="str">
        <f t="shared" si="2"/>
        <v>JPY3L6L11Y_Quote</v>
      </c>
      <c r="J16" s="197" t="str">
        <f t="shared" si="3"/>
        <v>JPYSB6L11Y_Quote</v>
      </c>
      <c r="K16" s="198" t="str">
        <f>_xll.qlSwapRateHelper2(,$J16,$C16,Calendar,$F16,$G16,$H16,$K$4,$I16,B16,Discounting,Permanent,,ObjectOverwrite)</f>
        <v>obj_003c5#0006</v>
      </c>
      <c r="L16" s="189" t="str">
        <f>_xll.ohRangeRetrieveError(K16)</f>
        <v/>
      </c>
      <c r="M16" s="185"/>
    </row>
    <row r="17" spans="1:13" x14ac:dyDescent="0.2">
      <c r="A17" s="183"/>
      <c r="B17" s="194" t="str">
        <f t="shared" si="4"/>
        <v>0D</v>
      </c>
      <c r="C17" s="194" t="s">
        <v>33</v>
      </c>
      <c r="D17" s="194" t="str">
        <f t="shared" si="5"/>
        <v>SB</v>
      </c>
      <c r="E17" s="194" t="s">
        <v>126</v>
      </c>
      <c r="F17" s="199" t="str">
        <f t="shared" si="0"/>
        <v>Semiannual</v>
      </c>
      <c r="G17" s="199" t="s">
        <v>125</v>
      </c>
      <c r="H17" s="199" t="str">
        <f t="shared" si="1"/>
        <v>30/360 (Bond Basis)</v>
      </c>
      <c r="I17" s="196" t="str">
        <f t="shared" si="2"/>
        <v>JPY3L6L12Y_Quote</v>
      </c>
      <c r="J17" s="197" t="str">
        <f t="shared" si="3"/>
        <v>JPYSB6L12Y_Quote</v>
      </c>
      <c r="K17" s="198" t="str">
        <f>_xll.qlSwapRateHelper2(,$J17,$C17,Calendar,$F17,$G17,$H17,$K$4,$I17,B17,Discounting,Permanent,,ObjectOverwrite)</f>
        <v>obj_003c6#0006</v>
      </c>
      <c r="L17" s="189" t="str">
        <f>_xll.ohRangeRetrieveError(K17)</f>
        <v/>
      </c>
      <c r="M17" s="185"/>
    </row>
    <row r="18" spans="1:13" x14ac:dyDescent="0.2">
      <c r="A18" s="183"/>
      <c r="B18" s="194" t="str">
        <f t="shared" si="4"/>
        <v>0D</v>
      </c>
      <c r="C18" s="194" t="s">
        <v>32</v>
      </c>
      <c r="D18" s="194" t="str">
        <f t="shared" si="5"/>
        <v>SB</v>
      </c>
      <c r="E18" s="194" t="s">
        <v>126</v>
      </c>
      <c r="F18" s="199" t="str">
        <f t="shared" si="0"/>
        <v>Semiannual</v>
      </c>
      <c r="G18" s="199" t="s">
        <v>125</v>
      </c>
      <c r="H18" s="199" t="str">
        <f t="shared" si="1"/>
        <v>30/360 (Bond Basis)</v>
      </c>
      <c r="I18" s="196" t="str">
        <f t="shared" si="2"/>
        <v>JPY3L6L13Y_Quote</v>
      </c>
      <c r="J18" s="197" t="str">
        <f t="shared" si="3"/>
        <v>JPYSB6L13Y_Quote</v>
      </c>
      <c r="K18" s="198" t="str">
        <f>_xll.qlSwapRateHelper2(,$J18,$C18,Calendar,$F18,$G18,$H18,$K$4,$I18,B18,Discounting,Permanent,,ObjectOverwrite)</f>
        <v>obj_003c7#0006</v>
      </c>
      <c r="L18" s="189" t="str">
        <f>_xll.ohRangeRetrieveError(K18)</f>
        <v/>
      </c>
      <c r="M18" s="185"/>
    </row>
    <row r="19" spans="1:13" x14ac:dyDescent="0.2">
      <c r="A19" s="183"/>
      <c r="B19" s="194" t="str">
        <f t="shared" si="4"/>
        <v>0D</v>
      </c>
      <c r="C19" s="194" t="s">
        <v>31</v>
      </c>
      <c r="D19" s="194" t="str">
        <f t="shared" si="5"/>
        <v>SB</v>
      </c>
      <c r="E19" s="194" t="s">
        <v>126</v>
      </c>
      <c r="F19" s="199" t="str">
        <f t="shared" si="0"/>
        <v>Semiannual</v>
      </c>
      <c r="G19" s="199" t="s">
        <v>125</v>
      </c>
      <c r="H19" s="199" t="str">
        <f t="shared" si="1"/>
        <v>30/360 (Bond Basis)</v>
      </c>
      <c r="I19" s="196" t="str">
        <f t="shared" si="2"/>
        <v>JPY3L6L14Y_Quote</v>
      </c>
      <c r="J19" s="197" t="str">
        <f t="shared" si="3"/>
        <v>JPYSB6L14Y_Quote</v>
      </c>
      <c r="K19" s="198" t="str">
        <f>_xll.qlSwapRateHelper2(,$J19,$C19,Calendar,$F19,$G19,$H19,$K$4,$I19,B19,Discounting,Permanent,,ObjectOverwrite)</f>
        <v>obj_003c8#0006</v>
      </c>
      <c r="L19" s="189" t="str">
        <f>_xll.ohRangeRetrieveError(K19)</f>
        <v/>
      </c>
      <c r="M19" s="185"/>
    </row>
    <row r="20" spans="1:13" x14ac:dyDescent="0.2">
      <c r="A20" s="183"/>
      <c r="B20" s="194" t="str">
        <f t="shared" si="4"/>
        <v>0D</v>
      </c>
      <c r="C20" s="194" t="s">
        <v>30</v>
      </c>
      <c r="D20" s="194" t="str">
        <f t="shared" si="5"/>
        <v>SB</v>
      </c>
      <c r="E20" s="194" t="s">
        <v>126</v>
      </c>
      <c r="F20" s="199" t="str">
        <f t="shared" si="0"/>
        <v>Semiannual</v>
      </c>
      <c r="G20" s="199" t="s">
        <v>125</v>
      </c>
      <c r="H20" s="199" t="str">
        <f t="shared" si="1"/>
        <v>30/360 (Bond Basis)</v>
      </c>
      <c r="I20" s="196" t="str">
        <f t="shared" si="2"/>
        <v>JPY3L6L15Y_Quote</v>
      </c>
      <c r="J20" s="197" t="str">
        <f t="shared" si="3"/>
        <v>JPYSB6L15Y_Quote</v>
      </c>
      <c r="K20" s="198" t="str">
        <f>_xll.qlSwapRateHelper2(,$J20,$C20,Calendar,$F20,$G20,$H20,$K$4,$I20,B20,Discounting,Permanent,,ObjectOverwrite)</f>
        <v>obj_003c9#0006</v>
      </c>
      <c r="L20" s="189" t="str">
        <f>_xll.ohRangeRetrieveError(K20)</f>
        <v/>
      </c>
      <c r="M20" s="185"/>
    </row>
    <row r="21" spans="1:13" x14ac:dyDescent="0.2">
      <c r="A21" s="183"/>
      <c r="B21" s="194" t="str">
        <f t="shared" si="4"/>
        <v>0D</v>
      </c>
      <c r="C21" s="194" t="s">
        <v>29</v>
      </c>
      <c r="D21" s="194" t="str">
        <f t="shared" si="5"/>
        <v>SB</v>
      </c>
      <c r="E21" s="194" t="s">
        <v>126</v>
      </c>
      <c r="F21" s="199" t="str">
        <f t="shared" si="0"/>
        <v>Semiannual</v>
      </c>
      <c r="G21" s="199" t="s">
        <v>125</v>
      </c>
      <c r="H21" s="199" t="str">
        <f t="shared" si="1"/>
        <v>30/360 (Bond Basis)</v>
      </c>
      <c r="I21" s="196" t="str">
        <f t="shared" si="2"/>
        <v>JPY3L6L16Y_Quote</v>
      </c>
      <c r="J21" s="197" t="str">
        <f t="shared" si="3"/>
        <v>JPYSB6L16Y_Quote</v>
      </c>
      <c r="K21" s="198" t="str">
        <f>_xll.qlSwapRateHelper2(,$J21,$C21,Calendar,$F21,$G21,$H21,$K$4,$I21,B21,Discounting,Permanent,,ObjectOverwrite)</f>
        <v>obj_003ca#0006</v>
      </c>
      <c r="L21" s="189" t="str">
        <f>_xll.ohRangeRetrieveError(K21)</f>
        <v/>
      </c>
      <c r="M21" s="185"/>
    </row>
    <row r="22" spans="1:13" x14ac:dyDescent="0.2">
      <c r="A22" s="183"/>
      <c r="B22" s="194" t="str">
        <f t="shared" si="4"/>
        <v>0D</v>
      </c>
      <c r="C22" s="194" t="s">
        <v>28</v>
      </c>
      <c r="D22" s="194" t="str">
        <f t="shared" si="5"/>
        <v>SB</v>
      </c>
      <c r="E22" s="194" t="s">
        <v>126</v>
      </c>
      <c r="F22" s="199" t="str">
        <f t="shared" si="0"/>
        <v>Semiannual</v>
      </c>
      <c r="G22" s="199" t="s">
        <v>125</v>
      </c>
      <c r="H22" s="199" t="str">
        <f t="shared" si="1"/>
        <v>30/360 (Bond Basis)</v>
      </c>
      <c r="I22" s="196" t="str">
        <f t="shared" si="2"/>
        <v>JPY3L6L17Y_Quote</v>
      </c>
      <c r="J22" s="197" t="str">
        <f t="shared" si="3"/>
        <v>JPYSB6L17Y_Quote</v>
      </c>
      <c r="K22" s="198" t="str">
        <f>_xll.qlSwapRateHelper2(,$J22,$C22,Calendar,$F22,$G22,$H22,$K$4,$I22,B22,Discounting,Permanent,,ObjectOverwrite)</f>
        <v>obj_003cb#0006</v>
      </c>
      <c r="L22" s="189" t="str">
        <f>_xll.ohRangeRetrieveError(K22)</f>
        <v/>
      </c>
      <c r="M22" s="185"/>
    </row>
    <row r="23" spans="1:13" x14ac:dyDescent="0.2">
      <c r="A23" s="183"/>
      <c r="B23" s="194" t="str">
        <f t="shared" si="4"/>
        <v>0D</v>
      </c>
      <c r="C23" s="194" t="s">
        <v>27</v>
      </c>
      <c r="D23" s="194" t="str">
        <f t="shared" si="5"/>
        <v>SB</v>
      </c>
      <c r="E23" s="194" t="s">
        <v>126</v>
      </c>
      <c r="F23" s="199" t="str">
        <f t="shared" si="0"/>
        <v>Semiannual</v>
      </c>
      <c r="G23" s="199" t="s">
        <v>125</v>
      </c>
      <c r="H23" s="199" t="str">
        <f t="shared" si="1"/>
        <v>30/360 (Bond Basis)</v>
      </c>
      <c r="I23" s="196" t="str">
        <f t="shared" si="2"/>
        <v>JPY3L6L18Y_Quote</v>
      </c>
      <c r="J23" s="197" t="str">
        <f t="shared" si="3"/>
        <v>JPYSB6L18Y_Quote</v>
      </c>
      <c r="K23" s="198" t="str">
        <f>_xll.qlSwapRateHelper2(,$J23,$C23,Calendar,$F23,$G23,$H23,$K$4,$I23,B23,Discounting,Permanent,,ObjectOverwrite)</f>
        <v>obj_003cc#0006</v>
      </c>
      <c r="L23" s="189" t="str">
        <f>_xll.ohRangeRetrieveError(K23)</f>
        <v/>
      </c>
      <c r="M23" s="185"/>
    </row>
    <row r="24" spans="1:13" x14ac:dyDescent="0.2">
      <c r="A24" s="183"/>
      <c r="B24" s="194" t="str">
        <f t="shared" si="4"/>
        <v>0D</v>
      </c>
      <c r="C24" s="194" t="s">
        <v>26</v>
      </c>
      <c r="D24" s="194" t="str">
        <f t="shared" ref="D24:D39" si="6">D23</f>
        <v>SB</v>
      </c>
      <c r="E24" s="194" t="s">
        <v>126</v>
      </c>
      <c r="F24" s="199" t="str">
        <f t="shared" si="0"/>
        <v>Semiannual</v>
      </c>
      <c r="G24" s="199" t="s">
        <v>125</v>
      </c>
      <c r="H24" s="199" t="str">
        <f t="shared" si="1"/>
        <v>30/360 (Bond Basis)</v>
      </c>
      <c r="I24" s="196" t="str">
        <f t="shared" si="2"/>
        <v>JPY3L6L19Y_Quote</v>
      </c>
      <c r="J24" s="197" t="str">
        <f t="shared" si="3"/>
        <v>JPYSB6L19Y_Quote</v>
      </c>
      <c r="K24" s="198" t="str">
        <f>_xll.qlSwapRateHelper2(,$J24,$C24,Calendar,$F24,$G24,$H24,$K$4,$I24,B24,Discounting,Permanent,,ObjectOverwrite)</f>
        <v>obj_003cd#0006</v>
      </c>
      <c r="L24" s="189" t="str">
        <f>_xll.ohRangeRetrieveError(K24)</f>
        <v/>
      </c>
      <c r="M24" s="185"/>
    </row>
    <row r="25" spans="1:13" x14ac:dyDescent="0.2">
      <c r="A25" s="183"/>
      <c r="B25" s="194" t="str">
        <f t="shared" si="4"/>
        <v>0D</v>
      </c>
      <c r="C25" s="194" t="s">
        <v>25</v>
      </c>
      <c r="D25" s="194" t="str">
        <f t="shared" si="6"/>
        <v>SB</v>
      </c>
      <c r="E25" s="194" t="s">
        <v>126</v>
      </c>
      <c r="F25" s="199" t="str">
        <f t="shared" si="0"/>
        <v>Semiannual</v>
      </c>
      <c r="G25" s="199" t="s">
        <v>125</v>
      </c>
      <c r="H25" s="199" t="str">
        <f t="shared" si="1"/>
        <v>30/360 (Bond Basis)</v>
      </c>
      <c r="I25" s="196" t="str">
        <f t="shared" si="2"/>
        <v>JPY3L6L20Y_Quote</v>
      </c>
      <c r="J25" s="197" t="str">
        <f t="shared" si="3"/>
        <v>JPYSB6L20Y_Quote</v>
      </c>
      <c r="K25" s="198" t="str">
        <f>_xll.qlSwapRateHelper2(,$J25,$C25,Calendar,$F25,$G25,$H25,$K$4,$I25,B25,Discounting,Permanent,,ObjectOverwrite)</f>
        <v>obj_003ce#0006</v>
      </c>
      <c r="L25" s="189" t="str">
        <f>_xll.ohRangeRetrieveError(K25)</f>
        <v/>
      </c>
      <c r="M25" s="185"/>
    </row>
    <row r="26" spans="1:13" x14ac:dyDescent="0.2">
      <c r="A26" s="183"/>
      <c r="B26" s="194" t="str">
        <f t="shared" si="4"/>
        <v>0D</v>
      </c>
      <c r="C26" s="194" t="s">
        <v>24</v>
      </c>
      <c r="D26" s="194" t="str">
        <f t="shared" si="6"/>
        <v>SB</v>
      </c>
      <c r="E26" s="194" t="s">
        <v>126</v>
      </c>
      <c r="F26" s="199" t="str">
        <f t="shared" si="0"/>
        <v>Semiannual</v>
      </c>
      <c r="G26" s="199" t="s">
        <v>125</v>
      </c>
      <c r="H26" s="199" t="str">
        <f t="shared" si="1"/>
        <v>30/360 (Bond Basis)</v>
      </c>
      <c r="I26" s="196" t="str">
        <f t="shared" si="2"/>
        <v>JPY3L6L21Y_Quote</v>
      </c>
      <c r="J26" s="197" t="str">
        <f t="shared" si="3"/>
        <v>JPYSB6L21Y_Quote</v>
      </c>
      <c r="K26" s="198" t="str">
        <f>_xll.qlSwapRateHelper2(,$J26,$C26,Calendar,$F26,$G26,$H26,$K$4,$I26,B26,Discounting,Permanent,,ObjectOverwrite)</f>
        <v>obj_003cf#0006</v>
      </c>
      <c r="L26" s="189" t="str">
        <f>_xll.ohRangeRetrieveError(K26)</f>
        <v/>
      </c>
      <c r="M26" s="185"/>
    </row>
    <row r="27" spans="1:13" x14ac:dyDescent="0.2">
      <c r="A27" s="183"/>
      <c r="B27" s="194" t="str">
        <f t="shared" si="4"/>
        <v>0D</v>
      </c>
      <c r="C27" s="194" t="s">
        <v>23</v>
      </c>
      <c r="D27" s="194" t="str">
        <f t="shared" si="6"/>
        <v>SB</v>
      </c>
      <c r="E27" s="194" t="s">
        <v>126</v>
      </c>
      <c r="F27" s="199" t="str">
        <f t="shared" si="0"/>
        <v>Semiannual</v>
      </c>
      <c r="G27" s="199" t="s">
        <v>125</v>
      </c>
      <c r="H27" s="199" t="str">
        <f t="shared" si="1"/>
        <v>30/360 (Bond Basis)</v>
      </c>
      <c r="I27" s="196" t="str">
        <f t="shared" si="2"/>
        <v>JPY3L6L22Y_Quote</v>
      </c>
      <c r="J27" s="197" t="str">
        <f t="shared" si="3"/>
        <v>JPYSB6L22Y_Quote</v>
      </c>
      <c r="K27" s="198" t="str">
        <f>_xll.qlSwapRateHelper2(,$J27,$C27,Calendar,$F27,$G27,$H27,$K$4,$I27,B27,Discounting,Permanent,,ObjectOverwrite)</f>
        <v>obj_003d0#0006</v>
      </c>
      <c r="L27" s="189" t="str">
        <f>_xll.ohRangeRetrieveError(K27)</f>
        <v/>
      </c>
      <c r="M27" s="185"/>
    </row>
    <row r="28" spans="1:13" x14ac:dyDescent="0.2">
      <c r="A28" s="183"/>
      <c r="B28" s="194" t="str">
        <f t="shared" si="4"/>
        <v>0D</v>
      </c>
      <c r="C28" s="194" t="s">
        <v>22</v>
      </c>
      <c r="D28" s="194" t="str">
        <f t="shared" si="6"/>
        <v>SB</v>
      </c>
      <c r="E28" s="194" t="s">
        <v>126</v>
      </c>
      <c r="F28" s="199" t="str">
        <f t="shared" si="0"/>
        <v>Semiannual</v>
      </c>
      <c r="G28" s="199" t="s">
        <v>125</v>
      </c>
      <c r="H28" s="199" t="str">
        <f t="shared" si="1"/>
        <v>30/360 (Bond Basis)</v>
      </c>
      <c r="I28" s="196" t="str">
        <f t="shared" si="2"/>
        <v>JPY3L6L23Y_Quote</v>
      </c>
      <c r="J28" s="197" t="str">
        <f t="shared" si="3"/>
        <v>JPYSB6L23Y_Quote</v>
      </c>
      <c r="K28" s="198" t="str">
        <f>_xll.qlSwapRateHelper2(,$J28,$C28,Calendar,$F28,$G28,$H28,$K$4,$I28,B28,Discounting,Permanent,,ObjectOverwrite)</f>
        <v>obj_003d1#0006</v>
      </c>
      <c r="L28" s="189" t="str">
        <f>_xll.ohRangeRetrieveError(K28)</f>
        <v/>
      </c>
      <c r="M28" s="185"/>
    </row>
    <row r="29" spans="1:13" x14ac:dyDescent="0.2">
      <c r="A29" s="183"/>
      <c r="B29" s="194" t="str">
        <f t="shared" si="4"/>
        <v>0D</v>
      </c>
      <c r="C29" s="194" t="s">
        <v>21</v>
      </c>
      <c r="D29" s="194" t="str">
        <f t="shared" si="6"/>
        <v>SB</v>
      </c>
      <c r="E29" s="194" t="s">
        <v>126</v>
      </c>
      <c r="F29" s="199" t="str">
        <f t="shared" si="0"/>
        <v>Semiannual</v>
      </c>
      <c r="G29" s="199" t="s">
        <v>125</v>
      </c>
      <c r="H29" s="199" t="str">
        <f t="shared" si="1"/>
        <v>30/360 (Bond Basis)</v>
      </c>
      <c r="I29" s="196" t="str">
        <f t="shared" si="2"/>
        <v>JPY3L6L24Y_Quote</v>
      </c>
      <c r="J29" s="197" t="str">
        <f t="shared" si="3"/>
        <v>JPYSB6L24Y_Quote</v>
      </c>
      <c r="K29" s="198" t="str">
        <f>_xll.qlSwapRateHelper2(,$J29,$C29,Calendar,$F29,$G29,$H29,$K$4,$I29,B29,Discounting,Permanent,,ObjectOverwrite)</f>
        <v>obj_003d2#0006</v>
      </c>
      <c r="L29" s="189" t="str">
        <f>_xll.ohRangeRetrieveError(K29)</f>
        <v/>
      </c>
      <c r="M29" s="185"/>
    </row>
    <row r="30" spans="1:13" x14ac:dyDescent="0.2">
      <c r="A30" s="183"/>
      <c r="B30" s="194" t="str">
        <f t="shared" si="4"/>
        <v>0D</v>
      </c>
      <c r="C30" s="194" t="s">
        <v>20</v>
      </c>
      <c r="D30" s="194" t="str">
        <f t="shared" si="6"/>
        <v>SB</v>
      </c>
      <c r="E30" s="194" t="s">
        <v>126</v>
      </c>
      <c r="F30" s="199" t="str">
        <f t="shared" si="0"/>
        <v>Semiannual</v>
      </c>
      <c r="G30" s="199" t="s">
        <v>125</v>
      </c>
      <c r="H30" s="199" t="str">
        <f t="shared" si="1"/>
        <v>30/360 (Bond Basis)</v>
      </c>
      <c r="I30" s="196" t="str">
        <f t="shared" si="2"/>
        <v>JPY3L6L25Y_Quote</v>
      </c>
      <c r="J30" s="197" t="str">
        <f t="shared" si="3"/>
        <v>JPYSB6L25Y_Quote</v>
      </c>
      <c r="K30" s="198" t="str">
        <f>_xll.qlSwapRateHelper2(,$J30,$C30,Calendar,$F30,$G30,$H30,$K$4,$I30,B30,Discounting,Permanent,,ObjectOverwrite)</f>
        <v>obj_003d3#0006</v>
      </c>
      <c r="L30" s="189" t="str">
        <f>_xll.ohRangeRetrieveError(K30)</f>
        <v/>
      </c>
      <c r="M30" s="185"/>
    </row>
    <row r="31" spans="1:13" x14ac:dyDescent="0.2">
      <c r="A31" s="183"/>
      <c r="B31" s="194" t="str">
        <f t="shared" si="4"/>
        <v>0D</v>
      </c>
      <c r="C31" s="194" t="s">
        <v>19</v>
      </c>
      <c r="D31" s="194" t="str">
        <f t="shared" si="6"/>
        <v>SB</v>
      </c>
      <c r="E31" s="194" t="s">
        <v>126</v>
      </c>
      <c r="F31" s="199" t="str">
        <f t="shared" si="0"/>
        <v>Semiannual</v>
      </c>
      <c r="G31" s="199" t="s">
        <v>125</v>
      </c>
      <c r="H31" s="199" t="str">
        <f t="shared" si="1"/>
        <v>30/360 (Bond Basis)</v>
      </c>
      <c r="I31" s="196" t="str">
        <f t="shared" si="2"/>
        <v>JPY3L6L26Y_Quote</v>
      </c>
      <c r="J31" s="197" t="str">
        <f t="shared" si="3"/>
        <v>JPYSB6L26Y_Quote</v>
      </c>
      <c r="K31" s="198" t="str">
        <f>_xll.qlSwapRateHelper2(,$J31,$C31,Calendar,$F31,$G31,$H31,$K$4,$I31,B31,Discounting,Permanent,,ObjectOverwrite)</f>
        <v>obj_003d4#0006</v>
      </c>
      <c r="L31" s="189" t="str">
        <f>_xll.ohRangeRetrieveError(K31)</f>
        <v/>
      </c>
      <c r="M31" s="185"/>
    </row>
    <row r="32" spans="1:13" x14ac:dyDescent="0.2">
      <c r="A32" s="183"/>
      <c r="B32" s="194" t="str">
        <f t="shared" si="4"/>
        <v>0D</v>
      </c>
      <c r="C32" s="194" t="s">
        <v>18</v>
      </c>
      <c r="D32" s="194" t="str">
        <f t="shared" si="6"/>
        <v>SB</v>
      </c>
      <c r="E32" s="194" t="s">
        <v>126</v>
      </c>
      <c r="F32" s="199" t="str">
        <f t="shared" si="0"/>
        <v>Semiannual</v>
      </c>
      <c r="G32" s="199" t="s">
        <v>125</v>
      </c>
      <c r="H32" s="199" t="str">
        <f t="shared" si="1"/>
        <v>30/360 (Bond Basis)</v>
      </c>
      <c r="I32" s="196" t="str">
        <f t="shared" si="2"/>
        <v>JPY3L6L27Y_Quote</v>
      </c>
      <c r="J32" s="197" t="str">
        <f t="shared" si="3"/>
        <v>JPYSB6L27Y_Quote</v>
      </c>
      <c r="K32" s="198" t="str">
        <f>_xll.qlSwapRateHelper2(,$J32,$C32,Calendar,$F32,$G32,$H32,$K$4,$I32,B32,Discounting,Permanent,,ObjectOverwrite)</f>
        <v>obj_003d5#0006</v>
      </c>
      <c r="L32" s="189" t="str">
        <f>_xll.ohRangeRetrieveError(K32)</f>
        <v/>
      </c>
      <c r="M32" s="185"/>
    </row>
    <row r="33" spans="1:13" x14ac:dyDescent="0.2">
      <c r="A33" s="183"/>
      <c r="B33" s="194" t="str">
        <f t="shared" si="4"/>
        <v>0D</v>
      </c>
      <c r="C33" s="194" t="s">
        <v>17</v>
      </c>
      <c r="D33" s="194" t="str">
        <f t="shared" si="6"/>
        <v>SB</v>
      </c>
      <c r="E33" s="194" t="s">
        <v>126</v>
      </c>
      <c r="F33" s="199" t="str">
        <f t="shared" si="0"/>
        <v>Semiannual</v>
      </c>
      <c r="G33" s="199" t="s">
        <v>125</v>
      </c>
      <c r="H33" s="199" t="str">
        <f t="shared" si="1"/>
        <v>30/360 (Bond Basis)</v>
      </c>
      <c r="I33" s="196" t="str">
        <f t="shared" si="2"/>
        <v>JPY3L6L28Y_Quote</v>
      </c>
      <c r="J33" s="197" t="str">
        <f t="shared" si="3"/>
        <v>JPYSB6L28Y_Quote</v>
      </c>
      <c r="K33" s="198" t="str">
        <f>_xll.qlSwapRateHelper2(,$J33,$C33,Calendar,$F33,$G33,$H33,$K$4,$I33,B33,Discounting,Permanent,,ObjectOverwrite)</f>
        <v>obj_003d6#0006</v>
      </c>
      <c r="L33" s="189" t="str">
        <f>_xll.ohRangeRetrieveError(K33)</f>
        <v/>
      </c>
      <c r="M33" s="185"/>
    </row>
    <row r="34" spans="1:13" x14ac:dyDescent="0.2">
      <c r="A34" s="183"/>
      <c r="B34" s="194" t="str">
        <f t="shared" si="4"/>
        <v>0D</v>
      </c>
      <c r="C34" s="194" t="s">
        <v>16</v>
      </c>
      <c r="D34" s="194" t="str">
        <f t="shared" si="6"/>
        <v>SB</v>
      </c>
      <c r="E34" s="194" t="s">
        <v>126</v>
      </c>
      <c r="F34" s="199" t="str">
        <f t="shared" si="0"/>
        <v>Semiannual</v>
      </c>
      <c r="G34" s="199" t="s">
        <v>125</v>
      </c>
      <c r="H34" s="199" t="str">
        <f t="shared" si="1"/>
        <v>30/360 (Bond Basis)</v>
      </c>
      <c r="I34" s="196" t="str">
        <f t="shared" si="2"/>
        <v>JPY3L6L29Y_Quote</v>
      </c>
      <c r="J34" s="197" t="str">
        <f t="shared" si="3"/>
        <v>JPYSB6L29Y_Quote</v>
      </c>
      <c r="K34" s="198" t="str">
        <f>_xll.qlSwapRateHelper2(,$J34,$C34,Calendar,$F34,$G34,$H34,$K$4,$I34,B34,Discounting,Permanent,,ObjectOverwrite)</f>
        <v>obj_003d7#0006</v>
      </c>
      <c r="L34" s="189" t="str">
        <f>_xll.ohRangeRetrieveError(K34)</f>
        <v/>
      </c>
      <c r="M34" s="185"/>
    </row>
    <row r="35" spans="1:13" x14ac:dyDescent="0.2">
      <c r="A35" s="183"/>
      <c r="B35" s="194" t="str">
        <f t="shared" si="4"/>
        <v>0D</v>
      </c>
      <c r="C35" s="194" t="s">
        <v>15</v>
      </c>
      <c r="D35" s="194" t="str">
        <f t="shared" si="6"/>
        <v>SB</v>
      </c>
      <c r="E35" s="194" t="s">
        <v>126</v>
      </c>
      <c r="F35" s="199" t="str">
        <f t="shared" si="0"/>
        <v>Semiannual</v>
      </c>
      <c r="G35" s="199" t="s">
        <v>125</v>
      </c>
      <c r="H35" s="199" t="str">
        <f t="shared" si="1"/>
        <v>30/360 (Bond Basis)</v>
      </c>
      <c r="I35" s="196" t="str">
        <f t="shared" si="2"/>
        <v>JPY3L6L30Y_Quote</v>
      </c>
      <c r="J35" s="197" t="str">
        <f t="shared" si="3"/>
        <v>JPYSB6L30Y_Quote</v>
      </c>
      <c r="K35" s="198" t="str">
        <f>_xll.qlSwapRateHelper2(,$J35,$C35,Calendar,$F35,$G35,$H35,$K$4,$I35,B35,Discounting,Permanent,,ObjectOverwrite)</f>
        <v>obj_003d8#0006</v>
      </c>
      <c r="L35" s="189" t="str">
        <f>_xll.ohRangeRetrieveError(K35)</f>
        <v/>
      </c>
      <c r="M35" s="185"/>
    </row>
    <row r="36" spans="1:13" x14ac:dyDescent="0.2">
      <c r="A36" s="183"/>
      <c r="B36" s="194" t="str">
        <f t="shared" si="4"/>
        <v>0D</v>
      </c>
      <c r="C36" s="194" t="s">
        <v>14</v>
      </c>
      <c r="D36" s="194" t="str">
        <f t="shared" si="6"/>
        <v>SB</v>
      </c>
      <c r="E36" s="194" t="s">
        <v>126</v>
      </c>
      <c r="F36" s="199" t="str">
        <f t="shared" si="0"/>
        <v>Semiannual</v>
      </c>
      <c r="G36" s="199" t="s">
        <v>125</v>
      </c>
      <c r="H36" s="199" t="str">
        <f t="shared" si="1"/>
        <v>30/360 (Bond Basis)</v>
      </c>
      <c r="I36" s="196" t="str">
        <f t="shared" si="2"/>
        <v>JPY3L6L35Y_Quote</v>
      </c>
      <c r="J36" s="197" t="str">
        <f t="shared" si="3"/>
        <v>JPYSB6L35Y_Quote</v>
      </c>
      <c r="K36" s="198" t="str">
        <f>_xll.qlSwapRateHelper2(,$J36,$C36,Calendar,$F36,$G36,$H36,$K$4,$I36,B36,Discounting,Permanent,,ObjectOverwrite)</f>
        <v>obj_003d9#0006</v>
      </c>
      <c r="L36" s="189" t="str">
        <f>_xll.ohRangeRetrieveError(K36)</f>
        <v/>
      </c>
      <c r="M36" s="185"/>
    </row>
    <row r="37" spans="1:13" x14ac:dyDescent="0.2">
      <c r="A37" s="183"/>
      <c r="B37" s="194" t="str">
        <f t="shared" si="4"/>
        <v>0D</v>
      </c>
      <c r="C37" s="194" t="s">
        <v>13</v>
      </c>
      <c r="D37" s="194" t="str">
        <f t="shared" si="6"/>
        <v>SB</v>
      </c>
      <c r="E37" s="194" t="s">
        <v>126</v>
      </c>
      <c r="F37" s="199" t="str">
        <f t="shared" si="0"/>
        <v>Semiannual</v>
      </c>
      <c r="G37" s="199" t="s">
        <v>125</v>
      </c>
      <c r="H37" s="199" t="str">
        <f t="shared" si="1"/>
        <v>30/360 (Bond Basis)</v>
      </c>
      <c r="I37" s="196" t="str">
        <f t="shared" si="2"/>
        <v>JPY3L6L40Y_Quote</v>
      </c>
      <c r="J37" s="197" t="str">
        <f t="shared" si="3"/>
        <v>JPYSB6L40Y_Quote</v>
      </c>
      <c r="K37" s="198" t="str">
        <f>_xll.qlSwapRateHelper2(,$J37,$C37,Calendar,$F37,$G37,$H37,$K$4,$I37,B37,Discounting,Permanent,,ObjectOverwrite)</f>
        <v>obj_003da#0006</v>
      </c>
      <c r="L37" s="189" t="str">
        <f>_xll.ohRangeRetrieveError(K37)</f>
        <v/>
      </c>
      <c r="M37" s="185"/>
    </row>
    <row r="38" spans="1:13" x14ac:dyDescent="0.2">
      <c r="A38" s="183"/>
      <c r="B38" s="194" t="str">
        <f t="shared" si="4"/>
        <v>0D</v>
      </c>
      <c r="C38" s="194" t="s">
        <v>12</v>
      </c>
      <c r="D38" s="194" t="str">
        <f t="shared" si="6"/>
        <v>SB</v>
      </c>
      <c r="E38" s="194" t="s">
        <v>126</v>
      </c>
      <c r="F38" s="199" t="str">
        <f t="shared" si="0"/>
        <v>Semiannual</v>
      </c>
      <c r="G38" s="199" t="s">
        <v>125</v>
      </c>
      <c r="H38" s="199" t="str">
        <f t="shared" si="1"/>
        <v>30/360 (Bond Basis)</v>
      </c>
      <c r="I38" s="196" t="str">
        <f t="shared" si="2"/>
        <v>JPY3L6L50Y_Quote</v>
      </c>
      <c r="J38" s="197" t="str">
        <f t="shared" si="3"/>
        <v>JPYSB6L50Y_Quote</v>
      </c>
      <c r="K38" s="198" t="str">
        <f>_xll.qlSwapRateHelper2(,$J38,$C38,Calendar,$F38,$G38,$H38,$K$4,$I38,B38,Discounting,Permanent,,ObjectOverwrite)</f>
        <v>obj_003db#0006</v>
      </c>
      <c r="L38" s="189" t="str">
        <f>_xll.ohRangeRetrieveError(K38)</f>
        <v/>
      </c>
      <c r="M38" s="185"/>
    </row>
    <row r="39" spans="1:13" x14ac:dyDescent="0.2">
      <c r="A39" s="183"/>
      <c r="B39" s="194" t="str">
        <f t="shared" si="4"/>
        <v>0D</v>
      </c>
      <c r="C39" s="194" t="s">
        <v>11</v>
      </c>
      <c r="D39" s="194" t="str">
        <f t="shared" si="6"/>
        <v>SB</v>
      </c>
      <c r="E39" s="194" t="s">
        <v>126</v>
      </c>
      <c r="F39" s="199" t="str">
        <f t="shared" si="0"/>
        <v>Semiannual</v>
      </c>
      <c r="G39" s="199" t="s">
        <v>125</v>
      </c>
      <c r="H39" s="199" t="str">
        <f t="shared" si="1"/>
        <v>30/360 (Bond Basis)</v>
      </c>
      <c r="I39" s="196" t="str">
        <f t="shared" si="2"/>
        <v>JPY3L6L60Y_Quote</v>
      </c>
      <c r="J39" s="197" t="str">
        <f t="shared" si="3"/>
        <v>JPYSB6L60Y_Quote</v>
      </c>
      <c r="K39" s="198" t="str">
        <f>_xll.qlSwapRateHelper2(,$J39,$C39,Calendar,$F39,$G39,$H39,$K$4,$I39,B39,Discounting,Permanent,,ObjectOverwrite)</f>
        <v>obj_003dc#0006</v>
      </c>
      <c r="L39" s="189" t="str">
        <f>_xll.ohRangeRetrieveError(K39)</f>
        <v/>
      </c>
      <c r="M39" s="185"/>
    </row>
    <row r="40" spans="1:13" ht="12" thickBot="1" x14ac:dyDescent="0.25">
      <c r="A40" s="209"/>
      <c r="B40" s="210"/>
      <c r="C40" s="210"/>
      <c r="D40" s="210"/>
      <c r="E40" s="210"/>
      <c r="F40" s="210"/>
      <c r="G40" s="210"/>
      <c r="H40" s="210"/>
      <c r="I40" s="210"/>
      <c r="J40" s="210"/>
      <c r="K40" s="211"/>
      <c r="L40" s="211"/>
      <c r="M40" s="212"/>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23" workbookViewId="0">
      <selection activeCell="J20" sqref="J20"/>
    </sheetView>
  </sheetViews>
  <sheetFormatPr defaultRowHeight="11.25" outlineLevelRow="1" outlineLevelCol="1" x14ac:dyDescent="0.2"/>
  <cols>
    <col min="1" max="1" width="7.7109375" style="1" customWidth="1"/>
    <col min="2" max="2" width="6" style="226" bestFit="1" customWidth="1"/>
    <col min="3" max="3" width="17.28515625" style="226" bestFit="1" customWidth="1"/>
    <col min="4" max="4" width="7" style="1" bestFit="1" customWidth="1"/>
    <col min="5" max="5" width="17.28515625" style="1" bestFit="1" customWidth="1"/>
    <col min="6" max="6" width="11" style="226" bestFit="1" customWidth="1"/>
    <col min="7" max="7" width="7.28515625" style="226" customWidth="1"/>
    <col min="8" max="8" width="10.140625" style="226" customWidth="1"/>
    <col min="9" max="9" width="11.42578125" style="226" customWidth="1"/>
    <col min="10" max="10" width="15.7109375" style="226" customWidth="1"/>
    <col min="11" max="11" width="13.5703125" style="226" customWidth="1"/>
    <col min="12" max="12" width="14.5703125" style="226" customWidth="1"/>
    <col min="13" max="13" width="15.140625" style="226" hidden="1" customWidth="1"/>
    <col min="14" max="14" width="19.285156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231"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226" customFormat="1" ht="11.25" hidden="1" customHeight="1" outlineLevel="1" thickBot="1" x14ac:dyDescent="0.25">
      <c r="A1" s="222"/>
      <c r="B1" s="223" t="s">
        <v>154</v>
      </c>
      <c r="C1" s="224"/>
      <c r="D1" s="224"/>
      <c r="E1" s="224"/>
      <c r="F1" s="224"/>
      <c r="G1" s="223" t="s">
        <v>155</v>
      </c>
      <c r="H1" s="224"/>
      <c r="I1" s="224"/>
      <c r="J1" s="224"/>
      <c r="K1" s="224"/>
      <c r="L1" s="225"/>
      <c r="M1" s="204"/>
      <c r="N1" s="1"/>
    </row>
    <row r="2" spans="1:28" ht="11.25" hidden="1" customHeight="1" outlineLevel="1" thickBot="1" x14ac:dyDescent="0.25">
      <c r="A2" s="227"/>
      <c r="B2" s="228" t="s">
        <v>156</v>
      </c>
      <c r="C2" s="228" t="s">
        <v>157</v>
      </c>
      <c r="D2" s="228" t="s">
        <v>98</v>
      </c>
      <c r="E2" s="228" t="s">
        <v>158</v>
      </c>
      <c r="F2" s="229" t="s">
        <v>159</v>
      </c>
      <c r="G2" s="228" t="s">
        <v>157</v>
      </c>
      <c r="H2" s="228" t="s">
        <v>158</v>
      </c>
      <c r="I2" s="228" t="s">
        <v>159</v>
      </c>
      <c r="J2" s="230" t="s">
        <v>160</v>
      </c>
      <c r="K2" s="228" t="s">
        <v>161</v>
      </c>
      <c r="L2" s="225"/>
      <c r="M2" s="204"/>
    </row>
    <row r="3" spans="1:28" ht="11.25" hidden="1" customHeight="1" outlineLevel="1" x14ac:dyDescent="0.2">
      <c r="A3" s="232"/>
      <c r="B3" s="233" t="str">
        <f>_xll.qlPeriodEquivalent(D3&amp;"M")</f>
        <v>1Y</v>
      </c>
      <c r="C3" s="234">
        <f>_xll.qlDateEndOfMonth(EDATE(_xll.qlSettingsEvaluationDate(Trigger),-1))</f>
        <v>41790</v>
      </c>
      <c r="D3" s="235">
        <v>12</v>
      </c>
      <c r="E3" s="234">
        <f t="shared" ref="E3:E16" si="0">EDATE($Y$19,D3)</f>
        <v>42165</v>
      </c>
      <c r="F3" s="236">
        <f>IF(D3&lt;=12,1,IF(D3&lt;=24,3,IF(D3&lt;=120,6,IF(D3&lt;=240,12,IF(D3&lt;=360,36,60)))))</f>
        <v>1</v>
      </c>
      <c r="G3" s="237">
        <f>ROUNDDOWN(J3*10,2)/10</f>
        <v>1E-3</v>
      </c>
      <c r="H3" s="238">
        <f>IF(K3-J3&gt;1%,(QUOTIENT(K3*10000,50)+1)*0.5%,(QUOTIENT(K3*10000,10)+1)*0.1%)</f>
        <v>2E-3</v>
      </c>
      <c r="I3" s="239">
        <f>IF(H3-G3&lt;0.15%,0.02%,IF(H3-G3&lt;0.5%,0.05%,IF(H3-G3&lt;1%,0.1%,IF(H3-G3&lt;2%,0.25%,0.5%))))</f>
        <v>2.0000000000000001E-4</v>
      </c>
      <c r="J3" s="238">
        <f>MIN(_xll.ohPack($Z$19:INDEX($Z$19:$Z$3552,MATCH(E3+1,$Y$19:$Y$3552,1),1)))</f>
        <v>1.3434276761341473E-3</v>
      </c>
      <c r="K3" s="239">
        <f>MAX(_xll.ohPack($Z$19:INDEX($Z$19:$Z$3552,MATCH(E3+1,$Y$19:$Y$3552,1),1)))</f>
        <v>1.3506493015924548E-3</v>
      </c>
      <c r="L3" s="225"/>
      <c r="M3" s="204"/>
    </row>
    <row r="4" spans="1:28" ht="11.25" hidden="1" customHeight="1" outlineLevel="1" x14ac:dyDescent="0.2">
      <c r="A4" s="240"/>
      <c r="B4" s="241" t="str">
        <f>_xll.qlPeriodEquivalent(D4&amp;"M")</f>
        <v>2Y</v>
      </c>
      <c r="C4" s="242">
        <f>_xll.qlDateEndOfMonth(EDATE(_xll.qlIMMNextDate(_xll.qlSettingsEvaluationDate(Trigger)-1,TRUE),-3))</f>
        <v>41729</v>
      </c>
      <c r="D4" s="243">
        <v>24</v>
      </c>
      <c r="E4" s="242">
        <f t="shared" si="0"/>
        <v>42531</v>
      </c>
      <c r="F4" s="244">
        <f t="shared" ref="F4:F16" si="1">IF(D4&lt;=12,1,IF(D4&lt;=24,3,IF(D4&lt;=120,6,IF(D4&lt;=240,12,IF(D4&lt;=360,36,60)))))</f>
        <v>3</v>
      </c>
      <c r="G4" s="245">
        <f t="shared" ref="G4:G16" si="2">ROUNDDOWN(J4*10,2)/10</f>
        <v>1E-3</v>
      </c>
      <c r="H4" s="246">
        <f t="shared" ref="H4:H16" si="3">IF(K4-J4&gt;1%,(QUOTIENT(K4*10000,50)+1)*0.5%,(QUOTIENT(K4*10000,10)+1)*0.1%)</f>
        <v>2E-3</v>
      </c>
      <c r="I4" s="247">
        <f t="shared" ref="I4:I16" si="4">IF(H4-G4&lt;0.15%,0.02%,IF(H4-G4&lt;0.5%,0.05%,IF(H4-G4&lt;1%,0.1%,IF(H4-G4&lt;2%,0.25%,0.5%))))</f>
        <v>2.0000000000000001E-4</v>
      </c>
      <c r="J4" s="246">
        <f>MIN(_xll.ohPack($Z$19:INDEX($Z$19:$Z$3552,MATCH(E4+1,$Y$19:$Y$3552,1),1)))</f>
        <v>1.2738383826626334E-3</v>
      </c>
      <c r="K4" s="247">
        <f>MAX(_xll.ohPack($Z$19:INDEX($Z$19:$Z$3552,MATCH(E4+1,$Y$19:$Y$3552,1),1)))</f>
        <v>1.4004534357956724E-3</v>
      </c>
      <c r="L4" s="225"/>
      <c r="M4" s="204"/>
    </row>
    <row r="5" spans="1:28" ht="11.25" hidden="1" customHeight="1" outlineLevel="1" x14ac:dyDescent="0.2">
      <c r="A5" s="240"/>
      <c r="B5" s="241" t="str">
        <f>_xll.qlPeriodEquivalent(D5&amp;"M")</f>
        <v>5Y</v>
      </c>
      <c r="C5" s="2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43">
        <v>60</v>
      </c>
      <c r="E5" s="242">
        <f t="shared" si="0"/>
        <v>43626</v>
      </c>
      <c r="F5" s="244">
        <f t="shared" si="1"/>
        <v>6</v>
      </c>
      <c r="G5" s="245">
        <f t="shared" si="2"/>
        <v>1E-3</v>
      </c>
      <c r="H5" s="246">
        <f t="shared" si="3"/>
        <v>6.0000000000000001E-3</v>
      </c>
      <c r="I5" s="247">
        <f t="shared" si="4"/>
        <v>1E-3</v>
      </c>
      <c r="J5" s="246">
        <f>MIN(_xll.ohPack($Z$19:INDEX($Z$19:$Z$3552,MATCH(E5+1,$Y$19:$Y$3552,1),1)))</f>
        <v>1.2738383826626334E-3</v>
      </c>
      <c r="K5" s="247">
        <f>MAX(_xll.ohPack($Z$19:INDEX($Z$19:$Z$3552,MATCH(E5+1,$Y$19:$Y$3552,1),1)))</f>
        <v>5.458562162196718E-3</v>
      </c>
      <c r="L5" s="225"/>
      <c r="M5" s="204"/>
    </row>
    <row r="6" spans="1:28" ht="11.25" hidden="1" customHeight="1" outlineLevel="1" x14ac:dyDescent="0.2">
      <c r="A6" s="248" t="s">
        <v>162</v>
      </c>
      <c r="B6" s="241" t="str">
        <f>_xll.qlPeriodEquivalent(D6&amp;"M")</f>
        <v>10Y</v>
      </c>
      <c r="C6" s="242">
        <f t="shared" ref="C6:C9" si="5">C5</f>
        <v>41639</v>
      </c>
      <c r="D6" s="243">
        <v>120</v>
      </c>
      <c r="E6" s="242">
        <f t="shared" si="0"/>
        <v>45453</v>
      </c>
      <c r="F6" s="244">
        <f t="shared" si="1"/>
        <v>6</v>
      </c>
      <c r="G6" s="245">
        <f t="shared" si="2"/>
        <v>1E-3</v>
      </c>
      <c r="H6" s="246">
        <f t="shared" si="3"/>
        <v>1.4999999999999999E-2</v>
      </c>
      <c r="I6" s="247">
        <f t="shared" si="4"/>
        <v>2.5000000000000001E-3</v>
      </c>
      <c r="J6" s="246">
        <f>MIN(_xll.ohPack($Z$19:INDEX($Z$19:$Z$3552,MATCH(E6+1,$Y$19:$Y$3552,1),1)))</f>
        <v>1.2738383826626334E-3</v>
      </c>
      <c r="K6" s="247">
        <f>MAX(_xll.ohPack($Z$19:INDEX($Z$19:$Z$3552,MATCH(E6+1,$Y$19:$Y$3552,1),1)))</f>
        <v>1.4825597960779396E-2</v>
      </c>
      <c r="L6" s="225"/>
      <c r="M6" s="204"/>
    </row>
    <row r="7" spans="1:28" ht="11.25" hidden="1" customHeight="1" outlineLevel="1" x14ac:dyDescent="0.2">
      <c r="A7" s="240"/>
      <c r="B7" s="241" t="str">
        <f>_xll.qlPeriodEquivalent(D7&amp;"M")</f>
        <v>20Y</v>
      </c>
      <c r="C7" s="242">
        <f>IF(AND(MONTH(C6)=12),C6,_xll.qlDateEndOfMonth(EDATE(C6,-6)))</f>
        <v>41639</v>
      </c>
      <c r="D7" s="243">
        <v>240</v>
      </c>
      <c r="E7" s="242">
        <f t="shared" si="0"/>
        <v>49105</v>
      </c>
      <c r="F7" s="249">
        <f t="shared" si="1"/>
        <v>12</v>
      </c>
      <c r="G7" s="245">
        <f t="shared" si="2"/>
        <v>1E-3</v>
      </c>
      <c r="H7" s="246">
        <f t="shared" si="3"/>
        <v>2.5000000000000001E-2</v>
      </c>
      <c r="I7" s="247">
        <f t="shared" si="4"/>
        <v>5.0000000000000001E-3</v>
      </c>
      <c r="J7" s="250">
        <f>MIN(_xll.ohPack($Z$19:INDEX($Z$19:$Z$3552,MATCH(E7+1,$Y$19:$Y$3552,1),1)))</f>
        <v>1.2738383826626334E-3</v>
      </c>
      <c r="K7" s="247">
        <f>MAX(_xll.ohPack($Z$19:INDEX($Z$19:$Z$3552,MATCH(E7+1,$Y$19:$Y$3552,1),1)))</f>
        <v>2.4496177500309076E-2</v>
      </c>
      <c r="L7" s="225"/>
      <c r="M7" s="204"/>
    </row>
    <row r="8" spans="1:28" ht="11.25" hidden="1" customHeight="1" outlineLevel="1" x14ac:dyDescent="0.2">
      <c r="A8" s="240"/>
      <c r="B8" s="241" t="str">
        <f>_xll.qlPeriodEquivalent(D8&amp;"M")</f>
        <v>30Y</v>
      </c>
      <c r="C8" s="242">
        <f t="shared" si="5"/>
        <v>41639</v>
      </c>
      <c r="D8" s="243">
        <v>360</v>
      </c>
      <c r="E8" s="242">
        <f t="shared" si="0"/>
        <v>52758</v>
      </c>
      <c r="F8" s="249">
        <f t="shared" si="1"/>
        <v>36</v>
      </c>
      <c r="G8" s="245">
        <f t="shared" si="2"/>
        <v>1E-3</v>
      </c>
      <c r="H8" s="246">
        <f t="shared" si="3"/>
        <v>2.5000000000000001E-2</v>
      </c>
      <c r="I8" s="247">
        <f t="shared" si="4"/>
        <v>5.0000000000000001E-3</v>
      </c>
      <c r="J8" s="250">
        <f>MIN(_xll.ohPack($Z$19:INDEX($Z$19:$Z$3552,MATCH(E8+1,$Y$19:$Y$3552,1),1)))</f>
        <v>1.2738383826626334E-3</v>
      </c>
      <c r="K8" s="247">
        <f>MAX(_xll.ohPack($Z$19:INDEX($Z$19:$Z$3552,MATCH(E8+1,$Y$19:$Y$3552,1),1)))</f>
        <v>2.4496177500309076E-2</v>
      </c>
      <c r="L8" s="225"/>
      <c r="M8" s="204"/>
    </row>
    <row r="9" spans="1:28" ht="11.25" hidden="1" customHeight="1" outlineLevel="1" thickBot="1" x14ac:dyDescent="0.25">
      <c r="A9" s="240"/>
      <c r="B9" s="241" t="str">
        <f>_xll.qlPeriodEquivalent(D9&amp;"M")</f>
        <v>60Y</v>
      </c>
      <c r="C9" s="242">
        <f t="shared" si="5"/>
        <v>41639</v>
      </c>
      <c r="D9" s="243">
        <v>720</v>
      </c>
      <c r="E9" s="242">
        <f t="shared" si="0"/>
        <v>63715</v>
      </c>
      <c r="F9" s="249">
        <f t="shared" si="1"/>
        <v>60</v>
      </c>
      <c r="G9" s="245">
        <f t="shared" si="2"/>
        <v>1E-3</v>
      </c>
      <c r="H9" s="246">
        <f t="shared" si="3"/>
        <v>2.5000000000000001E-2</v>
      </c>
      <c r="I9" s="247">
        <f t="shared" si="4"/>
        <v>5.0000000000000001E-3</v>
      </c>
      <c r="J9" s="250">
        <f>MIN(_xll.ohPack($Z$19:INDEX($Z$19:$Z$3552,MATCH(E9+1,$Y$19:$Y$3552,1),1)))</f>
        <v>1.2738383826626334E-3</v>
      </c>
      <c r="K9" s="247">
        <f>MAX(_xll.ohPack($Z$19:INDEX($Z$19:$Z$3552,MATCH(E9+1,$Y$19:$Y$3552,1),1)))</f>
        <v>2.4496177500309076E-2</v>
      </c>
      <c r="L9" s="225"/>
      <c r="M9" s="204"/>
      <c r="AB9" s="251"/>
    </row>
    <row r="10" spans="1:28" ht="11.25" hidden="1" customHeight="1" outlineLevel="1" x14ac:dyDescent="0.2">
      <c r="A10" s="232"/>
      <c r="B10" s="233" t="str">
        <f>_xll.qlPeriodEquivalent(D10&amp;"M")</f>
        <v>1Y</v>
      </c>
      <c r="C10" s="234">
        <f>C3</f>
        <v>41790</v>
      </c>
      <c r="D10" s="235">
        <v>12</v>
      </c>
      <c r="E10" s="234">
        <f t="shared" si="0"/>
        <v>42165</v>
      </c>
      <c r="F10" s="236">
        <f t="shared" si="1"/>
        <v>1</v>
      </c>
      <c r="G10" s="237">
        <f t="shared" si="2"/>
        <v>1E-3</v>
      </c>
      <c r="H10" s="238">
        <f t="shared" si="3"/>
        <v>2E-3</v>
      </c>
      <c r="I10" s="239">
        <f t="shared" si="4"/>
        <v>2.0000000000000001E-4</v>
      </c>
      <c r="J10" s="238">
        <f>MIN(_xll.ohPack($AA$19:INDEX($AA$19:$AA$3552,MATCH(E10+1,$Y$19:$Y$3552,1),1)))</f>
        <v>1.3411542466190696E-3</v>
      </c>
      <c r="K10" s="239">
        <f>MAX(_xll.ohPack($AA$19:INDEX($AA$19:$AA$3552,MATCH(E10+1,$Y$19:$Y$3552,1),1)))</f>
        <v>1.3513834189282647E-3</v>
      </c>
      <c r="L10" s="225"/>
      <c r="M10" s="204"/>
    </row>
    <row r="11" spans="1:28" ht="11.25" hidden="1" customHeight="1" outlineLevel="1" x14ac:dyDescent="0.2">
      <c r="A11" s="240"/>
      <c r="B11" s="241" t="str">
        <f>_xll.qlPeriodEquivalent(D11&amp;"M")</f>
        <v>2Y</v>
      </c>
      <c r="C11" s="242">
        <f t="shared" ref="C11:C15" si="6">C4</f>
        <v>41729</v>
      </c>
      <c r="D11" s="243">
        <v>24</v>
      </c>
      <c r="E11" s="242">
        <f t="shared" si="0"/>
        <v>42531</v>
      </c>
      <c r="F11" s="244">
        <f t="shared" si="1"/>
        <v>3</v>
      </c>
      <c r="G11" s="245">
        <f t="shared" si="2"/>
        <v>1E-3</v>
      </c>
      <c r="H11" s="246">
        <f t="shared" si="3"/>
        <v>2E-3</v>
      </c>
      <c r="I11" s="247">
        <f t="shared" si="4"/>
        <v>2.0000000000000001E-4</v>
      </c>
      <c r="J11" s="246">
        <f>MIN(_xll.ohPack($AA$19:INDEX($AA$19:$AA$3552,MATCH(E11+1,$Y$19:$Y$3552,1),1)))</f>
        <v>1.2678192304793612E-3</v>
      </c>
      <c r="K11" s="247">
        <f>MAX(_xll.ohPack($AA$19:INDEX($AA$19:$AA$3552,MATCH(E11+1,$Y$19:$Y$3552,1),1)))</f>
        <v>1.4074491097915143E-3</v>
      </c>
      <c r="L11" s="225"/>
      <c r="M11" s="204"/>
    </row>
    <row r="12" spans="1:28" ht="11.25" hidden="1" customHeight="1" outlineLevel="1" x14ac:dyDescent="0.2">
      <c r="A12" s="240"/>
      <c r="B12" s="241" t="str">
        <f>_xll.qlPeriodEquivalent(D12&amp;"M")</f>
        <v>5Y</v>
      </c>
      <c r="C12" s="242">
        <f t="shared" si="6"/>
        <v>41639</v>
      </c>
      <c r="D12" s="243">
        <v>60</v>
      </c>
      <c r="E12" s="242">
        <f t="shared" si="0"/>
        <v>43626</v>
      </c>
      <c r="F12" s="244">
        <f t="shared" si="1"/>
        <v>6</v>
      </c>
      <c r="G12" s="245">
        <f t="shared" si="2"/>
        <v>1E-3</v>
      </c>
      <c r="H12" s="246">
        <f t="shared" si="3"/>
        <v>6.0000000000000001E-3</v>
      </c>
      <c r="I12" s="247">
        <f t="shared" si="4"/>
        <v>1E-3</v>
      </c>
      <c r="J12" s="246">
        <f>MIN(_xll.ohPack($AA$19:INDEX($AA$19:$AA$3552,MATCH(E12+1,$Y$19:$Y$3552,1),1)))</f>
        <v>1.2678192304793612E-3</v>
      </c>
      <c r="K12" s="247">
        <f>MAX(_xll.ohPack($AA$19:INDEX($AA$19:$AA$3552,MATCH(E12+1,$Y$19:$Y$3552,1),1)))</f>
        <v>5.1286882200329842E-3</v>
      </c>
      <c r="L12" s="225"/>
      <c r="M12" s="204"/>
    </row>
    <row r="13" spans="1:28" ht="11.25" hidden="1" customHeight="1" outlineLevel="1" x14ac:dyDescent="0.2">
      <c r="A13" s="248" t="s">
        <v>163</v>
      </c>
      <c r="B13" s="241" t="str">
        <f>_xll.qlPeriodEquivalent(D13&amp;"M")</f>
        <v>10Y</v>
      </c>
      <c r="C13" s="242">
        <f t="shared" si="6"/>
        <v>41639</v>
      </c>
      <c r="D13" s="243">
        <v>120</v>
      </c>
      <c r="E13" s="242">
        <f t="shared" si="0"/>
        <v>45453</v>
      </c>
      <c r="F13" s="244">
        <f t="shared" si="1"/>
        <v>6</v>
      </c>
      <c r="G13" s="245">
        <f t="shared" si="2"/>
        <v>1E-3</v>
      </c>
      <c r="H13" s="246">
        <f t="shared" si="3"/>
        <v>1.4999999999999999E-2</v>
      </c>
      <c r="I13" s="247">
        <f t="shared" si="4"/>
        <v>2.5000000000000001E-3</v>
      </c>
      <c r="J13" s="246">
        <f>MIN(_xll.ohPack($AA$19:INDEX($AA$19:$AA$3552,MATCH(E13+1,$Y$19:$Y$3552,1),1)))</f>
        <v>1.2678192304793612E-3</v>
      </c>
      <c r="K13" s="247">
        <f>MAX(_xll.ohPack($AA$19:INDEX($AA$19:$AA$3552,MATCH(E13+1,$Y$19:$Y$3552,1),1)))</f>
        <v>1.4541380930896963E-2</v>
      </c>
      <c r="L13" s="225"/>
      <c r="M13" s="204"/>
    </row>
    <row r="14" spans="1:28" ht="11.25" hidden="1" customHeight="1" outlineLevel="1" x14ac:dyDescent="0.2">
      <c r="A14" s="240"/>
      <c r="B14" s="241" t="str">
        <f>_xll.qlPeriodEquivalent(D14&amp;"M")</f>
        <v>20Y</v>
      </c>
      <c r="C14" s="242">
        <f t="shared" si="6"/>
        <v>41639</v>
      </c>
      <c r="D14" s="243">
        <v>240</v>
      </c>
      <c r="E14" s="242">
        <f t="shared" si="0"/>
        <v>49105</v>
      </c>
      <c r="F14" s="249">
        <f>IF(D14&lt;=12,1,IF(D14&lt;=24,3,IF(D14&lt;=120,6,IF(D14&lt;=240,12,IF(D14&lt;=360,36,60)))))</f>
        <v>12</v>
      </c>
      <c r="G14" s="245">
        <f>ROUNDDOWN(J14*10,2)/10</f>
        <v>1E-3</v>
      </c>
      <c r="H14" s="246">
        <f t="shared" si="3"/>
        <v>2.5000000000000001E-2</v>
      </c>
      <c r="I14" s="247">
        <f t="shared" si="4"/>
        <v>5.0000000000000001E-3</v>
      </c>
      <c r="J14" s="250">
        <f>MIN(_xll.ohPack($AA$19:INDEX($AA$19:$AA$3552,MATCH(E14+1,$Y$19:$Y$3552,1),1)))</f>
        <v>1.2678192304793612E-3</v>
      </c>
      <c r="K14" s="247">
        <f>MAX(_xll.ohPack($AA$19:INDEX($AA$19:$AA$3552,MATCH(E14+1,$Y$19:$Y$3552,1),1)))</f>
        <v>2.442416736422981E-2</v>
      </c>
      <c r="L14" s="225"/>
      <c r="M14" s="204"/>
    </row>
    <row r="15" spans="1:28" ht="11.25" hidden="1" customHeight="1" outlineLevel="1" x14ac:dyDescent="0.2">
      <c r="A15" s="240"/>
      <c r="B15" s="241" t="str">
        <f>_xll.qlPeriodEquivalent(D15&amp;"M")</f>
        <v>30Y</v>
      </c>
      <c r="C15" s="242">
        <f t="shared" si="6"/>
        <v>41639</v>
      </c>
      <c r="D15" s="243">
        <v>360</v>
      </c>
      <c r="E15" s="242">
        <f t="shared" si="0"/>
        <v>52758</v>
      </c>
      <c r="F15" s="249">
        <f t="shared" si="1"/>
        <v>36</v>
      </c>
      <c r="G15" s="245">
        <f t="shared" si="2"/>
        <v>1E-3</v>
      </c>
      <c r="H15" s="246">
        <f t="shared" si="3"/>
        <v>2.5000000000000001E-2</v>
      </c>
      <c r="I15" s="247">
        <f t="shared" si="4"/>
        <v>5.0000000000000001E-3</v>
      </c>
      <c r="J15" s="250">
        <f>MIN(_xll.ohPack($AA$19:INDEX($AA$19:$AA$3552,MATCH(E15+1,$Y$19:$Y$3552,1),1)))</f>
        <v>1.2678192304793612E-3</v>
      </c>
      <c r="K15" s="247">
        <f>MAX(_xll.ohPack($AA$19:INDEX($AA$19:$AA$3552,MATCH(E15+1,$Y$19:$Y$3552,1),1)))</f>
        <v>2.442416736422981E-2</v>
      </c>
      <c r="L15" s="225"/>
      <c r="M15" s="204"/>
      <c r="O15" s="226"/>
      <c r="P15" s="226"/>
      <c r="Q15" s="226"/>
      <c r="R15" s="226"/>
      <c r="S15" s="226"/>
      <c r="T15" s="252"/>
      <c r="U15" s="226"/>
      <c r="V15" s="226"/>
      <c r="Z15" s="253" t="s">
        <v>164</v>
      </c>
      <c r="AA15" s="253" t="s">
        <v>165</v>
      </c>
    </row>
    <row r="16" spans="1:28" ht="11.25" hidden="1" customHeight="1" outlineLevel="1" thickBot="1" x14ac:dyDescent="0.25">
      <c r="A16" s="254"/>
      <c r="B16" s="255" t="str">
        <f>_xll.qlPeriodEquivalent(D16&amp;"M")</f>
        <v>60Y</v>
      </c>
      <c r="C16" s="256">
        <f>C9</f>
        <v>41639</v>
      </c>
      <c r="D16" s="257">
        <v>720</v>
      </c>
      <c r="E16" s="256">
        <f t="shared" si="0"/>
        <v>63715</v>
      </c>
      <c r="F16" s="258">
        <f t="shared" si="1"/>
        <v>60</v>
      </c>
      <c r="G16" s="259">
        <f t="shared" si="2"/>
        <v>1E-3</v>
      </c>
      <c r="H16" s="260">
        <f t="shared" si="3"/>
        <v>2.5000000000000001E-2</v>
      </c>
      <c r="I16" s="261">
        <f t="shared" si="4"/>
        <v>5.0000000000000001E-3</v>
      </c>
      <c r="J16" s="262">
        <f>MIN(_xll.ohPack($AA$19:INDEX($AA$19:$AA$3552,MATCH(E16+1,$Y$19:$Y$3552,1),1)))</f>
        <v>1.2678192304793612E-3</v>
      </c>
      <c r="K16" s="261">
        <f>MAX(_xll.ohPack($AA$19:INDEX($AA$19:$AA$3552,MATCH(E16+1,$Y$19:$Y$3552,1),1)))</f>
        <v>2.442416736422981E-2</v>
      </c>
      <c r="L16" s="225"/>
      <c r="M16" s="204"/>
      <c r="V16" s="263"/>
      <c r="Z16" s="264" t="str">
        <f>_xll.qlLibor(,Currency,IndexTenor,YieldCurve,,Trigger)</f>
        <v>obj_00441#0007</v>
      </c>
      <c r="AA16" s="264" t="str">
        <f>_xll.qlOvernightIndex(,"Tonar",0,Currency,Calendar,MoneyMarketDayCounter,YieldCurve,,Trigger)</f>
        <v>obj_00440#0007</v>
      </c>
    </row>
    <row r="17" spans="10:27" ht="12" collapsed="1" thickBot="1" x14ac:dyDescent="0.25"/>
    <row r="18" spans="10:27" ht="12" thickBot="1" x14ac:dyDescent="0.25">
      <c r="M18" s="265" t="s">
        <v>71</v>
      </c>
      <c r="N18" s="265" t="s">
        <v>166</v>
      </c>
      <c r="O18" s="266" t="s">
        <v>167</v>
      </c>
      <c r="P18" s="266" t="s">
        <v>70</v>
      </c>
      <c r="Q18" s="266" t="s">
        <v>168</v>
      </c>
      <c r="R18" s="266" t="s">
        <v>169</v>
      </c>
      <c r="S18" s="266" t="s">
        <v>170</v>
      </c>
      <c r="T18" s="267" t="s">
        <v>171</v>
      </c>
      <c r="U18" s="253" t="s">
        <v>172</v>
      </c>
      <c r="W18" s="268" t="s">
        <v>173</v>
      </c>
      <c r="X18" s="269" t="s">
        <v>169</v>
      </c>
      <c r="Y18" s="269" t="s">
        <v>167</v>
      </c>
      <c r="Z18" s="270" t="s">
        <v>174</v>
      </c>
      <c r="AA18" s="271" t="s">
        <v>163</v>
      </c>
    </row>
    <row r="19" spans="10:27" ht="12" thickBot="1" x14ac:dyDescent="0.25">
      <c r="J19" s="272" t="s">
        <v>175</v>
      </c>
      <c r="M19" s="273" t="str">
        <f t="array" ref="M19:M36">_xll.ohFilter(RateHelpers!E9:E19,IF(ISERROR(RateHelpers!G9:G19),FALSE,TRUE))</f>
        <v>obj_00410#0003</v>
      </c>
      <c r="N19" s="276" t="str">
        <f>_xll.qlRateHelperQuoteName(M19)</f>
        <v>JPY1x4F_Quote</v>
      </c>
      <c r="O19" s="277">
        <f>_xll.qlRateHelperEarliestDate(M19,Trigger)</f>
        <v>41830</v>
      </c>
      <c r="P19" s="278">
        <f>_xll.qlRateHelperQuoteValue(M19,_xll.ohTrigger(RecalcTrigger,Trigger))</f>
        <v>1.3500000000000001E-3</v>
      </c>
      <c r="Q19" s="278" t="e">
        <f>NA()</f>
        <v>#N/A</v>
      </c>
      <c r="R19" s="277">
        <f>_xll.qlInterestRateIndexFixingDate(IborIndex,O19,_xll.ohTrigger(RecalcTrigger,Trigger))</f>
        <v>41828</v>
      </c>
      <c r="S19" s="278">
        <f>_xll.qlIndexFixing(IborIndex,R19,TRUE,RecalcTrigger)</f>
        <v>1.3500000000001555E-3</v>
      </c>
      <c r="T19" s="279">
        <f>S19-P19</f>
        <v>1.5547459153442134E-16</v>
      </c>
      <c r="U19" s="280">
        <f t="array" ref="U19">MAX(ABS(T19:T28))</f>
        <v>9.6824813716409053E-7</v>
      </c>
      <c r="W19" s="203" t="s">
        <v>118</v>
      </c>
      <c r="X19" s="281">
        <f>_xll.qlSettingsEvaluationDate(Trigger)</f>
        <v>41796</v>
      </c>
      <c r="Y19" s="281">
        <f>_xll.qlCalendarAdvance(Calendar,X19,NDays&amp;"D")</f>
        <v>41800</v>
      </c>
      <c r="Z19" s="282">
        <f t="array" ref="Z19:Z3552">IFERROR(_xll.qlIndexFixing(IborIndex,X19:X3552,TRUE,RecalcTrigger),NA())</f>
        <v>1.3500490403058848E-3</v>
      </c>
      <c r="AA19" s="284">
        <f t="array" ref="AA19:AA3552">IFERROR(_xll.qlIndexFixing(OverNightIndex,Y19:Y3552,TRUE,RecalcTrigger),NA())</f>
        <v>1.3499832201713247E-3</v>
      </c>
    </row>
    <row r="20" spans="10:27" ht="12" thickBot="1" x14ac:dyDescent="0.25">
      <c r="J20" s="286"/>
      <c r="M20" s="274" t="str">
        <v>obj_0040e#0003</v>
      </c>
      <c r="N20" s="203" t="str">
        <f>_xll.qlRateHelperQuoteName(M20)</f>
        <v>JPY2x5F_Quote</v>
      </c>
      <c r="O20" s="287">
        <f>_xll.qlRateHelperEarliestDate(M20,Trigger)</f>
        <v>41862</v>
      </c>
      <c r="P20" s="282">
        <f>_xll.qlRateHelperQuoteValue(M20,_xll.ohTrigger(RecalcTrigger,Trigger))</f>
        <v>1.3500000000000001E-3</v>
      </c>
      <c r="Q20" s="282" t="e">
        <f>NA()</f>
        <v>#N/A</v>
      </c>
      <c r="R20" s="287">
        <f>_xll.qlInterestRateIndexFixingDate(IborIndex,O20,_xll.ohTrigger(RecalcTrigger,Trigger))</f>
        <v>41858</v>
      </c>
      <c r="S20" s="282">
        <f>_xll.qlIndexFixing(IborIndex,R20,TRUE,RecalcTrigger)</f>
        <v>1.3500000000001555E-3</v>
      </c>
      <c r="T20" s="288">
        <f t="shared" ref="T20:T36" si="7">S20-P20</f>
        <v>1.5547459153442134E-16</v>
      </c>
      <c r="W20" s="203" t="str">
        <f>W19</f>
        <v>1D</v>
      </c>
      <c r="X20" s="287">
        <f>_xll.qlCalendarAdvance(Calendar,X19,W20,"f",FALSE)</f>
        <v>41799</v>
      </c>
      <c r="Y20" s="281">
        <f>_xll.qlCalendarAdvance(Calendar,X20,NDays&amp;"D")</f>
        <v>41801</v>
      </c>
      <c r="Z20" s="282">
        <v>1.3500467837022853E-3</v>
      </c>
      <c r="AA20" s="284">
        <v>1.3499827240082141E-3</v>
      </c>
    </row>
    <row r="21" spans="10:27" x14ac:dyDescent="0.2">
      <c r="M21" s="274" t="str">
        <v>obj_0040d#0003</v>
      </c>
      <c r="N21" s="203" t="str">
        <f>_xll.qlRateHelperQuoteName(M21)</f>
        <v>JPY3x6F_Quote</v>
      </c>
      <c r="O21" s="287">
        <f>_xll.qlRateHelperEarliestDate(M21,Trigger)</f>
        <v>41892</v>
      </c>
      <c r="P21" s="282">
        <f>_xll.qlRateHelperQuoteValue(M21,_xll.ohTrigger(RecalcTrigger,Trigger))</f>
        <v>1.3500000000000001E-3</v>
      </c>
      <c r="Q21" s="282" t="e">
        <f>NA()</f>
        <v>#N/A</v>
      </c>
      <c r="R21" s="287">
        <f>_xll.qlInterestRateIndexFixingDate(IborIndex,O21,_xll.ohTrigger(RecalcTrigger,Trigger))</f>
        <v>41890</v>
      </c>
      <c r="S21" s="282">
        <f>_xll.qlIndexFixing(IborIndex,R21,TRUE,RecalcTrigger)</f>
        <v>1.3499999988499909E-3</v>
      </c>
      <c r="T21" s="288">
        <f t="shared" si="7"/>
        <v>-1.1500091243871191E-12</v>
      </c>
      <c r="W21" s="203" t="str">
        <f t="shared" ref="W21:W84" si="8">W20</f>
        <v>1D</v>
      </c>
      <c r="X21" s="287">
        <f>_xll.qlCalendarAdvance(Calendar,X20,W21,"f",FALSE)</f>
        <v>41800</v>
      </c>
      <c r="Y21" s="281">
        <f>_xll.qlCalendarAdvance(Calendar,X21,NDays&amp;"D")</f>
        <v>41802</v>
      </c>
      <c r="Z21" s="282">
        <v>1.3500445368213431E-3</v>
      </c>
      <c r="AA21" s="284">
        <v>1.3499817316819929E-3</v>
      </c>
    </row>
    <row r="22" spans="10:27" x14ac:dyDescent="0.2">
      <c r="M22" s="274" t="str">
        <v>obj_00411#0003</v>
      </c>
      <c r="N22" s="203" t="str">
        <f>_xll.qlRateHelperQuoteName(M22)</f>
        <v>JPY4x7F_Quote</v>
      </c>
      <c r="O22" s="287">
        <f>_xll.qlRateHelperEarliestDate(M22,Trigger)</f>
        <v>41922</v>
      </c>
      <c r="P22" s="282">
        <f>_xll.qlRateHelperQuoteValue(M22,_xll.ohTrigger(RecalcTrigger,Trigger))</f>
        <v>1.3500000000000001E-3</v>
      </c>
      <c r="Q22" s="282" t="e">
        <f>NA()</f>
        <v>#N/A</v>
      </c>
      <c r="R22" s="287">
        <f>_xll.qlInterestRateIndexFixingDate(IborIndex,O22,_xll.ohTrigger(RecalcTrigger,Trigger))</f>
        <v>41920</v>
      </c>
      <c r="S22" s="282">
        <f>_xll.qlIndexFixing(IborIndex,R22,TRUE,RecalcTrigger)</f>
        <v>1.349999999999378E-3</v>
      </c>
      <c r="T22" s="288">
        <f t="shared" si="7"/>
        <v>-6.2211520657218244E-16</v>
      </c>
      <c r="W22" s="203" t="str">
        <f t="shared" si="8"/>
        <v>1D</v>
      </c>
      <c r="X22" s="287">
        <f>_xll.qlCalendarAdvance(Calendar,X21,W22,"f",FALSE)</f>
        <v>41801</v>
      </c>
      <c r="Y22" s="281">
        <f>_xll.qlCalendarAdvance(Calendar,X22,NDays&amp;"D")</f>
        <v>41803</v>
      </c>
      <c r="Z22" s="282">
        <v>1.3500487934150016E-3</v>
      </c>
      <c r="AA22" s="284">
        <v>1.3499831556362807E-3</v>
      </c>
    </row>
    <row r="23" spans="10:27" x14ac:dyDescent="0.2">
      <c r="M23" s="274" t="str">
        <v>obj_0040f#0003</v>
      </c>
      <c r="N23" s="203" t="str">
        <f>_xll.qlRateHelperQuoteName(M23)</f>
        <v>JPY5x8F_Quote</v>
      </c>
      <c r="O23" s="287">
        <f>_xll.qlRateHelperEarliestDate(M23,Trigger)</f>
        <v>41953</v>
      </c>
      <c r="P23" s="282">
        <f>_xll.qlRateHelperQuoteValue(M23,_xll.ohTrigger(RecalcTrigger,Trigger))</f>
        <v>1.3500000000000001E-3</v>
      </c>
      <c r="Q23" s="282" t="e">
        <f>NA()</f>
        <v>#N/A</v>
      </c>
      <c r="R23" s="287">
        <f>_xll.qlInterestRateIndexFixingDate(IborIndex,O23,_xll.ohTrigger(RecalcTrigger,Trigger))</f>
        <v>41949</v>
      </c>
      <c r="S23" s="282">
        <f>_xll.qlIndexFixing(IborIndex,R23,TRUE,RecalcTrigger)</f>
        <v>1.3499999998776448E-3</v>
      </c>
      <c r="T23" s="288">
        <f t="shared" si="7"/>
        <v>-1.2235525093107213E-13</v>
      </c>
      <c r="W23" s="203" t="str">
        <f t="shared" si="8"/>
        <v>1D</v>
      </c>
      <c r="X23" s="287">
        <f>_xll.qlCalendarAdvance(Calendar,X22,W23,"f",FALSE)</f>
        <v>41802</v>
      </c>
      <c r="Y23" s="281">
        <f>_xll.qlCalendarAdvance(Calendar,X23,NDays&amp;"D")</f>
        <v>41806</v>
      </c>
      <c r="Z23" s="282">
        <v>1.3500357460645249E-3</v>
      </c>
      <c r="AA23" s="284">
        <v>1.3499728010657464E-3</v>
      </c>
    </row>
    <row r="24" spans="10:27" x14ac:dyDescent="0.2">
      <c r="M24" s="274" t="str">
        <v>obj_003e1#0003</v>
      </c>
      <c r="N24" s="203" t="str">
        <f>_xll.qlRateHelperQuoteName(M24)</f>
        <v>JPY6x9F_Quote</v>
      </c>
      <c r="O24" s="287">
        <f>_xll.qlRateHelperEarliestDate(M24,Trigger)</f>
        <v>41983</v>
      </c>
      <c r="P24" s="282">
        <f>_xll.qlRateHelperQuoteValue(M24,_xll.ohTrigger(RecalcTrigger,Trigger))</f>
        <v>1.3500000000000001E-3</v>
      </c>
      <c r="Q24" s="282" t="e">
        <f>NA()</f>
        <v>#N/A</v>
      </c>
      <c r="R24" s="287">
        <f>_xll.qlInterestRateIndexFixingDate(IborIndex,O24,_xll.ohTrigger(RecalcTrigger,Trigger))</f>
        <v>41981</v>
      </c>
      <c r="S24" s="282">
        <f>_xll.qlIndexFixing(IborIndex,R24,TRUE,RecalcTrigger)</f>
        <v>1.3500000000004064E-3</v>
      </c>
      <c r="T24" s="288">
        <f t="shared" si="7"/>
        <v>4.0635897424756706E-16</v>
      </c>
      <c r="W24" s="203" t="str">
        <f t="shared" si="8"/>
        <v>1D</v>
      </c>
      <c r="X24" s="287">
        <f>_xll.qlCalendarAdvance(Calendar,X23,W24,"f",FALSE)</f>
        <v>41803</v>
      </c>
      <c r="Y24" s="281">
        <f>_xll.qlCalendarAdvance(Calendar,X24,NDays&amp;"D")</f>
        <v>41807</v>
      </c>
      <c r="Z24" s="282">
        <v>1.3500336224545413E-3</v>
      </c>
      <c r="AA24" s="284">
        <v>1.3499693280039082E-3</v>
      </c>
    </row>
    <row r="25" spans="10:27" x14ac:dyDescent="0.2">
      <c r="M25" s="274" t="str">
        <v>obj_003dd#0003</v>
      </c>
      <c r="N25" s="203" t="str">
        <f>_xll.qlRateHelperQuoteName(M25)</f>
        <v>JPY9x12F_Quote</v>
      </c>
      <c r="O25" s="287">
        <f>_xll.qlRateHelperEarliestDate(M25,Trigger)</f>
        <v>42073</v>
      </c>
      <c r="P25" s="282">
        <f>_xll.qlRateHelperQuoteValue(M25,_xll.ohTrigger(RecalcTrigger,Trigger))</f>
        <v>1.3500000000000001E-3</v>
      </c>
      <c r="Q25" s="282" t="e">
        <f>NA()</f>
        <v>#N/A</v>
      </c>
      <c r="R25" s="287">
        <f>_xll.qlInterestRateIndexFixingDate(IborIndex,O25,_xll.ohTrigger(RecalcTrigger,Trigger))</f>
        <v>42069</v>
      </c>
      <c r="S25" s="282">
        <f>_xll.qlIndexFixing(IborIndex,R25,TRUE,RecalcTrigger)</f>
        <v>1.349031751862836E-3</v>
      </c>
      <c r="T25" s="288">
        <f t="shared" si="7"/>
        <v>-9.6824813716409053E-7</v>
      </c>
      <c r="W25" s="203" t="str">
        <f t="shared" si="8"/>
        <v>1D</v>
      </c>
      <c r="X25" s="287">
        <f>_xll.qlCalendarAdvance(Calendar,X24,W25,"f",FALSE)</f>
        <v>41806</v>
      </c>
      <c r="Y25" s="281">
        <f>_xll.qlCalendarAdvance(Calendar,X25,NDays&amp;"D")</f>
        <v>41808</v>
      </c>
      <c r="Z25" s="282">
        <v>1.3500315384320216E-3</v>
      </c>
      <c r="AA25" s="284">
        <v>1.3499653587789595E-3</v>
      </c>
    </row>
    <row r="26" spans="10:27" x14ac:dyDescent="0.2">
      <c r="M26" s="274" t="str">
        <v>obj_003df#0003</v>
      </c>
      <c r="N26" s="203" t="str">
        <f>_xll.qlRateHelperQuoteName(M26)</f>
        <v>JPY12x15F_Quote</v>
      </c>
      <c r="O26" s="287">
        <f>_xll.qlRateHelperEarliestDate(M26,Trigger)</f>
        <v>42165</v>
      </c>
      <c r="P26" s="282">
        <f>_xll.qlRateHelperQuoteValue(M26,_xll.ohTrigger(RecalcTrigger,Trigger))</f>
        <v>1.3500000000000001E-3</v>
      </c>
      <c r="Q26" s="282" t="e">
        <f>NA()</f>
        <v>#N/A</v>
      </c>
      <c r="R26" s="287">
        <f>_xll.qlInterestRateIndexFixingDate(IborIndex,O26,_xll.ohTrigger(RecalcTrigger,Trigger))</f>
        <v>42163</v>
      </c>
      <c r="S26" s="282">
        <f>_xll.qlIndexFixing(IborIndex,R26,TRUE,RecalcTrigger)</f>
        <v>1.3500000000010244E-3</v>
      </c>
      <c r="T26" s="288">
        <f t="shared" si="7"/>
        <v>1.0243542125643046E-15</v>
      </c>
      <c r="W26" s="203" t="str">
        <f t="shared" si="8"/>
        <v>1D</v>
      </c>
      <c r="X26" s="287">
        <f>_xll.qlCalendarAdvance(Calendar,X25,W26,"f",FALSE)</f>
        <v>41807</v>
      </c>
      <c r="Y26" s="281">
        <f>_xll.qlCalendarAdvance(Calendar,X26,NDays&amp;"D")</f>
        <v>41809</v>
      </c>
      <c r="Z26" s="282">
        <v>1.3500294989729851E-3</v>
      </c>
      <c r="AA26" s="284">
        <v>1.3499608934708363E-3</v>
      </c>
    </row>
    <row r="27" spans="10:27" x14ac:dyDescent="0.2">
      <c r="M27" s="274" t="str">
        <v>obj_003e0#0003</v>
      </c>
      <c r="N27" s="203" t="str">
        <f>_xll.qlRateHelperQuoteName(M27)</f>
        <v>JPY15x18F_Quote</v>
      </c>
      <c r="O27" s="287">
        <f>_xll.qlRateHelperEarliestDate(M27,Trigger)</f>
        <v>42257</v>
      </c>
      <c r="P27" s="282">
        <f>_xll.qlRateHelperQuoteValue(M27,_xll.ohTrigger(RecalcTrigger,Trigger))</f>
        <v>1.4000000000000002E-3</v>
      </c>
      <c r="Q27" s="282" t="e">
        <f>NA()</f>
        <v>#N/A</v>
      </c>
      <c r="R27" s="287">
        <f>_xll.qlInterestRateIndexFixingDate(IborIndex,O27,_xll.ohTrigger(RecalcTrigger,Trigger))</f>
        <v>42255</v>
      </c>
      <c r="S27" s="282">
        <f>_xll.qlIndexFixing(IborIndex,R27,TRUE,RecalcTrigger)</f>
        <v>1.4000000000003875E-3</v>
      </c>
      <c r="T27" s="288">
        <f t="shared" si="7"/>
        <v>3.8727701601182218E-16</v>
      </c>
      <c r="W27" s="203" t="str">
        <f t="shared" si="8"/>
        <v>1D</v>
      </c>
      <c r="X27" s="287">
        <f>_xll.qlCalendarAdvance(Calendar,X26,W27,"f",FALSE)</f>
        <v>41808</v>
      </c>
      <c r="Y27" s="281">
        <f>_xll.qlCalendarAdvance(Calendar,X27,NDays&amp;"D")</f>
        <v>41810</v>
      </c>
      <c r="Z27" s="282">
        <v>1.3500321611477025E-3</v>
      </c>
      <c r="AA27" s="284">
        <v>1.349955371088285E-3</v>
      </c>
    </row>
    <row r="28" spans="10:27" x14ac:dyDescent="0.2">
      <c r="M28" s="274" t="str">
        <v>obj_003e2#0003</v>
      </c>
      <c r="N28" s="203" t="str">
        <f>_xll.qlRateHelperQuoteName(M28)</f>
        <v>JPY18x21F_Quote</v>
      </c>
      <c r="O28" s="287">
        <f>_xll.qlRateHelperEarliestDate(M28,Trigger)</f>
        <v>42348</v>
      </c>
      <c r="P28" s="282">
        <f>_xll.qlRateHelperQuoteValue(M28,_xll.ohTrigger(RecalcTrigger,Trigger))</f>
        <v>1.3500000000000001E-3</v>
      </c>
      <c r="Q28" s="282" t="e">
        <f>NA()</f>
        <v>#N/A</v>
      </c>
      <c r="R28" s="287">
        <f>_xll.qlInterestRateIndexFixingDate(IborIndex,O28,_xll.ohTrigger(RecalcTrigger,Trigger))</f>
        <v>42346</v>
      </c>
      <c r="S28" s="282">
        <f>_xll.qlIndexFixing(IborIndex,R28,TRUE,RecalcTrigger)</f>
        <v>1.3499999999998405E-3</v>
      </c>
      <c r="T28" s="288">
        <f t="shared" si="7"/>
        <v>-1.5959455978986625E-16</v>
      </c>
      <c r="W28" s="203" t="str">
        <f t="shared" si="8"/>
        <v>1D</v>
      </c>
      <c r="X28" s="287">
        <f>_xll.qlCalendarAdvance(Calendar,X27,W28,"f",FALSE)</f>
        <v>41809</v>
      </c>
      <c r="Y28" s="281">
        <f>_xll.qlCalendarAdvance(Calendar,X28,NDays&amp;"D")</f>
        <v>41813</v>
      </c>
      <c r="Z28" s="282">
        <v>1.3500242697496846E-3</v>
      </c>
      <c r="AA28" s="284">
        <v>1.3499380706072373E-3</v>
      </c>
    </row>
    <row r="29" spans="10:27" x14ac:dyDescent="0.2">
      <c r="M29" s="274" t="str">
        <v>obj_003de#0003</v>
      </c>
      <c r="N29" s="203" t="str">
        <f>_xll.qlRateHelperQuoteName(M29)</f>
        <v>JPY21x24F_Quote</v>
      </c>
      <c r="O29" s="287">
        <f>_xll.qlRateHelperEarliestDate(M29,Trigger)</f>
        <v>42439</v>
      </c>
      <c r="P29" s="282">
        <f>_xll.qlRateHelperQuoteValue(M29,_xll.ohTrigger(RecalcTrigger,Trigger))</f>
        <v>1.4500000000000001E-3</v>
      </c>
      <c r="Q29" s="282" t="e">
        <f>NA()</f>
        <v>#N/A</v>
      </c>
      <c r="R29" s="287">
        <f>_xll.qlInterestRateIndexFixingDate(IborIndex,O29,_xll.ohTrigger(RecalcTrigger,Trigger))</f>
        <v>42437</v>
      </c>
      <c r="S29" s="282">
        <f>_xll.qlIndexFixing(IborIndex,R29,TRUE,RecalcTrigger)</f>
        <v>1.27705469147619E-3</v>
      </c>
      <c r="T29" s="288">
        <f t="shared" si="7"/>
        <v>-1.729453085238101E-4</v>
      </c>
      <c r="W29" s="203" t="str">
        <f t="shared" si="8"/>
        <v>1D</v>
      </c>
      <c r="X29" s="287">
        <f>_xll.qlCalendarAdvance(Calendar,X28,W29,"f",FALSE)</f>
        <v>41810</v>
      </c>
      <c r="Y29" s="281">
        <f>_xll.qlCalendarAdvance(Calendar,X29,NDays&amp;"D")</f>
        <v>41814</v>
      </c>
      <c r="Z29" s="282">
        <v>1.3500201443541666E-3</v>
      </c>
      <c r="AA29" s="284">
        <v>1.3499312801190655E-3</v>
      </c>
    </row>
    <row r="30" spans="10:27" x14ac:dyDescent="0.2">
      <c r="M30" s="274" t="e">
        <v>#N/A</v>
      </c>
      <c r="N30" s="203" t="e">
        <f>_xll.qlRateHelperQuoteName(M30)</f>
        <v>#VALUE!</v>
      </c>
      <c r="O30" s="287" t="e">
        <f>_xll.qlRateHelperEarliestDate(M30,Trigger)</f>
        <v>#VALUE!</v>
      </c>
      <c r="P30" s="282" t="e">
        <f>_xll.qlRateHelperQuoteValue(M30,_xll.ohTrigger(RecalcTrigger,Trigger))</f>
        <v>#VALUE!</v>
      </c>
      <c r="Q30" s="282" t="e">
        <f>NA()</f>
        <v>#N/A</v>
      </c>
      <c r="R30" s="287" t="e">
        <f>_xll.qlInterestRateIndexFixingDate(IborIndex,O30,_xll.ohTrigger(RecalcTrigger,Trigger))</f>
        <v>#NUM!</v>
      </c>
      <c r="S30" s="282" t="e">
        <f>_xll.qlIndexFixing(IborIndex,R30,TRUE,RecalcTrigger)</f>
        <v>#NUM!</v>
      </c>
      <c r="T30" s="288" t="e">
        <f t="shared" si="7"/>
        <v>#NUM!</v>
      </c>
      <c r="W30" s="203" t="str">
        <f t="shared" si="8"/>
        <v>1D</v>
      </c>
      <c r="X30" s="287">
        <f>_xll.qlCalendarAdvance(Calendar,X29,W30,"f",FALSE)</f>
        <v>41813</v>
      </c>
      <c r="Y30" s="281">
        <f>_xll.qlCalendarAdvance(Calendar,X30,NDays&amp;"D")</f>
        <v>41815</v>
      </c>
      <c r="Z30" s="282">
        <v>1.3500184751155061E-3</v>
      </c>
      <c r="AA30" s="284">
        <v>1.3499247715653695E-3</v>
      </c>
    </row>
    <row r="31" spans="10:27" x14ac:dyDescent="0.2">
      <c r="M31" s="274" t="e">
        <v>#N/A</v>
      </c>
      <c r="N31" s="203" t="e">
        <f>_xll.qlRateHelperQuoteName(M31)</f>
        <v>#VALUE!</v>
      </c>
      <c r="O31" s="287" t="e">
        <f>_xll.qlRateHelperEarliestDate(M31,Trigger)</f>
        <v>#VALUE!</v>
      </c>
      <c r="P31" s="282" t="e">
        <f>_xll.qlRateHelperQuoteValue(M31,_xll.ohTrigger(RecalcTrigger,Trigger))</f>
        <v>#VALUE!</v>
      </c>
      <c r="Q31" s="282" t="e">
        <f>NA()</f>
        <v>#N/A</v>
      </c>
      <c r="R31" s="287" t="e">
        <f>_xll.qlInterestRateIndexFixingDate(IborIndex,O31,_xll.ohTrigger(RecalcTrigger,Trigger))</f>
        <v>#NUM!</v>
      </c>
      <c r="S31" s="282" t="e">
        <f>_xll.qlIndexFixing(IborIndex,R31,TRUE,RecalcTrigger)</f>
        <v>#NUM!</v>
      </c>
      <c r="T31" s="288" t="e">
        <f t="shared" si="7"/>
        <v>#NUM!</v>
      </c>
      <c r="W31" s="203" t="str">
        <f t="shared" si="8"/>
        <v>1D</v>
      </c>
      <c r="X31" s="287">
        <f>_xll.qlCalendarAdvance(Calendar,X30,W31,"f",FALSE)</f>
        <v>41814</v>
      </c>
      <c r="Y31" s="281">
        <f>_xll.qlCalendarAdvance(Calendar,X31,NDays&amp;"D")</f>
        <v>41816</v>
      </c>
      <c r="Z31" s="282">
        <v>1.3500168751318822E-3</v>
      </c>
      <c r="AA31" s="284">
        <v>1.3499187005017177E-3</v>
      </c>
    </row>
    <row r="32" spans="10:27" x14ac:dyDescent="0.2">
      <c r="M32" s="274" t="e">
        <v>#N/A</v>
      </c>
      <c r="N32" s="203" t="e">
        <f>_xll.qlRateHelperQuoteName(M32)</f>
        <v>#VALUE!</v>
      </c>
      <c r="O32" s="287" t="e">
        <f>_xll.qlRateHelperEarliestDate(M32,Trigger)</f>
        <v>#VALUE!</v>
      </c>
      <c r="P32" s="282" t="e">
        <f>_xll.qlRateHelperQuoteValue(M32,_xll.ohTrigger(RecalcTrigger,Trigger))</f>
        <v>#VALUE!</v>
      </c>
      <c r="Q32" s="282" t="e">
        <f>NA()</f>
        <v>#N/A</v>
      </c>
      <c r="R32" s="287" t="e">
        <f>_xll.qlInterestRateIndexFixingDate(IborIndex,O32,_xll.ohTrigger(RecalcTrigger,Trigger))</f>
        <v>#NUM!</v>
      </c>
      <c r="S32" s="282" t="e">
        <f>_xll.qlIndexFixing(IborIndex,R32,TRUE,RecalcTrigger)</f>
        <v>#NUM!</v>
      </c>
      <c r="T32" s="288" t="e">
        <f t="shared" si="7"/>
        <v>#NUM!</v>
      </c>
      <c r="W32" s="203" t="str">
        <f t="shared" si="8"/>
        <v>1D</v>
      </c>
      <c r="X32" s="287">
        <f>_xll.qlCalendarAdvance(Calendar,X31,W32,"f",FALSE)</f>
        <v>41815</v>
      </c>
      <c r="Y32" s="281">
        <f>_xll.qlCalendarAdvance(Calendar,X32,NDays&amp;"D")</f>
        <v>41817</v>
      </c>
      <c r="Z32" s="282">
        <v>1.3500202322642896E-3</v>
      </c>
      <c r="AA32" s="284">
        <v>1.3499130787586466E-3</v>
      </c>
    </row>
    <row r="33" spans="13:27" x14ac:dyDescent="0.2">
      <c r="M33" s="274" t="e">
        <v>#N/A</v>
      </c>
      <c r="N33" s="203" t="e">
        <f>_xll.qlRateHelperQuoteName(M33)</f>
        <v>#VALUE!</v>
      </c>
      <c r="O33" s="287" t="e">
        <f>_xll.qlRateHelperEarliestDate(M33,Trigger)</f>
        <v>#VALUE!</v>
      </c>
      <c r="P33" s="282" t="e">
        <f>_xll.qlRateHelperQuoteValue(M33,_xll.ohTrigger(RecalcTrigger,Trigger))</f>
        <v>#VALUE!</v>
      </c>
      <c r="Q33" s="282" t="e">
        <f>NA()</f>
        <v>#N/A</v>
      </c>
      <c r="R33" s="287" t="e">
        <f>_xll.qlInterestRateIndexFixingDate(IborIndex,O33,_xll.ohTrigger(RecalcTrigger,Trigger))</f>
        <v>#NUM!</v>
      </c>
      <c r="S33" s="282" t="e">
        <f>_xll.qlIndexFixing(IborIndex,R33,TRUE,RecalcTrigger)</f>
        <v>#NUM!</v>
      </c>
      <c r="T33" s="288" t="e">
        <f t="shared" si="7"/>
        <v>#NUM!</v>
      </c>
      <c r="W33" s="203" t="str">
        <f t="shared" si="8"/>
        <v>1D</v>
      </c>
      <c r="X33" s="287">
        <f>_xll.qlCalendarAdvance(Calendar,X32,W33,"f",FALSE)</f>
        <v>41816</v>
      </c>
      <c r="Y33" s="281">
        <f>_xll.qlCalendarAdvance(Calendar,X33,NDays&amp;"D")</f>
        <v>41820</v>
      </c>
      <c r="Z33" s="282">
        <v>1.3500110642470655E-3</v>
      </c>
      <c r="AA33" s="284">
        <v>1.3498987917071048E-3</v>
      </c>
    </row>
    <row r="34" spans="13:27" x14ac:dyDescent="0.2">
      <c r="M34" s="274" t="e">
        <v>#N/A</v>
      </c>
      <c r="N34" s="203" t="e">
        <f>_xll.qlRateHelperQuoteName(M34)</f>
        <v>#VALUE!</v>
      </c>
      <c r="O34" s="287" t="e">
        <f>_xll.qlRateHelperEarliestDate(M34,Trigger)</f>
        <v>#VALUE!</v>
      </c>
      <c r="P34" s="282" t="e">
        <f>_xll.qlRateHelperQuoteValue(M34,_xll.ohTrigger(RecalcTrigger,Trigger))</f>
        <v>#VALUE!</v>
      </c>
      <c r="Q34" s="282" t="e">
        <f>NA()</f>
        <v>#N/A</v>
      </c>
      <c r="R34" s="287" t="e">
        <f>_xll.qlInterestRateIndexFixingDate(IborIndex,O34,_xll.ohTrigger(RecalcTrigger,Trigger))</f>
        <v>#NUM!</v>
      </c>
      <c r="S34" s="282" t="e">
        <f>_xll.qlIndexFixing(IborIndex,R34,TRUE,RecalcTrigger)</f>
        <v>#NUM!</v>
      </c>
      <c r="T34" s="288" t="e">
        <f t="shared" si="7"/>
        <v>#NUM!</v>
      </c>
      <c r="W34" s="203" t="str">
        <f t="shared" si="8"/>
        <v>1D</v>
      </c>
      <c r="X34" s="287">
        <f>_xll.qlCalendarAdvance(Calendar,X33,W34,"f",FALSE)</f>
        <v>41817</v>
      </c>
      <c r="Y34" s="281">
        <f>_xll.qlCalendarAdvance(Calendar,X34,NDays&amp;"D")</f>
        <v>41821</v>
      </c>
      <c r="Z34" s="282">
        <v>1.3500097329154988E-3</v>
      </c>
      <c r="AA34" s="284">
        <v>1.3498947631696012E-3</v>
      </c>
    </row>
    <row r="35" spans="13:27" x14ac:dyDescent="0.2">
      <c r="M35" s="274" t="e">
        <v>#N/A</v>
      </c>
      <c r="N35" s="203" t="e">
        <f>_xll.qlRateHelperQuoteName(M35)</f>
        <v>#VALUE!</v>
      </c>
      <c r="O35" s="287" t="e">
        <f>_xll.qlRateHelperEarliestDate(M35,Trigger)</f>
        <v>#VALUE!</v>
      </c>
      <c r="P35" s="282" t="e">
        <f>_xll.qlRateHelperQuoteValue(M35,_xll.ohTrigger(RecalcTrigger,Trigger))</f>
        <v>#VALUE!</v>
      </c>
      <c r="Q35" s="282" t="e">
        <f>NA()</f>
        <v>#N/A</v>
      </c>
      <c r="R35" s="287" t="e">
        <f>_xll.qlInterestRateIndexFixingDate(IborIndex,O35,_xll.ohTrigger(RecalcTrigger,Trigger))</f>
        <v>#NUM!</v>
      </c>
      <c r="S35" s="282" t="e">
        <f>_xll.qlIndexFixing(IborIndex,R35,TRUE,RecalcTrigger)</f>
        <v>#NUM!</v>
      </c>
      <c r="T35" s="288" t="e">
        <f t="shared" si="7"/>
        <v>#NUM!</v>
      </c>
      <c r="W35" s="203" t="str">
        <f t="shared" si="8"/>
        <v>1D</v>
      </c>
      <c r="X35" s="287">
        <f>_xll.qlCalendarAdvance(Calendar,X34,W35,"f",FALSE)</f>
        <v>41820</v>
      </c>
      <c r="Y35" s="281">
        <f>_xll.qlCalendarAdvance(Calendar,X35,NDays&amp;"D")</f>
        <v>41822</v>
      </c>
      <c r="Z35" s="282">
        <v>1.3500084413694982E-3</v>
      </c>
      <c r="AA35" s="284">
        <v>1.3498904462228012E-3</v>
      </c>
    </row>
    <row r="36" spans="13:27" ht="12" thickBot="1" x14ac:dyDescent="0.25">
      <c r="M36" s="275" t="e">
        <v>#N/A</v>
      </c>
      <c r="N36" s="206" t="e">
        <f>_xll.qlRateHelperQuoteName(M36)</f>
        <v>#VALUE!</v>
      </c>
      <c r="O36" s="289" t="e">
        <f>_xll.qlRateHelperEarliestDate(M36,Trigger)</f>
        <v>#VALUE!</v>
      </c>
      <c r="P36" s="283" t="e">
        <f>_xll.qlRateHelperQuoteValue(M36,_xll.ohTrigger(RecalcTrigger,Trigger))</f>
        <v>#VALUE!</v>
      </c>
      <c r="Q36" s="283" t="e">
        <f>NA()</f>
        <v>#N/A</v>
      </c>
      <c r="R36" s="289" t="e">
        <f>_xll.qlInterestRateIndexFixingDate(IborIndex,O36,_xll.ohTrigger(RecalcTrigger,Trigger))</f>
        <v>#NUM!</v>
      </c>
      <c r="S36" s="283" t="e">
        <f>_xll.qlIndexFixing(IborIndex,R36,TRUE,RecalcTrigger)</f>
        <v>#NUM!</v>
      </c>
      <c r="T36" s="290" t="e">
        <f t="shared" si="7"/>
        <v>#NUM!</v>
      </c>
      <c r="W36" s="203" t="str">
        <f t="shared" si="8"/>
        <v>1D</v>
      </c>
      <c r="X36" s="287">
        <f>_xll.qlCalendarAdvance(Calendar,X35,W36,"f",FALSE)</f>
        <v>41821</v>
      </c>
      <c r="Y36" s="281">
        <f>_xll.qlCalendarAdvance(Calendar,X36,NDays&amp;"D")</f>
        <v>41823</v>
      </c>
      <c r="Z36" s="282">
        <v>1.3500071923260209E-3</v>
      </c>
      <c r="AA36" s="284">
        <v>1.3498856958626959E-3</v>
      </c>
    </row>
    <row r="37" spans="13:27" ht="12" thickBot="1" x14ac:dyDescent="0.25">
      <c r="N37" s="291"/>
      <c r="W37" s="203" t="str">
        <f t="shared" si="8"/>
        <v>1D</v>
      </c>
      <c r="X37" s="287">
        <f>_xll.qlCalendarAdvance(Calendar,X36,W37,"f",FALSE)</f>
        <v>41822</v>
      </c>
      <c r="Y37" s="281">
        <f>_xll.qlCalendarAdvance(Calendar,X37,NDays&amp;"D")</f>
        <v>41824</v>
      </c>
      <c r="Z37" s="282">
        <v>1.3500110240454212E-3</v>
      </c>
      <c r="AA37" s="284">
        <v>1.3498798115829658E-3</v>
      </c>
    </row>
    <row r="38" spans="13:27" x14ac:dyDescent="0.2">
      <c r="M38" s="265" t="s">
        <v>71</v>
      </c>
      <c r="N38" s="265" t="s">
        <v>176</v>
      </c>
      <c r="O38" s="266" t="s">
        <v>6</v>
      </c>
      <c r="P38" s="266" t="s">
        <v>70</v>
      </c>
      <c r="Q38" s="292" t="s">
        <v>177</v>
      </c>
      <c r="R38" s="266" t="s">
        <v>178</v>
      </c>
      <c r="S38" s="266" t="s">
        <v>170</v>
      </c>
      <c r="T38" s="267" t="s">
        <v>171</v>
      </c>
      <c r="U38" s="253" t="s">
        <v>172</v>
      </c>
      <c r="W38" s="203" t="str">
        <f t="shared" si="8"/>
        <v>1D</v>
      </c>
      <c r="X38" s="287">
        <f>_xll.qlCalendarAdvance(Calendar,X37,W38,"f",FALSE)</f>
        <v>41823</v>
      </c>
      <c r="Y38" s="281">
        <f>_xll.qlCalendarAdvance(Calendar,X38,NDays&amp;"D")</f>
        <v>41827</v>
      </c>
      <c r="Z38" s="282">
        <v>1.3500027071094748E-3</v>
      </c>
      <c r="AA38" s="284">
        <v>1.3498623591701175E-3</v>
      </c>
    </row>
    <row r="39" spans="13:27" x14ac:dyDescent="0.2">
      <c r="M39" s="203" t="str">
        <f t="array" ref="M39:M75">_xll.ohFilter(RateHelpers!E80:E113,IF(ISERROR(RateHelpers!G80:G113),FALSE,TRUE))</f>
        <v>obj_003bb#0012</v>
      </c>
      <c r="N39" s="203" t="str">
        <f>_xll.qlRateHelperQuoteName(M39)</f>
        <v>JPYSB6L1Y_Quote</v>
      </c>
      <c r="O39" s="287">
        <f>_xll.qlRateHelperLatestDate(M39,Trigger)</f>
        <v>42165</v>
      </c>
      <c r="P39" s="293">
        <f>_xll.qlRateHelperQuoteValue(M39,_xll.ohTrigger(RecalcTrigger,YieldCurve))</f>
        <v>1.825E-3</v>
      </c>
      <c r="Q39" s="294" t="str">
        <f>SUBSTITUTE(SUBSTITUTE(N39,"_Quote",""),"JPYSB6L","")</f>
        <v>1Y</v>
      </c>
      <c r="R39" s="204" t="str">
        <f>_xll.qlLiborSwap(,Currency,"IsdaFixAm",Monitor!Q39,YieldCurve,Discounting,,_xll.ohTrigger(Trigger,RecalcTrigger))</f>
        <v>obj_0044d#0008</v>
      </c>
      <c r="S39" s="295">
        <f>_xll.qlIndexFixing(R39,$X$19,TRUE,Trigger)</f>
        <v>1.3687492212623596E-3</v>
      </c>
      <c r="T39" s="296">
        <f>S39-P39</f>
        <v>-4.562507787376404E-4</v>
      </c>
      <c r="U39" s="297">
        <f t="array" ref="U39">MAX(ABS(T39:T53))</f>
        <v>1.5481243745254607E-3</v>
      </c>
      <c r="W39" s="203" t="str">
        <f t="shared" si="8"/>
        <v>1D</v>
      </c>
      <c r="X39" s="287">
        <f>_xll.qlCalendarAdvance(Calendar,X38,W39,"f",FALSE)</f>
        <v>41824</v>
      </c>
      <c r="Y39" s="281">
        <f>_xll.qlCalendarAdvance(Calendar,X39,NDays&amp;"D")</f>
        <v>41828</v>
      </c>
      <c r="Z39" s="282">
        <v>1.3500017350253225E-3</v>
      </c>
      <c r="AA39" s="284">
        <v>1.3498554411839336E-3</v>
      </c>
    </row>
    <row r="40" spans="13:27" x14ac:dyDescent="0.2">
      <c r="M40" s="203" t="str">
        <v>obj_003bc#0006</v>
      </c>
      <c r="N40" s="203" t="str">
        <f>_xll.qlRateHelperQuoteName(M40)</f>
        <v>JPYSB6L2Y_Quote</v>
      </c>
      <c r="O40" s="287">
        <f>_xll.qlRateHelperLatestDate(M40,Trigger)</f>
        <v>42531</v>
      </c>
      <c r="P40" s="293">
        <f>_xll.qlRateHelperQuoteValue(M40,_xll.ohTrigger(RecalcTrigger,YieldCurve))</f>
        <v>1.8500000000000001E-3</v>
      </c>
      <c r="Q40" s="294" t="str">
        <f t="shared" ref="Q40:Q75" si="9">SUBSTITUTE(SUBSTITUTE(N40,"_Quote",""),"JPYSB6L","")</f>
        <v>2Y</v>
      </c>
      <c r="R40" s="204" t="str">
        <f>_xll.qlLiborSwap(,Currency,"IsdaFixAm",Monitor!Q40,YieldCurve,Discounting,,_xll.ohTrigger(Trigger,RecalcTrigger))</f>
        <v>obj_0044c#0008</v>
      </c>
      <c r="S40" s="295">
        <f>_xll.qlIndexFixing(R40,$X$19,TRUE,Trigger)</f>
        <v>1.366694471072171E-3</v>
      </c>
      <c r="T40" s="296">
        <f t="shared" ref="T40:T76" si="10">S40-P40</f>
        <v>-4.8330552892782912E-4</v>
      </c>
      <c r="U40" s="298"/>
      <c r="W40" s="203" t="str">
        <f t="shared" si="8"/>
        <v>1D</v>
      </c>
      <c r="X40" s="287">
        <f>_xll.qlCalendarAdvance(Calendar,X39,W40,"f",FALSE)</f>
        <v>41827</v>
      </c>
      <c r="Y40" s="281">
        <f>_xll.qlCalendarAdvance(Calendar,X40,NDays&amp;"D")</f>
        <v>41829</v>
      </c>
      <c r="Z40" s="282">
        <v>1.3500008312239409E-3</v>
      </c>
      <c r="AA40" s="284">
        <v>1.3498480897045084E-3</v>
      </c>
    </row>
    <row r="41" spans="13:27" x14ac:dyDescent="0.2">
      <c r="M41" s="203" t="str">
        <v>obj_003bd#0006</v>
      </c>
      <c r="N41" s="203" t="str">
        <f>_xll.qlRateHelperQuoteName(M41)</f>
        <v>JPYSB6L3Y_Quote</v>
      </c>
      <c r="O41" s="287">
        <f>_xll.qlRateHelperLatestDate(M41,Trigger)</f>
        <v>42898</v>
      </c>
      <c r="P41" s="293">
        <f>_xll.qlRateHelperQuoteValue(M41,_xll.ohTrigger(RecalcTrigger,YieldCurve))</f>
        <v>2.0250000000000003E-3</v>
      </c>
      <c r="Q41" s="294" t="str">
        <f t="shared" si="9"/>
        <v>3Y</v>
      </c>
      <c r="R41" s="204" t="str">
        <f>_xll.qlLiborSwap(,Currency,"IsdaFixAm",Monitor!Q41,YieldCurve,Discounting,,_xll.ohTrigger(Trigger,RecalcTrigger))</f>
        <v>obj_00447#0008</v>
      </c>
      <c r="S41" s="295">
        <f>_xll.qlIndexFixing(R41,$X$19,TRUE,Trigger)</f>
        <v>1.4415324046785506E-3</v>
      </c>
      <c r="T41" s="296">
        <f t="shared" si="10"/>
        <v>-5.8346759532144975E-4</v>
      </c>
      <c r="U41" s="298"/>
      <c r="W41" s="203" t="str">
        <f t="shared" si="8"/>
        <v>1D</v>
      </c>
      <c r="X41" s="287">
        <f>_xll.qlCalendarAdvance(Calendar,X40,W41,"f",FALSE)</f>
        <v>41828</v>
      </c>
      <c r="Y41" s="281">
        <f>_xll.qlCalendarAdvance(Calendar,X41,NDays&amp;"D")</f>
        <v>41830</v>
      </c>
      <c r="Z41" s="282">
        <v>1.3500000000001555E-3</v>
      </c>
      <c r="AA41" s="284">
        <v>1.3498404258349694E-3</v>
      </c>
    </row>
    <row r="42" spans="13:27" x14ac:dyDescent="0.2">
      <c r="M42" s="203" t="str">
        <v>obj_003be#0006</v>
      </c>
      <c r="N42" s="203" t="str">
        <f>_xll.qlRateHelperQuoteName(M42)</f>
        <v>JPYSB6L4Y_Quote</v>
      </c>
      <c r="O42" s="287">
        <f>_xll.qlRateHelperLatestDate(M42,Trigger)</f>
        <v>43262</v>
      </c>
      <c r="P42" s="293">
        <f>_xll.qlRateHelperQuoteValue(M42,_xll.ohTrigger(RecalcTrigger,YieldCurve))</f>
        <v>2.4250000000000001E-3</v>
      </c>
      <c r="Q42" s="294" t="str">
        <f t="shared" si="9"/>
        <v>4Y</v>
      </c>
      <c r="R42" s="204" t="str">
        <f>_xll.qlLiborSwap(,Currency,"IsdaFixAm",Monitor!Q42,YieldCurve,Discounting,,_xll.ohTrigger(Trigger,RecalcTrigger))</f>
        <v>obj_00446#0008</v>
      </c>
      <c r="S42" s="295">
        <f>_xll.qlIndexFixing(R42,$X$19,TRUE,Trigger)</f>
        <v>1.7655420715928921E-3</v>
      </c>
      <c r="T42" s="296">
        <f t="shared" si="10"/>
        <v>-6.5945792840710793E-4</v>
      </c>
      <c r="U42" s="298"/>
      <c r="W42" s="203" t="str">
        <f t="shared" si="8"/>
        <v>1D</v>
      </c>
      <c r="X42" s="287">
        <f>_xll.qlCalendarAdvance(Calendar,X41,W42,"f",FALSE)</f>
        <v>41829</v>
      </c>
      <c r="Y42" s="281">
        <f>_xll.qlCalendarAdvance(Calendar,X42,NDays&amp;"D")</f>
        <v>41831</v>
      </c>
      <c r="Z42" s="282">
        <v>1.3500068611880479E-3</v>
      </c>
      <c r="AA42" s="284">
        <v>1.3498308933801439E-3</v>
      </c>
    </row>
    <row r="43" spans="13:27" x14ac:dyDescent="0.2">
      <c r="M43" s="203" t="str">
        <v>obj_003bf#0006</v>
      </c>
      <c r="N43" s="203" t="str">
        <f>_xll.qlRateHelperQuoteName(M43)</f>
        <v>JPYSB6L5Y_Quote</v>
      </c>
      <c r="O43" s="287">
        <f>_xll.qlRateHelperLatestDate(M43,Trigger)</f>
        <v>43626</v>
      </c>
      <c r="P43" s="293">
        <f>_xll.qlRateHelperQuoteValue(M43,_xll.ohTrigger(RecalcTrigger,YieldCurve))</f>
        <v>3.0249999999999999E-3</v>
      </c>
      <c r="Q43" s="294" t="str">
        <f t="shared" si="9"/>
        <v>5Y</v>
      </c>
      <c r="R43" s="204" t="str">
        <f>_xll.qlLiborSwap(,Currency,"IsdaFixAm",Monitor!Q43,YieldCurve,Discounting,,_xll.ohTrigger(Trigger,RecalcTrigger))</f>
        <v>obj_0044f#0008</v>
      </c>
      <c r="S43" s="295">
        <f>_xll.qlIndexFixing(R43,$X$19,TRUE,Trigger)</f>
        <v>2.2388017876550587E-3</v>
      </c>
      <c r="T43" s="296">
        <f t="shared" si="10"/>
        <v>-7.8619821234494121E-4</v>
      </c>
      <c r="W43" s="203" t="str">
        <f t="shared" si="8"/>
        <v>1D</v>
      </c>
      <c r="X43" s="287">
        <f>_xll.qlCalendarAdvance(Calendar,X42,W43,"f",FALSE)</f>
        <v>41830</v>
      </c>
      <c r="Y43" s="281">
        <f>_xll.qlCalendarAdvance(Calendar,X43,NDays&amp;"D")</f>
        <v>41834</v>
      </c>
      <c r="Z43" s="282">
        <v>1.3499974137002855E-3</v>
      </c>
      <c r="AA43" s="284">
        <v>1.3498122148014602E-3</v>
      </c>
    </row>
    <row r="44" spans="13:27" x14ac:dyDescent="0.2">
      <c r="M44" s="203" t="str">
        <v>obj_003c0#0006</v>
      </c>
      <c r="N44" s="203" t="str">
        <f>_xll.qlRateHelperQuoteName(M44)</f>
        <v>JPYSB6L6Y_Quote</v>
      </c>
      <c r="O44" s="287">
        <f>_xll.qlRateHelperLatestDate(M44,Trigger)</f>
        <v>43992</v>
      </c>
      <c r="P44" s="293">
        <f>_xll.qlRateHelperQuoteValue(M44,_xll.ohTrigger(RecalcTrigger,YieldCurve))</f>
        <v>3.8E-3</v>
      </c>
      <c r="Q44" s="294" t="str">
        <f t="shared" si="9"/>
        <v>6Y</v>
      </c>
      <c r="R44" s="204" t="str">
        <f>_xll.qlLiborSwap(,Currency,"IsdaFixAm",Monitor!Q44,YieldCurve,Discounting,,_xll.ohTrigger(Trigger,RecalcTrigger))</f>
        <v>obj_00442#0008</v>
      </c>
      <c r="S44" s="295">
        <f>_xll.qlIndexFixing(R44,$X$19,TRUE,Trigger)</f>
        <v>2.936658288775075E-3</v>
      </c>
      <c r="T44" s="296">
        <f t="shared" si="10"/>
        <v>-8.6334171122492498E-4</v>
      </c>
      <c r="W44" s="203" t="str">
        <f t="shared" si="8"/>
        <v>1D</v>
      </c>
      <c r="X44" s="287">
        <f>_xll.qlCalendarAdvance(Calendar,X43,W44,"f",FALSE)</f>
        <v>41831</v>
      </c>
      <c r="Y44" s="281">
        <f>_xll.qlCalendarAdvance(Calendar,X44,NDays&amp;"D")</f>
        <v>41835</v>
      </c>
      <c r="Z44" s="282">
        <v>1.3499969401286689E-3</v>
      </c>
      <c r="AA44" s="284">
        <v>1.3498058943373081E-3</v>
      </c>
    </row>
    <row r="45" spans="13:27" x14ac:dyDescent="0.2">
      <c r="M45" s="203" t="str">
        <v>obj_003c1#0006</v>
      </c>
      <c r="N45" s="203" t="str">
        <f>_xll.qlRateHelperQuoteName(M45)</f>
        <v>JPYSB6L7Y_Quote</v>
      </c>
      <c r="O45" s="287">
        <f>_xll.qlRateHelperLatestDate(M45,Trigger)</f>
        <v>44357</v>
      </c>
      <c r="P45" s="293">
        <f>_xll.qlRateHelperQuoteValue(M45,_xll.ohTrigger(RecalcTrigger,YieldCurve))</f>
        <v>4.6750000000000003E-3</v>
      </c>
      <c r="Q45" s="294" t="str">
        <f t="shared" si="9"/>
        <v>7Y</v>
      </c>
      <c r="R45" s="204" t="str">
        <f>_xll.qlLiborSwap(,Currency,"IsdaFixAm",Monitor!Q45,YieldCurve,Discounting,,_xll.ohTrigger(Trigger,RecalcTrigger))</f>
        <v>obj_00443#0008</v>
      </c>
      <c r="S45" s="295">
        <f>_xll.qlIndexFixing(R45,$X$19,TRUE,Trigger)</f>
        <v>3.7110406902883205E-3</v>
      </c>
      <c r="T45" s="296">
        <f t="shared" si="10"/>
        <v>-9.6395930971167982E-4</v>
      </c>
      <c r="U45" s="298"/>
      <c r="W45" s="203" t="str">
        <f t="shared" si="8"/>
        <v>1D</v>
      </c>
      <c r="X45" s="287">
        <f>_xll.qlCalendarAdvance(Calendar,X44,W45,"f",FALSE)</f>
        <v>41834</v>
      </c>
      <c r="Y45" s="281">
        <f>_xll.qlCalendarAdvance(Calendar,X45,NDays&amp;"D")</f>
        <v>41836</v>
      </c>
      <c r="Z45" s="282">
        <v>1.3499965306440487E-3</v>
      </c>
      <c r="AA45" s="284">
        <v>1.3497998667588718E-3</v>
      </c>
    </row>
    <row r="46" spans="13:27" x14ac:dyDescent="0.2">
      <c r="M46" s="203" t="str">
        <v>obj_003c2#0006</v>
      </c>
      <c r="N46" s="203" t="str">
        <f>_xll.qlRateHelperQuoteName(M46)</f>
        <v>JPYSB6L8Y_Quote</v>
      </c>
      <c r="O46" s="287">
        <f>_xll.qlRateHelperLatestDate(M46,Trigger)</f>
        <v>44722</v>
      </c>
      <c r="P46" s="293">
        <f>_xll.qlRateHelperQuoteValue(M46,_xll.ohTrigger(RecalcTrigger,YieldCurve))</f>
        <v>5.6000000000000008E-3</v>
      </c>
      <c r="Q46" s="294" t="str">
        <f t="shared" si="9"/>
        <v>8Y</v>
      </c>
      <c r="R46" s="204" t="str">
        <f>_xll.qlLiborSwap(,Currency,"IsdaFixAm",Monitor!Q46,YieldCurve,Discounting,,_xll.ohTrigger(Trigger,RecalcTrigger))</f>
        <v>obj_00445#0008</v>
      </c>
      <c r="S46" s="295">
        <f>_xll.qlIndexFixing(R46,$X$19,TRUE,Trigger)</f>
        <v>4.5346703748029016E-3</v>
      </c>
      <c r="T46" s="296">
        <f t="shared" si="10"/>
        <v>-1.0653296251970992E-3</v>
      </c>
      <c r="U46" s="298"/>
      <c r="W46" s="203" t="str">
        <f t="shared" si="8"/>
        <v>1D</v>
      </c>
      <c r="X46" s="287">
        <f>_xll.qlCalendarAdvance(Calendar,X45,W46,"f",FALSE)</f>
        <v>41835</v>
      </c>
      <c r="Y46" s="281">
        <f>_xll.qlCalendarAdvance(Calendar,X46,NDays&amp;"D")</f>
        <v>41837</v>
      </c>
      <c r="Z46" s="282">
        <v>1.3499961826884713E-3</v>
      </c>
      <c r="AA46" s="284">
        <v>1.349794131986215E-3</v>
      </c>
    </row>
    <row r="47" spans="13:27" x14ac:dyDescent="0.2">
      <c r="M47" s="203" t="str">
        <v>obj_003c3#0006</v>
      </c>
      <c r="N47" s="203" t="str">
        <f>_xll.qlRateHelperQuoteName(M47)</f>
        <v>JPYSB6L9Y_Quote</v>
      </c>
      <c r="O47" s="287">
        <f>_xll.qlRateHelperLatestDate(M47,Trigger)</f>
        <v>45089</v>
      </c>
      <c r="P47" s="293">
        <f>_xll.qlRateHelperQuoteValue(M47,_xll.ohTrigger(RecalcTrigger,YieldCurve))</f>
        <v>6.5250000000000004E-3</v>
      </c>
      <c r="Q47" s="294" t="str">
        <f t="shared" si="9"/>
        <v>9Y</v>
      </c>
      <c r="R47" s="204" t="str">
        <f>_xll.qlLiborSwap(,Currency,"IsdaFixAm",Monitor!Q47,YieldCurve,Discounting,,_xll.ohTrigger(Trigger,RecalcTrigger))</f>
        <v>obj_00448#0008</v>
      </c>
      <c r="S47" s="295">
        <f>_xll.qlIndexFixing(R47,$X$19,TRUE,Trigger)</f>
        <v>5.3837103956289288E-3</v>
      </c>
      <c r="T47" s="296">
        <f t="shared" si="10"/>
        <v>-1.1412896043710716E-3</v>
      </c>
      <c r="U47" s="298"/>
      <c r="W47" s="203" t="str">
        <f t="shared" si="8"/>
        <v>1D</v>
      </c>
      <c r="X47" s="287">
        <f>_xll.qlCalendarAdvance(Calendar,X46,W47,"f",FALSE)</f>
        <v>41836</v>
      </c>
      <c r="Y47" s="281">
        <f>_xll.qlCalendarAdvance(Calendar,X47,NDays&amp;"D")</f>
        <v>41838</v>
      </c>
      <c r="Z47" s="282">
        <v>1.350000989638924E-3</v>
      </c>
      <c r="AA47" s="284">
        <v>1.3497888510105582E-3</v>
      </c>
    </row>
    <row r="48" spans="13:27" x14ac:dyDescent="0.2">
      <c r="M48" s="203" t="str">
        <v>obj_003c4#0006</v>
      </c>
      <c r="N48" s="203" t="str">
        <f>_xll.qlRateHelperQuoteName(M48)</f>
        <v>JPYSB6L10Y_Quote</v>
      </c>
      <c r="O48" s="287">
        <f>_xll.qlRateHelperLatestDate(M48,Trigger)</f>
        <v>45453</v>
      </c>
      <c r="P48" s="293">
        <f>_xll.qlRateHelperQuoteValue(M48,_xll.ohTrigger(RecalcTrigger,YieldCurve))</f>
        <v>7.45E-3</v>
      </c>
      <c r="Q48" s="294" t="str">
        <f t="shared" si="9"/>
        <v>10Y</v>
      </c>
      <c r="R48" s="204" t="str">
        <f>_xll.qlLiborSwap(,Currency,"IsdaFixAm",Monitor!Q48,YieldCurve,Discounting,,_xll.ohTrigger(Trigger,RecalcTrigger))</f>
        <v>obj_00451#0008</v>
      </c>
      <c r="S48" s="295">
        <f>_xll.qlIndexFixing(R48,$X$19,TRUE,Trigger)</f>
        <v>6.2060223559578737E-3</v>
      </c>
      <c r="T48" s="296">
        <f t="shared" si="10"/>
        <v>-1.2439776440421263E-3</v>
      </c>
      <c r="U48" s="298"/>
      <c r="W48" s="203" t="str">
        <f t="shared" si="8"/>
        <v>1D</v>
      </c>
      <c r="X48" s="287">
        <f>_xll.qlCalendarAdvance(Calendar,X47,W48,"f",FALSE)</f>
        <v>41837</v>
      </c>
      <c r="Y48" s="281">
        <f>_xll.qlCalendarAdvance(Calendar,X48,NDays&amp;"D")</f>
        <v>41842</v>
      </c>
      <c r="Z48" s="282">
        <v>1.3499952763317425E-3</v>
      </c>
      <c r="AA48" s="284">
        <v>1.3497698518083467E-3</v>
      </c>
    </row>
    <row r="49" spans="10:27" x14ac:dyDescent="0.2">
      <c r="J49" s="226" t="b">
        <v>1</v>
      </c>
      <c r="M49" s="203" t="str">
        <v>obj_003c6#0006</v>
      </c>
      <c r="N49" s="203" t="str">
        <f>_xll.qlRateHelperQuoteName(M49)</f>
        <v>JPYSB6L12Y_Quote</v>
      </c>
      <c r="O49" s="287">
        <f>_xll.qlRateHelperLatestDate(M49,Trigger)</f>
        <v>46183</v>
      </c>
      <c r="P49" s="293">
        <f>_xll.qlRateHelperQuoteValue(M49,_xll.ohTrigger(RecalcTrigger,YieldCurve))</f>
        <v>9.2999999999999992E-3</v>
      </c>
      <c r="Q49" s="294" t="str">
        <f t="shared" si="9"/>
        <v>12Y</v>
      </c>
      <c r="R49" s="204" t="str">
        <f>_xll.qlLiborSwap(,Currency,"IsdaFixAm",Monitor!Q49,YieldCurve,Discounting,,_xll.ohTrigger(Trigger,RecalcTrigger))</f>
        <v>obj_0044a#0008</v>
      </c>
      <c r="S49" s="295">
        <f>_xll.qlIndexFixing(R49,$X$19,TRUE,Trigger)</f>
        <v>7.9192158728832781E-3</v>
      </c>
      <c r="T49" s="296">
        <f t="shared" si="10"/>
        <v>-1.3807841271167211E-3</v>
      </c>
      <c r="U49" s="298"/>
      <c r="W49" s="203" t="str">
        <f t="shared" si="8"/>
        <v>1D</v>
      </c>
      <c r="X49" s="287">
        <f>_xll.qlCalendarAdvance(Calendar,X48,W49,"f",FALSE)</f>
        <v>41838</v>
      </c>
      <c r="Y49" s="281">
        <f>_xll.qlCalendarAdvance(Calendar,X49,NDays&amp;"D")</f>
        <v>41843</v>
      </c>
      <c r="Z49" s="282">
        <v>1.3499952763317425E-3</v>
      </c>
      <c r="AA49" s="284">
        <v>1.3497658745098562E-3</v>
      </c>
    </row>
    <row r="50" spans="10:27" x14ac:dyDescent="0.2">
      <c r="M50" s="203" t="str">
        <v>obj_003c9#0006</v>
      </c>
      <c r="N50" s="203" t="str">
        <f>_xll.qlRateHelperQuoteName(M50)</f>
        <v>JPYSB6L15Y_Quote</v>
      </c>
      <c r="O50" s="287">
        <f>_xll.qlRateHelperLatestDate(M50,Trigger)</f>
        <v>47280</v>
      </c>
      <c r="P50" s="293">
        <f>_xll.qlRateHelperQuoteValue(M50,_xll.ohTrigger(RecalcTrigger,YieldCurve))</f>
        <v>1.1950000000000001E-2</v>
      </c>
      <c r="Q50" s="294" t="str">
        <f t="shared" si="9"/>
        <v>15Y</v>
      </c>
      <c r="R50" s="204" t="str">
        <f>_xll.qlLiborSwap(,Currency,"IsdaFixAm",Monitor!Q50,YieldCurve,Discounting,,_xll.ohTrigger(Trigger,RecalcTrigger))</f>
        <v>obj_00444#0008</v>
      </c>
      <c r="S50" s="295">
        <f>_xll.qlIndexFixing(R50,$X$19,TRUE,Trigger)</f>
        <v>1.0504087939984186E-2</v>
      </c>
      <c r="T50" s="296">
        <f t="shared" si="10"/>
        <v>-1.4459120600158141E-3</v>
      </c>
      <c r="U50" s="298"/>
      <c r="W50" s="203" t="str">
        <f t="shared" si="8"/>
        <v>1D</v>
      </c>
      <c r="X50" s="287">
        <f>_xll.qlCalendarAdvance(Calendar,X49,W50,"f",FALSE)</f>
        <v>41842</v>
      </c>
      <c r="Y50" s="281">
        <f>_xll.qlCalendarAdvance(Calendar,X50,NDays&amp;"D")</f>
        <v>41844</v>
      </c>
      <c r="Z50" s="282">
        <v>1.3499952549792576E-3</v>
      </c>
      <c r="AA50" s="284">
        <v>1.3497621900171453E-3</v>
      </c>
    </row>
    <row r="51" spans="10:27" x14ac:dyDescent="0.2">
      <c r="M51" s="203" t="str">
        <v>obj_003ce#0006</v>
      </c>
      <c r="N51" s="203" t="str">
        <f>_xll.qlRateHelperQuoteName(M51)</f>
        <v>JPYSB6L20Y_Quote</v>
      </c>
      <c r="O51" s="287">
        <f>_xll.qlRateHelperLatestDate(M51,Trigger)</f>
        <v>49107</v>
      </c>
      <c r="P51" s="293">
        <f>_xll.qlRateHelperQuoteValue(M51,_xll.ohTrigger(RecalcTrigger,YieldCurve))</f>
        <v>1.5125E-2</v>
      </c>
      <c r="Q51" s="294" t="str">
        <f t="shared" si="9"/>
        <v>20Y</v>
      </c>
      <c r="R51" s="204" t="str">
        <f>_xll.qlLiborSwap(,Currency,"IsdaFixAm",Monitor!Q51,YieldCurve,Discounting,,_xll.ohTrigger(Trigger,RecalcTrigger))</f>
        <v>obj_00449#0008</v>
      </c>
      <c r="S51" s="295">
        <f>_xll.qlIndexFixing(R51,$X$19,TRUE,Trigger)</f>
        <v>1.3628376445116573E-2</v>
      </c>
      <c r="T51" s="296">
        <f t="shared" si="10"/>
        <v>-1.4966235548834264E-3</v>
      </c>
      <c r="U51" s="298"/>
      <c r="W51" s="203" t="str">
        <f t="shared" si="8"/>
        <v>1D</v>
      </c>
      <c r="X51" s="287">
        <f>_xll.qlCalendarAdvance(Calendar,X50,W51,"f",FALSE)</f>
        <v>41843</v>
      </c>
      <c r="Y51" s="281">
        <f>_xll.qlCalendarAdvance(Calendar,X51,NDays&amp;"D")</f>
        <v>41845</v>
      </c>
      <c r="Z51" s="282">
        <v>1.3500004164999409E-3</v>
      </c>
      <c r="AA51" s="284">
        <v>1.349760858149196E-3</v>
      </c>
    </row>
    <row r="52" spans="10:27" x14ac:dyDescent="0.2">
      <c r="M52" s="203" t="str">
        <v>obj_003d3#0006</v>
      </c>
      <c r="N52" s="203" t="str">
        <f>_xll.qlRateHelperQuoteName(M52)</f>
        <v>JPYSB6L25Y_Quote</v>
      </c>
      <c r="O52" s="287">
        <f>_xll.qlRateHelperLatestDate(M52,Trigger)</f>
        <v>50931</v>
      </c>
      <c r="P52" s="293">
        <f>_xll.qlRateHelperQuoteValue(M52,_xll.ohTrigger(RecalcTrigger,YieldCurve))</f>
        <v>1.6750000000000001E-2</v>
      </c>
      <c r="Q52" s="294" t="str">
        <f t="shared" si="9"/>
        <v>25Y</v>
      </c>
      <c r="R52" s="204" t="str">
        <f>_xll.qlLiborSwap(,Currency,"IsdaFixAm",Monitor!Q52,YieldCurve,Discounting,,_xll.ohTrigger(Trigger,RecalcTrigger))</f>
        <v>obj_0044b#0008</v>
      </c>
      <c r="S52" s="295">
        <f>_xll.qlIndexFixing(R52,$X$19,TRUE,Trigger)</f>
        <v>1.5221644097341407E-2</v>
      </c>
      <c r="T52" s="296">
        <f t="shared" si="10"/>
        <v>-1.528355902658594E-3</v>
      </c>
      <c r="U52" s="298"/>
      <c r="W52" s="203" t="str">
        <f t="shared" si="8"/>
        <v>1D</v>
      </c>
      <c r="X52" s="287">
        <f>_xll.qlCalendarAdvance(Calendar,X51,W52,"f",FALSE)</f>
        <v>41844</v>
      </c>
      <c r="Y52" s="281">
        <f>_xll.qlCalendarAdvance(Calendar,X52,NDays&amp;"D")</f>
        <v>41848</v>
      </c>
      <c r="Z52" s="282">
        <v>1.3499956846416501E-3</v>
      </c>
      <c r="AA52" s="284">
        <v>1.3497503811432665E-3</v>
      </c>
    </row>
    <row r="53" spans="10:27" x14ac:dyDescent="0.2">
      <c r="M53" s="203" t="str">
        <v>obj_003d8#0006</v>
      </c>
      <c r="N53" s="203" t="str">
        <f>_xll.qlRateHelperQuoteName(M53)</f>
        <v>JPYSB6L30Y_Quote</v>
      </c>
      <c r="O53" s="287">
        <f>_xll.qlRateHelperLatestDate(M53,Trigger)</f>
        <v>52758</v>
      </c>
      <c r="P53" s="293">
        <f>_xll.qlRateHelperQuoteValue(M53,_xll.ohTrigger(RecalcTrigger,YieldCurve))</f>
        <v>1.7624999999999998E-2</v>
      </c>
      <c r="Q53" s="294" t="str">
        <f t="shared" si="9"/>
        <v>30Y</v>
      </c>
      <c r="R53" s="204" t="str">
        <f>_xll.qlLiborSwap(,Currency,"IsdaFixAm",Monitor!Q53,YieldCurve,Discounting,,_xll.ohTrigger(Trigger,RecalcTrigger))</f>
        <v>obj_0044e#0008</v>
      </c>
      <c r="S53" s="295">
        <f>_xll.qlIndexFixing(R53,$X$19,TRUE,Trigger)</f>
        <v>1.6076875625474538E-2</v>
      </c>
      <c r="T53" s="296">
        <f t="shared" si="10"/>
        <v>-1.5481243745254607E-3</v>
      </c>
      <c r="U53" s="298"/>
      <c r="W53" s="203" t="str">
        <f t="shared" si="8"/>
        <v>1D</v>
      </c>
      <c r="X53" s="287">
        <f>_xll.qlCalendarAdvance(Calendar,X52,W53,"f",FALSE)</f>
        <v>41845</v>
      </c>
      <c r="Y53" s="281">
        <f>_xll.qlCalendarAdvance(Calendar,X53,NDays&amp;"D")</f>
        <v>41849</v>
      </c>
      <c r="Z53" s="282">
        <v>1.3499958755480712E-3</v>
      </c>
      <c r="AA53" s="284">
        <v>1.3497481612390061E-3</v>
      </c>
    </row>
    <row r="54" spans="10:27" x14ac:dyDescent="0.2">
      <c r="M54" s="203" t="e">
        <v>#N/A</v>
      </c>
      <c r="N54" s="203" t="e">
        <f>_xll.qlRateHelperQuoteName(M54)</f>
        <v>#VALUE!</v>
      </c>
      <c r="O54" s="287" t="e">
        <f>_xll.qlRateHelperLatestDate(M54,Trigger)</f>
        <v>#VALUE!</v>
      </c>
      <c r="P54" s="293" t="e">
        <f>_xll.qlRateHelperQuoteValue(M54,_xll.ohTrigger(RecalcTrigger,YieldCurve))</f>
        <v>#VALUE!</v>
      </c>
      <c r="Q54" s="294" t="e">
        <f t="shared" si="9"/>
        <v>#VALUE!</v>
      </c>
      <c r="R54" s="204" t="e">
        <f>_xll.qlLiborSwap(,Currency,"IsdaFixAm",Monitor!Q54,YieldCurve,Discounting,,_xll.ohTrigger(Trigger,RecalcTrigger))</f>
        <v>#VALUE!</v>
      </c>
      <c r="S54" s="295" t="e">
        <f>_xll.qlIndexFixing(R54,$X$19,TRUE,Trigger)</f>
        <v>#VALUE!</v>
      </c>
      <c r="T54" s="296" t="e">
        <f t="shared" si="10"/>
        <v>#VALUE!</v>
      </c>
      <c r="U54" s="298"/>
      <c r="W54" s="203" t="str">
        <f t="shared" si="8"/>
        <v>1D</v>
      </c>
      <c r="X54" s="287">
        <f>_xll.qlCalendarAdvance(Calendar,X53,W54,"f",FALSE)</f>
        <v>41848</v>
      </c>
      <c r="Y54" s="281">
        <f>_xll.qlCalendarAdvance(Calendar,X54,NDays&amp;"D")</f>
        <v>41850</v>
      </c>
      <c r="Z54" s="282">
        <v>1.3499960947353483E-3</v>
      </c>
      <c r="AA54" s="284">
        <v>1.3497462340605892E-3</v>
      </c>
    </row>
    <row r="55" spans="10:27" x14ac:dyDescent="0.2">
      <c r="M55" s="203" t="e">
        <v>#N/A</v>
      </c>
      <c r="N55" s="203" t="e">
        <f>_xll.qlRateHelperQuoteName(M55)</f>
        <v>#VALUE!</v>
      </c>
      <c r="O55" s="287" t="e">
        <f>_xll.qlRateHelperLatestDate(M55,Trigger)</f>
        <v>#VALUE!</v>
      </c>
      <c r="P55" s="293" t="e">
        <f>_xll.qlRateHelperQuoteValue(M55,_xll.ohTrigger(RecalcTrigger,YieldCurve))</f>
        <v>#VALUE!</v>
      </c>
      <c r="Q55" s="294" t="e">
        <f t="shared" si="9"/>
        <v>#VALUE!</v>
      </c>
      <c r="R55" s="204" t="e">
        <f>_xll.qlLiborSwap(,Currency,"IsdaFixAm",Monitor!Q55,YieldCurve,Discounting,,_xll.ohTrigger(Trigger,RecalcTrigger))</f>
        <v>#VALUE!</v>
      </c>
      <c r="S55" s="295" t="e">
        <f>_xll.qlIndexFixing(R55,$X$19,TRUE,Trigger)</f>
        <v>#VALUE!</v>
      </c>
      <c r="T55" s="296" t="e">
        <f t="shared" si="10"/>
        <v>#VALUE!</v>
      </c>
      <c r="U55" s="298"/>
      <c r="W55" s="203" t="str">
        <f t="shared" si="8"/>
        <v>1D</v>
      </c>
      <c r="X55" s="287">
        <f>_xll.qlCalendarAdvance(Calendar,X54,W55,"f",FALSE)</f>
        <v>41849</v>
      </c>
      <c r="Y55" s="281">
        <f>_xll.qlCalendarAdvance(Calendar,X55,NDays&amp;"D")</f>
        <v>41851</v>
      </c>
      <c r="Z55" s="282">
        <v>1.3499963396472652E-3</v>
      </c>
      <c r="AA55" s="284">
        <v>1.3497445999277602E-3</v>
      </c>
    </row>
    <row r="56" spans="10:27" x14ac:dyDescent="0.2">
      <c r="M56" s="203" t="e">
        <v>#N/A</v>
      </c>
      <c r="N56" s="203" t="e">
        <f>_xll.qlRateHelperQuoteName(M56)</f>
        <v>#VALUE!</v>
      </c>
      <c r="O56" s="287" t="e">
        <f>_xll.qlRateHelperLatestDate(M56,Trigger)</f>
        <v>#VALUE!</v>
      </c>
      <c r="P56" s="293" t="e">
        <f>_xll.qlRateHelperQuoteValue(M56,_xll.ohTrigger(RecalcTrigger,YieldCurve))</f>
        <v>#VALUE!</v>
      </c>
      <c r="Q56" s="294" t="e">
        <f t="shared" si="9"/>
        <v>#VALUE!</v>
      </c>
      <c r="R56" s="204" t="e">
        <f>_xll.qlLiborSwap(,Currency,"IsdaFixAm",Monitor!Q56,YieldCurve,Discounting,,_xll.ohTrigger(Trigger,RecalcTrigger))</f>
        <v>#VALUE!</v>
      </c>
      <c r="S56" s="295" t="e">
        <f>_xll.qlIndexFixing(R56,$X$19,TRUE,Trigger)</f>
        <v>#VALUE!</v>
      </c>
      <c r="T56" s="296" t="e">
        <f t="shared" si="10"/>
        <v>#VALUE!</v>
      </c>
      <c r="U56" s="298"/>
      <c r="W56" s="203" t="str">
        <f t="shared" si="8"/>
        <v>1D</v>
      </c>
      <c r="X56" s="287">
        <f>_xll.qlCalendarAdvance(Calendar,X55,W56,"f",FALSE)</f>
        <v>41850</v>
      </c>
      <c r="Y56" s="281">
        <f>_xll.qlCalendarAdvance(Calendar,X56,NDays&amp;"D")</f>
        <v>41852</v>
      </c>
      <c r="Z56" s="282">
        <v>1.3500043308028833E-3</v>
      </c>
      <c r="AA56" s="284">
        <v>1.3497473684065397E-3</v>
      </c>
    </row>
    <row r="57" spans="10:27" x14ac:dyDescent="0.2">
      <c r="M57" s="203" t="e">
        <v>#N/A</v>
      </c>
      <c r="N57" s="203" t="e">
        <f>_xll.qlRateHelperQuoteName(M57)</f>
        <v>#VALUE!</v>
      </c>
      <c r="O57" s="287" t="e">
        <f>_xll.qlRateHelperLatestDate(M57,Trigger)</f>
        <v>#VALUE!</v>
      </c>
      <c r="P57" s="293" t="e">
        <f>_xll.qlRateHelperQuoteValue(M57,_xll.ohTrigger(RecalcTrigger,YieldCurve))</f>
        <v>#VALUE!</v>
      </c>
      <c r="Q57" s="294" t="e">
        <f t="shared" si="9"/>
        <v>#VALUE!</v>
      </c>
      <c r="R57" s="204" t="e">
        <f>_xll.qlLiborSwap(,Currency,"IsdaFixAm",Monitor!Q57,YieldCurve,Discounting,,_xll.ohTrigger(Trigger,RecalcTrigger))</f>
        <v>#VALUE!</v>
      </c>
      <c r="S57" s="295" t="e">
        <f>_xll.qlIndexFixing(R57,$X$19,TRUE,Trigger)</f>
        <v>#VALUE!</v>
      </c>
      <c r="T57" s="296" t="e">
        <f t="shared" si="10"/>
        <v>#VALUE!</v>
      </c>
      <c r="U57" s="298"/>
      <c r="W57" s="203" t="str">
        <f t="shared" si="8"/>
        <v>1D</v>
      </c>
      <c r="X57" s="287">
        <f>_xll.qlCalendarAdvance(Calendar,X56,W57,"f",FALSE)</f>
        <v>41851</v>
      </c>
      <c r="Y57" s="281">
        <f>_xll.qlCalendarAdvance(Calendar,X57,NDays&amp;"D")</f>
        <v>41855</v>
      </c>
      <c r="Z57" s="282">
        <v>1.3499975253813848E-3</v>
      </c>
      <c r="AA57" s="284">
        <v>1.3497409920937287E-3</v>
      </c>
    </row>
    <row r="58" spans="10:27" x14ac:dyDescent="0.2">
      <c r="M58" s="203" t="e">
        <v>#N/A</v>
      </c>
      <c r="N58" s="203" t="e">
        <f>_xll.qlRateHelperQuoteName(M58)</f>
        <v>#VALUE!</v>
      </c>
      <c r="O58" s="287" t="e">
        <f>_xll.qlRateHelperLatestDate(M58,Trigger)</f>
        <v>#VALUE!</v>
      </c>
      <c r="P58" s="293" t="e">
        <f>_xll.qlRateHelperQuoteValue(M58,_xll.ohTrigger(RecalcTrigger,YieldCurve))</f>
        <v>#VALUE!</v>
      </c>
      <c r="Q58" s="294" t="e">
        <f t="shared" si="9"/>
        <v>#VALUE!</v>
      </c>
      <c r="R58" s="204" t="e">
        <f>_xll.qlLiborSwap(,Currency,"IsdaFixAm",Monitor!Q58,YieldCurve,Discounting,,_xll.ohTrigger(Trigger,RecalcTrigger))</f>
        <v>#VALUE!</v>
      </c>
      <c r="S58" s="295" t="e">
        <f>_xll.qlIndexFixing(R58,$X$19,TRUE,Trigger)</f>
        <v>#VALUE!</v>
      </c>
      <c r="T58" s="296" t="e">
        <f t="shared" si="10"/>
        <v>#VALUE!</v>
      </c>
      <c r="U58" s="298"/>
      <c r="W58" s="203" t="str">
        <f t="shared" si="8"/>
        <v>1D</v>
      </c>
      <c r="X58" s="287">
        <f>_xll.qlCalendarAdvance(Calendar,X57,W58,"f",FALSE)</f>
        <v>41852</v>
      </c>
      <c r="Y58" s="281">
        <f>_xll.qlCalendarAdvance(Calendar,X58,NDays&amp;"D")</f>
        <v>41856</v>
      </c>
      <c r="Z58" s="282">
        <v>1.3499978605497995E-3</v>
      </c>
      <c r="AA58" s="284">
        <v>1.349740822389478E-3</v>
      </c>
    </row>
    <row r="59" spans="10:27" x14ac:dyDescent="0.2">
      <c r="M59" s="203" t="e">
        <v>#N/A</v>
      </c>
      <c r="N59" s="203" t="e">
        <f>_xll.qlRateHelperQuoteName(M59)</f>
        <v>#VALUE!</v>
      </c>
      <c r="O59" s="287" t="e">
        <f>_xll.qlRateHelperLatestDate(M59,Trigger)</f>
        <v>#VALUE!</v>
      </c>
      <c r="P59" s="293" t="e">
        <f>_xll.qlRateHelperQuoteValue(M59,_xll.ohTrigger(RecalcTrigger,YieldCurve))</f>
        <v>#VALUE!</v>
      </c>
      <c r="Q59" s="294" t="e">
        <f t="shared" si="9"/>
        <v>#VALUE!</v>
      </c>
      <c r="R59" s="204" t="e">
        <f>_xll.qlLiborSwap(,Currency,"IsdaFixAm",Monitor!Q59,YieldCurve,Discounting,,_xll.ohTrigger(Trigger,RecalcTrigger))</f>
        <v>#VALUE!</v>
      </c>
      <c r="S59" s="295" t="e">
        <f>_xll.qlIndexFixing(R59,$X$19,TRUE,Trigger)</f>
        <v>#VALUE!</v>
      </c>
      <c r="T59" s="296" t="e">
        <f t="shared" si="10"/>
        <v>#VALUE!</v>
      </c>
      <c r="U59" s="298"/>
      <c r="W59" s="203" t="str">
        <f t="shared" si="8"/>
        <v>1D</v>
      </c>
      <c r="X59" s="287">
        <f>_xll.qlCalendarAdvance(Calendar,X58,W59,"f",FALSE)</f>
        <v>41855</v>
      </c>
      <c r="Y59" s="281">
        <f>_xll.qlCalendarAdvance(Calendar,X59,NDays&amp;"D")</f>
        <v>41857</v>
      </c>
      <c r="Z59" s="282">
        <v>1.3499982060968688E-3</v>
      </c>
      <c r="AA59" s="284">
        <v>1.349740945491007E-3</v>
      </c>
    </row>
    <row r="60" spans="10:27" x14ac:dyDescent="0.2">
      <c r="M60" s="203" t="e">
        <v>#N/A</v>
      </c>
      <c r="N60" s="203" t="e">
        <f>_xll.qlRateHelperQuoteName(M60)</f>
        <v>#VALUE!</v>
      </c>
      <c r="O60" s="287" t="e">
        <f>_xll.qlRateHelperLatestDate(M60,Trigger)</f>
        <v>#VALUE!</v>
      </c>
      <c r="P60" s="293" t="e">
        <f>_xll.qlRateHelperQuoteValue(M60,_xll.ohTrigger(RecalcTrigger,YieldCurve))</f>
        <v>#VALUE!</v>
      </c>
      <c r="Q60" s="294" t="e">
        <f t="shared" si="9"/>
        <v>#VALUE!</v>
      </c>
      <c r="R60" s="204" t="e">
        <f>_xll.qlLiborSwap(,Currency,"IsdaFixAm",Monitor!Q60,YieldCurve,Discounting,,_xll.ohTrigger(Trigger,RecalcTrigger))</f>
        <v>#VALUE!</v>
      </c>
      <c r="S60" s="295" t="e">
        <f>_xll.qlIndexFixing(R60,$X$19,TRUE,Trigger)</f>
        <v>#VALUE!</v>
      </c>
      <c r="T60" s="296" t="e">
        <f t="shared" si="10"/>
        <v>#VALUE!</v>
      </c>
      <c r="U60" s="298"/>
      <c r="W60" s="203" t="str">
        <f t="shared" si="8"/>
        <v>1D</v>
      </c>
      <c r="X60" s="287">
        <f>_xll.qlCalendarAdvance(Calendar,X59,W60,"f",FALSE)</f>
        <v>41856</v>
      </c>
      <c r="Y60" s="281">
        <f>_xll.qlCalendarAdvance(Calendar,X60,NDays&amp;"D")</f>
        <v>41858</v>
      </c>
      <c r="Z60" s="282">
        <v>1.3499985594646385E-3</v>
      </c>
      <c r="AA60" s="284">
        <v>1.3497413615581877E-3</v>
      </c>
    </row>
    <row r="61" spans="10:27" x14ac:dyDescent="0.2">
      <c r="M61" s="203" t="e">
        <v>#N/A</v>
      </c>
      <c r="N61" s="203" t="e">
        <f>_xll.qlRateHelperQuoteName(M61)</f>
        <v>#VALUE!</v>
      </c>
      <c r="O61" s="287" t="e">
        <f>_xll.qlRateHelperLatestDate(M61,Trigger)</f>
        <v>#VALUE!</v>
      </c>
      <c r="P61" s="293" t="e">
        <f>_xll.qlRateHelperQuoteValue(M61,_xll.ohTrigger(RecalcTrigger,YieldCurve))</f>
        <v>#VALUE!</v>
      </c>
      <c r="Q61" s="294" t="e">
        <f t="shared" si="9"/>
        <v>#VALUE!</v>
      </c>
      <c r="R61" s="204" t="e">
        <f>_xll.qlLiborSwap(,Currency,"IsdaFixAm",Monitor!Q61,YieldCurve,Discounting,,_xll.ohTrigger(Trigger,RecalcTrigger))</f>
        <v>#VALUE!</v>
      </c>
      <c r="S61" s="295" t="e">
        <f>_xll.qlIndexFixing(R61,$X$19,TRUE,Trigger)</f>
        <v>#VALUE!</v>
      </c>
      <c r="T61" s="296" t="e">
        <f t="shared" si="10"/>
        <v>#VALUE!</v>
      </c>
      <c r="U61" s="298"/>
      <c r="W61" s="203" t="str">
        <f t="shared" si="8"/>
        <v>1D</v>
      </c>
      <c r="X61" s="287">
        <f>_xll.qlCalendarAdvance(Calendar,X60,W61,"f",FALSE)</f>
        <v>41857</v>
      </c>
      <c r="Y61" s="281">
        <f>_xll.qlCalendarAdvance(Calendar,X61,NDays&amp;"D")</f>
        <v>41859</v>
      </c>
      <c r="Z61" s="282">
        <v>1.3500041328956428E-3</v>
      </c>
      <c r="AA61" s="284">
        <v>1.3497482305968589E-3</v>
      </c>
    </row>
    <row r="62" spans="10:27" x14ac:dyDescent="0.2">
      <c r="M62" s="203" t="e">
        <v>#N/A</v>
      </c>
      <c r="N62" s="203" t="e">
        <f>_xll.qlRateHelperQuoteName(M62)</f>
        <v>#VALUE!</v>
      </c>
      <c r="O62" s="287" t="e">
        <f>_xll.qlRateHelperLatestDate(M62,Trigger)</f>
        <v>#VALUE!</v>
      </c>
      <c r="P62" s="293" t="e">
        <f>_xll.qlRateHelperQuoteValue(M62,_xll.ohTrigger(RecalcTrigger,YieldCurve))</f>
        <v>#VALUE!</v>
      </c>
      <c r="Q62" s="294" t="e">
        <f t="shared" si="9"/>
        <v>#VALUE!</v>
      </c>
      <c r="R62" s="204" t="e">
        <f>_xll.qlLiborSwap(,Currency,"IsdaFixAm",Monitor!Q62,YieldCurve,Discounting,,_xll.ohTrigger(Trigger,RecalcTrigger))</f>
        <v>#VALUE!</v>
      </c>
      <c r="S62" s="295" t="e">
        <f>_xll.qlIndexFixing(R62,$X$19,TRUE,Trigger)</f>
        <v>#VALUE!</v>
      </c>
      <c r="T62" s="296" t="e">
        <f t="shared" si="10"/>
        <v>#VALUE!</v>
      </c>
      <c r="U62" s="298"/>
      <c r="W62" s="203" t="str">
        <f t="shared" si="8"/>
        <v>1D</v>
      </c>
      <c r="X62" s="287">
        <f>_xll.qlCalendarAdvance(Calendar,X61,W62,"f",FALSE)</f>
        <v>41858</v>
      </c>
      <c r="Y62" s="281">
        <f>_xll.qlCalendarAdvance(Calendar,X62,NDays&amp;"D")</f>
        <v>41862</v>
      </c>
      <c r="Z62" s="282">
        <v>1.3500000000001555E-3</v>
      </c>
      <c r="AA62" s="284">
        <v>1.3497458995281875E-3</v>
      </c>
    </row>
    <row r="63" spans="10:27" x14ac:dyDescent="0.2">
      <c r="M63" s="203" t="e">
        <v>#N/A</v>
      </c>
      <c r="N63" s="203" t="e">
        <f>_xll.qlRateHelperQuoteName(M63)</f>
        <v>#VALUE!</v>
      </c>
      <c r="O63" s="287" t="e">
        <f>_xll.qlRateHelperLatestDate(M63,Trigger)</f>
        <v>#VALUE!</v>
      </c>
      <c r="P63" s="293" t="e">
        <f>_xll.qlRateHelperQuoteValue(M63,_xll.ohTrigger(RecalcTrigger,YieldCurve))</f>
        <v>#VALUE!</v>
      </c>
      <c r="Q63" s="294" t="e">
        <f t="shared" si="9"/>
        <v>#VALUE!</v>
      </c>
      <c r="R63" s="204" t="e">
        <f>_xll.qlLiborSwap(,Currency,"IsdaFixAm",Monitor!Q63,YieldCurve,Discounting,,_xll.ohTrigger(Trigger,RecalcTrigger))</f>
        <v>#VALUE!</v>
      </c>
      <c r="S63" s="295" t="e">
        <f>_xll.qlIndexFixing(R63,$X$19,TRUE,Trigger)</f>
        <v>#VALUE!</v>
      </c>
      <c r="T63" s="296" t="e">
        <f t="shared" si="10"/>
        <v>#VALUE!</v>
      </c>
      <c r="U63" s="298"/>
      <c r="W63" s="203" t="str">
        <f t="shared" si="8"/>
        <v>1D</v>
      </c>
      <c r="X63" s="287">
        <f>_xll.qlCalendarAdvance(Calendar,X62,W63,"f",FALSE)</f>
        <v>41859</v>
      </c>
      <c r="Y63" s="281">
        <f>_xll.qlCalendarAdvance(Calendar,X63,NDays&amp;"D")</f>
        <v>41863</v>
      </c>
      <c r="Z63" s="282">
        <v>1.3500003543045675E-3</v>
      </c>
      <c r="AA63" s="284">
        <v>1.3497474487689232E-3</v>
      </c>
    </row>
    <row r="64" spans="10:27" x14ac:dyDescent="0.2">
      <c r="M64" s="203" t="e">
        <v>#N/A</v>
      </c>
      <c r="N64" s="203" t="e">
        <f>_xll.qlRateHelperQuoteName(M64)</f>
        <v>#VALUE!</v>
      </c>
      <c r="O64" s="287" t="e">
        <f>_xll.qlRateHelperLatestDate(M64,Trigger)</f>
        <v>#VALUE!</v>
      </c>
      <c r="P64" s="293" t="e">
        <f>_xll.qlRateHelperQuoteValue(M64,_xll.ohTrigger(RecalcTrigger,YieldCurve))</f>
        <v>#VALUE!</v>
      </c>
      <c r="Q64" s="294" t="e">
        <f t="shared" si="9"/>
        <v>#VALUE!</v>
      </c>
      <c r="R64" s="204" t="e">
        <f>_xll.qlLiborSwap(,Currency,"IsdaFixAm",Monitor!Q64,YieldCurve,Discounting,,_xll.ohTrigger(Trigger,RecalcTrigger))</f>
        <v>#VALUE!</v>
      </c>
      <c r="S64" s="295" t="e">
        <f>_xll.qlIndexFixing(R64,$X$19,TRUE,Trigger)</f>
        <v>#VALUE!</v>
      </c>
      <c r="T64" s="296" t="e">
        <f t="shared" si="10"/>
        <v>#VALUE!</v>
      </c>
      <c r="U64" s="298"/>
      <c r="W64" s="203" t="str">
        <f t="shared" si="8"/>
        <v>1D</v>
      </c>
      <c r="X64" s="287">
        <f>_xll.qlCalendarAdvance(Calendar,X63,W64,"f",FALSE)</f>
        <v>41862</v>
      </c>
      <c r="Y64" s="281">
        <f>_xll.qlCalendarAdvance(Calendar,X64,NDays&amp;"D")</f>
        <v>41864</v>
      </c>
      <c r="Z64" s="282">
        <v>1.3500007022401608E-3</v>
      </c>
      <c r="AA64" s="284">
        <v>1.3497489597202872E-3</v>
      </c>
    </row>
    <row r="65" spans="13:27" x14ac:dyDescent="0.2">
      <c r="M65" s="203" t="e">
        <v>#N/A</v>
      </c>
      <c r="N65" s="203" t="e">
        <f>_xll.qlRateHelperQuoteName(M65)</f>
        <v>#VALUE!</v>
      </c>
      <c r="O65" s="287" t="e">
        <f>_xll.qlRateHelperLatestDate(M65,Trigger)</f>
        <v>#VALUE!</v>
      </c>
      <c r="P65" s="293" t="e">
        <f>_xll.qlRateHelperQuoteValue(M65,_xll.ohTrigger(RecalcTrigger,YieldCurve))</f>
        <v>#VALUE!</v>
      </c>
      <c r="Q65" s="294" t="e">
        <f t="shared" si="9"/>
        <v>#VALUE!</v>
      </c>
      <c r="R65" s="204" t="e">
        <f>_xll.qlLiborSwap(,Currency,"IsdaFixAm",Monitor!Q65,YieldCurve,Discounting,,_xll.ohTrigger(Trigger,RecalcTrigger))</f>
        <v>#VALUE!</v>
      </c>
      <c r="S65" s="295" t="e">
        <f>_xll.qlIndexFixing(R65,$X$19,TRUE,Trigger)</f>
        <v>#VALUE!</v>
      </c>
      <c r="T65" s="296" t="e">
        <f t="shared" si="10"/>
        <v>#VALUE!</v>
      </c>
      <c r="U65" s="298"/>
      <c r="W65" s="203" t="str">
        <f t="shared" si="8"/>
        <v>1D</v>
      </c>
      <c r="X65" s="287">
        <f>_xll.qlCalendarAdvance(Calendar,X64,W65,"f",FALSE)</f>
        <v>41863</v>
      </c>
      <c r="Y65" s="281">
        <f>_xll.qlCalendarAdvance(Calendar,X65,NDays&amp;"D")</f>
        <v>41865</v>
      </c>
      <c r="Z65" s="282">
        <v>1.3500010424028414E-3</v>
      </c>
      <c r="AA65" s="284">
        <v>1.3497504322224074E-3</v>
      </c>
    </row>
    <row r="66" spans="13:27" x14ac:dyDescent="0.2">
      <c r="M66" s="203" t="e">
        <v>#N/A</v>
      </c>
      <c r="N66" s="203" t="e">
        <f>_xll.qlRateHelperQuoteName(M66)</f>
        <v>#VALUE!</v>
      </c>
      <c r="O66" s="287" t="e">
        <f>_xll.qlRateHelperLatestDate(M66,Trigger)</f>
        <v>#VALUE!</v>
      </c>
      <c r="P66" s="293" t="e">
        <f>_xll.qlRateHelperQuoteValue(M66,_xll.ohTrigger(RecalcTrigger,YieldCurve))</f>
        <v>#VALUE!</v>
      </c>
      <c r="Q66" s="294" t="e">
        <f t="shared" si="9"/>
        <v>#VALUE!</v>
      </c>
      <c r="R66" s="204" t="e">
        <f>_xll.qlLiborSwap(,Currency,"IsdaFixAm",Monitor!Q66,YieldCurve,Discounting,,_xll.ohTrigger(Trigger,RecalcTrigger))</f>
        <v>#VALUE!</v>
      </c>
      <c r="S66" s="295" t="e">
        <f>_xll.qlIndexFixing(R66,$X$19,TRUE,Trigger)</f>
        <v>#VALUE!</v>
      </c>
      <c r="T66" s="296" t="e">
        <f t="shared" si="10"/>
        <v>#VALUE!</v>
      </c>
      <c r="U66" s="298"/>
      <c r="W66" s="203" t="str">
        <f t="shared" si="8"/>
        <v>1D</v>
      </c>
      <c r="X66" s="287">
        <f>_xll.qlCalendarAdvance(Calendar,X65,W66,"f",FALSE)</f>
        <v>41864</v>
      </c>
      <c r="Y66" s="281">
        <f>_xll.qlCalendarAdvance(Calendar,X66,NDays&amp;"D")</f>
        <v>41866</v>
      </c>
      <c r="Z66" s="282">
        <v>1.3500066566649214E-3</v>
      </c>
      <c r="AA66" s="284">
        <v>1.3497583099741917E-3</v>
      </c>
    </row>
    <row r="67" spans="13:27" x14ac:dyDescent="0.2">
      <c r="M67" s="203" t="e">
        <v>#N/A</v>
      </c>
      <c r="N67" s="203" t="e">
        <f>_xll.qlRateHelperQuoteName(M67)</f>
        <v>#VALUE!</v>
      </c>
      <c r="O67" s="287" t="e">
        <f>_xll.qlRateHelperLatestDate(M67,Trigger)</f>
        <v>#VALUE!</v>
      </c>
      <c r="P67" s="293" t="e">
        <f>_xll.qlRateHelperQuoteValue(M67,_xll.ohTrigger(RecalcTrigger,YieldCurve))</f>
        <v>#VALUE!</v>
      </c>
      <c r="Q67" s="294" t="e">
        <f t="shared" si="9"/>
        <v>#VALUE!</v>
      </c>
      <c r="R67" s="204" t="e">
        <f>_xll.qlLiborSwap(,Currency,"IsdaFixAm",Monitor!Q67,YieldCurve,Discounting,,_xll.ohTrigger(Trigger,RecalcTrigger))</f>
        <v>#VALUE!</v>
      </c>
      <c r="S67" s="295" t="e">
        <f>_xll.qlIndexFixing(R67,$X$19,TRUE,Trigger)</f>
        <v>#VALUE!</v>
      </c>
      <c r="T67" s="296" t="e">
        <f t="shared" si="10"/>
        <v>#VALUE!</v>
      </c>
      <c r="U67" s="298"/>
      <c r="W67" s="203" t="str">
        <f t="shared" si="8"/>
        <v>1D</v>
      </c>
      <c r="X67" s="287">
        <f>_xll.qlCalendarAdvance(Calendar,X66,W67,"f",FALSE)</f>
        <v>41865</v>
      </c>
      <c r="Y67" s="281">
        <f>_xll.qlCalendarAdvance(Calendar,X67,NDays&amp;"D")</f>
        <v>41869</v>
      </c>
      <c r="Z67" s="282">
        <v>1.3500022972729622E-3</v>
      </c>
      <c r="AA67" s="284">
        <v>1.349755938457875E-3</v>
      </c>
    </row>
    <row r="68" spans="13:27" x14ac:dyDescent="0.2">
      <c r="M68" s="203" t="e">
        <v>#N/A</v>
      </c>
      <c r="N68" s="203" t="e">
        <f>_xll.qlRateHelperQuoteName(M68)</f>
        <v>#VALUE!</v>
      </c>
      <c r="O68" s="287" t="e">
        <f>_xll.qlRateHelperLatestDate(M68,Trigger)</f>
        <v>#VALUE!</v>
      </c>
      <c r="P68" s="293" t="e">
        <f>_xll.qlRateHelperQuoteValue(M68,_xll.ohTrigger(RecalcTrigger,YieldCurve))</f>
        <v>#VALUE!</v>
      </c>
      <c r="Q68" s="294" t="e">
        <f t="shared" si="9"/>
        <v>#VALUE!</v>
      </c>
      <c r="R68" s="204" t="e">
        <f>_xll.qlLiborSwap(,Currency,"IsdaFixAm",Monitor!Q68,YieldCurve,Discounting,,_xll.ohTrigger(Trigger,RecalcTrigger))</f>
        <v>#VALUE!</v>
      </c>
      <c r="S68" s="295" t="e">
        <f>_xll.qlIndexFixing(R68,$X$19,TRUE,Trigger)</f>
        <v>#VALUE!</v>
      </c>
      <c r="T68" s="296" t="e">
        <f t="shared" si="10"/>
        <v>#VALUE!</v>
      </c>
      <c r="U68" s="298"/>
      <c r="W68" s="203" t="str">
        <f t="shared" si="8"/>
        <v>1D</v>
      </c>
      <c r="X68" s="287">
        <f>_xll.qlCalendarAdvance(Calendar,X67,W68,"f",FALSE)</f>
        <v>41866</v>
      </c>
      <c r="Y68" s="281">
        <f>_xll.qlCalendarAdvance(Calendar,X68,NDays&amp;"D")</f>
        <v>41870</v>
      </c>
      <c r="Z68" s="282">
        <v>1.3500025775313874E-3</v>
      </c>
      <c r="AA68" s="284">
        <v>1.3497572191134566E-3</v>
      </c>
    </row>
    <row r="69" spans="13:27" x14ac:dyDescent="0.2">
      <c r="M69" s="203" t="e">
        <v>#N/A</v>
      </c>
      <c r="N69" s="203" t="e">
        <f>_xll.qlRateHelperQuoteName(M69)</f>
        <v>#VALUE!</v>
      </c>
      <c r="O69" s="287" t="e">
        <f>_xll.qlRateHelperLatestDate(M69,Trigger)</f>
        <v>#VALUE!</v>
      </c>
      <c r="P69" s="293" t="e">
        <f>_xll.qlRateHelperQuoteValue(M69,_xll.ohTrigger(RecalcTrigger,YieldCurve))</f>
        <v>#VALUE!</v>
      </c>
      <c r="Q69" s="294" t="e">
        <f t="shared" si="9"/>
        <v>#VALUE!</v>
      </c>
      <c r="R69" s="204" t="e">
        <f>_xll.qlLiborSwap(,Currency,"IsdaFixAm",Monitor!Q69,YieldCurve,Discounting,,_xll.ohTrigger(Trigger,RecalcTrigger))</f>
        <v>#VALUE!</v>
      </c>
      <c r="S69" s="295" t="e">
        <f>_xll.qlIndexFixing(R69,$X$19,TRUE,Trigger)</f>
        <v>#VALUE!</v>
      </c>
      <c r="T69" s="296" t="e">
        <f t="shared" si="10"/>
        <v>#VALUE!</v>
      </c>
      <c r="U69" s="298"/>
      <c r="W69" s="203" t="str">
        <f t="shared" si="8"/>
        <v>1D</v>
      </c>
      <c r="X69" s="287">
        <f>_xll.qlCalendarAdvance(Calendar,X68,W69,"f",FALSE)</f>
        <v>41869</v>
      </c>
      <c r="Y69" s="281">
        <f>_xll.qlCalendarAdvance(Calendar,X69,NDays&amp;"D")</f>
        <v>41871</v>
      </c>
      <c r="Z69" s="282">
        <v>1.3500028415984165E-3</v>
      </c>
      <c r="AA69" s="284">
        <v>1.3497584613197944E-3</v>
      </c>
    </row>
    <row r="70" spans="13:27" x14ac:dyDescent="0.2">
      <c r="M70" s="203" t="e">
        <v>#N/A</v>
      </c>
      <c r="N70" s="203" t="e">
        <f>_xll.qlRateHelperQuoteName(M70)</f>
        <v>#VALUE!</v>
      </c>
      <c r="O70" s="287" t="e">
        <f>_xll.qlRateHelperLatestDate(M70,Trigger)</f>
        <v>#VALUE!</v>
      </c>
      <c r="P70" s="293" t="e">
        <f>_xll.qlRateHelperQuoteValue(M70,_xll.ohTrigger(RecalcTrigger,YieldCurve))</f>
        <v>#VALUE!</v>
      </c>
      <c r="Q70" s="294" t="e">
        <f t="shared" si="9"/>
        <v>#VALUE!</v>
      </c>
      <c r="R70" s="204" t="e">
        <f>_xll.qlLiborSwap(,Currency,"IsdaFixAm",Monitor!Q70,YieldCurve,Discounting,,_xll.ohTrigger(Trigger,RecalcTrigger))</f>
        <v>#VALUE!</v>
      </c>
      <c r="S70" s="295" t="e">
        <f>_xll.qlIndexFixing(R70,$X$19,TRUE,Trigger)</f>
        <v>#VALUE!</v>
      </c>
      <c r="T70" s="296" t="e">
        <f t="shared" si="10"/>
        <v>#VALUE!</v>
      </c>
      <c r="U70" s="298"/>
      <c r="W70" s="203" t="str">
        <f t="shared" si="8"/>
        <v>1D</v>
      </c>
      <c r="X70" s="287">
        <f>_xll.qlCalendarAdvance(Calendar,X69,W70,"f",FALSE)</f>
        <v>41870</v>
      </c>
      <c r="Y70" s="281">
        <f>_xll.qlCalendarAdvance(Calendar,X70,NDays&amp;"D")</f>
        <v>41872</v>
      </c>
      <c r="Z70" s="282">
        <v>1.3500030880742998E-3</v>
      </c>
      <c r="AA70" s="284">
        <v>1.3497596652367605E-3</v>
      </c>
    </row>
    <row r="71" spans="13:27" x14ac:dyDescent="0.2">
      <c r="M71" s="203" t="e">
        <v>#N/A</v>
      </c>
      <c r="N71" s="203" t="e">
        <f>_xll.qlRateHelperQuoteName(M71)</f>
        <v>#VALUE!</v>
      </c>
      <c r="O71" s="287" t="e">
        <f>_xll.qlRateHelperLatestDate(M71,Trigger)</f>
        <v>#VALUE!</v>
      </c>
      <c r="P71" s="293" t="e">
        <f>_xll.qlRateHelperQuoteValue(M71,_xll.ohTrigger(RecalcTrigger,YieldCurve))</f>
        <v>#VALUE!</v>
      </c>
      <c r="Q71" s="294" t="e">
        <f t="shared" si="9"/>
        <v>#VALUE!</v>
      </c>
      <c r="R71" s="204" t="e">
        <f>_xll.qlLiborSwap(,Currency,"IsdaFixAm",Monitor!Q71,YieldCurve,Discounting,,_xll.ohTrigger(Trigger,RecalcTrigger))</f>
        <v>#VALUE!</v>
      </c>
      <c r="S71" s="295" t="e">
        <f>_xll.qlIndexFixing(R71,$X$19,TRUE,Trigger)</f>
        <v>#VALUE!</v>
      </c>
      <c r="T71" s="296" t="e">
        <f t="shared" si="10"/>
        <v>#VALUE!</v>
      </c>
      <c r="U71" s="298"/>
      <c r="W71" s="203" t="str">
        <f t="shared" si="8"/>
        <v>1D</v>
      </c>
      <c r="X71" s="287">
        <f>_xll.qlCalendarAdvance(Calendar,X70,W71,"f",FALSE)</f>
        <v>41871</v>
      </c>
      <c r="Y71" s="281">
        <f>_xll.qlCalendarAdvance(Calendar,X71,NDays&amp;"D")</f>
        <v>41873</v>
      </c>
      <c r="Z71" s="282">
        <v>1.3500110954624525E-3</v>
      </c>
      <c r="AA71" s="284">
        <v>1.3497700741305074E-3</v>
      </c>
    </row>
    <row r="72" spans="13:27" x14ac:dyDescent="0.2">
      <c r="M72" s="203" t="e">
        <v>#N/A</v>
      </c>
      <c r="N72" s="203" t="e">
        <f>_xll.qlRateHelperQuoteName(M72)</f>
        <v>#VALUE!</v>
      </c>
      <c r="O72" s="287" t="e">
        <f>_xll.qlRateHelperLatestDate(M72,Trigger)</f>
        <v>#VALUE!</v>
      </c>
      <c r="P72" s="293" t="e">
        <f>_xll.qlRateHelperQuoteValue(M72,_xll.ohTrigger(RecalcTrigger,YieldCurve))</f>
        <v>#VALUE!</v>
      </c>
      <c r="Q72" s="294" t="e">
        <f t="shared" si="9"/>
        <v>#VALUE!</v>
      </c>
      <c r="R72" s="204" t="e">
        <f>_xll.qlLiborSwap(,Currency,"IsdaFixAm",Monitor!Q72,YieldCurve,Discounting,,_xll.ohTrigger(Trigger,RecalcTrigger))</f>
        <v>#VALUE!</v>
      </c>
      <c r="S72" s="295" t="e">
        <f>_xll.qlIndexFixing(R72,$X$19,TRUE,Trigger)</f>
        <v>#VALUE!</v>
      </c>
      <c r="T72" s="296" t="e">
        <f t="shared" si="10"/>
        <v>#VALUE!</v>
      </c>
      <c r="U72" s="298"/>
      <c r="W72" s="203" t="str">
        <f t="shared" si="8"/>
        <v>1D</v>
      </c>
      <c r="X72" s="287">
        <f>_xll.qlCalendarAdvance(Calendar,X71,W72,"f",FALSE)</f>
        <v>41872</v>
      </c>
      <c r="Y72" s="281">
        <f>_xll.qlCalendarAdvance(Calendar,X72,NDays&amp;"D")</f>
        <v>41877</v>
      </c>
      <c r="Z72" s="282">
        <v>1.3500040074527861E-3</v>
      </c>
      <c r="AA72" s="284">
        <v>1.3497651089622309E-3</v>
      </c>
    </row>
    <row r="73" spans="13:27" x14ac:dyDescent="0.2">
      <c r="M73" s="203" t="e">
        <v>#N/A</v>
      </c>
      <c r="N73" s="203" t="e">
        <f>_xll.qlRateHelperQuoteName(M73)</f>
        <v>#VALUE!</v>
      </c>
      <c r="O73" s="287" t="e">
        <f>_xll.qlRateHelperLatestDate(M73,Trigger)</f>
        <v>#VALUE!</v>
      </c>
      <c r="P73" s="293" t="e">
        <f>_xll.qlRateHelperQuoteValue(M73,_xll.ohTrigger(RecalcTrigger,YieldCurve))</f>
        <v>#VALUE!</v>
      </c>
      <c r="Q73" s="294" t="e">
        <f t="shared" si="9"/>
        <v>#VALUE!</v>
      </c>
      <c r="R73" s="204" t="e">
        <f>_xll.qlLiborSwap(,Currency,"IsdaFixAm",Monitor!Q73,YieldCurve,Discounting,,_xll.ohTrigger(Trigger,RecalcTrigger))</f>
        <v>#VALUE!</v>
      </c>
      <c r="S73" s="295" t="e">
        <f>_xll.qlIndexFixing(R73,$X$19,TRUE,Trigger)</f>
        <v>#VALUE!</v>
      </c>
      <c r="T73" s="296" t="e">
        <f t="shared" si="10"/>
        <v>#VALUE!</v>
      </c>
      <c r="U73" s="298"/>
      <c r="W73" s="203" t="str">
        <f t="shared" si="8"/>
        <v>1D</v>
      </c>
      <c r="X73" s="287">
        <f>_xll.qlCalendarAdvance(Calendar,X72,W73,"f",FALSE)</f>
        <v>41873</v>
      </c>
      <c r="Y73" s="281">
        <f>_xll.qlCalendarAdvance(Calendar,X73,NDays&amp;"D")</f>
        <v>41878</v>
      </c>
      <c r="Z73" s="282">
        <v>1.350004118908848E-3</v>
      </c>
      <c r="AA73" s="284">
        <v>1.3497660825834146E-3</v>
      </c>
    </row>
    <row r="74" spans="13:27" x14ac:dyDescent="0.2">
      <c r="M74" s="203" t="e">
        <v>#N/A</v>
      </c>
      <c r="N74" s="203" t="e">
        <f>_xll.qlRateHelperQuoteName(M74)</f>
        <v>#VALUE!</v>
      </c>
      <c r="O74" s="287" t="e">
        <f>_xll.qlRateHelperLatestDate(M74,Trigger)</f>
        <v>#VALUE!</v>
      </c>
      <c r="P74" s="293" t="e">
        <f>_xll.qlRateHelperQuoteValue(M74,_xll.ohTrigger(RecalcTrigger,YieldCurve))</f>
        <v>#VALUE!</v>
      </c>
      <c r="Q74" s="294" t="e">
        <f t="shared" si="9"/>
        <v>#VALUE!</v>
      </c>
      <c r="R74" s="204" t="e">
        <f>_xll.qlLiborSwap(,Currency,"IsdaFixAm",Monitor!Q74,YieldCurve,Discounting,,_xll.ohTrigger(Trigger,RecalcTrigger))</f>
        <v>#VALUE!</v>
      </c>
      <c r="S74" s="295" t="e">
        <f>_xll.qlIndexFixing(R74,$X$19,TRUE,Trigger)</f>
        <v>#VALUE!</v>
      </c>
      <c r="T74" s="296" t="e">
        <f t="shared" si="10"/>
        <v>#VALUE!</v>
      </c>
      <c r="U74" s="298"/>
      <c r="W74" s="203" t="str">
        <f t="shared" si="8"/>
        <v>1D</v>
      </c>
      <c r="X74" s="287">
        <f>_xll.qlCalendarAdvance(Calendar,X73,W74,"f",FALSE)</f>
        <v>41877</v>
      </c>
      <c r="Y74" s="281">
        <f>_xll.qlCalendarAdvance(Calendar,X74,NDays&amp;"D")</f>
        <v>41879</v>
      </c>
      <c r="Z74" s="282">
        <v>1.3500042029511862E-3</v>
      </c>
      <c r="AA74" s="284">
        <v>1.3497670177553545E-3</v>
      </c>
    </row>
    <row r="75" spans="13:27" ht="12" thickBot="1" x14ac:dyDescent="0.25">
      <c r="M75" s="206" t="e">
        <v>#N/A</v>
      </c>
      <c r="N75" s="206" t="e">
        <f>_xll.qlRateHelperQuoteName(M75)</f>
        <v>#VALUE!</v>
      </c>
      <c r="O75" s="289" t="e">
        <f>_xll.qlRateHelperLatestDate(M75,Trigger)</f>
        <v>#VALUE!</v>
      </c>
      <c r="P75" s="299" t="e">
        <f>_xll.qlRateHelperQuoteValue(M75,_xll.ohTrigger(RecalcTrigger,YieldCurve))</f>
        <v>#VALUE!</v>
      </c>
      <c r="Q75" s="294" t="e">
        <f t="shared" si="9"/>
        <v>#VALUE!</v>
      </c>
      <c r="R75" s="207" t="e">
        <f>_xll.qlLiborSwap(,Currency,"IsdaFixAm",Monitor!Q75,YieldCurve,Discounting,,_xll.ohTrigger(Trigger,RecalcTrigger))</f>
        <v>#VALUE!</v>
      </c>
      <c r="S75" s="300" t="e">
        <f>_xll.qlIndexFixing(R75,$X$19,TRUE,Trigger)</f>
        <v>#VALUE!</v>
      </c>
      <c r="T75" s="301" t="e">
        <f t="shared" si="10"/>
        <v>#VALUE!</v>
      </c>
      <c r="U75" s="298"/>
      <c r="W75" s="203" t="str">
        <f t="shared" si="8"/>
        <v>1D</v>
      </c>
      <c r="X75" s="287">
        <f>_xll.qlCalendarAdvance(Calendar,X74,W75,"f",FALSE)</f>
        <v>41878</v>
      </c>
      <c r="Y75" s="281">
        <f>_xll.qlCalendarAdvance(Calendar,X75,NDays&amp;"D")</f>
        <v>41880</v>
      </c>
      <c r="Z75" s="282">
        <v>1.3500017477490384E-3</v>
      </c>
      <c r="AA75" s="284">
        <v>1.3497738210865862E-3</v>
      </c>
    </row>
    <row r="76" spans="13:27" x14ac:dyDescent="0.2">
      <c r="W76" s="203" t="str">
        <f t="shared" si="8"/>
        <v>1D</v>
      </c>
      <c r="X76" s="287">
        <f>_xll.qlCalendarAdvance(Calendar,X75,W76,"f",FALSE)</f>
        <v>41879</v>
      </c>
      <c r="Y76" s="281">
        <f>_xll.qlCalendarAdvance(Calendar,X76,NDays&amp;"D")</f>
        <v>41883</v>
      </c>
      <c r="Z76" s="282">
        <v>1.3500017938633596E-3</v>
      </c>
      <c r="AA76" s="284">
        <v>1.3497703749898449E-3</v>
      </c>
    </row>
    <row r="77" spans="13:27" x14ac:dyDescent="0.2">
      <c r="W77" s="203" t="str">
        <f t="shared" si="8"/>
        <v>1D</v>
      </c>
      <c r="X77" s="287">
        <f>_xll.qlCalendarAdvance(Calendar,X76,W77,"f",FALSE)</f>
        <v>41880</v>
      </c>
      <c r="Y77" s="281">
        <f>_xll.qlCalendarAdvance(Calendar,X77,NDays&amp;"D")</f>
        <v>41884</v>
      </c>
      <c r="Z77" s="282">
        <v>1.3500017451945983E-3</v>
      </c>
      <c r="AA77" s="284">
        <v>1.34977111823531E-3</v>
      </c>
    </row>
    <row r="78" spans="13:27" x14ac:dyDescent="0.2">
      <c r="W78" s="203" t="str">
        <f t="shared" si="8"/>
        <v>1D</v>
      </c>
      <c r="X78" s="287">
        <f>_xll.qlCalendarAdvance(Calendar,X77,W78,"f",FALSE)</f>
        <v>41883</v>
      </c>
      <c r="Y78" s="281">
        <f>_xll.qlCalendarAdvance(Calendar,X78,NDays&amp;"D")</f>
        <v>41885</v>
      </c>
      <c r="Z78" s="282">
        <v>1.3500016621401558E-3</v>
      </c>
      <c r="AA78" s="284">
        <v>1.3497718232713396E-3</v>
      </c>
    </row>
    <row r="79" spans="13:27" x14ac:dyDescent="0.2">
      <c r="W79" s="203" t="str">
        <f t="shared" si="8"/>
        <v>1D</v>
      </c>
      <c r="X79" s="287">
        <f>_xll.qlCalendarAdvance(Calendar,X78,W79,"f",FALSE)</f>
        <v>41884</v>
      </c>
      <c r="Y79" s="281">
        <f>_xll.qlCalendarAdvance(Calendar,X79,NDays&amp;"D")</f>
        <v>41886</v>
      </c>
      <c r="Z79" s="282">
        <v>1.3500015432831437E-3</v>
      </c>
      <c r="AA79" s="284">
        <v>1.3497724898581254E-3</v>
      </c>
    </row>
    <row r="80" spans="13:27" x14ac:dyDescent="0.2">
      <c r="W80" s="203" t="str">
        <f t="shared" si="8"/>
        <v>1D</v>
      </c>
      <c r="X80" s="287">
        <f>_xll.qlCalendarAdvance(Calendar,X79,W80,"f",FALSE)</f>
        <v>41885</v>
      </c>
      <c r="Y80" s="281">
        <f>_xll.qlCalendarAdvance(Calendar,X80,NDays&amp;"D")</f>
        <v>41887</v>
      </c>
      <c r="Z80" s="282">
        <v>1.3500013872040381E-3</v>
      </c>
      <c r="AA80" s="284">
        <v>1.3497787559391128E-3</v>
      </c>
    </row>
    <row r="81" spans="23:27" x14ac:dyDescent="0.2">
      <c r="W81" s="203" t="str">
        <f t="shared" si="8"/>
        <v>1D</v>
      </c>
      <c r="X81" s="287">
        <f>_xll.qlCalendarAdvance(Calendar,X80,W81,"f",FALSE)</f>
        <v>41886</v>
      </c>
      <c r="Y81" s="281">
        <f>_xll.qlCalendarAdvance(Calendar,X81,NDays&amp;"D")</f>
        <v>41890</v>
      </c>
      <c r="Z81" s="282">
        <v>1.3500006814573683E-3</v>
      </c>
      <c r="AA81" s="284">
        <v>1.3497747724322551E-3</v>
      </c>
    </row>
    <row r="82" spans="23:27" x14ac:dyDescent="0.2">
      <c r="W82" s="203" t="str">
        <f t="shared" si="8"/>
        <v>1D</v>
      </c>
      <c r="X82" s="287">
        <f>_xll.qlCalendarAdvance(Calendar,X81,W82,"f",FALSE)</f>
        <v>41887</v>
      </c>
      <c r="Y82" s="281">
        <f>_xll.qlCalendarAdvance(Calendar,X82,NDays&amp;"D")</f>
        <v>41891</v>
      </c>
      <c r="Z82" s="282">
        <v>1.3500003623104614E-3</v>
      </c>
      <c r="AA82" s="284">
        <v>1.3497752471725022E-3</v>
      </c>
    </row>
    <row r="83" spans="23:27" x14ac:dyDescent="0.2">
      <c r="W83" s="203" t="str">
        <f t="shared" si="8"/>
        <v>1D</v>
      </c>
      <c r="X83" s="287">
        <f>_xll.qlCalendarAdvance(Calendar,X82,W83,"f",FALSE)</f>
        <v>41890</v>
      </c>
      <c r="Y83" s="281">
        <f>_xll.qlCalendarAdvance(Calendar,X83,NDays&amp;"D")</f>
        <v>41892</v>
      </c>
      <c r="Z83" s="282">
        <v>1.3499999988499909E-3</v>
      </c>
      <c r="AA83" s="284">
        <v>1.3497756834635055E-3</v>
      </c>
    </row>
    <row r="84" spans="23:27" x14ac:dyDescent="0.2">
      <c r="W84" s="203" t="str">
        <f t="shared" si="8"/>
        <v>1D</v>
      </c>
      <c r="X84" s="287">
        <f>_xll.qlCalendarAdvance(Calendar,X83,W84,"f",FALSE)</f>
        <v>41891</v>
      </c>
      <c r="Y84" s="281">
        <f>_xll.qlCalendarAdvance(Calendar,X84,NDays&amp;"D")</f>
        <v>41893</v>
      </c>
      <c r="Z84" s="282">
        <v>1.3499995906349907E-3</v>
      </c>
      <c r="AA84" s="284">
        <v>1.3497760814651372E-3</v>
      </c>
    </row>
    <row r="85" spans="23:27" x14ac:dyDescent="0.2">
      <c r="W85" s="203" t="str">
        <f t="shared" ref="W85:W148" si="11">W84</f>
        <v>1D</v>
      </c>
      <c r="X85" s="287">
        <f>_xll.qlCalendarAdvance(Calendar,X84,W85,"f",FALSE)</f>
        <v>41892</v>
      </c>
      <c r="Y85" s="281">
        <f>_xll.qlCalendarAdvance(Calendar,X85,NDays&amp;"D")</f>
        <v>41894</v>
      </c>
      <c r="Z85" s="282">
        <v>1.3499991411299421E-3</v>
      </c>
      <c r="AA85" s="284">
        <v>1.34978447573042E-3</v>
      </c>
    </row>
    <row r="86" spans="23:27" x14ac:dyDescent="0.2">
      <c r="W86" s="203" t="str">
        <f t="shared" si="11"/>
        <v>1D</v>
      </c>
      <c r="X86" s="287">
        <f>_xll.qlCalendarAdvance(Calendar,X85,W86,"f",FALSE)</f>
        <v>41893</v>
      </c>
      <c r="Y86" s="281">
        <f>_xll.qlCalendarAdvance(Calendar,X86,NDays&amp;"D")</f>
        <v>41898</v>
      </c>
      <c r="Z86" s="282">
        <v>1.3499970190744438E-3</v>
      </c>
      <c r="AA86" s="284">
        <v>1.3497774956139352E-3</v>
      </c>
    </row>
    <row r="87" spans="23:27" x14ac:dyDescent="0.2">
      <c r="W87" s="203" t="str">
        <f t="shared" si="11"/>
        <v>1D</v>
      </c>
      <c r="X87" s="287">
        <f>_xll.qlCalendarAdvance(Calendar,X86,W87,"f",FALSE)</f>
        <v>41894</v>
      </c>
      <c r="Y87" s="281">
        <f>_xll.qlCalendarAdvance(Calendar,X87,NDays&amp;"D")</f>
        <v>41899</v>
      </c>
      <c r="Z87" s="282">
        <v>1.3499970190744438E-3</v>
      </c>
      <c r="AA87" s="284">
        <v>1.3497776633197844E-3</v>
      </c>
    </row>
    <row r="88" spans="23:27" x14ac:dyDescent="0.2">
      <c r="W88" s="203" t="str">
        <f t="shared" si="11"/>
        <v>1D</v>
      </c>
      <c r="X88" s="287">
        <f>_xll.qlCalendarAdvance(Calendar,X87,W88,"f",FALSE)</f>
        <v>41898</v>
      </c>
      <c r="Y88" s="281">
        <f>_xll.qlCalendarAdvance(Calendar,X88,NDays&amp;"D")</f>
        <v>41900</v>
      </c>
      <c r="Z88" s="282">
        <v>1.3499958258170828E-3</v>
      </c>
      <c r="AA88" s="284">
        <v>1.3497777925763899E-3</v>
      </c>
    </row>
    <row r="89" spans="23:27" x14ac:dyDescent="0.2">
      <c r="W89" s="203" t="str">
        <f t="shared" si="11"/>
        <v>1D</v>
      </c>
      <c r="X89" s="287">
        <f>_xll.qlCalendarAdvance(Calendar,X88,W89,"f",FALSE)</f>
        <v>41899</v>
      </c>
      <c r="Y89" s="281">
        <f>_xll.qlCalendarAdvance(Calendar,X89,NDays&amp;"D")</f>
        <v>41901</v>
      </c>
      <c r="Z89" s="282">
        <v>1.3499952116797702E-3</v>
      </c>
      <c r="AA89" s="284">
        <v>1.3497829841568887E-3</v>
      </c>
    </row>
    <row r="90" spans="23:27" x14ac:dyDescent="0.2">
      <c r="W90" s="203" t="str">
        <f t="shared" si="11"/>
        <v>1D</v>
      </c>
      <c r="X90" s="287">
        <f>_xll.qlCalendarAdvance(Calendar,X89,W90,"f",FALSE)</f>
        <v>41900</v>
      </c>
      <c r="Y90" s="281">
        <f>_xll.qlCalendarAdvance(Calendar,X90,NDays&amp;"D")</f>
        <v>41904</v>
      </c>
      <c r="Z90" s="282">
        <v>1.3499933525427501E-3</v>
      </c>
      <c r="AA90" s="284">
        <v>1.3497804252304846E-3</v>
      </c>
    </row>
    <row r="91" spans="23:27" x14ac:dyDescent="0.2">
      <c r="W91" s="203" t="str">
        <f t="shared" si="11"/>
        <v>1D</v>
      </c>
      <c r="X91" s="287">
        <f>_xll.qlCalendarAdvance(Calendar,X90,W91,"f",FALSE)</f>
        <v>41901</v>
      </c>
      <c r="Y91" s="281">
        <f>_xll.qlCalendarAdvance(Calendar,X91,NDays&amp;"D")</f>
        <v>41906</v>
      </c>
      <c r="Z91" s="282">
        <v>1.3499921436065023E-3</v>
      </c>
      <c r="AA91" s="284">
        <v>1.3497777626003682E-3</v>
      </c>
    </row>
    <row r="92" spans="23:27" x14ac:dyDescent="0.2">
      <c r="W92" s="203" t="str">
        <f t="shared" si="11"/>
        <v>1D</v>
      </c>
      <c r="X92" s="287">
        <f>_xll.qlCalendarAdvance(Calendar,X91,W92,"f",FALSE)</f>
        <v>41904</v>
      </c>
      <c r="Y92" s="281">
        <f>_xll.qlCalendarAdvance(Calendar,X92,NDays&amp;"D")</f>
        <v>41907</v>
      </c>
      <c r="Z92" s="282">
        <v>1.3499921436065023E-3</v>
      </c>
      <c r="AA92" s="284">
        <v>1.3497776232718195E-3</v>
      </c>
    </row>
    <row r="93" spans="23:27" x14ac:dyDescent="0.2">
      <c r="W93" s="203" t="str">
        <f t="shared" si="11"/>
        <v>1D</v>
      </c>
      <c r="X93" s="287">
        <f>_xll.qlCalendarAdvance(Calendar,X92,W93,"f",FALSE)</f>
        <v>41906</v>
      </c>
      <c r="Y93" s="281">
        <f>_xll.qlCalendarAdvance(Calendar,X93,NDays&amp;"D")</f>
        <v>41908</v>
      </c>
      <c r="Z93" s="282">
        <v>1.3499975743529976E-3</v>
      </c>
      <c r="AA93" s="284">
        <v>1.3497822775487833E-3</v>
      </c>
    </row>
    <row r="94" spans="23:27" x14ac:dyDescent="0.2">
      <c r="W94" s="203" t="str">
        <f t="shared" si="11"/>
        <v>1D</v>
      </c>
      <c r="X94" s="287">
        <f>_xll.qlCalendarAdvance(Calendar,X93,W94,"f",FALSE)</f>
        <v>41907</v>
      </c>
      <c r="Y94" s="281">
        <f>_xll.qlCalendarAdvance(Calendar,X94,NDays&amp;"D")</f>
        <v>41911</v>
      </c>
      <c r="Z94" s="282">
        <v>1.3499894871178469E-3</v>
      </c>
      <c r="AA94" s="284">
        <v>1.3497766821846113E-3</v>
      </c>
    </row>
    <row r="95" spans="23:27" x14ac:dyDescent="0.2">
      <c r="W95" s="203" t="str">
        <f t="shared" si="11"/>
        <v>1D</v>
      </c>
      <c r="X95" s="287">
        <f>_xll.qlCalendarAdvance(Calendar,X94,W95,"f",FALSE)</f>
        <v>41908</v>
      </c>
      <c r="Y95" s="281">
        <f>_xll.qlCalendarAdvance(Calendar,X95,NDays&amp;"D")</f>
        <v>41912</v>
      </c>
      <c r="Z95" s="282">
        <v>1.3499890540769909E-3</v>
      </c>
      <c r="AA95" s="284">
        <v>1.349776351009524E-3</v>
      </c>
    </row>
    <row r="96" spans="23:27" x14ac:dyDescent="0.2">
      <c r="W96" s="203" t="str">
        <f t="shared" si="11"/>
        <v>1D</v>
      </c>
      <c r="X96" s="287">
        <f>_xll.qlCalendarAdvance(Calendar,X95,W96,"f",FALSE)</f>
        <v>41911</v>
      </c>
      <c r="Y96" s="281">
        <f>_xll.qlCalendarAdvance(Calendar,X96,NDays&amp;"D")</f>
        <v>41913</v>
      </c>
      <c r="Z96" s="282">
        <v>1.3500009701170046E-3</v>
      </c>
      <c r="AA96" s="284">
        <v>1.3497759814651289E-3</v>
      </c>
    </row>
    <row r="97" spans="23:27" x14ac:dyDescent="0.2">
      <c r="W97" s="203" t="str">
        <f t="shared" si="11"/>
        <v>1D</v>
      </c>
      <c r="X97" s="287">
        <f>_xll.qlCalendarAdvance(Calendar,X96,W97,"f",FALSE)</f>
        <v>41912</v>
      </c>
      <c r="Y97" s="281">
        <f>_xll.qlCalendarAdvance(Calendar,X97,NDays&amp;"D")</f>
        <v>41914</v>
      </c>
      <c r="Z97" s="282">
        <v>1.3499982767656118E-3</v>
      </c>
      <c r="AA97" s="284">
        <v>1.34977557347149E-3</v>
      </c>
    </row>
    <row r="98" spans="23:27" x14ac:dyDescent="0.2">
      <c r="W98" s="203" t="str">
        <f t="shared" si="11"/>
        <v>1D</v>
      </c>
      <c r="X98" s="287">
        <f>_xll.qlCalendarAdvance(Calendar,X97,W98,"f",FALSE)</f>
        <v>41913</v>
      </c>
      <c r="Y98" s="281">
        <f>_xll.qlCalendarAdvance(Calendar,X98,NDays&amp;"D")</f>
        <v>41915</v>
      </c>
      <c r="Z98" s="282">
        <v>1.3499955843074224E-3</v>
      </c>
      <c r="AA98" s="284">
        <v>1.3497796904449189E-3</v>
      </c>
    </row>
    <row r="99" spans="23:27" x14ac:dyDescent="0.2">
      <c r="W99" s="203" t="str">
        <f t="shared" si="11"/>
        <v>1D</v>
      </c>
      <c r="X99" s="287">
        <f>_xll.qlCalendarAdvance(Calendar,X98,W99,"f",FALSE)</f>
        <v>41914</v>
      </c>
      <c r="Y99" s="281">
        <f>_xll.qlCalendarAdvance(Calendar,X99,NDays&amp;"D")</f>
        <v>41918</v>
      </c>
      <c r="Z99" s="282">
        <v>1.3499901602441889E-3</v>
      </c>
      <c r="AA99" s="284">
        <v>1.3497735578837933E-3</v>
      </c>
    </row>
    <row r="100" spans="23:27" x14ac:dyDescent="0.2">
      <c r="W100" s="203" t="str">
        <f t="shared" si="11"/>
        <v>1D</v>
      </c>
      <c r="X100" s="287">
        <f>_xll.qlCalendarAdvance(Calendar,X99,W100,"f",FALSE)</f>
        <v>41915</v>
      </c>
      <c r="Y100" s="281">
        <f>_xll.qlCalendarAdvance(Calendar,X100,NDays&amp;"D")</f>
        <v>41919</v>
      </c>
      <c r="Z100" s="282">
        <v>1.3499901896232968E-3</v>
      </c>
      <c r="AA100" s="284">
        <v>1.3497729579636797E-3</v>
      </c>
    </row>
    <row r="101" spans="23:27" x14ac:dyDescent="0.2">
      <c r="W101" s="203" t="str">
        <f t="shared" si="11"/>
        <v>1D</v>
      </c>
      <c r="X101" s="287">
        <f>_xll.qlCalendarAdvance(Calendar,X100,W101,"f",FALSE)</f>
        <v>41918</v>
      </c>
      <c r="Y101" s="281">
        <f>_xll.qlCalendarAdvance(Calendar,X101,NDays&amp;"D")</f>
        <v>41920</v>
      </c>
      <c r="Z101" s="282">
        <v>1.3499902963883285E-3</v>
      </c>
      <c r="AA101" s="284">
        <v>1.3497723198341305E-3</v>
      </c>
    </row>
    <row r="102" spans="23:27" x14ac:dyDescent="0.2">
      <c r="W102" s="203" t="str">
        <f t="shared" si="11"/>
        <v>1D</v>
      </c>
      <c r="X102" s="287">
        <f>_xll.qlCalendarAdvance(Calendar,X101,W102,"f",FALSE)</f>
        <v>41919</v>
      </c>
      <c r="Y102" s="281">
        <f>_xll.qlCalendarAdvance(Calendar,X102,NDays&amp;"D")</f>
        <v>41921</v>
      </c>
      <c r="Z102" s="282">
        <v>1.3499904849340293E-3</v>
      </c>
      <c r="AA102" s="284">
        <v>1.3497716431754014E-3</v>
      </c>
    </row>
    <row r="103" spans="23:27" x14ac:dyDescent="0.2">
      <c r="W103" s="203" t="str">
        <f t="shared" si="11"/>
        <v>1D</v>
      </c>
      <c r="X103" s="287">
        <f>_xll.qlCalendarAdvance(Calendar,X102,W103,"f",FALSE)</f>
        <v>41920</v>
      </c>
      <c r="Y103" s="281">
        <f>_xll.qlCalendarAdvance(Calendar,X103,NDays&amp;"D")</f>
        <v>41922</v>
      </c>
      <c r="Z103" s="282">
        <v>1.349999999999378E-3</v>
      </c>
      <c r="AA103" s="284">
        <v>1.3497776071647039E-3</v>
      </c>
    </row>
    <row r="104" spans="23:27" x14ac:dyDescent="0.2">
      <c r="W104" s="203" t="str">
        <f t="shared" si="11"/>
        <v>1D</v>
      </c>
      <c r="X104" s="287">
        <f>_xll.qlCalendarAdvance(Calendar,X103,W104,"f",FALSE)</f>
        <v>41921</v>
      </c>
      <c r="Y104" s="281">
        <f>_xll.qlCalendarAdvance(Calendar,X104,NDays&amp;"D")</f>
        <v>41926</v>
      </c>
      <c r="Z104" s="282">
        <v>1.3499927942563278E-3</v>
      </c>
      <c r="AA104" s="284">
        <v>1.3497686611607662E-3</v>
      </c>
    </row>
    <row r="105" spans="23:27" x14ac:dyDescent="0.2">
      <c r="W105" s="203" t="str">
        <f t="shared" si="11"/>
        <v>1D</v>
      </c>
      <c r="X105" s="287">
        <f>_xll.qlCalendarAdvance(Calendar,X104,W105,"f",FALSE)</f>
        <v>41922</v>
      </c>
      <c r="Y105" s="281">
        <f>_xll.qlCalendarAdvance(Calendar,X105,NDays&amp;"D")</f>
        <v>41927</v>
      </c>
      <c r="Z105" s="282">
        <v>1.3499927942563278E-3</v>
      </c>
      <c r="AA105" s="284">
        <v>1.3497682346219619E-3</v>
      </c>
    </row>
    <row r="106" spans="23:27" x14ac:dyDescent="0.2">
      <c r="W106" s="203" t="str">
        <f t="shared" si="11"/>
        <v>1D</v>
      </c>
      <c r="X106" s="287">
        <f>_xll.qlCalendarAdvance(Calendar,X105,W106,"f",FALSE)</f>
        <v>41926</v>
      </c>
      <c r="Y106" s="281">
        <f>_xll.qlCalendarAdvance(Calendar,X106,NDays&amp;"D")</f>
        <v>41928</v>
      </c>
      <c r="Z106" s="282">
        <v>1.3499943513281905E-3</v>
      </c>
      <c r="AA106" s="284">
        <v>1.3497678657170553E-3</v>
      </c>
    </row>
    <row r="107" spans="23:27" x14ac:dyDescent="0.2">
      <c r="W107" s="203" t="str">
        <f t="shared" si="11"/>
        <v>1D</v>
      </c>
      <c r="X107" s="287">
        <f>_xll.qlCalendarAdvance(Calendar,X106,W107,"f",FALSE)</f>
        <v>41927</v>
      </c>
      <c r="Y107" s="281">
        <f>_xll.qlCalendarAdvance(Calendar,X107,NDays&amp;"D")</f>
        <v>41929</v>
      </c>
      <c r="Z107" s="282">
        <v>1.3500021846642794E-3</v>
      </c>
      <c r="AA107" s="284">
        <v>1.34977238101186E-3</v>
      </c>
    </row>
    <row r="108" spans="23:27" x14ac:dyDescent="0.2">
      <c r="W108" s="203" t="str">
        <f t="shared" si="11"/>
        <v>1D</v>
      </c>
      <c r="X108" s="287">
        <f>_xll.qlCalendarAdvance(Calendar,X107,W108,"f",FALSE)</f>
        <v>41928</v>
      </c>
      <c r="Y108" s="281">
        <f>_xll.qlCalendarAdvance(Calendar,X108,NDays&amp;"D")</f>
        <v>41932</v>
      </c>
      <c r="Z108" s="282">
        <v>1.3499980889931508E-3</v>
      </c>
      <c r="AA108" s="284">
        <v>1.3497669670758938E-3</v>
      </c>
    </row>
    <row r="109" spans="23:27" x14ac:dyDescent="0.2">
      <c r="W109" s="203" t="str">
        <f t="shared" si="11"/>
        <v>1D</v>
      </c>
      <c r="X109" s="287">
        <f>_xll.qlCalendarAdvance(Calendar,X108,W109,"f",FALSE)</f>
        <v>41929</v>
      </c>
      <c r="Y109" s="281">
        <f>_xll.qlCalendarAdvance(Calendar,X109,NDays&amp;"D")</f>
        <v>41933</v>
      </c>
      <c r="Z109" s="282">
        <v>1.3499990758976219E-3</v>
      </c>
      <c r="AA109" s="284">
        <v>1.3497668865802837E-3</v>
      </c>
    </row>
    <row r="110" spans="23:27" x14ac:dyDescent="0.2">
      <c r="W110" s="203" t="str">
        <f t="shared" si="11"/>
        <v>1D</v>
      </c>
      <c r="X110" s="287">
        <f>_xll.qlCalendarAdvance(Calendar,X109,W110,"f",FALSE)</f>
        <v>41932</v>
      </c>
      <c r="Y110" s="281">
        <f>_xll.qlCalendarAdvance(Calendar,X110,NDays&amp;"D")</f>
        <v>41934</v>
      </c>
      <c r="Z110" s="282">
        <v>1.3500000572578324E-3</v>
      </c>
      <c r="AA110" s="284">
        <v>1.3497668638784432E-3</v>
      </c>
    </row>
    <row r="111" spans="23:27" x14ac:dyDescent="0.2">
      <c r="W111" s="203" t="str">
        <f t="shared" si="11"/>
        <v>1D</v>
      </c>
      <c r="X111" s="287">
        <f>_xll.qlCalendarAdvance(Calendar,X110,W111,"f",FALSE)</f>
        <v>41933</v>
      </c>
      <c r="Y111" s="281">
        <f>_xll.qlCalendarAdvance(Calendar,X111,NDays&amp;"D")</f>
        <v>41935</v>
      </c>
      <c r="Z111" s="282">
        <v>1.35000101980179E-3</v>
      </c>
      <c r="AA111" s="284">
        <v>1.3497668987305644E-3</v>
      </c>
    </row>
    <row r="112" spans="23:27" x14ac:dyDescent="0.2">
      <c r="W112" s="203" t="str">
        <f t="shared" si="11"/>
        <v>1D</v>
      </c>
      <c r="X112" s="287">
        <f>_xll.qlCalendarAdvance(Calendar,X111,W112,"f",FALSE)</f>
        <v>41934</v>
      </c>
      <c r="Y112" s="281">
        <f>_xll.qlCalendarAdvance(Calendar,X112,NDays&amp;"D")</f>
        <v>41936</v>
      </c>
      <c r="Z112" s="282">
        <v>1.350008589642104E-3</v>
      </c>
      <c r="AA112" s="284">
        <v>1.3497722216193608E-3</v>
      </c>
    </row>
    <row r="113" spans="23:27" x14ac:dyDescent="0.2">
      <c r="W113" s="203" t="str">
        <f t="shared" si="11"/>
        <v>1D</v>
      </c>
      <c r="X113" s="287">
        <f>_xll.qlCalendarAdvance(Calendar,X112,W113,"f",FALSE)</f>
        <v>41935</v>
      </c>
      <c r="Y113" s="281">
        <f>_xll.qlCalendarAdvance(Calendar,X113,NDays&amp;"D")</f>
        <v>41939</v>
      </c>
      <c r="Z113" s="282">
        <v>1.350004416416084E-3</v>
      </c>
      <c r="AA113" s="284">
        <v>1.3497676152773863E-3</v>
      </c>
    </row>
    <row r="114" spans="23:27" x14ac:dyDescent="0.2">
      <c r="W114" s="203" t="str">
        <f t="shared" si="11"/>
        <v>1D</v>
      </c>
      <c r="X114" s="287">
        <f>_xll.qlCalendarAdvance(Calendar,X113,W114,"f",FALSE)</f>
        <v>41936</v>
      </c>
      <c r="Y114" s="281">
        <f>_xll.qlCalendarAdvance(Calendar,X114,NDays&amp;"D")</f>
        <v>41940</v>
      </c>
      <c r="Z114" s="282">
        <v>1.3500050858258291E-3</v>
      </c>
      <c r="AA114" s="284">
        <v>1.3497679385388039E-3</v>
      </c>
    </row>
    <row r="115" spans="23:27" x14ac:dyDescent="0.2">
      <c r="W115" s="203" t="str">
        <f t="shared" si="11"/>
        <v>1D</v>
      </c>
      <c r="X115" s="287">
        <f>_xll.qlCalendarAdvance(Calendar,X114,W115,"f",FALSE)</f>
        <v>41939</v>
      </c>
      <c r="Y115" s="281">
        <f>_xll.qlCalendarAdvance(Calendar,X115,NDays&amp;"D")</f>
        <v>41941</v>
      </c>
      <c r="Z115" s="282">
        <v>1.3500056567986635E-3</v>
      </c>
      <c r="AA115" s="284">
        <v>1.3497683195939914E-3</v>
      </c>
    </row>
    <row r="116" spans="23:27" x14ac:dyDescent="0.2">
      <c r="W116" s="203" t="str">
        <f t="shared" si="11"/>
        <v>1D</v>
      </c>
      <c r="X116" s="287">
        <f>_xll.qlCalendarAdvance(Calendar,X115,W116,"f",FALSE)</f>
        <v>41940</v>
      </c>
      <c r="Y116" s="281">
        <f>_xll.qlCalendarAdvance(Calendar,X116,NDays&amp;"D")</f>
        <v>41942</v>
      </c>
      <c r="Z116" s="282">
        <v>1.3500061160625946E-3</v>
      </c>
      <c r="AA116" s="284">
        <v>1.3497687582830764E-3</v>
      </c>
    </row>
    <row r="117" spans="23:27" x14ac:dyDescent="0.2">
      <c r="W117" s="203" t="str">
        <f t="shared" si="11"/>
        <v>1D</v>
      </c>
      <c r="X117" s="287">
        <f>_xll.qlCalendarAdvance(Calendar,X116,W117,"f",FALSE)</f>
        <v>41941</v>
      </c>
      <c r="Y117" s="281">
        <f>_xll.qlCalendarAdvance(Calendar,X117,NDays&amp;"D")</f>
        <v>41943</v>
      </c>
      <c r="Z117" s="282">
        <v>1.3500036627437947E-3</v>
      </c>
      <c r="AA117" s="284">
        <v>1.349777734622748E-3</v>
      </c>
    </row>
    <row r="118" spans="23:27" x14ac:dyDescent="0.2">
      <c r="W118" s="203" t="str">
        <f t="shared" si="11"/>
        <v>1D</v>
      </c>
      <c r="X118" s="287">
        <f>_xll.qlCalendarAdvance(Calendar,X117,W118,"f",FALSE)</f>
        <v>41942</v>
      </c>
      <c r="Y118" s="281">
        <f>_xll.qlCalendarAdvance(Calendar,X118,NDays&amp;"D")</f>
        <v>41947</v>
      </c>
      <c r="Z118" s="282">
        <v>1.3500062722924062E-3</v>
      </c>
      <c r="AA118" s="284">
        <v>1.3497718170363271E-3</v>
      </c>
    </row>
    <row r="119" spans="23:27" x14ac:dyDescent="0.2">
      <c r="W119" s="203" t="str">
        <f t="shared" si="11"/>
        <v>1D</v>
      </c>
      <c r="X119" s="287">
        <f>_xll.qlCalendarAdvance(Calendar,X118,W119,"f",FALSE)</f>
        <v>41943</v>
      </c>
      <c r="Y119" s="281">
        <f>_xll.qlCalendarAdvance(Calendar,X119,NDays&amp;"D")</f>
        <v>41948</v>
      </c>
      <c r="Z119" s="282">
        <v>1.3500062722924062E-3</v>
      </c>
      <c r="AA119" s="284">
        <v>1.3497726017686063E-3</v>
      </c>
    </row>
    <row r="120" spans="23:27" x14ac:dyDescent="0.2">
      <c r="W120" s="203" t="str">
        <f t="shared" si="11"/>
        <v>1D</v>
      </c>
      <c r="X120" s="287">
        <f>_xll.qlCalendarAdvance(Calendar,X119,W120,"f",FALSE)</f>
        <v>41947</v>
      </c>
      <c r="Y120" s="281">
        <f>_xll.qlCalendarAdvance(Calendar,X120,NDays&amp;"D")</f>
        <v>41949</v>
      </c>
      <c r="Z120" s="282">
        <v>1.3500050883620612E-3</v>
      </c>
      <c r="AA120" s="284">
        <v>1.3497734442946552E-3</v>
      </c>
    </row>
    <row r="121" spans="23:27" x14ac:dyDescent="0.2">
      <c r="W121" s="203" t="str">
        <f t="shared" si="11"/>
        <v>1D</v>
      </c>
      <c r="X121" s="287">
        <f>_xll.qlCalendarAdvance(Calendar,X120,W121,"f",FALSE)</f>
        <v>41948</v>
      </c>
      <c r="Y121" s="281">
        <f>_xll.qlCalendarAdvance(Calendar,X121,NDays&amp;"D")</f>
        <v>41950</v>
      </c>
      <c r="Z121" s="282">
        <v>1.3500067810454273E-3</v>
      </c>
      <c r="AA121" s="284">
        <v>1.3497803823447896E-3</v>
      </c>
    </row>
    <row r="122" spans="23:27" x14ac:dyDescent="0.2">
      <c r="W122" s="203" t="str">
        <f t="shared" si="11"/>
        <v>1D</v>
      </c>
      <c r="X122" s="287">
        <f>_xll.qlCalendarAdvance(Calendar,X121,W122,"f",FALSE)</f>
        <v>41949</v>
      </c>
      <c r="Y122" s="281">
        <f>_xll.qlCalendarAdvance(Calendar,X122,NDays&amp;"D")</f>
        <v>41953</v>
      </c>
      <c r="Z122" s="282">
        <v>1.3499999998776448E-3</v>
      </c>
      <c r="AA122" s="284">
        <v>1.3497773910575717E-3</v>
      </c>
    </row>
    <row r="123" spans="23:27" x14ac:dyDescent="0.2">
      <c r="W123" s="203" t="str">
        <f t="shared" si="11"/>
        <v>1D</v>
      </c>
      <c r="X123" s="287">
        <f>_xll.qlCalendarAdvance(Calendar,X122,W123,"f",FALSE)</f>
        <v>41950</v>
      </c>
      <c r="Y123" s="281">
        <f>_xll.qlCalendarAdvance(Calendar,X123,NDays&amp;"D")</f>
        <v>41954</v>
      </c>
      <c r="Z123" s="282">
        <v>1.3499986254475191E-3</v>
      </c>
      <c r="AA123" s="284">
        <v>1.3497784844229699E-3</v>
      </c>
    </row>
    <row r="124" spans="23:27" x14ac:dyDescent="0.2">
      <c r="W124" s="203" t="str">
        <f t="shared" si="11"/>
        <v>1D</v>
      </c>
      <c r="X124" s="287">
        <f>_xll.qlCalendarAdvance(Calendar,X123,W124,"f",FALSE)</f>
        <v>41953</v>
      </c>
      <c r="Y124" s="281">
        <f>_xll.qlCalendarAdvance(Calendar,X124,NDays&amp;"D")</f>
        <v>41955</v>
      </c>
      <c r="Z124" s="282">
        <v>1.3499959566310377E-3</v>
      </c>
      <c r="AA124" s="284">
        <v>1.3497794479722103E-3</v>
      </c>
    </row>
    <row r="125" spans="23:27" x14ac:dyDescent="0.2">
      <c r="W125" s="203" t="str">
        <f t="shared" si="11"/>
        <v>1D</v>
      </c>
      <c r="X125" s="287">
        <f>_xll.qlCalendarAdvance(Calendar,X124,W125,"f",FALSE)</f>
        <v>41954</v>
      </c>
      <c r="Y125" s="281">
        <f>_xll.qlCalendarAdvance(Calendar,X125,NDays&amp;"D")</f>
        <v>41956</v>
      </c>
      <c r="Z125" s="282">
        <v>1.3499936353504787E-3</v>
      </c>
      <c r="AA125" s="284">
        <v>1.3497802440554096E-3</v>
      </c>
    </row>
    <row r="126" spans="23:27" x14ac:dyDescent="0.2">
      <c r="W126" s="203" t="str">
        <f t="shared" si="11"/>
        <v>1D</v>
      </c>
      <c r="X126" s="287">
        <f>_xll.qlCalendarAdvance(Calendar,X125,W126,"f",FALSE)</f>
        <v>41955</v>
      </c>
      <c r="Y126" s="281">
        <f>_xll.qlCalendarAdvance(Calendar,X126,NDays&amp;"D")</f>
        <v>41957</v>
      </c>
      <c r="Z126" s="282">
        <v>1.3499916034160613E-3</v>
      </c>
      <c r="AA126" s="284">
        <v>1.3497863390465881E-3</v>
      </c>
    </row>
    <row r="127" spans="23:27" x14ac:dyDescent="0.2">
      <c r="W127" s="203" t="str">
        <f t="shared" si="11"/>
        <v>1D</v>
      </c>
      <c r="X127" s="287">
        <f>_xll.qlCalendarAdvance(Calendar,X126,W127,"f",FALSE)</f>
        <v>41956</v>
      </c>
      <c r="Y127" s="281">
        <f>_xll.qlCalendarAdvance(Calendar,X127,NDays&amp;"D")</f>
        <v>41960</v>
      </c>
      <c r="Z127" s="282">
        <v>1.349983380072113E-3</v>
      </c>
      <c r="AA127" s="284">
        <v>1.3497817543672852E-3</v>
      </c>
    </row>
    <row r="128" spans="23:27" x14ac:dyDescent="0.2">
      <c r="W128" s="203" t="str">
        <f t="shared" si="11"/>
        <v>1D</v>
      </c>
      <c r="X128" s="287">
        <f>_xll.qlCalendarAdvance(Calendar,X127,W128,"f",FALSE)</f>
        <v>41957</v>
      </c>
      <c r="Y128" s="281">
        <f>_xll.qlCalendarAdvance(Calendar,X128,NDays&amp;"D")</f>
        <v>41961</v>
      </c>
      <c r="Z128" s="282">
        <v>1.3499807941927762E-3</v>
      </c>
      <c r="AA128" s="284">
        <v>1.3497817134400236E-3</v>
      </c>
    </row>
    <row r="129" spans="23:27" x14ac:dyDescent="0.2">
      <c r="W129" s="203" t="str">
        <f t="shared" si="11"/>
        <v>1D</v>
      </c>
      <c r="X129" s="287">
        <f>_xll.qlCalendarAdvance(Calendar,X128,W129,"f",FALSE)</f>
        <v>41960</v>
      </c>
      <c r="Y129" s="281">
        <f>_xll.qlCalendarAdvance(Calendar,X129,NDays&amp;"D")</f>
        <v>41962</v>
      </c>
      <c r="Z129" s="282">
        <v>1.349978287682125E-3</v>
      </c>
      <c r="AA129" s="284">
        <v>1.349781505046721E-3</v>
      </c>
    </row>
    <row r="130" spans="23:27" x14ac:dyDescent="0.2">
      <c r="W130" s="203" t="str">
        <f t="shared" si="11"/>
        <v>1D</v>
      </c>
      <c r="X130" s="287">
        <f>_xll.qlCalendarAdvance(Calendar,X129,W130,"f",FALSE)</f>
        <v>41961</v>
      </c>
      <c r="Y130" s="281">
        <f>_xll.qlCalendarAdvance(Calendar,X130,NDays&amp;"D")</f>
        <v>41963</v>
      </c>
      <c r="Z130" s="282">
        <v>1.3499759046379284E-3</v>
      </c>
      <c r="AA130" s="284">
        <v>1.3497811293472495E-3</v>
      </c>
    </row>
    <row r="131" spans="23:27" x14ac:dyDescent="0.2">
      <c r="W131" s="203" t="str">
        <f t="shared" si="11"/>
        <v>1D</v>
      </c>
      <c r="X131" s="287">
        <f>_xll.qlCalendarAdvance(Calendar,X130,W131,"f",FALSE)</f>
        <v>41962</v>
      </c>
      <c r="Y131" s="281">
        <f>_xll.qlCalendarAdvance(Calendar,X131,NDays&amp;"D")</f>
        <v>41964</v>
      </c>
      <c r="Z131" s="282">
        <v>1.3499758625470275E-3</v>
      </c>
      <c r="AA131" s="284">
        <v>1.3497869442358201E-3</v>
      </c>
    </row>
    <row r="132" spans="23:27" x14ac:dyDescent="0.2">
      <c r="W132" s="203" t="str">
        <f t="shared" si="11"/>
        <v>1D</v>
      </c>
      <c r="X132" s="287">
        <f>_xll.qlCalendarAdvance(Calendar,X131,W132,"f",FALSE)</f>
        <v>41963</v>
      </c>
      <c r="Y132" s="281">
        <f>_xll.qlCalendarAdvance(Calendar,X132,NDays&amp;"D")</f>
        <v>41968</v>
      </c>
      <c r="Z132" s="282">
        <v>1.3499673847539996E-3</v>
      </c>
      <c r="AA132" s="284">
        <v>1.3497767395787008E-3</v>
      </c>
    </row>
    <row r="133" spans="23:27" x14ac:dyDescent="0.2">
      <c r="W133" s="203" t="str">
        <f t="shared" si="11"/>
        <v>1D</v>
      </c>
      <c r="X133" s="287">
        <f>_xll.qlCalendarAdvance(Calendar,X132,W133,"f",FALSE)</f>
        <v>41964</v>
      </c>
      <c r="Y133" s="281">
        <f>_xll.qlCalendarAdvance(Calendar,X133,NDays&amp;"D")</f>
        <v>41969</v>
      </c>
      <c r="Z133" s="282">
        <v>1.3499673847539996E-3</v>
      </c>
      <c r="AA133" s="284">
        <v>1.3497753594027273E-3</v>
      </c>
    </row>
    <row r="134" spans="23:27" x14ac:dyDescent="0.2">
      <c r="W134" s="203" t="str">
        <f t="shared" si="11"/>
        <v>1D</v>
      </c>
      <c r="X134" s="287">
        <f>_xll.qlCalendarAdvance(Calendar,X133,W134,"f",FALSE)</f>
        <v>41968</v>
      </c>
      <c r="Y134" s="281">
        <f>_xll.qlCalendarAdvance(Calendar,X134,NDays&amp;"D")</f>
        <v>41970</v>
      </c>
      <c r="Z134" s="282">
        <v>1.3499663844211394E-3</v>
      </c>
      <c r="AA134" s="284">
        <v>1.3497738117607128E-3</v>
      </c>
    </row>
    <row r="135" spans="23:27" x14ac:dyDescent="0.2">
      <c r="W135" s="203" t="str">
        <f t="shared" si="11"/>
        <v>1D</v>
      </c>
      <c r="X135" s="287">
        <f>_xll.qlCalendarAdvance(Calendar,X134,W135,"f",FALSE)</f>
        <v>41969</v>
      </c>
      <c r="Y135" s="281">
        <f>_xll.qlCalendarAdvance(Calendar,X135,NDays&amp;"D")</f>
        <v>41971</v>
      </c>
      <c r="Z135" s="282">
        <v>1.3499634390890581E-3</v>
      </c>
      <c r="AA135" s="284">
        <v>1.3497752194613355E-3</v>
      </c>
    </row>
    <row r="136" spans="23:27" x14ac:dyDescent="0.2">
      <c r="W136" s="203" t="str">
        <f t="shared" si="11"/>
        <v>1D</v>
      </c>
      <c r="X136" s="287">
        <f>_xll.qlCalendarAdvance(Calendar,X135,W136,"f",FALSE)</f>
        <v>41970</v>
      </c>
      <c r="Y136" s="281">
        <f>_xll.qlCalendarAdvance(Calendar,X136,NDays&amp;"D")</f>
        <v>41974</v>
      </c>
      <c r="Z136" s="282">
        <v>1.3499657066308169E-3</v>
      </c>
      <c r="AA136" s="284">
        <v>1.3497659474914769E-3</v>
      </c>
    </row>
    <row r="137" spans="23:27" x14ac:dyDescent="0.2">
      <c r="W137" s="203" t="str">
        <f t="shared" si="11"/>
        <v>1D</v>
      </c>
      <c r="X137" s="287">
        <f>_xll.qlCalendarAdvance(Calendar,X136,W137,"f",FALSE)</f>
        <v>41971</v>
      </c>
      <c r="Y137" s="281">
        <f>_xll.qlCalendarAdvance(Calendar,X137,NDays&amp;"D")</f>
        <v>41975</v>
      </c>
      <c r="Z137" s="282">
        <v>1.3499628646931328E-3</v>
      </c>
      <c r="AA137" s="284">
        <v>1.3497635629189375E-3</v>
      </c>
    </row>
    <row r="138" spans="23:27" x14ac:dyDescent="0.2">
      <c r="W138" s="203" t="str">
        <f t="shared" si="11"/>
        <v>1D</v>
      </c>
      <c r="X138" s="287">
        <f>_xll.qlCalendarAdvance(Calendar,X137,W138,"f",FALSE)</f>
        <v>41974</v>
      </c>
      <c r="Y138" s="281">
        <f>_xll.qlCalendarAdvance(Calendar,X138,NDays&amp;"D")</f>
        <v>41976</v>
      </c>
      <c r="Z138" s="282">
        <v>1.3499648431434252E-3</v>
      </c>
      <c r="AA138" s="284">
        <v>1.349761010880357E-3</v>
      </c>
    </row>
    <row r="139" spans="23:27" x14ac:dyDescent="0.2">
      <c r="W139" s="203" t="str">
        <f t="shared" si="11"/>
        <v>1D</v>
      </c>
      <c r="X139" s="287">
        <f>_xll.qlCalendarAdvance(Calendar,X138,W139,"f",FALSE)</f>
        <v>41975</v>
      </c>
      <c r="Y139" s="281">
        <f>_xll.qlCalendarAdvance(Calendar,X139,NDays&amp;"D")</f>
        <v>41977</v>
      </c>
      <c r="Z139" s="282">
        <v>1.3499674924304372E-3</v>
      </c>
      <c r="AA139" s="284">
        <v>1.3497582915356077E-3</v>
      </c>
    </row>
    <row r="140" spans="23:27" x14ac:dyDescent="0.2">
      <c r="W140" s="203" t="str">
        <f t="shared" si="11"/>
        <v>1D</v>
      </c>
      <c r="X140" s="287">
        <f>_xll.qlCalendarAdvance(Calendar,X139,W140,"f",FALSE)</f>
        <v>41976</v>
      </c>
      <c r="Y140" s="281">
        <f>_xll.qlCalendarAdvance(Calendar,X140,NDays&amp;"D")</f>
        <v>41978</v>
      </c>
      <c r="Z140" s="282">
        <v>1.3499708576318881E-3</v>
      </c>
      <c r="AA140" s="284">
        <v>1.3497573553511444E-3</v>
      </c>
    </row>
    <row r="141" spans="23:27" x14ac:dyDescent="0.2">
      <c r="W141" s="203" t="str">
        <f t="shared" si="11"/>
        <v>1D</v>
      </c>
      <c r="X141" s="287">
        <f>_xll.qlCalendarAdvance(Calendar,X140,W141,"f",FALSE)</f>
        <v>41977</v>
      </c>
      <c r="Y141" s="281">
        <f>_xll.qlCalendarAdvance(Calendar,X141,NDays&amp;"D")</f>
        <v>41981</v>
      </c>
      <c r="Z141" s="282">
        <v>1.3499946746684556E-3</v>
      </c>
      <c r="AA141" s="284">
        <v>1.3497457398958801E-3</v>
      </c>
    </row>
    <row r="142" spans="23:27" x14ac:dyDescent="0.2">
      <c r="W142" s="203" t="str">
        <f t="shared" si="11"/>
        <v>1D</v>
      </c>
      <c r="X142" s="287">
        <f>_xll.qlCalendarAdvance(Calendar,X141,W142,"f",FALSE)</f>
        <v>41978</v>
      </c>
      <c r="Y142" s="281">
        <f>_xll.qlCalendarAdvance(Calendar,X142,NDays&amp;"D")</f>
        <v>41982</v>
      </c>
      <c r="Z142" s="282">
        <v>1.3499923790929458E-3</v>
      </c>
      <c r="AA142" s="284">
        <v>1.3497421834607337E-3</v>
      </c>
    </row>
    <row r="143" spans="23:27" x14ac:dyDescent="0.2">
      <c r="W143" s="203" t="str">
        <f t="shared" si="11"/>
        <v>1D</v>
      </c>
      <c r="X143" s="287">
        <f>_xll.qlCalendarAdvance(Calendar,X142,W143,"f",FALSE)</f>
        <v>41981</v>
      </c>
      <c r="Y143" s="281">
        <f>_xll.qlCalendarAdvance(Calendar,X143,NDays&amp;"D")</f>
        <v>41983</v>
      </c>
      <c r="Z143" s="282">
        <v>1.3500000000004064E-3</v>
      </c>
      <c r="AA143" s="284">
        <v>1.3497385484484425E-3</v>
      </c>
    </row>
    <row r="144" spans="23:27" x14ac:dyDescent="0.2">
      <c r="W144" s="203" t="str">
        <f t="shared" si="11"/>
        <v>1D</v>
      </c>
      <c r="X144" s="287">
        <f>_xll.qlCalendarAdvance(Calendar,X143,W144,"f",FALSE)</f>
        <v>41982</v>
      </c>
      <c r="Y144" s="281">
        <f>_xll.qlCalendarAdvance(Calendar,X144,NDays&amp;"D")</f>
        <v>41984</v>
      </c>
      <c r="Z144" s="282">
        <v>1.3500085917597104E-3</v>
      </c>
      <c r="AA144" s="284">
        <v>1.3497351904145916E-3</v>
      </c>
    </row>
    <row r="145" spans="23:27" x14ac:dyDescent="0.2">
      <c r="W145" s="203" t="str">
        <f t="shared" si="11"/>
        <v>1D</v>
      </c>
      <c r="X145" s="287">
        <f>_xll.qlCalendarAdvance(Calendar,X144,W145,"f",FALSE)</f>
        <v>41983</v>
      </c>
      <c r="Y145" s="281">
        <f>_xll.qlCalendarAdvance(Calendar,X145,NDays&amp;"D")</f>
        <v>41985</v>
      </c>
      <c r="Z145" s="282">
        <v>1.3500181218670804E-3</v>
      </c>
      <c r="AA145" s="284">
        <v>1.3497347539104254E-3</v>
      </c>
    </row>
    <row r="146" spans="23:27" x14ac:dyDescent="0.2">
      <c r="W146" s="203" t="str">
        <f t="shared" si="11"/>
        <v>1D</v>
      </c>
      <c r="X146" s="287">
        <f>_xll.qlCalendarAdvance(Calendar,X145,W146,"f",FALSE)</f>
        <v>41984</v>
      </c>
      <c r="Y146" s="281">
        <f>_xll.qlCalendarAdvance(Calendar,X146,NDays&amp;"D")</f>
        <v>41988</v>
      </c>
      <c r="Z146" s="282">
        <v>1.3500659434061803E-3</v>
      </c>
      <c r="AA146" s="284">
        <v>1.3497254155936389E-3</v>
      </c>
    </row>
    <row r="147" spans="23:27" x14ac:dyDescent="0.2">
      <c r="W147" s="203" t="str">
        <f t="shared" si="11"/>
        <v>1D</v>
      </c>
      <c r="X147" s="287">
        <f>_xll.qlCalendarAdvance(Calendar,X146,W147,"f",FALSE)</f>
        <v>41985</v>
      </c>
      <c r="Y147" s="281">
        <f>_xll.qlCalendarAdvance(Calendar,X147,NDays&amp;"D")</f>
        <v>41989</v>
      </c>
      <c r="Z147" s="282">
        <v>1.3500646653357151E-3</v>
      </c>
      <c r="AA147" s="284">
        <v>1.3497238863369176E-3</v>
      </c>
    </row>
    <row r="148" spans="23:27" x14ac:dyDescent="0.2">
      <c r="W148" s="203" t="str">
        <f t="shared" si="11"/>
        <v>1D</v>
      </c>
      <c r="X148" s="287">
        <f>_xll.qlCalendarAdvance(Calendar,X147,W148,"f",FALSE)</f>
        <v>41988</v>
      </c>
      <c r="Y148" s="281">
        <f>_xll.qlCalendarAdvance(Calendar,X148,NDays&amp;"D")</f>
        <v>41990</v>
      </c>
      <c r="Z148" s="282">
        <v>1.3500781668565054E-3</v>
      </c>
      <c r="AA148" s="284">
        <v>1.3497227227876607E-3</v>
      </c>
    </row>
    <row r="149" spans="23:27" x14ac:dyDescent="0.2">
      <c r="W149" s="203" t="str">
        <f t="shared" ref="W149:W212" si="12">W148</f>
        <v>1D</v>
      </c>
      <c r="X149" s="287">
        <f>_xll.qlCalendarAdvance(Calendar,X148,W149,"f",FALSE)</f>
        <v>41989</v>
      </c>
      <c r="Y149" s="281">
        <f>_xll.qlCalendarAdvance(Calendar,X149,NDays&amp;"D")</f>
        <v>41991</v>
      </c>
      <c r="Z149" s="282">
        <v>1.3500923185949532E-3</v>
      </c>
      <c r="AA149" s="284">
        <v>1.3497219249458681E-3</v>
      </c>
    </row>
    <row r="150" spans="23:27" x14ac:dyDescent="0.2">
      <c r="W150" s="203" t="str">
        <f t="shared" si="12"/>
        <v>1D</v>
      </c>
      <c r="X150" s="287">
        <f>_xll.qlCalendarAdvance(Calendar,X149,W150,"f",FALSE)</f>
        <v>41990</v>
      </c>
      <c r="Y150" s="281">
        <f>_xll.qlCalendarAdvance(Calendar,X150,NDays&amp;"D")</f>
        <v>41992</v>
      </c>
      <c r="Z150" s="282">
        <v>1.350107072530804E-3</v>
      </c>
      <c r="AA150" s="284">
        <v>1.3497266089590454E-3</v>
      </c>
    </row>
    <row r="151" spans="23:27" x14ac:dyDescent="0.2">
      <c r="W151" s="203" t="str">
        <f t="shared" si="12"/>
        <v>1D</v>
      </c>
      <c r="X151" s="287">
        <f>_xll.qlCalendarAdvance(Calendar,X150,W151,"f",FALSE)</f>
        <v>41991</v>
      </c>
      <c r="Y151" s="281">
        <f>_xll.qlCalendarAdvance(Calendar,X151,NDays&amp;"D")</f>
        <v>41995</v>
      </c>
      <c r="Z151" s="282">
        <v>1.350171224874998E-3</v>
      </c>
      <c r="AA151" s="284">
        <v>1.3497254369765344E-3</v>
      </c>
    </row>
    <row r="152" spans="23:27" x14ac:dyDescent="0.2">
      <c r="W152" s="203" t="str">
        <f t="shared" si="12"/>
        <v>1D</v>
      </c>
      <c r="X152" s="287">
        <f>_xll.qlCalendarAdvance(Calendar,X151,W152,"f",FALSE)</f>
        <v>41992</v>
      </c>
      <c r="Y152" s="281">
        <f>_xll.qlCalendarAdvance(Calendar,X152,NDays&amp;"D")</f>
        <v>41997</v>
      </c>
      <c r="Z152" s="282">
        <v>1.3501881944115723E-3</v>
      </c>
      <c r="AA152" s="284">
        <v>1.3497391963781524E-3</v>
      </c>
    </row>
    <row r="153" spans="23:27" x14ac:dyDescent="0.2">
      <c r="W153" s="203" t="str">
        <f t="shared" si="12"/>
        <v>1D</v>
      </c>
      <c r="X153" s="287">
        <f>_xll.qlCalendarAdvance(Calendar,X152,W153,"f",FALSE)</f>
        <v>41995</v>
      </c>
      <c r="Y153" s="281">
        <f>_xll.qlCalendarAdvance(Calendar,X153,NDays&amp;"D")</f>
        <v>42002</v>
      </c>
      <c r="Z153" s="282">
        <v>1.3501881944115723E-3</v>
      </c>
      <c r="AA153" s="284">
        <v>1.3497372888160442E-3</v>
      </c>
    </row>
    <row r="154" spans="23:27" x14ac:dyDescent="0.2">
      <c r="W154" s="203" t="str">
        <f t="shared" si="12"/>
        <v>1D</v>
      </c>
      <c r="X154" s="287">
        <f>_xll.qlCalendarAdvance(Calendar,X153,W154,"f",FALSE)</f>
        <v>41997</v>
      </c>
      <c r="Y154" s="281">
        <f>_xll.qlCalendarAdvance(Calendar,X154,NDays&amp;"D")</f>
        <v>42003</v>
      </c>
      <c r="Z154" s="282">
        <v>1.3503123246292961E-3</v>
      </c>
      <c r="AA154" s="284">
        <v>1.3497646433879851E-3</v>
      </c>
    </row>
    <row r="155" spans="23:27" x14ac:dyDescent="0.2">
      <c r="W155" s="203" t="str">
        <f t="shared" si="12"/>
        <v>1D</v>
      </c>
      <c r="X155" s="287">
        <f>_xll.qlCalendarAdvance(Calendar,X154,W155,"f",FALSE)</f>
        <v>42002</v>
      </c>
      <c r="Y155" s="281">
        <f>_xll.qlCalendarAdvance(Calendar,X155,NDays&amp;"D")</f>
        <v>42009</v>
      </c>
      <c r="Z155" s="282">
        <v>1.3504334563040489E-3</v>
      </c>
      <c r="AA155" s="284">
        <v>1.3497701083231561E-3</v>
      </c>
    </row>
    <row r="156" spans="23:27" x14ac:dyDescent="0.2">
      <c r="W156" s="203" t="str">
        <f t="shared" si="12"/>
        <v>1D</v>
      </c>
      <c r="X156" s="287">
        <f>_xll.qlCalendarAdvance(Calendar,X155,W156,"f",FALSE)</f>
        <v>42003</v>
      </c>
      <c r="Y156" s="281">
        <f>_xll.qlCalendarAdvance(Calendar,X156,NDays&amp;"D")</f>
        <v>42010</v>
      </c>
      <c r="Z156" s="282">
        <v>1.3504334563040489E-3</v>
      </c>
      <c r="AA156" s="284">
        <v>1.3497762598024821E-3</v>
      </c>
    </row>
    <row r="157" spans="23:27" x14ac:dyDescent="0.2">
      <c r="W157" s="203" t="str">
        <f t="shared" si="12"/>
        <v>1D</v>
      </c>
      <c r="X157" s="287">
        <f>_xll.qlCalendarAdvance(Calendar,X156,W157,"f",FALSE)</f>
        <v>42009</v>
      </c>
      <c r="Y157" s="281">
        <f>_xll.qlCalendarAdvance(Calendar,X157,NDays&amp;"D")</f>
        <v>42011</v>
      </c>
      <c r="Z157" s="282">
        <v>1.3504379461872773E-3</v>
      </c>
      <c r="AA157" s="284">
        <v>1.3497827770692084E-3</v>
      </c>
    </row>
    <row r="158" spans="23:27" x14ac:dyDescent="0.2">
      <c r="W158" s="203" t="str">
        <f t="shared" si="12"/>
        <v>1D</v>
      </c>
      <c r="X158" s="287">
        <f>_xll.qlCalendarAdvance(Calendar,X157,W158,"f",FALSE)</f>
        <v>42010</v>
      </c>
      <c r="Y158" s="281">
        <f>_xll.qlCalendarAdvance(Calendar,X158,NDays&amp;"D")</f>
        <v>42012</v>
      </c>
      <c r="Z158" s="282">
        <v>1.3504546595557443E-3</v>
      </c>
      <c r="AA158" s="284">
        <v>1.349789660123335E-3</v>
      </c>
    </row>
    <row r="159" spans="23:27" x14ac:dyDescent="0.2">
      <c r="W159" s="203" t="str">
        <f t="shared" si="12"/>
        <v>1D</v>
      </c>
      <c r="X159" s="287">
        <f>_xll.qlCalendarAdvance(Calendar,X158,W159,"f",FALSE)</f>
        <v>42011</v>
      </c>
      <c r="Y159" s="281">
        <f>_xll.qlCalendarAdvance(Calendar,X159,NDays&amp;"D")</f>
        <v>42013</v>
      </c>
      <c r="Z159" s="282">
        <v>1.3504709666705139E-3</v>
      </c>
      <c r="AA159" s="284">
        <v>1.3498162880032361E-3</v>
      </c>
    </row>
    <row r="160" spans="23:27" x14ac:dyDescent="0.2">
      <c r="W160" s="203" t="str">
        <f t="shared" si="12"/>
        <v>1D</v>
      </c>
      <c r="X160" s="287">
        <f>_xll.qlCalendarAdvance(Calendar,X159,W160,"f",FALSE)</f>
        <v>42012</v>
      </c>
      <c r="Y160" s="281">
        <f>_xll.qlCalendarAdvance(Calendar,X160,NDays&amp;"D")</f>
        <v>42017</v>
      </c>
      <c r="Z160" s="282">
        <v>1.3505311721626612E-3</v>
      </c>
      <c r="AA160" s="284">
        <v>1.3498293067293332E-3</v>
      </c>
    </row>
    <row r="161" spans="23:27" x14ac:dyDescent="0.2">
      <c r="W161" s="203" t="str">
        <f t="shared" si="12"/>
        <v>1D</v>
      </c>
      <c r="X161" s="287">
        <f>_xll.qlCalendarAdvance(Calendar,X160,W161,"f",FALSE)</f>
        <v>42013</v>
      </c>
      <c r="Y161" s="281">
        <f>_xll.qlCalendarAdvance(Calendar,X161,NDays&amp;"D")</f>
        <v>42018</v>
      </c>
      <c r="Z161" s="282">
        <v>1.3505311721626612E-3</v>
      </c>
      <c r="AA161" s="284">
        <v>1.3498368556508211E-3</v>
      </c>
    </row>
    <row r="162" spans="23:27" x14ac:dyDescent="0.2">
      <c r="W162" s="203" t="str">
        <f t="shared" si="12"/>
        <v>1D</v>
      </c>
      <c r="X162" s="287">
        <f>_xll.qlCalendarAdvance(Calendar,X161,W162,"f",FALSE)</f>
        <v>42017</v>
      </c>
      <c r="Y162" s="281">
        <f>_xll.qlCalendarAdvance(Calendar,X162,NDays&amp;"D")</f>
        <v>42019</v>
      </c>
      <c r="Z162" s="282">
        <v>1.3505576114800633E-3</v>
      </c>
      <c r="AA162" s="284">
        <v>1.3498432419023487E-3</v>
      </c>
    </row>
    <row r="163" spans="23:27" x14ac:dyDescent="0.2">
      <c r="W163" s="203" t="str">
        <f t="shared" si="12"/>
        <v>1D</v>
      </c>
      <c r="X163" s="287">
        <f>_xll.qlCalendarAdvance(Calendar,X162,W163,"f",FALSE)</f>
        <v>42018</v>
      </c>
      <c r="Y163" s="281">
        <f>_xll.qlCalendarAdvance(Calendar,X163,NDays&amp;"D")</f>
        <v>42020</v>
      </c>
      <c r="Z163" s="282">
        <v>1.3505697840177078E-3</v>
      </c>
      <c r="AA163" s="284">
        <v>1.3498571998304953E-3</v>
      </c>
    </row>
    <row r="164" spans="23:27" x14ac:dyDescent="0.2">
      <c r="W164" s="203" t="str">
        <f t="shared" si="12"/>
        <v>1D</v>
      </c>
      <c r="X164" s="287">
        <f>_xll.qlCalendarAdvance(Calendar,X163,W164,"f",FALSE)</f>
        <v>42019</v>
      </c>
      <c r="Y164" s="281">
        <f>_xll.qlCalendarAdvance(Calendar,X164,NDays&amp;"D")</f>
        <v>42023</v>
      </c>
      <c r="Z164" s="282">
        <v>1.3506074964415632E-3</v>
      </c>
      <c r="AA164" s="284">
        <v>1.3498571590098152E-3</v>
      </c>
    </row>
    <row r="165" spans="23:27" x14ac:dyDescent="0.2">
      <c r="W165" s="203" t="str">
        <f t="shared" si="12"/>
        <v>1D</v>
      </c>
      <c r="X165" s="287">
        <f>_xll.qlCalendarAdvance(Calendar,X164,W165,"f",FALSE)</f>
        <v>42020</v>
      </c>
      <c r="Y165" s="281">
        <f>_xll.qlCalendarAdvance(Calendar,X165,NDays&amp;"D")</f>
        <v>42024</v>
      </c>
      <c r="Z165" s="282">
        <v>1.3506107692693448E-3</v>
      </c>
      <c r="AA165" s="284">
        <v>1.3498577313519888E-3</v>
      </c>
    </row>
    <row r="166" spans="23:27" x14ac:dyDescent="0.2">
      <c r="W166" s="203" t="str">
        <f t="shared" si="12"/>
        <v>1D</v>
      </c>
      <c r="X166" s="287">
        <f>_xll.qlCalendarAdvance(Calendar,X165,W166,"f",FALSE)</f>
        <v>42023</v>
      </c>
      <c r="Y166" s="281">
        <f>_xll.qlCalendarAdvance(Calendar,X166,NDays&amp;"D")</f>
        <v>42025</v>
      </c>
      <c r="Z166" s="282">
        <v>1.350618934198522E-3</v>
      </c>
      <c r="AA166" s="284">
        <v>1.3498571409442661E-3</v>
      </c>
    </row>
    <row r="167" spans="23:27" x14ac:dyDescent="0.2">
      <c r="W167" s="203" t="str">
        <f t="shared" si="12"/>
        <v>1D</v>
      </c>
      <c r="X167" s="287">
        <f>_xll.qlCalendarAdvance(Calendar,X166,W167,"f",FALSE)</f>
        <v>42024</v>
      </c>
      <c r="Y167" s="281">
        <f>_xll.qlCalendarAdvance(Calendar,X167,NDays&amp;"D")</f>
        <v>42026</v>
      </c>
      <c r="Z167" s="282">
        <v>1.3506262045082096E-3</v>
      </c>
      <c r="AA167" s="284">
        <v>1.349855387706711E-3</v>
      </c>
    </row>
    <row r="168" spans="23:27" x14ac:dyDescent="0.2">
      <c r="W168" s="203" t="str">
        <f t="shared" si="12"/>
        <v>1D</v>
      </c>
      <c r="X168" s="287">
        <f>_xll.qlCalendarAdvance(Calendar,X167,W168,"f",FALSE)</f>
        <v>42025</v>
      </c>
      <c r="Y168" s="281">
        <f>_xll.qlCalendarAdvance(Calendar,X168,NDays&amp;"D")</f>
        <v>42027</v>
      </c>
      <c r="Z168" s="282">
        <v>1.3506325491690063E-3</v>
      </c>
      <c r="AA168" s="284">
        <v>1.3498530667366282E-3</v>
      </c>
    </row>
    <row r="169" spans="23:27" x14ac:dyDescent="0.2">
      <c r="W169" s="203" t="str">
        <f t="shared" si="12"/>
        <v>1D</v>
      </c>
      <c r="X169" s="287">
        <f>_xll.qlCalendarAdvance(Calendar,X168,W169,"f",FALSE)</f>
        <v>42026</v>
      </c>
      <c r="Y169" s="281">
        <f>_xll.qlCalendarAdvance(Calendar,X169,NDays&amp;"D")</f>
        <v>42030</v>
      </c>
      <c r="Z169" s="282">
        <v>1.3506441439064061E-3</v>
      </c>
      <c r="AA169" s="284">
        <v>1.3498367470976547E-3</v>
      </c>
    </row>
    <row r="170" spans="23:27" x14ac:dyDescent="0.2">
      <c r="W170" s="203" t="str">
        <f t="shared" si="12"/>
        <v>1D</v>
      </c>
      <c r="X170" s="287">
        <f>_xll.qlCalendarAdvance(Calendar,X169,W170,"f",FALSE)</f>
        <v>42027</v>
      </c>
      <c r="Y170" s="281">
        <f>_xll.qlCalendarAdvance(Calendar,X170,NDays&amp;"D")</f>
        <v>42031</v>
      </c>
      <c r="Z170" s="282">
        <v>1.3506480506642049E-3</v>
      </c>
      <c r="AA170" s="284">
        <v>1.3498291799507456E-3</v>
      </c>
    </row>
    <row r="171" spans="23:27" x14ac:dyDescent="0.2">
      <c r="W171" s="203" t="str">
        <f t="shared" si="12"/>
        <v>1D</v>
      </c>
      <c r="X171" s="287">
        <f>_xll.qlCalendarAdvance(Calendar,X170,W171,"f",FALSE)</f>
        <v>42030</v>
      </c>
      <c r="Y171" s="281">
        <f>_xll.qlCalendarAdvance(Calendar,X171,NDays&amp;"D")</f>
        <v>42032</v>
      </c>
      <c r="Z171" s="282">
        <v>1.3506493015924548E-3</v>
      </c>
      <c r="AA171" s="284">
        <v>1.3498204501338762E-3</v>
      </c>
    </row>
    <row r="172" spans="23:27" x14ac:dyDescent="0.2">
      <c r="W172" s="203" t="str">
        <f t="shared" si="12"/>
        <v>1D</v>
      </c>
      <c r="X172" s="287">
        <f>_xll.qlCalendarAdvance(Calendar,X171,W172,"f",FALSE)</f>
        <v>42031</v>
      </c>
      <c r="Y172" s="281">
        <f>_xll.qlCalendarAdvance(Calendar,X172,NDays&amp;"D")</f>
        <v>42033</v>
      </c>
      <c r="Z172" s="282">
        <v>1.3506442379885109E-3</v>
      </c>
      <c r="AA172" s="284">
        <v>1.3498105574072383E-3</v>
      </c>
    </row>
    <row r="173" spans="23:27" x14ac:dyDescent="0.2">
      <c r="W173" s="203" t="str">
        <f t="shared" si="12"/>
        <v>1D</v>
      </c>
      <c r="X173" s="287">
        <f>_xll.qlCalendarAdvance(Calendar,X172,W173,"f",FALSE)</f>
        <v>42032</v>
      </c>
      <c r="Y173" s="281">
        <f>_xll.qlCalendarAdvance(Calendar,X173,NDays&amp;"D")</f>
        <v>42034</v>
      </c>
      <c r="Z173" s="282">
        <v>1.350648436885038E-3</v>
      </c>
      <c r="AA173" s="284">
        <v>1.3497919571392458E-3</v>
      </c>
    </row>
    <row r="174" spans="23:27" x14ac:dyDescent="0.2">
      <c r="W174" s="203" t="str">
        <f t="shared" si="12"/>
        <v>1D</v>
      </c>
      <c r="X174" s="287">
        <f>_xll.qlCalendarAdvance(Calendar,X173,W174,"f",FALSE)</f>
        <v>42033</v>
      </c>
      <c r="Y174" s="281">
        <f>_xll.qlCalendarAdvance(Calendar,X174,NDays&amp;"D")</f>
        <v>42037</v>
      </c>
      <c r="Z174" s="282">
        <v>1.3505894059928636E-3</v>
      </c>
      <c r="AA174" s="284">
        <v>1.3497593590816592E-3</v>
      </c>
    </row>
    <row r="175" spans="23:27" x14ac:dyDescent="0.2">
      <c r="W175" s="203" t="str">
        <f t="shared" si="12"/>
        <v>1D</v>
      </c>
      <c r="X175" s="287">
        <f>_xll.qlCalendarAdvance(Calendar,X174,W175,"f",FALSE)</f>
        <v>42034</v>
      </c>
      <c r="Y175" s="281">
        <f>_xll.qlCalendarAdvance(Calendar,X175,NDays&amp;"D")</f>
        <v>42038</v>
      </c>
      <c r="Z175" s="282">
        <v>1.3505932674064179E-3</v>
      </c>
      <c r="AA175" s="284">
        <v>1.3497436525256035E-3</v>
      </c>
    </row>
    <row r="176" spans="23:27" x14ac:dyDescent="0.2">
      <c r="W176" s="203" t="str">
        <f t="shared" si="12"/>
        <v>1D</v>
      </c>
      <c r="X176" s="287">
        <f>_xll.qlCalendarAdvance(Calendar,X175,W176,"f",FALSE)</f>
        <v>42037</v>
      </c>
      <c r="Y176" s="281">
        <f>_xll.qlCalendarAdvance(Calendar,X176,NDays&amp;"D")</f>
        <v>42039</v>
      </c>
      <c r="Z176" s="282">
        <v>1.3505974385726823E-3</v>
      </c>
      <c r="AA176" s="284">
        <v>1.3497267832196513E-3</v>
      </c>
    </row>
    <row r="177" spans="23:27" x14ac:dyDescent="0.2">
      <c r="W177" s="203" t="str">
        <f t="shared" si="12"/>
        <v>1D</v>
      </c>
      <c r="X177" s="287">
        <f>_xll.qlCalendarAdvance(Calendar,X176,W177,"f",FALSE)</f>
        <v>42038</v>
      </c>
      <c r="Y177" s="281">
        <f>_xll.qlCalendarAdvance(Calendar,X177,NDays&amp;"D")</f>
        <v>42040</v>
      </c>
      <c r="Z177" s="282">
        <v>1.3506019424816339E-3</v>
      </c>
      <c r="AA177" s="284">
        <v>1.3497087510838668E-3</v>
      </c>
    </row>
    <row r="178" spans="23:27" x14ac:dyDescent="0.2">
      <c r="W178" s="203" t="str">
        <f t="shared" si="12"/>
        <v>1D</v>
      </c>
      <c r="X178" s="287">
        <f>_xll.qlCalendarAdvance(Calendar,X177,W178,"f",FALSE)</f>
        <v>42039</v>
      </c>
      <c r="Y178" s="281">
        <f>_xll.qlCalendarAdvance(Calendar,X178,NDays&amp;"D")</f>
        <v>42041</v>
      </c>
      <c r="Z178" s="282">
        <v>1.3506068031468033E-3</v>
      </c>
      <c r="AA178" s="284">
        <v>1.3496738710383482E-3</v>
      </c>
    </row>
    <row r="179" spans="23:27" x14ac:dyDescent="0.2">
      <c r="W179" s="203" t="str">
        <f t="shared" si="12"/>
        <v>1D</v>
      </c>
      <c r="X179" s="287">
        <f>_xll.qlCalendarAdvance(Calendar,X178,W179,"f",FALSE)</f>
        <v>42040</v>
      </c>
      <c r="Y179" s="281">
        <f>_xll.qlCalendarAdvance(Calendar,X179,NDays&amp;"D")</f>
        <v>42044</v>
      </c>
      <c r="Z179" s="282">
        <v>1.3505478989199202E-3</v>
      </c>
      <c r="AA179" s="284">
        <v>1.3496249949618289E-3</v>
      </c>
    </row>
    <row r="180" spans="23:27" x14ac:dyDescent="0.2">
      <c r="W180" s="203" t="str">
        <f t="shared" si="12"/>
        <v>1D</v>
      </c>
      <c r="X180" s="287">
        <f>_xll.qlCalendarAdvance(Calendar,X179,W180,"f",FALSE)</f>
        <v>42041</v>
      </c>
      <c r="Y180" s="281">
        <f>_xll.qlCalendarAdvance(Calendar,X180,NDays&amp;"D")</f>
        <v>42045</v>
      </c>
      <c r="Z180" s="282">
        <v>1.3505530902406804E-3</v>
      </c>
      <c r="AA180" s="284">
        <v>1.349594541562027E-3</v>
      </c>
    </row>
    <row r="181" spans="23:27" x14ac:dyDescent="0.2">
      <c r="W181" s="203" t="str">
        <f t="shared" si="12"/>
        <v>1D</v>
      </c>
      <c r="X181" s="287">
        <f>_xll.qlCalendarAdvance(Calendar,X180,W181,"f",FALSE)</f>
        <v>42044</v>
      </c>
      <c r="Y181" s="281">
        <f>_xll.qlCalendarAdvance(Calendar,X181,NDays&amp;"D")</f>
        <v>42047</v>
      </c>
      <c r="Z181" s="282">
        <v>1.3505415972049238E-3</v>
      </c>
      <c r="AA181" s="284">
        <v>1.3495659630624601E-3</v>
      </c>
    </row>
    <row r="182" spans="23:27" x14ac:dyDescent="0.2">
      <c r="W182" s="203" t="str">
        <f t="shared" si="12"/>
        <v>1D</v>
      </c>
      <c r="X182" s="287">
        <f>_xll.qlCalendarAdvance(Calendar,X181,W182,"f",FALSE)</f>
        <v>42045</v>
      </c>
      <c r="Y182" s="281">
        <f>_xll.qlCalendarAdvance(Calendar,X182,NDays&amp;"D")</f>
        <v>42048</v>
      </c>
      <c r="Z182" s="282">
        <v>1.3505415972049238E-3</v>
      </c>
      <c r="AA182" s="284">
        <v>1.3495518426243081E-3</v>
      </c>
    </row>
    <row r="183" spans="23:27" x14ac:dyDescent="0.2">
      <c r="W183" s="203" t="str">
        <f t="shared" si="12"/>
        <v>1D</v>
      </c>
      <c r="X183" s="287">
        <f>_xll.qlCalendarAdvance(Calendar,X182,W183,"f",FALSE)</f>
        <v>42047</v>
      </c>
      <c r="Y183" s="281">
        <f>_xll.qlCalendarAdvance(Calendar,X183,NDays&amp;"D")</f>
        <v>42051</v>
      </c>
      <c r="Z183" s="282">
        <v>1.3503919534831365E-3</v>
      </c>
      <c r="AA183" s="284">
        <v>1.3495405641794633E-3</v>
      </c>
    </row>
    <row r="184" spans="23:27" x14ac:dyDescent="0.2">
      <c r="W184" s="203" t="str">
        <f t="shared" si="12"/>
        <v>1D</v>
      </c>
      <c r="X184" s="287">
        <f>_xll.qlCalendarAdvance(Calendar,X183,W184,"f",FALSE)</f>
        <v>42048</v>
      </c>
      <c r="Y184" s="281">
        <f>_xll.qlCalendarAdvance(Calendar,X184,NDays&amp;"D")</f>
        <v>42052</v>
      </c>
      <c r="Z184" s="282">
        <v>1.3503963511016792E-3</v>
      </c>
      <c r="AA184" s="284">
        <v>1.3495439346034033E-3</v>
      </c>
    </row>
    <row r="185" spans="23:27" x14ac:dyDescent="0.2">
      <c r="W185" s="203" t="str">
        <f t="shared" si="12"/>
        <v>1D</v>
      </c>
      <c r="X185" s="287">
        <f>_xll.qlCalendarAdvance(Calendar,X184,W185,"f",FALSE)</f>
        <v>42051</v>
      </c>
      <c r="Y185" s="281">
        <f>_xll.qlCalendarAdvance(Calendar,X185,NDays&amp;"D")</f>
        <v>42053</v>
      </c>
      <c r="Z185" s="282">
        <v>1.3504008665220864E-3</v>
      </c>
      <c r="AA185" s="284">
        <v>1.3495511931171933E-3</v>
      </c>
    </row>
    <row r="186" spans="23:27" x14ac:dyDescent="0.2">
      <c r="W186" s="203" t="str">
        <f t="shared" si="12"/>
        <v>1D</v>
      </c>
      <c r="X186" s="287">
        <f>_xll.qlCalendarAdvance(Calendar,X185,W186,"f",FALSE)</f>
        <v>42052</v>
      </c>
      <c r="Y186" s="281">
        <f>_xll.qlCalendarAdvance(Calendar,X186,NDays&amp;"D")</f>
        <v>42054</v>
      </c>
      <c r="Z186" s="282">
        <v>1.3503702500033278E-3</v>
      </c>
      <c r="AA186" s="284">
        <v>1.3495623397208334E-3</v>
      </c>
    </row>
    <row r="187" spans="23:27" x14ac:dyDescent="0.2">
      <c r="W187" s="203" t="str">
        <f t="shared" si="12"/>
        <v>1D</v>
      </c>
      <c r="X187" s="287">
        <f>_xll.qlCalendarAdvance(Calendar,X186,W187,"f",FALSE)</f>
        <v>42053</v>
      </c>
      <c r="Y187" s="281">
        <f>_xll.qlCalendarAdvance(Calendar,X187,NDays&amp;"D")</f>
        <v>42055</v>
      </c>
      <c r="Z187" s="282">
        <v>1.3503373522989919E-3</v>
      </c>
      <c r="AA187" s="284">
        <v>1.3496026525405824E-3</v>
      </c>
    </row>
    <row r="188" spans="23:27" x14ac:dyDescent="0.2">
      <c r="W188" s="203" t="str">
        <f t="shared" si="12"/>
        <v>1D</v>
      </c>
      <c r="X188" s="287">
        <f>_xll.qlCalendarAdvance(Calendar,X187,W188,"f",FALSE)</f>
        <v>42054</v>
      </c>
      <c r="Y188" s="281">
        <f>_xll.qlCalendarAdvance(Calendar,X188,NDays&amp;"D")</f>
        <v>42058</v>
      </c>
      <c r="Z188" s="282">
        <v>1.3500886284082464E-3</v>
      </c>
      <c r="AA188" s="284">
        <v>1.3496458066342143E-3</v>
      </c>
    </row>
    <row r="189" spans="23:27" x14ac:dyDescent="0.2">
      <c r="W189" s="203" t="str">
        <f t="shared" si="12"/>
        <v>1D</v>
      </c>
      <c r="X189" s="287">
        <f>_xll.qlCalendarAdvance(Calendar,X188,W189,"f",FALSE)</f>
        <v>42055</v>
      </c>
      <c r="Y189" s="281">
        <f>_xll.qlCalendarAdvance(Calendar,X189,NDays&amp;"D")</f>
        <v>42059</v>
      </c>
      <c r="Z189" s="282">
        <v>1.3500884330778437E-3</v>
      </c>
      <c r="AA189" s="284">
        <v>1.3496763934472966E-3</v>
      </c>
    </row>
    <row r="190" spans="23:27" x14ac:dyDescent="0.2">
      <c r="W190" s="203" t="str">
        <f t="shared" si="12"/>
        <v>1D</v>
      </c>
      <c r="X190" s="287">
        <f>_xll.qlCalendarAdvance(Calendar,X189,W190,"f",FALSE)</f>
        <v>42058</v>
      </c>
      <c r="Y190" s="281">
        <f>_xll.qlCalendarAdvance(Calendar,X190,NDays&amp;"D")</f>
        <v>42060</v>
      </c>
      <c r="Z190" s="282">
        <v>1.3500879496799456E-3</v>
      </c>
      <c r="AA190" s="284">
        <v>1.349710868350229E-3</v>
      </c>
    </row>
    <row r="191" spans="23:27" x14ac:dyDescent="0.2">
      <c r="W191" s="203" t="str">
        <f t="shared" si="12"/>
        <v>1D</v>
      </c>
      <c r="X191" s="287">
        <f>_xll.qlCalendarAdvance(Calendar,X190,W191,"f",FALSE)</f>
        <v>42059</v>
      </c>
      <c r="Y191" s="281">
        <f>_xll.qlCalendarAdvance(Calendar,X191,NDays&amp;"D")</f>
        <v>42061</v>
      </c>
      <c r="Z191" s="282">
        <v>1.3500871248063331E-3</v>
      </c>
      <c r="AA191" s="284">
        <v>1.3497492314229476E-3</v>
      </c>
    </row>
    <row r="192" spans="23:27" x14ac:dyDescent="0.2">
      <c r="W192" s="203" t="str">
        <f t="shared" si="12"/>
        <v>1D</v>
      </c>
      <c r="X192" s="287">
        <f>_xll.qlCalendarAdvance(Calendar,X191,W192,"f",FALSE)</f>
        <v>42060</v>
      </c>
      <c r="Y192" s="281">
        <f>_xll.qlCalendarAdvance(Calendar,X192,NDays&amp;"D")</f>
        <v>42062</v>
      </c>
      <c r="Z192" s="282">
        <v>1.3499316239987155E-3</v>
      </c>
      <c r="AA192" s="284">
        <v>1.3498439788595107E-3</v>
      </c>
    </row>
    <row r="193" spans="23:27" x14ac:dyDescent="0.2">
      <c r="W193" s="203" t="str">
        <f t="shared" si="12"/>
        <v>1D</v>
      </c>
      <c r="X193" s="287">
        <f>_xll.qlCalendarAdvance(Calendar,X192,W193,"f",FALSE)</f>
        <v>42061</v>
      </c>
      <c r="Y193" s="281">
        <f>_xll.qlCalendarAdvance(Calendar,X193,NDays&amp;"D")</f>
        <v>42065</v>
      </c>
      <c r="Z193" s="282">
        <v>1.3496878836004734E-3</v>
      </c>
      <c r="AA193" s="284">
        <v>1.349941563972834E-3</v>
      </c>
    </row>
    <row r="194" spans="23:27" x14ac:dyDescent="0.2">
      <c r="W194" s="203" t="str">
        <f t="shared" si="12"/>
        <v>1D</v>
      </c>
      <c r="X194" s="287">
        <f>_xll.qlCalendarAdvance(Calendar,X193,W194,"f",FALSE)</f>
        <v>42062</v>
      </c>
      <c r="Y194" s="281">
        <f>_xll.qlCalendarAdvance(Calendar,X194,NDays&amp;"D")</f>
        <v>42066</v>
      </c>
      <c r="Z194" s="282">
        <v>1.3496182210795044E-3</v>
      </c>
      <c r="AA194" s="284">
        <v>1.3499993672549948E-3</v>
      </c>
    </row>
    <row r="195" spans="23:27" x14ac:dyDescent="0.2">
      <c r="W195" s="203" t="str">
        <f t="shared" si="12"/>
        <v>1D</v>
      </c>
      <c r="X195" s="287">
        <f>_xll.qlCalendarAdvance(Calendar,X194,W195,"f",FALSE)</f>
        <v>42065</v>
      </c>
      <c r="Y195" s="281">
        <f>_xll.qlCalendarAdvance(Calendar,X195,NDays&amp;"D")</f>
        <v>42067</v>
      </c>
      <c r="Z195" s="282">
        <v>1.3495451994133992E-3</v>
      </c>
      <c r="AA195" s="284">
        <v>1.3500610585470696E-3</v>
      </c>
    </row>
    <row r="196" spans="23:27" x14ac:dyDescent="0.2">
      <c r="W196" s="203" t="str">
        <f t="shared" si="12"/>
        <v>1D</v>
      </c>
      <c r="X196" s="287">
        <f>_xll.qlCalendarAdvance(Calendar,X195,W196,"f",FALSE)</f>
        <v>42066</v>
      </c>
      <c r="Y196" s="281">
        <f>_xll.qlCalendarAdvance(Calendar,X196,NDays&amp;"D")</f>
        <v>42068</v>
      </c>
      <c r="Z196" s="282">
        <v>1.3494687333251553E-3</v>
      </c>
      <c r="AA196" s="284">
        <v>1.3501266380089305E-3</v>
      </c>
    </row>
    <row r="197" spans="23:27" x14ac:dyDescent="0.2">
      <c r="W197" s="203" t="str">
        <f t="shared" si="12"/>
        <v>1D</v>
      </c>
      <c r="X197" s="287">
        <f>_xll.qlCalendarAdvance(Calendar,X196,W197,"f",FALSE)</f>
        <v>42067</v>
      </c>
      <c r="Y197" s="281">
        <f>_xll.qlCalendarAdvance(Calendar,X197,NDays&amp;"D")</f>
        <v>42069</v>
      </c>
      <c r="Z197" s="282">
        <v>1.3492493702449663E-3</v>
      </c>
      <c r="AA197" s="284">
        <v>1.3502758215810928E-3</v>
      </c>
    </row>
    <row r="198" spans="23:27" x14ac:dyDescent="0.2">
      <c r="W198" s="203" t="str">
        <f t="shared" si="12"/>
        <v>1D</v>
      </c>
      <c r="X198" s="287">
        <f>_xll.qlCalendarAdvance(Calendar,X197,W198,"f",FALSE)</f>
        <v>42068</v>
      </c>
      <c r="Y198" s="281">
        <f>_xll.qlCalendarAdvance(Calendar,X198,NDays&amp;"D")</f>
        <v>42072</v>
      </c>
      <c r="Z198" s="282">
        <v>1.3491267192133412E-3</v>
      </c>
      <c r="AA198" s="284">
        <v>1.3504278362752586E-3</v>
      </c>
    </row>
    <row r="199" spans="23:27" x14ac:dyDescent="0.2">
      <c r="W199" s="203" t="str">
        <f t="shared" si="12"/>
        <v>1D</v>
      </c>
      <c r="X199" s="287">
        <f>_xll.qlCalendarAdvance(Calendar,X198,W199,"f",FALSE)</f>
        <v>42069</v>
      </c>
      <c r="Y199" s="281">
        <f>_xll.qlCalendarAdvance(Calendar,X199,NDays&amp;"D")</f>
        <v>42073</v>
      </c>
      <c r="Z199" s="282">
        <v>1.349031751862836E-3</v>
      </c>
      <c r="AA199" s="284">
        <v>1.3505115488321451E-3</v>
      </c>
    </row>
    <row r="200" spans="23:27" x14ac:dyDescent="0.2">
      <c r="W200" s="203" t="str">
        <f t="shared" si="12"/>
        <v>1D</v>
      </c>
      <c r="X200" s="287">
        <f>_xll.qlCalendarAdvance(Calendar,X199,W200,"f",FALSE)</f>
        <v>42072</v>
      </c>
      <c r="Y200" s="281">
        <f>_xll.qlCalendarAdvance(Calendar,X200,NDays&amp;"D")</f>
        <v>42074</v>
      </c>
      <c r="Z200" s="282">
        <v>1.3489328768390152E-3</v>
      </c>
      <c r="AA200" s="284">
        <v>1.350592613826862E-3</v>
      </c>
    </row>
    <row r="201" spans="23:27" x14ac:dyDescent="0.2">
      <c r="W201" s="203" t="str">
        <f t="shared" si="12"/>
        <v>1D</v>
      </c>
      <c r="X201" s="287">
        <f>_xll.qlCalendarAdvance(Calendar,X200,W201,"f",FALSE)</f>
        <v>42073</v>
      </c>
      <c r="Y201" s="281">
        <f>_xll.qlCalendarAdvance(Calendar,X201,NDays&amp;"D")</f>
        <v>42075</v>
      </c>
      <c r="Z201" s="282">
        <v>1.3488302509095218E-3</v>
      </c>
      <c r="AA201" s="284">
        <v>1.3506697240650567E-3</v>
      </c>
    </row>
    <row r="202" spans="23:27" x14ac:dyDescent="0.2">
      <c r="W202" s="203" t="str">
        <f t="shared" si="12"/>
        <v>1D</v>
      </c>
      <c r="X202" s="287">
        <f>_xll.qlCalendarAdvance(Calendar,X201,W202,"f",FALSE)</f>
        <v>42074</v>
      </c>
      <c r="Y202" s="281">
        <f>_xll.qlCalendarAdvance(Calendar,X202,NDays&amp;"D")</f>
        <v>42076</v>
      </c>
      <c r="Z202" s="282">
        <v>1.3485602938532748E-3</v>
      </c>
      <c r="AA202" s="284">
        <v>1.3508158307384832E-3</v>
      </c>
    </row>
    <row r="203" spans="23:27" x14ac:dyDescent="0.2">
      <c r="W203" s="203" t="str">
        <f t="shared" si="12"/>
        <v>1D</v>
      </c>
      <c r="X203" s="287">
        <f>_xll.qlCalendarAdvance(Calendar,X202,W203,"f",FALSE)</f>
        <v>42075</v>
      </c>
      <c r="Y203" s="281">
        <f>_xll.qlCalendarAdvance(Calendar,X203,NDays&amp;"D")</f>
        <v>42079</v>
      </c>
      <c r="Z203" s="282">
        <v>1.3483863416714579E-3</v>
      </c>
      <c r="AA203" s="284">
        <v>1.350938617772357E-3</v>
      </c>
    </row>
    <row r="204" spans="23:27" x14ac:dyDescent="0.2">
      <c r="W204" s="203" t="str">
        <f t="shared" si="12"/>
        <v>1D</v>
      </c>
      <c r="X204" s="287">
        <f>_xll.qlCalendarAdvance(Calendar,X203,W204,"f",FALSE)</f>
        <v>42076</v>
      </c>
      <c r="Y204" s="281">
        <f>_xll.qlCalendarAdvance(Calendar,X204,NDays&amp;"D")</f>
        <v>42080</v>
      </c>
      <c r="Z204" s="282">
        <v>1.3482680388647765E-3</v>
      </c>
      <c r="AA204" s="284">
        <v>1.3509959543078764E-3</v>
      </c>
    </row>
    <row r="205" spans="23:27" x14ac:dyDescent="0.2">
      <c r="W205" s="203" t="str">
        <f t="shared" si="12"/>
        <v>1D</v>
      </c>
      <c r="X205" s="287">
        <f>_xll.qlCalendarAdvance(Calendar,X204,W205,"f",FALSE)</f>
        <v>42079</v>
      </c>
      <c r="Y205" s="281">
        <f>_xll.qlCalendarAdvance(Calendar,X205,NDays&amp;"D")</f>
        <v>42081</v>
      </c>
      <c r="Z205" s="282">
        <v>1.3481472162128931E-3</v>
      </c>
      <c r="AA205" s="284">
        <v>1.3510493360868736E-3</v>
      </c>
    </row>
    <row r="206" spans="23:27" x14ac:dyDescent="0.2">
      <c r="W206" s="203" t="str">
        <f t="shared" si="12"/>
        <v>1D</v>
      </c>
      <c r="X206" s="287">
        <f>_xll.qlCalendarAdvance(Calendar,X205,W206,"f",FALSE)</f>
        <v>42080</v>
      </c>
      <c r="Y206" s="281">
        <f>_xll.qlCalendarAdvance(Calendar,X206,NDays&amp;"D")</f>
        <v>42082</v>
      </c>
      <c r="Z206" s="282">
        <v>1.348024078891684E-3</v>
      </c>
      <c r="AA206" s="284">
        <v>1.3510987632692206E-3</v>
      </c>
    </row>
    <row r="207" spans="23:27" x14ac:dyDescent="0.2">
      <c r="W207" s="203" t="str">
        <f t="shared" si="12"/>
        <v>1D</v>
      </c>
      <c r="X207" s="287">
        <f>_xll.qlCalendarAdvance(Calendar,X206,W207,"f",FALSE)</f>
        <v>42081</v>
      </c>
      <c r="Y207" s="281">
        <f>_xll.qlCalendarAdvance(Calendar,X207,NDays&amp;"D")</f>
        <v>42083</v>
      </c>
      <c r="Z207" s="282">
        <v>1.3477277251082648E-3</v>
      </c>
      <c r="AA207" s="284">
        <v>1.3511895063622603E-3</v>
      </c>
    </row>
    <row r="208" spans="23:27" x14ac:dyDescent="0.2">
      <c r="W208" s="203" t="str">
        <f t="shared" si="12"/>
        <v>1D</v>
      </c>
      <c r="X208" s="287">
        <f>_xll.qlCalendarAdvance(Calendar,X207,W208,"f",FALSE)</f>
        <v>42082</v>
      </c>
      <c r="Y208" s="281">
        <f>_xll.qlCalendarAdvance(Calendar,X208,NDays&amp;"D")</f>
        <v>42086</v>
      </c>
      <c r="Z208" s="282">
        <v>1.3475124864458861E-3</v>
      </c>
      <c r="AA208" s="284">
        <v>1.3512569241935779E-3</v>
      </c>
    </row>
    <row r="209" spans="23:27" x14ac:dyDescent="0.2">
      <c r="W209" s="203" t="str">
        <f t="shared" si="12"/>
        <v>1D</v>
      </c>
      <c r="X209" s="287">
        <f>_xll.qlCalendarAdvance(Calendar,X208,W209,"f",FALSE)</f>
        <v>42083</v>
      </c>
      <c r="Y209" s="281">
        <f>_xll.qlCalendarAdvance(Calendar,X209,NDays&amp;"D")</f>
        <v>42087</v>
      </c>
      <c r="Z209" s="282">
        <v>1.3473808534274878E-3</v>
      </c>
      <c r="AA209" s="284">
        <v>1.3512865776732497E-3</v>
      </c>
    </row>
    <row r="210" spans="23:27" x14ac:dyDescent="0.2">
      <c r="W210" s="203" t="str">
        <f t="shared" si="12"/>
        <v>1D</v>
      </c>
      <c r="X210" s="287">
        <f>_xll.qlCalendarAdvance(Calendar,X209,W210,"f",FALSE)</f>
        <v>42086</v>
      </c>
      <c r="Y210" s="281">
        <f>_xll.qlCalendarAdvance(Calendar,X210,NDays&amp;"D")</f>
        <v>42088</v>
      </c>
      <c r="Z210" s="282">
        <v>1.3472481367984967E-3</v>
      </c>
      <c r="AA210" s="284">
        <v>1.3513122763963992E-3</v>
      </c>
    </row>
    <row r="211" spans="23:27" x14ac:dyDescent="0.2">
      <c r="W211" s="203" t="str">
        <f t="shared" si="12"/>
        <v>1D</v>
      </c>
      <c r="X211" s="287">
        <f>_xll.qlCalendarAdvance(Calendar,X210,W211,"f",FALSE)</f>
        <v>42087</v>
      </c>
      <c r="Y211" s="281">
        <f>_xll.qlCalendarAdvance(Calendar,X211,NDays&amp;"D")</f>
        <v>42089</v>
      </c>
      <c r="Z211" s="282">
        <v>1.3471145417365271E-3</v>
      </c>
      <c r="AA211" s="284">
        <v>1.3513340202830904E-3</v>
      </c>
    </row>
    <row r="212" spans="23:27" x14ac:dyDescent="0.2">
      <c r="W212" s="203" t="str">
        <f t="shared" si="12"/>
        <v>1D</v>
      </c>
      <c r="X212" s="287">
        <f>_xll.qlCalendarAdvance(Calendar,X211,W212,"f",FALSE)</f>
        <v>42088</v>
      </c>
      <c r="Y212" s="281">
        <f>_xll.qlCalendarAdvance(Calendar,X212,NDays&amp;"D")</f>
        <v>42090</v>
      </c>
      <c r="Z212" s="282">
        <v>1.3468193847096224E-3</v>
      </c>
      <c r="AA212" s="284">
        <v>1.3513693984634756E-3</v>
      </c>
    </row>
    <row r="213" spans="23:27" x14ac:dyDescent="0.2">
      <c r="W213" s="203" t="str">
        <f t="shared" ref="W213:W276" si="13">W212</f>
        <v>1D</v>
      </c>
      <c r="X213" s="287">
        <f>_xll.qlCalendarAdvance(Calendar,X212,W213,"f",FALSE)</f>
        <v>42089</v>
      </c>
      <c r="Y213" s="281">
        <f>_xll.qlCalendarAdvance(Calendar,X213,NDays&amp;"D")</f>
        <v>42093</v>
      </c>
      <c r="Z213" s="282">
        <v>1.3465754806763898E-3</v>
      </c>
      <c r="AA213" s="284">
        <v>1.3513814486643128E-3</v>
      </c>
    </row>
    <row r="214" spans="23:27" x14ac:dyDescent="0.2">
      <c r="W214" s="203" t="str">
        <f t="shared" si="13"/>
        <v>1D</v>
      </c>
      <c r="X214" s="287">
        <f>_xll.qlCalendarAdvance(Calendar,X213,W214,"f",FALSE)</f>
        <v>42090</v>
      </c>
      <c r="Y214" s="281">
        <f>_xll.qlCalendarAdvance(Calendar,X214,NDays&amp;"D")</f>
        <v>42094</v>
      </c>
      <c r="Z214" s="282">
        <v>1.3465176132331968E-3</v>
      </c>
      <c r="AA214" s="284">
        <v>1.3513834189282647E-3</v>
      </c>
    </row>
    <row r="215" spans="23:27" x14ac:dyDescent="0.2">
      <c r="W215" s="203" t="str">
        <f t="shared" si="13"/>
        <v>1D</v>
      </c>
      <c r="X215" s="287">
        <f>_xll.qlCalendarAdvance(Calendar,X214,W215,"f",FALSE)</f>
        <v>42093</v>
      </c>
      <c r="Y215" s="281">
        <f>_xll.qlCalendarAdvance(Calendar,X215,NDays&amp;"D")</f>
        <v>42095</v>
      </c>
      <c r="Z215" s="282">
        <v>1.3463811999779997E-3</v>
      </c>
      <c r="AA215" s="284">
        <v>1.3513814345156305E-3</v>
      </c>
    </row>
    <row r="216" spans="23:27" x14ac:dyDescent="0.2">
      <c r="W216" s="203" t="str">
        <f t="shared" si="13"/>
        <v>1D</v>
      </c>
      <c r="X216" s="287">
        <f>_xll.qlCalendarAdvance(Calendar,X215,W216,"f",FALSE)</f>
        <v>42094</v>
      </c>
      <c r="Y216" s="281">
        <f>_xll.qlCalendarAdvance(Calendar,X216,NDays&amp;"D")</f>
        <v>42096</v>
      </c>
      <c r="Z216" s="282">
        <v>1.3462451866938477E-3</v>
      </c>
      <c r="AA216" s="284">
        <v>1.3513579431787548E-3</v>
      </c>
    </row>
    <row r="217" spans="23:27" x14ac:dyDescent="0.2">
      <c r="W217" s="203" t="str">
        <f t="shared" si="13"/>
        <v>1D</v>
      </c>
      <c r="X217" s="287">
        <f>_xll.qlCalendarAdvance(Calendar,X216,W217,"f",FALSE)</f>
        <v>42095</v>
      </c>
      <c r="Y217" s="281">
        <f>_xll.qlCalendarAdvance(Calendar,X217,NDays&amp;"D")</f>
        <v>42101</v>
      </c>
      <c r="Z217" s="282">
        <v>1.3455783798933031E-3</v>
      </c>
      <c r="AA217" s="284">
        <v>1.3512864781528577E-3</v>
      </c>
    </row>
    <row r="218" spans="23:27" x14ac:dyDescent="0.2">
      <c r="W218" s="203" t="str">
        <f t="shared" si="13"/>
        <v>1D</v>
      </c>
      <c r="X218" s="287">
        <f>_xll.qlCalendarAdvance(Calendar,X217,W218,"f",FALSE)</f>
        <v>42096</v>
      </c>
      <c r="Y218" s="281">
        <f>_xll.qlCalendarAdvance(Calendar,X218,NDays&amp;"D")</f>
        <v>42102</v>
      </c>
      <c r="Z218" s="282">
        <v>1.3454491224674414E-3</v>
      </c>
      <c r="AA218" s="284">
        <v>1.3512568105245037E-3</v>
      </c>
    </row>
    <row r="219" spans="23:27" x14ac:dyDescent="0.2">
      <c r="W219" s="203" t="str">
        <f t="shared" si="13"/>
        <v>1D</v>
      </c>
      <c r="X219" s="287">
        <f>_xll.qlCalendarAdvance(Calendar,X218,W219,"f",FALSE)</f>
        <v>42101</v>
      </c>
      <c r="Y219" s="281">
        <f>_xll.qlCalendarAdvance(Calendar,X219,NDays&amp;"D")</f>
        <v>42103</v>
      </c>
      <c r="Z219" s="282">
        <v>1.3453217170221268E-3</v>
      </c>
      <c r="AA219" s="284">
        <v>1.3512231882195636E-3</v>
      </c>
    </row>
    <row r="220" spans="23:27" x14ac:dyDescent="0.2">
      <c r="W220" s="203" t="str">
        <f t="shared" si="13"/>
        <v>1D</v>
      </c>
      <c r="X220" s="287">
        <f>_xll.qlCalendarAdvance(Calendar,X219,W220,"f",FALSE)</f>
        <v>42102</v>
      </c>
      <c r="Y220" s="281">
        <f>_xll.qlCalendarAdvance(Calendar,X220,NDays&amp;"D")</f>
        <v>42104</v>
      </c>
      <c r="Z220" s="282">
        <v>1.3451963709887938E-3</v>
      </c>
      <c r="AA220" s="284">
        <v>1.3511478320982206E-3</v>
      </c>
    </row>
    <row r="221" spans="23:27" x14ac:dyDescent="0.2">
      <c r="W221" s="203" t="str">
        <f t="shared" si="13"/>
        <v>1D</v>
      </c>
      <c r="X221" s="287">
        <f>_xll.qlCalendarAdvance(Calendar,X220,W221,"f",FALSE)</f>
        <v>42103</v>
      </c>
      <c r="Y221" s="281">
        <f>_xll.qlCalendarAdvance(Calendar,X221,NDays&amp;"D")</f>
        <v>42107</v>
      </c>
      <c r="Z221" s="282">
        <v>1.3448347636539489E-3</v>
      </c>
      <c r="AA221" s="284">
        <v>1.3510491513546441E-3</v>
      </c>
    </row>
    <row r="222" spans="23:27" x14ac:dyDescent="0.2">
      <c r="W222" s="203" t="str">
        <f t="shared" si="13"/>
        <v>1D</v>
      </c>
      <c r="X222" s="287">
        <f>_xll.qlCalendarAdvance(Calendar,X221,W222,"f",FALSE)</f>
        <v>42104</v>
      </c>
      <c r="Y222" s="281">
        <f>_xll.qlCalendarAdvance(Calendar,X222,NDays&amp;"D")</f>
        <v>42108</v>
      </c>
      <c r="Z222" s="282">
        <v>1.3447197295635637E-3</v>
      </c>
      <c r="AA222" s="284">
        <v>1.3509957553470286E-3</v>
      </c>
    </row>
    <row r="223" spans="23:27" x14ac:dyDescent="0.2">
      <c r="W223" s="203" t="str">
        <f t="shared" si="13"/>
        <v>1D</v>
      </c>
      <c r="X223" s="287">
        <f>_xll.qlCalendarAdvance(Calendar,X222,W223,"f",FALSE)</f>
        <v>42107</v>
      </c>
      <c r="Y223" s="281">
        <f>_xll.qlCalendarAdvance(Calendar,X223,NDays&amp;"D")</f>
        <v>42109</v>
      </c>
      <c r="Z223" s="282">
        <v>1.3446077920335495E-3</v>
      </c>
      <c r="AA223" s="284">
        <v>1.3509384045828909E-3</v>
      </c>
    </row>
    <row r="224" spans="23:27" x14ac:dyDescent="0.2">
      <c r="W224" s="203" t="str">
        <f t="shared" si="13"/>
        <v>1D</v>
      </c>
      <c r="X224" s="287">
        <f>_xll.qlCalendarAdvance(Calendar,X223,W224,"f",FALSE)</f>
        <v>42108</v>
      </c>
      <c r="Y224" s="281">
        <f>_xll.qlCalendarAdvance(Calendar,X224,NDays&amp;"D")</f>
        <v>42110</v>
      </c>
      <c r="Z224" s="282">
        <v>1.344499158494462E-3</v>
      </c>
      <c r="AA224" s="284">
        <v>1.350877099062231E-3</v>
      </c>
    </row>
    <row r="225" spans="23:27" x14ac:dyDescent="0.2">
      <c r="W225" s="203" t="str">
        <f t="shared" si="13"/>
        <v>1D</v>
      </c>
      <c r="X225" s="287">
        <f>_xll.qlCalendarAdvance(Calendar,X224,W225,"f",FALSE)</f>
        <v>42109</v>
      </c>
      <c r="Y225" s="281">
        <f>_xll.qlCalendarAdvance(Calendar,X225,NDays&amp;"D")</f>
        <v>42111</v>
      </c>
      <c r="Z225" s="282">
        <v>1.3443940363759795E-3</v>
      </c>
      <c r="AA225" s="284">
        <v>1.3507463736583958E-3</v>
      </c>
    </row>
    <row r="226" spans="23:27" x14ac:dyDescent="0.2">
      <c r="W226" s="203" t="str">
        <f t="shared" si="13"/>
        <v>1D</v>
      </c>
      <c r="X226" s="287">
        <f>_xll.qlCalendarAdvance(Calendar,X225,W226,"f",FALSE)</f>
        <v>42110</v>
      </c>
      <c r="Y226" s="281">
        <f>_xll.qlCalendarAdvance(Calendar,X226,NDays&amp;"D")</f>
        <v>42114</v>
      </c>
      <c r="Z226" s="282">
        <v>1.344089314658985E-3</v>
      </c>
      <c r="AA226" s="284">
        <v>1.3505923296541766E-3</v>
      </c>
    </row>
    <row r="227" spans="23:27" x14ac:dyDescent="0.2">
      <c r="W227" s="203" t="str">
        <f t="shared" si="13"/>
        <v>1D</v>
      </c>
      <c r="X227" s="287">
        <f>_xll.qlCalendarAdvance(Calendar,X226,W227,"f",FALSE)</f>
        <v>42111</v>
      </c>
      <c r="Y227" s="281">
        <f>_xll.qlCalendarAdvance(Calendar,X227,NDays&amp;"D")</f>
        <v>42115</v>
      </c>
      <c r="Z227" s="282">
        <v>1.3440128106963838E-3</v>
      </c>
      <c r="AA227" s="284">
        <v>1.3505112504308414E-3</v>
      </c>
    </row>
    <row r="228" spans="23:27" x14ac:dyDescent="0.2">
      <c r="W228" s="203" t="str">
        <f t="shared" si="13"/>
        <v>1D</v>
      </c>
      <c r="X228" s="287">
        <f>_xll.qlCalendarAdvance(Calendar,X227,W228,"f",FALSE)</f>
        <v>42114</v>
      </c>
      <c r="Y228" s="281">
        <f>_xll.qlCalendarAdvance(Calendar,X228,NDays&amp;"D")</f>
        <v>42116</v>
      </c>
      <c r="Z228" s="282">
        <v>1.3439283571243361E-3</v>
      </c>
      <c r="AA228" s="284">
        <v>1.35042621653092E-3</v>
      </c>
    </row>
    <row r="229" spans="23:27" x14ac:dyDescent="0.2">
      <c r="W229" s="203" t="str">
        <f t="shared" si="13"/>
        <v>1D</v>
      </c>
      <c r="X229" s="287">
        <f>_xll.qlCalendarAdvance(Calendar,X228,W229,"f",FALSE)</f>
        <v>42115</v>
      </c>
      <c r="Y229" s="281">
        <f>_xll.qlCalendarAdvance(Calendar,X229,NDays&amp;"D")</f>
        <v>42117</v>
      </c>
      <c r="Z229" s="282">
        <v>1.34384865955096E-3</v>
      </c>
      <c r="AA229" s="284">
        <v>1.3503372278744763E-3</v>
      </c>
    </row>
    <row r="230" spans="23:27" x14ac:dyDescent="0.2">
      <c r="W230" s="203" t="str">
        <f t="shared" si="13"/>
        <v>1D</v>
      </c>
      <c r="X230" s="287">
        <f>_xll.qlCalendarAdvance(Calendar,X229,W230,"f",FALSE)</f>
        <v>42116</v>
      </c>
      <c r="Y230" s="281">
        <f>_xll.qlCalendarAdvance(Calendar,X230,NDays&amp;"D")</f>
        <v>42118</v>
      </c>
      <c r="Z230" s="282">
        <v>1.3437739254059337E-3</v>
      </c>
      <c r="AA230" s="284">
        <v>1.3501511316960091E-3</v>
      </c>
    </row>
    <row r="231" spans="23:27" x14ac:dyDescent="0.2">
      <c r="W231" s="203" t="str">
        <f t="shared" si="13"/>
        <v>1D</v>
      </c>
      <c r="X231" s="287">
        <f>_xll.qlCalendarAdvance(Calendar,X230,W231,"f",FALSE)</f>
        <v>42117</v>
      </c>
      <c r="Y231" s="281">
        <f>_xll.qlCalendarAdvance(Calendar,X231,NDays&amp;"D")</f>
        <v>42121</v>
      </c>
      <c r="Z231" s="282">
        <v>1.3435815778386094E-3</v>
      </c>
      <c r="AA231" s="284">
        <v>1.349941725843351E-3</v>
      </c>
    </row>
    <row r="232" spans="23:27" x14ac:dyDescent="0.2">
      <c r="W232" s="203" t="str">
        <f t="shared" si="13"/>
        <v>1D</v>
      </c>
      <c r="X232" s="287">
        <f>_xll.qlCalendarAdvance(Calendar,X231,W232,"f",FALSE)</f>
        <v>42118</v>
      </c>
      <c r="Y232" s="281">
        <f>_xll.qlCalendarAdvance(Calendar,X232,NDays&amp;"D")</f>
        <v>42122</v>
      </c>
      <c r="Z232" s="282">
        <v>1.3435287717046384E-3</v>
      </c>
      <c r="AA232" s="284">
        <v>1.3497791353822564E-3</v>
      </c>
    </row>
    <row r="233" spans="23:27" x14ac:dyDescent="0.2">
      <c r="W233" s="203" t="str">
        <f t="shared" si="13"/>
        <v>1D</v>
      </c>
      <c r="X233" s="287">
        <f>_xll.qlCalendarAdvance(Calendar,X232,W233,"f",FALSE)</f>
        <v>42121</v>
      </c>
      <c r="Y233" s="281">
        <f>_xll.qlCalendarAdvance(Calendar,X233,NDays&amp;"D")</f>
        <v>42124</v>
      </c>
      <c r="Z233" s="282">
        <v>1.3434795200858876E-3</v>
      </c>
      <c r="AA233" s="284">
        <v>1.3496035745763635E-3</v>
      </c>
    </row>
    <row r="234" spans="23:27" x14ac:dyDescent="0.2">
      <c r="W234" s="203" t="str">
        <f t="shared" si="13"/>
        <v>1D</v>
      </c>
      <c r="X234" s="287">
        <f>_xll.qlCalendarAdvance(Calendar,X233,W234,"f",FALSE)</f>
        <v>42122</v>
      </c>
      <c r="Y234" s="281">
        <f>_xll.qlCalendarAdvance(Calendar,X234,NDays&amp;"D")</f>
        <v>42125</v>
      </c>
      <c r="Z234" s="282">
        <v>1.3434795200858876E-3</v>
      </c>
      <c r="AA234" s="284">
        <v>1.349170952931189E-3</v>
      </c>
    </row>
    <row r="235" spans="23:27" x14ac:dyDescent="0.2">
      <c r="W235" s="203" t="str">
        <f t="shared" si="13"/>
        <v>1D</v>
      </c>
      <c r="X235" s="287">
        <f>_xll.qlCalendarAdvance(Calendar,X234,W235,"f",FALSE)</f>
        <v>42124</v>
      </c>
      <c r="Y235" s="281">
        <f>_xll.qlCalendarAdvance(Calendar,X235,NDays&amp;"D")</f>
        <v>42131</v>
      </c>
      <c r="Z235" s="282">
        <v>1.3434276761341473E-3</v>
      </c>
      <c r="AA235" s="284">
        <v>1.3486761393277646E-3</v>
      </c>
    </row>
    <row r="236" spans="23:27" x14ac:dyDescent="0.2">
      <c r="W236" s="203" t="str">
        <f t="shared" si="13"/>
        <v>1D</v>
      </c>
      <c r="X236" s="287">
        <f>_xll.qlCalendarAdvance(Calendar,X235,W236,"f",FALSE)</f>
        <v>42125</v>
      </c>
      <c r="Y236" s="281">
        <f>_xll.qlCalendarAdvance(Calendar,X236,NDays&amp;"D")</f>
        <v>42132</v>
      </c>
      <c r="Z236" s="282">
        <v>1.3434276761341473E-3</v>
      </c>
      <c r="AA236" s="284">
        <v>1.3483792972035502E-3</v>
      </c>
    </row>
    <row r="237" spans="23:27" x14ac:dyDescent="0.2">
      <c r="W237" s="203" t="str">
        <f t="shared" si="13"/>
        <v>1D</v>
      </c>
      <c r="X237" s="287">
        <f>_xll.qlCalendarAdvance(Calendar,X236,W237,"f",FALSE)</f>
        <v>42131</v>
      </c>
      <c r="Y237" s="281">
        <f>_xll.qlCalendarAdvance(Calendar,X237,NDays&amp;"D")</f>
        <v>42135</v>
      </c>
      <c r="Z237" s="282">
        <v>1.3435683081184659E-3</v>
      </c>
      <c r="AA237" s="284">
        <v>1.3480591720504975E-3</v>
      </c>
    </row>
    <row r="238" spans="23:27" x14ac:dyDescent="0.2">
      <c r="W238" s="203" t="str">
        <f t="shared" si="13"/>
        <v>1D</v>
      </c>
      <c r="X238" s="287">
        <f>_xll.qlCalendarAdvance(Calendar,X237,W238,"f",FALSE)</f>
        <v>42132</v>
      </c>
      <c r="Y238" s="281">
        <f>_xll.qlCalendarAdvance(Calendar,X238,NDays&amp;"D")</f>
        <v>42136</v>
      </c>
      <c r="Z238" s="282">
        <v>1.3436248652748154E-3</v>
      </c>
      <c r="AA238" s="284">
        <v>1.3478950434198111E-3</v>
      </c>
    </row>
    <row r="239" spans="23:27" x14ac:dyDescent="0.2">
      <c r="W239" s="203" t="str">
        <f t="shared" si="13"/>
        <v>1D</v>
      </c>
      <c r="X239" s="287">
        <f>_xll.qlCalendarAdvance(Calendar,X238,W239,"f",FALSE)</f>
        <v>42135</v>
      </c>
      <c r="Y239" s="281">
        <f>_xll.qlCalendarAdvance(Calendar,X239,NDays&amp;"D")</f>
        <v>42137</v>
      </c>
      <c r="Z239" s="282">
        <v>1.3436903924480682E-3</v>
      </c>
      <c r="AA239" s="284">
        <v>1.3477269600326025E-3</v>
      </c>
    </row>
    <row r="240" spans="23:27" x14ac:dyDescent="0.2">
      <c r="W240" s="203" t="str">
        <f t="shared" si="13"/>
        <v>1D</v>
      </c>
      <c r="X240" s="287">
        <f>_xll.qlCalendarAdvance(Calendar,X239,W240,"f",FALSE)</f>
        <v>42136</v>
      </c>
      <c r="Y240" s="281">
        <f>_xll.qlCalendarAdvance(Calendar,X240,NDays&amp;"D")</f>
        <v>42138</v>
      </c>
      <c r="Z240" s="282">
        <v>1.3437650948149693E-3</v>
      </c>
      <c r="AA240" s="284">
        <v>1.3475549219688077E-3</v>
      </c>
    </row>
    <row r="241" spans="23:27" x14ac:dyDescent="0.2">
      <c r="W241" s="203" t="str">
        <f t="shared" si="13"/>
        <v>1D</v>
      </c>
      <c r="X241" s="287">
        <f>_xll.qlCalendarAdvance(Calendar,X240,W241,"f",FALSE)</f>
        <v>42137</v>
      </c>
      <c r="Y241" s="281">
        <f>_xll.qlCalendarAdvance(Calendar,X241,NDays&amp;"D")</f>
        <v>42139</v>
      </c>
      <c r="Z241" s="282">
        <v>1.344125197124254E-3</v>
      </c>
      <c r="AA241" s="284">
        <v>1.3472027047267687E-3</v>
      </c>
    </row>
    <row r="242" spans="23:27" x14ac:dyDescent="0.2">
      <c r="W242" s="203" t="str">
        <f t="shared" si="13"/>
        <v>1D</v>
      </c>
      <c r="X242" s="287">
        <f>_xll.qlCalendarAdvance(Calendar,X241,W242,"f",FALSE)</f>
        <v>42138</v>
      </c>
      <c r="Y242" s="281">
        <f>_xll.qlCalendarAdvance(Calendar,X242,NDays&amp;"D")</f>
        <v>42142</v>
      </c>
      <c r="Z242" s="282">
        <v>1.344159759752222E-3</v>
      </c>
      <c r="AA242" s="284">
        <v>1.3468272220684696E-3</v>
      </c>
    </row>
    <row r="243" spans="23:27" x14ac:dyDescent="0.2">
      <c r="W243" s="203" t="str">
        <f t="shared" si="13"/>
        <v>1D</v>
      </c>
      <c r="X243" s="287">
        <f>_xll.qlCalendarAdvance(Calendar,X242,W243,"f",FALSE)</f>
        <v>42139</v>
      </c>
      <c r="Y243" s="281">
        <f>_xll.qlCalendarAdvance(Calendar,X243,NDays&amp;"D")</f>
        <v>42143</v>
      </c>
      <c r="Z243" s="282">
        <v>1.3442834157385421E-3</v>
      </c>
      <c r="AA243" s="284">
        <v>1.3466354103019995E-3</v>
      </c>
    </row>
    <row r="244" spans="23:27" x14ac:dyDescent="0.2">
      <c r="W244" s="203" t="str">
        <f t="shared" si="13"/>
        <v>1D</v>
      </c>
      <c r="X244" s="287">
        <f>_xll.qlCalendarAdvance(Calendar,X243,W244,"f",FALSE)</f>
        <v>42142</v>
      </c>
      <c r="Y244" s="281">
        <f>_xll.qlCalendarAdvance(Calendar,X244,NDays&amp;"D")</f>
        <v>42144</v>
      </c>
      <c r="Z244" s="282">
        <v>1.3444174779798502E-3</v>
      </c>
      <c r="AA244" s="284">
        <v>1.3464396436990711E-3</v>
      </c>
    </row>
    <row r="245" spans="23:27" x14ac:dyDescent="0.2">
      <c r="W245" s="203" t="str">
        <f t="shared" si="13"/>
        <v>1D</v>
      </c>
      <c r="X245" s="287">
        <f>_xll.qlCalendarAdvance(Calendar,X244,W245,"f",FALSE)</f>
        <v>42143</v>
      </c>
      <c r="Y245" s="281">
        <f>_xll.qlCalendarAdvance(Calendar,X245,NDays&amp;"D")</f>
        <v>42145</v>
      </c>
      <c r="Z245" s="282">
        <v>1.3445621516528917E-3</v>
      </c>
      <c r="AA245" s="284">
        <v>1.3462399224994925E-3</v>
      </c>
    </row>
    <row r="246" spans="23:27" x14ac:dyDescent="0.2">
      <c r="W246" s="203" t="str">
        <f t="shared" si="13"/>
        <v>1D</v>
      </c>
      <c r="X246" s="287">
        <f>_xll.qlCalendarAdvance(Calendar,X245,W246,"f",FALSE)</f>
        <v>42144</v>
      </c>
      <c r="Y246" s="281">
        <f>_xll.qlCalendarAdvance(Calendar,X246,NDays&amp;"D")</f>
        <v>42146</v>
      </c>
      <c r="Z246" s="282">
        <v>1.3450903122533451E-3</v>
      </c>
      <c r="AA246" s="284">
        <v>1.3457283913420603E-3</v>
      </c>
    </row>
    <row r="247" spans="23:27" x14ac:dyDescent="0.2">
      <c r="W247" s="203" t="str">
        <f t="shared" si="13"/>
        <v>1D</v>
      </c>
      <c r="X247" s="287">
        <f>_xll.qlCalendarAdvance(Calendar,X246,W247,"f",FALSE)</f>
        <v>42145</v>
      </c>
      <c r="Y247" s="281">
        <f>_xll.qlCalendarAdvance(Calendar,X247,NDays&amp;"D")</f>
        <v>42150</v>
      </c>
      <c r="Z247" s="282">
        <v>1.345451872709721E-3</v>
      </c>
      <c r="AA247" s="284">
        <v>1.3451819950738297E-3</v>
      </c>
    </row>
    <row r="248" spans="23:27" x14ac:dyDescent="0.2">
      <c r="W248" s="203" t="str">
        <f t="shared" si="13"/>
        <v>1D</v>
      </c>
      <c r="X248" s="287">
        <f>_xll.qlCalendarAdvance(Calendar,X247,W248,"f",FALSE)</f>
        <v>42146</v>
      </c>
      <c r="Y248" s="281">
        <f>_xll.qlCalendarAdvance(Calendar,X248,NDays&amp;"D")</f>
        <v>42151</v>
      </c>
      <c r="Z248" s="282">
        <v>1.3456645237039258E-3</v>
      </c>
      <c r="AA248" s="284">
        <v>1.3449585454150537E-3</v>
      </c>
    </row>
    <row r="249" spans="23:27" x14ac:dyDescent="0.2">
      <c r="W249" s="203" t="str">
        <f t="shared" si="13"/>
        <v>1D</v>
      </c>
      <c r="X249" s="287">
        <f>_xll.qlCalendarAdvance(Calendar,X248,W249,"f",FALSE)</f>
        <v>42150</v>
      </c>
      <c r="Y249" s="281">
        <f>_xll.qlCalendarAdvance(Calendar,X249,NDays&amp;"D")</f>
        <v>42152</v>
      </c>
      <c r="Z249" s="282">
        <v>1.3458892223740309E-3</v>
      </c>
      <c r="AA249" s="284">
        <v>1.3447311409997553E-3</v>
      </c>
    </row>
    <row r="250" spans="23:27" x14ac:dyDescent="0.2">
      <c r="W250" s="203" t="str">
        <f t="shared" si="13"/>
        <v>1D</v>
      </c>
      <c r="X250" s="287">
        <f>_xll.qlCalendarAdvance(Calendar,X249,W250,"f",FALSE)</f>
        <v>42151</v>
      </c>
      <c r="Y250" s="281">
        <f>_xll.qlCalendarAdvance(Calendar,X250,NDays&amp;"D")</f>
        <v>42153</v>
      </c>
      <c r="Z250" s="282">
        <v>1.3458969211271328E-3</v>
      </c>
      <c r="AA250" s="284">
        <v>1.344268169258811E-3</v>
      </c>
    </row>
    <row r="251" spans="23:27" x14ac:dyDescent="0.2">
      <c r="W251" s="203" t="str">
        <f t="shared" si="13"/>
        <v>1D</v>
      </c>
      <c r="X251" s="287">
        <f>_xll.qlCalendarAdvance(Calendar,X250,W251,"f",FALSE)</f>
        <v>42152</v>
      </c>
      <c r="Y251" s="281">
        <f>_xll.qlCalendarAdvance(Calendar,X251,NDays&amp;"D")</f>
        <v>42156</v>
      </c>
      <c r="Z251" s="282">
        <v>1.3469125973857203E-3</v>
      </c>
      <c r="AA251" s="284">
        <v>1.3437819759332115E-3</v>
      </c>
    </row>
    <row r="252" spans="23:27" x14ac:dyDescent="0.2">
      <c r="W252" s="203" t="str">
        <f t="shared" si="13"/>
        <v>1D</v>
      </c>
      <c r="X252" s="287">
        <f>_xll.qlCalendarAdvance(Calendar,X251,W252,"f",FALSE)</f>
        <v>42153</v>
      </c>
      <c r="Y252" s="281">
        <f>_xll.qlCalendarAdvance(Calendar,X252,NDays&amp;"D")</f>
        <v>42157</v>
      </c>
      <c r="Z252" s="282">
        <v>1.3472006121160464E-3</v>
      </c>
      <c r="AA252" s="284">
        <v>1.3435347978951739E-3</v>
      </c>
    </row>
    <row r="253" spans="23:27" x14ac:dyDescent="0.2">
      <c r="W253" s="203" t="str">
        <f t="shared" si="13"/>
        <v>1D</v>
      </c>
      <c r="X253" s="287">
        <f>_xll.qlCalendarAdvance(Calendar,X252,W253,"f",FALSE)</f>
        <v>42156</v>
      </c>
      <c r="Y253" s="281">
        <f>_xll.qlCalendarAdvance(Calendar,X253,NDays&amp;"D")</f>
        <v>42158</v>
      </c>
      <c r="Z253" s="282">
        <v>1.3475019055931704E-3</v>
      </c>
      <c r="AA253" s="284">
        <v>1.3432836650206781E-3</v>
      </c>
    </row>
    <row r="254" spans="23:27" x14ac:dyDescent="0.2">
      <c r="W254" s="203" t="str">
        <f t="shared" si="13"/>
        <v>1D</v>
      </c>
      <c r="X254" s="287">
        <f>_xll.qlCalendarAdvance(Calendar,X253,W254,"f",FALSE)</f>
        <v>42157</v>
      </c>
      <c r="Y254" s="281">
        <f>_xll.qlCalendarAdvance(Calendar,X254,NDays&amp;"D")</f>
        <v>42159</v>
      </c>
      <c r="Z254" s="282">
        <v>1.3478166829999194E-3</v>
      </c>
      <c r="AA254" s="284">
        <v>1.343028577469596E-3</v>
      </c>
    </row>
    <row r="255" spans="23:27" x14ac:dyDescent="0.2">
      <c r="W255" s="203" t="str">
        <f t="shared" si="13"/>
        <v>1D</v>
      </c>
      <c r="X255" s="287">
        <f>_xll.qlCalendarAdvance(Calendar,X254,W255,"f",FALSE)</f>
        <v>42158</v>
      </c>
      <c r="Y255" s="281">
        <f>_xll.qlCalendarAdvance(Calendar,X255,NDays&amp;"D")</f>
        <v>42160</v>
      </c>
      <c r="Z255" s="282">
        <v>1.3487218298208557E-3</v>
      </c>
      <c r="AA255" s="284">
        <v>1.3425102262942801E-3</v>
      </c>
    </row>
    <row r="256" spans="23:27" x14ac:dyDescent="0.2">
      <c r="W256" s="203" t="str">
        <f t="shared" si="13"/>
        <v>1D</v>
      </c>
      <c r="X256" s="287">
        <f>_xll.qlCalendarAdvance(Calendar,X255,W256,"f",FALSE)</f>
        <v>42159</v>
      </c>
      <c r="Y256" s="281">
        <f>_xll.qlCalendarAdvance(Calendar,X256,NDays&amp;"D")</f>
        <v>42163</v>
      </c>
      <c r="Z256" s="282">
        <v>1.349214735501512E-3</v>
      </c>
      <c r="AA256" s="284">
        <v>1.3419686798599173E-3</v>
      </c>
    </row>
    <row r="257" spans="23:27" x14ac:dyDescent="0.2">
      <c r="W257" s="203" t="str">
        <f t="shared" si="13"/>
        <v>1D</v>
      </c>
      <c r="X257" s="287">
        <f>_xll.qlCalendarAdvance(Calendar,X256,W257,"f",FALSE)</f>
        <v>42160</v>
      </c>
      <c r="Y257" s="281">
        <f>_xll.qlCalendarAdvance(Calendar,X257,NDays&amp;"D")</f>
        <v>42164</v>
      </c>
      <c r="Z257" s="282">
        <v>1.3496000102466627E-3</v>
      </c>
      <c r="AA257" s="284">
        <v>1.3416938185262239E-3</v>
      </c>
    </row>
    <row r="258" spans="23:27" x14ac:dyDescent="0.2">
      <c r="W258" s="203" t="str">
        <f t="shared" si="13"/>
        <v>1D</v>
      </c>
      <c r="X258" s="287">
        <f>_xll.qlCalendarAdvance(Calendar,X257,W258,"f",FALSE)</f>
        <v>42163</v>
      </c>
      <c r="Y258" s="281">
        <f>_xll.qlCalendarAdvance(Calendar,X258,NDays&amp;"D")</f>
        <v>42165</v>
      </c>
      <c r="Z258" s="282">
        <v>1.3500000000010244E-3</v>
      </c>
      <c r="AA258" s="284">
        <v>1.3414181475202014E-3</v>
      </c>
    </row>
    <row r="259" spans="23:27" x14ac:dyDescent="0.2">
      <c r="W259" s="203" t="str">
        <f t="shared" si="13"/>
        <v>1D</v>
      </c>
      <c r="X259" s="287">
        <f>_xll.qlCalendarAdvance(Calendar,X258,W259,"f",FALSE)</f>
        <v>42164</v>
      </c>
      <c r="Y259" s="281">
        <f>_xll.qlCalendarAdvance(Calendar,X259,NDays&amp;"D")</f>
        <v>42166</v>
      </c>
      <c r="Z259" s="282">
        <v>1.350414810618184E-3</v>
      </c>
      <c r="AA259" s="284">
        <v>1.3411542466190696E-3</v>
      </c>
    </row>
    <row r="260" spans="23:27" x14ac:dyDescent="0.2">
      <c r="W260" s="203" t="str">
        <f t="shared" si="13"/>
        <v>1D</v>
      </c>
      <c r="X260" s="287">
        <f>_xll.qlCalendarAdvance(Calendar,X259,W260,"f",FALSE)</f>
        <v>42165</v>
      </c>
      <c r="Y260" s="281">
        <f>_xll.qlCalendarAdvance(Calendar,X260,NDays&amp;"D")</f>
        <v>42167</v>
      </c>
      <c r="Z260" s="282">
        <v>1.3515216438355294E-3</v>
      </c>
      <c r="AA260" s="284">
        <v>1.3406811544136588E-3</v>
      </c>
    </row>
    <row r="261" spans="23:27" x14ac:dyDescent="0.2">
      <c r="W261" s="203" t="str">
        <f t="shared" si="13"/>
        <v>1D</v>
      </c>
      <c r="X261" s="287">
        <f>_xll.qlCalendarAdvance(Calendar,X260,W261,"f",FALSE)</f>
        <v>42166</v>
      </c>
      <c r="Y261" s="281">
        <f>_xll.qlCalendarAdvance(Calendar,X261,NDays&amp;"D")</f>
        <v>42170</v>
      </c>
      <c r="Z261" s="282">
        <v>1.3522154393955704E-3</v>
      </c>
      <c r="AA261" s="284">
        <v>1.3402477934665313E-3</v>
      </c>
    </row>
    <row r="262" spans="23:27" x14ac:dyDescent="0.2">
      <c r="W262" s="203" t="str">
        <f t="shared" si="13"/>
        <v>1D</v>
      </c>
      <c r="X262" s="287">
        <f>_xll.qlCalendarAdvance(Calendar,X261,W262,"f",FALSE)</f>
        <v>42167</v>
      </c>
      <c r="Y262" s="281">
        <f>_xll.qlCalendarAdvance(Calendar,X262,NDays&amp;"D")</f>
        <v>42171</v>
      </c>
      <c r="Z262" s="282">
        <v>1.3526989892678875E-3</v>
      </c>
      <c r="AA262" s="284">
        <v>1.340058467791394E-3</v>
      </c>
    </row>
    <row r="263" spans="23:27" x14ac:dyDescent="0.2">
      <c r="W263" s="203" t="str">
        <f t="shared" si="13"/>
        <v>1D</v>
      </c>
      <c r="X263" s="287">
        <f>_xll.qlCalendarAdvance(Calendar,X262,W263,"f",FALSE)</f>
        <v>42170</v>
      </c>
      <c r="Y263" s="281">
        <f>_xll.qlCalendarAdvance(Calendar,X263,NDays&amp;"D")</f>
        <v>42172</v>
      </c>
      <c r="Z263" s="282">
        <v>1.3531951146521408E-3</v>
      </c>
      <c r="AA263" s="284">
        <v>1.3398840572254045E-3</v>
      </c>
    </row>
    <row r="264" spans="23:27" x14ac:dyDescent="0.2">
      <c r="W264" s="203" t="str">
        <f t="shared" si="13"/>
        <v>1D</v>
      </c>
      <c r="X264" s="287">
        <f>_xll.qlCalendarAdvance(Calendar,X263,W264,"f",FALSE)</f>
        <v>42171</v>
      </c>
      <c r="Y264" s="281">
        <f>_xll.qlCalendarAdvance(Calendar,X264,NDays&amp;"D")</f>
        <v>42173</v>
      </c>
      <c r="Z264" s="282">
        <v>1.3537034247687477E-3</v>
      </c>
      <c r="AA264" s="284">
        <v>1.3397245617685627E-3</v>
      </c>
    </row>
    <row r="265" spans="23:27" x14ac:dyDescent="0.2">
      <c r="W265" s="203" t="str">
        <f t="shared" si="13"/>
        <v>1D</v>
      </c>
      <c r="X265" s="287">
        <f>_xll.qlCalendarAdvance(Calendar,X264,W265,"f",FALSE)</f>
        <v>42172</v>
      </c>
      <c r="Y265" s="281">
        <f>_xll.qlCalendarAdvance(Calendar,X265,NDays&amp;"D")</f>
        <v>42174</v>
      </c>
      <c r="Z265" s="282">
        <v>1.3561026232281833E-3</v>
      </c>
      <c r="AA265" s="284">
        <v>1.3394602712857306E-3</v>
      </c>
    </row>
    <row r="266" spans="23:27" x14ac:dyDescent="0.2">
      <c r="W266" s="203" t="str">
        <f t="shared" si="13"/>
        <v>1D</v>
      </c>
      <c r="X266" s="287">
        <f>_xll.qlCalendarAdvance(Calendar,X265,W266,"f",FALSE)</f>
        <v>42173</v>
      </c>
      <c r="Y266" s="281">
        <f>_xll.qlCalendarAdvance(Calendar,X266,NDays&amp;"D")</f>
        <v>42177</v>
      </c>
      <c r="Z266" s="282">
        <v>1.3566186193138055E-3</v>
      </c>
      <c r="AA266" s="284">
        <v>1.3392357302333124E-3</v>
      </c>
    </row>
    <row r="267" spans="23:27" x14ac:dyDescent="0.2">
      <c r="W267" s="203" t="str">
        <f t="shared" si="13"/>
        <v>1D</v>
      </c>
      <c r="X267" s="287">
        <f>_xll.qlCalendarAdvance(Calendar,X266,W267,"f",FALSE)</f>
        <v>42174</v>
      </c>
      <c r="Y267" s="281">
        <f>_xll.qlCalendarAdvance(Calendar,X267,NDays&amp;"D")</f>
        <v>42178</v>
      </c>
      <c r="Z267" s="282">
        <v>1.3568004846670379E-3</v>
      </c>
      <c r="AA267" s="284">
        <v>1.3391508099225291E-3</v>
      </c>
    </row>
    <row r="268" spans="23:27" x14ac:dyDescent="0.2">
      <c r="W268" s="203" t="str">
        <f t="shared" si="13"/>
        <v>1D</v>
      </c>
      <c r="X268" s="287">
        <f>_xll.qlCalendarAdvance(Calendar,X267,W268,"f",FALSE)</f>
        <v>42177</v>
      </c>
      <c r="Y268" s="281">
        <f>_xll.qlCalendarAdvance(Calendar,X268,NDays&amp;"D")</f>
        <v>42179</v>
      </c>
      <c r="Z268" s="282">
        <v>1.3569872811503498E-3</v>
      </c>
      <c r="AA268" s="284">
        <v>1.3390808048008296E-3</v>
      </c>
    </row>
    <row r="269" spans="23:27" x14ac:dyDescent="0.2">
      <c r="W269" s="203" t="str">
        <f t="shared" si="13"/>
        <v>1D</v>
      </c>
      <c r="X269" s="287">
        <f>_xll.qlCalendarAdvance(Calendar,X268,W269,"f",FALSE)</f>
        <v>42178</v>
      </c>
      <c r="Y269" s="281">
        <f>_xll.qlCalendarAdvance(Calendar,X269,NDays&amp;"D")</f>
        <v>42180</v>
      </c>
      <c r="Z269" s="282">
        <v>1.3575699425442654E-3</v>
      </c>
      <c r="AA269" s="284">
        <v>1.3390257147083418E-3</v>
      </c>
    </row>
    <row r="270" spans="23:27" x14ac:dyDescent="0.2">
      <c r="W270" s="203" t="str">
        <f t="shared" si="13"/>
        <v>1D</v>
      </c>
      <c r="X270" s="287">
        <f>_xll.qlCalendarAdvance(Calendar,X269,W270,"f",FALSE)</f>
        <v>42179</v>
      </c>
      <c r="Y270" s="281">
        <f>_xll.qlCalendarAdvance(Calendar,X270,NDays&amp;"D")</f>
        <v>42181</v>
      </c>
      <c r="Z270" s="282">
        <v>1.3589466685378425E-3</v>
      </c>
      <c r="AA270" s="284">
        <v>1.338970231357095E-3</v>
      </c>
    </row>
    <row r="271" spans="23:27" x14ac:dyDescent="0.2">
      <c r="W271" s="203" t="str">
        <f t="shared" si="13"/>
        <v>1D</v>
      </c>
      <c r="X271" s="287">
        <f>_xll.qlCalendarAdvance(Calendar,X270,W271,"f",FALSE)</f>
        <v>42180</v>
      </c>
      <c r="Y271" s="281">
        <f>_xll.qlCalendarAdvance(Calendar,X271,NDays&amp;"D")</f>
        <v>42184</v>
      </c>
      <c r="Z271" s="282">
        <v>1.3599872651958796E-3</v>
      </c>
      <c r="AA271" s="284">
        <v>1.3389545047903795E-3</v>
      </c>
    </row>
    <row r="272" spans="23:27" x14ac:dyDescent="0.2">
      <c r="W272" s="203" t="str">
        <f t="shared" si="13"/>
        <v>1D</v>
      </c>
      <c r="X272" s="287">
        <f>_xll.qlCalendarAdvance(Calendar,X271,W272,"f",FALSE)</f>
        <v>42181</v>
      </c>
      <c r="Y272" s="281">
        <f>_xll.qlCalendarAdvance(Calendar,X272,NDays&amp;"D")</f>
        <v>42185</v>
      </c>
      <c r="Z272" s="282">
        <v>1.360611311222038E-3</v>
      </c>
      <c r="AA272" s="284">
        <v>1.3389739899238862E-3</v>
      </c>
    </row>
    <row r="273" spans="23:27" x14ac:dyDescent="0.2">
      <c r="W273" s="203" t="str">
        <f t="shared" si="13"/>
        <v>1D</v>
      </c>
      <c r="X273" s="287">
        <f>_xll.qlCalendarAdvance(Calendar,X272,W273,"f",FALSE)</f>
        <v>42184</v>
      </c>
      <c r="Y273" s="281">
        <f>_xll.qlCalendarAdvance(Calendar,X273,NDays&amp;"D")</f>
        <v>42186</v>
      </c>
      <c r="Z273" s="282">
        <v>1.3612424618285989E-3</v>
      </c>
      <c r="AA273" s="284">
        <v>1.3390083901665406E-3</v>
      </c>
    </row>
    <row r="274" spans="23:27" x14ac:dyDescent="0.2">
      <c r="W274" s="203" t="str">
        <f t="shared" si="13"/>
        <v>1D</v>
      </c>
      <c r="X274" s="287">
        <f>_xll.qlCalendarAdvance(Calendar,X273,W274,"f",FALSE)</f>
        <v>42185</v>
      </c>
      <c r="Y274" s="281">
        <f>_xll.qlCalendarAdvance(Calendar,X274,NDays&amp;"D")</f>
        <v>42187</v>
      </c>
      <c r="Z274" s="282">
        <v>1.3618803262351103E-3</v>
      </c>
      <c r="AA274" s="284">
        <v>1.3390577054384067E-3</v>
      </c>
    </row>
    <row r="275" spans="23:27" x14ac:dyDescent="0.2">
      <c r="W275" s="203" t="str">
        <f t="shared" si="13"/>
        <v>1D</v>
      </c>
      <c r="X275" s="287">
        <f>_xll.qlCalendarAdvance(Calendar,X274,W275,"f",FALSE)</f>
        <v>42186</v>
      </c>
      <c r="Y275" s="281">
        <f>_xll.qlCalendarAdvance(Calendar,X275,NDays&amp;"D")</f>
        <v>42188</v>
      </c>
      <c r="Z275" s="282">
        <v>1.3633154103742189E-3</v>
      </c>
      <c r="AA275" s="284">
        <v>1.339211034707688E-3</v>
      </c>
    </row>
    <row r="276" spans="23:27" x14ac:dyDescent="0.2">
      <c r="W276" s="203" t="str">
        <f t="shared" si="13"/>
        <v>1D</v>
      </c>
      <c r="X276" s="287">
        <f>_xll.qlCalendarAdvance(Calendar,X275,W276,"f",FALSE)</f>
        <v>42187</v>
      </c>
      <c r="Y276" s="281">
        <f>_xll.qlCalendarAdvance(Calendar,X276,NDays&amp;"D")</f>
        <v>42191</v>
      </c>
      <c r="Z276" s="282">
        <v>1.3644911062064534E-3</v>
      </c>
      <c r="AA276" s="284">
        <v>1.3394041171377324E-3</v>
      </c>
    </row>
    <row r="277" spans="23:27" x14ac:dyDescent="0.2">
      <c r="W277" s="203" t="str">
        <f t="shared" ref="W277:W340" si="14">W276</f>
        <v>1D</v>
      </c>
      <c r="X277" s="287">
        <f>_xll.qlCalendarAdvance(Calendar,X276,W277,"f",FALSE)</f>
        <v>42188</v>
      </c>
      <c r="Y277" s="281">
        <f>_xll.qlCalendarAdvance(Calendar,X277,NDays&amp;"D")</f>
        <v>42192</v>
      </c>
      <c r="Z277" s="282">
        <v>1.3651566778720607E-3</v>
      </c>
      <c r="AA277" s="284">
        <v>1.3395280077155292E-3</v>
      </c>
    </row>
    <row r="278" spans="23:27" x14ac:dyDescent="0.2">
      <c r="W278" s="203" t="str">
        <f t="shared" si="14"/>
        <v>1D</v>
      </c>
      <c r="X278" s="287">
        <f>_xll.qlCalendarAdvance(Calendar,X277,W278,"f",FALSE)</f>
        <v>42191</v>
      </c>
      <c r="Y278" s="281">
        <f>_xll.qlCalendarAdvance(Calendar,X278,NDays&amp;"D")</f>
        <v>42193</v>
      </c>
      <c r="Z278" s="282">
        <v>1.3658266186392703E-3</v>
      </c>
      <c r="AA278" s="284">
        <v>1.3396668133225376E-3</v>
      </c>
    </row>
    <row r="279" spans="23:27" x14ac:dyDescent="0.2">
      <c r="W279" s="203" t="str">
        <f t="shared" si="14"/>
        <v>1D</v>
      </c>
      <c r="X279" s="287">
        <f>_xll.qlCalendarAdvance(Calendar,X278,W279,"f",FALSE)</f>
        <v>42192</v>
      </c>
      <c r="Y279" s="281">
        <f>_xll.qlCalendarAdvance(Calendar,X279,NDays&amp;"D")</f>
        <v>42194</v>
      </c>
      <c r="Z279" s="282">
        <v>1.3665005377258928E-3</v>
      </c>
      <c r="AA279" s="284">
        <v>1.3398205340386937E-3</v>
      </c>
    </row>
    <row r="280" spans="23:27" x14ac:dyDescent="0.2">
      <c r="W280" s="203" t="str">
        <f t="shared" si="14"/>
        <v>1D</v>
      </c>
      <c r="X280" s="287">
        <f>_xll.qlCalendarAdvance(Calendar,X279,W280,"f",FALSE)</f>
        <v>42193</v>
      </c>
      <c r="Y280" s="281">
        <f>_xll.qlCalendarAdvance(Calendar,X280,NDays&amp;"D")</f>
        <v>42195</v>
      </c>
      <c r="Z280" s="282">
        <v>1.3683257641510238E-3</v>
      </c>
      <c r="AA280" s="284">
        <v>1.3401826813375095E-3</v>
      </c>
    </row>
    <row r="281" spans="23:27" x14ac:dyDescent="0.2">
      <c r="W281" s="203" t="str">
        <f t="shared" si="14"/>
        <v>1D</v>
      </c>
      <c r="X281" s="287">
        <f>_xll.qlCalendarAdvance(Calendar,X280,W281,"f",FALSE)</f>
        <v>42194</v>
      </c>
      <c r="Y281" s="281">
        <f>_xll.qlCalendarAdvance(Calendar,X281,NDays&amp;"D")</f>
        <v>42198</v>
      </c>
      <c r="Z281" s="282">
        <v>1.3692281815749414E-3</v>
      </c>
      <c r="AA281" s="284">
        <v>1.3405845672753713E-3</v>
      </c>
    </row>
    <row r="282" spans="23:27" x14ac:dyDescent="0.2">
      <c r="W282" s="203" t="str">
        <f t="shared" si="14"/>
        <v>1D</v>
      </c>
      <c r="X282" s="287">
        <f>_xll.qlCalendarAdvance(Calendar,X281,W282,"f",FALSE)</f>
        <v>42195</v>
      </c>
      <c r="Y282" s="281">
        <f>_xll.qlCalendarAdvance(Calendar,X282,NDays&amp;"D")</f>
        <v>42199</v>
      </c>
      <c r="Z282" s="282">
        <v>1.3699161304901672E-3</v>
      </c>
      <c r="AA282" s="284">
        <v>1.3408128632974581E-3</v>
      </c>
    </row>
    <row r="283" spans="23:27" x14ac:dyDescent="0.2">
      <c r="W283" s="203" t="str">
        <f t="shared" si="14"/>
        <v>1D</v>
      </c>
      <c r="X283" s="287">
        <f>_xll.qlCalendarAdvance(Calendar,X282,W283,"f",FALSE)</f>
        <v>42198</v>
      </c>
      <c r="Y283" s="281">
        <f>_xll.qlCalendarAdvance(Calendar,X283,NDays&amp;"D")</f>
        <v>42200</v>
      </c>
      <c r="Z283" s="282">
        <v>1.370605713016031E-3</v>
      </c>
      <c r="AA283" s="284">
        <v>1.3410560742688205E-3</v>
      </c>
    </row>
    <row r="284" spans="23:27" x14ac:dyDescent="0.2">
      <c r="W284" s="203" t="str">
        <f t="shared" si="14"/>
        <v>1D</v>
      </c>
      <c r="X284" s="287">
        <f>_xll.qlCalendarAdvance(Calendar,X283,W284,"f",FALSE)</f>
        <v>42199</v>
      </c>
      <c r="Y284" s="281">
        <f>_xll.qlCalendarAdvance(Calendar,X284,NDays&amp;"D")</f>
        <v>42201</v>
      </c>
      <c r="Z284" s="282">
        <v>1.3712965383686059E-3</v>
      </c>
      <c r="AA284" s="284">
        <v>1.3413142004292666E-3</v>
      </c>
    </row>
    <row r="285" spans="23:27" x14ac:dyDescent="0.2">
      <c r="W285" s="203" t="str">
        <f t="shared" si="14"/>
        <v>1D</v>
      </c>
      <c r="X285" s="287">
        <f>_xll.qlCalendarAdvance(Calendar,X284,W285,"f",FALSE)</f>
        <v>42200</v>
      </c>
      <c r="Y285" s="281">
        <f>_xll.qlCalendarAdvance(Calendar,X285,NDays&amp;"D")</f>
        <v>42202</v>
      </c>
      <c r="Z285" s="282">
        <v>1.372709416042038E-3</v>
      </c>
      <c r="AA285" s="284">
        <v>1.3420415952936082E-3</v>
      </c>
    </row>
    <row r="286" spans="23:27" x14ac:dyDescent="0.2">
      <c r="W286" s="203" t="str">
        <f t="shared" si="14"/>
        <v>1D</v>
      </c>
      <c r="X286" s="287">
        <f>_xll.qlCalendarAdvance(Calendar,X285,W286,"f",FALSE)</f>
        <v>42201</v>
      </c>
      <c r="Y286" s="281">
        <f>_xll.qlCalendarAdvance(Calendar,X286,NDays&amp;"D")</f>
        <v>42206</v>
      </c>
      <c r="Z286" s="282">
        <v>1.3747556299939152E-3</v>
      </c>
      <c r="AA286" s="284">
        <v>1.3428285566696729E-3</v>
      </c>
    </row>
    <row r="287" spans="23:27" x14ac:dyDescent="0.2">
      <c r="W287" s="203" t="str">
        <f t="shared" si="14"/>
        <v>1D</v>
      </c>
      <c r="X287" s="287">
        <f>_xll.qlCalendarAdvance(Calendar,X286,W287,"f",FALSE)</f>
        <v>42202</v>
      </c>
      <c r="Y287" s="281">
        <f>_xll.qlCalendarAdvance(Calendar,X287,NDays&amp;"D")</f>
        <v>42207</v>
      </c>
      <c r="Z287" s="282">
        <v>1.3747556299939152E-3</v>
      </c>
      <c r="AA287" s="284">
        <v>1.3431761730853253E-3</v>
      </c>
    </row>
    <row r="288" spans="23:27" x14ac:dyDescent="0.2">
      <c r="W288" s="203" t="str">
        <f t="shared" si="14"/>
        <v>1D</v>
      </c>
      <c r="X288" s="287">
        <f>_xll.qlCalendarAdvance(Calendar,X287,W288,"f",FALSE)</f>
        <v>42206</v>
      </c>
      <c r="Y288" s="281">
        <f>_xll.qlCalendarAdvance(Calendar,X288,NDays&amp;"D")</f>
        <v>42208</v>
      </c>
      <c r="Z288" s="282">
        <v>1.3761342888966072E-3</v>
      </c>
      <c r="AA288" s="284">
        <v>1.3435387046101255E-3</v>
      </c>
    </row>
    <row r="289" spans="23:27" x14ac:dyDescent="0.2">
      <c r="W289" s="203" t="str">
        <f t="shared" si="14"/>
        <v>1D</v>
      </c>
      <c r="X289" s="287">
        <f>_xll.qlCalendarAdvance(Calendar,X288,W289,"f",FALSE)</f>
        <v>42207</v>
      </c>
      <c r="Y289" s="281">
        <f>_xll.qlCalendarAdvance(Calendar,X289,NDays&amp;"D")</f>
        <v>42209</v>
      </c>
      <c r="Z289" s="282">
        <v>1.3774723033844346E-3</v>
      </c>
      <c r="AA289" s="284">
        <v>1.3443185043815475E-3</v>
      </c>
    </row>
    <row r="290" spans="23:27" x14ac:dyDescent="0.2">
      <c r="W290" s="203" t="str">
        <f t="shared" si="14"/>
        <v>1D</v>
      </c>
      <c r="X290" s="287">
        <f>_xll.qlCalendarAdvance(Calendar,X289,W290,"f",FALSE)</f>
        <v>42208</v>
      </c>
      <c r="Y290" s="281">
        <f>_xll.qlCalendarAdvance(Calendar,X290,NDays&amp;"D")</f>
        <v>42212</v>
      </c>
      <c r="Z290" s="282">
        <v>1.3788658787691635E-3</v>
      </c>
      <c r="AA290" s="284">
        <v>1.3451379811613151E-3</v>
      </c>
    </row>
    <row r="291" spans="23:27" x14ac:dyDescent="0.2">
      <c r="W291" s="203" t="str">
        <f t="shared" si="14"/>
        <v>1D</v>
      </c>
      <c r="X291" s="287">
        <f>_xll.qlCalendarAdvance(Calendar,X290,W291,"f",FALSE)</f>
        <v>42209</v>
      </c>
      <c r="Y291" s="281">
        <f>_xll.qlCalendarAdvance(Calendar,X291,NDays&amp;"D")</f>
        <v>42213</v>
      </c>
      <c r="Z291" s="282">
        <v>1.3795411366518166E-3</v>
      </c>
      <c r="AA291" s="284">
        <v>1.3455750879121098E-3</v>
      </c>
    </row>
    <row r="292" spans="23:27" x14ac:dyDescent="0.2">
      <c r="W292" s="203" t="str">
        <f t="shared" si="14"/>
        <v>1D</v>
      </c>
      <c r="X292" s="287">
        <f>_xll.qlCalendarAdvance(Calendar,X291,W292,"f",FALSE)</f>
        <v>42212</v>
      </c>
      <c r="Y292" s="281">
        <f>_xll.qlCalendarAdvance(Calendar,X292,NDays&amp;"D")</f>
        <v>42214</v>
      </c>
      <c r="Z292" s="282">
        <v>1.3802125571232115E-3</v>
      </c>
      <c r="AA292" s="284">
        <v>1.3460271096921161E-3</v>
      </c>
    </row>
    <row r="293" spans="23:27" x14ac:dyDescent="0.2">
      <c r="W293" s="203" t="str">
        <f t="shared" si="14"/>
        <v>1D</v>
      </c>
      <c r="X293" s="287">
        <f>_xll.qlCalendarAdvance(Calendar,X292,W293,"f",FALSE)</f>
        <v>42213</v>
      </c>
      <c r="Y293" s="281">
        <f>_xll.qlCalendarAdvance(Calendar,X293,NDays&amp;"D")</f>
        <v>42215</v>
      </c>
      <c r="Z293" s="282">
        <v>1.3808797493942077E-3</v>
      </c>
      <c r="AA293" s="284">
        <v>1.3464940466612063E-3</v>
      </c>
    </row>
    <row r="294" spans="23:27" x14ac:dyDescent="0.2">
      <c r="W294" s="203" t="str">
        <f t="shared" si="14"/>
        <v>1D</v>
      </c>
      <c r="X294" s="287">
        <f>_xll.qlCalendarAdvance(Calendar,X293,W294,"f",FALSE)</f>
        <v>42214</v>
      </c>
      <c r="Y294" s="281">
        <f>_xll.qlCalendarAdvance(Calendar,X294,NDays&amp;"D")</f>
        <v>42216</v>
      </c>
      <c r="Z294" s="282">
        <v>1.381252448013952E-3</v>
      </c>
      <c r="AA294" s="284">
        <v>1.3474826809023455E-3</v>
      </c>
    </row>
    <row r="295" spans="23:27" x14ac:dyDescent="0.2">
      <c r="W295" s="203" t="str">
        <f t="shared" si="14"/>
        <v>1D</v>
      </c>
      <c r="X295" s="287">
        <f>_xll.qlCalendarAdvance(Calendar,X294,W295,"f",FALSE)</f>
        <v>42215</v>
      </c>
      <c r="Y295" s="281">
        <f>_xll.qlCalendarAdvance(Calendar,X295,NDays&amp;"D")</f>
        <v>42219</v>
      </c>
      <c r="Z295" s="282">
        <v>1.3837606459515637E-3</v>
      </c>
      <c r="AA295" s="284">
        <v>1.3485109448296839E-3</v>
      </c>
    </row>
    <row r="296" spans="23:27" x14ac:dyDescent="0.2">
      <c r="W296" s="203" t="str">
        <f t="shared" si="14"/>
        <v>1D</v>
      </c>
      <c r="X296" s="287">
        <f>_xll.qlCalendarAdvance(Calendar,X295,W296,"f",FALSE)</f>
        <v>42216</v>
      </c>
      <c r="Y296" s="281">
        <f>_xll.qlCalendarAdvance(Calendar,X296,NDays&amp;"D")</f>
        <v>42220</v>
      </c>
      <c r="Z296" s="282">
        <v>1.3841386100824687E-3</v>
      </c>
      <c r="AA296" s="284">
        <v>1.3490524570247686E-3</v>
      </c>
    </row>
    <row r="297" spans="23:27" x14ac:dyDescent="0.2">
      <c r="W297" s="203" t="str">
        <f t="shared" si="14"/>
        <v>1D</v>
      </c>
      <c r="X297" s="287">
        <f>_xll.qlCalendarAdvance(Calendar,X296,W297,"f",FALSE)</f>
        <v>42219</v>
      </c>
      <c r="Y297" s="281">
        <f>_xll.qlCalendarAdvance(Calendar,X297,NDays&amp;"D")</f>
        <v>42221</v>
      </c>
      <c r="Z297" s="282">
        <v>1.3847722265548019E-3</v>
      </c>
      <c r="AA297" s="284">
        <v>1.349608884249065E-3</v>
      </c>
    </row>
    <row r="298" spans="23:27" x14ac:dyDescent="0.2">
      <c r="W298" s="203" t="str">
        <f t="shared" si="14"/>
        <v>1D</v>
      </c>
      <c r="X298" s="287">
        <f>_xll.qlCalendarAdvance(Calendar,X297,W298,"f",FALSE)</f>
        <v>42220</v>
      </c>
      <c r="Y298" s="281">
        <f>_xll.qlCalendarAdvance(Calendar,X298,NDays&amp;"D")</f>
        <v>42222</v>
      </c>
      <c r="Z298" s="282">
        <v>1.3853988792949356E-3</v>
      </c>
      <c r="AA298" s="284">
        <v>1.3501802265025731E-3</v>
      </c>
    </row>
    <row r="299" spans="23:27" x14ac:dyDescent="0.2">
      <c r="W299" s="203" t="str">
        <f t="shared" si="14"/>
        <v>1D</v>
      </c>
      <c r="X299" s="287">
        <f>_xll.qlCalendarAdvance(Calendar,X298,W299,"f",FALSE)</f>
        <v>42221</v>
      </c>
      <c r="Y299" s="281">
        <f>_xll.qlCalendarAdvance(Calendar,X299,NDays&amp;"D")</f>
        <v>42223</v>
      </c>
      <c r="Z299" s="282">
        <v>1.3864739010882587E-3</v>
      </c>
      <c r="AA299" s="284">
        <v>1.3513777008355987E-3</v>
      </c>
    </row>
    <row r="300" spans="23:27" x14ac:dyDescent="0.2">
      <c r="W300" s="203" t="str">
        <f t="shared" si="14"/>
        <v>1D</v>
      </c>
      <c r="X300" s="287">
        <f>_xll.qlCalendarAdvance(Calendar,X299,W300,"f",FALSE)</f>
        <v>42222</v>
      </c>
      <c r="Y300" s="281">
        <f>_xll.qlCalendarAdvance(Calendar,X300,NDays&amp;"D")</f>
        <v>42226</v>
      </c>
      <c r="Z300" s="282">
        <v>1.3878280370898499E-3</v>
      </c>
      <c r="AA300" s="284">
        <v>1.3526147463682747E-3</v>
      </c>
    </row>
    <row r="301" spans="23:27" x14ac:dyDescent="0.2">
      <c r="W301" s="203" t="str">
        <f t="shared" si="14"/>
        <v>1D</v>
      </c>
      <c r="X301" s="287">
        <f>_xll.qlCalendarAdvance(Calendar,X300,W301,"f",FALSE)</f>
        <v>42223</v>
      </c>
      <c r="Y301" s="281">
        <f>_xll.qlCalendarAdvance(Calendar,X301,NDays&amp;"D")</f>
        <v>42227</v>
      </c>
      <c r="Z301" s="282">
        <v>1.3884140092893082E-3</v>
      </c>
      <c r="AA301" s="284">
        <v>1.3532606639277134E-3</v>
      </c>
    </row>
    <row r="302" spans="23:27" x14ac:dyDescent="0.2">
      <c r="W302" s="203" t="str">
        <f t="shared" si="14"/>
        <v>1D</v>
      </c>
      <c r="X302" s="287">
        <f>_xll.qlCalendarAdvance(Calendar,X301,W302,"f",FALSE)</f>
        <v>42226</v>
      </c>
      <c r="Y302" s="281">
        <f>_xll.qlCalendarAdvance(Calendar,X302,NDays&amp;"D")</f>
        <v>42228</v>
      </c>
      <c r="Z302" s="282">
        <v>1.3889906730052174E-3</v>
      </c>
      <c r="AA302" s="284">
        <v>1.3539214966762358E-3</v>
      </c>
    </row>
    <row r="303" spans="23:27" x14ac:dyDescent="0.2">
      <c r="W303" s="203" t="str">
        <f t="shared" si="14"/>
        <v>1D</v>
      </c>
      <c r="X303" s="287">
        <f>_xll.qlCalendarAdvance(Calendar,X302,W303,"f",FALSE)</f>
        <v>42227</v>
      </c>
      <c r="Y303" s="281">
        <f>_xll.qlCalendarAdvance(Calendar,X303,NDays&amp;"D")</f>
        <v>42229</v>
      </c>
      <c r="Z303" s="282">
        <v>1.3895576374449619E-3</v>
      </c>
      <c r="AA303" s="284">
        <v>1.3545972442940979E-3</v>
      </c>
    </row>
    <row r="304" spans="23:27" x14ac:dyDescent="0.2">
      <c r="W304" s="203" t="str">
        <f t="shared" si="14"/>
        <v>1D</v>
      </c>
      <c r="X304" s="287">
        <f>_xll.qlCalendarAdvance(Calendar,X303,W304,"f",FALSE)</f>
        <v>42228</v>
      </c>
      <c r="Y304" s="281">
        <f>_xll.qlCalendarAdvance(Calendar,X304,NDays&amp;"D")</f>
        <v>42230</v>
      </c>
      <c r="Z304" s="282">
        <v>1.3904502312317079E-3</v>
      </c>
      <c r="AA304" s="284">
        <v>1.3560035642612434E-3</v>
      </c>
    </row>
    <row r="305" spans="23:27" x14ac:dyDescent="0.2">
      <c r="W305" s="203" t="str">
        <f t="shared" si="14"/>
        <v>1D</v>
      </c>
      <c r="X305" s="287">
        <f>_xll.qlCalendarAdvance(Calendar,X304,W305,"f",FALSE)</f>
        <v>42229</v>
      </c>
      <c r="Y305" s="281">
        <f>_xll.qlCalendarAdvance(Calendar,X305,NDays&amp;"D")</f>
        <v>42233</v>
      </c>
      <c r="Z305" s="282">
        <v>1.3917206865882402E-3</v>
      </c>
      <c r="AA305" s="284">
        <v>1.3574493858570236E-3</v>
      </c>
    </row>
    <row r="306" spans="23:27" x14ac:dyDescent="0.2">
      <c r="W306" s="203" t="str">
        <f t="shared" si="14"/>
        <v>1D</v>
      </c>
      <c r="X306" s="287">
        <f>_xll.qlCalendarAdvance(Calendar,X305,W306,"f",FALSE)</f>
        <v>42230</v>
      </c>
      <c r="Y306" s="281">
        <f>_xll.qlCalendarAdvance(Calendar,X306,NDays&amp;"D")</f>
        <v>42234</v>
      </c>
      <c r="Z306" s="282">
        <v>1.3922332927561877E-3</v>
      </c>
      <c r="AA306" s="284">
        <v>1.3581997088607523E-3</v>
      </c>
    </row>
    <row r="307" spans="23:27" x14ac:dyDescent="0.2">
      <c r="W307" s="203" t="str">
        <f t="shared" si="14"/>
        <v>1D</v>
      </c>
      <c r="X307" s="287">
        <f>_xll.qlCalendarAdvance(Calendar,X306,W307,"f",FALSE)</f>
        <v>42233</v>
      </c>
      <c r="Y307" s="281">
        <f>_xll.qlCalendarAdvance(Calendar,X307,NDays&amp;"D")</f>
        <v>42235</v>
      </c>
      <c r="Z307" s="282">
        <v>1.3927338548905387E-3</v>
      </c>
      <c r="AA307" s="284">
        <v>1.3589649468936926E-3</v>
      </c>
    </row>
    <row r="308" spans="23:27" x14ac:dyDescent="0.2">
      <c r="W308" s="203" t="str">
        <f t="shared" si="14"/>
        <v>1D</v>
      </c>
      <c r="X308" s="287">
        <f>_xll.qlCalendarAdvance(Calendar,X307,W308,"f",FALSE)</f>
        <v>42234</v>
      </c>
      <c r="Y308" s="281">
        <f>_xll.qlCalendarAdvance(Calendar,X308,NDays&amp;"D")</f>
        <v>42236</v>
      </c>
      <c r="Z308" s="282">
        <v>1.3932219821986777E-3</v>
      </c>
      <c r="AA308" s="284">
        <v>1.3597451000357808E-3</v>
      </c>
    </row>
    <row r="309" spans="23:27" x14ac:dyDescent="0.2">
      <c r="W309" s="203" t="str">
        <f t="shared" si="14"/>
        <v>1D</v>
      </c>
      <c r="X309" s="287">
        <f>_xll.qlCalendarAdvance(Calendar,X308,W309,"f",FALSE)</f>
        <v>42235</v>
      </c>
      <c r="Y309" s="281">
        <f>_xll.qlCalendarAdvance(Calendar,X309,NDays&amp;"D")</f>
        <v>42237</v>
      </c>
      <c r="Z309" s="282">
        <v>1.3939940099392607E-3</v>
      </c>
      <c r="AA309" s="284">
        <v>1.3613602712059247E-3</v>
      </c>
    </row>
    <row r="310" spans="23:27" x14ac:dyDescent="0.2">
      <c r="W310" s="203" t="str">
        <f t="shared" si="14"/>
        <v>1D</v>
      </c>
      <c r="X310" s="287">
        <f>_xll.qlCalendarAdvance(Calendar,X309,W310,"f",FALSE)</f>
        <v>42236</v>
      </c>
      <c r="Y310" s="281">
        <f>_xll.qlCalendarAdvance(Calendar,X310,NDays&amp;"D")</f>
        <v>42240</v>
      </c>
      <c r="Z310" s="282">
        <v>1.3950423272994204E-3</v>
      </c>
      <c r="AA310" s="284">
        <v>1.3630148632159944E-3</v>
      </c>
    </row>
    <row r="311" spans="23:27" x14ac:dyDescent="0.2">
      <c r="W311" s="203" t="str">
        <f t="shared" si="14"/>
        <v>1D</v>
      </c>
      <c r="X311" s="287">
        <f>_xll.qlCalendarAdvance(Calendar,X310,W311,"f",FALSE)</f>
        <v>42237</v>
      </c>
      <c r="Y311" s="281">
        <f>_xll.qlCalendarAdvance(Calendar,X311,NDays&amp;"D")</f>
        <v>42241</v>
      </c>
      <c r="Z311" s="282">
        <v>1.3954624185742305E-3</v>
      </c>
      <c r="AA311" s="284">
        <v>1.3638695916640131E-3</v>
      </c>
    </row>
    <row r="312" spans="23:27" x14ac:dyDescent="0.2">
      <c r="W312" s="203" t="str">
        <f t="shared" si="14"/>
        <v>1D</v>
      </c>
      <c r="X312" s="287">
        <f>_xll.qlCalendarAdvance(Calendar,X311,W312,"f",FALSE)</f>
        <v>42240</v>
      </c>
      <c r="Y312" s="281">
        <f>_xll.qlCalendarAdvance(Calendar,X312,NDays&amp;"D")</f>
        <v>42242</v>
      </c>
      <c r="Z312" s="282">
        <v>1.3958677302619211E-3</v>
      </c>
      <c r="AA312" s="284">
        <v>1.3647392351412435E-3</v>
      </c>
    </row>
    <row r="313" spans="23:27" x14ac:dyDescent="0.2">
      <c r="W313" s="203" t="str">
        <f t="shared" si="14"/>
        <v>1D</v>
      </c>
      <c r="X313" s="287">
        <f>_xll.qlCalendarAdvance(Calendar,X312,W313,"f",FALSE)</f>
        <v>42241</v>
      </c>
      <c r="Y313" s="281">
        <f>_xll.qlCalendarAdvance(Calendar,X313,NDays&amp;"D")</f>
        <v>42243</v>
      </c>
      <c r="Z313" s="282">
        <v>1.3962578715690076E-3</v>
      </c>
      <c r="AA313" s="284">
        <v>1.3656237936476856E-3</v>
      </c>
    </row>
    <row r="314" spans="23:27" x14ac:dyDescent="0.2">
      <c r="W314" s="203" t="str">
        <f t="shared" si="14"/>
        <v>1D</v>
      </c>
      <c r="X314" s="287">
        <f>_xll.qlCalendarAdvance(Calendar,X313,W314,"f",FALSE)</f>
        <v>42242</v>
      </c>
      <c r="Y314" s="281">
        <f>_xll.qlCalendarAdvance(Calendar,X314,NDays&amp;"D")</f>
        <v>42244</v>
      </c>
      <c r="Z314" s="282">
        <v>1.3966980000871714E-3</v>
      </c>
      <c r="AA314" s="284">
        <v>1.3679175619829564E-3</v>
      </c>
    </row>
    <row r="315" spans="23:27" x14ac:dyDescent="0.2">
      <c r="W315" s="203" t="str">
        <f t="shared" si="14"/>
        <v>1D</v>
      </c>
      <c r="X315" s="287">
        <f>_xll.qlCalendarAdvance(Calendar,X314,W315,"f",FALSE)</f>
        <v>42243</v>
      </c>
      <c r="Y315" s="281">
        <f>_xll.qlCalendarAdvance(Calendar,X315,NDays&amp;"D")</f>
        <v>42248</v>
      </c>
      <c r="Z315" s="282">
        <v>1.3979651133745928E-3</v>
      </c>
      <c r="AA315" s="284">
        <v>1.370270312417432E-3</v>
      </c>
    </row>
    <row r="316" spans="23:27" x14ac:dyDescent="0.2">
      <c r="W316" s="203" t="str">
        <f t="shared" si="14"/>
        <v>1D</v>
      </c>
      <c r="X316" s="287">
        <f>_xll.qlCalendarAdvance(Calendar,X315,W316,"f",FALSE)</f>
        <v>42244</v>
      </c>
      <c r="Y316" s="281">
        <f>_xll.qlCalendarAdvance(Calendar,X316,NDays&amp;"D")</f>
        <v>42249</v>
      </c>
      <c r="Z316" s="282">
        <v>1.3982663853858871E-3</v>
      </c>
      <c r="AA316" s="284">
        <v>1.3712443612590164E-3</v>
      </c>
    </row>
    <row r="317" spans="23:27" x14ac:dyDescent="0.2">
      <c r="W317" s="203" t="str">
        <f t="shared" si="14"/>
        <v>1D</v>
      </c>
      <c r="X317" s="287">
        <f>_xll.qlCalendarAdvance(Calendar,X316,W317,"f",FALSE)</f>
        <v>42248</v>
      </c>
      <c r="Y317" s="281">
        <f>_xll.qlCalendarAdvance(Calendar,X317,NDays&amp;"D")</f>
        <v>42250</v>
      </c>
      <c r="Z317" s="282">
        <v>1.3985497858898304E-3</v>
      </c>
      <c r="AA317" s="284">
        <v>1.3722333252896846E-3</v>
      </c>
    </row>
    <row r="318" spans="23:27" x14ac:dyDescent="0.2">
      <c r="W318" s="203" t="str">
        <f t="shared" si="14"/>
        <v>1D</v>
      </c>
      <c r="X318" s="287">
        <f>_xll.qlCalendarAdvance(Calendar,X317,W318,"f",FALSE)</f>
        <v>42249</v>
      </c>
      <c r="Y318" s="281">
        <f>_xll.qlCalendarAdvance(Calendar,X318,NDays&amp;"D")</f>
        <v>42251</v>
      </c>
      <c r="Z318" s="282">
        <v>1.3988149198002613E-3</v>
      </c>
      <c r="AA318" s="284">
        <v>1.3742662162385955E-3</v>
      </c>
    </row>
    <row r="319" spans="23:27" x14ac:dyDescent="0.2">
      <c r="W319" s="203" t="str">
        <f t="shared" si="14"/>
        <v>1D</v>
      </c>
      <c r="X319" s="287">
        <f>_xll.qlCalendarAdvance(Calendar,X318,W319,"f",FALSE)</f>
        <v>42250</v>
      </c>
      <c r="Y319" s="281">
        <f>_xll.qlCalendarAdvance(Calendar,X319,NDays&amp;"D")</f>
        <v>42254</v>
      </c>
      <c r="Z319" s="282">
        <v>1.3994967711097415E-3</v>
      </c>
      <c r="AA319" s="284">
        <v>1.3763383318643463E-3</v>
      </c>
    </row>
    <row r="320" spans="23:27" x14ac:dyDescent="0.2">
      <c r="W320" s="203" t="str">
        <f t="shared" si="14"/>
        <v>1D</v>
      </c>
      <c r="X320" s="287">
        <f>_xll.qlCalendarAdvance(Calendar,X319,W320,"f",FALSE)</f>
        <v>42251</v>
      </c>
      <c r="Y320" s="281">
        <f>_xll.qlCalendarAdvance(Calendar,X320,NDays&amp;"D")</f>
        <v>42255</v>
      </c>
      <c r="Z320" s="282">
        <v>1.3996848877888986E-3</v>
      </c>
      <c r="AA320" s="284">
        <v>1.377401871121009E-3</v>
      </c>
    </row>
    <row r="321" spans="23:27" x14ac:dyDescent="0.2">
      <c r="W321" s="203" t="str">
        <f t="shared" si="14"/>
        <v>1D</v>
      </c>
      <c r="X321" s="287">
        <f>_xll.qlCalendarAdvance(Calendar,X320,W321,"f",FALSE)</f>
        <v>42254</v>
      </c>
      <c r="Y321" s="281">
        <f>_xll.qlCalendarAdvance(Calendar,X321,NDays&amp;"D")</f>
        <v>42256</v>
      </c>
      <c r="Z321" s="282">
        <v>1.3998527624472488E-3</v>
      </c>
      <c r="AA321" s="284">
        <v>1.3784803254868194E-3</v>
      </c>
    </row>
    <row r="322" spans="23:27" x14ac:dyDescent="0.2">
      <c r="W322" s="203" t="str">
        <f t="shared" si="14"/>
        <v>1D</v>
      </c>
      <c r="X322" s="287">
        <f>_xll.qlCalendarAdvance(Calendar,X321,W322,"f",FALSE)</f>
        <v>42255</v>
      </c>
      <c r="Y322" s="281">
        <f>_xll.qlCalendarAdvance(Calendar,X322,NDays&amp;"D")</f>
        <v>42257</v>
      </c>
      <c r="Z322" s="282">
        <v>1.4000000000003875E-3</v>
      </c>
      <c r="AA322" s="284">
        <v>1.3795677049532884E-3</v>
      </c>
    </row>
    <row r="323" spans="23:27" x14ac:dyDescent="0.2">
      <c r="W323" s="203" t="str">
        <f t="shared" si="14"/>
        <v>1D</v>
      </c>
      <c r="X323" s="287">
        <f>_xll.qlCalendarAdvance(Calendar,X322,W323,"f",FALSE)</f>
        <v>42256</v>
      </c>
      <c r="Y323" s="281">
        <f>_xll.qlCalendarAdvance(Calendar,X323,NDays&amp;"D")</f>
        <v>42258</v>
      </c>
      <c r="Z323" s="282">
        <v>1.4001263039022304E-3</v>
      </c>
      <c r="AA323" s="284">
        <v>1.3816896639617937E-3</v>
      </c>
    </row>
    <row r="324" spans="23:27" x14ac:dyDescent="0.2">
      <c r="W324" s="203" t="str">
        <f t="shared" si="14"/>
        <v>1D</v>
      </c>
      <c r="X324" s="287">
        <f>_xll.qlCalendarAdvance(Calendar,X323,W324,"f",FALSE)</f>
        <v>42257</v>
      </c>
      <c r="Y324" s="281">
        <f>_xll.qlCalendarAdvance(Calendar,X324,NDays&amp;"D")</f>
        <v>42261</v>
      </c>
      <c r="Z324" s="282">
        <v>1.4003809839788187E-3</v>
      </c>
      <c r="AA324" s="284">
        <v>1.3837309343145421E-3</v>
      </c>
    </row>
    <row r="325" spans="23:27" x14ac:dyDescent="0.2">
      <c r="W325" s="203" t="str">
        <f t="shared" si="14"/>
        <v>1D</v>
      </c>
      <c r="X325" s="287">
        <f>_xll.qlCalendarAdvance(Calendar,X324,W325,"f",FALSE)</f>
        <v>42258</v>
      </c>
      <c r="Y325" s="281">
        <f>_xll.qlCalendarAdvance(Calendar,X325,NDays&amp;"D")</f>
        <v>42262</v>
      </c>
      <c r="Z325" s="282">
        <v>1.4004251206327109E-3</v>
      </c>
      <c r="AA325" s="284">
        <v>1.3847191796401148E-3</v>
      </c>
    </row>
    <row r="326" spans="23:27" x14ac:dyDescent="0.2">
      <c r="W326" s="203" t="str">
        <f t="shared" si="14"/>
        <v>1D</v>
      </c>
      <c r="X326" s="287">
        <f>_xll.qlCalendarAdvance(Calendar,X325,W326,"f",FALSE)</f>
        <v>42261</v>
      </c>
      <c r="Y326" s="281">
        <f>_xll.qlCalendarAdvance(Calendar,X326,NDays&amp;"D")</f>
        <v>42263</v>
      </c>
      <c r="Z326" s="282">
        <v>1.4004492058535616E-3</v>
      </c>
      <c r="AA326" s="284">
        <v>1.3856863999439639E-3</v>
      </c>
    </row>
    <row r="327" spans="23:27" x14ac:dyDescent="0.2">
      <c r="W327" s="203" t="str">
        <f t="shared" si="14"/>
        <v>1D</v>
      </c>
      <c r="X327" s="287">
        <f>_xll.qlCalendarAdvance(Calendar,X326,W327,"f",FALSE)</f>
        <v>42262</v>
      </c>
      <c r="Y327" s="281">
        <f>_xll.qlCalendarAdvance(Calendar,X327,NDays&amp;"D")</f>
        <v>42264</v>
      </c>
      <c r="Z327" s="282">
        <v>1.4004534357956724E-3</v>
      </c>
      <c r="AA327" s="284">
        <v>1.3866325956257697E-3</v>
      </c>
    </row>
    <row r="328" spans="23:27" x14ac:dyDescent="0.2">
      <c r="W328" s="203" t="str">
        <f t="shared" si="14"/>
        <v>1D</v>
      </c>
      <c r="X328" s="287">
        <f>_xll.qlCalendarAdvance(Calendar,X327,W328,"f",FALSE)</f>
        <v>42263</v>
      </c>
      <c r="Y328" s="281">
        <f>_xll.qlCalendarAdvance(Calendar,X328,NDays&amp;"D")</f>
        <v>42265</v>
      </c>
      <c r="Z328" s="282">
        <v>1.4004380066080745E-3</v>
      </c>
      <c r="AA328" s="284">
        <v>1.3897614609525988E-3</v>
      </c>
    </row>
    <row r="329" spans="23:27" x14ac:dyDescent="0.2">
      <c r="W329" s="203" t="str">
        <f t="shared" si="14"/>
        <v>1D</v>
      </c>
      <c r="X329" s="287">
        <f>_xll.qlCalendarAdvance(Calendar,X328,W329,"f",FALSE)</f>
        <v>42264</v>
      </c>
      <c r="Y329" s="281">
        <f>_xll.qlCalendarAdvance(Calendar,X329,NDays&amp;"D")</f>
        <v>42271</v>
      </c>
      <c r="Z329" s="282">
        <v>1.3999435744056414E-3</v>
      </c>
      <c r="AA329" s="284">
        <v>1.3926672694264397E-3</v>
      </c>
    </row>
    <row r="330" spans="23:27" x14ac:dyDescent="0.2">
      <c r="W330" s="203" t="str">
        <f t="shared" si="14"/>
        <v>1D</v>
      </c>
      <c r="X330" s="287">
        <f>_xll.qlCalendarAdvance(Calendar,X329,W330,"f",FALSE)</f>
        <v>42265</v>
      </c>
      <c r="Y330" s="281">
        <f>_xll.qlCalendarAdvance(Calendar,X330,NDays&amp;"D")</f>
        <v>42272</v>
      </c>
      <c r="Z330" s="282">
        <v>1.3999435744056414E-3</v>
      </c>
      <c r="AA330" s="284">
        <v>1.3942006295852849E-3</v>
      </c>
    </row>
    <row r="331" spans="23:27" x14ac:dyDescent="0.2">
      <c r="W331" s="203" t="str">
        <f t="shared" si="14"/>
        <v>1D</v>
      </c>
      <c r="X331" s="287">
        <f>_xll.qlCalendarAdvance(Calendar,X330,W331,"f",FALSE)</f>
        <v>42271</v>
      </c>
      <c r="Y331" s="281">
        <f>_xll.qlCalendarAdvance(Calendar,X331,NDays&amp;"D")</f>
        <v>42275</v>
      </c>
      <c r="Z331" s="282">
        <v>1.3989955764561457E-3</v>
      </c>
      <c r="AA331" s="284">
        <v>1.3956531081227297E-3</v>
      </c>
    </row>
    <row r="332" spans="23:27" x14ac:dyDescent="0.2">
      <c r="W332" s="203" t="str">
        <f t="shared" si="14"/>
        <v>1D</v>
      </c>
      <c r="X332" s="287">
        <f>_xll.qlCalendarAdvance(Calendar,X331,W332,"f",FALSE)</f>
        <v>42272</v>
      </c>
      <c r="Y332" s="281">
        <f>_xll.qlCalendarAdvance(Calendar,X332,NDays&amp;"D")</f>
        <v>42276</v>
      </c>
      <c r="Z332" s="282">
        <v>1.3990268831095836E-3</v>
      </c>
      <c r="AA332" s="284">
        <v>1.3963470057820615E-3</v>
      </c>
    </row>
    <row r="333" spans="23:27" x14ac:dyDescent="0.2">
      <c r="W333" s="203" t="str">
        <f t="shared" si="14"/>
        <v>1D</v>
      </c>
      <c r="X333" s="287">
        <f>_xll.qlCalendarAdvance(Calendar,X332,W333,"f",FALSE)</f>
        <v>42275</v>
      </c>
      <c r="Y333" s="281">
        <f>_xll.qlCalendarAdvance(Calendar,X333,NDays&amp;"D")</f>
        <v>42277</v>
      </c>
      <c r="Z333" s="282">
        <v>1.398790844405397E-3</v>
      </c>
      <c r="AA333" s="284">
        <v>1.3970198784996057E-3</v>
      </c>
    </row>
    <row r="334" spans="23:27" x14ac:dyDescent="0.2">
      <c r="W334" s="203" t="str">
        <f t="shared" si="14"/>
        <v>1D</v>
      </c>
      <c r="X334" s="287">
        <f>_xll.qlCalendarAdvance(Calendar,X333,W334,"f",FALSE)</f>
        <v>42276</v>
      </c>
      <c r="Y334" s="281">
        <f>_xll.qlCalendarAdvance(Calendar,X334,NDays&amp;"D")</f>
        <v>42278</v>
      </c>
      <c r="Z334" s="282">
        <v>1.3974312494806746E-3</v>
      </c>
      <c r="AA334" s="284">
        <v>1.3976717263552985E-3</v>
      </c>
    </row>
    <row r="335" spans="23:27" x14ac:dyDescent="0.2">
      <c r="W335" s="203" t="str">
        <f t="shared" si="14"/>
        <v>1D</v>
      </c>
      <c r="X335" s="287">
        <f>_xll.qlCalendarAdvance(Calendar,X334,W335,"f",FALSE)</f>
        <v>42277</v>
      </c>
      <c r="Y335" s="281">
        <f>_xll.qlCalendarAdvance(Calendar,X335,NDays&amp;"D")</f>
        <v>42279</v>
      </c>
      <c r="Z335" s="282">
        <v>1.3974232658291027E-3</v>
      </c>
      <c r="AA335" s="284">
        <v>1.3989107754053265E-3</v>
      </c>
    </row>
    <row r="336" spans="23:27" x14ac:dyDescent="0.2">
      <c r="W336" s="203" t="str">
        <f t="shared" si="14"/>
        <v>1D</v>
      </c>
      <c r="X336" s="287">
        <f>_xll.qlCalendarAdvance(Calendar,X335,W336,"f",FALSE)</f>
        <v>42278</v>
      </c>
      <c r="Y336" s="281">
        <f>_xll.qlCalendarAdvance(Calendar,X336,NDays&amp;"D")</f>
        <v>42282</v>
      </c>
      <c r="Z336" s="282">
        <v>1.3970606763542657E-3</v>
      </c>
      <c r="AA336" s="284">
        <v>1.4000688697191066E-3</v>
      </c>
    </row>
    <row r="337" spans="23:27" x14ac:dyDescent="0.2">
      <c r="W337" s="203" t="str">
        <f t="shared" si="14"/>
        <v>1D</v>
      </c>
      <c r="X337" s="287">
        <f>_xll.qlCalendarAdvance(Calendar,X336,W337,"f",FALSE)</f>
        <v>42279</v>
      </c>
      <c r="Y337" s="281">
        <f>_xll.qlCalendarAdvance(Calendar,X337,NDays&amp;"D")</f>
        <v>42283</v>
      </c>
      <c r="Z337" s="282">
        <v>1.3967187591397243E-3</v>
      </c>
      <c r="AA337" s="284">
        <v>1.4006155935053499E-3</v>
      </c>
    </row>
    <row r="338" spans="23:27" x14ac:dyDescent="0.2">
      <c r="W338" s="203" t="str">
        <f t="shared" si="14"/>
        <v>1D</v>
      </c>
      <c r="X338" s="287">
        <f>_xll.qlCalendarAdvance(Calendar,X337,W338,"f",FALSE)</f>
        <v>42282</v>
      </c>
      <c r="Y338" s="281">
        <f>_xll.qlCalendarAdvance(Calendar,X338,NDays&amp;"D")</f>
        <v>42284</v>
      </c>
      <c r="Z338" s="282">
        <v>1.3963610482709723E-3</v>
      </c>
      <c r="AA338" s="284">
        <v>1.4011412924297417E-3</v>
      </c>
    </row>
    <row r="339" spans="23:27" x14ac:dyDescent="0.2">
      <c r="W339" s="203" t="str">
        <f t="shared" si="14"/>
        <v>1D</v>
      </c>
      <c r="X339" s="287">
        <f>_xll.qlCalendarAdvance(Calendar,X338,W339,"f",FALSE)</f>
        <v>42283</v>
      </c>
      <c r="Y339" s="281">
        <f>_xll.qlCalendarAdvance(Calendar,X339,NDays&amp;"D")</f>
        <v>42285</v>
      </c>
      <c r="Z339" s="282">
        <v>1.3959877377754128E-3</v>
      </c>
      <c r="AA339" s="284">
        <v>1.401645966492282E-3</v>
      </c>
    </row>
    <row r="340" spans="23:27" x14ac:dyDescent="0.2">
      <c r="W340" s="203" t="str">
        <f t="shared" si="14"/>
        <v>1D</v>
      </c>
      <c r="X340" s="287">
        <f>_xll.qlCalendarAdvance(Calendar,X339,W340,"f",FALSE)</f>
        <v>42284</v>
      </c>
      <c r="Y340" s="281">
        <f>_xll.qlCalendarAdvance(Calendar,X340,NDays&amp;"D")</f>
        <v>42286</v>
      </c>
      <c r="Z340" s="282">
        <v>1.3946186359583791E-3</v>
      </c>
      <c r="AA340" s="284">
        <v>1.4028107269203893E-3</v>
      </c>
    </row>
    <row r="341" spans="23:27" x14ac:dyDescent="0.2">
      <c r="W341" s="203" t="str">
        <f t="shared" ref="W341:W404" si="15">W340</f>
        <v>1D</v>
      </c>
      <c r="X341" s="287">
        <f>_xll.qlCalendarAdvance(Calendar,X340,W341,"f",FALSE)</f>
        <v>42285</v>
      </c>
      <c r="Y341" s="281">
        <f>_xll.qlCalendarAdvance(Calendar,X341,NDays&amp;"D")</f>
        <v>42290</v>
      </c>
      <c r="Z341" s="282">
        <v>1.3938939817885647E-3</v>
      </c>
      <c r="AA341" s="284">
        <v>1.4038539643568271E-3</v>
      </c>
    </row>
    <row r="342" spans="23:27" x14ac:dyDescent="0.2">
      <c r="W342" s="203" t="str">
        <f t="shared" si="15"/>
        <v>1D</v>
      </c>
      <c r="X342" s="287">
        <f>_xll.qlCalendarAdvance(Calendar,X341,W342,"f",FALSE)</f>
        <v>42286</v>
      </c>
      <c r="Y342" s="281">
        <f>_xll.qlCalendarAdvance(Calendar,X342,NDays&amp;"D")</f>
        <v>42291</v>
      </c>
      <c r="Z342" s="282">
        <v>1.3938939817885647E-3</v>
      </c>
      <c r="AA342" s="284">
        <v>1.4042324894081304E-3</v>
      </c>
    </row>
    <row r="343" spans="23:27" x14ac:dyDescent="0.2">
      <c r="W343" s="203" t="str">
        <f t="shared" si="15"/>
        <v>1D</v>
      </c>
      <c r="X343" s="287">
        <f>_xll.qlCalendarAdvance(Calendar,X342,W343,"f",FALSE)</f>
        <v>42290</v>
      </c>
      <c r="Y343" s="281">
        <f>_xll.qlCalendarAdvance(Calendar,X343,NDays&amp;"D")</f>
        <v>42292</v>
      </c>
      <c r="Z343" s="282">
        <v>1.392954072908273E-3</v>
      </c>
      <c r="AA343" s="284">
        <v>1.4045899896775182E-3</v>
      </c>
    </row>
    <row r="344" spans="23:27" x14ac:dyDescent="0.2">
      <c r="W344" s="203" t="str">
        <f t="shared" si="15"/>
        <v>1D</v>
      </c>
      <c r="X344" s="287">
        <f>_xll.qlCalendarAdvance(Calendar,X343,W344,"f",FALSE)</f>
        <v>42291</v>
      </c>
      <c r="Y344" s="281">
        <f>_xll.qlCalendarAdvance(Calendar,X344,NDays&amp;"D")</f>
        <v>42293</v>
      </c>
      <c r="Z344" s="282">
        <v>1.3917403438646018E-3</v>
      </c>
      <c r="AA344" s="284">
        <v>1.40524039255574E-3</v>
      </c>
    </row>
    <row r="345" spans="23:27" x14ac:dyDescent="0.2">
      <c r="W345" s="203" t="str">
        <f t="shared" si="15"/>
        <v>1D</v>
      </c>
      <c r="X345" s="287">
        <f>_xll.qlCalendarAdvance(Calendar,X344,W345,"f",FALSE)</f>
        <v>42292</v>
      </c>
      <c r="Y345" s="281">
        <f>_xll.qlCalendarAdvance(Calendar,X345,NDays&amp;"D")</f>
        <v>42296</v>
      </c>
      <c r="Z345" s="282">
        <v>1.3909072383255783E-3</v>
      </c>
      <c r="AA345" s="284">
        <v>1.4058097421365545E-3</v>
      </c>
    </row>
    <row r="346" spans="23:27" x14ac:dyDescent="0.2">
      <c r="W346" s="203" t="str">
        <f t="shared" si="15"/>
        <v>1D</v>
      </c>
      <c r="X346" s="287">
        <f>_xll.qlCalendarAdvance(Calendar,X345,W346,"f",FALSE)</f>
        <v>42293</v>
      </c>
      <c r="Y346" s="281">
        <f>_xll.qlCalendarAdvance(Calendar,X346,NDays&amp;"D")</f>
        <v>42297</v>
      </c>
      <c r="Z346" s="282">
        <v>1.3903618663293194E-3</v>
      </c>
      <c r="AA346" s="284">
        <v>1.4060621182565569E-3</v>
      </c>
    </row>
    <row r="347" spans="23:27" x14ac:dyDescent="0.2">
      <c r="W347" s="203" t="str">
        <f t="shared" si="15"/>
        <v>1D</v>
      </c>
      <c r="X347" s="287">
        <f>_xll.qlCalendarAdvance(Calendar,X346,W347,"f",FALSE)</f>
        <v>42296</v>
      </c>
      <c r="Y347" s="281">
        <f>_xll.qlCalendarAdvance(Calendar,X347,NDays&amp;"D")</f>
        <v>42298</v>
      </c>
      <c r="Z347" s="282">
        <v>1.3898034170459811E-3</v>
      </c>
      <c r="AA347" s="284">
        <v>1.4062934694347717E-3</v>
      </c>
    </row>
    <row r="348" spans="23:27" x14ac:dyDescent="0.2">
      <c r="W348" s="203" t="str">
        <f t="shared" si="15"/>
        <v>1D</v>
      </c>
      <c r="X348" s="287">
        <f>_xll.qlCalendarAdvance(Calendar,X347,W348,"f",FALSE)</f>
        <v>42297</v>
      </c>
      <c r="Y348" s="281">
        <f>_xll.qlCalendarAdvance(Calendar,X348,NDays&amp;"D")</f>
        <v>42299</v>
      </c>
      <c r="Z348" s="282">
        <v>1.3892320845012285E-3</v>
      </c>
      <c r="AA348" s="284">
        <v>1.4065037958310711E-3</v>
      </c>
    </row>
    <row r="349" spans="23:27" x14ac:dyDescent="0.2">
      <c r="W349" s="203" t="str">
        <f t="shared" si="15"/>
        <v>1D</v>
      </c>
      <c r="X349" s="287">
        <f>_xll.qlCalendarAdvance(Calendar,X348,W349,"f",FALSE)</f>
        <v>42298</v>
      </c>
      <c r="Y349" s="281">
        <f>_xll.qlCalendarAdvance(Calendar,X349,NDays&amp;"D")</f>
        <v>42300</v>
      </c>
      <c r="Z349" s="282">
        <v>1.3878647713327682E-3</v>
      </c>
      <c r="AA349" s="284">
        <v>1.4068598636995944E-3</v>
      </c>
    </row>
    <row r="350" spans="23:27" x14ac:dyDescent="0.2">
      <c r="W350" s="203" t="str">
        <f t="shared" si="15"/>
        <v>1D</v>
      </c>
      <c r="X350" s="287">
        <f>_xll.qlCalendarAdvance(Calendar,X349,W350,"f",FALSE)</f>
        <v>42299</v>
      </c>
      <c r="Y350" s="281">
        <f>_xll.qlCalendarAdvance(Calendar,X350,NDays&amp;"D")</f>
        <v>42303</v>
      </c>
      <c r="Z350" s="282">
        <v>1.3868218022457066E-3</v>
      </c>
      <c r="AA350" s="284">
        <v>1.4071348529576255E-3</v>
      </c>
    </row>
    <row r="351" spans="23:27" x14ac:dyDescent="0.2">
      <c r="W351" s="203" t="str">
        <f t="shared" si="15"/>
        <v>1D</v>
      </c>
      <c r="X351" s="287">
        <f>_xll.qlCalendarAdvance(Calendar,X350,W351,"f",FALSE)</f>
        <v>42300</v>
      </c>
      <c r="Y351" s="281">
        <f>_xll.qlCalendarAdvance(Calendar,X351,NDays&amp;"D")</f>
        <v>42304</v>
      </c>
      <c r="Z351" s="282">
        <v>1.386188963795368E-3</v>
      </c>
      <c r="AA351" s="284">
        <v>1.4072400551246034E-3</v>
      </c>
    </row>
    <row r="352" spans="23:27" x14ac:dyDescent="0.2">
      <c r="W352" s="203" t="str">
        <f t="shared" si="15"/>
        <v>1D</v>
      </c>
      <c r="X352" s="287">
        <f>_xll.qlCalendarAdvance(Calendar,X351,W352,"f",FALSE)</f>
        <v>42303</v>
      </c>
      <c r="Y352" s="281">
        <f>_xll.qlCalendarAdvance(Calendar,X352,NDays&amp;"D")</f>
        <v>42305</v>
      </c>
      <c r="Z352" s="282">
        <v>1.3855444062428192E-3</v>
      </c>
      <c r="AA352" s="284">
        <v>1.4073242325896018E-3</v>
      </c>
    </row>
    <row r="353" spans="23:27" x14ac:dyDescent="0.2">
      <c r="W353" s="203" t="str">
        <f t="shared" si="15"/>
        <v>1D</v>
      </c>
      <c r="X353" s="287">
        <f>_xll.qlCalendarAdvance(Calendar,X352,W353,"f",FALSE)</f>
        <v>42304</v>
      </c>
      <c r="Y353" s="281">
        <f>_xll.qlCalendarAdvance(Calendar,X353,NDays&amp;"D")</f>
        <v>42306</v>
      </c>
      <c r="Z353" s="282">
        <v>1.3848883236154627E-3</v>
      </c>
      <c r="AA353" s="284">
        <v>1.4073873850328766E-3</v>
      </c>
    </row>
    <row r="354" spans="23:27" x14ac:dyDescent="0.2">
      <c r="W354" s="203" t="str">
        <f t="shared" si="15"/>
        <v>1D</v>
      </c>
      <c r="X354" s="287">
        <f>_xll.qlCalendarAdvance(Calendar,X353,W354,"f",FALSE)</f>
        <v>42305</v>
      </c>
      <c r="Y354" s="281">
        <f>_xll.qlCalendarAdvance(Calendar,X354,NDays&amp;"D")</f>
        <v>42307</v>
      </c>
      <c r="Z354" s="282">
        <v>1.3846356680741008E-3</v>
      </c>
      <c r="AA354" s="284">
        <v>1.4074491097915143E-3</v>
      </c>
    </row>
    <row r="355" spans="23:27" x14ac:dyDescent="0.2">
      <c r="W355" s="203" t="str">
        <f t="shared" si="15"/>
        <v>1D</v>
      </c>
      <c r="X355" s="287">
        <f>_xll.qlCalendarAdvance(Calendar,X354,W355,"f",FALSE)</f>
        <v>42306</v>
      </c>
      <c r="Y355" s="281">
        <f>_xll.qlCalendarAdvance(Calendar,X355,NDays&amp;"D")</f>
        <v>42310</v>
      </c>
      <c r="Z355" s="282">
        <v>1.3821526228808207E-3</v>
      </c>
      <c r="AA355" s="284">
        <v>1.4074115120532582E-3</v>
      </c>
    </row>
    <row r="356" spans="23:27" x14ac:dyDescent="0.2">
      <c r="W356" s="203" t="str">
        <f t="shared" si="15"/>
        <v>1D</v>
      </c>
      <c r="X356" s="287">
        <f>_xll.qlCalendarAdvance(Calendar,X355,W356,"f",FALSE)</f>
        <v>42307</v>
      </c>
      <c r="Y356" s="281">
        <f>_xll.qlCalendarAdvance(Calendar,X356,NDays&amp;"D")</f>
        <v>42312</v>
      </c>
      <c r="Z356" s="282">
        <v>1.3807206667480212E-3</v>
      </c>
      <c r="AA356" s="284">
        <v>1.4073247786328125E-3</v>
      </c>
    </row>
    <row r="357" spans="23:27" x14ac:dyDescent="0.2">
      <c r="W357" s="203" t="str">
        <f t="shared" si="15"/>
        <v>1D</v>
      </c>
      <c r="X357" s="287">
        <f>_xll.qlCalendarAdvance(Calendar,X356,W357,"f",FALSE)</f>
        <v>42310</v>
      </c>
      <c r="Y357" s="281">
        <f>_xll.qlCalendarAdvance(Calendar,X357,NDays&amp;"D")</f>
        <v>42313</v>
      </c>
      <c r="Z357" s="282">
        <v>1.3807206667480212E-3</v>
      </c>
      <c r="AA357" s="284">
        <v>1.4072407572829349E-3</v>
      </c>
    </row>
    <row r="358" spans="23:27" x14ac:dyDescent="0.2">
      <c r="W358" s="203" t="str">
        <f t="shared" si="15"/>
        <v>1D</v>
      </c>
      <c r="X358" s="287">
        <f>_xll.qlCalendarAdvance(Calendar,X357,W358,"f",FALSE)</f>
        <v>42312</v>
      </c>
      <c r="Y358" s="281">
        <f>_xll.qlCalendarAdvance(Calendar,X358,NDays&amp;"D")</f>
        <v>42314</v>
      </c>
      <c r="Z358" s="282">
        <v>1.3783710813615841E-3</v>
      </c>
      <c r="AA358" s="284">
        <v>1.4070081308847904E-3</v>
      </c>
    </row>
    <row r="359" spans="23:27" x14ac:dyDescent="0.2">
      <c r="W359" s="203" t="str">
        <f t="shared" si="15"/>
        <v>1D</v>
      </c>
      <c r="X359" s="287">
        <f>_xll.qlCalendarAdvance(Calendar,X358,W359,"f",FALSE)</f>
        <v>42313</v>
      </c>
      <c r="Y359" s="281">
        <f>_xll.qlCalendarAdvance(Calendar,X359,NDays&amp;"D")</f>
        <v>42317</v>
      </c>
      <c r="Z359" s="282">
        <v>1.376966251280809E-3</v>
      </c>
      <c r="AA359" s="284">
        <v>1.4066944235846535E-3</v>
      </c>
    </row>
    <row r="360" spans="23:27" x14ac:dyDescent="0.2">
      <c r="W360" s="203" t="str">
        <f t="shared" si="15"/>
        <v>1D</v>
      </c>
      <c r="X360" s="287">
        <f>_xll.qlCalendarAdvance(Calendar,X359,W360,"f",FALSE)</f>
        <v>42314</v>
      </c>
      <c r="Y360" s="281">
        <f>_xll.qlCalendarAdvance(Calendar,X360,NDays&amp;"D")</f>
        <v>42318</v>
      </c>
      <c r="Z360" s="282">
        <v>1.3761870018002143E-3</v>
      </c>
      <c r="AA360" s="284">
        <v>1.4065052780853904E-3</v>
      </c>
    </row>
    <row r="361" spans="23:27" x14ac:dyDescent="0.2">
      <c r="W361" s="203" t="str">
        <f t="shared" si="15"/>
        <v>1D</v>
      </c>
      <c r="X361" s="287">
        <f>_xll.qlCalendarAdvance(Calendar,X360,W361,"f",FALSE)</f>
        <v>42317</v>
      </c>
      <c r="Y361" s="281">
        <f>_xll.qlCalendarAdvance(Calendar,X361,NDays&amp;"D")</f>
        <v>42319</v>
      </c>
      <c r="Z361" s="282">
        <v>1.3749477900819808E-3</v>
      </c>
      <c r="AA361" s="284">
        <v>1.4062951077242758E-3</v>
      </c>
    </row>
    <row r="362" spans="23:27" x14ac:dyDescent="0.2">
      <c r="W362" s="203" t="str">
        <f t="shared" si="15"/>
        <v>1D</v>
      </c>
      <c r="X362" s="287">
        <f>_xll.qlCalendarAdvance(Calendar,X361,W362,"f",FALSE)</f>
        <v>42318</v>
      </c>
      <c r="Y362" s="281">
        <f>_xll.qlCalendarAdvance(Calendar,X362,NDays&amp;"D")</f>
        <v>42320</v>
      </c>
      <c r="Z362" s="282">
        <v>1.3746016886585838E-3</v>
      </c>
      <c r="AA362" s="284">
        <v>1.4060639125013097E-3</v>
      </c>
    </row>
    <row r="363" spans="23:27" x14ac:dyDescent="0.2">
      <c r="W363" s="203" t="str">
        <f t="shared" si="15"/>
        <v>1D</v>
      </c>
      <c r="X363" s="287">
        <f>_xll.qlCalendarAdvance(Calendar,X362,W363,"f",FALSE)</f>
        <v>42319</v>
      </c>
      <c r="Y363" s="281">
        <f>_xll.qlCalendarAdvance(Calendar,X363,NDays&amp;"D")</f>
        <v>42321</v>
      </c>
      <c r="Z363" s="282">
        <v>1.3728832351492307E-3</v>
      </c>
      <c r="AA363" s="284">
        <v>1.405536926926132E-3</v>
      </c>
    </row>
    <row r="364" spans="23:27" x14ac:dyDescent="0.2">
      <c r="W364" s="203" t="str">
        <f t="shared" si="15"/>
        <v>1D</v>
      </c>
      <c r="X364" s="287">
        <f>_xll.qlCalendarAdvance(Calendar,X363,W364,"f",FALSE)</f>
        <v>42320</v>
      </c>
      <c r="Y364" s="281">
        <f>_xll.qlCalendarAdvance(Calendar,X364,NDays&amp;"D")</f>
        <v>42324</v>
      </c>
      <c r="Z364" s="282">
        <v>1.3713292383669671E-3</v>
      </c>
      <c r="AA364" s="284">
        <v>1.4049288833906104E-3</v>
      </c>
    </row>
    <row r="365" spans="23:27" x14ac:dyDescent="0.2">
      <c r="W365" s="203" t="str">
        <f t="shared" si="15"/>
        <v>1D</v>
      </c>
      <c r="X365" s="287">
        <f>_xll.qlCalendarAdvance(Calendar,X364,W365,"f",FALSE)</f>
        <v>42321</v>
      </c>
      <c r="Y365" s="281">
        <f>_xll.qlCalendarAdvance(Calendar,X365,NDays&amp;"D")</f>
        <v>42325</v>
      </c>
      <c r="Z365" s="282">
        <v>1.3704910442728345E-3</v>
      </c>
      <c r="AA365" s="284">
        <v>1.4045925640981949E-3</v>
      </c>
    </row>
    <row r="366" spans="23:27" x14ac:dyDescent="0.2">
      <c r="W366" s="203" t="str">
        <f t="shared" si="15"/>
        <v>1D</v>
      </c>
      <c r="X366" s="287">
        <f>_xll.qlCalendarAdvance(Calendar,X365,W366,"f",FALSE)</f>
        <v>42324</v>
      </c>
      <c r="Y366" s="281">
        <f>_xll.qlCalendarAdvance(Calendar,X366,NDays&amp;"D")</f>
        <v>42326</v>
      </c>
      <c r="Z366" s="282">
        <v>1.3696452056206718E-3</v>
      </c>
      <c r="AA366" s="284">
        <v>1.4042352198639918E-3</v>
      </c>
    </row>
    <row r="367" spans="23:27" x14ac:dyDescent="0.2">
      <c r="W367" s="203" t="str">
        <f t="shared" si="15"/>
        <v>1D</v>
      </c>
      <c r="X367" s="287">
        <f>_xll.qlCalendarAdvance(Calendar,X366,W367,"f",FALSE)</f>
        <v>42325</v>
      </c>
      <c r="Y367" s="281">
        <f>_xll.qlCalendarAdvance(Calendar,X367,NDays&amp;"D")</f>
        <v>42327</v>
      </c>
      <c r="Z367" s="282">
        <v>1.3687919164352752E-3</v>
      </c>
      <c r="AA367" s="284">
        <v>1.4038568508478733E-3</v>
      </c>
    </row>
    <row r="368" spans="23:27" x14ac:dyDescent="0.2">
      <c r="W368" s="203" t="str">
        <f t="shared" si="15"/>
        <v>1D</v>
      </c>
      <c r="X368" s="287">
        <f>_xll.qlCalendarAdvance(Calendar,X367,W368,"f",FALSE)</f>
        <v>42326</v>
      </c>
      <c r="Y368" s="281">
        <f>_xll.qlCalendarAdvance(Calendar,X368,NDays&amp;"D")</f>
        <v>42328</v>
      </c>
      <c r="Z368" s="282">
        <v>1.3669882353579404E-3</v>
      </c>
      <c r="AA368" s="284">
        <v>1.4028140034993974E-3</v>
      </c>
    </row>
    <row r="369" spans="23:27" x14ac:dyDescent="0.2">
      <c r="W369" s="203" t="str">
        <f t="shared" si="15"/>
        <v>1D</v>
      </c>
      <c r="X369" s="287">
        <f>_xll.qlCalendarAdvance(Calendar,X368,W369,"f",FALSE)</f>
        <v>42327</v>
      </c>
      <c r="Y369" s="281">
        <f>_xll.qlCalendarAdvance(Calendar,X369,NDays&amp;"D")</f>
        <v>42332</v>
      </c>
      <c r="Z369" s="282">
        <v>1.3644205033654885E-3</v>
      </c>
      <c r="AA369" s="284">
        <v>1.401649633079316E-3</v>
      </c>
    </row>
    <row r="370" spans="23:27" x14ac:dyDescent="0.2">
      <c r="W370" s="203" t="str">
        <f t="shared" si="15"/>
        <v>1D</v>
      </c>
      <c r="X370" s="287">
        <f>_xll.qlCalendarAdvance(Calendar,X369,W370,"f",FALSE)</f>
        <v>42328</v>
      </c>
      <c r="Y370" s="281">
        <f>_xll.qlCalendarAdvance(Calendar,X370,NDays&amp;"D")</f>
        <v>42333</v>
      </c>
      <c r="Z370" s="282">
        <v>1.3644205033654885E-3</v>
      </c>
      <c r="AA370" s="284">
        <v>1.4011451150519605E-3</v>
      </c>
    </row>
    <row r="371" spans="23:27" x14ac:dyDescent="0.2">
      <c r="W371" s="203" t="str">
        <f t="shared" si="15"/>
        <v>1D</v>
      </c>
      <c r="X371" s="287">
        <f>_xll.qlCalendarAdvance(Calendar,X370,W371,"f",FALSE)</f>
        <v>42332</v>
      </c>
      <c r="Y371" s="281">
        <f>_xll.qlCalendarAdvance(Calendar,X371,NDays&amp;"D")</f>
        <v>42334</v>
      </c>
      <c r="Z371" s="282">
        <v>1.3626265752585554E-3</v>
      </c>
      <c r="AA371" s="284">
        <v>1.4006195721627535E-3</v>
      </c>
    </row>
    <row r="372" spans="23:27" x14ac:dyDescent="0.2">
      <c r="W372" s="203" t="str">
        <f t="shared" si="15"/>
        <v>1D</v>
      </c>
      <c r="X372" s="287">
        <f>_xll.qlCalendarAdvance(Calendar,X371,W372,"f",FALSE)</f>
        <v>42333</v>
      </c>
      <c r="Y372" s="281">
        <f>_xll.qlCalendarAdvance(Calendar,X372,NDays&amp;"D")</f>
        <v>42335</v>
      </c>
      <c r="Z372" s="282">
        <v>1.3607512171156426E-3</v>
      </c>
      <c r="AA372" s="284">
        <v>1.3995038441461105E-3</v>
      </c>
    </row>
    <row r="373" spans="23:27" x14ac:dyDescent="0.2">
      <c r="W373" s="203" t="str">
        <f t="shared" si="15"/>
        <v>1D</v>
      </c>
      <c r="X373" s="287">
        <f>_xll.qlCalendarAdvance(Calendar,X372,W373,"f",FALSE)</f>
        <v>42334</v>
      </c>
      <c r="Y373" s="281">
        <f>_xll.qlCalendarAdvance(Calendar,X373,NDays&amp;"D")</f>
        <v>42338</v>
      </c>
      <c r="Z373" s="282">
        <v>1.3594578032630354E-3</v>
      </c>
      <c r="AA373" s="284">
        <v>1.3983071522272184E-3</v>
      </c>
    </row>
    <row r="374" spans="23:27" x14ac:dyDescent="0.2">
      <c r="W374" s="203" t="str">
        <f t="shared" si="15"/>
        <v>1D</v>
      </c>
      <c r="X374" s="287">
        <f>_xll.qlCalendarAdvance(Calendar,X373,W374,"f",FALSE)</f>
        <v>42335</v>
      </c>
      <c r="Y374" s="281">
        <f>_xll.qlCalendarAdvance(Calendar,X374,NDays&amp;"D")</f>
        <v>42339</v>
      </c>
      <c r="Z374" s="282">
        <v>1.3585319323771417E-3</v>
      </c>
      <c r="AA374" s="284">
        <v>1.3976764851886259E-3</v>
      </c>
    </row>
    <row r="375" spans="23:27" x14ac:dyDescent="0.2">
      <c r="W375" s="203" t="str">
        <f t="shared" si="15"/>
        <v>1D</v>
      </c>
      <c r="X375" s="287">
        <f>_xll.qlCalendarAdvance(Calendar,X374,W375,"f",FALSE)</f>
        <v>42338</v>
      </c>
      <c r="Y375" s="281">
        <f>_xll.qlCalendarAdvance(Calendar,X375,NDays&amp;"D")</f>
        <v>42340</v>
      </c>
      <c r="Z375" s="282">
        <v>1.357601114094031E-3</v>
      </c>
      <c r="AA375" s="284">
        <v>1.3970247932881819E-3</v>
      </c>
    </row>
    <row r="376" spans="23:27" x14ac:dyDescent="0.2">
      <c r="W376" s="203" t="str">
        <f t="shared" si="15"/>
        <v>1D</v>
      </c>
      <c r="X376" s="287">
        <f>_xll.qlCalendarAdvance(Calendar,X375,W376,"f",FALSE)</f>
        <v>42339</v>
      </c>
      <c r="Y376" s="281">
        <f>_xll.qlCalendarAdvance(Calendar,X376,NDays&amp;"D")</f>
        <v>42341</v>
      </c>
      <c r="Z376" s="282">
        <v>1.3566655445688832E-3</v>
      </c>
      <c r="AA376" s="284">
        <v>1.3963520765258863E-3</v>
      </c>
    </row>
    <row r="377" spans="23:27" x14ac:dyDescent="0.2">
      <c r="W377" s="203" t="str">
        <f t="shared" si="15"/>
        <v>1D</v>
      </c>
      <c r="X377" s="287">
        <f>_xll.qlCalendarAdvance(Calendar,X376,W377,"f",FALSE)</f>
        <v>42340</v>
      </c>
      <c r="Y377" s="281">
        <f>_xll.qlCalendarAdvance(Calendar,X377,NDays&amp;"D")</f>
        <v>42342</v>
      </c>
      <c r="Z377" s="282">
        <v>1.3557254199542429E-3</v>
      </c>
      <c r="AA377" s="284">
        <v>1.3949419654579742E-3</v>
      </c>
    </row>
    <row r="378" spans="23:27" x14ac:dyDescent="0.2">
      <c r="W378" s="203" t="str">
        <f t="shared" si="15"/>
        <v>1D</v>
      </c>
      <c r="X378" s="287">
        <f>_xll.qlCalendarAdvance(Calendar,X377,W378,"f",FALSE)</f>
        <v>42341</v>
      </c>
      <c r="Y378" s="281">
        <f>_xll.qlCalendarAdvance(Calendar,X378,NDays&amp;"D")</f>
        <v>42345</v>
      </c>
      <c r="Z378" s="282">
        <v>1.3528796771137483E-3</v>
      </c>
      <c r="AA378" s="284">
        <v>1.3934509613378054E-3</v>
      </c>
    </row>
    <row r="379" spans="23:27" x14ac:dyDescent="0.2">
      <c r="W379" s="203" t="str">
        <f t="shared" si="15"/>
        <v>1D</v>
      </c>
      <c r="X379" s="287">
        <f>_xll.qlCalendarAdvance(Calendar,X378,W379,"f",FALSE)</f>
        <v>42342</v>
      </c>
      <c r="Y379" s="281">
        <f>_xll.qlCalendarAdvance(Calendar,X379,NDays&amp;"D")</f>
        <v>42346</v>
      </c>
      <c r="Z379" s="282">
        <v>1.3519232936797622E-3</v>
      </c>
      <c r="AA379" s="284">
        <v>1.3926731204261245E-3</v>
      </c>
    </row>
    <row r="380" spans="23:27" x14ac:dyDescent="0.2">
      <c r="W380" s="203" t="str">
        <f t="shared" si="15"/>
        <v>1D</v>
      </c>
      <c r="X380" s="287">
        <f>_xll.qlCalendarAdvance(Calendar,X379,W380,"f",FALSE)</f>
        <v>42345</v>
      </c>
      <c r="Y380" s="281">
        <f>_xll.qlCalendarAdvance(Calendar,X380,NDays&amp;"D")</f>
        <v>42347</v>
      </c>
      <c r="Z380" s="282">
        <v>1.3509633359242779E-3</v>
      </c>
      <c r="AA380" s="284">
        <v>1.391874254652592E-3</v>
      </c>
    </row>
    <row r="381" spans="23:27" x14ac:dyDescent="0.2">
      <c r="W381" s="203" t="str">
        <f t="shared" si="15"/>
        <v>1D</v>
      </c>
      <c r="X381" s="287">
        <f>_xll.qlCalendarAdvance(Calendar,X380,W381,"f",FALSE)</f>
        <v>42346</v>
      </c>
      <c r="Y381" s="281">
        <f>_xll.qlCalendarAdvance(Calendar,X381,NDays&amp;"D")</f>
        <v>42348</v>
      </c>
      <c r="Z381" s="282">
        <v>1.3499999999998405E-3</v>
      </c>
      <c r="AA381" s="284">
        <v>1.3910573380382374E-3</v>
      </c>
    </row>
    <row r="382" spans="23:27" x14ac:dyDescent="0.2">
      <c r="W382" s="203" t="str">
        <f t="shared" si="15"/>
        <v>1D</v>
      </c>
      <c r="X382" s="287">
        <f>_xll.qlCalendarAdvance(Calendar,X381,W382,"f",FALSE)</f>
        <v>42347</v>
      </c>
      <c r="Y382" s="281">
        <f>_xll.qlCalendarAdvance(Calendar,X382,NDays&amp;"D")</f>
        <v>42349</v>
      </c>
      <c r="Z382" s="282">
        <v>1.3490334866179848E-3</v>
      </c>
      <c r="AA382" s="284">
        <v>1.3894123153335158E-3</v>
      </c>
    </row>
    <row r="383" spans="23:27" x14ac:dyDescent="0.2">
      <c r="W383" s="203" t="str">
        <f t="shared" si="15"/>
        <v>1D</v>
      </c>
      <c r="X383" s="287">
        <f>_xll.qlCalendarAdvance(Calendar,X382,W383,"f",FALSE)</f>
        <v>42348</v>
      </c>
      <c r="Y383" s="281">
        <f>_xll.qlCalendarAdvance(Calendar,X383,NDays&amp;"D")</f>
        <v>42352</v>
      </c>
      <c r="Z383" s="282">
        <v>1.346117089418643E-3</v>
      </c>
      <c r="AA383" s="284">
        <v>1.3877459639832779E-3</v>
      </c>
    </row>
    <row r="384" spans="23:27" x14ac:dyDescent="0.2">
      <c r="W384" s="203" t="str">
        <f t="shared" si="15"/>
        <v>1D</v>
      </c>
      <c r="X384" s="287">
        <f>_xll.qlCalendarAdvance(Calendar,X383,W384,"f",FALSE)</f>
        <v>42349</v>
      </c>
      <c r="Y384" s="281">
        <f>_xll.qlCalendarAdvance(Calendar,X384,NDays&amp;"D")</f>
        <v>42353</v>
      </c>
      <c r="Z384" s="282">
        <v>1.3451400830149513E-3</v>
      </c>
      <c r="AA384" s="284">
        <v>1.3869101675112461E-3</v>
      </c>
    </row>
    <row r="385" spans="23:27" x14ac:dyDescent="0.2">
      <c r="W385" s="203" t="str">
        <f t="shared" si="15"/>
        <v>1D</v>
      </c>
      <c r="X385" s="287">
        <f>_xll.qlCalendarAdvance(Calendar,X384,W385,"f",FALSE)</f>
        <v>42352</v>
      </c>
      <c r="Y385" s="281">
        <f>_xll.qlCalendarAdvance(Calendar,X385,NDays&amp;"D")</f>
        <v>42354</v>
      </c>
      <c r="Z385" s="282">
        <v>1.344161012114115E-3</v>
      </c>
      <c r="AA385" s="284">
        <v>1.3860711899038591E-3</v>
      </c>
    </row>
    <row r="386" spans="23:27" x14ac:dyDescent="0.2">
      <c r="W386" s="203" t="str">
        <f t="shared" si="15"/>
        <v>1D</v>
      </c>
      <c r="X386" s="287">
        <f>_xll.qlCalendarAdvance(Calendar,X385,W386,"f",FALSE)</f>
        <v>42353</v>
      </c>
      <c r="Y386" s="281">
        <f>_xll.qlCalendarAdvance(Calendar,X386,NDays&amp;"D")</f>
        <v>42355</v>
      </c>
      <c r="Z386" s="282">
        <v>1.3431801002208653E-3</v>
      </c>
      <c r="AA386" s="284">
        <v>1.385229031081181E-3</v>
      </c>
    </row>
    <row r="387" spans="23:27" x14ac:dyDescent="0.2">
      <c r="W387" s="203" t="str">
        <f t="shared" si="15"/>
        <v>1D</v>
      </c>
      <c r="X387" s="287">
        <f>_xll.qlCalendarAdvance(Calendar,X386,W387,"f",FALSE)</f>
        <v>42354</v>
      </c>
      <c r="Y387" s="281">
        <f>_xll.qlCalendarAdvance(Calendar,X387,NDays&amp;"D")</f>
        <v>42356</v>
      </c>
      <c r="Z387" s="282">
        <v>1.3421975708390547E-3</v>
      </c>
      <c r="AA387" s="284">
        <v>1.3835394267314172E-3</v>
      </c>
    </row>
    <row r="388" spans="23:27" x14ac:dyDescent="0.2">
      <c r="W388" s="203" t="str">
        <f t="shared" si="15"/>
        <v>1D</v>
      </c>
      <c r="X388" s="287">
        <f>_xll.qlCalendarAdvance(Calendar,X387,W388,"f",FALSE)</f>
        <v>42355</v>
      </c>
      <c r="Y388" s="281">
        <f>_xll.qlCalendarAdvance(Calendar,X388,NDays&amp;"D")</f>
        <v>42359</v>
      </c>
      <c r="Z388" s="282">
        <v>1.3387344471886735E-3</v>
      </c>
      <c r="AA388" s="284">
        <v>1.3818285841171729E-3</v>
      </c>
    </row>
    <row r="389" spans="23:27" x14ac:dyDescent="0.2">
      <c r="W389" s="203" t="str">
        <f t="shared" si="15"/>
        <v>1D</v>
      </c>
      <c r="X389" s="287">
        <f>_xll.qlCalendarAdvance(Calendar,X388,W389,"f",FALSE)</f>
        <v>42356</v>
      </c>
      <c r="Y389" s="281">
        <f>_xll.qlCalendarAdvance(Calendar,X389,NDays&amp;"D")</f>
        <v>42360</v>
      </c>
      <c r="Z389" s="282">
        <v>1.3382557484663683E-3</v>
      </c>
      <c r="AA389" s="284">
        <v>1.3805425436030916E-3</v>
      </c>
    </row>
    <row r="390" spans="23:27" x14ac:dyDescent="0.2">
      <c r="W390" s="203" t="str">
        <f t="shared" si="15"/>
        <v>1D</v>
      </c>
      <c r="X390" s="287">
        <f>_xll.qlCalendarAdvance(Calendar,X389,W390,"f",FALSE)</f>
        <v>42359</v>
      </c>
      <c r="Y390" s="281">
        <f>_xll.qlCalendarAdvance(Calendar,X390,NDays&amp;"D")</f>
        <v>42362</v>
      </c>
      <c r="Z390" s="282">
        <v>1.3362809434084263E-3</v>
      </c>
      <c r="AA390" s="284">
        <v>1.3775138095635242E-3</v>
      </c>
    </row>
    <row r="391" spans="23:27" x14ac:dyDescent="0.2">
      <c r="W391" s="203" t="str">
        <f t="shared" si="15"/>
        <v>1D</v>
      </c>
      <c r="X391" s="287">
        <f>_xll.qlCalendarAdvance(Calendar,X390,W391,"f",FALSE)</f>
        <v>42360</v>
      </c>
      <c r="Y391" s="281">
        <f>_xll.qlCalendarAdvance(Calendar,X391,NDays&amp;"D")</f>
        <v>42367</v>
      </c>
      <c r="Z391" s="282">
        <v>1.3362809434084263E-3</v>
      </c>
      <c r="AA391" s="284">
        <v>1.3748749937736449E-3</v>
      </c>
    </row>
    <row r="392" spans="23:27" x14ac:dyDescent="0.2">
      <c r="W392" s="203" t="str">
        <f t="shared" si="15"/>
        <v>1D</v>
      </c>
      <c r="X392" s="287">
        <f>_xll.qlCalendarAdvance(Calendar,X391,W392,"f",FALSE)</f>
        <v>42362</v>
      </c>
      <c r="Y392" s="281">
        <f>_xll.qlCalendarAdvance(Calendar,X392,NDays&amp;"D")</f>
        <v>42368</v>
      </c>
      <c r="Z392" s="282">
        <v>1.3298691256283367E-3</v>
      </c>
      <c r="AA392" s="284">
        <v>1.372222187718819E-3</v>
      </c>
    </row>
    <row r="393" spans="23:27" x14ac:dyDescent="0.2">
      <c r="W393" s="203" t="str">
        <f t="shared" si="15"/>
        <v>1D</v>
      </c>
      <c r="X393" s="287">
        <f>_xll.qlCalendarAdvance(Calendar,X392,W393,"f",FALSE)</f>
        <v>42367</v>
      </c>
      <c r="Y393" s="281">
        <f>_xll.qlCalendarAdvance(Calendar,X393,NDays&amp;"D")</f>
        <v>42373</v>
      </c>
      <c r="Z393" s="282">
        <v>1.3254636688808787E-3</v>
      </c>
      <c r="AA393" s="284">
        <v>1.3695261915724899E-3</v>
      </c>
    </row>
    <row r="394" spans="23:27" x14ac:dyDescent="0.2">
      <c r="W394" s="203" t="str">
        <f t="shared" si="15"/>
        <v>1D</v>
      </c>
      <c r="X394" s="287">
        <f>_xll.qlCalendarAdvance(Calendar,X393,W394,"f",FALSE)</f>
        <v>42368</v>
      </c>
      <c r="Y394" s="281">
        <f>_xll.qlCalendarAdvance(Calendar,X394,NDays&amp;"D")</f>
        <v>42374</v>
      </c>
      <c r="Z394" s="282">
        <v>1.3254636688808787E-3</v>
      </c>
      <c r="AA394" s="284">
        <v>1.3686235904586397E-3</v>
      </c>
    </row>
    <row r="395" spans="23:27" x14ac:dyDescent="0.2">
      <c r="W395" s="203" t="str">
        <f t="shared" si="15"/>
        <v>1D</v>
      </c>
      <c r="X395" s="287">
        <f>_xll.qlCalendarAdvance(Calendar,X394,W395,"f",FALSE)</f>
        <v>42373</v>
      </c>
      <c r="Y395" s="281">
        <f>_xll.qlCalendarAdvance(Calendar,X395,NDays&amp;"D")</f>
        <v>42375</v>
      </c>
      <c r="Z395" s="282">
        <v>1.3235194470810603E-3</v>
      </c>
      <c r="AA395" s="284">
        <v>1.3677178080495622E-3</v>
      </c>
    </row>
    <row r="396" spans="23:27" x14ac:dyDescent="0.2">
      <c r="W396" s="203" t="str">
        <f t="shared" si="15"/>
        <v>1D</v>
      </c>
      <c r="X396" s="287">
        <f>_xll.qlCalendarAdvance(Calendar,X395,W396,"f",FALSE)</f>
        <v>42374</v>
      </c>
      <c r="Y396" s="281">
        <f>_xll.qlCalendarAdvance(Calendar,X396,NDays&amp;"D")</f>
        <v>42376</v>
      </c>
      <c r="Z396" s="282">
        <v>1.3225515032223689E-3</v>
      </c>
      <c r="AA396" s="284">
        <v>1.3668088445850657E-3</v>
      </c>
    </row>
    <row r="397" spans="23:27" x14ac:dyDescent="0.2">
      <c r="W397" s="203" t="str">
        <f t="shared" si="15"/>
        <v>1D</v>
      </c>
      <c r="X397" s="287">
        <f>_xll.qlCalendarAdvance(Calendar,X396,W397,"f",FALSE)</f>
        <v>42375</v>
      </c>
      <c r="Y397" s="281">
        <f>_xll.qlCalendarAdvance(Calendar,X397,NDays&amp;"D")</f>
        <v>42377</v>
      </c>
      <c r="Z397" s="282">
        <v>1.3215866353883869E-3</v>
      </c>
      <c r="AA397" s="284">
        <v>1.3645282880014875E-3</v>
      </c>
    </row>
    <row r="398" spans="23:27" x14ac:dyDescent="0.2">
      <c r="W398" s="203" t="str">
        <f t="shared" si="15"/>
        <v>1D</v>
      </c>
      <c r="X398" s="287">
        <f>_xll.qlCalendarAdvance(Calendar,X397,W398,"f",FALSE)</f>
        <v>42376</v>
      </c>
      <c r="Y398" s="281">
        <f>_xll.qlCalendarAdvance(Calendar,X398,NDays&amp;"D")</f>
        <v>42381</v>
      </c>
      <c r="Z398" s="282">
        <v>1.3177623942624177E-3</v>
      </c>
      <c r="AA398" s="284">
        <v>1.3622163095128315E-3</v>
      </c>
    </row>
    <row r="399" spans="23:27" x14ac:dyDescent="0.2">
      <c r="W399" s="203" t="str">
        <f t="shared" si="15"/>
        <v>1D</v>
      </c>
      <c r="X399" s="287">
        <f>_xll.qlCalendarAdvance(Calendar,X398,W399,"f",FALSE)</f>
        <v>42377</v>
      </c>
      <c r="Y399" s="281">
        <f>_xll.qlCalendarAdvance(Calendar,X399,NDays&amp;"D")</f>
        <v>42382</v>
      </c>
      <c r="Z399" s="282">
        <v>1.3177623942624177E-3</v>
      </c>
      <c r="AA399" s="284">
        <v>1.3612882589164599E-3</v>
      </c>
    </row>
    <row r="400" spans="23:27" x14ac:dyDescent="0.2">
      <c r="W400" s="203" t="str">
        <f t="shared" si="15"/>
        <v>1D</v>
      </c>
      <c r="X400" s="287">
        <f>_xll.qlCalendarAdvance(Calendar,X399,W400,"f",FALSE)</f>
        <v>42381</v>
      </c>
      <c r="Y400" s="281">
        <f>_xll.qlCalendarAdvance(Calendar,X400,NDays&amp;"D")</f>
        <v>42383</v>
      </c>
      <c r="Z400" s="282">
        <v>1.3158745407958973E-3</v>
      </c>
      <c r="AA400" s="284">
        <v>1.3603570272646692E-3</v>
      </c>
    </row>
    <row r="401" spans="23:27" x14ac:dyDescent="0.2">
      <c r="W401" s="203" t="str">
        <f t="shared" si="15"/>
        <v>1D</v>
      </c>
      <c r="X401" s="287">
        <f>_xll.qlCalendarAdvance(Calendar,X400,W401,"f",FALSE)</f>
        <v>42382</v>
      </c>
      <c r="Y401" s="281">
        <f>_xll.qlCalendarAdvance(Calendar,X401,NDays&amp;"D")</f>
        <v>42384</v>
      </c>
      <c r="Z401" s="282">
        <v>1.3149374630767401E-3</v>
      </c>
      <c r="AA401" s="284">
        <v>1.3584890861828569E-3</v>
      </c>
    </row>
    <row r="402" spans="23:27" x14ac:dyDescent="0.2">
      <c r="W402" s="203" t="str">
        <f t="shared" si="15"/>
        <v>1D</v>
      </c>
      <c r="X402" s="287">
        <f>_xll.qlCalendarAdvance(Calendar,X401,W402,"f",FALSE)</f>
        <v>42383</v>
      </c>
      <c r="Y402" s="281">
        <f>_xll.qlCalendarAdvance(Calendar,X402,NDays&amp;"D")</f>
        <v>42387</v>
      </c>
      <c r="Z402" s="282">
        <v>1.3121563079393434E-3</v>
      </c>
      <c r="AA402" s="284">
        <v>1.3566002885845307E-3</v>
      </c>
    </row>
    <row r="403" spans="23:27" x14ac:dyDescent="0.2">
      <c r="W403" s="203" t="str">
        <f t="shared" si="15"/>
        <v>1D</v>
      </c>
      <c r="X403" s="287">
        <f>_xll.qlCalendarAdvance(Calendar,X402,W403,"f",FALSE)</f>
        <v>42384</v>
      </c>
      <c r="Y403" s="281">
        <f>_xll.qlCalendarAdvance(Calendar,X403,NDays&amp;"D")</f>
        <v>42388</v>
      </c>
      <c r="Z403" s="282">
        <v>1.3112400272221091E-3</v>
      </c>
      <c r="AA403" s="284">
        <v>1.3556531510161562E-3</v>
      </c>
    </row>
    <row r="404" spans="23:27" x14ac:dyDescent="0.2">
      <c r="W404" s="203" t="str">
        <f t="shared" si="15"/>
        <v>1D</v>
      </c>
      <c r="X404" s="287">
        <f>_xll.qlCalendarAdvance(Calendar,X403,W404,"f",FALSE)</f>
        <v>42387</v>
      </c>
      <c r="Y404" s="281">
        <f>_xll.qlCalendarAdvance(Calendar,X404,NDays&amp;"D")</f>
        <v>42389</v>
      </c>
      <c r="Z404" s="282">
        <v>1.3103295044950033E-3</v>
      </c>
      <c r="AA404" s="284">
        <v>1.3547028321525545E-3</v>
      </c>
    </row>
    <row r="405" spans="23:27" x14ac:dyDescent="0.2">
      <c r="W405" s="203" t="str">
        <f t="shared" ref="W405:W468" si="16">W404</f>
        <v>1D</v>
      </c>
      <c r="X405" s="287">
        <f>_xll.qlCalendarAdvance(Calendar,X404,W405,"f",FALSE)</f>
        <v>42388</v>
      </c>
      <c r="Y405" s="281">
        <f>_xll.qlCalendarAdvance(Calendar,X405,NDays&amp;"D")</f>
        <v>42390</v>
      </c>
      <c r="Z405" s="282">
        <v>1.3094249632557302E-3</v>
      </c>
      <c r="AA405" s="284">
        <v>1.3537493322335337E-3</v>
      </c>
    </row>
    <row r="406" spans="23:27" x14ac:dyDescent="0.2">
      <c r="W406" s="203" t="str">
        <f t="shared" si="16"/>
        <v>1D</v>
      </c>
      <c r="X406" s="287">
        <f>_xll.qlCalendarAdvance(Calendar,X405,W406,"f",FALSE)</f>
        <v>42389</v>
      </c>
      <c r="Y406" s="281">
        <f>_xll.qlCalendarAdvance(Calendar,X406,NDays&amp;"D")</f>
        <v>42391</v>
      </c>
      <c r="Z406" s="282">
        <v>1.3085266269993582E-3</v>
      </c>
      <c r="AA406" s="284">
        <v>1.3518368046838702E-3</v>
      </c>
    </row>
    <row r="407" spans="23:27" x14ac:dyDescent="0.2">
      <c r="W407" s="203" t="str">
        <f t="shared" si="16"/>
        <v>1D</v>
      </c>
      <c r="X407" s="287">
        <f>_xll.qlCalendarAdvance(Calendar,X406,W407,"f",FALSE)</f>
        <v>42390</v>
      </c>
      <c r="Y407" s="281">
        <f>_xll.qlCalendarAdvance(Calendar,X407,NDays&amp;"D")</f>
        <v>42394</v>
      </c>
      <c r="Z407" s="282">
        <v>1.3058710830809702E-3</v>
      </c>
      <c r="AA407" s="284">
        <v>1.3499035206443466E-3</v>
      </c>
    </row>
    <row r="408" spans="23:27" x14ac:dyDescent="0.2">
      <c r="W408" s="203" t="str">
        <f t="shared" si="16"/>
        <v>1D</v>
      </c>
      <c r="X408" s="287">
        <f>_xll.qlCalendarAdvance(Calendar,X407,W408,"f",FALSE)</f>
        <v>42391</v>
      </c>
      <c r="Y408" s="281">
        <f>_xll.qlCalendarAdvance(Calendar,X408,NDays&amp;"D")</f>
        <v>42395</v>
      </c>
      <c r="Z408" s="282">
        <v>1.3049998017104023E-3</v>
      </c>
      <c r="AA408" s="284">
        <v>1.348934114888678E-3</v>
      </c>
    </row>
    <row r="409" spans="23:27" x14ac:dyDescent="0.2">
      <c r="W409" s="203" t="str">
        <f t="shared" si="16"/>
        <v>1D</v>
      </c>
      <c r="X409" s="287">
        <f>_xll.qlCalendarAdvance(Calendar,X408,W409,"f",FALSE)</f>
        <v>42394</v>
      </c>
      <c r="Y409" s="281">
        <f>_xll.qlCalendarAdvance(Calendar,X409,NDays&amp;"D")</f>
        <v>42396</v>
      </c>
      <c r="Z409" s="282">
        <v>1.3041358427980786E-3</v>
      </c>
      <c r="AA409" s="284">
        <v>1.3479615278377821E-3</v>
      </c>
    </row>
    <row r="410" spans="23:27" x14ac:dyDescent="0.2">
      <c r="W410" s="203" t="str">
        <f t="shared" si="16"/>
        <v>1D</v>
      </c>
      <c r="X410" s="287">
        <f>_xll.qlCalendarAdvance(Calendar,X409,W410,"f",FALSE)</f>
        <v>42395</v>
      </c>
      <c r="Y410" s="281">
        <f>_xll.qlCalendarAdvance(Calendar,X410,NDays&amp;"D")</f>
        <v>42397</v>
      </c>
      <c r="Z410" s="282">
        <v>1.303279429839946E-3</v>
      </c>
      <c r="AA410" s="284">
        <v>1.3469857597314672E-3</v>
      </c>
    </row>
    <row r="411" spans="23:27" x14ac:dyDescent="0.2">
      <c r="W411" s="203" t="str">
        <f t="shared" si="16"/>
        <v>1D</v>
      </c>
      <c r="X411" s="287">
        <f>_xll.qlCalendarAdvance(Calendar,X410,W411,"f",FALSE)</f>
        <v>42396</v>
      </c>
      <c r="Y411" s="281">
        <f>_xll.qlCalendarAdvance(Calendar,X411,NDays&amp;"D")</f>
        <v>42398</v>
      </c>
      <c r="Z411" s="282">
        <v>1.3027889294017214E-3</v>
      </c>
      <c r="AA411" s="284">
        <v>1.3450286446747839E-3</v>
      </c>
    </row>
    <row r="412" spans="23:27" x14ac:dyDescent="0.2">
      <c r="W412" s="203" t="str">
        <f t="shared" si="16"/>
        <v>1D</v>
      </c>
      <c r="X412" s="287">
        <f>_xll.qlCalendarAdvance(Calendar,X411,W412,"f",FALSE)</f>
        <v>42397</v>
      </c>
      <c r="Y412" s="281">
        <f>_xll.qlCalendarAdvance(Calendar,X412,NDays&amp;"D")</f>
        <v>42401</v>
      </c>
      <c r="Z412" s="282">
        <v>1.2986331609392203E-3</v>
      </c>
      <c r="AA412" s="284">
        <v>1.3430508752332315E-3</v>
      </c>
    </row>
    <row r="413" spans="23:27" x14ac:dyDescent="0.2">
      <c r="W413" s="203" t="str">
        <f t="shared" si="16"/>
        <v>1D</v>
      </c>
      <c r="X413" s="287">
        <f>_xll.qlCalendarAdvance(Calendar,X412,W413,"f",FALSE)</f>
        <v>42398</v>
      </c>
      <c r="Y413" s="281">
        <f>_xll.qlCalendarAdvance(Calendar,X413,NDays&amp;"D")</f>
        <v>42402</v>
      </c>
      <c r="Z413" s="282">
        <v>1.298155789038197E-3</v>
      </c>
      <c r="AA413" s="284">
        <v>1.3420592012103327E-3</v>
      </c>
    </row>
    <row r="414" spans="23:27" x14ac:dyDescent="0.2">
      <c r="W414" s="203" t="str">
        <f t="shared" si="16"/>
        <v>1D</v>
      </c>
      <c r="X414" s="287">
        <f>_xll.qlCalendarAdvance(Calendar,X413,W414,"f",FALSE)</f>
        <v>42401</v>
      </c>
      <c r="Y414" s="281">
        <f>_xll.qlCalendarAdvance(Calendar,X414,NDays&amp;"D")</f>
        <v>42403</v>
      </c>
      <c r="Z414" s="282">
        <v>1.2976788716656527E-3</v>
      </c>
      <c r="AA414" s="284">
        <v>1.3410643459721427E-3</v>
      </c>
    </row>
    <row r="415" spans="23:27" x14ac:dyDescent="0.2">
      <c r="W415" s="203" t="str">
        <f t="shared" si="16"/>
        <v>1D</v>
      </c>
      <c r="X415" s="287">
        <f>_xll.qlCalendarAdvance(Calendar,X414,W415,"f",FALSE)</f>
        <v>42402</v>
      </c>
      <c r="Y415" s="281">
        <f>_xll.qlCalendarAdvance(Calendar,X415,NDays&amp;"D")</f>
        <v>42404</v>
      </c>
      <c r="Z415" s="282">
        <v>1.2972024581129869E-3</v>
      </c>
      <c r="AA415" s="284">
        <v>1.3400663095186616E-3</v>
      </c>
    </row>
    <row r="416" spans="23:27" x14ac:dyDescent="0.2">
      <c r="W416" s="203" t="str">
        <f t="shared" si="16"/>
        <v>1D</v>
      </c>
      <c r="X416" s="287">
        <f>_xll.qlCalendarAdvance(Calendar,X415,W416,"f",FALSE)</f>
        <v>42403</v>
      </c>
      <c r="Y416" s="281">
        <f>_xll.qlCalendarAdvance(Calendar,X416,NDays&amp;"D")</f>
        <v>42405</v>
      </c>
      <c r="Z416" s="282">
        <v>1.2967265998347396E-3</v>
      </c>
      <c r="AA416" s="284">
        <v>1.3380646061555979E-3</v>
      </c>
    </row>
    <row r="417" spans="23:27" x14ac:dyDescent="0.2">
      <c r="W417" s="203" t="str">
        <f t="shared" si="16"/>
        <v>1D</v>
      </c>
      <c r="X417" s="287">
        <f>_xll.qlCalendarAdvance(Calendar,X416,W417,"f",FALSE)</f>
        <v>42404</v>
      </c>
      <c r="Y417" s="281">
        <f>_xll.qlCalendarAdvance(Calendar,X417,NDays&amp;"D")</f>
        <v>42408</v>
      </c>
      <c r="Z417" s="282">
        <v>1.2944208396119857E-3</v>
      </c>
      <c r="AA417" s="284">
        <v>1.3360423521913134E-3</v>
      </c>
    </row>
    <row r="418" spans="23:27" x14ac:dyDescent="0.2">
      <c r="W418" s="203" t="str">
        <f t="shared" si="16"/>
        <v>1D</v>
      </c>
      <c r="X418" s="287">
        <f>_xll.qlCalendarAdvance(Calendar,X417,W418,"f",FALSE)</f>
        <v>42405</v>
      </c>
      <c r="Y418" s="281">
        <f>_xll.qlCalendarAdvance(Calendar,X418,NDays&amp;"D")</f>
        <v>42409</v>
      </c>
      <c r="Z418" s="282">
        <v>1.2939535762033216E-3</v>
      </c>
      <c r="AA418" s="284">
        <v>1.3350284099011844E-3</v>
      </c>
    </row>
    <row r="419" spans="23:27" x14ac:dyDescent="0.2">
      <c r="W419" s="203" t="str">
        <f t="shared" si="16"/>
        <v>1D</v>
      </c>
      <c r="X419" s="287">
        <f>_xll.qlCalendarAdvance(Calendar,X418,W419,"f",FALSE)</f>
        <v>42408</v>
      </c>
      <c r="Y419" s="281">
        <f>_xll.qlCalendarAdvance(Calendar,X419,NDays&amp;"D")</f>
        <v>42410</v>
      </c>
      <c r="Z419" s="282">
        <v>1.2932081037888565E-3</v>
      </c>
      <c r="AA419" s="284">
        <v>1.3335036038997217E-3</v>
      </c>
    </row>
    <row r="420" spans="23:27" x14ac:dyDescent="0.2">
      <c r="W420" s="203" t="str">
        <f t="shared" si="16"/>
        <v>1D</v>
      </c>
      <c r="X420" s="287">
        <f>_xll.qlCalendarAdvance(Calendar,X419,W420,"f",FALSE)</f>
        <v>42409</v>
      </c>
      <c r="Y420" s="281">
        <f>_xll.qlCalendarAdvance(Calendar,X420,NDays&amp;"D")</f>
        <v>42412</v>
      </c>
      <c r="Z420" s="282">
        <v>1.2917491933794878E-3</v>
      </c>
      <c r="AA420" s="284">
        <v>1.3309446892328936E-3</v>
      </c>
    </row>
    <row r="421" spans="23:27" x14ac:dyDescent="0.2">
      <c r="W421" s="203" t="str">
        <f t="shared" si="16"/>
        <v>1D</v>
      </c>
      <c r="X421" s="287">
        <f>_xll.qlCalendarAdvance(Calendar,X420,W421,"f",FALSE)</f>
        <v>42410</v>
      </c>
      <c r="Y421" s="281">
        <f>_xll.qlCalendarAdvance(Calendar,X421,NDays&amp;"D")</f>
        <v>42415</v>
      </c>
      <c r="Z421" s="282">
        <v>1.2917491933794878E-3</v>
      </c>
      <c r="AA421" s="284">
        <v>1.3288779515985283E-3</v>
      </c>
    </row>
    <row r="422" spans="23:27" x14ac:dyDescent="0.2">
      <c r="W422" s="203" t="str">
        <f t="shared" si="16"/>
        <v>1D</v>
      </c>
      <c r="X422" s="287">
        <f>_xll.qlCalendarAdvance(Calendar,X421,W422,"f",FALSE)</f>
        <v>42412</v>
      </c>
      <c r="Y422" s="281">
        <f>_xll.qlCalendarAdvance(Calendar,X422,NDays&amp;"D")</f>
        <v>42416</v>
      </c>
      <c r="Z422" s="282">
        <v>1.2889658375501156E-3</v>
      </c>
      <c r="AA422" s="284">
        <v>1.3278417411211052E-3</v>
      </c>
    </row>
    <row r="423" spans="23:27" x14ac:dyDescent="0.2">
      <c r="W423" s="203" t="str">
        <f t="shared" si="16"/>
        <v>1D</v>
      </c>
      <c r="X423" s="287">
        <f>_xll.qlCalendarAdvance(Calendar,X422,W423,"f",FALSE)</f>
        <v>42415</v>
      </c>
      <c r="Y423" s="281">
        <f>_xll.qlCalendarAdvance(Calendar,X423,NDays&amp;"D")</f>
        <v>42417</v>
      </c>
      <c r="Z423" s="282">
        <v>1.2882993303220402E-3</v>
      </c>
      <c r="AA423" s="284">
        <v>1.3268023494283909E-3</v>
      </c>
    </row>
    <row r="424" spans="23:27" x14ac:dyDescent="0.2">
      <c r="W424" s="203" t="str">
        <f t="shared" si="16"/>
        <v>1D</v>
      </c>
      <c r="X424" s="287">
        <f>_xll.qlCalendarAdvance(Calendar,X423,W424,"f",FALSE)</f>
        <v>42416</v>
      </c>
      <c r="Y424" s="281">
        <f>_xll.qlCalendarAdvance(Calendar,X424,NDays&amp;"D")</f>
        <v>42418</v>
      </c>
      <c r="Z424" s="282">
        <v>1.2876450077357049E-3</v>
      </c>
      <c r="AA424" s="284">
        <v>1.3257597766003215E-3</v>
      </c>
    </row>
    <row r="425" spans="23:27" x14ac:dyDescent="0.2">
      <c r="W425" s="203" t="str">
        <f t="shared" si="16"/>
        <v>1D</v>
      </c>
      <c r="X425" s="287">
        <f>_xll.qlCalendarAdvance(Calendar,X424,W425,"f",FALSE)</f>
        <v>42417</v>
      </c>
      <c r="Y425" s="281">
        <f>_xll.qlCalendarAdvance(Calendar,X425,NDays&amp;"D")</f>
        <v>42419</v>
      </c>
      <c r="Z425" s="282">
        <v>1.287003095765904E-3</v>
      </c>
      <c r="AA425" s="284">
        <v>1.3236688938800256E-3</v>
      </c>
    </row>
    <row r="426" spans="23:27" x14ac:dyDescent="0.2">
      <c r="W426" s="203" t="str">
        <f t="shared" si="16"/>
        <v>1D</v>
      </c>
      <c r="X426" s="287">
        <f>_xll.qlCalendarAdvance(Calendar,X425,W426,"f",FALSE)</f>
        <v>42418</v>
      </c>
      <c r="Y426" s="281">
        <f>_xll.qlCalendarAdvance(Calendar,X426,NDays&amp;"D")</f>
        <v>42422</v>
      </c>
      <c r="Z426" s="282">
        <v>1.2849752604474471E-3</v>
      </c>
      <c r="AA426" s="284">
        <v>1.3215576734548762E-3</v>
      </c>
    </row>
    <row r="427" spans="23:27" x14ac:dyDescent="0.2">
      <c r="W427" s="203" t="str">
        <f t="shared" si="16"/>
        <v>1D</v>
      </c>
      <c r="X427" s="287">
        <f>_xll.qlCalendarAdvance(Calendar,X426,W427,"f",FALSE)</f>
        <v>42419</v>
      </c>
      <c r="Y427" s="281">
        <f>_xll.qlCalendarAdvance(Calendar,X427,NDays&amp;"D")</f>
        <v>42423</v>
      </c>
      <c r="Z427" s="282">
        <v>1.2845640735656971E-3</v>
      </c>
      <c r="AA427" s="284">
        <v>1.320499194790159E-3</v>
      </c>
    </row>
    <row r="428" spans="23:27" x14ac:dyDescent="0.2">
      <c r="W428" s="203" t="str">
        <f t="shared" si="16"/>
        <v>1D</v>
      </c>
      <c r="X428" s="287">
        <f>_xll.qlCalendarAdvance(Calendar,X427,W428,"f",FALSE)</f>
        <v>42422</v>
      </c>
      <c r="Y428" s="281">
        <f>_xll.qlCalendarAdvance(Calendar,X428,NDays&amp;"D")</f>
        <v>42424</v>
      </c>
      <c r="Z428" s="282">
        <v>1.2839876043102549E-3</v>
      </c>
      <c r="AA428" s="284">
        <v>1.3194375348302145E-3</v>
      </c>
    </row>
    <row r="429" spans="23:27" x14ac:dyDescent="0.2">
      <c r="W429" s="203" t="str">
        <f t="shared" si="16"/>
        <v>1D</v>
      </c>
      <c r="X429" s="287">
        <f>_xll.qlCalendarAdvance(Calendar,X428,W429,"f",FALSE)</f>
        <v>42423</v>
      </c>
      <c r="Y429" s="281">
        <f>_xll.qlCalendarAdvance(Calendar,X429,NDays&amp;"D")</f>
        <v>42425</v>
      </c>
      <c r="Z429" s="282">
        <v>1.2834249015218901E-3</v>
      </c>
      <c r="AA429" s="284">
        <v>1.3183726937349149E-3</v>
      </c>
    </row>
    <row r="430" spans="23:27" x14ac:dyDescent="0.2">
      <c r="W430" s="203" t="str">
        <f t="shared" si="16"/>
        <v>1D</v>
      </c>
      <c r="X430" s="287">
        <f>_xll.qlCalendarAdvance(Calendar,X429,W430,"f",FALSE)</f>
        <v>42424</v>
      </c>
      <c r="Y430" s="281">
        <f>_xll.qlCalendarAdvance(Calendar,X430,NDays&amp;"D")</f>
        <v>42426</v>
      </c>
      <c r="Z430" s="282">
        <v>1.2828761911771736E-3</v>
      </c>
      <c r="AA430" s="284">
        <v>1.3162372201236394E-3</v>
      </c>
    </row>
    <row r="431" spans="23:27" x14ac:dyDescent="0.2">
      <c r="W431" s="203" t="str">
        <f t="shared" si="16"/>
        <v>1D</v>
      </c>
      <c r="X431" s="287">
        <f>_xll.qlCalendarAdvance(Calendar,X430,W431,"f",FALSE)</f>
        <v>42425</v>
      </c>
      <c r="Y431" s="281">
        <f>_xll.qlCalendarAdvance(Calendar,X431,NDays&amp;"D")</f>
        <v>42429</v>
      </c>
      <c r="Z431" s="282">
        <v>1.281081164674528E-3</v>
      </c>
      <c r="AA431" s="284">
        <v>1.3140815177603571E-3</v>
      </c>
    </row>
    <row r="432" spans="23:27" x14ac:dyDescent="0.2">
      <c r="W432" s="203" t="str">
        <f t="shared" si="16"/>
        <v>1D</v>
      </c>
      <c r="X432" s="287">
        <f>_xll.qlCalendarAdvance(Calendar,X431,W432,"f",FALSE)</f>
        <v>42426</v>
      </c>
      <c r="Y432" s="281">
        <f>_xll.qlCalendarAdvance(Calendar,X432,NDays&amp;"D")</f>
        <v>42430</v>
      </c>
      <c r="Z432" s="282">
        <v>1.2806076147144135E-3</v>
      </c>
      <c r="AA432" s="284">
        <v>1.3130007708284097E-3</v>
      </c>
    </row>
    <row r="433" spans="23:27" x14ac:dyDescent="0.2">
      <c r="W433" s="203" t="str">
        <f t="shared" si="16"/>
        <v>1D</v>
      </c>
      <c r="X433" s="287">
        <f>_xll.qlCalendarAdvance(Calendar,X432,W433,"f",FALSE)</f>
        <v>42429</v>
      </c>
      <c r="Y433" s="281">
        <f>_xll.qlCalendarAdvance(Calendar,X433,NDays&amp;"D")</f>
        <v>42431</v>
      </c>
      <c r="Z433" s="282">
        <v>1.2801492313909413E-3</v>
      </c>
      <c r="AA433" s="284">
        <v>1.3119168426811711E-3</v>
      </c>
    </row>
    <row r="434" spans="23:27" x14ac:dyDescent="0.2">
      <c r="W434" s="203" t="str">
        <f t="shared" si="16"/>
        <v>1D</v>
      </c>
      <c r="X434" s="287">
        <f>_xll.qlCalendarAdvance(Calendar,X433,W434,"f",FALSE)</f>
        <v>42430</v>
      </c>
      <c r="Y434" s="281">
        <f>_xll.qlCalendarAdvance(Calendar,X434,NDays&amp;"D")</f>
        <v>42432</v>
      </c>
      <c r="Z434" s="282">
        <v>1.2797062357690168E-3</v>
      </c>
      <c r="AA434" s="284">
        <v>1.3108297333985774E-3</v>
      </c>
    </row>
    <row r="435" spans="23:27" x14ac:dyDescent="0.2">
      <c r="W435" s="203" t="str">
        <f t="shared" si="16"/>
        <v>1D</v>
      </c>
      <c r="X435" s="287">
        <f>_xll.qlCalendarAdvance(Calendar,X434,W435,"f",FALSE)</f>
        <v>42431</v>
      </c>
      <c r="Y435" s="281">
        <f>_xll.qlCalendarAdvance(Calendar,X435,NDays&amp;"D")</f>
        <v>42433</v>
      </c>
      <c r="Z435" s="282">
        <v>1.279134573901608E-3</v>
      </c>
      <c r="AA435" s="284">
        <v>1.3086496680170256E-3</v>
      </c>
    </row>
    <row r="436" spans="23:27" x14ac:dyDescent="0.2">
      <c r="W436" s="203" t="str">
        <f t="shared" si="16"/>
        <v>1D</v>
      </c>
      <c r="X436" s="287">
        <f>_xll.qlCalendarAdvance(Calendar,X435,W436,"f",FALSE)</f>
        <v>42432</v>
      </c>
      <c r="Y436" s="281">
        <f>_xll.qlCalendarAdvance(Calendar,X436,NDays&amp;"D")</f>
        <v>42436</v>
      </c>
      <c r="Z436" s="282">
        <v>1.278092551583611E-3</v>
      </c>
      <c r="AA436" s="284">
        <v>1.306449484514971E-3</v>
      </c>
    </row>
    <row r="437" spans="23:27" x14ac:dyDescent="0.2">
      <c r="W437" s="203" t="str">
        <f t="shared" si="16"/>
        <v>1D</v>
      </c>
      <c r="X437" s="287">
        <f>_xll.qlCalendarAdvance(Calendar,X436,W437,"f",FALSE)</f>
        <v>42433</v>
      </c>
      <c r="Y437" s="281">
        <f>_xll.qlCalendarAdvance(Calendar,X437,NDays&amp;"D")</f>
        <v>42437</v>
      </c>
      <c r="Z437" s="282">
        <v>1.2777298104360568E-3</v>
      </c>
      <c r="AA437" s="284">
        <v>1.3053464693957295E-3</v>
      </c>
    </row>
    <row r="438" spans="23:27" x14ac:dyDescent="0.2">
      <c r="W438" s="203" t="str">
        <f t="shared" si="16"/>
        <v>1D</v>
      </c>
      <c r="X438" s="287">
        <f>_xll.qlCalendarAdvance(Calendar,X437,W438,"f",FALSE)</f>
        <v>42436</v>
      </c>
      <c r="Y438" s="281">
        <f>_xll.qlCalendarAdvance(Calendar,X438,NDays&amp;"D")</f>
        <v>42438</v>
      </c>
      <c r="Z438" s="282">
        <v>1.2773837833786148E-3</v>
      </c>
      <c r="AA438" s="284">
        <v>1.3042402729812608E-3</v>
      </c>
    </row>
    <row r="439" spans="23:27" x14ac:dyDescent="0.2">
      <c r="W439" s="203" t="str">
        <f t="shared" si="16"/>
        <v>1D</v>
      </c>
      <c r="X439" s="287">
        <f>_xll.qlCalendarAdvance(Calendar,X438,W439,"f",FALSE)</f>
        <v>42437</v>
      </c>
      <c r="Y439" s="281">
        <f>_xll.qlCalendarAdvance(Calendar,X439,NDays&amp;"D")</f>
        <v>42439</v>
      </c>
      <c r="Z439" s="282">
        <v>1.27705469147619E-3</v>
      </c>
      <c r="AA439" s="284">
        <v>1.3031342841607341E-3</v>
      </c>
    </row>
    <row r="440" spans="23:27" x14ac:dyDescent="0.2">
      <c r="W440" s="203" t="str">
        <f t="shared" si="16"/>
        <v>1D</v>
      </c>
      <c r="X440" s="287">
        <f>_xll.qlCalendarAdvance(Calendar,X439,W440,"f",FALSE)</f>
        <v>42438</v>
      </c>
      <c r="Y440" s="281">
        <f>_xll.qlCalendarAdvance(Calendar,X440,NDays&amp;"D")</f>
        <v>42440</v>
      </c>
      <c r="Z440" s="282">
        <v>1.2767179689531156E-3</v>
      </c>
      <c r="AA440" s="284">
        <v>1.3009773994898666E-3</v>
      </c>
    </row>
    <row r="441" spans="23:27" x14ac:dyDescent="0.2">
      <c r="W441" s="203" t="str">
        <f t="shared" si="16"/>
        <v>1D</v>
      </c>
      <c r="X441" s="287">
        <f>_xll.qlCalendarAdvance(Calendar,X440,W441,"f",FALSE)</f>
        <v>42439</v>
      </c>
      <c r="Y441" s="281">
        <f>_xll.qlCalendarAdvance(Calendar,X441,NDays&amp;"D")</f>
        <v>42443</v>
      </c>
      <c r="Z441" s="282">
        <v>1.2759088136261925E-3</v>
      </c>
      <c r="AA441" s="284">
        <v>1.2988682807701935E-3</v>
      </c>
    </row>
    <row r="442" spans="23:27" x14ac:dyDescent="0.2">
      <c r="W442" s="203" t="str">
        <f t="shared" si="16"/>
        <v>1D</v>
      </c>
      <c r="X442" s="287">
        <f>_xll.qlCalendarAdvance(Calendar,X441,W442,"f",FALSE)</f>
        <v>42440</v>
      </c>
      <c r="Y442" s="281">
        <f>_xll.qlCalendarAdvance(Calendar,X442,NDays&amp;"D")</f>
        <v>42444</v>
      </c>
      <c r="Z442" s="282">
        <v>1.2756645842816185E-3</v>
      </c>
      <c r="AA442" s="284">
        <v>1.297844656544811E-3</v>
      </c>
    </row>
    <row r="443" spans="23:27" x14ac:dyDescent="0.2">
      <c r="W443" s="203" t="str">
        <f t="shared" si="16"/>
        <v>1D</v>
      </c>
      <c r="X443" s="287">
        <f>_xll.qlCalendarAdvance(Calendar,X442,W443,"f",FALSE)</f>
        <v>42443</v>
      </c>
      <c r="Y443" s="281">
        <f>_xll.qlCalendarAdvance(Calendar,X443,NDays&amp;"D")</f>
        <v>42445</v>
      </c>
      <c r="Z443" s="282">
        <v>1.2754370775368707E-3</v>
      </c>
      <c r="AA443" s="284">
        <v>1.296838183000304E-3</v>
      </c>
    </row>
    <row r="444" spans="23:27" x14ac:dyDescent="0.2">
      <c r="W444" s="203" t="str">
        <f t="shared" si="16"/>
        <v>1D</v>
      </c>
      <c r="X444" s="287">
        <f>_xll.qlCalendarAdvance(Calendar,X443,W444,"f",FALSE)</f>
        <v>42444</v>
      </c>
      <c r="Y444" s="281">
        <f>_xll.qlCalendarAdvance(Calendar,X444,NDays&amp;"D")</f>
        <v>42446</v>
      </c>
      <c r="Z444" s="282">
        <v>1.2752262066700159E-3</v>
      </c>
      <c r="AA444" s="284">
        <v>1.2958488601366724E-3</v>
      </c>
    </row>
    <row r="445" spans="23:27" x14ac:dyDescent="0.2">
      <c r="W445" s="203" t="str">
        <f t="shared" si="16"/>
        <v>1D</v>
      </c>
      <c r="X445" s="287">
        <f>_xll.qlCalendarAdvance(Calendar,X444,W445,"f",FALSE)</f>
        <v>42445</v>
      </c>
      <c r="Y445" s="281">
        <f>_xll.qlCalendarAdvance(Calendar,X445,NDays&amp;"D")</f>
        <v>42447</v>
      </c>
      <c r="Z445" s="282">
        <v>1.2751208531518029E-3</v>
      </c>
      <c r="AA445" s="284">
        <v>1.2934682772858253E-3</v>
      </c>
    </row>
    <row r="446" spans="23:27" x14ac:dyDescent="0.2">
      <c r="W446" s="203" t="str">
        <f t="shared" si="16"/>
        <v>1D</v>
      </c>
      <c r="X446" s="287">
        <f>_xll.qlCalendarAdvance(Calendar,X445,W446,"f",FALSE)</f>
        <v>42446</v>
      </c>
      <c r="Y446" s="281">
        <f>_xll.qlCalendarAdvance(Calendar,X446,NDays&amp;"D")</f>
        <v>42451</v>
      </c>
      <c r="Z446" s="282">
        <v>1.2744183551834402E-3</v>
      </c>
      <c r="AA446" s="284">
        <v>1.291159505711903E-3</v>
      </c>
    </row>
    <row r="447" spans="23:27" x14ac:dyDescent="0.2">
      <c r="W447" s="203" t="str">
        <f t="shared" si="16"/>
        <v>1D</v>
      </c>
      <c r="X447" s="287">
        <f>_xll.qlCalendarAdvance(Calendar,X446,W447,"f",FALSE)</f>
        <v>42447</v>
      </c>
      <c r="Y447" s="281">
        <f>_xll.qlCalendarAdvance(Calendar,X447,NDays&amp;"D")</f>
        <v>42452</v>
      </c>
      <c r="Z447" s="282">
        <v>1.2744183551834402E-3</v>
      </c>
      <c r="AA447" s="284">
        <v>1.2902730867736523E-3</v>
      </c>
    </row>
    <row r="448" spans="23:27" x14ac:dyDescent="0.2">
      <c r="W448" s="203" t="str">
        <f t="shared" si="16"/>
        <v>1D</v>
      </c>
      <c r="X448" s="287">
        <f>_xll.qlCalendarAdvance(Calendar,X447,W448,"f",FALSE)</f>
        <v>42451</v>
      </c>
      <c r="Y448" s="281">
        <f>_xll.qlCalendarAdvance(Calendar,X448,NDays&amp;"D")</f>
        <v>42453</v>
      </c>
      <c r="Z448" s="282">
        <v>1.2742086304371749E-3</v>
      </c>
      <c r="AA448" s="284">
        <v>1.287743097211802E-3</v>
      </c>
    </row>
    <row r="449" spans="23:27" x14ac:dyDescent="0.2">
      <c r="W449" s="203" t="str">
        <f t="shared" si="16"/>
        <v>1D</v>
      </c>
      <c r="X449" s="287">
        <f>_xll.qlCalendarAdvance(Calendar,X448,W449,"f",FALSE)</f>
        <v>42452</v>
      </c>
      <c r="Y449" s="281">
        <f>_xll.qlCalendarAdvance(Calendar,X449,NDays&amp;"D")</f>
        <v>42458</v>
      </c>
      <c r="Z449" s="282">
        <v>1.2739617876778987E-3</v>
      </c>
      <c r="AA449" s="284">
        <v>1.2853147371227891E-3</v>
      </c>
    </row>
    <row r="450" spans="23:27" x14ac:dyDescent="0.2">
      <c r="W450" s="203" t="str">
        <f t="shared" si="16"/>
        <v>1D</v>
      </c>
      <c r="X450" s="287">
        <f>_xll.qlCalendarAdvance(Calendar,X449,W450,"f",FALSE)</f>
        <v>42453</v>
      </c>
      <c r="Y450" s="281">
        <f>_xll.qlCalendarAdvance(Calendar,X450,NDays&amp;"D")</f>
        <v>42459</v>
      </c>
      <c r="Z450" s="282">
        <v>1.2739592914911631E-3</v>
      </c>
      <c r="AA450" s="284">
        <v>1.2845483728707308E-3</v>
      </c>
    </row>
    <row r="451" spans="23:27" x14ac:dyDescent="0.2">
      <c r="W451" s="203" t="str">
        <f t="shared" si="16"/>
        <v>1D</v>
      </c>
      <c r="X451" s="287">
        <f>_xll.qlCalendarAdvance(Calendar,X450,W451,"f",FALSE)</f>
        <v>42458</v>
      </c>
      <c r="Y451" s="281">
        <f>_xll.qlCalendarAdvance(Calendar,X451,NDays&amp;"D")</f>
        <v>42460</v>
      </c>
      <c r="Z451" s="282">
        <v>1.2738383826626334E-3</v>
      </c>
      <c r="AA451" s="284">
        <v>1.2837991592196119E-3</v>
      </c>
    </row>
    <row r="452" spans="23:27" x14ac:dyDescent="0.2">
      <c r="W452" s="203" t="str">
        <f t="shared" si="16"/>
        <v>1D</v>
      </c>
      <c r="X452" s="287">
        <f>_xll.qlCalendarAdvance(Calendar,X451,W452,"f",FALSE)</f>
        <v>42459</v>
      </c>
      <c r="Y452" s="281">
        <f>_xll.qlCalendarAdvance(Calendar,X452,NDays&amp;"D")</f>
        <v>42461</v>
      </c>
      <c r="Z452" s="282">
        <v>1.2738596859813028E-3</v>
      </c>
      <c r="AA452" s="284">
        <v>1.2823624686930657E-3</v>
      </c>
    </row>
    <row r="453" spans="23:27" x14ac:dyDescent="0.2">
      <c r="W453" s="203" t="str">
        <f t="shared" si="16"/>
        <v>1D</v>
      </c>
      <c r="X453" s="287">
        <f>_xll.qlCalendarAdvance(Calendar,X452,W453,"f",FALSE)</f>
        <v>42460</v>
      </c>
      <c r="Y453" s="281">
        <f>_xll.qlCalendarAdvance(Calendar,X453,NDays&amp;"D")</f>
        <v>42464</v>
      </c>
      <c r="Z453" s="282">
        <v>1.2740151351653772E-3</v>
      </c>
      <c r="AA453" s="284">
        <v>1.2809738111840829E-3</v>
      </c>
    </row>
    <row r="454" spans="23:27" x14ac:dyDescent="0.2">
      <c r="W454" s="203" t="str">
        <f t="shared" si="16"/>
        <v>1D</v>
      </c>
      <c r="X454" s="287">
        <f>_xll.qlCalendarAdvance(Calendar,X453,W454,"f",FALSE)</f>
        <v>42461</v>
      </c>
      <c r="Y454" s="281">
        <f>_xll.qlCalendarAdvance(Calendar,X454,NDays&amp;"D")</f>
        <v>42465</v>
      </c>
      <c r="Z454" s="282">
        <v>1.2740971723960123E-3</v>
      </c>
      <c r="AA454" s="284">
        <v>1.2803103508574054E-3</v>
      </c>
    </row>
    <row r="455" spans="23:27" x14ac:dyDescent="0.2">
      <c r="W455" s="203" t="str">
        <f t="shared" si="16"/>
        <v>1D</v>
      </c>
      <c r="X455" s="287">
        <f>_xll.qlCalendarAdvance(Calendar,X454,W455,"f",FALSE)</f>
        <v>42464</v>
      </c>
      <c r="Y455" s="281">
        <f>_xll.qlCalendarAdvance(Calendar,X455,NDays&amp;"D")</f>
        <v>42466</v>
      </c>
      <c r="Z455" s="282">
        <v>1.27419417392458E-3</v>
      </c>
      <c r="AA455" s="284">
        <v>1.2796640412116034E-3</v>
      </c>
    </row>
    <row r="456" spans="23:27" x14ac:dyDescent="0.2">
      <c r="W456" s="203" t="str">
        <f t="shared" si="16"/>
        <v>1D</v>
      </c>
      <c r="X456" s="287">
        <f>_xll.qlCalendarAdvance(Calendar,X455,W456,"f",FALSE)</f>
        <v>42465</v>
      </c>
      <c r="Y456" s="281">
        <f>_xll.qlCalendarAdvance(Calendar,X456,NDays&amp;"D")</f>
        <v>42467</v>
      </c>
      <c r="Z456" s="282">
        <v>1.2743060520779151E-3</v>
      </c>
      <c r="AA456" s="284">
        <v>1.2790348821667408E-3</v>
      </c>
    </row>
    <row r="457" spans="23:27" x14ac:dyDescent="0.2">
      <c r="W457" s="203" t="str">
        <f t="shared" si="16"/>
        <v>1D</v>
      </c>
      <c r="X457" s="287">
        <f>_xll.qlCalendarAdvance(Calendar,X456,W457,"f",FALSE)</f>
        <v>42466</v>
      </c>
      <c r="Y457" s="281">
        <f>_xll.qlCalendarAdvance(Calendar,X457,NDays&amp;"D")</f>
        <v>42468</v>
      </c>
      <c r="Z457" s="282">
        <v>1.2744327191846086E-3</v>
      </c>
      <c r="AA457" s="284">
        <v>1.277838268718412E-3</v>
      </c>
    </row>
    <row r="458" spans="23:27" x14ac:dyDescent="0.2">
      <c r="W458" s="203" t="str">
        <f t="shared" si="16"/>
        <v>1D</v>
      </c>
      <c r="X458" s="287">
        <f>_xll.qlCalendarAdvance(Calendar,X457,W458,"f",FALSE)</f>
        <v>42467</v>
      </c>
      <c r="Y458" s="281">
        <f>_xll.qlCalendarAdvance(Calendar,X458,NDays&amp;"D")</f>
        <v>42471</v>
      </c>
      <c r="Z458" s="282">
        <v>1.2749005775160259E-3</v>
      </c>
      <c r="AA458" s="284">
        <v>1.2766897526361731E-3</v>
      </c>
    </row>
    <row r="459" spans="23:27" x14ac:dyDescent="0.2">
      <c r="W459" s="203" t="str">
        <f t="shared" si="16"/>
        <v>1D</v>
      </c>
      <c r="X459" s="287">
        <f>_xll.qlCalendarAdvance(Calendar,X458,W459,"f",FALSE)</f>
        <v>42468</v>
      </c>
      <c r="Y459" s="281">
        <f>_xll.qlCalendarAdvance(Calendar,X459,NDays&amp;"D")</f>
        <v>42472</v>
      </c>
      <c r="Z459" s="282">
        <v>1.2750855237247034E-3</v>
      </c>
      <c r="AA459" s="284">
        <v>1.2761463469157519E-3</v>
      </c>
    </row>
    <row r="460" spans="23:27" x14ac:dyDescent="0.2">
      <c r="W460" s="203" t="str">
        <f t="shared" si="16"/>
        <v>1D</v>
      </c>
      <c r="X460" s="287">
        <f>_xll.qlCalendarAdvance(Calendar,X459,W460,"f",FALSE)</f>
        <v>42471</v>
      </c>
      <c r="Y460" s="281">
        <f>_xll.qlCalendarAdvance(Calendar,X460,NDays&amp;"D")</f>
        <v>42473</v>
      </c>
      <c r="Z460" s="282">
        <v>1.2752848205314533E-3</v>
      </c>
      <c r="AA460" s="284">
        <v>1.2756200918762062E-3</v>
      </c>
    </row>
    <row r="461" spans="23:27" x14ac:dyDescent="0.2">
      <c r="W461" s="203" t="str">
        <f t="shared" si="16"/>
        <v>1D</v>
      </c>
      <c r="X461" s="287">
        <f>_xll.qlCalendarAdvance(Calendar,X460,W461,"f",FALSE)</f>
        <v>42472</v>
      </c>
      <c r="Y461" s="281">
        <f>_xll.qlCalendarAdvance(Calendar,X461,NDays&amp;"D")</f>
        <v>42474</v>
      </c>
      <c r="Z461" s="282">
        <v>1.2754983802639888E-3</v>
      </c>
      <c r="AA461" s="284">
        <v>1.2751109874375999E-3</v>
      </c>
    </row>
    <row r="462" spans="23:27" x14ac:dyDescent="0.2">
      <c r="W462" s="203" t="str">
        <f t="shared" si="16"/>
        <v>1D</v>
      </c>
      <c r="X462" s="287">
        <f>_xll.qlCalendarAdvance(Calendar,X461,W462,"f",FALSE)</f>
        <v>42473</v>
      </c>
      <c r="Y462" s="281">
        <f>_xll.qlCalendarAdvance(Calendar,X462,NDays&amp;"D")</f>
        <v>42475</v>
      </c>
      <c r="Z462" s="282">
        <v>1.2757261152535366E-3</v>
      </c>
      <c r="AA462" s="284">
        <v>1.2741544570360475E-3</v>
      </c>
    </row>
    <row r="463" spans="23:27" x14ac:dyDescent="0.2">
      <c r="W463" s="203" t="str">
        <f t="shared" si="16"/>
        <v>1D</v>
      </c>
      <c r="X463" s="287">
        <f>_xll.qlCalendarAdvance(Calendar,X462,W463,"f",FALSE)</f>
        <v>42474</v>
      </c>
      <c r="Y463" s="281">
        <f>_xll.qlCalendarAdvance(Calendar,X463,NDays&amp;"D")</f>
        <v>42478</v>
      </c>
      <c r="Z463" s="282">
        <v>1.2767431407787757E-3</v>
      </c>
      <c r="AA463" s="284">
        <v>1.2732460763320574E-3</v>
      </c>
    </row>
    <row r="464" spans="23:27" x14ac:dyDescent="0.2">
      <c r="W464" s="203" t="str">
        <f t="shared" si="16"/>
        <v>1D</v>
      </c>
      <c r="X464" s="287">
        <f>_xll.qlCalendarAdvance(Calendar,X463,W464,"f",FALSE)</f>
        <v>42475</v>
      </c>
      <c r="Y464" s="281">
        <f>_xll.qlCalendarAdvance(Calendar,X464,NDays&amp;"D")</f>
        <v>42479</v>
      </c>
      <c r="Z464" s="282">
        <v>1.2767770543607041E-3</v>
      </c>
      <c r="AA464" s="284">
        <v>1.2728227252178925E-3</v>
      </c>
    </row>
    <row r="465" spans="23:27" x14ac:dyDescent="0.2">
      <c r="W465" s="203" t="str">
        <f t="shared" si="16"/>
        <v>1D</v>
      </c>
      <c r="X465" s="287">
        <f>_xll.qlCalendarAdvance(Calendar,X464,W465,"f",FALSE)</f>
        <v>42478</v>
      </c>
      <c r="Y465" s="281">
        <f>_xll.qlCalendarAdvance(Calendar,X465,NDays&amp;"D")</f>
        <v>42480</v>
      </c>
      <c r="Z465" s="282">
        <v>1.277074350573846E-3</v>
      </c>
      <c r="AA465" s="284">
        <v>1.272416524704667E-3</v>
      </c>
    </row>
    <row r="466" spans="23:27" x14ac:dyDescent="0.2">
      <c r="W466" s="203" t="str">
        <f t="shared" si="16"/>
        <v>1D</v>
      </c>
      <c r="X466" s="287">
        <f>_xll.qlCalendarAdvance(Calendar,X465,W466,"f",FALSE)</f>
        <v>42479</v>
      </c>
      <c r="Y466" s="281">
        <f>_xll.qlCalendarAdvance(Calendar,X466,NDays&amp;"D")</f>
        <v>42481</v>
      </c>
      <c r="Z466" s="282">
        <v>1.2773852960208192E-3</v>
      </c>
      <c r="AA466" s="284">
        <v>1.2720274749522531E-3</v>
      </c>
    </row>
    <row r="467" spans="23:27" x14ac:dyDescent="0.2">
      <c r="W467" s="203" t="str">
        <f t="shared" si="16"/>
        <v>1D</v>
      </c>
      <c r="X467" s="287">
        <f>_xll.qlCalendarAdvance(Calendar,X466,W467,"f",FALSE)</f>
        <v>42480</v>
      </c>
      <c r="Y467" s="281">
        <f>_xll.qlCalendarAdvance(Calendar,X467,NDays&amp;"D")</f>
        <v>42482</v>
      </c>
      <c r="Z467" s="282">
        <v>1.2777098030337286E-3</v>
      </c>
      <c r="AA467" s="284">
        <v>1.2713110336193267E-3</v>
      </c>
    </row>
    <row r="468" spans="23:27" x14ac:dyDescent="0.2">
      <c r="W468" s="203" t="str">
        <f t="shared" si="16"/>
        <v>1D</v>
      </c>
      <c r="X468" s="287">
        <f>_xll.qlCalendarAdvance(Calendar,X467,W468,"f",FALSE)</f>
        <v>42481</v>
      </c>
      <c r="Y468" s="281">
        <f>_xll.qlCalendarAdvance(Calendar,X468,NDays&amp;"D")</f>
        <v>42485</v>
      </c>
      <c r="Z468" s="282">
        <v>1.278763816761015E-3</v>
      </c>
      <c r="AA468" s="284">
        <v>1.2706427821917998E-3</v>
      </c>
    </row>
    <row r="469" spans="23:27" x14ac:dyDescent="0.2">
      <c r="W469" s="203" t="str">
        <f t="shared" ref="W469:W532" si="17">W468</f>
        <v>1D</v>
      </c>
      <c r="X469" s="287">
        <f>_xll.qlCalendarAdvance(Calendar,X468,W469,"f",FALSE)</f>
        <v>42482</v>
      </c>
      <c r="Y469" s="281">
        <f>_xll.qlCalendarAdvance(Calendar,X469,NDays&amp;"D")</f>
        <v>42486</v>
      </c>
      <c r="Z469" s="282">
        <v>1.279141693335881E-3</v>
      </c>
      <c r="AA469" s="284">
        <v>1.2703394856838912E-3</v>
      </c>
    </row>
    <row r="470" spans="23:27" x14ac:dyDescent="0.2">
      <c r="W470" s="203" t="str">
        <f t="shared" si="17"/>
        <v>1D</v>
      </c>
      <c r="X470" s="287">
        <f>_xll.qlCalendarAdvance(Calendar,X469,W470,"f",FALSE)</f>
        <v>42485</v>
      </c>
      <c r="Y470" s="281">
        <f>_xll.qlCalendarAdvance(Calendar,X470,NDays&amp;"D")</f>
        <v>42487</v>
      </c>
      <c r="Z470" s="282">
        <v>1.2795326931275459E-3</v>
      </c>
      <c r="AA470" s="284">
        <v>1.270053339776922E-3</v>
      </c>
    </row>
    <row r="471" spans="23:27" x14ac:dyDescent="0.2">
      <c r="W471" s="203" t="str">
        <f t="shared" si="17"/>
        <v>1D</v>
      </c>
      <c r="X471" s="287">
        <f>_xll.qlCalendarAdvance(Calendar,X470,W471,"f",FALSE)</f>
        <v>42486</v>
      </c>
      <c r="Y471" s="281">
        <f>_xll.qlCalendarAdvance(Calendar,X471,NDays&amp;"D")</f>
        <v>42488</v>
      </c>
      <c r="Z471" s="282">
        <v>1.2802432942084763E-3</v>
      </c>
      <c r="AA471" s="284">
        <v>1.2690386001745768E-3</v>
      </c>
    </row>
    <row r="472" spans="23:27" x14ac:dyDescent="0.2">
      <c r="W472" s="203" t="str">
        <f t="shared" si="17"/>
        <v>1D</v>
      </c>
      <c r="X472" s="287">
        <f>_xll.qlCalendarAdvance(Calendar,X471,W472,"f",FALSE)</f>
        <v>42487</v>
      </c>
      <c r="Y472" s="281">
        <f>_xll.qlCalendarAdvance(Calendar,X472,NDays&amp;"D")</f>
        <v>42496</v>
      </c>
      <c r="Z472" s="282">
        <v>1.2846847182006506E-3</v>
      </c>
      <c r="AA472" s="284">
        <v>1.2681453512364271E-3</v>
      </c>
    </row>
    <row r="473" spans="23:27" x14ac:dyDescent="0.2">
      <c r="W473" s="203" t="str">
        <f t="shared" si="17"/>
        <v>1D</v>
      </c>
      <c r="X473" s="287">
        <f>_xll.qlCalendarAdvance(Calendar,X472,W473,"f",FALSE)</f>
        <v>42488</v>
      </c>
      <c r="Y473" s="281">
        <f>_xll.qlCalendarAdvance(Calendar,X473,NDays&amp;"D")</f>
        <v>42499</v>
      </c>
      <c r="Z473" s="282">
        <v>1.2846847182006506E-3</v>
      </c>
      <c r="AA473" s="284">
        <v>1.2679573405627309E-3</v>
      </c>
    </row>
    <row r="474" spans="23:27" x14ac:dyDescent="0.2">
      <c r="W474" s="203" t="str">
        <f t="shared" si="17"/>
        <v>1D</v>
      </c>
      <c r="X474" s="287">
        <f>_xll.qlCalendarAdvance(Calendar,X473,W474,"f",FALSE)</f>
        <v>42496</v>
      </c>
      <c r="Y474" s="281">
        <f>_xll.qlCalendarAdvance(Calendar,X474,NDays&amp;"D")</f>
        <v>42500</v>
      </c>
      <c r="Z474" s="282">
        <v>1.2861395647463829E-3</v>
      </c>
      <c r="AA474" s="284">
        <v>1.2678941531873988E-3</v>
      </c>
    </row>
    <row r="475" spans="23:27" x14ac:dyDescent="0.2">
      <c r="W475" s="203" t="str">
        <f t="shared" si="17"/>
        <v>1D</v>
      </c>
      <c r="X475" s="287">
        <f>_xll.qlCalendarAdvance(Calendar,X474,W475,"f",FALSE)</f>
        <v>42499</v>
      </c>
      <c r="Y475" s="281">
        <f>_xll.qlCalendarAdvance(Calendar,X475,NDays&amp;"D")</f>
        <v>42501</v>
      </c>
      <c r="Z475" s="282">
        <v>1.2867101186826533E-3</v>
      </c>
      <c r="AA475" s="284">
        <v>1.2678481164929423E-3</v>
      </c>
    </row>
    <row r="476" spans="23:27" x14ac:dyDescent="0.2">
      <c r="W476" s="203" t="str">
        <f t="shared" si="17"/>
        <v>1D</v>
      </c>
      <c r="X476" s="287">
        <f>_xll.qlCalendarAdvance(Calendar,X475,W476,"f",FALSE)</f>
        <v>42500</v>
      </c>
      <c r="Y476" s="281">
        <f>_xll.qlCalendarAdvance(Calendar,X476,NDays&amp;"D")</f>
        <v>42502</v>
      </c>
      <c r="Z476" s="282">
        <v>1.2872924522622715E-3</v>
      </c>
      <c r="AA476" s="284">
        <v>1.2678192304793612E-3</v>
      </c>
    </row>
    <row r="477" spans="23:27" x14ac:dyDescent="0.2">
      <c r="W477" s="203" t="str">
        <f t="shared" si="17"/>
        <v>1D</v>
      </c>
      <c r="X477" s="287">
        <f>_xll.qlCalendarAdvance(Calendar,X476,W477,"f",FALSE)</f>
        <v>42501</v>
      </c>
      <c r="Y477" s="281">
        <f>_xll.qlCalendarAdvance(Calendar,X477,NDays&amp;"D")</f>
        <v>42503</v>
      </c>
      <c r="Z477" s="282">
        <v>1.2886650262293551E-3</v>
      </c>
      <c r="AA477" s="284">
        <v>1.2678230922169575E-3</v>
      </c>
    </row>
    <row r="478" spans="23:27" x14ac:dyDescent="0.2">
      <c r="W478" s="203" t="str">
        <f t="shared" si="17"/>
        <v>1D</v>
      </c>
      <c r="X478" s="287">
        <f>_xll.qlCalendarAdvance(Calendar,X477,W478,"f",FALSE)</f>
        <v>42502</v>
      </c>
      <c r="Y478" s="281">
        <f>_xll.qlCalendarAdvance(Calendar,X478,NDays&amp;"D")</f>
        <v>42506</v>
      </c>
      <c r="Z478" s="282">
        <v>1.2897378487119544E-3</v>
      </c>
      <c r="AA478" s="284">
        <v>1.2678751929939835E-3</v>
      </c>
    </row>
    <row r="479" spans="23:27" x14ac:dyDescent="0.2">
      <c r="W479" s="203" t="str">
        <f t="shared" si="17"/>
        <v>1D</v>
      </c>
      <c r="X479" s="287">
        <f>_xll.qlCalendarAdvance(Calendar,X478,W479,"f",FALSE)</f>
        <v>42503</v>
      </c>
      <c r="Y479" s="281">
        <f>_xll.qlCalendarAdvance(Calendar,X479,NDays&amp;"D")</f>
        <v>42507</v>
      </c>
      <c r="Z479" s="282">
        <v>1.2903777797809593E-3</v>
      </c>
      <c r="AA479" s="284">
        <v>1.2679320602249078E-3</v>
      </c>
    </row>
    <row r="480" spans="23:27" x14ac:dyDescent="0.2">
      <c r="W480" s="203" t="str">
        <f t="shared" si="17"/>
        <v>1D</v>
      </c>
      <c r="X480" s="287">
        <f>_xll.qlCalendarAdvance(Calendar,X479,W480,"f",FALSE)</f>
        <v>42506</v>
      </c>
      <c r="Y480" s="281">
        <f>_xll.qlCalendarAdvance(Calendar,X480,NDays&amp;"D")</f>
        <v>42508</v>
      </c>
      <c r="Z480" s="282">
        <v>1.2910289702034138E-3</v>
      </c>
      <c r="AA480" s="284">
        <v>1.2680060782166436E-3</v>
      </c>
    </row>
    <row r="481" spans="23:27" x14ac:dyDescent="0.2">
      <c r="W481" s="203" t="str">
        <f t="shared" si="17"/>
        <v>1D</v>
      </c>
      <c r="X481" s="287">
        <f>_xll.qlCalendarAdvance(Calendar,X480,W481,"f",FALSE)</f>
        <v>42507</v>
      </c>
      <c r="Y481" s="281">
        <f>_xll.qlCalendarAdvance(Calendar,X481,NDays&amp;"D")</f>
        <v>42509</v>
      </c>
      <c r="Z481" s="282">
        <v>1.2916913332617281E-3</v>
      </c>
      <c r="AA481" s="284">
        <v>1.2680972467293827E-3</v>
      </c>
    </row>
    <row r="482" spans="23:27" x14ac:dyDescent="0.2">
      <c r="W482" s="203" t="str">
        <f t="shared" si="17"/>
        <v>1D</v>
      </c>
      <c r="X482" s="287">
        <f>_xll.qlCalendarAdvance(Calendar,X481,W482,"f",FALSE)</f>
        <v>42508</v>
      </c>
      <c r="Y482" s="281">
        <f>_xll.qlCalendarAdvance(Calendar,X482,NDays&amp;"D")</f>
        <v>42510</v>
      </c>
      <c r="Z482" s="282">
        <v>1.2932115116226258E-3</v>
      </c>
      <c r="AA482" s="284">
        <v>1.2683412213032597E-3</v>
      </c>
    </row>
    <row r="483" spans="23:27" x14ac:dyDescent="0.2">
      <c r="W483" s="203" t="str">
        <f t="shared" si="17"/>
        <v>1D</v>
      </c>
      <c r="X483" s="287">
        <f>_xll.qlCalendarAdvance(Calendar,X482,W483,"f",FALSE)</f>
        <v>42509</v>
      </c>
      <c r="Y483" s="281">
        <f>_xll.qlCalendarAdvance(Calendar,X483,NDays&amp;"D")</f>
        <v>42513</v>
      </c>
      <c r="Z483" s="282">
        <v>1.2944507775686956E-3</v>
      </c>
      <c r="AA483" s="284">
        <v>1.2686334276690303E-3</v>
      </c>
    </row>
    <row r="484" spans="23:27" x14ac:dyDescent="0.2">
      <c r="W484" s="203" t="str">
        <f t="shared" si="17"/>
        <v>1D</v>
      </c>
      <c r="X484" s="287">
        <f>_xll.qlCalendarAdvance(Calendar,X483,W484,"f",FALSE)</f>
        <v>42510</v>
      </c>
      <c r="Y484" s="281">
        <f>_xll.qlCalendarAdvance(Calendar,X484,NDays&amp;"D")</f>
        <v>42514</v>
      </c>
      <c r="Z484" s="282">
        <v>1.2951677030885154E-3</v>
      </c>
      <c r="AA484" s="284">
        <v>1.2688103494262748E-3</v>
      </c>
    </row>
    <row r="485" spans="23:27" x14ac:dyDescent="0.2">
      <c r="W485" s="203" t="str">
        <f t="shared" si="17"/>
        <v>1D</v>
      </c>
      <c r="X485" s="287">
        <f>_xll.qlCalendarAdvance(Calendar,X484,W485,"f",FALSE)</f>
        <v>42513</v>
      </c>
      <c r="Y485" s="281">
        <f>_xll.qlCalendarAdvance(Calendar,X485,NDays&amp;"D")</f>
        <v>42515</v>
      </c>
      <c r="Z485" s="282">
        <v>1.2958952809569038E-3</v>
      </c>
      <c r="AA485" s="284">
        <v>1.2690044220242669E-3</v>
      </c>
    </row>
    <row r="486" spans="23:27" x14ac:dyDescent="0.2">
      <c r="W486" s="203" t="str">
        <f t="shared" si="17"/>
        <v>1D</v>
      </c>
      <c r="X486" s="287">
        <f>_xll.qlCalendarAdvance(Calendar,X485,W486,"f",FALSE)</f>
        <v>42514</v>
      </c>
      <c r="Y486" s="281">
        <f>_xll.qlCalendarAdvance(Calendar,X486,NDays&amp;"D")</f>
        <v>42516</v>
      </c>
      <c r="Z486" s="282">
        <v>1.2966334244562709E-3</v>
      </c>
      <c r="AA486" s="284">
        <v>1.2692156451432623E-3</v>
      </c>
    </row>
    <row r="487" spans="23:27" x14ac:dyDescent="0.2">
      <c r="W487" s="203" t="str">
        <f t="shared" si="17"/>
        <v>1D</v>
      </c>
      <c r="X487" s="287">
        <f>_xll.qlCalendarAdvance(Calendar,X486,W487,"f",FALSE)</f>
        <v>42515</v>
      </c>
      <c r="Y487" s="281">
        <f>_xll.qlCalendarAdvance(Calendar,X487,NDays&amp;"D")</f>
        <v>42517</v>
      </c>
      <c r="Z487" s="282">
        <v>1.2987561796392892E-3</v>
      </c>
      <c r="AA487" s="284">
        <v>1.2698361750107523E-3</v>
      </c>
    </row>
    <row r="488" spans="23:27" x14ac:dyDescent="0.2">
      <c r="W488" s="203" t="str">
        <f t="shared" si="17"/>
        <v>1D</v>
      </c>
      <c r="X488" s="287">
        <f>_xll.qlCalendarAdvance(Calendar,X487,W488,"f",FALSE)</f>
        <v>42516</v>
      </c>
      <c r="Y488" s="281">
        <f>_xll.qlCalendarAdvance(Calendar,X488,NDays&amp;"D")</f>
        <v>42521</v>
      </c>
      <c r="Z488" s="282">
        <v>1.3004795914255312E-3</v>
      </c>
      <c r="AA488" s="284">
        <v>1.2705290208714359E-3</v>
      </c>
    </row>
    <row r="489" spans="23:27" x14ac:dyDescent="0.2">
      <c r="W489" s="203" t="str">
        <f t="shared" si="17"/>
        <v>1D</v>
      </c>
      <c r="X489" s="287">
        <f>_xll.qlCalendarAdvance(Calendar,X488,W489,"f",FALSE)</f>
        <v>42517</v>
      </c>
      <c r="Y489" s="281">
        <f>_xll.qlCalendarAdvance(Calendar,X489,NDays&amp;"D")</f>
        <v>42522</v>
      </c>
      <c r="Z489" s="282">
        <v>1.3012793077091607E-3</v>
      </c>
      <c r="AA489" s="284">
        <v>1.2708431479957483E-3</v>
      </c>
    </row>
    <row r="490" spans="23:27" x14ac:dyDescent="0.2">
      <c r="W490" s="203" t="str">
        <f t="shared" si="17"/>
        <v>1D</v>
      </c>
      <c r="X490" s="287">
        <f>_xll.qlCalendarAdvance(Calendar,X489,W490,"f",FALSE)</f>
        <v>42521</v>
      </c>
      <c r="Y490" s="281">
        <f>_xll.qlCalendarAdvance(Calendar,X490,NDays&amp;"D")</f>
        <v>42523</v>
      </c>
      <c r="Z490" s="282">
        <v>1.3020889826223635E-3</v>
      </c>
      <c r="AA490" s="284">
        <v>1.2711744258009361E-3</v>
      </c>
    </row>
    <row r="491" spans="23:27" x14ac:dyDescent="0.2">
      <c r="W491" s="203" t="str">
        <f t="shared" si="17"/>
        <v>1D</v>
      </c>
      <c r="X491" s="287">
        <f>_xll.qlCalendarAdvance(Calendar,X490,W491,"f",FALSE)</f>
        <v>42522</v>
      </c>
      <c r="Y491" s="281">
        <f>_xll.qlCalendarAdvance(Calendar,X491,NDays&amp;"D")</f>
        <v>42524</v>
      </c>
      <c r="Z491" s="282">
        <v>1.3038865723048534E-3</v>
      </c>
      <c r="AA491" s="284">
        <v>1.2718986438464697E-3</v>
      </c>
    </row>
    <row r="492" spans="23:27" x14ac:dyDescent="0.2">
      <c r="W492" s="203" t="str">
        <f t="shared" si="17"/>
        <v>1D</v>
      </c>
      <c r="X492" s="287">
        <f>_xll.qlCalendarAdvance(Calendar,X491,W492,"f",FALSE)</f>
        <v>42523</v>
      </c>
      <c r="Y492" s="281">
        <f>_xll.qlCalendarAdvance(Calendar,X492,NDays&amp;"D")</f>
        <v>42527</v>
      </c>
      <c r="Z492" s="282">
        <v>1.3054255342660327E-3</v>
      </c>
      <c r="AA492" s="284">
        <v>1.272671043510698E-3</v>
      </c>
    </row>
    <row r="493" spans="23:27" x14ac:dyDescent="0.2">
      <c r="W493" s="203" t="str">
        <f t="shared" si="17"/>
        <v>1D</v>
      </c>
      <c r="X493" s="287">
        <f>_xll.qlCalendarAdvance(Calendar,X492,W493,"f",FALSE)</f>
        <v>42524</v>
      </c>
      <c r="Y493" s="281">
        <f>_xll.qlCalendarAdvance(Calendar,X493,NDays&amp;"D")</f>
        <v>42528</v>
      </c>
      <c r="Z493" s="282">
        <v>1.3062837016014871E-3</v>
      </c>
      <c r="AA493" s="284">
        <v>1.2730880744804551E-3</v>
      </c>
    </row>
    <row r="494" spans="23:27" x14ac:dyDescent="0.2">
      <c r="W494" s="203" t="str">
        <f t="shared" si="17"/>
        <v>1D</v>
      </c>
      <c r="X494" s="287">
        <f>_xll.qlCalendarAdvance(Calendar,X493,W494,"f",FALSE)</f>
        <v>42527</v>
      </c>
      <c r="Y494" s="281">
        <f>_xll.qlCalendarAdvance(Calendar,X494,NDays&amp;"D")</f>
        <v>42529</v>
      </c>
      <c r="Z494" s="282">
        <v>1.3071513072774852E-3</v>
      </c>
      <c r="AA494" s="284">
        <v>1.2735222562110238E-3</v>
      </c>
    </row>
    <row r="495" spans="23:27" x14ac:dyDescent="0.2">
      <c r="W495" s="203" t="str">
        <f t="shared" si="17"/>
        <v>1D</v>
      </c>
      <c r="X495" s="287">
        <f>_xll.qlCalendarAdvance(Calendar,X494,W495,"f",FALSE)</f>
        <v>42528</v>
      </c>
      <c r="Y495" s="281">
        <f>_xll.qlCalendarAdvance(Calendar,X495,NDays&amp;"D")</f>
        <v>42530</v>
      </c>
      <c r="Z495" s="282">
        <v>1.3080282645790446E-3</v>
      </c>
      <c r="AA495" s="284">
        <v>1.2739735886224679E-3</v>
      </c>
    </row>
    <row r="496" spans="23:27" x14ac:dyDescent="0.2">
      <c r="W496" s="203" t="str">
        <f t="shared" si="17"/>
        <v>1D</v>
      </c>
      <c r="X496" s="287">
        <f>_xll.qlCalendarAdvance(Calendar,X495,W496,"f",FALSE)</f>
        <v>42529</v>
      </c>
      <c r="Y496" s="281">
        <f>_xll.qlCalendarAdvance(Calendar,X496,NDays&amp;"D")</f>
        <v>42531</v>
      </c>
      <c r="Z496" s="282">
        <v>1.3099569266551022E-3</v>
      </c>
      <c r="AA496" s="284">
        <v>1.2749259737265817E-3</v>
      </c>
    </row>
    <row r="497" spans="23:27" x14ac:dyDescent="0.2">
      <c r="W497" s="203" t="str">
        <f t="shared" si="17"/>
        <v>1D</v>
      </c>
      <c r="X497" s="287">
        <f>_xll.qlCalendarAdvance(Calendar,X496,W497,"f",FALSE)</f>
        <v>42530</v>
      </c>
      <c r="Y497" s="281">
        <f>_xll.qlCalendarAdvance(Calendar,X497,NDays&amp;"D")</f>
        <v>42534</v>
      </c>
      <c r="Z497" s="282">
        <v>1.311628265986457E-3</v>
      </c>
      <c r="AA497" s="284">
        <v>1.2759012412200121E-3</v>
      </c>
    </row>
    <row r="498" spans="23:27" x14ac:dyDescent="0.2">
      <c r="W498" s="203" t="str">
        <f t="shared" si="17"/>
        <v>1D</v>
      </c>
      <c r="X498" s="287">
        <f>_xll.qlCalendarAdvance(Calendar,X497,W498,"f",FALSE)</f>
        <v>42531</v>
      </c>
      <c r="Y498" s="281">
        <f>_xll.qlCalendarAdvance(Calendar,X498,NDays&amp;"D")</f>
        <v>42535</v>
      </c>
      <c r="Z498" s="282">
        <v>1.3125512154728595E-3</v>
      </c>
      <c r="AA498" s="284">
        <v>1.2764064239956241E-3</v>
      </c>
    </row>
    <row r="499" spans="23:27" x14ac:dyDescent="0.2">
      <c r="W499" s="203" t="str">
        <f t="shared" si="17"/>
        <v>1D</v>
      </c>
      <c r="X499" s="287">
        <f>_xll.qlCalendarAdvance(Calendar,X498,W499,"f",FALSE)</f>
        <v>42534</v>
      </c>
      <c r="Y499" s="281">
        <f>_xll.qlCalendarAdvance(Calendar,X499,NDays&amp;"D")</f>
        <v>42536</v>
      </c>
      <c r="Z499" s="282">
        <v>1.3134833431809228E-3</v>
      </c>
      <c r="AA499" s="284">
        <v>1.2769207819118833E-3</v>
      </c>
    </row>
    <row r="500" spans="23:27" x14ac:dyDescent="0.2">
      <c r="W500" s="203" t="str">
        <f t="shared" si="17"/>
        <v>1D</v>
      </c>
      <c r="X500" s="287">
        <f>_xll.qlCalendarAdvance(Calendar,X499,W500,"f",FALSE)</f>
        <v>42535</v>
      </c>
      <c r="Y500" s="281">
        <f>_xll.qlCalendarAdvance(Calendar,X500,NDays&amp;"D")</f>
        <v>42537</v>
      </c>
      <c r="Z500" s="282">
        <v>1.3144246491167291E-3</v>
      </c>
      <c r="AA500" s="284">
        <v>1.2774443146490455E-3</v>
      </c>
    </row>
    <row r="501" spans="23:27" x14ac:dyDescent="0.2">
      <c r="W501" s="203" t="str">
        <f t="shared" si="17"/>
        <v>1D</v>
      </c>
      <c r="X501" s="287">
        <f>_xll.qlCalendarAdvance(Calendar,X500,W501,"f",FALSE)</f>
        <v>42536</v>
      </c>
      <c r="Y501" s="281">
        <f>_xll.qlCalendarAdvance(Calendar,X501,NDays&amp;"D")</f>
        <v>42538</v>
      </c>
      <c r="Z501" s="282">
        <v>1.3170398313855824E-3</v>
      </c>
      <c r="AA501" s="284">
        <v>1.27852650400051E-3</v>
      </c>
    </row>
    <row r="502" spans="23:27" x14ac:dyDescent="0.2">
      <c r="W502" s="203" t="str">
        <f t="shared" si="17"/>
        <v>1D</v>
      </c>
      <c r="X502" s="287">
        <f>_xll.qlCalendarAdvance(Calendar,X501,W502,"f",FALSE)</f>
        <v>42537</v>
      </c>
      <c r="Y502" s="281">
        <f>_xll.qlCalendarAdvance(Calendar,X502,NDays&amp;"D")</f>
        <v>42541</v>
      </c>
      <c r="Z502" s="282">
        <v>1.3182816552729287E-3</v>
      </c>
      <c r="AA502" s="284">
        <v>1.2796301953255096E-3</v>
      </c>
    </row>
    <row r="503" spans="23:27" x14ac:dyDescent="0.2">
      <c r="W503" s="203" t="str">
        <f t="shared" si="17"/>
        <v>1D</v>
      </c>
      <c r="X503" s="287">
        <f>_xll.qlCalendarAdvance(Calendar,X502,W503,"f",FALSE)</f>
        <v>42538</v>
      </c>
      <c r="Y503" s="281">
        <f>_xll.qlCalendarAdvance(Calendar,X503,NDays&amp;"D")</f>
        <v>42542</v>
      </c>
      <c r="Z503" s="282">
        <v>1.319268852449108E-3</v>
      </c>
      <c r="AA503" s="284">
        <v>1.2801996028866114E-3</v>
      </c>
    </row>
    <row r="504" spans="23:27" x14ac:dyDescent="0.2">
      <c r="W504" s="203" t="str">
        <f t="shared" si="17"/>
        <v>1D</v>
      </c>
      <c r="X504" s="287">
        <f>_xll.qlCalendarAdvance(Calendar,X503,W504,"f",FALSE)</f>
        <v>42541</v>
      </c>
      <c r="Y504" s="281">
        <f>_xll.qlCalendarAdvance(Calendar,X504,NDays&amp;"D")</f>
        <v>42543</v>
      </c>
      <c r="Z504" s="282">
        <v>1.3208400275173616E-3</v>
      </c>
      <c r="AA504" s="284">
        <v>1.2807781854284883E-3</v>
      </c>
    </row>
    <row r="505" spans="23:27" x14ac:dyDescent="0.2">
      <c r="W505" s="203" t="str">
        <f t="shared" si="17"/>
        <v>1D</v>
      </c>
      <c r="X505" s="287">
        <f>_xll.qlCalendarAdvance(Calendar,X504,W505,"f",FALSE)</f>
        <v>42542</v>
      </c>
      <c r="Y505" s="281">
        <f>_xll.qlCalendarAdvance(Calendar,X505,NDays&amp;"D")</f>
        <v>42544</v>
      </c>
      <c r="Z505" s="282">
        <v>1.3212707816150264E-3</v>
      </c>
      <c r="AA505" s="284">
        <v>1.2813659429511404E-3</v>
      </c>
    </row>
    <row r="506" spans="23:27" x14ac:dyDescent="0.2">
      <c r="W506" s="203" t="str">
        <f t="shared" si="17"/>
        <v>1D</v>
      </c>
      <c r="X506" s="287">
        <f>_xll.qlCalendarAdvance(Calendar,X505,W506,"f",FALSE)</f>
        <v>42543</v>
      </c>
      <c r="Y506" s="281">
        <f>_xll.qlCalendarAdvance(Calendar,X506,NDays&amp;"D")</f>
        <v>42545</v>
      </c>
      <c r="Z506" s="282">
        <v>1.3234565481379009E-3</v>
      </c>
      <c r="AA506" s="284">
        <v>1.2825766104374026E-3</v>
      </c>
    </row>
    <row r="507" spans="23:27" x14ac:dyDescent="0.2">
      <c r="W507" s="203" t="str">
        <f t="shared" si="17"/>
        <v>1D</v>
      </c>
      <c r="X507" s="287">
        <f>_xll.qlCalendarAdvance(Calendar,X506,W507,"f",FALSE)</f>
        <v>42544</v>
      </c>
      <c r="Y507" s="281">
        <f>_xll.qlCalendarAdvance(Calendar,X507,NDays&amp;"D")</f>
        <v>42548</v>
      </c>
      <c r="Z507" s="282">
        <v>1.3253847793957287E-3</v>
      </c>
      <c r="AA507" s="284">
        <v>1.2838087223698835E-3</v>
      </c>
    </row>
    <row r="508" spans="23:27" x14ac:dyDescent="0.2">
      <c r="W508" s="203" t="str">
        <f t="shared" si="17"/>
        <v>1D</v>
      </c>
      <c r="X508" s="287">
        <f>_xll.qlCalendarAdvance(Calendar,X507,W508,"f",FALSE)</f>
        <v>42545</v>
      </c>
      <c r="Y508" s="281">
        <f>_xll.qlCalendarAdvance(Calendar,X508,NDays&amp;"D")</f>
        <v>42549</v>
      </c>
      <c r="Z508" s="282">
        <v>1.3264362246014133E-3</v>
      </c>
      <c r="AA508" s="284">
        <v>1.2844423546365391E-3</v>
      </c>
    </row>
    <row r="509" spans="23:27" x14ac:dyDescent="0.2">
      <c r="W509" s="203" t="str">
        <f t="shared" si="17"/>
        <v>1D</v>
      </c>
      <c r="X509" s="287">
        <f>_xll.qlCalendarAdvance(Calendar,X508,W509,"f",FALSE)</f>
        <v>42548</v>
      </c>
      <c r="Y509" s="281">
        <f>_xll.qlCalendarAdvance(Calendar,X509,NDays&amp;"D")</f>
        <v>42550</v>
      </c>
      <c r="Z509" s="282">
        <v>1.3274968481269411E-3</v>
      </c>
      <c r="AA509" s="284">
        <v>1.2850851618839698E-3</v>
      </c>
    </row>
    <row r="510" spans="23:27" x14ac:dyDescent="0.2">
      <c r="W510" s="203" t="str">
        <f t="shared" si="17"/>
        <v>1D</v>
      </c>
      <c r="X510" s="287">
        <f>_xll.qlCalendarAdvance(Calendar,X509,W510,"f",FALSE)</f>
        <v>42549</v>
      </c>
      <c r="Y510" s="281">
        <f>_xll.qlCalendarAdvance(Calendar,X510,NDays&amp;"D")</f>
        <v>42551</v>
      </c>
      <c r="Z510" s="282">
        <v>1.3285666499783944E-3</v>
      </c>
      <c r="AA510" s="284">
        <v>1.2857371440322396E-3</v>
      </c>
    </row>
    <row r="511" spans="23:27" x14ac:dyDescent="0.2">
      <c r="W511" s="203" t="str">
        <f t="shared" si="17"/>
        <v>1D</v>
      </c>
      <c r="X511" s="287">
        <f>_xll.qlCalendarAdvance(Calendar,X510,W511,"f",FALSE)</f>
        <v>42550</v>
      </c>
      <c r="Y511" s="281">
        <f>_xll.qlCalendarAdvance(Calendar,X511,NDays&amp;"D")</f>
        <v>42552</v>
      </c>
      <c r="Z511" s="282">
        <v>1.3308809679198447E-3</v>
      </c>
      <c r="AA511" s="284">
        <v>1.2870762931438406E-3</v>
      </c>
    </row>
    <row r="512" spans="23:27" x14ac:dyDescent="0.2">
      <c r="W512" s="203" t="str">
        <f t="shared" si="17"/>
        <v>1D</v>
      </c>
      <c r="X512" s="287">
        <f>_xll.qlCalendarAdvance(Calendar,X511,W512,"f",FALSE)</f>
        <v>42551</v>
      </c>
      <c r="Y512" s="281">
        <f>_xll.qlCalendarAdvance(Calendar,X512,NDays&amp;"D")</f>
        <v>42555</v>
      </c>
      <c r="Z512" s="282">
        <v>1.3329376408015958E-3</v>
      </c>
      <c r="AA512" s="284">
        <v>1.2884368223531339E-3</v>
      </c>
    </row>
    <row r="513" spans="23:27" x14ac:dyDescent="0.2">
      <c r="W513" s="203" t="str">
        <f t="shared" si="17"/>
        <v>1D</v>
      </c>
      <c r="X513" s="287">
        <f>_xll.qlCalendarAdvance(Calendar,X512,W513,"f",FALSE)</f>
        <v>42552</v>
      </c>
      <c r="Y513" s="281">
        <f>_xll.qlCalendarAdvance(Calendar,X513,NDays&amp;"D")</f>
        <v>42556</v>
      </c>
      <c r="Z513" s="282">
        <v>1.3340533344008421E-3</v>
      </c>
      <c r="AA513" s="284">
        <v>1.2891346793253433E-3</v>
      </c>
    </row>
    <row r="514" spans="23:27" x14ac:dyDescent="0.2">
      <c r="W514" s="203" t="str">
        <f t="shared" si="17"/>
        <v>1D</v>
      </c>
      <c r="X514" s="287">
        <f>_xll.qlCalendarAdvance(Calendar,X513,W514,"f",FALSE)</f>
        <v>42555</v>
      </c>
      <c r="Y514" s="281">
        <f>_xll.qlCalendarAdvance(Calendar,X514,NDays&amp;"D")</f>
        <v>42557</v>
      </c>
      <c r="Z514" s="282">
        <v>1.3351782063720642E-3</v>
      </c>
      <c r="AA514" s="284">
        <v>1.2898417112783278E-3</v>
      </c>
    </row>
    <row r="515" spans="23:27" x14ac:dyDescent="0.2">
      <c r="W515" s="203" t="str">
        <f t="shared" si="17"/>
        <v>1D</v>
      </c>
      <c r="X515" s="287">
        <f>_xll.qlCalendarAdvance(Calendar,X514,W515,"f",FALSE)</f>
        <v>42556</v>
      </c>
      <c r="Y515" s="281">
        <f>_xll.qlCalendarAdvance(Calendar,X515,NDays&amp;"D")</f>
        <v>42558</v>
      </c>
      <c r="Z515" s="282">
        <v>1.3363122567230815E-3</v>
      </c>
      <c r="AA515" s="284">
        <v>1.2905579181321514E-3</v>
      </c>
    </row>
    <row r="516" spans="23:27" x14ac:dyDescent="0.2">
      <c r="W516" s="203" t="str">
        <f t="shared" si="17"/>
        <v>1D</v>
      </c>
      <c r="X516" s="287">
        <f>_xll.qlCalendarAdvance(Calendar,X515,W516,"f",FALSE)</f>
        <v>42557</v>
      </c>
      <c r="Y516" s="281">
        <f>_xll.qlCalendarAdvance(Calendar,X516,NDays&amp;"D")</f>
        <v>42559</v>
      </c>
      <c r="Z516" s="282">
        <v>1.3394095494887225E-3</v>
      </c>
      <c r="AA516" s="284">
        <v>1.2920255521198243E-3</v>
      </c>
    </row>
    <row r="517" spans="23:27" x14ac:dyDescent="0.2">
      <c r="W517" s="203" t="str">
        <f t="shared" si="17"/>
        <v>1D</v>
      </c>
      <c r="X517" s="287">
        <f>_xll.qlCalendarAdvance(Calendar,X516,W517,"f",FALSE)</f>
        <v>42558</v>
      </c>
      <c r="Y517" s="281">
        <f>_xll.qlCalendarAdvance(Calendar,X517,NDays&amp;"D")</f>
        <v>42562</v>
      </c>
      <c r="Z517" s="282">
        <v>1.3409402420954024E-3</v>
      </c>
      <c r="AA517" s="284">
        <v>1.2935144952752609E-3</v>
      </c>
    </row>
    <row r="518" spans="23:27" x14ac:dyDescent="0.2">
      <c r="W518" s="203" t="str">
        <f t="shared" si="17"/>
        <v>1D</v>
      </c>
      <c r="X518" s="287">
        <f>_xll.qlCalendarAdvance(Calendar,X517,W518,"f",FALSE)</f>
        <v>42559</v>
      </c>
      <c r="Y518" s="281">
        <f>_xll.qlCalendarAdvance(Calendar,X518,NDays&amp;"D")</f>
        <v>42563</v>
      </c>
      <c r="Z518" s="282">
        <v>1.3421201844713824E-3</v>
      </c>
      <c r="AA518" s="284">
        <v>1.294276576953024E-3</v>
      </c>
    </row>
    <row r="519" spans="23:27" x14ac:dyDescent="0.2">
      <c r="W519" s="203" t="str">
        <f t="shared" si="17"/>
        <v>1D</v>
      </c>
      <c r="X519" s="287">
        <f>_xll.qlCalendarAdvance(Calendar,X518,W519,"f",FALSE)</f>
        <v>42562</v>
      </c>
      <c r="Y519" s="281">
        <f>_xll.qlCalendarAdvance(Calendar,X519,NDays&amp;"D")</f>
        <v>42564</v>
      </c>
      <c r="Z519" s="282">
        <v>1.3433093052758146E-3</v>
      </c>
      <c r="AA519" s="284">
        <v>1.2950478336115623E-3</v>
      </c>
    </row>
    <row r="520" spans="23:27" x14ac:dyDescent="0.2">
      <c r="W520" s="203" t="str">
        <f t="shared" si="17"/>
        <v>1D</v>
      </c>
      <c r="X520" s="287">
        <f>_xll.qlCalendarAdvance(Calendar,X519,W520,"f",FALSE)</f>
        <v>42563</v>
      </c>
      <c r="Y520" s="281">
        <f>_xll.qlCalendarAdvance(Calendar,X520,NDays&amp;"D")</f>
        <v>42565</v>
      </c>
      <c r="Z520" s="282">
        <v>1.3445076045182564E-3</v>
      </c>
      <c r="AA520" s="284">
        <v>1.2958282652508757E-3</v>
      </c>
    </row>
    <row r="521" spans="23:27" x14ac:dyDescent="0.2">
      <c r="W521" s="203" t="str">
        <f t="shared" si="17"/>
        <v>1D</v>
      </c>
      <c r="X521" s="287">
        <f>_xll.qlCalendarAdvance(Calendar,X520,W521,"f",FALSE)</f>
        <v>42564</v>
      </c>
      <c r="Y521" s="281">
        <f>_xll.qlCalendarAdvance(Calendar,X521,NDays&amp;"D")</f>
        <v>42566</v>
      </c>
      <c r="Z521" s="282">
        <v>1.347079038639469E-3</v>
      </c>
      <c r="AA521" s="284">
        <v>1.297832237159291E-3</v>
      </c>
    </row>
    <row r="522" spans="23:27" x14ac:dyDescent="0.2">
      <c r="W522" s="203" t="str">
        <f t="shared" si="17"/>
        <v>1D</v>
      </c>
      <c r="X522" s="287">
        <f>_xll.qlCalendarAdvance(Calendar,X521,W522,"f",FALSE)</f>
        <v>42565</v>
      </c>
      <c r="Y522" s="281">
        <f>_xll.qlCalendarAdvance(Calendar,X522,NDays&amp;"D")</f>
        <v>42570</v>
      </c>
      <c r="Z522" s="282">
        <v>1.3506367775942879E-3</v>
      </c>
      <c r="AA522" s="284">
        <v>1.2998680475995172E-3</v>
      </c>
    </row>
    <row r="523" spans="23:27" x14ac:dyDescent="0.2">
      <c r="W523" s="203" t="str">
        <f t="shared" si="17"/>
        <v>1D</v>
      </c>
      <c r="X523" s="287">
        <f>_xll.qlCalendarAdvance(Calendar,X522,W523,"f",FALSE)</f>
        <v>42566</v>
      </c>
      <c r="Y523" s="281">
        <f>_xll.qlCalendarAdvance(Calendar,X523,NDays&amp;"D")</f>
        <v>42571</v>
      </c>
      <c r="Z523" s="282">
        <v>1.3506367775942879E-3</v>
      </c>
      <c r="AA523" s="284">
        <v>1.3007035289636093E-3</v>
      </c>
    </row>
    <row r="524" spans="23:27" x14ac:dyDescent="0.2">
      <c r="W524" s="203" t="str">
        <f t="shared" si="17"/>
        <v>1D</v>
      </c>
      <c r="X524" s="287">
        <f>_xll.qlCalendarAdvance(Calendar,X523,W524,"f",FALSE)</f>
        <v>42570</v>
      </c>
      <c r="Y524" s="281">
        <f>_xll.qlCalendarAdvance(Calendar,X524,NDays&amp;"D")</f>
        <v>42572</v>
      </c>
      <c r="Z524" s="282">
        <v>1.3531526961886166E-3</v>
      </c>
      <c r="AA524" s="284">
        <v>1.3015481853084765E-3</v>
      </c>
    </row>
    <row r="525" spans="23:27" x14ac:dyDescent="0.2">
      <c r="W525" s="203" t="str">
        <f t="shared" si="17"/>
        <v>1D</v>
      </c>
      <c r="X525" s="287">
        <f>_xll.qlCalendarAdvance(Calendar,X524,W525,"f",FALSE)</f>
        <v>42571</v>
      </c>
      <c r="Y525" s="281">
        <f>_xll.qlCalendarAdvance(Calendar,X525,NDays&amp;"D")</f>
        <v>42573</v>
      </c>
      <c r="Z525" s="282">
        <v>1.3558526952815227E-3</v>
      </c>
      <c r="AA525" s="284">
        <v>1.3032727991735271E-3</v>
      </c>
    </row>
    <row r="526" spans="23:27" x14ac:dyDescent="0.2">
      <c r="W526" s="203" t="str">
        <f t="shared" si="17"/>
        <v>1D</v>
      </c>
      <c r="X526" s="287">
        <f>_xll.qlCalendarAdvance(Calendar,X525,W526,"f",FALSE)</f>
        <v>42572</v>
      </c>
      <c r="Y526" s="281">
        <f>_xll.qlCalendarAdvance(Calendar,X526,NDays&amp;"D")</f>
        <v>42576</v>
      </c>
      <c r="Z526" s="282">
        <v>1.3582946755326701E-3</v>
      </c>
      <c r="AA526" s="284">
        <v>1.3050185600960162E-3</v>
      </c>
    </row>
    <row r="527" spans="23:27" x14ac:dyDescent="0.2">
      <c r="W527" s="203" t="str">
        <f t="shared" si="17"/>
        <v>1D</v>
      </c>
      <c r="X527" s="287">
        <f>_xll.qlCalendarAdvance(Calendar,X526,W527,"f",FALSE)</f>
        <v>42573</v>
      </c>
      <c r="Y527" s="281">
        <f>_xll.qlCalendarAdvance(Calendar,X527,NDays&amp;"D")</f>
        <v>42577</v>
      </c>
      <c r="Z527" s="282">
        <v>1.3596031167046017E-3</v>
      </c>
      <c r="AA527" s="284">
        <v>1.305909091184887E-3</v>
      </c>
    </row>
    <row r="528" spans="23:27" x14ac:dyDescent="0.2">
      <c r="W528" s="203" t="str">
        <f t="shared" si="17"/>
        <v>1D</v>
      </c>
      <c r="X528" s="287">
        <f>_xll.qlCalendarAdvance(Calendar,X527,W528,"f",FALSE)</f>
        <v>42576</v>
      </c>
      <c r="Y528" s="281">
        <f>_xll.qlCalendarAdvance(Calendar,X528,NDays&amp;"D")</f>
        <v>42578</v>
      </c>
      <c r="Z528" s="282">
        <v>1.360920736428365E-3</v>
      </c>
      <c r="AA528" s="284">
        <v>1.3068087972545328E-3</v>
      </c>
    </row>
    <row r="529" spans="23:27" x14ac:dyDescent="0.2">
      <c r="W529" s="203" t="str">
        <f t="shared" si="17"/>
        <v>1D</v>
      </c>
      <c r="X529" s="287">
        <f>_xll.qlCalendarAdvance(Calendar,X528,W529,"f",FALSE)</f>
        <v>42577</v>
      </c>
      <c r="Y529" s="281">
        <f>_xll.qlCalendarAdvance(Calendar,X529,NDays&amp;"D")</f>
        <v>42579</v>
      </c>
      <c r="Z529" s="282">
        <v>1.3622475347135176E-3</v>
      </c>
      <c r="AA529" s="284">
        <v>1.3077176783049538E-3</v>
      </c>
    </row>
    <row r="530" spans="23:27" x14ac:dyDescent="0.2">
      <c r="W530" s="203" t="str">
        <f t="shared" si="17"/>
        <v>1D</v>
      </c>
      <c r="X530" s="287">
        <f>_xll.qlCalendarAdvance(Calendar,X529,W530,"f",FALSE)</f>
        <v>42578</v>
      </c>
      <c r="Y530" s="281">
        <f>_xll.qlCalendarAdvance(Calendar,X530,NDays&amp;"D")</f>
        <v>42580</v>
      </c>
      <c r="Z530" s="282">
        <v>1.3650761035110383E-3</v>
      </c>
      <c r="AA530" s="284">
        <v>1.3095707873844731E-3</v>
      </c>
    </row>
    <row r="531" spans="23:27" x14ac:dyDescent="0.2">
      <c r="W531" s="203" t="str">
        <f t="shared" si="17"/>
        <v>1D</v>
      </c>
      <c r="X531" s="287">
        <f>_xll.qlCalendarAdvance(Calendar,X530,W531,"f",FALSE)</f>
        <v>42579</v>
      </c>
      <c r="Y531" s="281">
        <f>_xll.qlCalendarAdvance(Calendar,X531,NDays&amp;"D")</f>
        <v>42583</v>
      </c>
      <c r="Z531" s="282">
        <v>1.3676465136583022E-3</v>
      </c>
      <c r="AA531" s="284">
        <v>1.3114449519946447E-3</v>
      </c>
    </row>
    <row r="532" spans="23:27" x14ac:dyDescent="0.2">
      <c r="W532" s="203" t="str">
        <f t="shared" si="17"/>
        <v>1D</v>
      </c>
      <c r="X532" s="287">
        <f>_xll.qlCalendarAdvance(Calendar,X531,W532,"f",FALSE)</f>
        <v>42580</v>
      </c>
      <c r="Y532" s="281">
        <f>_xll.qlCalendarAdvance(Calendar,X532,NDays&amp;"D")</f>
        <v>42584</v>
      </c>
      <c r="Z532" s="282">
        <v>1.3690192048937642E-3</v>
      </c>
      <c r="AA532" s="284">
        <v>1.3123997078690053E-3</v>
      </c>
    </row>
    <row r="533" spans="23:27" x14ac:dyDescent="0.2">
      <c r="W533" s="203" t="str">
        <f t="shared" ref="W533:W596" si="18">W532</f>
        <v>1D</v>
      </c>
      <c r="X533" s="287">
        <f>_xll.qlCalendarAdvance(Calendar,X532,W533,"f",FALSE)</f>
        <v>42583</v>
      </c>
      <c r="Y533" s="281">
        <f>_xll.qlCalendarAdvance(Calendar,X533,NDays&amp;"D")</f>
        <v>42585</v>
      </c>
      <c r="Z533" s="282">
        <v>1.3711688107563881E-3</v>
      </c>
      <c r="AA533" s="284">
        <v>1.3133636386442049E-3</v>
      </c>
    </row>
    <row r="534" spans="23:27" x14ac:dyDescent="0.2">
      <c r="W534" s="203" t="str">
        <f t="shared" si="18"/>
        <v>1D</v>
      </c>
      <c r="X534" s="287">
        <f>_xll.qlCalendarAdvance(Calendar,X533,W534,"f",FALSE)</f>
        <v>42584</v>
      </c>
      <c r="Y534" s="281">
        <f>_xll.qlCalendarAdvance(Calendar,X534,NDays&amp;"D")</f>
        <v>42586</v>
      </c>
      <c r="Z534" s="282">
        <v>1.3717921232287121E-3</v>
      </c>
      <c r="AA534" s="284">
        <v>1.3143367444001797E-3</v>
      </c>
    </row>
    <row r="535" spans="23:27" x14ac:dyDescent="0.2">
      <c r="W535" s="203" t="str">
        <f t="shared" si="18"/>
        <v>1D</v>
      </c>
      <c r="X535" s="287">
        <f>_xll.qlCalendarAdvance(Calendar,X534,W535,"f",FALSE)</f>
        <v>42585</v>
      </c>
      <c r="Y535" s="281">
        <f>_xll.qlCalendarAdvance(Calendar,X535,NDays&amp;"D")</f>
        <v>42587</v>
      </c>
      <c r="Z535" s="282">
        <v>1.3747492665773312E-3</v>
      </c>
      <c r="AA535" s="284">
        <v>1.3163183521047728E-3</v>
      </c>
    </row>
    <row r="536" spans="23:27" x14ac:dyDescent="0.2">
      <c r="W536" s="203" t="str">
        <f t="shared" si="18"/>
        <v>1D</v>
      </c>
      <c r="X536" s="287">
        <f>_xll.qlCalendarAdvance(Calendar,X535,W536,"f",FALSE)</f>
        <v>42586</v>
      </c>
      <c r="Y536" s="281">
        <f>_xll.qlCalendarAdvance(Calendar,X536,NDays&amp;"D")</f>
        <v>42590</v>
      </c>
      <c r="Z536" s="282">
        <v>1.3774481036344789E-3</v>
      </c>
      <c r="AA536" s="284">
        <v>1.3183209169920218E-3</v>
      </c>
    </row>
    <row r="537" spans="23:27" x14ac:dyDescent="0.2">
      <c r="W537" s="203" t="s">
        <v>179</v>
      </c>
      <c r="X537" s="287">
        <f>_xll.qlCalendarAdvance(Calendar,X536,W537,"f",FALSE)</f>
        <v>42593</v>
      </c>
      <c r="Y537" s="281">
        <f>_xll.qlCalendarAdvance(Calendar,X537,NDays&amp;"D")</f>
        <v>42597</v>
      </c>
      <c r="Z537" s="282">
        <v>1.3876994488393674E-3</v>
      </c>
      <c r="AA537" s="284">
        <v>1.3256464550082114E-3</v>
      </c>
    </row>
    <row r="538" spans="23:27" x14ac:dyDescent="0.2">
      <c r="W538" s="203" t="str">
        <f t="shared" si="18"/>
        <v>1w</v>
      </c>
      <c r="X538" s="287">
        <f>_xll.qlCalendarAdvance(Calendar,X537,W538,"f",FALSE)</f>
        <v>42600</v>
      </c>
      <c r="Y538" s="281">
        <f>_xll.qlCalendarAdvance(Calendar,X538,NDays&amp;"D")</f>
        <v>42604</v>
      </c>
      <c r="Z538" s="282">
        <v>1.398400552806663E-3</v>
      </c>
      <c r="AA538" s="284">
        <v>1.3334215661231497E-3</v>
      </c>
    </row>
    <row r="539" spans="23:27" x14ac:dyDescent="0.2">
      <c r="W539" s="203" t="str">
        <f t="shared" si="18"/>
        <v>1w</v>
      </c>
      <c r="X539" s="287">
        <f>_xll.qlCalendarAdvance(Calendar,X538,W539,"f",FALSE)</f>
        <v>42607</v>
      </c>
      <c r="Y539" s="281">
        <f>_xll.qlCalendarAdvance(Calendar,X539,NDays&amp;"D")</f>
        <v>42612</v>
      </c>
      <c r="Z539" s="282">
        <v>1.4111811156659942E-3</v>
      </c>
      <c r="AA539" s="284">
        <v>1.3428579051133482E-3</v>
      </c>
    </row>
    <row r="540" spans="23:27" x14ac:dyDescent="0.2">
      <c r="W540" s="203" t="str">
        <f t="shared" si="18"/>
        <v>1w</v>
      </c>
      <c r="X540" s="287">
        <f>_xll.qlCalendarAdvance(Calendar,X539,W540,"f",FALSE)</f>
        <v>42614</v>
      </c>
      <c r="Y540" s="281">
        <f>_xll.qlCalendarAdvance(Calendar,X540,NDays&amp;"D")</f>
        <v>42618</v>
      </c>
      <c r="Z540" s="282">
        <v>1.420235734170022E-3</v>
      </c>
      <c r="AA540" s="284">
        <v>1.350320507729208E-3</v>
      </c>
    </row>
    <row r="541" spans="23:27" x14ac:dyDescent="0.2">
      <c r="W541" s="203" t="str">
        <f t="shared" si="18"/>
        <v>1w</v>
      </c>
      <c r="X541" s="287">
        <f>_xll.qlCalendarAdvance(Calendar,X540,W541,"f",FALSE)</f>
        <v>42621</v>
      </c>
      <c r="Y541" s="281">
        <f>_xll.qlCalendarAdvance(Calendar,X541,NDays&amp;"D")</f>
        <v>42625</v>
      </c>
      <c r="Z541" s="282">
        <v>1.4322539627704615E-3</v>
      </c>
      <c r="AA541" s="284">
        <v>1.3594443383002641E-3</v>
      </c>
    </row>
    <row r="542" spans="23:27" x14ac:dyDescent="0.2">
      <c r="W542" s="203" t="str">
        <f t="shared" si="18"/>
        <v>1w</v>
      </c>
      <c r="X542" s="287">
        <f>_xll.qlCalendarAdvance(Calendar,X541,W542,"f",FALSE)</f>
        <v>42628</v>
      </c>
      <c r="Y542" s="281">
        <f>_xll.qlCalendarAdvance(Calendar,X542,NDays&amp;"D")</f>
        <v>42633</v>
      </c>
      <c r="Z542" s="282">
        <v>1.4465398225561453E-3</v>
      </c>
      <c r="AA542" s="284">
        <v>1.3704220711030501E-3</v>
      </c>
    </row>
    <row r="543" spans="23:27" x14ac:dyDescent="0.2">
      <c r="W543" s="203" t="str">
        <f t="shared" si="18"/>
        <v>1w</v>
      </c>
      <c r="X543" s="287">
        <f>_xll.qlCalendarAdvance(Calendar,X542,W543,"f",FALSE)</f>
        <v>42636</v>
      </c>
      <c r="Y543" s="281">
        <f>_xll.qlCalendarAdvance(Calendar,X543,NDays&amp;"D")</f>
        <v>42640</v>
      </c>
      <c r="Z543" s="282">
        <v>1.4605392992367537E-3</v>
      </c>
      <c r="AA543" s="284">
        <v>1.3805092728969015E-3</v>
      </c>
    </row>
    <row r="544" spans="23:27" x14ac:dyDescent="0.2">
      <c r="W544" s="203" t="str">
        <f t="shared" si="18"/>
        <v>1w</v>
      </c>
      <c r="X544" s="287">
        <f>_xll.qlCalendarAdvance(Calendar,X543,W544,"f",FALSE)</f>
        <v>42643</v>
      </c>
      <c r="Y544" s="281">
        <f>_xll.qlCalendarAdvance(Calendar,X544,NDays&amp;"D")</f>
        <v>42647</v>
      </c>
      <c r="Z544" s="282">
        <v>1.4740032937812426E-3</v>
      </c>
      <c r="AA544" s="284">
        <v>1.3910460480293096E-3</v>
      </c>
    </row>
    <row r="545" spans="23:27" x14ac:dyDescent="0.2">
      <c r="W545" s="203" t="str">
        <f t="shared" si="18"/>
        <v>1w</v>
      </c>
      <c r="X545" s="287">
        <f>_xll.qlCalendarAdvance(Calendar,X544,W545,"f",FALSE)</f>
        <v>42650</v>
      </c>
      <c r="Y545" s="281">
        <f>_xll.qlCalendarAdvance(Calendar,X545,NDays&amp;"D")</f>
        <v>42655</v>
      </c>
      <c r="Z545" s="282">
        <v>1.4879170768347782E-3</v>
      </c>
      <c r="AA545" s="284">
        <v>1.4036385746507563E-3</v>
      </c>
    </row>
    <row r="546" spans="23:27" x14ac:dyDescent="0.2">
      <c r="W546" s="203" t="str">
        <f t="shared" si="18"/>
        <v>1w</v>
      </c>
      <c r="X546" s="287">
        <f>_xll.qlCalendarAdvance(Calendar,X545,W546,"f",FALSE)</f>
        <v>42657</v>
      </c>
      <c r="Y546" s="281">
        <f>_xll.qlCalendarAdvance(Calendar,X546,NDays&amp;"D")</f>
        <v>42661</v>
      </c>
      <c r="Z546" s="282">
        <v>1.5022806531943933E-3</v>
      </c>
      <c r="AA546" s="284">
        <v>1.4134683183097962E-3</v>
      </c>
    </row>
    <row r="547" spans="23:27" x14ac:dyDescent="0.2">
      <c r="W547" s="203" t="str">
        <f t="shared" si="18"/>
        <v>1w</v>
      </c>
      <c r="X547" s="287">
        <f>_xll.qlCalendarAdvance(Calendar,X546,W547,"f",FALSE)</f>
        <v>42664</v>
      </c>
      <c r="Y547" s="281">
        <f>_xll.qlCalendarAdvance(Calendar,X547,NDays&amp;"D")</f>
        <v>42668</v>
      </c>
      <c r="Z547" s="282">
        <v>1.5170940278100408E-3</v>
      </c>
      <c r="AA547" s="284">
        <v>1.4253538135378108E-3</v>
      </c>
    </row>
    <row r="548" spans="23:27" x14ac:dyDescent="0.2">
      <c r="W548" s="203" t="str">
        <f t="shared" si="18"/>
        <v>1w</v>
      </c>
      <c r="X548" s="287">
        <f>_xll.qlCalendarAdvance(Calendar,X547,W548,"f",FALSE)</f>
        <v>42671</v>
      </c>
      <c r="Y548" s="281">
        <f>_xll.qlCalendarAdvance(Calendar,X548,NDays&amp;"D")</f>
        <v>42675</v>
      </c>
      <c r="Z548" s="282">
        <v>1.5323572057880713E-3</v>
      </c>
      <c r="AA548" s="284">
        <v>1.4376888821843181E-3</v>
      </c>
    </row>
    <row r="549" spans="23:27" x14ac:dyDescent="0.2">
      <c r="W549" s="203" t="str">
        <f t="shared" si="18"/>
        <v>1w</v>
      </c>
      <c r="X549" s="287">
        <f>_xll.qlCalendarAdvance(Calendar,X548,W549,"f",FALSE)</f>
        <v>42678</v>
      </c>
      <c r="Y549" s="281">
        <f>_xll.qlCalendarAdvance(Calendar,X549,NDays&amp;"D")</f>
        <v>42682</v>
      </c>
      <c r="Z549" s="282">
        <v>1.5480701923894938E-3</v>
      </c>
      <c r="AA549" s="284">
        <v>1.4504735244091904E-3</v>
      </c>
    </row>
    <row r="550" spans="23:27" x14ac:dyDescent="0.2">
      <c r="W550" s="203" t="str">
        <f t="shared" si="18"/>
        <v>1w</v>
      </c>
      <c r="X550" s="287">
        <f>_xll.qlCalendarAdvance(Calendar,X549,W550,"f",FALSE)</f>
        <v>42685</v>
      </c>
      <c r="Y550" s="281">
        <f>_xll.qlCalendarAdvance(Calendar,X550,NDays&amp;"D")</f>
        <v>42689</v>
      </c>
      <c r="Z550" s="282">
        <v>1.5642329930308449E-3</v>
      </c>
      <c r="AA550" s="284">
        <v>1.4637077402124277E-3</v>
      </c>
    </row>
    <row r="551" spans="23:27" x14ac:dyDescent="0.2">
      <c r="W551" s="203" t="str">
        <f t="shared" si="18"/>
        <v>1w</v>
      </c>
      <c r="X551" s="287">
        <f>_xll.qlCalendarAdvance(Calendar,X550,W551,"f",FALSE)</f>
        <v>42692</v>
      </c>
      <c r="Y551" s="281">
        <f>_xll.qlCalendarAdvance(Calendar,X551,NDays&amp;"D")</f>
        <v>42696</v>
      </c>
      <c r="Z551" s="282">
        <v>1.5808456132833202E-3</v>
      </c>
      <c r="AA551" s="284">
        <v>1.4783903286774702E-3</v>
      </c>
    </row>
    <row r="552" spans="23:27" x14ac:dyDescent="0.2">
      <c r="W552" s="203" t="str">
        <f t="shared" si="18"/>
        <v>1w</v>
      </c>
      <c r="X552" s="287">
        <f>_xll.qlCalendarAdvance(Calendar,X551,W552,"f",FALSE)</f>
        <v>42699</v>
      </c>
      <c r="Y552" s="281">
        <f>_xll.qlCalendarAdvance(Calendar,X552,NDays&amp;"D")</f>
        <v>42703</v>
      </c>
      <c r="Z552" s="282">
        <v>1.5966008676221749E-3</v>
      </c>
      <c r="AA552" s="284">
        <v>1.4915248926339331E-3</v>
      </c>
    </row>
    <row r="553" spans="23:27" x14ac:dyDescent="0.2">
      <c r="W553" s="203" t="str">
        <f t="shared" si="18"/>
        <v>1w</v>
      </c>
      <c r="X553" s="287">
        <f>_xll.qlCalendarAdvance(Calendar,X552,W553,"f",FALSE)</f>
        <v>42706</v>
      </c>
      <c r="Y553" s="281">
        <f>_xll.qlCalendarAdvance(Calendar,X553,NDays&amp;"D")</f>
        <v>42710</v>
      </c>
      <c r="Z553" s="282">
        <v>1.6127446066676043E-3</v>
      </c>
      <c r="AA553" s="284">
        <v>1.5061078294120733E-3</v>
      </c>
    </row>
    <row r="554" spans="23:27" x14ac:dyDescent="0.2">
      <c r="W554" s="203" t="str">
        <f t="shared" si="18"/>
        <v>1w</v>
      </c>
      <c r="X554" s="287">
        <f>_xll.qlCalendarAdvance(Calendar,X553,W554,"f",FALSE)</f>
        <v>42713</v>
      </c>
      <c r="Y554" s="281">
        <f>_xll.qlCalendarAdvance(Calendar,X554,NDays&amp;"D")</f>
        <v>42717</v>
      </c>
      <c r="Z554" s="282">
        <v>1.6306422960363776E-3</v>
      </c>
      <c r="AA554" s="284">
        <v>1.5211403399284507E-3</v>
      </c>
    </row>
    <row r="555" spans="23:27" x14ac:dyDescent="0.2">
      <c r="W555" s="203" t="str">
        <f t="shared" si="18"/>
        <v>1w</v>
      </c>
      <c r="X555" s="287">
        <f>_xll.qlCalendarAdvance(Calendar,X554,W555,"f",FALSE)</f>
        <v>42720</v>
      </c>
      <c r="Y555" s="281">
        <f>_xll.qlCalendarAdvance(Calendar,X555,NDays&amp;"D")</f>
        <v>42724</v>
      </c>
      <c r="Z555" s="282">
        <v>1.6503905781891806E-3</v>
      </c>
      <c r="AA555" s="284">
        <v>1.5366224242630011E-3</v>
      </c>
    </row>
    <row r="556" spans="23:27" x14ac:dyDescent="0.2">
      <c r="W556" s="203" t="str">
        <f t="shared" si="18"/>
        <v>1w</v>
      </c>
      <c r="X556" s="287">
        <f>_xll.qlCalendarAdvance(Calendar,X555,W556,"f",FALSE)</f>
        <v>42732</v>
      </c>
      <c r="Y556" s="281">
        <f>_xll.qlCalendarAdvance(Calendar,X556,NDays&amp;"D")</f>
        <v>42734</v>
      </c>
      <c r="Z556" s="282">
        <v>1.6774276990039073E-3</v>
      </c>
      <c r="AA556" s="284">
        <v>1.5642318559958568E-3</v>
      </c>
    </row>
    <row r="557" spans="23:27" x14ac:dyDescent="0.2">
      <c r="W557" s="203" t="str">
        <f t="shared" si="18"/>
        <v>1w</v>
      </c>
      <c r="X557" s="287">
        <f>_xll.qlCalendarAdvance(Calendar,X556,W557,"f",FALSE)</f>
        <v>42739</v>
      </c>
      <c r="Y557" s="281">
        <f>_xll.qlCalendarAdvance(Calendar,X557,NDays&amp;"D")</f>
        <v>42741</v>
      </c>
      <c r="Z557" s="282">
        <v>1.6954209271071718E-3</v>
      </c>
      <c r="AA557" s="284">
        <v>1.5797196416378334E-3</v>
      </c>
    </row>
    <row r="558" spans="23:27" x14ac:dyDescent="0.2">
      <c r="W558" s="203" t="str">
        <f t="shared" si="18"/>
        <v>1w</v>
      </c>
      <c r="X558" s="287">
        <f>_xll.qlCalendarAdvance(Calendar,X557,W558,"f",FALSE)</f>
        <v>42746</v>
      </c>
      <c r="Y558" s="281">
        <f>_xll.qlCalendarAdvance(Calendar,X558,NDays&amp;"D")</f>
        <v>42748</v>
      </c>
      <c r="Z558" s="282">
        <v>1.7153107980574234E-3</v>
      </c>
      <c r="AA558" s="284">
        <v>1.5955957042823599E-3</v>
      </c>
    </row>
    <row r="559" spans="23:27" x14ac:dyDescent="0.2">
      <c r="W559" s="203" t="str">
        <f t="shared" si="18"/>
        <v>1w</v>
      </c>
      <c r="X559" s="287">
        <f>_xll.qlCalendarAdvance(Calendar,X558,W559,"f",FALSE)</f>
        <v>42753</v>
      </c>
      <c r="Y559" s="281">
        <f>_xll.qlCalendarAdvance(Calendar,X559,NDays&amp;"D")</f>
        <v>42755</v>
      </c>
      <c r="Z559" s="282">
        <v>1.735650534194555E-3</v>
      </c>
      <c r="AA559" s="284">
        <v>1.6131331403457239E-3</v>
      </c>
    </row>
    <row r="560" spans="23:27" x14ac:dyDescent="0.2">
      <c r="W560" s="203" t="str">
        <f t="shared" si="18"/>
        <v>1w</v>
      </c>
      <c r="X560" s="287">
        <f>_xll.qlCalendarAdvance(Calendar,X559,W560,"f",FALSE)</f>
        <v>42760</v>
      </c>
      <c r="Y560" s="281">
        <f>_xll.qlCalendarAdvance(Calendar,X560,NDays&amp;"D")</f>
        <v>42762</v>
      </c>
      <c r="Z560" s="282">
        <v>1.7564401423788567E-3</v>
      </c>
      <c r="AA560" s="284">
        <v>1.6311201563556921E-3</v>
      </c>
    </row>
    <row r="561" spans="23:27" x14ac:dyDescent="0.2">
      <c r="W561" s="203" t="str">
        <f t="shared" si="18"/>
        <v>1w</v>
      </c>
      <c r="X561" s="287">
        <f>_xll.qlCalendarAdvance(Calendar,X560,W561,"f",FALSE)</f>
        <v>42767</v>
      </c>
      <c r="Y561" s="281">
        <f>_xll.qlCalendarAdvance(Calendar,X561,NDays&amp;"D")</f>
        <v>42769</v>
      </c>
      <c r="Z561" s="282">
        <v>1.784129857348792E-3</v>
      </c>
      <c r="AA561" s="284">
        <v>1.6495567525254273E-3</v>
      </c>
    </row>
    <row r="562" spans="23:27" x14ac:dyDescent="0.2">
      <c r="W562" s="203" t="str">
        <f t="shared" si="18"/>
        <v>1w</v>
      </c>
      <c r="X562" s="287">
        <f>_xll.qlCalendarAdvance(Calendar,X561,W562,"f",FALSE)</f>
        <v>42774</v>
      </c>
      <c r="Y562" s="281">
        <f>_xll.qlCalendarAdvance(Calendar,X562,NDays&amp;"D")</f>
        <v>42776</v>
      </c>
      <c r="Z562" s="282">
        <v>1.7977318938594616E-3</v>
      </c>
      <c r="AA562" s="284">
        <v>1.6684429290414471E-3</v>
      </c>
    </row>
    <row r="563" spans="23:27" x14ac:dyDescent="0.2">
      <c r="W563" s="203" t="str">
        <f t="shared" si="18"/>
        <v>1w</v>
      </c>
      <c r="X563" s="287">
        <f>_xll.qlCalendarAdvance(Calendar,X562,W563,"f",FALSE)</f>
        <v>42781</v>
      </c>
      <c r="Y563" s="281">
        <f>_xll.qlCalendarAdvance(Calendar,X563,NDays&amp;"D")</f>
        <v>42783</v>
      </c>
      <c r="Z563" s="282">
        <v>1.8198389139257004E-3</v>
      </c>
      <c r="AA563" s="284">
        <v>1.6877786861435595E-3</v>
      </c>
    </row>
    <row r="564" spans="23:27" x14ac:dyDescent="0.2">
      <c r="W564" s="203" t="str">
        <f t="shared" si="18"/>
        <v>1w</v>
      </c>
      <c r="X564" s="287">
        <f>_xll.qlCalendarAdvance(Calendar,X563,W564,"f",FALSE)</f>
        <v>42788</v>
      </c>
      <c r="Y564" s="281">
        <f>_xll.qlCalendarAdvance(Calendar,X564,NDays&amp;"D")</f>
        <v>42790</v>
      </c>
      <c r="Z564" s="282">
        <v>1.8423958307850173E-3</v>
      </c>
      <c r="AA564" s="284">
        <v>1.7075640240182821E-3</v>
      </c>
    </row>
    <row r="565" spans="23:27" x14ac:dyDescent="0.2">
      <c r="W565" s="203" t="str">
        <f t="shared" si="18"/>
        <v>1w</v>
      </c>
      <c r="X565" s="287">
        <f>_xll.qlCalendarAdvance(Calendar,X564,W565,"f",FALSE)</f>
        <v>42795</v>
      </c>
      <c r="Y565" s="281">
        <f>_xll.qlCalendarAdvance(Calendar,X565,NDays&amp;"D")</f>
        <v>42797</v>
      </c>
      <c r="Z565" s="282">
        <v>1.8741027507397437E-3</v>
      </c>
      <c r="AA565" s="284">
        <v>1.7277989429320684E-3</v>
      </c>
    </row>
    <row r="566" spans="23:27" x14ac:dyDescent="0.2">
      <c r="W566" s="203" t="str">
        <f t="shared" si="18"/>
        <v>1w</v>
      </c>
      <c r="X566" s="287">
        <f>_xll.qlCalendarAdvance(Calendar,X565,W566,"f",FALSE)</f>
        <v>42802</v>
      </c>
      <c r="Y566" s="281">
        <f>_xll.qlCalendarAdvance(Calendar,X566,NDays&amp;"D")</f>
        <v>42804</v>
      </c>
      <c r="Z566" s="282">
        <v>1.8977207891566535E-3</v>
      </c>
      <c r="AA566" s="284">
        <v>1.7484834430714358E-3</v>
      </c>
    </row>
    <row r="567" spans="23:27" x14ac:dyDescent="0.2">
      <c r="W567" s="203" t="str">
        <f t="shared" si="18"/>
        <v>1w</v>
      </c>
      <c r="X567" s="287">
        <f>_xll.qlCalendarAdvance(Calendar,X566,W567,"f",FALSE)</f>
        <v>42809</v>
      </c>
      <c r="Y567" s="281">
        <f>_xll.qlCalendarAdvance(Calendar,X567,NDays&amp;"D")</f>
        <v>42811</v>
      </c>
      <c r="Z567" s="282">
        <v>1.9217816062672734E-3</v>
      </c>
      <c r="AA567" s="284">
        <v>1.7711513382523414E-3</v>
      </c>
    </row>
    <row r="568" spans="23:27" x14ac:dyDescent="0.2">
      <c r="W568" s="203" t="str">
        <f t="shared" si="18"/>
        <v>1w</v>
      </c>
      <c r="X568" s="287">
        <f>_xll.qlCalendarAdvance(Calendar,X567,W568,"f",FALSE)</f>
        <v>42816</v>
      </c>
      <c r="Y568" s="281">
        <f>_xll.qlCalendarAdvance(Calendar,X568,NDays&amp;"D")</f>
        <v>42818</v>
      </c>
      <c r="Z568" s="282">
        <v>1.9462493915128295E-3</v>
      </c>
      <c r="AA568" s="284">
        <v>1.791201188012792E-3</v>
      </c>
    </row>
    <row r="569" spans="23:27" x14ac:dyDescent="0.2">
      <c r="W569" s="203" t="str">
        <f t="shared" si="18"/>
        <v>1w</v>
      </c>
      <c r="X569" s="287">
        <f>_xll.qlCalendarAdvance(Calendar,X568,W569,"f",FALSE)</f>
        <v>42823</v>
      </c>
      <c r="Y569" s="281">
        <f>_xll.qlCalendarAdvance(Calendar,X569,NDays&amp;"D")</f>
        <v>42825</v>
      </c>
      <c r="Z569" s="282">
        <v>1.9655322560064603E-3</v>
      </c>
      <c r="AA569" s="284">
        <v>1.8132344332943973E-3</v>
      </c>
    </row>
    <row r="570" spans="23:27" x14ac:dyDescent="0.2">
      <c r="W570" s="203" t="str">
        <f t="shared" si="18"/>
        <v>1w</v>
      </c>
      <c r="X570" s="287">
        <f>_xll.qlCalendarAdvance(Calendar,X569,W570,"f",FALSE)</f>
        <v>42830</v>
      </c>
      <c r="Y570" s="281">
        <f>_xll.qlCalendarAdvance(Calendar,X570,NDays&amp;"D")</f>
        <v>42832</v>
      </c>
      <c r="Z570" s="282">
        <v>1.9906419985281777E-3</v>
      </c>
      <c r="AA570" s="284">
        <v>1.8357172607874617E-3</v>
      </c>
    </row>
    <row r="571" spans="23:27" x14ac:dyDescent="0.2">
      <c r="W571" s="203" t="str">
        <f t="shared" si="18"/>
        <v>1w</v>
      </c>
      <c r="X571" s="287">
        <f>_xll.qlCalendarAdvance(Calendar,X570,W571,"f",FALSE)</f>
        <v>42837</v>
      </c>
      <c r="Y571" s="281">
        <f>_xll.qlCalendarAdvance(Calendar,X571,NDays&amp;"D")</f>
        <v>42843</v>
      </c>
      <c r="Z571" s="282">
        <v>2.0306718056394171E-3</v>
      </c>
      <c r="AA571" s="284">
        <v>1.8686027162395646E-3</v>
      </c>
    </row>
    <row r="572" spans="23:27" x14ac:dyDescent="0.2">
      <c r="W572" s="203" t="str">
        <f t="shared" si="18"/>
        <v>1w</v>
      </c>
      <c r="X572" s="287">
        <f>_xll.qlCalendarAdvance(Calendar,X571,W572,"f",FALSE)</f>
        <v>42844</v>
      </c>
      <c r="Y572" s="281">
        <f>_xll.qlCalendarAdvance(Calendar,X572,NDays&amp;"D")</f>
        <v>42846</v>
      </c>
      <c r="Z572" s="282">
        <v>2.0416912565401901E-3</v>
      </c>
      <c r="AA572" s="284">
        <v>1.8820316633405554E-3</v>
      </c>
    </row>
    <row r="573" spans="23:27" x14ac:dyDescent="0.2">
      <c r="W573" s="203" t="str">
        <f t="shared" si="18"/>
        <v>1w</v>
      </c>
      <c r="X573" s="287">
        <f>_xll.qlCalendarAdvance(Calendar,X572,W573,"f",FALSE)</f>
        <v>42851</v>
      </c>
      <c r="Y573" s="281">
        <f>_xll.qlCalendarAdvance(Calendar,X573,NDays&amp;"D")</f>
        <v>42853</v>
      </c>
      <c r="Z573" s="282">
        <v>2.0731886733085848E-3</v>
      </c>
      <c r="AA573" s="284">
        <v>1.9075904278387235E-3</v>
      </c>
    </row>
    <row r="574" spans="23:27" x14ac:dyDescent="0.2">
      <c r="W574" s="203" t="str">
        <f t="shared" si="18"/>
        <v>1w</v>
      </c>
      <c r="X574" s="287">
        <f>_xll.qlCalendarAdvance(Calendar,X573,W574,"f",FALSE)</f>
        <v>42863</v>
      </c>
      <c r="Y574" s="281">
        <f>_xll.qlCalendarAdvance(Calendar,X574,NDays&amp;"D")</f>
        <v>42865</v>
      </c>
      <c r="Z574" s="282">
        <v>2.1140812236513E-3</v>
      </c>
      <c r="AA574" s="284">
        <v>1.9442076413600518E-3</v>
      </c>
    </row>
    <row r="575" spans="23:27" x14ac:dyDescent="0.2">
      <c r="W575" s="203" t="str">
        <f t="shared" si="18"/>
        <v>1w</v>
      </c>
      <c r="X575" s="287">
        <f>_xll.qlCalendarAdvance(Calendar,X574,W575,"f",FALSE)</f>
        <v>42870</v>
      </c>
      <c r="Y575" s="281">
        <f>_xll.qlCalendarAdvance(Calendar,X575,NDays&amp;"D")</f>
        <v>42872</v>
      </c>
      <c r="Z575" s="282">
        <v>2.1402534353500416E-3</v>
      </c>
      <c r="AA575" s="284">
        <v>1.9691950170486194E-3</v>
      </c>
    </row>
    <row r="576" spans="23:27" x14ac:dyDescent="0.2">
      <c r="W576" s="203" t="str">
        <f t="shared" si="18"/>
        <v>1w</v>
      </c>
      <c r="X576" s="287">
        <f>_xll.qlCalendarAdvance(Calendar,X575,W576,"f",FALSE)</f>
        <v>42877</v>
      </c>
      <c r="Y576" s="281">
        <f>_xll.qlCalendarAdvance(Calendar,X576,NDays&amp;"D")</f>
        <v>42879</v>
      </c>
      <c r="Z576" s="282">
        <v>2.1664615480283633E-3</v>
      </c>
      <c r="AA576" s="284">
        <v>1.9946319682340174E-3</v>
      </c>
    </row>
    <row r="577" spans="23:27" x14ac:dyDescent="0.2">
      <c r="W577" s="203" t="str">
        <f t="shared" si="18"/>
        <v>1w</v>
      </c>
      <c r="X577" s="287">
        <f>_xll.qlCalendarAdvance(Calendar,X576,W577,"f",FALSE)</f>
        <v>42885</v>
      </c>
      <c r="Y577" s="281">
        <f>_xll.qlCalendarAdvance(Calendar,X577,NDays&amp;"D")</f>
        <v>42887</v>
      </c>
      <c r="Z577" s="282">
        <v>2.196401298332545E-3</v>
      </c>
      <c r="AA577" s="284">
        <v>2.0242532704450866E-3</v>
      </c>
    </row>
    <row r="578" spans="23:27" x14ac:dyDescent="0.2">
      <c r="W578" s="203" t="str">
        <f t="shared" si="18"/>
        <v>1w</v>
      </c>
      <c r="X578" s="287">
        <f>_xll.qlCalendarAdvance(Calendar,X577,W578,"f",FALSE)</f>
        <v>42892</v>
      </c>
      <c r="Y578" s="281">
        <f>_xll.qlCalendarAdvance(Calendar,X578,NDays&amp;"D")</f>
        <v>42894</v>
      </c>
      <c r="Z578" s="282">
        <v>2.2225384508270506E-3</v>
      </c>
      <c r="AA578" s="284">
        <v>2.0506535980491236E-3</v>
      </c>
    </row>
    <row r="579" spans="23:27" x14ac:dyDescent="0.2">
      <c r="W579" s="203" t="str">
        <f t="shared" si="18"/>
        <v>1w</v>
      </c>
      <c r="X579" s="287">
        <f>_xll.qlCalendarAdvance(Calendar,X578,W579,"f",FALSE)</f>
        <v>42899</v>
      </c>
      <c r="Y579" s="281">
        <f>_xll.qlCalendarAdvance(Calendar,X579,NDays&amp;"D")</f>
        <v>42901</v>
      </c>
      <c r="Z579" s="282">
        <v>2.2485740465029496E-3</v>
      </c>
      <c r="AA579" s="284">
        <v>2.0774308977067335E-3</v>
      </c>
    </row>
    <row r="580" spans="23:27" x14ac:dyDescent="0.2">
      <c r="W580" s="203" t="str">
        <f t="shared" si="18"/>
        <v>1w</v>
      </c>
      <c r="X580" s="287">
        <f>_xll.qlCalendarAdvance(Calendar,X579,W580,"f",FALSE)</f>
        <v>42906</v>
      </c>
      <c r="Y580" s="281">
        <f>_xll.qlCalendarAdvance(Calendar,X580,NDays&amp;"D")</f>
        <v>42908</v>
      </c>
      <c r="Z580" s="282">
        <v>2.2744837756503446E-3</v>
      </c>
      <c r="AA580" s="284">
        <v>2.1041534709009824E-3</v>
      </c>
    </row>
    <row r="581" spans="23:27" x14ac:dyDescent="0.2">
      <c r="W581" s="203" t="str">
        <f t="shared" si="18"/>
        <v>1w</v>
      </c>
      <c r="X581" s="287">
        <f>_xll.qlCalendarAdvance(Calendar,X580,W581,"f",FALSE)</f>
        <v>42913</v>
      </c>
      <c r="Y581" s="281">
        <f>_xll.qlCalendarAdvance(Calendar,X581,NDays&amp;"D")</f>
        <v>42915</v>
      </c>
      <c r="Z581" s="282">
        <v>2.3002662699185853E-3</v>
      </c>
      <c r="AA581" s="284">
        <v>2.1307487138688685E-3</v>
      </c>
    </row>
    <row r="582" spans="23:27" x14ac:dyDescent="0.2">
      <c r="W582" s="203" t="str">
        <f t="shared" si="18"/>
        <v>1w</v>
      </c>
      <c r="X582" s="287">
        <f>_xll.qlCalendarAdvance(Calendar,X581,W582,"f",FALSE)</f>
        <v>42920</v>
      </c>
      <c r="Y582" s="281">
        <f>_xll.qlCalendarAdvance(Calendar,X582,NDays&amp;"D")</f>
        <v>42922</v>
      </c>
      <c r="Z582" s="282">
        <v>2.3259215267922924E-3</v>
      </c>
      <c r="AA582" s="284">
        <v>2.157216626530456E-3</v>
      </c>
    </row>
    <row r="583" spans="23:27" x14ac:dyDescent="0.2">
      <c r="W583" s="203" t="str">
        <f t="shared" si="18"/>
        <v>1w</v>
      </c>
      <c r="X583" s="287">
        <f>_xll.qlCalendarAdvance(Calendar,X582,W583,"f",FALSE)</f>
        <v>42927</v>
      </c>
      <c r="Y583" s="281">
        <f>_xll.qlCalendarAdvance(Calendar,X583,NDays&amp;"D")</f>
        <v>42929</v>
      </c>
      <c r="Z583" s="282">
        <v>2.3514495437673821E-3</v>
      </c>
      <c r="AA583" s="284">
        <v>2.1835572088857447E-3</v>
      </c>
    </row>
    <row r="584" spans="23:27" x14ac:dyDescent="0.2">
      <c r="W584" s="203" t="str">
        <f t="shared" si="18"/>
        <v>1w</v>
      </c>
      <c r="X584" s="287">
        <f>_xll.qlCalendarAdvance(Calendar,X583,W584,"f",FALSE)</f>
        <v>42934</v>
      </c>
      <c r="Y584" s="281">
        <f>_xll.qlCalendarAdvance(Calendar,X584,NDays&amp;"D")</f>
        <v>42936</v>
      </c>
      <c r="Z584" s="282">
        <v>2.3768503183536726E-3</v>
      </c>
      <c r="AA584" s="284">
        <v>2.2097704609347346E-3</v>
      </c>
    </row>
    <row r="585" spans="23:27" x14ac:dyDescent="0.2">
      <c r="W585" s="203" t="str">
        <f t="shared" si="18"/>
        <v>1w</v>
      </c>
      <c r="X585" s="287">
        <f>_xll.qlCalendarAdvance(Calendar,X584,W585,"f",FALSE)</f>
        <v>42941</v>
      </c>
      <c r="Y585" s="281">
        <f>_xll.qlCalendarAdvance(Calendar,X585,NDays&amp;"D")</f>
        <v>42943</v>
      </c>
      <c r="Z585" s="282">
        <v>2.4021238480722768E-3</v>
      </c>
      <c r="AA585" s="284">
        <v>2.2358563825974898E-3</v>
      </c>
    </row>
    <row r="586" spans="23:27" x14ac:dyDescent="0.2">
      <c r="W586" s="203" t="str">
        <f t="shared" si="18"/>
        <v>1w</v>
      </c>
      <c r="X586" s="287">
        <f>_xll.qlCalendarAdvance(Calendar,X585,W586,"f",FALSE)</f>
        <v>42948</v>
      </c>
      <c r="Y586" s="281">
        <f>_xll.qlCalendarAdvance(Calendar,X586,NDays&amp;"D")</f>
        <v>42950</v>
      </c>
      <c r="Z586" s="282">
        <v>2.4326059351961952E-3</v>
      </c>
      <c r="AA586" s="284">
        <v>2.2618149738740101E-3</v>
      </c>
    </row>
    <row r="587" spans="23:27" x14ac:dyDescent="0.2">
      <c r="W587" s="203" t="str">
        <f t="shared" si="18"/>
        <v>1w</v>
      </c>
      <c r="X587" s="287">
        <f>_xll.qlCalendarAdvance(Calendar,X586,W587,"f",FALSE)</f>
        <v>42955</v>
      </c>
      <c r="Y587" s="281">
        <f>_xll.qlCalendarAdvance(Calendar,X587,NDays&amp;"D")</f>
        <v>42957</v>
      </c>
      <c r="Z587" s="282">
        <v>2.4522891630534391E-3</v>
      </c>
      <c r="AA587" s="284">
        <v>2.2876462346843596E-3</v>
      </c>
    </row>
    <row r="588" spans="23:27" x14ac:dyDescent="0.2">
      <c r="W588" s="203" t="str">
        <f t="shared" si="18"/>
        <v>1w</v>
      </c>
      <c r="X588" s="287">
        <f>_xll.qlCalendarAdvance(Calendar,X587,W588,"f",FALSE)</f>
        <v>42962</v>
      </c>
      <c r="Y588" s="281">
        <f>_xll.qlCalendarAdvance(Calendar,X588,NDays&amp;"D")</f>
        <v>42964</v>
      </c>
      <c r="Z588" s="282">
        <v>2.4771809434225205E-3</v>
      </c>
      <c r="AA588" s="284">
        <v>2.3133501651084742E-3</v>
      </c>
    </row>
    <row r="589" spans="23:27" x14ac:dyDescent="0.2">
      <c r="W589" s="203" t="str">
        <f t="shared" si="18"/>
        <v>1w</v>
      </c>
      <c r="X589" s="287">
        <f>_xll.qlCalendarAdvance(Calendar,X588,W589,"f",FALSE)</f>
        <v>42969</v>
      </c>
      <c r="Y589" s="281">
        <f>_xll.qlCalendarAdvance(Calendar,X589,NDays&amp;"D")</f>
        <v>42971</v>
      </c>
      <c r="Z589" s="282">
        <v>2.5019454691326175E-3</v>
      </c>
      <c r="AA589" s="284">
        <v>2.338926764986482E-3</v>
      </c>
    </row>
    <row r="590" spans="23:27" x14ac:dyDescent="0.2">
      <c r="W590" s="203" t="str">
        <f t="shared" si="18"/>
        <v>1w</v>
      </c>
      <c r="X590" s="287">
        <f>_xll.qlCalendarAdvance(Calendar,X589,W590,"f",FALSE)</f>
        <v>42976</v>
      </c>
      <c r="Y590" s="281">
        <f>_xll.qlCalendarAdvance(Calendar,X590,NDays&amp;"D")</f>
        <v>42978</v>
      </c>
      <c r="Z590" s="282">
        <v>2.5248381282628484E-3</v>
      </c>
      <c r="AA590" s="284">
        <v>2.3643760343983189E-3</v>
      </c>
    </row>
    <row r="591" spans="23:27" x14ac:dyDescent="0.2">
      <c r="W591" s="203" t="str">
        <f t="shared" si="18"/>
        <v>1w</v>
      </c>
      <c r="X591" s="287">
        <f>_xll.qlCalendarAdvance(Calendar,X590,W591,"f",FALSE)</f>
        <v>42983</v>
      </c>
      <c r="Y591" s="281">
        <f>_xll.qlCalendarAdvance(Calendar,X591,NDays&amp;"D")</f>
        <v>42985</v>
      </c>
      <c r="Z591" s="282">
        <v>2.5493570548442189E-3</v>
      </c>
      <c r="AA591" s="284">
        <v>2.3896979733439849E-3</v>
      </c>
    </row>
    <row r="592" spans="23:27" x14ac:dyDescent="0.2">
      <c r="W592" s="203" t="str">
        <f t="shared" si="18"/>
        <v>1w</v>
      </c>
      <c r="X592" s="287">
        <f>_xll.qlCalendarAdvance(Calendar,X591,W592,"f",FALSE)</f>
        <v>42990</v>
      </c>
      <c r="Y592" s="281">
        <f>_xll.qlCalendarAdvance(Calendar,X592,NDays&amp;"D")</f>
        <v>42992</v>
      </c>
      <c r="Z592" s="282">
        <v>2.5737487189656785E-3</v>
      </c>
      <c r="AA592" s="284">
        <v>2.414892581663608E-3</v>
      </c>
    </row>
    <row r="593" spans="23:27" x14ac:dyDescent="0.2">
      <c r="W593" s="203" t="str">
        <f t="shared" si="18"/>
        <v>1w</v>
      </c>
      <c r="X593" s="287">
        <f>_xll.qlCalendarAdvance(Calendar,X592,W593,"f",FALSE)</f>
        <v>42997</v>
      </c>
      <c r="Y593" s="281">
        <f>_xll.qlCalendarAdvance(Calendar,X593,NDays&amp;"D")</f>
        <v>42999</v>
      </c>
      <c r="Z593" s="282">
        <v>2.5980131182730664E-3</v>
      </c>
      <c r="AA593" s="284">
        <v>2.4399598593571881E-3</v>
      </c>
    </row>
    <row r="594" spans="23:27" x14ac:dyDescent="0.2">
      <c r="W594" s="203" t="str">
        <f t="shared" si="18"/>
        <v>1w</v>
      </c>
      <c r="X594" s="287">
        <f>_xll.qlCalendarAdvance(Calendar,X593,W594,"f",FALSE)</f>
        <v>43004</v>
      </c>
      <c r="Y594" s="281">
        <f>_xll.qlCalendarAdvance(Calendar,X594,NDays&amp;"D")</f>
        <v>43006</v>
      </c>
      <c r="Z594" s="282">
        <v>2.6221502504245194E-3</v>
      </c>
      <c r="AA594" s="284">
        <v>2.4648998065046612E-3</v>
      </c>
    </row>
    <row r="595" spans="23:27" x14ac:dyDescent="0.2">
      <c r="W595" s="203" t="str">
        <f t="shared" si="18"/>
        <v>1w</v>
      </c>
      <c r="X595" s="287">
        <f>_xll.qlCalendarAdvance(Calendar,X594,W595,"f",FALSE)</f>
        <v>43011</v>
      </c>
      <c r="Y595" s="281">
        <f>_xll.qlCalendarAdvance(Calendar,X595,NDays&amp;"D")</f>
        <v>43013</v>
      </c>
      <c r="Z595" s="282">
        <v>2.6478601411194587E-3</v>
      </c>
      <c r="AA595" s="284">
        <v>2.4897124229461554E-3</v>
      </c>
    </row>
    <row r="596" spans="23:27" x14ac:dyDescent="0.2">
      <c r="W596" s="203" t="str">
        <f t="shared" si="18"/>
        <v>1w</v>
      </c>
      <c r="X596" s="287">
        <f>_xll.qlCalendarAdvance(Calendar,X595,W596,"f",FALSE)</f>
        <v>43018</v>
      </c>
      <c r="Y596" s="281">
        <f>_xll.qlCalendarAdvance(Calendar,X596,NDays&amp;"D")</f>
        <v>43020</v>
      </c>
      <c r="Z596" s="282">
        <v>2.6717338172563159E-3</v>
      </c>
      <c r="AA596" s="284">
        <v>2.5143977087616065E-3</v>
      </c>
    </row>
    <row r="597" spans="23:27" x14ac:dyDescent="0.2">
      <c r="W597" s="203" t="str">
        <f t="shared" ref="W597:W660" si="19">W596</f>
        <v>1w</v>
      </c>
      <c r="X597" s="287">
        <f>_xll.qlCalendarAdvance(Calendar,X596,W597,"f",FALSE)</f>
        <v>43025</v>
      </c>
      <c r="Y597" s="281">
        <f>_xll.qlCalendarAdvance(Calendar,X597,NDays&amp;"D")</f>
        <v>43027</v>
      </c>
      <c r="Z597" s="282">
        <v>2.6954802197502437E-3</v>
      </c>
      <c r="AA597" s="284">
        <v>2.5389556638710786E-3</v>
      </c>
    </row>
    <row r="598" spans="23:27" x14ac:dyDescent="0.2">
      <c r="W598" s="203" t="str">
        <f t="shared" si="19"/>
        <v>1w</v>
      </c>
      <c r="X598" s="287">
        <f>_xll.qlCalendarAdvance(Calendar,X597,W598,"f",FALSE)</f>
        <v>43032</v>
      </c>
      <c r="Y598" s="281">
        <f>_xll.qlCalendarAdvance(Calendar,X598,NDays&amp;"D")</f>
        <v>43034</v>
      </c>
      <c r="Z598" s="282">
        <v>2.7190993462839655E-3</v>
      </c>
      <c r="AA598" s="284">
        <v>2.5633862883545078E-3</v>
      </c>
    </row>
    <row r="599" spans="23:27" x14ac:dyDescent="0.2">
      <c r="W599" s="203" t="str">
        <f t="shared" si="19"/>
        <v>1w</v>
      </c>
      <c r="X599" s="287">
        <f>_xll.qlCalendarAdvance(Calendar,X598,W599,"f",FALSE)</f>
        <v>43039</v>
      </c>
      <c r="Y599" s="281">
        <f>_xll.qlCalendarAdvance(Calendar,X599,NDays&amp;"D")</f>
        <v>43041</v>
      </c>
      <c r="Z599" s="282">
        <v>2.742591194552369E-3</v>
      </c>
      <c r="AA599" s="284">
        <v>2.5929072532471231E-3</v>
      </c>
    </row>
    <row r="600" spans="23:27" x14ac:dyDescent="0.2">
      <c r="W600" s="203" t="str">
        <f t="shared" si="19"/>
        <v>1w</v>
      </c>
      <c r="X600" s="287">
        <f>_xll.qlCalendarAdvance(Calendar,X599,W600,"f",FALSE)</f>
        <v>43046</v>
      </c>
      <c r="Y600" s="281">
        <f>_xll.qlCalendarAdvance(Calendar,X600,NDays&amp;"D")</f>
        <v>43048</v>
      </c>
      <c r="Z600" s="282">
        <v>2.7659557622633744E-3</v>
      </c>
      <c r="AA600" s="284">
        <v>2.6118655449636208E-3</v>
      </c>
    </row>
    <row r="601" spans="23:27" x14ac:dyDescent="0.2">
      <c r="W601" s="203" t="str">
        <f t="shared" si="19"/>
        <v>1w</v>
      </c>
      <c r="X601" s="287">
        <f>_xll.qlCalendarAdvance(Calendar,X600,W601,"f",FALSE)</f>
        <v>43053</v>
      </c>
      <c r="Y601" s="281">
        <f>_xll.qlCalendarAdvance(Calendar,X601,NDays&amp;"D")</f>
        <v>43055</v>
      </c>
      <c r="Z601" s="282">
        <v>2.7891930471370665E-3</v>
      </c>
      <c r="AA601" s="284">
        <v>2.6359141770093686E-3</v>
      </c>
    </row>
    <row r="602" spans="23:27" x14ac:dyDescent="0.2">
      <c r="W602" s="203" t="str">
        <f t="shared" si="19"/>
        <v>1w</v>
      </c>
      <c r="X602" s="287">
        <f>_xll.qlCalendarAdvance(Calendar,X601,W602,"f",FALSE)</f>
        <v>43060</v>
      </c>
      <c r="Y602" s="281">
        <f>_xll.qlCalendarAdvance(Calendar,X602,NDays&amp;"D")</f>
        <v>43063</v>
      </c>
      <c r="Z602" s="282">
        <v>2.8188642841106026E-3</v>
      </c>
      <c r="AA602" s="284">
        <v>2.6666656351626017E-3</v>
      </c>
    </row>
    <row r="603" spans="23:27" x14ac:dyDescent="0.2">
      <c r="W603" s="203" t="str">
        <f t="shared" si="19"/>
        <v>1w</v>
      </c>
      <c r="X603" s="287">
        <f>_xll.qlCalendarAdvance(Calendar,X602,W603,"f",FALSE)</f>
        <v>43067</v>
      </c>
      <c r="Y603" s="281">
        <f>_xll.qlCalendarAdvance(Calendar,X603,NDays&amp;"D")</f>
        <v>43069</v>
      </c>
      <c r="Z603" s="282">
        <v>2.8320274748310226E-3</v>
      </c>
      <c r="AA603" s="284">
        <v>2.6836294487431189E-3</v>
      </c>
    </row>
    <row r="604" spans="23:27" x14ac:dyDescent="0.2">
      <c r="W604" s="203" t="str">
        <f t="shared" si="19"/>
        <v>1w</v>
      </c>
      <c r="X604" s="287">
        <f>_xll.qlCalendarAdvance(Calendar,X603,W604,"f",FALSE)</f>
        <v>43074</v>
      </c>
      <c r="Y604" s="281">
        <f>_xll.qlCalendarAdvance(Calendar,X604,NDays&amp;"D")</f>
        <v>43076</v>
      </c>
      <c r="Z604" s="282">
        <v>2.8549007210294519E-3</v>
      </c>
      <c r="AA604" s="284">
        <v>2.7072960883511854E-3</v>
      </c>
    </row>
    <row r="605" spans="23:27" x14ac:dyDescent="0.2">
      <c r="W605" s="203" t="str">
        <f t="shared" si="19"/>
        <v>1w</v>
      </c>
      <c r="X605" s="287">
        <f>_xll.qlCalendarAdvance(Calendar,X604,W605,"f",FALSE)</f>
        <v>43081</v>
      </c>
      <c r="Y605" s="281">
        <f>_xll.qlCalendarAdvance(Calendar,X605,NDays&amp;"D")</f>
        <v>43083</v>
      </c>
      <c r="Z605" s="282">
        <v>2.8776466748405838E-3</v>
      </c>
      <c r="AA605" s="284">
        <v>2.7308353970134647E-3</v>
      </c>
    </row>
    <row r="606" spans="23:27" x14ac:dyDescent="0.2">
      <c r="W606" s="203" t="str">
        <f t="shared" si="19"/>
        <v>1w</v>
      </c>
      <c r="X606" s="287">
        <f>_xll.qlCalendarAdvance(Calendar,X605,W606,"f",FALSE)</f>
        <v>43088</v>
      </c>
      <c r="Y606" s="281">
        <f>_xll.qlCalendarAdvance(Calendar,X606,NDays&amp;"D")</f>
        <v>43090</v>
      </c>
      <c r="Z606" s="282">
        <v>2.9018681623018904E-3</v>
      </c>
      <c r="AA606" s="284">
        <v>2.7542473748098928E-3</v>
      </c>
    </row>
    <row r="607" spans="23:27" x14ac:dyDescent="0.2">
      <c r="W607" s="203" t="str">
        <f t="shared" si="19"/>
        <v>1w</v>
      </c>
      <c r="X607" s="287">
        <f>_xll.qlCalendarAdvance(Calendar,X606,W607,"f",FALSE)</f>
        <v>43096</v>
      </c>
      <c r="Y607" s="281">
        <f>_xll.qlCalendarAdvance(Calendar,X607,NDays&amp;"D")</f>
        <v>43098</v>
      </c>
      <c r="Z607" s="282">
        <v>2.9259593567241282E-3</v>
      </c>
      <c r="AA607" s="284">
        <v>2.7891768290588814E-3</v>
      </c>
    </row>
    <row r="608" spans="23:27" x14ac:dyDescent="0.2">
      <c r="W608" s="203" t="str">
        <f t="shared" si="19"/>
        <v>1w</v>
      </c>
      <c r="X608" s="287">
        <f>_xll.qlCalendarAdvance(Calendar,X607,W608,"f",FALSE)</f>
        <v>43104</v>
      </c>
      <c r="Y608" s="281">
        <f>_xll.qlCalendarAdvance(Calendar,X608,NDays&amp;"D")</f>
        <v>43109</v>
      </c>
      <c r="Z608" s="282">
        <v>2.9610171522262974E-3</v>
      </c>
      <c r="AA608" s="284">
        <v>2.8171523195830162E-3</v>
      </c>
    </row>
    <row r="609" spans="23:27" x14ac:dyDescent="0.2">
      <c r="W609" s="203" t="str">
        <f t="shared" si="19"/>
        <v>1w</v>
      </c>
      <c r="X609" s="287">
        <f>_xll.qlCalendarAdvance(Calendar,X608,W609,"f",FALSE)</f>
        <v>43111</v>
      </c>
      <c r="Y609" s="281">
        <f>_xll.qlCalendarAdvance(Calendar,X609,NDays&amp;"D")</f>
        <v>43115</v>
      </c>
      <c r="Z609" s="282">
        <v>2.9815780923965612E-3</v>
      </c>
      <c r="AA609" s="284">
        <v>2.8368221446317676E-3</v>
      </c>
    </row>
    <row r="610" spans="23:27" x14ac:dyDescent="0.2">
      <c r="W610" s="203" t="str">
        <f t="shared" si="19"/>
        <v>1w</v>
      </c>
      <c r="X610" s="287">
        <f>_xll.qlCalendarAdvance(Calendar,X609,W610,"f",FALSE)</f>
        <v>43118</v>
      </c>
      <c r="Y610" s="281">
        <f>_xll.qlCalendarAdvance(Calendar,X610,NDays&amp;"D")</f>
        <v>43122</v>
      </c>
      <c r="Z610" s="282">
        <v>3.0036058960401105E-3</v>
      </c>
      <c r="AA610" s="284">
        <v>2.8596520378876278E-3</v>
      </c>
    </row>
    <row r="611" spans="23:27" x14ac:dyDescent="0.2">
      <c r="W611" s="203" t="str">
        <f t="shared" si="19"/>
        <v>1w</v>
      </c>
      <c r="X611" s="287">
        <f>_xll.qlCalendarAdvance(Calendar,X610,W611,"f",FALSE)</f>
        <v>43125</v>
      </c>
      <c r="Y611" s="281">
        <f>_xll.qlCalendarAdvance(Calendar,X611,NDays&amp;"D")</f>
        <v>43129</v>
      </c>
      <c r="Z611" s="282">
        <v>3.020844321111554E-3</v>
      </c>
      <c r="AA611" s="284">
        <v>2.8823546000378286E-3</v>
      </c>
    </row>
    <row r="612" spans="23:27" x14ac:dyDescent="0.2">
      <c r="W612" s="203" t="str">
        <f t="shared" si="19"/>
        <v>1w</v>
      </c>
      <c r="X612" s="287">
        <f>_xll.qlCalendarAdvance(Calendar,X611,W612,"f",FALSE)</f>
        <v>43132</v>
      </c>
      <c r="Y612" s="281">
        <f>_xll.qlCalendarAdvance(Calendar,X612,NDays&amp;"D")</f>
        <v>43136</v>
      </c>
      <c r="Z612" s="282">
        <v>3.0488230156934587E-3</v>
      </c>
      <c r="AA612" s="284">
        <v>2.9049298311623062E-3</v>
      </c>
    </row>
    <row r="613" spans="23:27" x14ac:dyDescent="0.2">
      <c r="W613" s="203" t="str">
        <f t="shared" si="19"/>
        <v>1w</v>
      </c>
      <c r="X613" s="287">
        <f>_xll.qlCalendarAdvance(Calendar,X612,W613,"f",FALSE)</f>
        <v>43139</v>
      </c>
      <c r="Y613" s="281">
        <f>_xll.qlCalendarAdvance(Calendar,X613,NDays&amp;"D")</f>
        <v>43144</v>
      </c>
      <c r="Z613" s="282">
        <v>3.0704732453630257E-3</v>
      </c>
      <c r="AA613" s="284">
        <v>2.9305741796470386E-3</v>
      </c>
    </row>
    <row r="614" spans="23:27" x14ac:dyDescent="0.2">
      <c r="W614" s="203" t="str">
        <f t="shared" si="19"/>
        <v>1w</v>
      </c>
      <c r="X614" s="287">
        <f>_xll.qlCalendarAdvance(Calendar,X613,W614,"f",FALSE)</f>
        <v>43146</v>
      </c>
      <c r="Y614" s="281">
        <f>_xll.qlCalendarAdvance(Calendar,X614,NDays&amp;"D")</f>
        <v>43150</v>
      </c>
      <c r="Z614" s="282">
        <v>3.0904440264698302E-3</v>
      </c>
      <c r="AA614" s="284">
        <v>2.9496983000143473E-3</v>
      </c>
    </row>
    <row r="615" spans="23:27" x14ac:dyDescent="0.2">
      <c r="W615" s="203" t="str">
        <f t="shared" si="19"/>
        <v>1w</v>
      </c>
      <c r="X615" s="287">
        <f>_xll.qlCalendarAdvance(Calendar,X614,W615,"f",FALSE)</f>
        <v>43153</v>
      </c>
      <c r="Y615" s="281">
        <f>_xll.qlCalendarAdvance(Calendar,X615,NDays&amp;"D")</f>
        <v>43157</v>
      </c>
      <c r="Z615" s="282">
        <v>3.1133519811853564E-3</v>
      </c>
      <c r="AA615" s="284">
        <v>2.9718915376619748E-3</v>
      </c>
    </row>
    <row r="616" spans="23:27" x14ac:dyDescent="0.2">
      <c r="W616" s="203" t="str">
        <f t="shared" si="19"/>
        <v>1w</v>
      </c>
      <c r="X616" s="287">
        <f>_xll.qlCalendarAdvance(Calendar,X615,W616,"f",FALSE)</f>
        <v>43160</v>
      </c>
      <c r="Y616" s="281">
        <f>_xll.qlCalendarAdvance(Calendar,X616,NDays&amp;"D")</f>
        <v>43164</v>
      </c>
      <c r="Z616" s="282">
        <v>3.1346070056571386E-3</v>
      </c>
      <c r="AA616" s="284">
        <v>2.9939574442039429E-3</v>
      </c>
    </row>
    <row r="617" spans="23:27" x14ac:dyDescent="0.2">
      <c r="W617" s="203" t="str">
        <f t="shared" si="19"/>
        <v>1w</v>
      </c>
      <c r="X617" s="287">
        <f>_xll.qlCalendarAdvance(Calendar,X616,W617,"f",FALSE)</f>
        <v>43167</v>
      </c>
      <c r="Y617" s="281">
        <f>_xll.qlCalendarAdvance(Calendar,X617,NDays&amp;"D")</f>
        <v>43171</v>
      </c>
      <c r="Z617" s="282">
        <v>3.1557347383161785E-3</v>
      </c>
      <c r="AA617" s="284">
        <v>3.0158960196402518E-3</v>
      </c>
    </row>
    <row r="618" spans="23:27" x14ac:dyDescent="0.2">
      <c r="W618" s="203" t="str">
        <f t="shared" si="19"/>
        <v>1w</v>
      </c>
      <c r="X618" s="287">
        <f>_xll.qlCalendarAdvance(Calendar,X617,W618,"f",FALSE)</f>
        <v>43174</v>
      </c>
      <c r="Y618" s="281">
        <f>_xll.qlCalendarAdvance(Calendar,X618,NDays&amp;"D")</f>
        <v>43178</v>
      </c>
      <c r="Z618" s="282">
        <v>3.1767489202585626E-3</v>
      </c>
      <c r="AA618" s="284">
        <v>3.0377072637310931E-3</v>
      </c>
    </row>
    <row r="619" spans="23:27" x14ac:dyDescent="0.2">
      <c r="W619" s="203" t="str">
        <f t="shared" si="19"/>
        <v>1w</v>
      </c>
      <c r="X619" s="287">
        <f>_xll.qlCalendarAdvance(Calendar,X618,W619,"f",FALSE)</f>
        <v>43181</v>
      </c>
      <c r="Y619" s="281">
        <f>_xll.qlCalendarAdvance(Calendar,X619,NDays&amp;"D")</f>
        <v>43185</v>
      </c>
      <c r="Z619" s="282">
        <v>3.1976992844985198E-3</v>
      </c>
      <c r="AA619" s="284">
        <v>3.0593911766363391E-3</v>
      </c>
    </row>
    <row r="620" spans="23:27" x14ac:dyDescent="0.2">
      <c r="W620" s="203" t="str">
        <f t="shared" si="19"/>
        <v>1w</v>
      </c>
      <c r="X620" s="287">
        <f>_xll.qlCalendarAdvance(Calendar,X619,W620,"f",FALSE)</f>
        <v>43188</v>
      </c>
      <c r="Y620" s="281">
        <f>_xll.qlCalendarAdvance(Calendar,X620,NDays&amp;"D")</f>
        <v>43194</v>
      </c>
      <c r="Z620" s="282">
        <v>3.2231203772793903E-3</v>
      </c>
      <c r="AA620" s="284">
        <v>3.087083394115453E-3</v>
      </c>
    </row>
    <row r="621" spans="23:27" x14ac:dyDescent="0.2">
      <c r="W621" s="203" t="str">
        <f t="shared" si="19"/>
        <v>1w</v>
      </c>
      <c r="X621" s="287">
        <f>_xll.qlCalendarAdvance(Calendar,X620,W621,"f",FALSE)</f>
        <v>43195</v>
      </c>
      <c r="Y621" s="281">
        <f>_xll.qlCalendarAdvance(Calendar,X621,NDays&amp;"D")</f>
        <v>43199</v>
      </c>
      <c r="Z621" s="282">
        <v>3.2381082890183491E-3</v>
      </c>
      <c r="AA621" s="284">
        <v>3.1023770084903646E-3</v>
      </c>
    </row>
    <row r="622" spans="23:27" x14ac:dyDescent="0.2">
      <c r="W622" s="203" t="str">
        <f t="shared" si="19"/>
        <v>1w</v>
      </c>
      <c r="X622" s="287">
        <f>_xll.qlCalendarAdvance(Calendar,X621,W622,"f",FALSE)</f>
        <v>43202</v>
      </c>
      <c r="Y622" s="281">
        <f>_xll.qlCalendarAdvance(Calendar,X622,NDays&amp;"D")</f>
        <v>43206</v>
      </c>
      <c r="Z622" s="282">
        <v>3.2607231390779927E-3</v>
      </c>
      <c r="AA622" s="284">
        <v>3.1236789275190802E-3</v>
      </c>
    </row>
    <row r="623" spans="23:27" x14ac:dyDescent="0.2">
      <c r="W623" s="203" t="str">
        <f t="shared" si="19"/>
        <v>1w</v>
      </c>
      <c r="X623" s="287">
        <f>_xll.qlCalendarAdvance(Calendar,X622,W623,"f",FALSE)</f>
        <v>43209</v>
      </c>
      <c r="Y623" s="281">
        <f>_xll.qlCalendarAdvance(Calendar,X623,NDays&amp;"D")</f>
        <v>43213</v>
      </c>
      <c r="Z623" s="282">
        <v>3.280404128492659E-3</v>
      </c>
      <c r="AA623" s="284">
        <v>3.1448535152023283E-3</v>
      </c>
    </row>
    <row r="624" spans="23:27" x14ac:dyDescent="0.2">
      <c r="W624" s="203" t="str">
        <f t="shared" si="19"/>
        <v>1w</v>
      </c>
      <c r="X624" s="287">
        <f>_xll.qlCalendarAdvance(Calendar,X623,W624,"f",FALSE)</f>
        <v>43216</v>
      </c>
      <c r="Y624" s="281">
        <f>_xll.qlCalendarAdvance(Calendar,X624,NDays&amp;"D")</f>
        <v>43221</v>
      </c>
      <c r="Z624" s="282">
        <v>3.3065258101200074E-3</v>
      </c>
      <c r="AA624" s="284">
        <v>3.1688971279830724E-3</v>
      </c>
    </row>
    <row r="625" spans="23:27" x14ac:dyDescent="0.2">
      <c r="W625" s="203" t="str">
        <f t="shared" si="19"/>
        <v>1w</v>
      </c>
      <c r="X625" s="287">
        <f>_xll.qlCalendarAdvance(Calendar,X624,W625,"f",FALSE)</f>
        <v>43228</v>
      </c>
      <c r="Y625" s="281">
        <f>_xll.qlCalendarAdvance(Calendar,X625,NDays&amp;"D")</f>
        <v>43230</v>
      </c>
      <c r="Z625" s="282">
        <v>3.3345841301639068E-3</v>
      </c>
      <c r="AA625" s="284">
        <v>3.19574739950923E-3</v>
      </c>
    </row>
    <row r="626" spans="23:27" x14ac:dyDescent="0.2">
      <c r="W626" s="203" t="str">
        <f t="shared" si="19"/>
        <v>1w</v>
      </c>
      <c r="X626" s="287">
        <f>_xll.qlCalendarAdvance(Calendar,X625,W626,"f",FALSE)</f>
        <v>43235</v>
      </c>
      <c r="Y626" s="281">
        <f>_xll.qlCalendarAdvance(Calendar,X626,NDays&amp;"D")</f>
        <v>43237</v>
      </c>
      <c r="Z626" s="282">
        <v>3.3568000633856501E-3</v>
      </c>
      <c r="AA626" s="284">
        <v>3.2164854224081552E-3</v>
      </c>
    </row>
    <row r="627" spans="23:27" x14ac:dyDescent="0.2">
      <c r="W627" s="203" t="str">
        <f t="shared" si="19"/>
        <v>1w</v>
      </c>
      <c r="X627" s="287">
        <f>_xll.qlCalendarAdvance(Calendar,X626,W627,"f",FALSE)</f>
        <v>43242</v>
      </c>
      <c r="Y627" s="281">
        <f>_xll.qlCalendarAdvance(Calendar,X627,NDays&amp;"D")</f>
        <v>43244</v>
      </c>
      <c r="Z627" s="282">
        <v>3.3794205608425492E-3</v>
      </c>
      <c r="AA627" s="284">
        <v>3.2370961138816767E-3</v>
      </c>
    </row>
    <row r="628" spans="23:27" x14ac:dyDescent="0.2">
      <c r="W628" s="203" t="str">
        <f t="shared" si="19"/>
        <v>1w</v>
      </c>
      <c r="X628" s="287">
        <f>_xll.qlCalendarAdvance(Calendar,X627,W628,"f",FALSE)</f>
        <v>43249</v>
      </c>
      <c r="Y628" s="281">
        <f>_xll.qlCalendarAdvance(Calendar,X628,NDays&amp;"D")</f>
        <v>43251</v>
      </c>
      <c r="Z628" s="282">
        <v>3.402501199389027E-3</v>
      </c>
      <c r="AA628" s="284">
        <v>3.2575794738498587E-3</v>
      </c>
    </row>
    <row r="629" spans="23:27" x14ac:dyDescent="0.2">
      <c r="W629" s="203" t="str">
        <f t="shared" si="19"/>
        <v>1w</v>
      </c>
      <c r="X629" s="287">
        <f>_xll.qlCalendarAdvance(Calendar,X628,W629,"f",FALSE)</f>
        <v>43256</v>
      </c>
      <c r="Y629" s="281">
        <f>_xll.qlCalendarAdvance(Calendar,X629,NDays&amp;"D")</f>
        <v>43258</v>
      </c>
      <c r="Z629" s="282">
        <v>3.4260975573409467E-3</v>
      </c>
      <c r="AA629" s="284">
        <v>3.2779355024725731E-3</v>
      </c>
    </row>
    <row r="630" spans="23:27" x14ac:dyDescent="0.2">
      <c r="W630" s="203" t="str">
        <f t="shared" si="19"/>
        <v>1w</v>
      </c>
      <c r="X630" s="287">
        <f>_xll.qlCalendarAdvance(Calendar,X629,W630,"f",FALSE)</f>
        <v>43263</v>
      </c>
      <c r="Y630" s="281">
        <f>_xll.qlCalendarAdvance(Calendar,X630,NDays&amp;"D")</f>
        <v>43265</v>
      </c>
      <c r="Z630" s="282">
        <v>3.4502644854822223E-3</v>
      </c>
      <c r="AA630" s="284">
        <v>3.298256034849345E-3</v>
      </c>
    </row>
    <row r="631" spans="23:27" x14ac:dyDescent="0.2">
      <c r="W631" s="203" t="str">
        <f t="shared" si="19"/>
        <v>1w</v>
      </c>
      <c r="X631" s="287">
        <f>_xll.qlCalendarAdvance(Calendar,X630,W631,"f",FALSE)</f>
        <v>43270</v>
      </c>
      <c r="Y631" s="281">
        <f>_xll.qlCalendarAdvance(Calendar,X631,NDays&amp;"D")</f>
        <v>43272</v>
      </c>
      <c r="Z631" s="282">
        <v>3.4750327500719601E-3</v>
      </c>
      <c r="AA631" s="284">
        <v>3.3190871190669213E-3</v>
      </c>
    </row>
    <row r="632" spans="23:27" x14ac:dyDescent="0.2">
      <c r="W632" s="203" t="str">
        <f t="shared" si="19"/>
        <v>1w</v>
      </c>
      <c r="X632" s="287">
        <f>_xll.qlCalendarAdvance(Calendar,X631,W632,"f",FALSE)</f>
        <v>43277</v>
      </c>
      <c r="Y632" s="281">
        <f>_xll.qlCalendarAdvance(Calendar,X632,NDays&amp;"D")</f>
        <v>43279</v>
      </c>
      <c r="Z632" s="282">
        <v>3.5004040906812554E-3</v>
      </c>
      <c r="AA632" s="284">
        <v>3.3405205907843794E-3</v>
      </c>
    </row>
    <row r="633" spans="23:27" x14ac:dyDescent="0.2">
      <c r="W633" s="203" t="str">
        <f t="shared" si="19"/>
        <v>1w</v>
      </c>
      <c r="X633" s="287">
        <f>_xll.qlCalendarAdvance(Calendar,X632,W633,"f",FALSE)</f>
        <v>43284</v>
      </c>
      <c r="Y633" s="281">
        <f>_xll.qlCalendarAdvance(Calendar,X633,NDays&amp;"D")</f>
        <v>43286</v>
      </c>
      <c r="Z633" s="282">
        <v>3.5263785190268234E-3</v>
      </c>
      <c r="AA633" s="284">
        <v>3.362556449921783E-3</v>
      </c>
    </row>
    <row r="634" spans="23:27" x14ac:dyDescent="0.2">
      <c r="W634" s="203" t="str">
        <f t="shared" si="19"/>
        <v>1w</v>
      </c>
      <c r="X634" s="287">
        <f>_xll.qlCalendarAdvance(Calendar,X633,W634,"f",FALSE)</f>
        <v>43291</v>
      </c>
      <c r="Y634" s="281">
        <f>_xll.qlCalendarAdvance(Calendar,X634,NDays&amp;"D")</f>
        <v>43293</v>
      </c>
      <c r="Z634" s="282">
        <v>3.5529560471051543E-3</v>
      </c>
      <c r="AA634" s="284">
        <v>3.3851946966390045E-3</v>
      </c>
    </row>
    <row r="635" spans="23:27" x14ac:dyDescent="0.2">
      <c r="W635" s="203" t="str">
        <f t="shared" si="19"/>
        <v>1w</v>
      </c>
      <c r="X635" s="287">
        <f>_xll.qlCalendarAdvance(Calendar,X634,W635,"f",FALSE)</f>
        <v>43298</v>
      </c>
      <c r="Y635" s="281">
        <f>_xll.qlCalendarAdvance(Calendar,X635,NDays&amp;"D")</f>
        <v>43300</v>
      </c>
      <c r="Z635" s="282">
        <v>3.580136687193384E-3</v>
      </c>
      <c r="AA635" s="284">
        <v>3.4084353310159798E-3</v>
      </c>
    </row>
    <row r="636" spans="23:27" x14ac:dyDescent="0.2">
      <c r="W636" s="203" t="str">
        <f t="shared" si="19"/>
        <v>1w</v>
      </c>
      <c r="X636" s="287">
        <f>_xll.qlCalendarAdvance(Calendar,X635,W636,"f",FALSE)</f>
        <v>43305</v>
      </c>
      <c r="Y636" s="281">
        <f>_xll.qlCalendarAdvance(Calendar,X636,NDays&amp;"D")</f>
        <v>43307</v>
      </c>
      <c r="Z636" s="282">
        <v>3.6079204518440805E-3</v>
      </c>
      <c r="AA636" s="284">
        <v>3.4322783532925172E-3</v>
      </c>
    </row>
    <row r="637" spans="23:27" x14ac:dyDescent="0.2">
      <c r="W637" s="203" t="str">
        <f t="shared" si="19"/>
        <v>1w</v>
      </c>
      <c r="X637" s="287">
        <f>_xll.qlCalendarAdvance(Calendar,X636,W637,"f",FALSE)</f>
        <v>43312</v>
      </c>
      <c r="Y637" s="281">
        <f>_xll.qlCalendarAdvance(Calendar,X637,NDays&amp;"D")</f>
        <v>43314</v>
      </c>
      <c r="Z637" s="282">
        <v>3.6363073538904565E-3</v>
      </c>
      <c r="AA637" s="284">
        <v>3.4567237634686165E-3</v>
      </c>
    </row>
    <row r="638" spans="23:27" x14ac:dyDescent="0.2">
      <c r="W638" s="203" t="str">
        <f t="shared" si="19"/>
        <v>1w</v>
      </c>
      <c r="X638" s="287">
        <f>_xll.qlCalendarAdvance(Calendar,X637,W638,"f",FALSE)</f>
        <v>43319</v>
      </c>
      <c r="Y638" s="281">
        <f>_xll.qlCalendarAdvance(Calendar,X638,NDays&amp;"D")</f>
        <v>43321</v>
      </c>
      <c r="Z638" s="282">
        <v>3.6652974064437628E-3</v>
      </c>
      <c r="AA638" s="284">
        <v>3.481771561624214E-3</v>
      </c>
    </row>
    <row r="639" spans="23:27" x14ac:dyDescent="0.2">
      <c r="W639" s="203" t="str">
        <f t="shared" si="19"/>
        <v>1w</v>
      </c>
      <c r="X639" s="287">
        <f>_xll.qlCalendarAdvance(Calendar,X638,W639,"f",FALSE)</f>
        <v>43326</v>
      </c>
      <c r="Y639" s="281">
        <f>_xll.qlCalendarAdvance(Calendar,X639,NDays&amp;"D")</f>
        <v>43328</v>
      </c>
      <c r="Z639" s="282">
        <v>3.6948906228932892E-3</v>
      </c>
      <c r="AA639" s="284">
        <v>3.5074217480790537E-3</v>
      </c>
    </row>
    <row r="640" spans="23:27" x14ac:dyDescent="0.2">
      <c r="W640" s="203" t="str">
        <f t="shared" si="19"/>
        <v>1w</v>
      </c>
      <c r="X640" s="287">
        <f>_xll.qlCalendarAdvance(Calendar,X639,W640,"f",FALSE)</f>
        <v>43333</v>
      </c>
      <c r="Y640" s="281">
        <f>_xll.qlCalendarAdvance(Calendar,X640,NDays&amp;"D")</f>
        <v>43335</v>
      </c>
      <c r="Z640" s="282">
        <v>3.7319817952948513E-3</v>
      </c>
      <c r="AA640" s="284">
        <v>3.5336743227531997E-3</v>
      </c>
    </row>
    <row r="641" spans="23:27" x14ac:dyDescent="0.2">
      <c r="W641" s="203" t="str">
        <f t="shared" si="19"/>
        <v>1w</v>
      </c>
      <c r="X641" s="287">
        <f>_xll.qlCalendarAdvance(Calendar,X640,W641,"f",FALSE)</f>
        <v>43340</v>
      </c>
      <c r="Y641" s="281">
        <f>_xll.qlCalendarAdvance(Calendar,X641,NDays&amp;"D")</f>
        <v>43342</v>
      </c>
      <c r="Z641" s="282">
        <v>3.7558866024361742E-3</v>
      </c>
      <c r="AA641" s="284">
        <v>3.5605292858864601E-3</v>
      </c>
    </row>
    <row r="642" spans="23:27" x14ac:dyDescent="0.2">
      <c r="W642" s="203" t="str">
        <f t="shared" si="19"/>
        <v>1w</v>
      </c>
      <c r="X642" s="287">
        <f>_xll.qlCalendarAdvance(Calendar,X641,W642,"f",FALSE)</f>
        <v>43347</v>
      </c>
      <c r="Y642" s="281">
        <f>_xll.qlCalendarAdvance(Calendar,X642,NDays&amp;"D")</f>
        <v>43349</v>
      </c>
      <c r="Z642" s="282">
        <v>3.7849126137983876E-3</v>
      </c>
      <c r="AA642" s="284">
        <v>3.5879866376387071E-3</v>
      </c>
    </row>
    <row r="643" spans="23:27" x14ac:dyDescent="0.2">
      <c r="W643" s="203" t="str">
        <f t="shared" si="19"/>
        <v>1w</v>
      </c>
      <c r="X643" s="287">
        <f>_xll.qlCalendarAdvance(Calendar,X642,W643,"f",FALSE)</f>
        <v>43354</v>
      </c>
      <c r="Y643" s="281">
        <f>_xll.qlCalendarAdvance(Calendar,X643,NDays&amp;"D")</f>
        <v>43356</v>
      </c>
      <c r="Z643" s="282">
        <v>3.8168751995922884E-3</v>
      </c>
      <c r="AA643" s="284">
        <v>3.6160463780898766E-3</v>
      </c>
    </row>
    <row r="644" spans="23:27" x14ac:dyDescent="0.2">
      <c r="W644" s="203" t="str">
        <f t="shared" si="19"/>
        <v>1w</v>
      </c>
      <c r="X644" s="287">
        <f>_xll.qlCalendarAdvance(Calendar,X643,W644,"f",FALSE)</f>
        <v>43361</v>
      </c>
      <c r="Y644" s="281">
        <f>_xll.qlCalendarAdvance(Calendar,X644,NDays&amp;"D")</f>
        <v>43363</v>
      </c>
      <c r="Z644" s="282">
        <v>3.8494410100520116E-3</v>
      </c>
      <c r="AA644" s="284">
        <v>3.6447085073998409E-3</v>
      </c>
    </row>
    <row r="645" spans="23:27" x14ac:dyDescent="0.2">
      <c r="W645" s="203" t="str">
        <f t="shared" si="19"/>
        <v>1w</v>
      </c>
      <c r="X645" s="287">
        <f>_xll.qlCalendarAdvance(Calendar,X644,W645,"f",FALSE)</f>
        <v>43368</v>
      </c>
      <c r="Y645" s="281">
        <f>_xll.qlCalendarAdvance(Calendar,X645,NDays&amp;"D")</f>
        <v>43370</v>
      </c>
      <c r="Z645" s="282">
        <v>3.8826100600553273E-3</v>
      </c>
      <c r="AA645" s="284">
        <v>3.6739730256485359E-3</v>
      </c>
    </row>
    <row r="646" spans="23:27" x14ac:dyDescent="0.2">
      <c r="W646" s="203" t="str">
        <f t="shared" si="19"/>
        <v>1w</v>
      </c>
      <c r="X646" s="287">
        <f>_xll.qlCalendarAdvance(Calendar,X645,W646,"f",FALSE)</f>
        <v>43375</v>
      </c>
      <c r="Y646" s="281">
        <f>_xll.qlCalendarAdvance(Calendar,X646,NDays&amp;"D")</f>
        <v>43377</v>
      </c>
      <c r="Z646" s="282">
        <v>3.9189329104249992E-3</v>
      </c>
      <c r="AA646" s="284">
        <v>3.7038399330757699E-3</v>
      </c>
    </row>
    <row r="647" spans="23:27" x14ac:dyDescent="0.2">
      <c r="W647" s="203" t="str">
        <f t="shared" si="19"/>
        <v>1w</v>
      </c>
      <c r="X647" s="287">
        <f>_xll.qlCalendarAdvance(Calendar,X646,W647,"f",FALSE)</f>
        <v>43382</v>
      </c>
      <c r="Y647" s="281">
        <f>_xll.qlCalendarAdvance(Calendar,X647,NDays&amp;"D")</f>
        <v>43384</v>
      </c>
      <c r="Z647" s="282">
        <v>3.9533519535275962E-3</v>
      </c>
      <c r="AA647" s="284">
        <v>3.7343092298414149E-3</v>
      </c>
    </row>
    <row r="648" spans="23:27" x14ac:dyDescent="0.2">
      <c r="W648" s="203" t="str">
        <f t="shared" si="19"/>
        <v>1w</v>
      </c>
      <c r="X648" s="287">
        <f>_xll.qlCalendarAdvance(Calendar,X647,W648,"f",FALSE)</f>
        <v>43389</v>
      </c>
      <c r="Y648" s="281">
        <f>_xll.qlCalendarAdvance(Calendar,X648,NDays&amp;"D")</f>
        <v>43391</v>
      </c>
      <c r="Z648" s="282">
        <v>3.9883742935756372E-3</v>
      </c>
      <c r="AA648" s="284">
        <v>3.765380916025407E-3</v>
      </c>
    </row>
    <row r="649" spans="23:27" x14ac:dyDescent="0.2">
      <c r="W649" s="203" t="str">
        <f t="shared" si="19"/>
        <v>1w</v>
      </c>
      <c r="X649" s="287">
        <f>_xll.qlCalendarAdvance(Calendar,X648,W649,"f",FALSE)</f>
        <v>43396</v>
      </c>
      <c r="Y649" s="281">
        <f>_xll.qlCalendarAdvance(Calendar,X649,NDays&amp;"D")</f>
        <v>43398</v>
      </c>
      <c r="Z649" s="282">
        <v>4.0239999467492227E-3</v>
      </c>
      <c r="AA649" s="284">
        <v>3.7970549917876184E-3</v>
      </c>
    </row>
    <row r="650" spans="23:27" x14ac:dyDescent="0.2">
      <c r="W650" s="203" t="str">
        <f t="shared" si="19"/>
        <v>1w</v>
      </c>
      <c r="X650" s="287">
        <f>_xll.qlCalendarAdvance(Calendar,X649,W650,"f",FALSE)</f>
        <v>43403</v>
      </c>
      <c r="Y650" s="281">
        <f>_xll.qlCalendarAdvance(Calendar,X650,NDays&amp;"D")</f>
        <v>43405</v>
      </c>
      <c r="Z650" s="282">
        <v>4.0602289295021488E-3</v>
      </c>
      <c r="AA650" s="284">
        <v>3.8293314573678572E-3</v>
      </c>
    </row>
    <row r="651" spans="23:27" x14ac:dyDescent="0.2">
      <c r="W651" s="203" t="str">
        <f t="shared" si="19"/>
        <v>1w</v>
      </c>
      <c r="X651" s="287">
        <f>_xll.qlCalendarAdvance(Calendar,X650,W651,"f",FALSE)</f>
        <v>43410</v>
      </c>
      <c r="Y651" s="281">
        <f>_xll.qlCalendarAdvance(Calendar,X651,NDays&amp;"D")</f>
        <v>43412</v>
      </c>
      <c r="Z651" s="282">
        <v>4.0970612585688538E-3</v>
      </c>
      <c r="AA651" s="284">
        <v>3.8622103128460594E-3</v>
      </c>
    </row>
    <row r="652" spans="23:27" x14ac:dyDescent="0.2">
      <c r="W652" s="203" t="str">
        <f t="shared" si="19"/>
        <v>1w</v>
      </c>
      <c r="X652" s="287">
        <f>_xll.qlCalendarAdvance(Calendar,X651,W652,"f",FALSE)</f>
        <v>43417</v>
      </c>
      <c r="Y652" s="281">
        <f>_xll.qlCalendarAdvance(Calendar,X652,NDays&amp;"D")</f>
        <v>43419</v>
      </c>
      <c r="Z652" s="282">
        <v>4.1344969509635541E-3</v>
      </c>
      <c r="AA652" s="284">
        <v>3.8956915583820972E-3</v>
      </c>
    </row>
    <row r="653" spans="23:27" x14ac:dyDescent="0.2">
      <c r="W653" s="203" t="str">
        <f t="shared" si="19"/>
        <v>1w</v>
      </c>
      <c r="X653" s="287">
        <f>_xll.qlCalendarAdvance(Calendar,X652,W653,"f",FALSE)</f>
        <v>43424</v>
      </c>
      <c r="Y653" s="281">
        <f>_xll.qlCalendarAdvance(Calendar,X653,NDays&amp;"D")</f>
        <v>43426</v>
      </c>
      <c r="Z653" s="282">
        <v>4.172536023977636E-3</v>
      </c>
      <c r="AA653" s="284">
        <v>3.9372294753081682E-3</v>
      </c>
    </row>
    <row r="654" spans="23:27" x14ac:dyDescent="0.2">
      <c r="W654" s="203" t="str">
        <f t="shared" si="19"/>
        <v>1w</v>
      </c>
      <c r="X654" s="287">
        <f>_xll.qlCalendarAdvance(Calendar,X653,W654,"f",FALSE)</f>
        <v>43431</v>
      </c>
      <c r="Y654" s="281">
        <f>_xll.qlCalendarAdvance(Calendar,X654,NDays&amp;"D")</f>
        <v>43433</v>
      </c>
      <c r="Z654" s="282">
        <v>4.2082798809569711E-3</v>
      </c>
      <c r="AA654" s="284">
        <v>3.9644612205069762E-3</v>
      </c>
    </row>
    <row r="655" spans="23:27" x14ac:dyDescent="0.2">
      <c r="W655" s="203" t="str">
        <f t="shared" si="19"/>
        <v>1w</v>
      </c>
      <c r="X655" s="287">
        <f>_xll.qlCalendarAdvance(Calendar,X654,W655,"f",FALSE)</f>
        <v>43438</v>
      </c>
      <c r="Y655" s="281">
        <f>_xll.qlCalendarAdvance(Calendar,X655,NDays&amp;"D")</f>
        <v>43440</v>
      </c>
      <c r="Z655" s="282">
        <v>4.244544201624123E-3</v>
      </c>
      <c r="AA655" s="284">
        <v>3.9997496373356256E-3</v>
      </c>
    </row>
    <row r="656" spans="23:27" x14ac:dyDescent="0.2">
      <c r="W656" s="203" t="str">
        <f t="shared" si="19"/>
        <v>1w</v>
      </c>
      <c r="X656" s="287">
        <f>_xll.qlCalendarAdvance(Calendar,X655,W656,"f",FALSE)</f>
        <v>43445</v>
      </c>
      <c r="Y656" s="281">
        <f>_xll.qlCalendarAdvance(Calendar,X656,NDays&amp;"D")</f>
        <v>43447</v>
      </c>
      <c r="Z656" s="282">
        <v>4.2843063736182074E-3</v>
      </c>
      <c r="AA656" s="284">
        <v>4.0356404449415351E-3</v>
      </c>
    </row>
    <row r="657" spans="23:27" x14ac:dyDescent="0.2">
      <c r="W657" s="203" t="str">
        <f t="shared" si="19"/>
        <v>1w</v>
      </c>
      <c r="X657" s="287">
        <f>_xll.qlCalendarAdvance(Calendar,X656,W657,"f",FALSE)</f>
        <v>43452</v>
      </c>
      <c r="Y657" s="281">
        <f>_xll.qlCalendarAdvance(Calendar,X657,NDays&amp;"D")</f>
        <v>43454</v>
      </c>
      <c r="Z657" s="282">
        <v>4.3246719722489502E-3</v>
      </c>
      <c r="AA657" s="284">
        <v>4.0721336436444489E-3</v>
      </c>
    </row>
    <row r="658" spans="23:27" x14ac:dyDescent="0.2">
      <c r="W658" s="203" t="str">
        <f t="shared" si="19"/>
        <v>1w</v>
      </c>
      <c r="X658" s="287">
        <f>_xll.qlCalendarAdvance(Calendar,X657,W658,"f",FALSE)</f>
        <v>43461</v>
      </c>
      <c r="Y658" s="281">
        <f>_xll.qlCalendarAdvance(Calendar,X658,NDays&amp;"D")</f>
        <v>43469</v>
      </c>
      <c r="Z658" s="282">
        <v>4.413201715627757E-3</v>
      </c>
      <c r="AA658" s="284">
        <v>4.1578608281422902E-3</v>
      </c>
    </row>
    <row r="659" spans="23:27" x14ac:dyDescent="0.2">
      <c r="W659" s="203" t="str">
        <f t="shared" si="19"/>
        <v>1w</v>
      </c>
      <c r="X659" s="287">
        <f>_xll.qlCalendarAdvance(Calendar,X658,W659,"f",FALSE)</f>
        <v>43469</v>
      </c>
      <c r="Y659" s="281">
        <f>_xll.qlCalendarAdvance(Calendar,X659,NDays&amp;"D")</f>
        <v>43473</v>
      </c>
      <c r="Z659" s="282">
        <v>4.437277648225546E-3</v>
      </c>
      <c r="AA659" s="284">
        <v>4.174223154889134E-3</v>
      </c>
    </row>
    <row r="660" spans="23:27" x14ac:dyDescent="0.2">
      <c r="W660" s="203" t="str">
        <f t="shared" si="19"/>
        <v>1w</v>
      </c>
      <c r="X660" s="287">
        <f>_xll.qlCalendarAdvance(Calendar,X659,W660,"f",FALSE)</f>
        <v>43476</v>
      </c>
      <c r="Y660" s="281">
        <f>_xll.qlCalendarAdvance(Calendar,X660,NDays&amp;"D")</f>
        <v>43481</v>
      </c>
      <c r="Z660" s="282">
        <v>4.4798847076581438E-3</v>
      </c>
      <c r="AA660" s="284">
        <v>4.2185359324964367E-3</v>
      </c>
    </row>
    <row r="661" spans="23:27" x14ac:dyDescent="0.2">
      <c r="W661" s="203" t="str">
        <f t="shared" ref="W661:W724" si="20">W660</f>
        <v>1w</v>
      </c>
      <c r="X661" s="287">
        <f>_xll.qlCalendarAdvance(Calendar,X660,W661,"f",FALSE)</f>
        <v>43483</v>
      </c>
      <c r="Y661" s="281">
        <f>_xll.qlCalendarAdvance(Calendar,X661,NDays&amp;"D")</f>
        <v>43487</v>
      </c>
      <c r="Z661" s="282">
        <v>4.5263261082332217E-3</v>
      </c>
      <c r="AA661" s="284">
        <v>4.2522868515160184E-3</v>
      </c>
    </row>
    <row r="662" spans="23:27" x14ac:dyDescent="0.2">
      <c r="W662" s="203" t="str">
        <f t="shared" si="20"/>
        <v>1w</v>
      </c>
      <c r="X662" s="287">
        <f>_xll.qlCalendarAdvance(Calendar,X661,W662,"f",FALSE)</f>
        <v>43490</v>
      </c>
      <c r="Y662" s="281">
        <f>_xll.qlCalendarAdvance(Calendar,X662,NDays&amp;"D")</f>
        <v>43494</v>
      </c>
      <c r="Z662" s="282">
        <v>4.5701838823884655E-3</v>
      </c>
      <c r="AA662" s="284">
        <v>4.292222287753944E-3</v>
      </c>
    </row>
    <row r="663" spans="23:27" x14ac:dyDescent="0.2">
      <c r="W663" s="203" t="str">
        <f t="shared" si="20"/>
        <v>1w</v>
      </c>
      <c r="X663" s="287">
        <f>_xll.qlCalendarAdvance(Calendar,X662,W663,"f",FALSE)</f>
        <v>43497</v>
      </c>
      <c r="Y663" s="281">
        <f>_xll.qlCalendarAdvance(Calendar,X663,NDays&amp;"D")</f>
        <v>43501</v>
      </c>
      <c r="Z663" s="282">
        <v>4.614645225396629E-3</v>
      </c>
      <c r="AA663" s="284">
        <v>4.3327601162879148E-3</v>
      </c>
    </row>
    <row r="664" spans="23:27" x14ac:dyDescent="0.2">
      <c r="W664" s="203" t="str">
        <f t="shared" si="20"/>
        <v>1w</v>
      </c>
      <c r="X664" s="287">
        <f>_xll.qlCalendarAdvance(Calendar,X663,W664,"f",FALSE)</f>
        <v>43504</v>
      </c>
      <c r="Y664" s="281">
        <f>_xll.qlCalendarAdvance(Calendar,X664,NDays&amp;"D")</f>
        <v>43509</v>
      </c>
      <c r="Z664" s="282">
        <v>4.6563482922010735E-3</v>
      </c>
      <c r="AA664" s="284">
        <v>4.3798266866090785E-3</v>
      </c>
    </row>
    <row r="665" spans="23:27" x14ac:dyDescent="0.2">
      <c r="W665" s="203" t="str">
        <f t="shared" si="20"/>
        <v>1w</v>
      </c>
      <c r="X665" s="287">
        <f>_xll.qlCalendarAdvance(Calendar,X664,W665,"f",FALSE)</f>
        <v>43511</v>
      </c>
      <c r="Y665" s="281">
        <f>_xll.qlCalendarAdvance(Calendar,X665,NDays&amp;"D")</f>
        <v>43515</v>
      </c>
      <c r="Z665" s="282">
        <v>4.7019731247228691E-3</v>
      </c>
      <c r="AA665" s="284">
        <v>4.4156429509634165E-3</v>
      </c>
    </row>
    <row r="666" spans="23:27" x14ac:dyDescent="0.2">
      <c r="W666" s="203" t="str">
        <f t="shared" si="20"/>
        <v>1w</v>
      </c>
      <c r="X666" s="287">
        <f>_xll.qlCalendarAdvance(Calendar,X665,W666,"f",FALSE)</f>
        <v>43518</v>
      </c>
      <c r="Y666" s="281">
        <f>_xll.qlCalendarAdvance(Calendar,X666,NDays&amp;"D")</f>
        <v>43522</v>
      </c>
      <c r="Z666" s="282">
        <v>4.7516508720721667E-3</v>
      </c>
      <c r="AA666" s="284">
        <v>4.4579879574246917E-3</v>
      </c>
    </row>
    <row r="667" spans="23:27" x14ac:dyDescent="0.2">
      <c r="W667" s="203" t="str">
        <f t="shared" si="20"/>
        <v>1w</v>
      </c>
      <c r="X667" s="287">
        <f>_xll.qlCalendarAdvance(Calendar,X666,W667,"f",FALSE)</f>
        <v>43525</v>
      </c>
      <c r="Y667" s="281">
        <f>_xll.qlCalendarAdvance(Calendar,X667,NDays&amp;"D")</f>
        <v>43529</v>
      </c>
      <c r="Z667" s="282">
        <v>4.8020239343880772E-3</v>
      </c>
      <c r="AA667" s="284">
        <v>4.5009353570613087E-3</v>
      </c>
    </row>
    <row r="668" spans="23:27" x14ac:dyDescent="0.2">
      <c r="W668" s="203" t="str">
        <f t="shared" si="20"/>
        <v>1w</v>
      </c>
      <c r="X668" s="287">
        <f>_xll.qlCalendarAdvance(Calendar,X667,W668,"f",FALSE)</f>
        <v>43532</v>
      </c>
      <c r="Y668" s="281">
        <f>_xll.qlCalendarAdvance(Calendar,X668,NDays&amp;"D")</f>
        <v>43536</v>
      </c>
      <c r="Z668" s="282">
        <v>4.8495469069304749E-3</v>
      </c>
      <c r="AA668" s="284">
        <v>4.5444851498732675E-3</v>
      </c>
    </row>
    <row r="669" spans="23:27" x14ac:dyDescent="0.2">
      <c r="W669" s="203" t="str">
        <f t="shared" si="20"/>
        <v>1w</v>
      </c>
      <c r="X669" s="287">
        <f>_xll.qlCalendarAdvance(Calendar,X668,W669,"f",FALSE)</f>
        <v>43539</v>
      </c>
      <c r="Y669" s="281">
        <f>_xll.qlCalendarAdvance(Calendar,X669,NDays&amp;"D")</f>
        <v>43543</v>
      </c>
      <c r="Z669" s="282">
        <v>4.8976483587964458E-3</v>
      </c>
      <c r="AA669" s="284">
        <v>4.5886373363401844E-3</v>
      </c>
    </row>
    <row r="670" spans="23:27" x14ac:dyDescent="0.2">
      <c r="W670" s="203" t="str">
        <f t="shared" si="20"/>
        <v>1w</v>
      </c>
      <c r="X670" s="287">
        <f>_xll.qlCalendarAdvance(Calendar,X669,W670,"f",FALSE)</f>
        <v>43546</v>
      </c>
      <c r="Y670" s="281">
        <f>_xll.qlCalendarAdvance(Calendar,X670,NDays&amp;"D")</f>
        <v>43550</v>
      </c>
      <c r="Z670" s="282">
        <v>4.9462599055339757E-3</v>
      </c>
      <c r="AA670" s="284">
        <v>4.6333919164620596E-3</v>
      </c>
    </row>
    <row r="671" spans="23:27" x14ac:dyDescent="0.2">
      <c r="W671" s="203" t="str">
        <f t="shared" si="20"/>
        <v>1w</v>
      </c>
      <c r="X671" s="287">
        <f>_xll.qlCalendarAdvance(Calendar,X670,W671,"f",FALSE)</f>
        <v>43553</v>
      </c>
      <c r="Y671" s="281">
        <f>_xll.qlCalendarAdvance(Calendar,X671,NDays&amp;"D")</f>
        <v>43557</v>
      </c>
      <c r="Z671" s="282">
        <v>4.9916859885007795E-3</v>
      </c>
      <c r="AA671" s="284">
        <v>4.6787488905586372E-3</v>
      </c>
    </row>
    <row r="672" spans="23:27" x14ac:dyDescent="0.2">
      <c r="W672" s="203" t="str">
        <f t="shared" si="20"/>
        <v>1w</v>
      </c>
      <c r="X672" s="287">
        <f>_xll.qlCalendarAdvance(Calendar,X671,W672,"f",FALSE)</f>
        <v>43560</v>
      </c>
      <c r="Y672" s="281">
        <f>_xll.qlCalendarAdvance(Calendar,X672,NDays&amp;"D")</f>
        <v>43564</v>
      </c>
      <c r="Z672" s="282">
        <v>5.0410887732394681E-3</v>
      </c>
      <c r="AA672" s="284">
        <v>4.7247082588697253E-3</v>
      </c>
    </row>
    <row r="673" spans="23:27" x14ac:dyDescent="0.2">
      <c r="W673" s="203" t="str">
        <f t="shared" si="20"/>
        <v>1w</v>
      </c>
      <c r="X673" s="287">
        <f>_xll.qlCalendarAdvance(Calendar,X672,W673,"f",FALSE)</f>
        <v>43567</v>
      </c>
      <c r="Y673" s="281">
        <f>_xll.qlCalendarAdvance(Calendar,X673,NDays&amp;"D")</f>
        <v>43571</v>
      </c>
      <c r="Z673" s="282">
        <v>5.0907902859488674E-3</v>
      </c>
      <c r="AA673" s="284">
        <v>4.7712700215551962E-3</v>
      </c>
    </row>
    <row r="674" spans="23:27" x14ac:dyDescent="0.2">
      <c r="W674" s="203" t="str">
        <f t="shared" si="20"/>
        <v>1w</v>
      </c>
      <c r="X674" s="287">
        <f>_xll.qlCalendarAdvance(Calendar,X673,W674,"f",FALSE)</f>
        <v>43578</v>
      </c>
      <c r="Y674" s="281">
        <f>_xll.qlCalendarAdvance(Calendar,X674,NDays&amp;"D")</f>
        <v>43580</v>
      </c>
      <c r="Z674" s="282">
        <v>5.1550126972341398E-3</v>
      </c>
      <c r="AA674" s="284">
        <v>4.8320202964458048E-3</v>
      </c>
    </row>
    <row r="675" spans="23:27" x14ac:dyDescent="0.2">
      <c r="W675" s="203" t="str">
        <f t="shared" si="20"/>
        <v>1w</v>
      </c>
      <c r="X675" s="287">
        <f>_xll.qlCalendarAdvance(Calendar,X674,W675,"f",FALSE)</f>
        <v>43585</v>
      </c>
      <c r="Y675" s="281">
        <f>_xll.qlCalendarAdvance(Calendar,X675,NDays&amp;"D")</f>
        <v>43587</v>
      </c>
      <c r="Z675" s="282">
        <v>5.208742822915377E-3</v>
      </c>
      <c r="AA675" s="284">
        <v>4.8939117128536935E-3</v>
      </c>
    </row>
    <row r="676" spans="23:27" x14ac:dyDescent="0.2">
      <c r="W676" s="203" t="str">
        <f t="shared" si="20"/>
        <v>1w</v>
      </c>
      <c r="X676" s="287">
        <f>_xll.qlCalendarAdvance(Calendar,X675,W676,"f",FALSE)</f>
        <v>43592</v>
      </c>
      <c r="Y676" s="281">
        <f>_xll.qlCalendarAdvance(Calendar,X676,NDays&amp;"D")</f>
        <v>43594</v>
      </c>
      <c r="Z676" s="282">
        <v>5.2588933082929074E-3</v>
      </c>
      <c r="AA676" s="284">
        <v>4.9285000218546315E-3</v>
      </c>
    </row>
    <row r="677" spans="23:27" x14ac:dyDescent="0.2">
      <c r="W677" s="203" t="str">
        <f t="shared" si="20"/>
        <v>1w</v>
      </c>
      <c r="X677" s="287">
        <f>_xll.qlCalendarAdvance(Calendar,X676,W677,"f",FALSE)</f>
        <v>43599</v>
      </c>
      <c r="Y677" s="281">
        <f>_xll.qlCalendarAdvance(Calendar,X677,NDays&amp;"D")</f>
        <v>43601</v>
      </c>
      <c r="Z677" s="282">
        <v>5.3090233245344865E-3</v>
      </c>
      <c r="AA677" s="284">
        <v>4.9776434776394041E-3</v>
      </c>
    </row>
    <row r="678" spans="23:27" x14ac:dyDescent="0.2">
      <c r="W678" s="203" t="str">
        <f t="shared" si="20"/>
        <v>1w</v>
      </c>
      <c r="X678" s="287">
        <f>_xll.qlCalendarAdvance(Calendar,X677,W678,"f",FALSE)</f>
        <v>43606</v>
      </c>
      <c r="Y678" s="281">
        <f>_xll.qlCalendarAdvance(Calendar,X678,NDays&amp;"D")</f>
        <v>43608</v>
      </c>
      <c r="Z678" s="282">
        <v>5.3590600338695163E-3</v>
      </c>
      <c r="AA678" s="284">
        <v>5.0273893290775362E-3</v>
      </c>
    </row>
    <row r="679" spans="23:27" x14ac:dyDescent="0.2">
      <c r="W679" s="203" t="str">
        <f t="shared" si="20"/>
        <v>1w</v>
      </c>
      <c r="X679" s="287">
        <f>_xll.qlCalendarAdvance(Calendar,X678,W679,"f",FALSE)</f>
        <v>43613</v>
      </c>
      <c r="Y679" s="281">
        <f>_xll.qlCalendarAdvance(Calendar,X679,NDays&amp;"D")</f>
        <v>43615</v>
      </c>
      <c r="Z679" s="282">
        <v>5.4089305948155867E-3</v>
      </c>
      <c r="AA679" s="284">
        <v>5.0777375765687083E-3</v>
      </c>
    </row>
    <row r="680" spans="23:27" x14ac:dyDescent="0.2">
      <c r="W680" s="203" t="str">
        <f t="shared" si="20"/>
        <v>1w</v>
      </c>
      <c r="X680" s="287">
        <f>_xll.qlCalendarAdvance(Calendar,X679,W680,"f",FALSE)</f>
        <v>43620</v>
      </c>
      <c r="Y680" s="281">
        <f>_xll.qlCalendarAdvance(Calendar,X680,NDays&amp;"D")</f>
        <v>43622</v>
      </c>
      <c r="Z680" s="282">
        <v>5.458562162196718E-3</v>
      </c>
      <c r="AA680" s="284">
        <v>5.1286882200329842E-3</v>
      </c>
    </row>
    <row r="681" spans="23:27" x14ac:dyDescent="0.2">
      <c r="W681" s="203" t="str">
        <f t="shared" si="20"/>
        <v>1w</v>
      </c>
      <c r="X681" s="287">
        <f>_xll.qlCalendarAdvance(Calendar,X680,W681,"f",FALSE)</f>
        <v>43627</v>
      </c>
      <c r="Y681" s="281">
        <f>_xll.qlCalendarAdvance(Calendar,X681,NDays&amp;"D")</f>
        <v>43629</v>
      </c>
      <c r="Z681" s="282">
        <v>5.5078828428058715E-3</v>
      </c>
      <c r="AA681" s="284">
        <v>5.1801209484292343E-3</v>
      </c>
    </row>
    <row r="682" spans="23:27" x14ac:dyDescent="0.2">
      <c r="W682" s="203" t="str">
        <f t="shared" si="20"/>
        <v>1w</v>
      </c>
      <c r="X682" s="287">
        <f>_xll.qlCalendarAdvance(Calendar,X681,W682,"f",FALSE)</f>
        <v>43634</v>
      </c>
      <c r="Y682" s="281">
        <f>_xll.qlCalendarAdvance(Calendar,X682,NDays&amp;"D")</f>
        <v>43636</v>
      </c>
      <c r="Z682" s="282">
        <v>5.5568523112391613E-3</v>
      </c>
      <c r="AA682" s="284">
        <v>5.2313203947118581E-3</v>
      </c>
    </row>
    <row r="683" spans="23:27" x14ac:dyDescent="0.2">
      <c r="W683" s="203" t="str">
        <f t="shared" si="20"/>
        <v>1w</v>
      </c>
      <c r="X683" s="287">
        <f>_xll.qlCalendarAdvance(Calendar,X682,W683,"f",FALSE)</f>
        <v>43641</v>
      </c>
      <c r="Y683" s="281">
        <f>_xll.qlCalendarAdvance(Calendar,X683,NDays&amp;"D")</f>
        <v>43643</v>
      </c>
      <c r="Z683" s="282">
        <v>5.6054682890765263E-3</v>
      </c>
      <c r="AA683" s="284">
        <v>5.2821662469604291E-3</v>
      </c>
    </row>
    <row r="684" spans="23:27" x14ac:dyDescent="0.2">
      <c r="W684" s="203" t="str">
        <f t="shared" si="20"/>
        <v>1w</v>
      </c>
      <c r="X684" s="287">
        <f>_xll.qlCalendarAdvance(Calendar,X683,W684,"f",FALSE)</f>
        <v>43648</v>
      </c>
      <c r="Y684" s="281">
        <f>_xll.qlCalendarAdvance(Calendar,X684,NDays&amp;"D")</f>
        <v>43650</v>
      </c>
      <c r="Z684" s="282">
        <v>5.6537307631450255E-3</v>
      </c>
      <c r="AA684" s="284">
        <v>5.3326585053348197E-3</v>
      </c>
    </row>
    <row r="685" spans="23:27" x14ac:dyDescent="0.2">
      <c r="W685" s="203" t="str">
        <f t="shared" si="20"/>
        <v>1w</v>
      </c>
      <c r="X685" s="287">
        <f>_xll.qlCalendarAdvance(Calendar,X684,W685,"f",FALSE)</f>
        <v>43655</v>
      </c>
      <c r="Y685" s="281">
        <f>_xll.qlCalendarAdvance(Calendar,X685,NDays&amp;"D")</f>
        <v>43657</v>
      </c>
      <c r="Z685" s="282">
        <v>5.7016397203690306E-3</v>
      </c>
      <c r="AA685" s="284">
        <v>5.3827971692754772E-3</v>
      </c>
    </row>
    <row r="686" spans="23:27" x14ac:dyDescent="0.2">
      <c r="W686" s="203" t="str">
        <f t="shared" si="20"/>
        <v>1w</v>
      </c>
      <c r="X686" s="287">
        <f>_xll.qlCalendarAdvance(Calendar,X685,W686,"f",FALSE)</f>
        <v>43662</v>
      </c>
      <c r="Y686" s="281">
        <f>_xll.qlCalendarAdvance(Calendar,X686,NDays&amp;"D")</f>
        <v>43664</v>
      </c>
      <c r="Z686" s="282">
        <v>5.7491951477684905E-3</v>
      </c>
      <c r="AA686" s="284">
        <v>5.432582238942274E-3</v>
      </c>
    </row>
    <row r="687" spans="23:27" x14ac:dyDescent="0.2">
      <c r="W687" s="203" t="str">
        <f t="shared" si="20"/>
        <v>1w</v>
      </c>
      <c r="X687" s="287">
        <f>_xll.qlCalendarAdvance(Calendar,X686,W687,"f",FALSE)</f>
        <v>43669</v>
      </c>
      <c r="Y687" s="281">
        <f>_xll.qlCalendarAdvance(Calendar,X687,NDays&amp;"D")</f>
        <v>43671</v>
      </c>
      <c r="Z687" s="282">
        <v>5.7963970324589288E-3</v>
      </c>
      <c r="AA687" s="284">
        <v>5.4820137141753378E-3</v>
      </c>
    </row>
    <row r="688" spans="23:27" x14ac:dyDescent="0.2">
      <c r="W688" s="203" t="str">
        <f t="shared" si="20"/>
        <v>1w</v>
      </c>
      <c r="X688" s="287">
        <f>_xll.qlCalendarAdvance(Calendar,X687,W688,"f",FALSE)</f>
        <v>43676</v>
      </c>
      <c r="Y688" s="281">
        <f>_xll.qlCalendarAdvance(Calendar,X688,NDays&amp;"D")</f>
        <v>43678</v>
      </c>
      <c r="Z688" s="282">
        <v>5.843245361649708E-3</v>
      </c>
      <c r="AA688" s="284">
        <v>5.5310915946549244E-3</v>
      </c>
    </row>
    <row r="689" spans="23:27" x14ac:dyDescent="0.2">
      <c r="W689" s="203" t="str">
        <f t="shared" si="20"/>
        <v>1w</v>
      </c>
      <c r="X689" s="287">
        <f>_xll.qlCalendarAdvance(Calendar,X688,W689,"f",FALSE)</f>
        <v>43683</v>
      </c>
      <c r="Y689" s="281">
        <f>_xll.qlCalendarAdvance(Calendar,X689,NDays&amp;"D")</f>
        <v>43685</v>
      </c>
      <c r="Z689" s="282">
        <v>5.8897401226483707E-3</v>
      </c>
      <c r="AA689" s="284">
        <v>5.5798158803810338E-3</v>
      </c>
    </row>
    <row r="690" spans="23:27" x14ac:dyDescent="0.2">
      <c r="W690" s="203" t="str">
        <f t="shared" si="20"/>
        <v>1w</v>
      </c>
      <c r="X690" s="287">
        <f>_xll.qlCalendarAdvance(Calendar,X689,W690,"f",FALSE)</f>
        <v>43690</v>
      </c>
      <c r="Y690" s="281">
        <f>_xll.qlCalendarAdvance(Calendar,X690,NDays&amp;"D")</f>
        <v>43692</v>
      </c>
      <c r="Z690" s="282">
        <v>5.9358813028571704E-3</v>
      </c>
      <c r="AA690" s="284">
        <v>5.6281865711138579E-3</v>
      </c>
    </row>
    <row r="691" spans="23:27" x14ac:dyDescent="0.2">
      <c r="W691" s="203" t="str">
        <f t="shared" si="20"/>
        <v>1w</v>
      </c>
      <c r="X691" s="287">
        <f>_xll.qlCalendarAdvance(Calendar,X690,W691,"f",FALSE)</f>
        <v>43697</v>
      </c>
      <c r="Y691" s="281">
        <f>_xll.qlCalendarAdvance(Calendar,X691,NDays&amp;"D")</f>
        <v>43699</v>
      </c>
      <c r="Z691" s="282">
        <v>5.9816688897739315E-3</v>
      </c>
      <c r="AA691" s="284">
        <v>5.6762036667734606E-3</v>
      </c>
    </row>
    <row r="692" spans="23:27" x14ac:dyDescent="0.2">
      <c r="W692" s="203" t="str">
        <f t="shared" si="20"/>
        <v>1w</v>
      </c>
      <c r="X692" s="287">
        <f>_xll.qlCalendarAdvance(Calendar,X691,W692,"f",FALSE)</f>
        <v>43704</v>
      </c>
      <c r="Y692" s="281">
        <f>_xll.qlCalendarAdvance(Calendar,X692,NDays&amp;"D")</f>
        <v>43706</v>
      </c>
      <c r="Z692" s="282">
        <v>6.0271028709929274E-3</v>
      </c>
      <c r="AA692" s="284">
        <v>5.7238671671999697E-3</v>
      </c>
    </row>
    <row r="693" spans="23:27" x14ac:dyDescent="0.2">
      <c r="W693" s="203" t="str">
        <f t="shared" si="20"/>
        <v>1w</v>
      </c>
      <c r="X693" s="287">
        <f>_xll.qlCalendarAdvance(Calendar,X692,W693,"f",FALSE)</f>
        <v>43711</v>
      </c>
      <c r="Y693" s="281">
        <f>_xll.qlCalendarAdvance(Calendar,X693,NDays&amp;"D")</f>
        <v>43713</v>
      </c>
      <c r="Z693" s="282">
        <v>6.0689789144517722E-3</v>
      </c>
      <c r="AA693" s="284">
        <v>5.7711770722335132E-3</v>
      </c>
    </row>
    <row r="694" spans="23:27" x14ac:dyDescent="0.2">
      <c r="W694" s="203" t="str">
        <f t="shared" si="20"/>
        <v>1w</v>
      </c>
      <c r="X694" s="287">
        <f>_xll.qlCalendarAdvance(Calendar,X693,W694,"f",FALSE)</f>
        <v>43718</v>
      </c>
      <c r="Y694" s="281">
        <f>_xll.qlCalendarAdvance(Calendar,X694,NDays&amp;"D")</f>
        <v>43720</v>
      </c>
      <c r="Z694" s="282">
        <v>6.1137301511373495E-3</v>
      </c>
      <c r="AA694" s="284">
        <v>5.818133381794155E-3</v>
      </c>
    </row>
    <row r="695" spans="23:27" x14ac:dyDescent="0.2">
      <c r="W695" s="203" t="str">
        <f t="shared" si="20"/>
        <v>1w</v>
      </c>
      <c r="X695" s="287">
        <f>_xll.qlCalendarAdvance(Calendar,X694,W695,"f",FALSE)</f>
        <v>43725</v>
      </c>
      <c r="Y695" s="281">
        <f>_xll.qlCalendarAdvance(Calendar,X695,NDays&amp;"D")</f>
        <v>43727</v>
      </c>
      <c r="Z695" s="282">
        <v>6.1581277468277587E-3</v>
      </c>
      <c r="AA695" s="284">
        <v>5.8647360956420869E-3</v>
      </c>
    </row>
    <row r="696" spans="23:27" x14ac:dyDescent="0.2">
      <c r="W696" s="203" t="str">
        <f t="shared" si="20"/>
        <v>1w</v>
      </c>
      <c r="X696" s="287">
        <f>_xll.qlCalendarAdvance(Calendar,X695,W696,"f",FALSE)</f>
        <v>43732</v>
      </c>
      <c r="Y696" s="281">
        <f>_xll.qlCalendarAdvance(Calendar,X696,NDays&amp;"D")</f>
        <v>43734</v>
      </c>
      <c r="Z696" s="282">
        <v>6.2053024941061859E-3</v>
      </c>
      <c r="AA696" s="284">
        <v>5.9109852137773089E-3</v>
      </c>
    </row>
    <row r="697" spans="23:27" x14ac:dyDescent="0.2">
      <c r="W697" s="203" t="str">
        <f t="shared" si="20"/>
        <v>1w</v>
      </c>
      <c r="X697" s="287">
        <f>_xll.qlCalendarAdvance(Calendar,X696,W697,"f",FALSE)</f>
        <v>43739</v>
      </c>
      <c r="Y697" s="281">
        <f>_xll.qlCalendarAdvance(Calendar,X697,NDays&amp;"D")</f>
        <v>43741</v>
      </c>
      <c r="Z697" s="282">
        <v>6.2582733504602233E-3</v>
      </c>
      <c r="AA697" s="284">
        <v>5.9568807359600129E-3</v>
      </c>
    </row>
    <row r="698" spans="23:27" x14ac:dyDescent="0.2">
      <c r="W698" s="203" t="str">
        <f t="shared" si="20"/>
        <v>1w</v>
      </c>
      <c r="X698" s="287">
        <f>_xll.qlCalendarAdvance(Calendar,X697,W698,"f",FALSE)</f>
        <v>43746</v>
      </c>
      <c r="Y698" s="281">
        <f>_xll.qlCalendarAdvance(Calendar,X698,NDays&amp;"D")</f>
        <v>43748</v>
      </c>
      <c r="Z698" s="282">
        <v>6.2922803559442696E-3</v>
      </c>
      <c r="AA698" s="284">
        <v>6.0024226620303267E-3</v>
      </c>
    </row>
    <row r="699" spans="23:27" x14ac:dyDescent="0.2">
      <c r="W699" s="203" t="str">
        <f t="shared" si="20"/>
        <v>1w</v>
      </c>
      <c r="X699" s="287">
        <f>_xll.qlCalendarAdvance(Calendar,X698,W699,"f",FALSE)</f>
        <v>43753</v>
      </c>
      <c r="Y699" s="281">
        <f>_xll.qlCalendarAdvance(Calendar,X699,NDays&amp;"D")</f>
        <v>43755</v>
      </c>
      <c r="Z699" s="282">
        <v>6.3352387579381731E-3</v>
      </c>
      <c r="AA699" s="284">
        <v>6.0476109919882504E-3</v>
      </c>
    </row>
    <row r="700" spans="23:27" x14ac:dyDescent="0.2">
      <c r="W700" s="203" t="str">
        <f t="shared" si="20"/>
        <v>1w</v>
      </c>
      <c r="X700" s="287">
        <f>_xll.qlCalendarAdvance(Calendar,X699,W700,"f",FALSE)</f>
        <v>43760</v>
      </c>
      <c r="Y700" s="281">
        <f>_xll.qlCalendarAdvance(Calendar,X700,NDays&amp;"D")</f>
        <v>43762</v>
      </c>
      <c r="Z700" s="282">
        <v>6.3778434584292071E-3</v>
      </c>
      <c r="AA700" s="284">
        <v>6.0924457255939757E-3</v>
      </c>
    </row>
    <row r="701" spans="23:27" x14ac:dyDescent="0.2">
      <c r="W701" s="203" t="str">
        <f t="shared" si="20"/>
        <v>1w</v>
      </c>
      <c r="X701" s="287">
        <f>_xll.qlCalendarAdvance(Calendar,X700,W701,"f",FALSE)</f>
        <v>43767</v>
      </c>
      <c r="Y701" s="281">
        <f>_xll.qlCalendarAdvance(Calendar,X701,NDays&amp;"D")</f>
        <v>43769</v>
      </c>
      <c r="Z701" s="282">
        <v>6.4200944458735624E-3</v>
      </c>
      <c r="AA701" s="284">
        <v>6.1369268627675666E-3</v>
      </c>
    </row>
    <row r="702" spans="23:27" x14ac:dyDescent="0.2">
      <c r="W702" s="203" t="str">
        <f t="shared" si="20"/>
        <v>1w</v>
      </c>
      <c r="X702" s="287">
        <f>_xll.qlCalendarAdvance(Calendar,X701,W702,"f",FALSE)</f>
        <v>43774</v>
      </c>
      <c r="Y702" s="281">
        <f>_xll.qlCalendarAdvance(Calendar,X702,NDays&amp;"D")</f>
        <v>43776</v>
      </c>
      <c r="Z702" s="282">
        <v>6.4619917088212684E-3</v>
      </c>
      <c r="AA702" s="284">
        <v>6.181054403349151E-3</v>
      </c>
    </row>
    <row r="703" spans="23:27" x14ac:dyDescent="0.2">
      <c r="W703" s="203" t="str">
        <f t="shared" si="20"/>
        <v>1w</v>
      </c>
      <c r="X703" s="287">
        <f>_xll.qlCalendarAdvance(Calendar,X702,W703,"f",FALSE)</f>
        <v>43781</v>
      </c>
      <c r="Y703" s="281">
        <f>_xll.qlCalendarAdvance(Calendar,X703,NDays&amp;"D")</f>
        <v>43783</v>
      </c>
      <c r="Z703" s="282">
        <v>6.5035352359196661E-3</v>
      </c>
      <c r="AA703" s="284">
        <v>6.2248283471788568E-3</v>
      </c>
    </row>
    <row r="704" spans="23:27" x14ac:dyDescent="0.2">
      <c r="W704" s="203" t="str">
        <f t="shared" si="20"/>
        <v>1w</v>
      </c>
      <c r="X704" s="287">
        <f>_xll.qlCalendarAdvance(Calendar,X703,W704,"f",FALSE)</f>
        <v>43788</v>
      </c>
      <c r="Y704" s="281">
        <f>_xll.qlCalendarAdvance(Calendar,X704,NDays&amp;"D")</f>
        <v>43790</v>
      </c>
      <c r="Z704" s="282">
        <v>6.5447250159108043E-3</v>
      </c>
      <c r="AA704" s="284">
        <v>6.2682486940968118E-3</v>
      </c>
    </row>
    <row r="705" spans="23:27" x14ac:dyDescent="0.2">
      <c r="W705" s="203" t="str">
        <f t="shared" si="20"/>
        <v>1w</v>
      </c>
      <c r="X705" s="287">
        <f>_xll.qlCalendarAdvance(Calendar,X704,W705,"f",FALSE)</f>
        <v>43795</v>
      </c>
      <c r="Y705" s="281">
        <f>_xll.qlCalendarAdvance(Calendar,X705,NDays&amp;"D")</f>
        <v>43797</v>
      </c>
      <c r="Z705" s="282">
        <v>6.585561037633178E-3</v>
      </c>
      <c r="AA705" s="284">
        <v>6.3113154441829522E-3</v>
      </c>
    </row>
    <row r="706" spans="23:27" x14ac:dyDescent="0.2">
      <c r="W706" s="203" t="str">
        <f t="shared" si="20"/>
        <v>1w</v>
      </c>
      <c r="X706" s="287">
        <f>_xll.qlCalendarAdvance(Calendar,X705,W706,"f",FALSE)</f>
        <v>43802</v>
      </c>
      <c r="Y706" s="281">
        <f>_xll.qlCalendarAdvance(Calendar,X706,NDays&amp;"D")</f>
        <v>43804</v>
      </c>
      <c r="Z706" s="282">
        <v>6.6231576582457107E-3</v>
      </c>
      <c r="AA706" s="284">
        <v>6.3540285970375976E-3</v>
      </c>
    </row>
    <row r="707" spans="23:27" x14ac:dyDescent="0.2">
      <c r="W707" s="203" t="str">
        <f t="shared" si="20"/>
        <v>1w</v>
      </c>
      <c r="X707" s="287">
        <f>_xll.qlCalendarAdvance(Calendar,X706,W707,"f",FALSE)</f>
        <v>43809</v>
      </c>
      <c r="Y707" s="281">
        <f>_xll.qlCalendarAdvance(Calendar,X707,NDays&amp;"D")</f>
        <v>43811</v>
      </c>
      <c r="Z707" s="282">
        <v>6.6633106609320101E-3</v>
      </c>
      <c r="AA707" s="284">
        <v>6.3963881527406841E-3</v>
      </c>
    </row>
    <row r="708" spans="23:27" x14ac:dyDescent="0.2">
      <c r="W708" s="203" t="str">
        <f t="shared" si="20"/>
        <v>1w</v>
      </c>
      <c r="X708" s="287">
        <f>_xll.qlCalendarAdvance(Calendar,X707,W708,"f",FALSE)</f>
        <v>43816</v>
      </c>
      <c r="Y708" s="281">
        <f>_xll.qlCalendarAdvance(Calendar,X708,NDays&amp;"D")</f>
        <v>43818</v>
      </c>
      <c r="Z708" s="282">
        <v>6.7031098753203115E-3</v>
      </c>
      <c r="AA708" s="284">
        <v>6.4383941110524034E-3</v>
      </c>
    </row>
    <row r="709" spans="23:27" x14ac:dyDescent="0.2">
      <c r="W709" s="203" t="str">
        <f t="shared" si="20"/>
        <v>1w</v>
      </c>
      <c r="X709" s="287">
        <f>_xll.qlCalendarAdvance(Calendar,X708,W709,"f",FALSE)</f>
        <v>43823</v>
      </c>
      <c r="Y709" s="281">
        <f>_xll.qlCalendarAdvance(Calendar,X709,NDays&amp;"D")</f>
        <v>43829</v>
      </c>
      <c r="Z709" s="282">
        <v>6.7677346845312668E-3</v>
      </c>
      <c r="AA709" s="284">
        <v>6.5216852110580193E-3</v>
      </c>
    </row>
    <row r="710" spans="23:27" x14ac:dyDescent="0.2">
      <c r="W710" s="203" t="str">
        <f t="shared" si="20"/>
        <v>1w</v>
      </c>
      <c r="X710" s="287">
        <f>_xll.qlCalendarAdvance(Calendar,X709,W710,"f",FALSE)</f>
        <v>43836</v>
      </c>
      <c r="Y710" s="281">
        <f>_xll.qlCalendarAdvance(Calendar,X710,NDays&amp;"D")</f>
        <v>43838</v>
      </c>
      <c r="Z710" s="282">
        <v>6.814872375921311E-3</v>
      </c>
      <c r="AA710" s="284">
        <v>6.5564627401659692E-3</v>
      </c>
    </row>
    <row r="711" spans="23:27" x14ac:dyDescent="0.2">
      <c r="W711" s="203" t="str">
        <f t="shared" si="20"/>
        <v>1w</v>
      </c>
      <c r="X711" s="287">
        <f>_xll.qlCalendarAdvance(Calendar,X710,W711,"f",FALSE)</f>
        <v>43844</v>
      </c>
      <c r="Y711" s="281">
        <f>_xll.qlCalendarAdvance(Calendar,X711,NDays&amp;"D")</f>
        <v>43846</v>
      </c>
      <c r="Z711" s="282">
        <v>6.8587686379461502E-3</v>
      </c>
      <c r="AA711" s="284">
        <v>6.6028819683072726E-3</v>
      </c>
    </row>
    <row r="712" spans="23:27" x14ac:dyDescent="0.2">
      <c r="W712" s="203" t="str">
        <f t="shared" si="20"/>
        <v>1w</v>
      </c>
      <c r="X712" s="287">
        <f>_xll.qlCalendarAdvance(Calendar,X711,W712,"f",FALSE)</f>
        <v>43851</v>
      </c>
      <c r="Y712" s="281">
        <f>_xll.qlCalendarAdvance(Calendar,X712,NDays&amp;"D")</f>
        <v>43853</v>
      </c>
      <c r="Z712" s="282">
        <v>6.8967987527168827E-3</v>
      </c>
      <c r="AA712" s="284">
        <v>6.6431199380634354E-3</v>
      </c>
    </row>
    <row r="713" spans="23:27" x14ac:dyDescent="0.2">
      <c r="W713" s="203" t="str">
        <f t="shared" si="20"/>
        <v>1w</v>
      </c>
      <c r="X713" s="287">
        <f>_xll.qlCalendarAdvance(Calendar,X712,W713,"f",FALSE)</f>
        <v>43858</v>
      </c>
      <c r="Y713" s="281">
        <f>_xll.qlCalendarAdvance(Calendar,X713,NDays&amp;"D")</f>
        <v>43860</v>
      </c>
      <c r="Z713" s="282">
        <v>6.9344750166031978E-3</v>
      </c>
      <c r="AA713" s="284">
        <v>6.6830043097088065E-3</v>
      </c>
    </row>
    <row r="714" spans="23:27" x14ac:dyDescent="0.2">
      <c r="W714" s="203" t="str">
        <f t="shared" si="20"/>
        <v>1w</v>
      </c>
      <c r="X714" s="287">
        <f>_xll.qlCalendarAdvance(Calendar,X713,W714,"f",FALSE)</f>
        <v>43865</v>
      </c>
      <c r="Y714" s="281">
        <f>_xll.qlCalendarAdvance(Calendar,X714,NDays&amp;"D")</f>
        <v>43867</v>
      </c>
      <c r="Z714" s="282">
        <v>6.9717974195050427E-3</v>
      </c>
      <c r="AA714" s="284">
        <v>6.7225350831634501E-3</v>
      </c>
    </row>
    <row r="715" spans="23:27" x14ac:dyDescent="0.2">
      <c r="W715" s="203" t="str">
        <f t="shared" si="20"/>
        <v>1w</v>
      </c>
      <c r="X715" s="287">
        <f>_xll.qlCalendarAdvance(Calendar,X714,W715,"f",FALSE)</f>
        <v>43873</v>
      </c>
      <c r="Y715" s="281">
        <f>_xll.qlCalendarAdvance(Calendar,X715,NDays&amp;"D")</f>
        <v>43875</v>
      </c>
      <c r="Z715" s="282">
        <v>7.011379300982945E-3</v>
      </c>
      <c r="AA715" s="284">
        <v>6.7729658059612063E-3</v>
      </c>
    </row>
    <row r="716" spans="23:27" x14ac:dyDescent="0.2">
      <c r="W716" s="203" t="str">
        <f t="shared" si="20"/>
        <v>1w</v>
      </c>
      <c r="X716" s="287">
        <f>_xll.qlCalendarAdvance(Calendar,X715,W716,"f",FALSE)</f>
        <v>43880</v>
      </c>
      <c r="Y716" s="281">
        <f>_xll.qlCalendarAdvance(Calendar,X716,NDays&amp;"D")</f>
        <v>43882</v>
      </c>
      <c r="Z716" s="282">
        <v>7.0479679610757628E-3</v>
      </c>
      <c r="AA716" s="284">
        <v>6.8116898156667105E-3</v>
      </c>
    </row>
    <row r="717" spans="23:27" x14ac:dyDescent="0.2">
      <c r="W717" s="203" t="str">
        <f t="shared" si="20"/>
        <v>1w</v>
      </c>
      <c r="X717" s="287">
        <f>_xll.qlCalendarAdvance(Calendar,X716,W717,"f",FALSE)</f>
        <v>43887</v>
      </c>
      <c r="Y717" s="281">
        <f>_xll.qlCalendarAdvance(Calendar,X717,NDays&amp;"D")</f>
        <v>43889</v>
      </c>
      <c r="Z717" s="282">
        <v>7.0867925817450763E-3</v>
      </c>
      <c r="AA717" s="284">
        <v>6.8500602217191897E-3</v>
      </c>
    </row>
    <row r="718" spans="23:27" x14ac:dyDescent="0.2">
      <c r="W718" s="203" t="str">
        <f t="shared" si="20"/>
        <v>1w</v>
      </c>
      <c r="X718" s="287">
        <f>_xll.qlCalendarAdvance(Calendar,X717,W718,"f",FALSE)</f>
        <v>43894</v>
      </c>
      <c r="Y718" s="281">
        <f>_xll.qlCalendarAdvance(Calendar,X718,NDays&amp;"D")</f>
        <v>43896</v>
      </c>
      <c r="Z718" s="282">
        <v>7.1303308607087263E-3</v>
      </c>
      <c r="AA718" s="284">
        <v>6.8880770236923183E-3</v>
      </c>
    </row>
    <row r="719" spans="23:27" x14ac:dyDescent="0.2">
      <c r="W719" s="203" t="str">
        <f t="shared" si="20"/>
        <v>1w</v>
      </c>
      <c r="X719" s="287">
        <f>_xll.qlCalendarAdvance(Calendar,X718,W719,"f",FALSE)</f>
        <v>43901</v>
      </c>
      <c r="Y719" s="281">
        <f>_xll.qlCalendarAdvance(Calendar,X719,NDays&amp;"D")</f>
        <v>43903</v>
      </c>
      <c r="Z719" s="282">
        <v>7.1657616047690782E-3</v>
      </c>
      <c r="AA719" s="284">
        <v>6.9257402212929975E-3</v>
      </c>
    </row>
    <row r="720" spans="23:27" x14ac:dyDescent="0.2">
      <c r="W720" s="203" t="str">
        <f t="shared" si="20"/>
        <v>1w</v>
      </c>
      <c r="X720" s="287">
        <f>_xll.qlCalendarAdvance(Calendar,X719,W720,"f",FALSE)</f>
        <v>43908</v>
      </c>
      <c r="Y720" s="281">
        <f>_xll.qlCalendarAdvance(Calendar,X720,NDays&amp;"D")</f>
        <v>43913</v>
      </c>
      <c r="Z720" s="282">
        <v>7.2107957637180184E-3</v>
      </c>
      <c r="AA720" s="284">
        <v>6.9735120717151489E-3</v>
      </c>
    </row>
    <row r="721" spans="23:27" x14ac:dyDescent="0.2">
      <c r="W721" s="203" t="str">
        <f t="shared" si="20"/>
        <v>1w</v>
      </c>
      <c r="X721" s="287">
        <f>_xll.qlCalendarAdvance(Calendar,X720,W721,"f",FALSE)</f>
        <v>43915</v>
      </c>
      <c r="Y721" s="281">
        <f>_xll.qlCalendarAdvance(Calendar,X721,NDays&amp;"D")</f>
        <v>43917</v>
      </c>
      <c r="Z721" s="282">
        <v>7.2356694971546396E-3</v>
      </c>
      <c r="AA721" s="284">
        <v>7.0000058020713851E-3</v>
      </c>
    </row>
    <row r="722" spans="23:27" x14ac:dyDescent="0.2">
      <c r="W722" s="203" t="str">
        <f t="shared" si="20"/>
        <v>1w</v>
      </c>
      <c r="X722" s="287">
        <f>_xll.qlCalendarAdvance(Calendar,X721,W722,"f",FALSE)</f>
        <v>43922</v>
      </c>
      <c r="Y722" s="281">
        <f>_xll.qlCalendarAdvance(Calendar,X722,NDays&amp;"D")</f>
        <v>43924</v>
      </c>
      <c r="Z722" s="282">
        <v>7.2627446271279839E-3</v>
      </c>
      <c r="AA722" s="284">
        <v>7.0366081845563144E-3</v>
      </c>
    </row>
    <row r="723" spans="23:27" x14ac:dyDescent="0.2">
      <c r="W723" s="203" t="str">
        <f t="shared" si="20"/>
        <v>1w</v>
      </c>
      <c r="X723" s="287">
        <f>_xll.qlCalendarAdvance(Calendar,X722,W723,"f",FALSE)</f>
        <v>43929</v>
      </c>
      <c r="Y723" s="281">
        <f>_xll.qlCalendarAdvance(Calendar,X723,NDays&amp;"D")</f>
        <v>43935</v>
      </c>
      <c r="Z723" s="282">
        <v>7.3166182638375087E-3</v>
      </c>
      <c r="AA723" s="284">
        <v>7.088146748746027E-3</v>
      </c>
    </row>
    <row r="724" spans="23:27" x14ac:dyDescent="0.2">
      <c r="W724" s="203" t="str">
        <f t="shared" si="20"/>
        <v>1w</v>
      </c>
      <c r="X724" s="287">
        <f>_xll.qlCalendarAdvance(Calendar,X723,W724,"f",FALSE)</f>
        <v>43936</v>
      </c>
      <c r="Y724" s="281">
        <f>_xll.qlCalendarAdvance(Calendar,X724,NDays&amp;"D")</f>
        <v>43938</v>
      </c>
      <c r="Z724" s="282">
        <v>7.3312274390740879E-3</v>
      </c>
      <c r="AA724" s="284">
        <v>7.1087521321455682E-3</v>
      </c>
    </row>
    <row r="725" spans="23:27" x14ac:dyDescent="0.2">
      <c r="W725" s="203" t="str">
        <f t="shared" ref="W725:W788" si="21">W724</f>
        <v>1w</v>
      </c>
      <c r="X725" s="287">
        <f>_xll.qlCalendarAdvance(Calendar,X724,W725,"f",FALSE)</f>
        <v>43943</v>
      </c>
      <c r="Y725" s="281">
        <f>_xll.qlCalendarAdvance(Calendar,X725,NDays&amp;"D")</f>
        <v>43945</v>
      </c>
      <c r="Z725" s="282">
        <v>7.3652014614791058E-3</v>
      </c>
      <c r="AA725" s="284">
        <v>7.1442936965837589E-3</v>
      </c>
    </row>
    <row r="726" spans="23:27" x14ac:dyDescent="0.2">
      <c r="W726" s="203" t="str">
        <f t="shared" si="21"/>
        <v>1w</v>
      </c>
      <c r="X726" s="287">
        <f>_xll.qlCalendarAdvance(Calendar,X725,W726,"f",FALSE)</f>
        <v>43951</v>
      </c>
      <c r="Y726" s="281">
        <f>_xll.qlCalendarAdvance(Calendar,X726,NDays&amp;"D")</f>
        <v>43958</v>
      </c>
      <c r="Z726" s="282">
        <v>7.4304551682054069E-3</v>
      </c>
      <c r="AA726" s="284">
        <v>7.2042576501996081E-3</v>
      </c>
    </row>
    <row r="727" spans="23:27" x14ac:dyDescent="0.2">
      <c r="W727" s="203" t="str">
        <f t="shared" si="21"/>
        <v>1w</v>
      </c>
      <c r="X727" s="287">
        <f>_xll.qlCalendarAdvance(Calendar,X726,W727,"f",FALSE)</f>
        <v>43958</v>
      </c>
      <c r="Y727" s="281">
        <f>_xll.qlCalendarAdvance(Calendar,X727,NDays&amp;"D")</f>
        <v>43962</v>
      </c>
      <c r="Z727" s="282">
        <v>7.4497170334516969E-3</v>
      </c>
      <c r="AA727" s="284">
        <v>7.2240611691842815E-3</v>
      </c>
    </row>
    <row r="728" spans="23:27" x14ac:dyDescent="0.2">
      <c r="W728" s="203" t="str">
        <f t="shared" si="21"/>
        <v>1w</v>
      </c>
      <c r="X728" s="287">
        <f>_xll.qlCalendarAdvance(Calendar,X727,W728,"f",FALSE)</f>
        <v>43965</v>
      </c>
      <c r="Y728" s="281">
        <f>_xll.qlCalendarAdvance(Calendar,X728,NDays&amp;"D")</f>
        <v>43969</v>
      </c>
      <c r="Z728" s="282">
        <v>7.4833953374572769E-3</v>
      </c>
      <c r="AA728" s="284">
        <v>7.2584394991270784E-3</v>
      </c>
    </row>
    <row r="729" spans="23:27" x14ac:dyDescent="0.2">
      <c r="W729" s="203" t="str">
        <f t="shared" si="21"/>
        <v>1w</v>
      </c>
      <c r="X729" s="287">
        <f>_xll.qlCalendarAdvance(Calendar,X728,W729,"f",FALSE)</f>
        <v>43972</v>
      </c>
      <c r="Y729" s="281">
        <f>_xll.qlCalendarAdvance(Calendar,X729,NDays&amp;"D")</f>
        <v>43977</v>
      </c>
      <c r="Z729" s="282">
        <v>7.5218770161512918E-3</v>
      </c>
      <c r="AA729" s="284">
        <v>7.2972960394324105E-3</v>
      </c>
    </row>
    <row r="730" spans="23:27" x14ac:dyDescent="0.2">
      <c r="W730" s="203" t="str">
        <f t="shared" si="21"/>
        <v>1w</v>
      </c>
      <c r="X730" s="287">
        <f>_xll.qlCalendarAdvance(Calendar,X729,W730,"f",FALSE)</f>
        <v>43979</v>
      </c>
      <c r="Y730" s="281">
        <f>_xll.qlCalendarAdvance(Calendar,X730,NDays&amp;"D")</f>
        <v>43983</v>
      </c>
      <c r="Z730" s="282">
        <v>7.5507628885010036E-3</v>
      </c>
      <c r="AA730" s="284">
        <v>7.3261353590048373E-3</v>
      </c>
    </row>
    <row r="731" spans="23:27" x14ac:dyDescent="0.2">
      <c r="W731" s="203" t="str">
        <f t="shared" si="21"/>
        <v>1w</v>
      </c>
      <c r="X731" s="287">
        <f>_xll.qlCalendarAdvance(Calendar,X730,W731,"f",FALSE)</f>
        <v>43986</v>
      </c>
      <c r="Y731" s="281">
        <f>_xll.qlCalendarAdvance(Calendar,X731,NDays&amp;"D")</f>
        <v>43990</v>
      </c>
      <c r="Z731" s="282">
        <v>7.5845223267033361E-3</v>
      </c>
      <c r="AA731" s="284">
        <v>7.3594528889397992E-3</v>
      </c>
    </row>
    <row r="732" spans="23:27" x14ac:dyDescent="0.2">
      <c r="W732" s="203" t="str">
        <f t="shared" si="21"/>
        <v>1w</v>
      </c>
      <c r="X732" s="287">
        <f>_xll.qlCalendarAdvance(Calendar,X731,W732,"f",FALSE)</f>
        <v>43993</v>
      </c>
      <c r="Y732" s="281">
        <f>_xll.qlCalendarAdvance(Calendar,X732,NDays&amp;"D")</f>
        <v>43997</v>
      </c>
      <c r="Z732" s="282">
        <v>7.6183768711459423E-3</v>
      </c>
      <c r="AA732" s="284">
        <v>7.3925593147006197E-3</v>
      </c>
    </row>
    <row r="733" spans="23:27" x14ac:dyDescent="0.2">
      <c r="W733" s="203" t="str">
        <f t="shared" si="21"/>
        <v>1w</v>
      </c>
      <c r="X733" s="287">
        <f>_xll.qlCalendarAdvance(Calendar,X732,W733,"f",FALSE)</f>
        <v>44000</v>
      </c>
      <c r="Y733" s="281">
        <f>_xll.qlCalendarAdvance(Calendar,X733,NDays&amp;"D")</f>
        <v>44004</v>
      </c>
      <c r="Z733" s="282">
        <v>7.6548666448755251E-3</v>
      </c>
      <c r="AA733" s="284">
        <v>7.4257615512607344E-3</v>
      </c>
    </row>
    <row r="734" spans="23:27" x14ac:dyDescent="0.2">
      <c r="W734" s="203" t="str">
        <f t="shared" si="21"/>
        <v>1w</v>
      </c>
      <c r="X734" s="287">
        <f>_xll.qlCalendarAdvance(Calendar,X733,W734,"f",FALSE)</f>
        <v>44007</v>
      </c>
      <c r="Y734" s="281">
        <f>_xll.qlCalendarAdvance(Calendar,X734,NDays&amp;"D")</f>
        <v>44011</v>
      </c>
      <c r="Z734" s="282">
        <v>7.6864074934866692E-3</v>
      </c>
      <c r="AA734" s="284">
        <v>7.4590705598520657E-3</v>
      </c>
    </row>
    <row r="735" spans="23:27" x14ac:dyDescent="0.2">
      <c r="W735" s="203" t="str">
        <f t="shared" si="21"/>
        <v>1w</v>
      </c>
      <c r="X735" s="287">
        <f>_xll.qlCalendarAdvance(Calendar,X734,W735,"f",FALSE)</f>
        <v>44014</v>
      </c>
      <c r="Y735" s="281">
        <f>_xll.qlCalendarAdvance(Calendar,X735,NDays&amp;"D")</f>
        <v>44018</v>
      </c>
      <c r="Z735" s="282">
        <v>7.7205837133842445E-3</v>
      </c>
      <c r="AA735" s="284">
        <v>7.4924863403946773E-3</v>
      </c>
    </row>
    <row r="736" spans="23:27" x14ac:dyDescent="0.2">
      <c r="W736" s="203" t="str">
        <f t="shared" si="21"/>
        <v>1w</v>
      </c>
      <c r="X736" s="287">
        <f>_xll.qlCalendarAdvance(Calendar,X735,W736,"f",FALSE)</f>
        <v>44021</v>
      </c>
      <c r="Y736" s="281">
        <f>_xll.qlCalendarAdvance(Calendar,X736,NDays&amp;"D")</f>
        <v>44025</v>
      </c>
      <c r="Z736" s="282">
        <v>7.7548672094966877E-3</v>
      </c>
      <c r="AA736" s="284">
        <v>7.5260088930484415E-3</v>
      </c>
    </row>
    <row r="737" spans="23:27" x14ac:dyDescent="0.2">
      <c r="W737" s="203" t="str">
        <f t="shared" si="21"/>
        <v>1w</v>
      </c>
      <c r="X737" s="287">
        <f>_xll.qlCalendarAdvance(Calendar,X736,W737,"f",FALSE)</f>
        <v>44028</v>
      </c>
      <c r="Y737" s="281">
        <f>_xll.qlCalendarAdvance(Calendar,X737,NDays&amp;"D")</f>
        <v>44033</v>
      </c>
      <c r="Z737" s="282">
        <v>7.7941797101454139E-3</v>
      </c>
      <c r="AA737" s="284">
        <v>7.5644511231676148E-3</v>
      </c>
    </row>
    <row r="738" spans="23:27" x14ac:dyDescent="0.2">
      <c r="W738" s="203" t="str">
        <f t="shared" si="21"/>
        <v>1w</v>
      </c>
      <c r="X738" s="287">
        <f>_xll.qlCalendarAdvance(Calendar,X737,W738,"f",FALSE)</f>
        <v>44035</v>
      </c>
      <c r="Y738" s="281">
        <f>_xll.qlCalendarAdvance(Calendar,X738,NDays&amp;"D")</f>
        <v>44039</v>
      </c>
      <c r="Z738" s="282">
        <v>7.8237560416110942E-3</v>
      </c>
      <c r="AA738" s="284">
        <v>7.5933743146094912E-3</v>
      </c>
    </row>
    <row r="739" spans="23:27" x14ac:dyDescent="0.2">
      <c r="W739" s="203" t="str">
        <f t="shared" si="21"/>
        <v>1w</v>
      </c>
      <c r="X739" s="287">
        <f>_xll.qlCalendarAdvance(Calendar,X738,W739,"f",FALSE)</f>
        <v>44042</v>
      </c>
      <c r="Y739" s="281">
        <f>_xll.qlCalendarAdvance(Calendar,X739,NDays&amp;"D")</f>
        <v>44046</v>
      </c>
      <c r="Z739" s="282">
        <v>7.8609398951176128E-3</v>
      </c>
      <c r="AA739" s="284">
        <v>7.6272171835967129E-3</v>
      </c>
    </row>
    <row r="740" spans="23:27" x14ac:dyDescent="0.2">
      <c r="W740" s="203" t="str">
        <f t="shared" si="21"/>
        <v>1w</v>
      </c>
      <c r="X740" s="287">
        <f>_xll.qlCalendarAdvance(Calendar,X739,W740,"f",FALSE)</f>
        <v>44049</v>
      </c>
      <c r="Y740" s="281">
        <f>_xll.qlCalendarAdvance(Calendar,X740,NDays&amp;"D")</f>
        <v>44053</v>
      </c>
      <c r="Z740" s="282">
        <v>7.893074012408352E-3</v>
      </c>
      <c r="AA740" s="284">
        <v>7.661166824695087E-3</v>
      </c>
    </row>
    <row r="741" spans="23:27" x14ac:dyDescent="0.2">
      <c r="W741" s="203" t="str">
        <f t="shared" si="21"/>
        <v>1w</v>
      </c>
      <c r="X741" s="287">
        <f>_xll.qlCalendarAdvance(Calendar,X740,W741,"f",FALSE)</f>
        <v>44056</v>
      </c>
      <c r="Y741" s="281">
        <f>_xll.qlCalendarAdvance(Calendar,X741,NDays&amp;"D")</f>
        <v>44060</v>
      </c>
      <c r="Z741" s="282">
        <v>7.9278939319056378E-3</v>
      </c>
      <c r="AA741" s="284">
        <v>7.6952232381444219E-3</v>
      </c>
    </row>
    <row r="742" spans="23:27" x14ac:dyDescent="0.2">
      <c r="W742" s="203" t="str">
        <f t="shared" si="21"/>
        <v>1w</v>
      </c>
      <c r="X742" s="287">
        <f>_xll.qlCalendarAdvance(Calendar,X741,W742,"f",FALSE)</f>
        <v>44063</v>
      </c>
      <c r="Y742" s="281">
        <f>_xll.qlCalendarAdvance(Calendar,X742,NDays&amp;"D")</f>
        <v>44067</v>
      </c>
      <c r="Z742" s="282">
        <v>7.962821144604202E-3</v>
      </c>
      <c r="AA742" s="284">
        <v>7.7293864237049092E-3</v>
      </c>
    </row>
    <row r="743" spans="23:27" x14ac:dyDescent="0.2">
      <c r="W743" s="203" t="str">
        <f t="shared" si="21"/>
        <v>1w</v>
      </c>
      <c r="X743" s="287">
        <f>_xll.qlCalendarAdvance(Calendar,X742,W743,"f",FALSE)</f>
        <v>44070</v>
      </c>
      <c r="Y743" s="281">
        <f>_xll.qlCalendarAdvance(Calendar,X743,NDays&amp;"D")</f>
        <v>44075</v>
      </c>
      <c r="Z743" s="282">
        <v>8.0002567405019695E-3</v>
      </c>
      <c r="AA743" s="284">
        <v>7.7685608058430944E-3</v>
      </c>
    </row>
    <row r="744" spans="23:27" x14ac:dyDescent="0.2">
      <c r="W744" s="203" t="str">
        <f t="shared" si="21"/>
        <v>1w</v>
      </c>
      <c r="X744" s="287">
        <f>_xll.qlCalendarAdvance(Calendar,X743,W744,"f",FALSE)</f>
        <v>44077</v>
      </c>
      <c r="Y744" s="281">
        <f>_xll.qlCalendarAdvance(Calendar,X744,NDays&amp;"D")</f>
        <v>44081</v>
      </c>
      <c r="Z744" s="282">
        <v>8.0303776198355666E-3</v>
      </c>
      <c r="AA744" s="284">
        <v>7.7980331116389578E-3</v>
      </c>
    </row>
    <row r="745" spans="23:27" x14ac:dyDescent="0.2">
      <c r="W745" s="203" t="str">
        <f t="shared" si="21"/>
        <v>1w</v>
      </c>
      <c r="X745" s="287">
        <f>_xll.qlCalendarAdvance(Calendar,X744,W745,"f",FALSE)</f>
        <v>44084</v>
      </c>
      <c r="Y745" s="281">
        <f>_xll.qlCalendarAdvance(Calendar,X745,NDays&amp;"D")</f>
        <v>44088</v>
      </c>
      <c r="Z745" s="282">
        <v>8.065618277648132E-3</v>
      </c>
      <c r="AA745" s="284">
        <v>7.8325166140924551E-3</v>
      </c>
    </row>
    <row r="746" spans="23:27" x14ac:dyDescent="0.2">
      <c r="W746" s="203" t="str">
        <f t="shared" si="21"/>
        <v>1w</v>
      </c>
      <c r="X746" s="287">
        <f>_xll.qlCalendarAdvance(Calendar,X745,W746,"f",FALSE)</f>
        <v>44091</v>
      </c>
      <c r="Y746" s="281">
        <f>_xll.qlCalendarAdvance(Calendar,X746,NDays&amp;"D")</f>
        <v>44097</v>
      </c>
      <c r="Z746" s="282">
        <v>8.1137245268316019E-3</v>
      </c>
      <c r="AA746" s="284">
        <v>7.877009435839355E-3</v>
      </c>
    </row>
    <row r="747" spans="23:27" x14ac:dyDescent="0.2">
      <c r="W747" s="203" t="str">
        <f t="shared" si="21"/>
        <v>1w</v>
      </c>
      <c r="X747" s="287">
        <f>_xll.qlCalendarAdvance(Calendar,X746,W747,"f",FALSE)</f>
        <v>44098</v>
      </c>
      <c r="Y747" s="281">
        <f>_xll.qlCalendarAdvance(Calendar,X747,NDays&amp;"D")</f>
        <v>44102</v>
      </c>
      <c r="Z747" s="282">
        <v>8.1390667065723947E-3</v>
      </c>
      <c r="AA747" s="284">
        <v>7.9018039361322678E-3</v>
      </c>
    </row>
    <row r="748" spans="23:27" x14ac:dyDescent="0.2">
      <c r="W748" s="203" t="str">
        <f t="shared" si="21"/>
        <v>1w</v>
      </c>
      <c r="X748" s="287">
        <f>_xll.qlCalendarAdvance(Calendar,X747,W748,"f",FALSE)</f>
        <v>44105</v>
      </c>
      <c r="Y748" s="281">
        <f>_xll.qlCalendarAdvance(Calendar,X748,NDays&amp;"D")</f>
        <v>44109</v>
      </c>
      <c r="Z748" s="282">
        <v>8.1746377388781516E-3</v>
      </c>
      <c r="AA748" s="284">
        <v>7.9366077557185832E-3</v>
      </c>
    </row>
    <row r="749" spans="23:27" x14ac:dyDescent="0.2">
      <c r="W749" s="203" t="str">
        <f t="shared" si="21"/>
        <v>1w</v>
      </c>
      <c r="X749" s="287">
        <f>_xll.qlCalendarAdvance(Calendar,X748,W749,"f",FALSE)</f>
        <v>44112</v>
      </c>
      <c r="Y749" s="281">
        <f>_xll.qlCalendarAdvance(Calendar,X749,NDays&amp;"D")</f>
        <v>44117</v>
      </c>
      <c r="Z749" s="282">
        <v>8.2154217515834314E-3</v>
      </c>
      <c r="AA749" s="284">
        <v>7.9765142913945652E-3</v>
      </c>
    </row>
    <row r="750" spans="23:27" x14ac:dyDescent="0.2">
      <c r="W750" s="203" t="str">
        <f t="shared" si="21"/>
        <v>1w</v>
      </c>
      <c r="X750" s="287">
        <f>_xll.qlCalendarAdvance(Calendar,X749,W750,"f",FALSE)</f>
        <v>44119</v>
      </c>
      <c r="Y750" s="281">
        <f>_xll.qlCalendarAdvance(Calendar,X750,NDays&amp;"D")</f>
        <v>44123</v>
      </c>
      <c r="Z750" s="282">
        <v>8.2461017466661322E-3</v>
      </c>
      <c r="AA750" s="284">
        <v>8.0065357123437764E-3</v>
      </c>
    </row>
    <row r="751" spans="23:27" x14ac:dyDescent="0.2">
      <c r="W751" s="203" t="str">
        <f t="shared" si="21"/>
        <v>1w</v>
      </c>
      <c r="X751" s="287">
        <f>_xll.qlCalendarAdvance(Calendar,X750,W751,"f",FALSE)</f>
        <v>44126</v>
      </c>
      <c r="Y751" s="281">
        <f>_xll.qlCalendarAdvance(Calendar,X751,NDays&amp;"D")</f>
        <v>44130</v>
      </c>
      <c r="Z751" s="282">
        <v>8.2819947280045395E-3</v>
      </c>
      <c r="AA751" s="284">
        <v>8.0416598494625902E-3</v>
      </c>
    </row>
    <row r="752" spans="23:27" x14ac:dyDescent="0.2">
      <c r="W752" s="203" t="str">
        <f t="shared" si="21"/>
        <v>1w</v>
      </c>
      <c r="X752" s="287">
        <f>_xll.qlCalendarAdvance(Calendar,X751,W752,"f",FALSE)</f>
        <v>44133</v>
      </c>
      <c r="Y752" s="281">
        <f>_xll.qlCalendarAdvance(Calendar,X752,NDays&amp;"D")</f>
        <v>44137</v>
      </c>
      <c r="Z752" s="282">
        <v>8.3179950315566721E-3</v>
      </c>
      <c r="AA752" s="284">
        <v>8.0795022729773791E-3</v>
      </c>
    </row>
    <row r="753" spans="23:27" x14ac:dyDescent="0.2">
      <c r="W753" s="203" t="str">
        <f t="shared" si="21"/>
        <v>1w</v>
      </c>
      <c r="X753" s="287">
        <f>_xll.qlCalendarAdvance(Calendar,X752,W753,"f",FALSE)</f>
        <v>44140</v>
      </c>
      <c r="Y753" s="281">
        <f>_xll.qlCalendarAdvance(Calendar,X753,NDays&amp;"D")</f>
        <v>44144</v>
      </c>
      <c r="Z753" s="282">
        <v>8.3541026602723424E-3</v>
      </c>
      <c r="AA753" s="284">
        <v>8.1122284411527801E-3</v>
      </c>
    </row>
    <row r="754" spans="23:27" x14ac:dyDescent="0.2">
      <c r="W754" s="203" t="str">
        <f t="shared" si="21"/>
        <v>1w</v>
      </c>
      <c r="X754" s="287">
        <f>_xll.qlCalendarAdvance(Calendar,X753,W754,"f",FALSE)</f>
        <v>44147</v>
      </c>
      <c r="Y754" s="281">
        <f>_xll.qlCalendarAdvance(Calendar,X754,NDays&amp;"D")</f>
        <v>44151</v>
      </c>
      <c r="Z754" s="282">
        <v>8.3903176171109262E-3</v>
      </c>
      <c r="AA754" s="284">
        <v>8.1476728959639644E-3</v>
      </c>
    </row>
    <row r="755" spans="23:27" x14ac:dyDescent="0.2">
      <c r="W755" s="203" t="str">
        <f t="shared" si="21"/>
        <v>1w</v>
      </c>
      <c r="X755" s="287">
        <f>_xll.qlCalendarAdvance(Calendar,X754,W755,"f",FALSE)</f>
        <v>44154</v>
      </c>
      <c r="Y755" s="281">
        <f>_xll.qlCalendarAdvance(Calendar,X755,NDays&amp;"D")</f>
        <v>44159</v>
      </c>
      <c r="Z755" s="282">
        <v>8.4318375652097013E-3</v>
      </c>
      <c r="AA755" s="284">
        <v>8.1883115862968481E-3</v>
      </c>
    </row>
    <row r="756" spans="23:27" x14ac:dyDescent="0.2">
      <c r="W756" s="203" t="str">
        <f t="shared" si="21"/>
        <v>1w</v>
      </c>
      <c r="X756" s="287">
        <f>_xll.qlCalendarAdvance(Calendar,X755,W756,"f",FALSE)</f>
        <v>44161</v>
      </c>
      <c r="Y756" s="281">
        <f>_xll.qlCalendarAdvance(Calendar,X756,NDays&amp;"D")</f>
        <v>44165</v>
      </c>
      <c r="Z756" s="282">
        <v>8.4521879770349528E-3</v>
      </c>
      <c r="AA756" s="284">
        <v>8.2188821234385756E-3</v>
      </c>
    </row>
    <row r="757" spans="23:27" x14ac:dyDescent="0.2">
      <c r="W757" s="203" t="str">
        <f t="shared" si="21"/>
        <v>1w</v>
      </c>
      <c r="X757" s="287">
        <f>_xll.qlCalendarAdvance(Calendar,X756,W757,"f",FALSE)</f>
        <v>44168</v>
      </c>
      <c r="Y757" s="281">
        <f>_xll.qlCalendarAdvance(Calendar,X757,NDays&amp;"D")</f>
        <v>44172</v>
      </c>
      <c r="Z757" s="282">
        <v>8.4968762907385413E-3</v>
      </c>
      <c r="AA757" s="284">
        <v>8.2546468962618746E-3</v>
      </c>
    </row>
    <row r="758" spans="23:27" x14ac:dyDescent="0.2">
      <c r="W758" s="203" t="str">
        <f t="shared" si="21"/>
        <v>1w</v>
      </c>
      <c r="X758" s="287">
        <f>_xll.qlCalendarAdvance(Calendar,X757,W758,"f",FALSE)</f>
        <v>44175</v>
      </c>
      <c r="Y758" s="281">
        <f>_xll.qlCalendarAdvance(Calendar,X758,NDays&amp;"D")</f>
        <v>44179</v>
      </c>
      <c r="Z758" s="282">
        <v>8.5335120567927858E-3</v>
      </c>
      <c r="AA758" s="284">
        <v>8.2905184417558786E-3</v>
      </c>
    </row>
    <row r="759" spans="23:27" x14ac:dyDescent="0.2">
      <c r="W759" s="203" t="str">
        <f t="shared" si="21"/>
        <v>1w</v>
      </c>
      <c r="X759" s="287">
        <f>_xll.qlCalendarAdvance(Calendar,X758,W759,"f",FALSE)</f>
        <v>44182</v>
      </c>
      <c r="Y759" s="281">
        <f>_xll.qlCalendarAdvance(Calendar,X759,NDays&amp;"D")</f>
        <v>44186</v>
      </c>
      <c r="Z759" s="282">
        <v>8.570255159406891E-3</v>
      </c>
      <c r="AA759" s="284">
        <v>8.3264967600005235E-3</v>
      </c>
    </row>
    <row r="760" spans="23:27" x14ac:dyDescent="0.2">
      <c r="W760" s="203" t="str">
        <f t="shared" si="21"/>
        <v>1w</v>
      </c>
      <c r="X760" s="287">
        <f>_xll.qlCalendarAdvance(Calendar,X759,W760,"f",FALSE)</f>
        <v>44189</v>
      </c>
      <c r="Y760" s="281">
        <f>_xll.qlCalendarAdvance(Calendar,X760,NDays&amp;"D")</f>
        <v>44195</v>
      </c>
      <c r="Z760" s="282">
        <v>8.6176540151597526E-3</v>
      </c>
      <c r="AA760" s="284">
        <v>8.3836424684218258E-3</v>
      </c>
    </row>
    <row r="761" spans="23:27" x14ac:dyDescent="0.2">
      <c r="W761" s="203" t="str">
        <f t="shared" si="21"/>
        <v>1w</v>
      </c>
      <c r="X761" s="287">
        <f>_xll.qlCalendarAdvance(Calendar,X760,W761,"f",FALSE)</f>
        <v>44200</v>
      </c>
      <c r="Y761" s="281">
        <f>_xll.qlCalendarAdvance(Calendar,X761,NDays&amp;"D")</f>
        <v>44202</v>
      </c>
      <c r="Z761" s="282">
        <v>8.6518765175336299E-3</v>
      </c>
      <c r="AA761" s="284">
        <v>8.4091338588443421E-3</v>
      </c>
    </row>
    <row r="762" spans="23:27" x14ac:dyDescent="0.2">
      <c r="W762" s="203" t="str">
        <f t="shared" si="21"/>
        <v>1w</v>
      </c>
      <c r="X762" s="287">
        <f>_xll.qlCalendarAdvance(Calendar,X761,W762,"f",FALSE)</f>
        <v>44208</v>
      </c>
      <c r="Y762" s="281">
        <f>_xll.qlCalendarAdvance(Calendar,X762,NDays&amp;"D")</f>
        <v>44210</v>
      </c>
      <c r="Z762" s="282">
        <v>8.6942706981654183E-3</v>
      </c>
      <c r="AA762" s="284">
        <v>8.4506615959334397E-3</v>
      </c>
    </row>
    <row r="763" spans="23:27" x14ac:dyDescent="0.2">
      <c r="W763" s="203" t="str">
        <f t="shared" si="21"/>
        <v>1w</v>
      </c>
      <c r="X763" s="287">
        <f>_xll.qlCalendarAdvance(Calendar,X762,W763,"f",FALSE)</f>
        <v>44215</v>
      </c>
      <c r="Y763" s="281">
        <f>_xll.qlCalendarAdvance(Calendar,X763,NDays&amp;"D")</f>
        <v>44217</v>
      </c>
      <c r="Z763" s="282">
        <v>8.7314806166176595E-3</v>
      </c>
      <c r="AA763" s="284">
        <v>8.4871127653762812E-3</v>
      </c>
    </row>
    <row r="764" spans="23:27" x14ac:dyDescent="0.2">
      <c r="W764" s="203" t="str">
        <f t="shared" si="21"/>
        <v>1w</v>
      </c>
      <c r="X764" s="287">
        <f>_xll.qlCalendarAdvance(Calendar,X763,W764,"f",FALSE)</f>
        <v>44222</v>
      </c>
      <c r="Y764" s="281">
        <f>_xll.qlCalendarAdvance(Calendar,X764,NDays&amp;"D")</f>
        <v>44224</v>
      </c>
      <c r="Z764" s="282">
        <v>8.768797881236523E-3</v>
      </c>
      <c r="AA764" s="284">
        <v>8.5236707078095719E-3</v>
      </c>
    </row>
    <row r="765" spans="23:27" x14ac:dyDescent="0.2">
      <c r="W765" s="203" t="str">
        <f t="shared" si="21"/>
        <v>1w</v>
      </c>
      <c r="X765" s="287">
        <f>_xll.qlCalendarAdvance(Calendar,X764,W765,"f",FALSE)</f>
        <v>44229</v>
      </c>
      <c r="Y765" s="281">
        <f>_xll.qlCalendarAdvance(Calendar,X765,NDays&amp;"D")</f>
        <v>44231</v>
      </c>
      <c r="Z765" s="282">
        <v>8.8090239538291294E-3</v>
      </c>
      <c r="AA765" s="284">
        <v>8.5603354232333118E-3</v>
      </c>
    </row>
    <row r="766" spans="23:27" x14ac:dyDescent="0.2">
      <c r="W766" s="203" t="str">
        <f t="shared" si="21"/>
        <v>1w</v>
      </c>
      <c r="X766" s="287">
        <f>_xll.qlCalendarAdvance(Calendar,X765,W766,"f",FALSE)</f>
        <v>44236</v>
      </c>
      <c r="Y766" s="281">
        <f>_xll.qlCalendarAdvance(Calendar,X766,NDays&amp;"D")</f>
        <v>44239</v>
      </c>
      <c r="Z766" s="282">
        <v>8.846314524191691E-3</v>
      </c>
      <c r="AA766" s="284">
        <v>8.607839199745726E-3</v>
      </c>
    </row>
    <row r="767" spans="23:27" x14ac:dyDescent="0.2">
      <c r="W767" s="203" t="str">
        <f t="shared" si="21"/>
        <v>1w</v>
      </c>
      <c r="X767" s="287">
        <f>_xll.qlCalendarAdvance(Calendar,X766,W767,"f",FALSE)</f>
        <v>44243</v>
      </c>
      <c r="Y767" s="281">
        <f>_xll.qlCalendarAdvance(Calendar,X767,NDays&amp;"D")</f>
        <v>44245</v>
      </c>
      <c r="Z767" s="282">
        <v>8.8785760059069945E-3</v>
      </c>
      <c r="AA767" s="284">
        <v>8.6339851729722028E-3</v>
      </c>
    </row>
    <row r="768" spans="23:27" x14ac:dyDescent="0.2">
      <c r="W768" s="203" t="str">
        <f t="shared" si="21"/>
        <v>1w</v>
      </c>
      <c r="X768" s="287">
        <f>_xll.qlCalendarAdvance(Calendar,X767,W768,"f",FALSE)</f>
        <v>44250</v>
      </c>
      <c r="Y768" s="281">
        <f>_xll.qlCalendarAdvance(Calendar,X768,NDays&amp;"D")</f>
        <v>44252</v>
      </c>
      <c r="Z768" s="282">
        <v>8.9163140848043422E-3</v>
      </c>
      <c r="AA768" s="284">
        <v>8.6709702074472261E-3</v>
      </c>
    </row>
    <row r="769" spans="23:27" x14ac:dyDescent="0.2">
      <c r="W769" s="203" t="str">
        <f t="shared" si="21"/>
        <v>1w</v>
      </c>
      <c r="X769" s="287">
        <f>_xll.qlCalendarAdvance(Calendar,X768,W769,"f",FALSE)</f>
        <v>44257</v>
      </c>
      <c r="Y769" s="281">
        <f>_xll.qlCalendarAdvance(Calendar,X769,NDays&amp;"D")</f>
        <v>44259</v>
      </c>
      <c r="Z769" s="282">
        <v>8.9626670704859909E-3</v>
      </c>
      <c r="AA769" s="284">
        <v>8.7080620150725707E-3</v>
      </c>
    </row>
    <row r="770" spans="23:27" x14ac:dyDescent="0.2">
      <c r="W770" s="203" t="str">
        <f t="shared" si="21"/>
        <v>1w</v>
      </c>
      <c r="X770" s="287">
        <f>_xll.qlCalendarAdvance(Calendar,X769,W770,"f",FALSE)</f>
        <v>44264</v>
      </c>
      <c r="Y770" s="281">
        <f>_xll.qlCalendarAdvance(Calendar,X770,NDays&amp;"D")</f>
        <v>44266</v>
      </c>
      <c r="Z770" s="282">
        <v>9.0006457018014709E-3</v>
      </c>
      <c r="AA770" s="284">
        <v>8.7452605956883644E-3</v>
      </c>
    </row>
    <row r="771" spans="23:27" x14ac:dyDescent="0.2">
      <c r="W771" s="203" t="str">
        <f t="shared" si="21"/>
        <v>1w</v>
      </c>
      <c r="X771" s="287">
        <f>_xll.qlCalendarAdvance(Calendar,X770,W771,"f",FALSE)</f>
        <v>44271</v>
      </c>
      <c r="Y771" s="281">
        <f>_xll.qlCalendarAdvance(Calendar,X771,NDays&amp;"D")</f>
        <v>44273</v>
      </c>
      <c r="Z771" s="282">
        <v>9.0387293828441285E-3</v>
      </c>
      <c r="AA771" s="284">
        <v>8.7825659496143516E-3</v>
      </c>
    </row>
    <row r="772" spans="23:27" x14ac:dyDescent="0.2">
      <c r="W772" s="203" t="str">
        <f t="shared" si="21"/>
        <v>1w</v>
      </c>
      <c r="X772" s="287">
        <f>_xll.qlCalendarAdvance(Calendar,X771,W772,"f",FALSE)</f>
        <v>44278</v>
      </c>
      <c r="Y772" s="281">
        <f>_xll.qlCalendarAdvance(Calendar,X772,NDays&amp;"D")</f>
        <v>44280</v>
      </c>
      <c r="Z772" s="282">
        <v>9.0769096962045846E-3</v>
      </c>
      <c r="AA772" s="284">
        <v>8.8199780766906599E-3</v>
      </c>
    </row>
    <row r="773" spans="23:27" x14ac:dyDescent="0.2">
      <c r="W773" s="203" t="str">
        <f t="shared" si="21"/>
        <v>1w</v>
      </c>
      <c r="X773" s="287">
        <f>_xll.qlCalendarAdvance(Calendar,X772,W773,"f",FALSE)</f>
        <v>44285</v>
      </c>
      <c r="Y773" s="281">
        <f>_xll.qlCalendarAdvance(Calendar,X773,NDays&amp;"D")</f>
        <v>44287</v>
      </c>
      <c r="Z773" s="282">
        <v>9.1123118893448353E-3</v>
      </c>
      <c r="AA773" s="284">
        <v>8.8686753842690536E-3</v>
      </c>
    </row>
    <row r="774" spans="23:27" x14ac:dyDescent="0.2">
      <c r="W774" s="203" t="str">
        <f t="shared" si="21"/>
        <v>1w</v>
      </c>
      <c r="X774" s="287">
        <f>_xll.qlCalendarAdvance(Calendar,X773,W774,"f",FALSE)</f>
        <v>44292</v>
      </c>
      <c r="Y774" s="281">
        <f>_xll.qlCalendarAdvance(Calendar,X774,NDays&amp;"D")</f>
        <v>44294</v>
      </c>
      <c r="Z774" s="282">
        <v>9.1506527716723116E-3</v>
      </c>
      <c r="AA774" s="284">
        <v>8.8951226506139847E-3</v>
      </c>
    </row>
    <row r="775" spans="23:27" x14ac:dyDescent="0.2">
      <c r="W775" s="203" t="str">
        <f t="shared" si="21"/>
        <v>1w</v>
      </c>
      <c r="X775" s="287">
        <f>_xll.qlCalendarAdvance(Calendar,X774,W775,"f",FALSE)</f>
        <v>44299</v>
      </c>
      <c r="Y775" s="281">
        <f>_xll.qlCalendarAdvance(Calendar,X775,NDays&amp;"D")</f>
        <v>44301</v>
      </c>
      <c r="Z775" s="282">
        <v>9.1890629942889025E-3</v>
      </c>
      <c r="AA775" s="284">
        <v>8.9328550975409371E-3</v>
      </c>
    </row>
    <row r="776" spans="23:27" x14ac:dyDescent="0.2">
      <c r="W776" s="203" t="str">
        <f t="shared" si="21"/>
        <v>1w</v>
      </c>
      <c r="X776" s="287">
        <f>_xll.qlCalendarAdvance(Calendar,X775,W776,"f",FALSE)</f>
        <v>44306</v>
      </c>
      <c r="Y776" s="281">
        <f>_xll.qlCalendarAdvance(Calendar,X776,NDays&amp;"D")</f>
        <v>44308</v>
      </c>
      <c r="Z776" s="282">
        <v>9.2275330478193435E-3</v>
      </c>
      <c r="AA776" s="284">
        <v>8.9706943176981468E-3</v>
      </c>
    </row>
    <row r="777" spans="23:27" x14ac:dyDescent="0.2">
      <c r="W777" s="203" t="str">
        <f t="shared" si="21"/>
        <v>1w</v>
      </c>
      <c r="X777" s="287">
        <f>_xll.qlCalendarAdvance(Calendar,X776,W777,"f",FALSE)</f>
        <v>44313</v>
      </c>
      <c r="Y777" s="281">
        <f>_xll.qlCalendarAdvance(Calendar,X777,NDays&amp;"D")</f>
        <v>44316</v>
      </c>
      <c r="Z777" s="282">
        <v>9.2715598865233222E-3</v>
      </c>
      <c r="AA777" s="284">
        <v>9.028222507083683E-3</v>
      </c>
    </row>
    <row r="778" spans="23:27" x14ac:dyDescent="0.2">
      <c r="W778" s="203" t="str">
        <f t="shared" si="21"/>
        <v>1w</v>
      </c>
      <c r="X778" s="287">
        <f>_xll.qlCalendarAdvance(Calendar,X777,W778,"f",FALSE)</f>
        <v>44322</v>
      </c>
      <c r="Y778" s="281">
        <f>_xll.qlCalendarAdvance(Calendar,X778,NDays&amp;"D")</f>
        <v>44326</v>
      </c>
      <c r="Z778" s="282">
        <v>9.3295443315178778E-3</v>
      </c>
      <c r="AA778" s="284">
        <v>9.0684854556855043E-3</v>
      </c>
    </row>
    <row r="779" spans="23:27" x14ac:dyDescent="0.2">
      <c r="W779" s="203" t="str">
        <f t="shared" si="21"/>
        <v>1w</v>
      </c>
      <c r="X779" s="287">
        <f>_xll.qlCalendarAdvance(Calendar,X778,W779,"f",FALSE)</f>
        <v>44329</v>
      </c>
      <c r="Y779" s="281">
        <f>_xll.qlCalendarAdvance(Calendar,X779,NDays&amp;"D")</f>
        <v>44333</v>
      </c>
      <c r="Z779" s="282">
        <v>9.3681510760843332E-3</v>
      </c>
      <c r="AA779" s="284">
        <v>9.1067060094474073E-3</v>
      </c>
    </row>
    <row r="780" spans="23:27" x14ac:dyDescent="0.2">
      <c r="W780" s="203" t="str">
        <f t="shared" si="21"/>
        <v>1w</v>
      </c>
      <c r="X780" s="287">
        <f>_xll.qlCalendarAdvance(Calendar,X779,W780,"f",FALSE)</f>
        <v>44336</v>
      </c>
      <c r="Y780" s="281">
        <f>_xll.qlCalendarAdvance(Calendar,X780,NDays&amp;"D")</f>
        <v>44340</v>
      </c>
      <c r="Z780" s="282">
        <v>9.4067738255308193E-3</v>
      </c>
      <c r="AA780" s="284">
        <v>9.1450333368392478E-3</v>
      </c>
    </row>
    <row r="781" spans="23:27" x14ac:dyDescent="0.2">
      <c r="W781" s="203" t="str">
        <f t="shared" si="21"/>
        <v>1w</v>
      </c>
      <c r="X781" s="287">
        <f>_xll.qlCalendarAdvance(Calendar,X780,W781,"f",FALSE)</f>
        <v>44343</v>
      </c>
      <c r="Y781" s="281">
        <f>_xll.qlCalendarAdvance(Calendar,X781,NDays&amp;"D")</f>
        <v>44348</v>
      </c>
      <c r="Z781" s="282">
        <v>9.450921639455408E-3</v>
      </c>
      <c r="AA781" s="284">
        <v>9.188966739674953E-3</v>
      </c>
    </row>
    <row r="782" spans="23:27" x14ac:dyDescent="0.2">
      <c r="W782" s="203" t="str">
        <f t="shared" si="21"/>
        <v>1w</v>
      </c>
      <c r="X782" s="287">
        <f>_xll.qlCalendarAdvance(Calendar,X781,W782,"f",FALSE)</f>
        <v>44350</v>
      </c>
      <c r="Y782" s="281">
        <f>_xll.qlCalendarAdvance(Calendar,X782,NDays&amp;"D")</f>
        <v>44354</v>
      </c>
      <c r="Z782" s="282">
        <v>9.4840297055076104E-3</v>
      </c>
      <c r="AA782" s="284">
        <v>9.2220083120331253E-3</v>
      </c>
    </row>
    <row r="783" spans="23:27" x14ac:dyDescent="0.2">
      <c r="W783" s="203" t="str">
        <f t="shared" si="21"/>
        <v>1w</v>
      </c>
      <c r="X783" s="287">
        <f>_xll.qlCalendarAdvance(Calendar,X782,W783,"f",FALSE)</f>
        <v>44357</v>
      </c>
      <c r="Y783" s="281">
        <f>_xll.qlCalendarAdvance(Calendar,X783,NDays&amp;"D")</f>
        <v>44361</v>
      </c>
      <c r="Z783" s="282">
        <v>9.5226443109364609E-3</v>
      </c>
      <c r="AA783" s="284">
        <v>9.2606303643094634E-3</v>
      </c>
    </row>
    <row r="784" spans="23:27" x14ac:dyDescent="0.2">
      <c r="W784" s="203" t="str">
        <f t="shared" si="21"/>
        <v>1w</v>
      </c>
      <c r="X784" s="287">
        <f>_xll.qlCalendarAdvance(Calendar,X783,W784,"f",FALSE)</f>
        <v>44364</v>
      </c>
      <c r="Y784" s="281">
        <f>_xll.qlCalendarAdvance(Calendar,X784,NDays&amp;"D")</f>
        <v>44368</v>
      </c>
      <c r="Z784" s="282">
        <v>9.5612427858779315E-3</v>
      </c>
      <c r="AA784" s="284">
        <v>9.2992437990790933E-3</v>
      </c>
    </row>
    <row r="785" spans="23:27" x14ac:dyDescent="0.2">
      <c r="W785" s="203" t="str">
        <f t="shared" si="21"/>
        <v>1w</v>
      </c>
      <c r="X785" s="287">
        <f>_xll.qlCalendarAdvance(Calendar,X784,W785,"f",FALSE)</f>
        <v>44371</v>
      </c>
      <c r="Y785" s="281">
        <f>_xll.qlCalendarAdvance(Calendar,X785,NDays&amp;"D")</f>
        <v>44375</v>
      </c>
      <c r="Z785" s="282">
        <v>9.599825006406805E-3</v>
      </c>
      <c r="AA785" s="284">
        <v>9.3378406441591011E-3</v>
      </c>
    </row>
    <row r="786" spans="23:27" x14ac:dyDescent="0.2">
      <c r="W786" s="203" t="str">
        <f t="shared" si="21"/>
        <v>1w</v>
      </c>
      <c r="X786" s="287">
        <f>_xll.qlCalendarAdvance(Calendar,X785,W786,"f",FALSE)</f>
        <v>44378</v>
      </c>
      <c r="Y786" s="281">
        <f>_xll.qlCalendarAdvance(Calendar,X786,NDays&amp;"D")</f>
        <v>44382</v>
      </c>
      <c r="Z786" s="282">
        <v>9.6383909720365122E-3</v>
      </c>
      <c r="AA786" s="284">
        <v>9.3764208993096787E-3</v>
      </c>
    </row>
    <row r="787" spans="23:27" x14ac:dyDescent="0.2">
      <c r="W787" s="203" t="str">
        <f t="shared" si="21"/>
        <v>1w</v>
      </c>
      <c r="X787" s="287">
        <f>_xll.qlCalendarAdvance(Calendar,X786,W787,"f",FALSE)</f>
        <v>44385</v>
      </c>
      <c r="Y787" s="281">
        <f>_xll.qlCalendarAdvance(Calendar,X787,NDays&amp;"D")</f>
        <v>44389</v>
      </c>
      <c r="Z787" s="282">
        <v>9.6769406822778785E-3</v>
      </c>
      <c r="AA787" s="284">
        <v>9.4149845647706343E-3</v>
      </c>
    </row>
    <row r="788" spans="23:27" x14ac:dyDescent="0.2">
      <c r="W788" s="203" t="str">
        <f t="shared" si="21"/>
        <v>1w</v>
      </c>
      <c r="X788" s="287">
        <f>_xll.qlCalendarAdvance(Calendar,X787,W788,"f",FALSE)</f>
        <v>44392</v>
      </c>
      <c r="Y788" s="281">
        <f>_xll.qlCalendarAdvance(Calendar,X788,NDays&amp;"D")</f>
        <v>44397</v>
      </c>
      <c r="Z788" s="282">
        <v>9.7209775888035498E-3</v>
      </c>
      <c r="AA788" s="284">
        <v>9.4590370111813371E-3</v>
      </c>
    </row>
    <row r="789" spans="23:27" x14ac:dyDescent="0.2">
      <c r="W789" s="203" t="str">
        <f t="shared" ref="W789:W852" si="22">W788</f>
        <v>1w</v>
      </c>
      <c r="X789" s="287">
        <f>_xll.qlCalendarAdvance(Calendar,X788,W789,"f",FALSE)</f>
        <v>44399</v>
      </c>
      <c r="Y789" s="281">
        <f>_xll.qlCalendarAdvance(Calendar,X789,NDays&amp;"D")</f>
        <v>44403</v>
      </c>
      <c r="Z789" s="282">
        <v>9.7539913346536677E-3</v>
      </c>
      <c r="AA789" s="284">
        <v>9.492062126144063E-3</v>
      </c>
    </row>
    <row r="790" spans="23:27" x14ac:dyDescent="0.2">
      <c r="W790" s="203" t="str">
        <f t="shared" si="22"/>
        <v>1w</v>
      </c>
      <c r="X790" s="287">
        <f>_xll.qlCalendarAdvance(Calendar,X789,W790,"f",FALSE)</f>
        <v>44406</v>
      </c>
      <c r="Y790" s="281">
        <f>_xll.qlCalendarAdvance(Calendar,X790,NDays&amp;"D")</f>
        <v>44410</v>
      </c>
      <c r="Z790" s="282">
        <v>9.7924922758158249E-3</v>
      </c>
      <c r="AA790" s="284">
        <v>9.5305760220565361E-3</v>
      </c>
    </row>
    <row r="791" spans="23:27" x14ac:dyDescent="0.2">
      <c r="W791" s="203" t="str">
        <f t="shared" si="22"/>
        <v>1w</v>
      </c>
      <c r="X791" s="287">
        <f>_xll.qlCalendarAdvance(Calendar,X790,W791,"f",FALSE)</f>
        <v>44413</v>
      </c>
      <c r="Y791" s="281">
        <f>_xll.qlCalendarAdvance(Calendar,X791,NDays&amp;"D")</f>
        <v>44417</v>
      </c>
      <c r="Z791" s="282">
        <v>9.8309769596442425E-3</v>
      </c>
      <c r="AA791" s="284">
        <v>9.5690733281195151E-3</v>
      </c>
    </row>
    <row r="792" spans="23:27" x14ac:dyDescent="0.2">
      <c r="W792" s="203" t="str">
        <f t="shared" si="22"/>
        <v>1w</v>
      </c>
      <c r="X792" s="287">
        <f>_xll.qlCalendarAdvance(Calendar,X791,W792,"f",FALSE)</f>
        <v>44420</v>
      </c>
      <c r="Y792" s="281">
        <f>_xll.qlCalendarAdvance(Calendar,X792,NDays&amp;"D")</f>
        <v>44424</v>
      </c>
      <c r="Z792" s="282">
        <v>9.8694453856549586E-3</v>
      </c>
      <c r="AA792" s="284">
        <v>9.6075540444129359E-3</v>
      </c>
    </row>
    <row r="793" spans="23:27" x14ac:dyDescent="0.2">
      <c r="W793" s="203" t="str">
        <f t="shared" si="22"/>
        <v>1w</v>
      </c>
      <c r="X793" s="287">
        <f>_xll.qlCalendarAdvance(Calendar,X792,W793,"f",FALSE)</f>
        <v>44427</v>
      </c>
      <c r="Y793" s="281">
        <f>_xll.qlCalendarAdvance(Calendar,X793,NDays&amp;"D")</f>
        <v>44431</v>
      </c>
      <c r="Z793" s="282">
        <v>9.9107772016489154E-3</v>
      </c>
      <c r="AA793" s="284">
        <v>9.6460181708568626E-3</v>
      </c>
    </row>
    <row r="794" spans="23:27" x14ac:dyDescent="0.2">
      <c r="W794" s="203" t="str">
        <f t="shared" si="22"/>
        <v>1w</v>
      </c>
      <c r="X794" s="287">
        <f>_xll.qlCalendarAdvance(Calendar,X793,W794,"f",FALSE)</f>
        <v>44434</v>
      </c>
      <c r="Y794" s="281">
        <f>_xll.qlCalendarAdvance(Calendar,X794,NDays&amp;"D")</f>
        <v>44439</v>
      </c>
      <c r="Z794" s="282">
        <v>9.9489434904642803E-3</v>
      </c>
      <c r="AA794" s="284">
        <v>9.6899568582653473E-3</v>
      </c>
    </row>
    <row r="795" spans="23:27" x14ac:dyDescent="0.2">
      <c r="W795" s="203" t="str">
        <f t="shared" si="22"/>
        <v>1w</v>
      </c>
      <c r="X795" s="287">
        <f>_xll.qlCalendarAdvance(Calendar,X794,W795,"f",FALSE)</f>
        <v>44441</v>
      </c>
      <c r="Y795" s="281">
        <f>_xll.qlCalendarAdvance(Calendar,X795,NDays&amp;"D")</f>
        <v>44445</v>
      </c>
      <c r="Z795" s="282">
        <v>9.9818737083249617E-3</v>
      </c>
      <c r="AA795" s="284">
        <v>9.7228966540363615E-3</v>
      </c>
    </row>
    <row r="796" spans="23:27" x14ac:dyDescent="0.2">
      <c r="W796" s="203" t="str">
        <f t="shared" si="22"/>
        <v>1w</v>
      </c>
      <c r="X796" s="287">
        <f>_xll.qlCalendarAdvance(Calendar,X795,W796,"f",FALSE)</f>
        <v>44448</v>
      </c>
      <c r="Y796" s="281">
        <f>_xll.qlCalendarAdvance(Calendar,X796,NDays&amp;"D")</f>
        <v>44452</v>
      </c>
      <c r="Z796" s="282">
        <v>1.0020277194113315E-2</v>
      </c>
      <c r="AA796" s="284">
        <v>9.7613110108518697E-3</v>
      </c>
    </row>
    <row r="797" spans="23:27" x14ac:dyDescent="0.2">
      <c r="W797" s="203" t="str">
        <f t="shared" si="22"/>
        <v>1w</v>
      </c>
      <c r="X797" s="287">
        <f>_xll.qlCalendarAdvance(Calendar,X796,W797,"f",FALSE)</f>
        <v>44455</v>
      </c>
      <c r="Y797" s="281">
        <f>_xll.qlCalendarAdvance(Calendar,X797,NDays&amp;"D")</f>
        <v>44460</v>
      </c>
      <c r="Z797" s="282">
        <v>1.0064146977218877E-2</v>
      </c>
      <c r="AA797" s="284">
        <v>9.8051928187992132E-3</v>
      </c>
    </row>
    <row r="798" spans="23:27" x14ac:dyDescent="0.2">
      <c r="W798" s="203" t="str">
        <f t="shared" si="22"/>
        <v>1w</v>
      </c>
      <c r="X798" s="287">
        <f>_xll.qlCalendarAdvance(Calendar,X797,W798,"f",FALSE)</f>
        <v>44463</v>
      </c>
      <c r="Y798" s="281">
        <f>_xll.qlCalendarAdvance(Calendar,X798,NDays&amp;"D")</f>
        <v>44467</v>
      </c>
      <c r="Z798" s="282">
        <v>1.0105394725612449E-2</v>
      </c>
      <c r="AA798" s="284">
        <v>9.8435716258915562E-3</v>
      </c>
    </row>
    <row r="799" spans="23:27" x14ac:dyDescent="0.2">
      <c r="W799" s="203" t="str">
        <f t="shared" si="22"/>
        <v>1w</v>
      </c>
      <c r="X799" s="287">
        <f>_xll.qlCalendarAdvance(Calendar,X798,W799,"f",FALSE)</f>
        <v>44470</v>
      </c>
      <c r="Y799" s="281">
        <f>_xll.qlCalendarAdvance(Calendar,X799,NDays&amp;"D")</f>
        <v>44474</v>
      </c>
      <c r="Z799" s="282">
        <v>1.0143747010235354E-2</v>
      </c>
      <c r="AA799" s="284">
        <v>9.881933843134405E-3</v>
      </c>
    </row>
    <row r="800" spans="23:27" x14ac:dyDescent="0.2">
      <c r="W800" s="203" t="str">
        <f t="shared" si="22"/>
        <v>1w</v>
      </c>
      <c r="X800" s="287">
        <f>_xll.qlCalendarAdvance(Calendar,X799,W800,"f",FALSE)</f>
        <v>44477</v>
      </c>
      <c r="Y800" s="281">
        <f>_xll.qlCalendarAdvance(Calendar,X800,NDays&amp;"D")</f>
        <v>44482</v>
      </c>
      <c r="Z800" s="282">
        <v>1.0182083033091543E-2</v>
      </c>
      <c r="AA800" s="284">
        <v>9.9257560629073538E-3</v>
      </c>
    </row>
    <row r="801" spans="23:27" x14ac:dyDescent="0.2">
      <c r="W801" s="203" t="str">
        <f t="shared" si="22"/>
        <v>1w</v>
      </c>
      <c r="X801" s="287">
        <f>_xll.qlCalendarAdvance(Calendar,X800,W801,"f",FALSE)</f>
        <v>44484</v>
      </c>
      <c r="Y801" s="281">
        <f>_xll.qlCalendarAdvance(Calendar,X801,NDays&amp;"D")</f>
        <v>44488</v>
      </c>
      <c r="Z801" s="282">
        <v>1.0220402793695318E-2</v>
      </c>
      <c r="AA801" s="284">
        <v>9.9586085078318121E-3</v>
      </c>
    </row>
    <row r="802" spans="23:27" x14ac:dyDescent="0.2">
      <c r="W802" s="203" t="str">
        <f t="shared" si="22"/>
        <v>1w</v>
      </c>
      <c r="X802" s="287">
        <f>_xll.qlCalendarAdvance(Calendar,X801,W802,"f",FALSE)</f>
        <v>44491</v>
      </c>
      <c r="Y802" s="281">
        <f>_xll.qlCalendarAdvance(Calendar,X802,NDays&amp;"D")</f>
        <v>44495</v>
      </c>
      <c r="Z802" s="282">
        <v>1.0258706291565325E-2</v>
      </c>
      <c r="AA802" s="284">
        <v>9.9969209554462424E-3</v>
      </c>
    </row>
    <row r="803" spans="23:27" x14ac:dyDescent="0.2">
      <c r="W803" s="203" t="str">
        <f t="shared" si="22"/>
        <v>1w</v>
      </c>
      <c r="X803" s="287">
        <f>_xll.qlCalendarAdvance(Calendar,X802,W803,"f",FALSE)</f>
        <v>44498</v>
      </c>
      <c r="Y803" s="281">
        <f>_xll.qlCalendarAdvance(Calendar,X803,NDays&amp;"D")</f>
        <v>44502</v>
      </c>
      <c r="Z803" s="282">
        <v>1.0296993526214996E-2</v>
      </c>
      <c r="AA803" s="284">
        <v>1.0038091499380286E-2</v>
      </c>
    </row>
    <row r="804" spans="23:27" x14ac:dyDescent="0.2">
      <c r="W804" s="203" t="str">
        <f t="shared" si="22"/>
        <v>1w</v>
      </c>
      <c r="X804" s="287">
        <f>_xll.qlCalendarAdvance(Calendar,X803,W804,"f",FALSE)</f>
        <v>44505</v>
      </c>
      <c r="Y804" s="281">
        <f>_xll.qlCalendarAdvance(Calendar,X804,NDays&amp;"D")</f>
        <v>44509</v>
      </c>
      <c r="Z804" s="282">
        <v>1.0335264497162978E-2</v>
      </c>
      <c r="AA804" s="284">
        <v>1.007349608072694E-2</v>
      </c>
    </row>
    <row r="805" spans="23:27" x14ac:dyDescent="0.2">
      <c r="W805" s="203" t="str">
        <f t="shared" si="22"/>
        <v>1w</v>
      </c>
      <c r="X805" s="287">
        <f>_xll.qlCalendarAdvance(Calendar,X804,W805,"f",FALSE)</f>
        <v>44512</v>
      </c>
      <c r="Y805" s="281">
        <f>_xll.qlCalendarAdvance(Calendar,X805,NDays&amp;"D")</f>
        <v>44516</v>
      </c>
      <c r="Z805" s="282">
        <v>1.0373519203925308E-2</v>
      </c>
      <c r="AA805" s="284">
        <v>1.011175875855308E-2</v>
      </c>
    </row>
    <row r="806" spans="23:27" x14ac:dyDescent="0.2">
      <c r="W806" s="203" t="str">
        <f t="shared" si="22"/>
        <v>1w</v>
      </c>
      <c r="X806" s="287">
        <f>_xll.qlCalendarAdvance(Calendar,X805,W806,"f",FALSE)</f>
        <v>44519</v>
      </c>
      <c r="Y806" s="281">
        <f>_xll.qlCalendarAdvance(Calendar,X806,NDays&amp;"D")</f>
        <v>44524</v>
      </c>
      <c r="Z806" s="282">
        <v>1.0417218952847404E-2</v>
      </c>
      <c r="AA806" s="284">
        <v>1.0155467219004066E-2</v>
      </c>
    </row>
    <row r="807" spans="23:27" x14ac:dyDescent="0.2">
      <c r="W807" s="203" t="str">
        <f t="shared" si="22"/>
        <v>1w</v>
      </c>
      <c r="X807" s="287">
        <f>_xll.qlCalendarAdvance(Calendar,X806,W807,"f",FALSE)</f>
        <v>44526</v>
      </c>
      <c r="Y807" s="281">
        <f>_xll.qlCalendarAdvance(Calendar,X807,NDays&amp;"D")</f>
        <v>44530</v>
      </c>
      <c r="Z807" s="282">
        <v>1.0444222910160228E-2</v>
      </c>
      <c r="AA807" s="284">
        <v>1.0188234344417069E-2</v>
      </c>
    </row>
    <row r="808" spans="23:27" x14ac:dyDescent="0.2">
      <c r="W808" s="203" t="str">
        <f t="shared" si="22"/>
        <v>1w</v>
      </c>
      <c r="X808" s="287">
        <f>_xll.qlCalendarAdvance(Calendar,X807,W808,"f",FALSE)</f>
        <v>44533</v>
      </c>
      <c r="Y808" s="281">
        <f>_xll.qlCalendarAdvance(Calendar,X808,NDays&amp;"D")</f>
        <v>44537</v>
      </c>
      <c r="Z808" s="282">
        <v>1.0482428927145016E-2</v>
      </c>
      <c r="AA808" s="284">
        <v>1.0226447252454918E-2</v>
      </c>
    </row>
    <row r="809" spans="23:27" x14ac:dyDescent="0.2">
      <c r="W809" s="203" t="str">
        <f t="shared" si="22"/>
        <v>1w</v>
      </c>
      <c r="X809" s="287">
        <f>_xll.qlCalendarAdvance(Calendar,X808,W809,"f",FALSE)</f>
        <v>44540</v>
      </c>
      <c r="Y809" s="281">
        <f>_xll.qlCalendarAdvance(Calendar,X809,NDays&amp;"D")</f>
        <v>44544</v>
      </c>
      <c r="Z809" s="282">
        <v>1.0520618670943449E-2</v>
      </c>
      <c r="AA809" s="284">
        <v>1.0264643570563337E-2</v>
      </c>
    </row>
    <row r="810" spans="23:27" x14ac:dyDescent="0.2">
      <c r="W810" s="203" t="str">
        <f t="shared" si="22"/>
        <v>1w</v>
      </c>
      <c r="X810" s="287">
        <f>_xll.qlCalendarAdvance(Calendar,X809,W810,"f",FALSE)</f>
        <v>44547</v>
      </c>
      <c r="Y810" s="281">
        <f>_xll.qlCalendarAdvance(Calendar,X810,NDays&amp;"D")</f>
        <v>44551</v>
      </c>
      <c r="Z810" s="282">
        <v>1.0561670423915547E-2</v>
      </c>
      <c r="AA810" s="284">
        <v>1.0302823298662389E-2</v>
      </c>
    </row>
    <row r="811" spans="23:27" x14ac:dyDescent="0.2">
      <c r="W811" s="203" t="str">
        <f t="shared" si="22"/>
        <v>1w</v>
      </c>
      <c r="X811" s="287">
        <f>_xll.qlCalendarAdvance(Calendar,X810,W811,"f",FALSE)</f>
        <v>44554</v>
      </c>
      <c r="Y811" s="281">
        <f>_xll.qlCalendarAdvance(Calendar,X811,NDays&amp;"D")</f>
        <v>44560</v>
      </c>
      <c r="Z811" s="282">
        <v>1.0610726632717933E-2</v>
      </c>
      <c r="AA811" s="284">
        <v>1.0363382770771423E-2</v>
      </c>
    </row>
    <row r="812" spans="23:27" x14ac:dyDescent="0.2">
      <c r="W812" s="203" t="str">
        <f t="shared" si="22"/>
        <v>1w</v>
      </c>
      <c r="X812" s="287">
        <f>_xll.qlCalendarAdvance(Calendar,X811,W812,"f",FALSE)</f>
        <v>44565</v>
      </c>
      <c r="Y812" s="281">
        <f>_xll.qlCalendarAdvance(Calendar,X812,NDays&amp;"D")</f>
        <v>44567</v>
      </c>
      <c r="Z812" s="282">
        <v>1.0645984675341502E-2</v>
      </c>
      <c r="AA812" s="284">
        <v>1.0390028951841046E-2</v>
      </c>
    </row>
    <row r="813" spans="23:27" x14ac:dyDescent="0.2">
      <c r="W813" s="203" t="str">
        <f t="shared" si="22"/>
        <v>1w</v>
      </c>
      <c r="X813" s="287">
        <f>_xll.qlCalendarAdvance(Calendar,X812,W813,"f",FALSE)</f>
        <v>44572</v>
      </c>
      <c r="Y813" s="281">
        <f>_xll.qlCalendarAdvance(Calendar,X813,NDays&amp;"D")</f>
        <v>44574</v>
      </c>
      <c r="Z813" s="282">
        <v>1.0684104671570438E-2</v>
      </c>
      <c r="AA813" s="284">
        <v>1.042815417018339E-2</v>
      </c>
    </row>
    <row r="814" spans="23:27" x14ac:dyDescent="0.2">
      <c r="W814" s="203" t="str">
        <f t="shared" si="22"/>
        <v>1w</v>
      </c>
      <c r="X814" s="287">
        <f>_xll.qlCalendarAdvance(Calendar,X813,W814,"f",FALSE)</f>
        <v>44579</v>
      </c>
      <c r="Y814" s="281">
        <f>_xll.qlCalendarAdvance(Calendar,X814,NDays&amp;"D")</f>
        <v>44581</v>
      </c>
      <c r="Z814" s="282">
        <v>1.0722208392121679E-2</v>
      </c>
      <c r="AA814" s="284">
        <v>1.0466262798516368E-2</v>
      </c>
    </row>
    <row r="815" spans="23:27" x14ac:dyDescent="0.2">
      <c r="W815" s="203" t="str">
        <f t="shared" si="22"/>
        <v>1w</v>
      </c>
      <c r="X815" s="287">
        <f>_xll.qlCalendarAdvance(Calendar,X814,W815,"f",FALSE)</f>
        <v>44586</v>
      </c>
      <c r="Y815" s="281">
        <f>_xll.qlCalendarAdvance(Calendar,X815,NDays&amp;"D")</f>
        <v>44588</v>
      </c>
      <c r="Z815" s="282">
        <v>1.0760295836523603E-2</v>
      </c>
      <c r="AA815" s="284">
        <v>1.0504354836919916E-2</v>
      </c>
    </row>
    <row r="816" spans="23:27" x14ac:dyDescent="0.2">
      <c r="W816" s="203" t="str">
        <f t="shared" si="22"/>
        <v>1w</v>
      </c>
      <c r="X816" s="287">
        <f>_xll.qlCalendarAdvance(Calendar,X815,W816,"f",FALSE)</f>
        <v>44593</v>
      </c>
      <c r="Y816" s="281">
        <f>_xll.qlCalendarAdvance(Calendar,X816,NDays&amp;"D")</f>
        <v>44595</v>
      </c>
      <c r="Z816" s="282">
        <v>1.080412320682504E-2</v>
      </c>
      <c r="AA816" s="284">
        <v>1.0542430285314097E-2</v>
      </c>
    </row>
    <row r="817" spans="23:27" x14ac:dyDescent="0.2">
      <c r="W817" s="203" t="str">
        <f t="shared" si="22"/>
        <v>1w</v>
      </c>
      <c r="X817" s="287">
        <f>_xll.qlCalendarAdvance(Calendar,X816,W817,"f",FALSE)</f>
        <v>44600</v>
      </c>
      <c r="Y817" s="281">
        <f>_xll.qlCalendarAdvance(Calendar,X817,NDays&amp;"D")</f>
        <v>44602</v>
      </c>
      <c r="Z817" s="282">
        <v>1.0833543896709973E-2</v>
      </c>
      <c r="AA817" s="284">
        <v>1.0589109416494491E-2</v>
      </c>
    </row>
    <row r="818" spans="23:27" x14ac:dyDescent="0.2">
      <c r="W818" s="203" t="str">
        <f t="shared" si="22"/>
        <v>1w</v>
      </c>
      <c r="X818" s="287">
        <f>_xll.qlCalendarAdvance(Calendar,X817,W818,"f",FALSE)</f>
        <v>44607</v>
      </c>
      <c r="Y818" s="281">
        <f>_xll.qlCalendarAdvance(Calendar,X818,NDays&amp;"D")</f>
        <v>44609</v>
      </c>
      <c r="Z818" s="282">
        <v>1.0871582527371471E-2</v>
      </c>
      <c r="AA818" s="284">
        <v>1.0618531412234233E-2</v>
      </c>
    </row>
    <row r="819" spans="23:27" x14ac:dyDescent="0.2">
      <c r="W819" s="203" t="str">
        <f t="shared" si="22"/>
        <v>1w</v>
      </c>
      <c r="X819" s="287">
        <f>_xll.qlCalendarAdvance(Calendar,X818,W819,"f",FALSE)</f>
        <v>44614</v>
      </c>
      <c r="Y819" s="281">
        <f>_xll.qlCalendarAdvance(Calendar,X819,NDays&amp;"D")</f>
        <v>44616</v>
      </c>
      <c r="Z819" s="282">
        <v>1.0909604876520202E-2</v>
      </c>
      <c r="AA819" s="284">
        <v>1.0656557090680252E-2</v>
      </c>
    </row>
    <row r="820" spans="23:27" x14ac:dyDescent="0.2">
      <c r="W820" s="203" t="str">
        <f t="shared" si="22"/>
        <v>1w</v>
      </c>
      <c r="X820" s="287">
        <f>_xll.qlCalendarAdvance(Calendar,X819,W820,"f",FALSE)</f>
        <v>44621</v>
      </c>
      <c r="Y820" s="281">
        <f>_xll.qlCalendarAdvance(Calendar,X820,NDays&amp;"D")</f>
        <v>44623</v>
      </c>
      <c r="Z820" s="282">
        <v>1.095624498244731E-2</v>
      </c>
      <c r="AA820" s="284">
        <v>1.069456617919684E-2</v>
      </c>
    </row>
    <row r="821" spans="23:27" x14ac:dyDescent="0.2">
      <c r="W821" s="203" t="str">
        <f t="shared" si="22"/>
        <v>1w</v>
      </c>
      <c r="X821" s="287">
        <f>_xll.qlCalendarAdvance(Calendar,X820,W821,"f",FALSE)</f>
        <v>44628</v>
      </c>
      <c r="Y821" s="281">
        <f>_xll.qlCalendarAdvance(Calendar,X821,NDays&amp;"D")</f>
        <v>44630</v>
      </c>
      <c r="Z821" s="282">
        <v>1.0994234747485428E-2</v>
      </c>
      <c r="AA821" s="284">
        <v>1.0732558677704063E-2</v>
      </c>
    </row>
    <row r="822" spans="23:27" x14ac:dyDescent="0.2">
      <c r="W822" s="203" t="str">
        <f t="shared" si="22"/>
        <v>1w</v>
      </c>
      <c r="X822" s="287">
        <f>_xll.qlCalendarAdvance(Calendar,X821,W822,"f",FALSE)</f>
        <v>44635</v>
      </c>
      <c r="Y822" s="281">
        <f>_xll.qlCalendarAdvance(Calendar,X822,NDays&amp;"D")</f>
        <v>44637</v>
      </c>
      <c r="Z822" s="282">
        <v>1.1032205319667547E-2</v>
      </c>
      <c r="AA822" s="284">
        <v>1.0770534586201919E-2</v>
      </c>
    </row>
    <row r="823" spans="23:27" x14ac:dyDescent="0.2">
      <c r="W823" s="203" t="str">
        <f t="shared" si="22"/>
        <v>1w</v>
      </c>
      <c r="X823" s="287">
        <f>_xll.qlCalendarAdvance(Calendar,X822,W823,"f",FALSE)</f>
        <v>44642</v>
      </c>
      <c r="Y823" s="281">
        <f>_xll.qlCalendarAdvance(Calendar,X823,NDays&amp;"D")</f>
        <v>44644</v>
      </c>
      <c r="Z823" s="282">
        <v>1.107014209653703E-2</v>
      </c>
      <c r="AA823" s="284">
        <v>1.0808493904530536E-2</v>
      </c>
    </row>
    <row r="824" spans="23:27" x14ac:dyDescent="0.2">
      <c r="W824" s="203" t="str">
        <f t="shared" si="22"/>
        <v>1w</v>
      </c>
      <c r="X824" s="287">
        <f>_xll.qlCalendarAdvance(Calendar,X823,W824,"f",FALSE)</f>
        <v>44649</v>
      </c>
      <c r="Y824" s="281">
        <f>_xll.qlCalendarAdvance(Calendar,X824,NDays&amp;"D")</f>
        <v>44651</v>
      </c>
      <c r="Z824" s="282">
        <v>1.1105159478510613E-2</v>
      </c>
      <c r="AA824" s="284">
        <v>1.0846436633089596E-2</v>
      </c>
    </row>
    <row r="825" spans="23:27" x14ac:dyDescent="0.2">
      <c r="W825" s="203" t="str">
        <f t="shared" si="22"/>
        <v>1w</v>
      </c>
      <c r="X825" s="287">
        <f>_xll.qlCalendarAdvance(Calendar,X824,W825,"f",FALSE)</f>
        <v>44656</v>
      </c>
      <c r="Y825" s="281">
        <f>_xll.qlCalendarAdvance(Calendar,X825,NDays&amp;"D")</f>
        <v>44658</v>
      </c>
      <c r="Z825" s="282">
        <v>1.1142983578669384E-2</v>
      </c>
      <c r="AA825" s="284">
        <v>1.0884362771479417E-2</v>
      </c>
    </row>
    <row r="826" spans="23:27" x14ac:dyDescent="0.2">
      <c r="W826" s="203" t="str">
        <f t="shared" si="22"/>
        <v>1w</v>
      </c>
      <c r="X826" s="287">
        <f>_xll.qlCalendarAdvance(Calendar,X825,W826,"f",FALSE)</f>
        <v>44663</v>
      </c>
      <c r="Y826" s="281">
        <f>_xll.qlCalendarAdvance(Calendar,X826,NDays&amp;"D")</f>
        <v>44665</v>
      </c>
      <c r="Z826" s="282">
        <v>1.1180723070630783E-2</v>
      </c>
      <c r="AA826" s="284">
        <v>1.0933764324231987E-2</v>
      </c>
    </row>
    <row r="827" spans="23:27" x14ac:dyDescent="0.2">
      <c r="W827" s="203" t="str">
        <f t="shared" si="22"/>
        <v>1w</v>
      </c>
      <c r="X827" s="287">
        <f>_xll.qlCalendarAdvance(Calendar,X826,W827,"f",FALSE)</f>
        <v>44670</v>
      </c>
      <c r="Y827" s="281">
        <f>_xll.qlCalendarAdvance(Calendar,X827,NDays&amp;"D")</f>
        <v>44672</v>
      </c>
      <c r="Z827" s="282">
        <v>1.1218360237034921E-2</v>
      </c>
      <c r="AA827" s="284">
        <v>1.096016527823096E-2</v>
      </c>
    </row>
    <row r="828" spans="23:27" x14ac:dyDescent="0.2">
      <c r="W828" s="203" t="str">
        <f t="shared" si="22"/>
        <v>1w</v>
      </c>
      <c r="X828" s="287">
        <f>_xll.qlCalendarAdvance(Calendar,X827,W828,"f",FALSE)</f>
        <v>44677</v>
      </c>
      <c r="Y828" s="281">
        <f>_xll.qlCalendarAdvance(Calendar,X828,NDays&amp;"D")</f>
        <v>44679</v>
      </c>
      <c r="Z828" s="282">
        <v>1.12587057077276E-2</v>
      </c>
      <c r="AA828" s="284">
        <v>1.1018152814723514E-2</v>
      </c>
    </row>
    <row r="829" spans="23:27" x14ac:dyDescent="0.2">
      <c r="W829" s="203" t="str">
        <f t="shared" si="22"/>
        <v>1w</v>
      </c>
      <c r="X829" s="287">
        <f>_xll.qlCalendarAdvance(Calendar,X828,W829,"f",FALSE)</f>
        <v>44687</v>
      </c>
      <c r="Y829" s="281">
        <f>_xll.qlCalendarAdvance(Calendar,X829,NDays&amp;"D")</f>
        <v>44691</v>
      </c>
      <c r="Z829" s="282">
        <v>1.1322666911809436E-2</v>
      </c>
      <c r="AA829" s="284">
        <v>1.1062933966510258E-2</v>
      </c>
    </row>
    <row r="830" spans="23:27" x14ac:dyDescent="0.2">
      <c r="W830" s="203" t="str">
        <f t="shared" si="22"/>
        <v>1w</v>
      </c>
      <c r="X830" s="287">
        <f>_xll.qlCalendarAdvance(Calendar,X829,W830,"f",FALSE)</f>
        <v>44694</v>
      </c>
      <c r="Y830" s="281">
        <f>_xll.qlCalendarAdvance(Calendar,X830,NDays&amp;"D")</f>
        <v>44698</v>
      </c>
      <c r="Z830" s="282">
        <v>1.1359753929884286E-2</v>
      </c>
      <c r="AA830" s="284">
        <v>1.1100765304652427E-2</v>
      </c>
    </row>
    <row r="831" spans="23:27" x14ac:dyDescent="0.2">
      <c r="W831" s="203" t="str">
        <f t="shared" si="22"/>
        <v>1w</v>
      </c>
      <c r="X831" s="287">
        <f>_xll.qlCalendarAdvance(Calendar,X830,W831,"f",FALSE)</f>
        <v>44701</v>
      </c>
      <c r="Y831" s="281">
        <f>_xll.qlCalendarAdvance(Calendar,X831,NDays&amp;"D")</f>
        <v>44705</v>
      </c>
      <c r="Z831" s="282">
        <v>1.1396654426102914E-2</v>
      </c>
      <c r="AA831" s="284">
        <v>1.1138580052865166E-2</v>
      </c>
    </row>
    <row r="832" spans="23:27" x14ac:dyDescent="0.2">
      <c r="W832" s="203" t="str">
        <f t="shared" si="22"/>
        <v>1w</v>
      </c>
      <c r="X832" s="287">
        <f>_xll.qlCalendarAdvance(Calendar,X831,W832,"f",FALSE)</f>
        <v>44708</v>
      </c>
      <c r="Y832" s="281">
        <f>_xll.qlCalendarAdvance(Calendar,X832,NDays&amp;"D")</f>
        <v>44713</v>
      </c>
      <c r="Z832" s="282">
        <v>1.1438575541256915E-2</v>
      </c>
      <c r="AA832" s="284">
        <v>1.1181776593609527E-2</v>
      </c>
    </row>
    <row r="833" spans="23:27" x14ac:dyDescent="0.2">
      <c r="W833" s="203" t="str">
        <f t="shared" si="22"/>
        <v>1w</v>
      </c>
      <c r="X833" s="287">
        <f>_xll.qlCalendarAdvance(Calendar,X832,W833,"f",FALSE)</f>
        <v>44715</v>
      </c>
      <c r="Y833" s="281">
        <f>_xll.qlCalendarAdvance(Calendar,X833,NDays&amp;"D")</f>
        <v>44719</v>
      </c>
      <c r="Z833" s="282">
        <v>1.1469825735706469E-2</v>
      </c>
      <c r="AA833" s="284">
        <v>1.1214159779022737E-2</v>
      </c>
    </row>
    <row r="834" spans="23:27" x14ac:dyDescent="0.2">
      <c r="W834" s="203" t="str">
        <f t="shared" si="22"/>
        <v>1w</v>
      </c>
      <c r="X834" s="287">
        <f>_xll.qlCalendarAdvance(Calendar,X833,W834,"f",FALSE)</f>
        <v>44722</v>
      </c>
      <c r="Y834" s="281">
        <f>_xll.qlCalendarAdvance(Calendar,X834,NDays&amp;"D")</f>
        <v>44726</v>
      </c>
      <c r="Z834" s="282">
        <v>1.1506062033876363E-2</v>
      </c>
      <c r="AA834" s="284">
        <v>1.1251877108442443E-2</v>
      </c>
    </row>
    <row r="835" spans="23:27" x14ac:dyDescent="0.2">
      <c r="W835" s="203" t="str">
        <f t="shared" si="22"/>
        <v>1w</v>
      </c>
      <c r="X835" s="287">
        <f>_xll.qlCalendarAdvance(Calendar,X834,W835,"f",FALSE)</f>
        <v>44729</v>
      </c>
      <c r="Y835" s="281">
        <f>_xll.qlCalendarAdvance(Calendar,X835,NDays&amp;"D")</f>
        <v>44733</v>
      </c>
      <c r="Z835" s="282">
        <v>1.1542051933689755E-2</v>
      </c>
      <c r="AA835" s="284">
        <v>1.1289363038882172E-2</v>
      </c>
    </row>
    <row r="836" spans="23:27" x14ac:dyDescent="0.2">
      <c r="W836" s="203" t="str">
        <f t="shared" si="22"/>
        <v>1w</v>
      </c>
      <c r="X836" s="287">
        <f>_xll.qlCalendarAdvance(Calendar,X835,W836,"f",FALSE)</f>
        <v>44736</v>
      </c>
      <c r="Y836" s="281">
        <f>_xll.qlCalendarAdvance(Calendar,X836,NDays&amp;"D")</f>
        <v>44740</v>
      </c>
      <c r="Z836" s="282">
        <v>1.1577795198448159E-2</v>
      </c>
      <c r="AA836" s="284">
        <v>1.1326602729013757E-2</v>
      </c>
    </row>
    <row r="837" spans="23:27" x14ac:dyDescent="0.2">
      <c r="W837" s="203" t="str">
        <f t="shared" si="22"/>
        <v>1w</v>
      </c>
      <c r="X837" s="287">
        <f>_xll.qlCalendarAdvance(Calendar,X836,W837,"f",FALSE)</f>
        <v>44743</v>
      </c>
      <c r="Y837" s="281">
        <f>_xll.qlCalendarAdvance(Calendar,X837,NDays&amp;"D")</f>
        <v>44747</v>
      </c>
      <c r="Z837" s="282">
        <v>1.1613291821405669E-2</v>
      </c>
      <c r="AA837" s="284">
        <v>1.1363596178677327E-2</v>
      </c>
    </row>
    <row r="838" spans="23:27" x14ac:dyDescent="0.2">
      <c r="W838" s="203" t="str">
        <f t="shared" si="22"/>
        <v>1w</v>
      </c>
      <c r="X838" s="287">
        <f>_xll.qlCalendarAdvance(Calendar,X837,W838,"f",FALSE)</f>
        <v>44750</v>
      </c>
      <c r="Y838" s="281">
        <f>_xll.qlCalendarAdvance(Calendar,X838,NDays&amp;"D")</f>
        <v>44754</v>
      </c>
      <c r="Z838" s="282">
        <v>1.164854179586503E-2</v>
      </c>
      <c r="AA838" s="284">
        <v>1.1400343387792944E-2</v>
      </c>
    </row>
    <row r="839" spans="23:27" x14ac:dyDescent="0.2">
      <c r="W839" s="203" t="str">
        <f t="shared" si="22"/>
        <v>1w</v>
      </c>
      <c r="X839" s="287">
        <f>_xll.qlCalendarAdvance(Calendar,X838,W839,"f",FALSE)</f>
        <v>44757</v>
      </c>
      <c r="Y839" s="281">
        <f>_xll.qlCalendarAdvance(Calendar,X839,NDays&amp;"D")</f>
        <v>44762</v>
      </c>
      <c r="Z839" s="282">
        <v>1.1683545115175043E-2</v>
      </c>
      <c r="AA839" s="284">
        <v>1.1442038679092548E-2</v>
      </c>
    </row>
    <row r="840" spans="23:27" x14ac:dyDescent="0.2">
      <c r="W840" s="203" t="str">
        <f t="shared" si="22"/>
        <v>1w</v>
      </c>
      <c r="X840" s="287">
        <f>_xll.qlCalendarAdvance(Calendar,X839,W840,"f",FALSE)</f>
        <v>44764</v>
      </c>
      <c r="Y840" s="281">
        <f>_xll.qlCalendarAdvance(Calendar,X840,NDays&amp;"D")</f>
        <v>44768</v>
      </c>
      <c r="Z840" s="282">
        <v>1.1718301772729686E-2</v>
      </c>
      <c r="AA840" s="284">
        <v>1.1473099084140514E-2</v>
      </c>
    </row>
    <row r="841" spans="23:27" x14ac:dyDescent="0.2">
      <c r="W841" s="203" t="str">
        <f t="shared" si="22"/>
        <v>1w</v>
      </c>
      <c r="X841" s="287">
        <f>_xll.qlCalendarAdvance(Calendar,X840,W841,"f",FALSE)</f>
        <v>44771</v>
      </c>
      <c r="Y841" s="281">
        <f>_xll.qlCalendarAdvance(Calendar,X841,NDays&amp;"D")</f>
        <v>44775</v>
      </c>
      <c r="Z841" s="282">
        <v>1.1752811761969861E-2</v>
      </c>
      <c r="AA841" s="284">
        <v>1.1509107571292532E-2</v>
      </c>
    </row>
    <row r="842" spans="23:27" x14ac:dyDescent="0.2">
      <c r="W842" s="203" t="str">
        <f t="shared" si="22"/>
        <v>1w</v>
      </c>
      <c r="X842" s="287">
        <f>_xll.qlCalendarAdvance(Calendar,X841,W842,"f",FALSE)</f>
        <v>44778</v>
      </c>
      <c r="Y842" s="281">
        <f>_xll.qlCalendarAdvance(Calendar,X842,NDays&amp;"D")</f>
        <v>44782</v>
      </c>
      <c r="Z842" s="282">
        <v>1.1787075076384252E-2</v>
      </c>
      <c r="AA842" s="284">
        <v>1.1544869817496917E-2</v>
      </c>
    </row>
    <row r="843" spans="23:27" x14ac:dyDescent="0.2">
      <c r="W843" s="203" t="str">
        <f t="shared" si="22"/>
        <v>1w</v>
      </c>
      <c r="X843" s="287">
        <f>_xll.qlCalendarAdvance(Calendar,X842,W843,"f",FALSE)</f>
        <v>44785</v>
      </c>
      <c r="Y843" s="281">
        <f>_xll.qlCalendarAdvance(Calendar,X843,NDays&amp;"D")</f>
        <v>44789</v>
      </c>
      <c r="Z843" s="282">
        <v>1.1821091709507597E-2</v>
      </c>
      <c r="AA843" s="284">
        <v>1.1580385822833605E-2</v>
      </c>
    </row>
    <row r="844" spans="23:27" x14ac:dyDescent="0.2">
      <c r="W844" s="203" t="str">
        <f t="shared" si="22"/>
        <v>1w</v>
      </c>
      <c r="X844" s="287">
        <f>_xll.qlCalendarAdvance(Calendar,X843,W844,"f",FALSE)</f>
        <v>44792</v>
      </c>
      <c r="Y844" s="281">
        <f>_xll.qlCalendarAdvance(Calendar,X844,NDays&amp;"D")</f>
        <v>44796</v>
      </c>
      <c r="Z844" s="282">
        <v>1.1857420574926203E-2</v>
      </c>
      <c r="AA844" s="284">
        <v>1.1615655587222662E-2</v>
      </c>
    </row>
    <row r="845" spans="23:27" x14ac:dyDescent="0.2">
      <c r="W845" s="203" t="str">
        <f t="shared" si="22"/>
        <v>1w</v>
      </c>
      <c r="X845" s="287">
        <f>_xll.qlCalendarAdvance(Calendar,X844,W845,"f",FALSE)</f>
        <v>44799</v>
      </c>
      <c r="Y845" s="281">
        <f>_xll.qlCalendarAdvance(Calendar,X845,NDays&amp;"D")</f>
        <v>44804</v>
      </c>
      <c r="Z845" s="282">
        <v>1.189061224199541E-2</v>
      </c>
      <c r="AA845" s="284">
        <v>1.1655662369669528E-2</v>
      </c>
    </row>
    <row r="846" spans="23:27" x14ac:dyDescent="0.2">
      <c r="W846" s="203" t="str">
        <f t="shared" si="22"/>
        <v>1w</v>
      </c>
      <c r="X846" s="287">
        <f>_xll.qlCalendarAdvance(Calendar,X845,W846,"f",FALSE)</f>
        <v>44806</v>
      </c>
      <c r="Y846" s="281">
        <f>_xll.qlCalendarAdvance(Calendar,X846,NDays&amp;"D")</f>
        <v>44810</v>
      </c>
      <c r="Z846" s="282">
        <v>1.191913405847413E-2</v>
      </c>
      <c r="AA846" s="284">
        <v>1.1685456392758198E-2</v>
      </c>
    </row>
    <row r="847" spans="23:27" x14ac:dyDescent="0.2">
      <c r="W847" s="203" t="str">
        <f t="shared" si="22"/>
        <v>1w</v>
      </c>
      <c r="X847" s="287">
        <f>_xll.qlCalendarAdvance(Calendar,X846,W847,"f",FALSE)</f>
        <v>44813</v>
      </c>
      <c r="Y847" s="281">
        <f>_xll.qlCalendarAdvance(Calendar,X847,NDays&amp;"D")</f>
        <v>44817</v>
      </c>
      <c r="Z847" s="282">
        <v>1.1952180431133119E-2</v>
      </c>
      <c r="AA847" s="284">
        <v>1.1719987433744805E-2</v>
      </c>
    </row>
    <row r="848" spans="23:27" x14ac:dyDescent="0.2">
      <c r="W848" s="203" t="str">
        <f t="shared" si="22"/>
        <v>1w</v>
      </c>
      <c r="X848" s="287">
        <f>_xll.qlCalendarAdvance(Calendar,X847,W848,"f",FALSE)</f>
        <v>44820</v>
      </c>
      <c r="Y848" s="281">
        <f>_xll.qlCalendarAdvance(Calendar,X848,NDays&amp;"D")</f>
        <v>44825</v>
      </c>
      <c r="Z848" s="282">
        <v>1.1984980096487852E-2</v>
      </c>
      <c r="AA848" s="284">
        <v>1.1759149960726134E-2</v>
      </c>
    </row>
    <row r="849" spans="23:27" x14ac:dyDescent="0.2">
      <c r="W849" s="203" t="str">
        <f t="shared" si="22"/>
        <v>1w</v>
      </c>
      <c r="X849" s="287">
        <f>_xll.qlCalendarAdvance(Calendar,X848,W849,"f",FALSE)</f>
        <v>44830</v>
      </c>
      <c r="Y849" s="281">
        <f>_xll.qlCalendarAdvance(Calendar,X849,NDays&amp;"D")</f>
        <v>44832</v>
      </c>
      <c r="Z849" s="282">
        <v>1.2022163329892669E-2</v>
      </c>
      <c r="AA849" s="284">
        <v>1.179315334179698E-2</v>
      </c>
    </row>
    <row r="850" spans="23:27" x14ac:dyDescent="0.2">
      <c r="W850" s="203" t="str">
        <f t="shared" si="22"/>
        <v>1w</v>
      </c>
      <c r="X850" s="287">
        <f>_xll.qlCalendarAdvance(Calendar,X849,W850,"f",FALSE)</f>
        <v>44837</v>
      </c>
      <c r="Y850" s="281">
        <f>_xll.qlCalendarAdvance(Calendar,X850,NDays&amp;"D")</f>
        <v>44839</v>
      </c>
      <c r="Z850" s="282">
        <v>1.2056893203081256E-2</v>
      </c>
      <c r="AA850" s="284">
        <v>1.1826910481440578E-2</v>
      </c>
    </row>
    <row r="851" spans="23:27" x14ac:dyDescent="0.2">
      <c r="W851" s="203" t="str">
        <f t="shared" si="22"/>
        <v>1w</v>
      </c>
      <c r="X851" s="287">
        <f>_xll.qlCalendarAdvance(Calendar,X850,W851,"f",FALSE)</f>
        <v>44845</v>
      </c>
      <c r="Y851" s="281">
        <f>_xll.qlCalendarAdvance(Calendar,X851,NDays&amp;"D")</f>
        <v>44847</v>
      </c>
      <c r="Z851" s="282">
        <v>1.2093453298784284E-2</v>
      </c>
      <c r="AA851" s="284">
        <v>1.1865188549435857E-2</v>
      </c>
    </row>
    <row r="852" spans="23:27" x14ac:dyDescent="0.2">
      <c r="W852" s="203" t="str">
        <f t="shared" si="22"/>
        <v>1w</v>
      </c>
      <c r="X852" s="287">
        <f>_xll.qlCalendarAdvance(Calendar,X851,W852,"f",FALSE)</f>
        <v>44852</v>
      </c>
      <c r="Y852" s="281">
        <f>_xll.qlCalendarAdvance(Calendar,X852,NDays&amp;"D")</f>
        <v>44854</v>
      </c>
      <c r="Z852" s="282">
        <v>1.2125179019501765E-2</v>
      </c>
      <c r="AA852" s="284">
        <v>1.1898418028684077E-2</v>
      </c>
    </row>
    <row r="853" spans="23:27" x14ac:dyDescent="0.2">
      <c r="W853" s="203" t="str">
        <f t="shared" ref="W853:W916" si="23">W852</f>
        <v>1w</v>
      </c>
      <c r="X853" s="287">
        <f>_xll.qlCalendarAdvance(Calendar,X852,W853,"f",FALSE)</f>
        <v>44859</v>
      </c>
      <c r="Y853" s="281">
        <f>_xll.qlCalendarAdvance(Calendar,X853,NDays&amp;"D")</f>
        <v>44861</v>
      </c>
      <c r="Z853" s="282">
        <v>1.2156657995122715E-2</v>
      </c>
      <c r="AA853" s="284">
        <v>1.1931401266345176E-2</v>
      </c>
    </row>
    <row r="854" spans="23:27" x14ac:dyDescent="0.2">
      <c r="W854" s="203" t="str">
        <f t="shared" si="23"/>
        <v>1w</v>
      </c>
      <c r="X854" s="287">
        <f>_xll.qlCalendarAdvance(Calendar,X853,W854,"f",FALSE)</f>
        <v>44866</v>
      </c>
      <c r="Y854" s="281">
        <f>_xll.qlCalendarAdvance(Calendar,X854,NDays&amp;"D")</f>
        <v>44869</v>
      </c>
      <c r="Z854" s="282">
        <v>1.2197103056872051E-2</v>
      </c>
      <c r="AA854" s="284">
        <v>1.197384302253468E-2</v>
      </c>
    </row>
    <row r="855" spans="23:27" x14ac:dyDescent="0.2">
      <c r="W855" s="203" t="str">
        <f t="shared" si="23"/>
        <v>1w</v>
      </c>
      <c r="X855" s="287">
        <f>_xll.qlCalendarAdvance(Calendar,X854,W855,"f",FALSE)</f>
        <v>44873</v>
      </c>
      <c r="Y855" s="281">
        <f>_xll.qlCalendarAdvance(Calendar,X855,NDays&amp;"D")</f>
        <v>44875</v>
      </c>
      <c r="Z855" s="282">
        <v>1.2218875687362695E-2</v>
      </c>
      <c r="AA855" s="284">
        <v>1.1996629016506333E-2</v>
      </c>
    </row>
    <row r="856" spans="23:27" x14ac:dyDescent="0.2">
      <c r="W856" s="203" t="str">
        <f t="shared" si="23"/>
        <v>1w</v>
      </c>
      <c r="X856" s="287">
        <f>_xll.qlCalendarAdvance(Calendar,X855,W856,"f",FALSE)</f>
        <v>44880</v>
      </c>
      <c r="Y856" s="281">
        <f>_xll.qlCalendarAdvance(Calendar,X856,NDays&amp;"D")</f>
        <v>44882</v>
      </c>
      <c r="Z856" s="282">
        <v>1.2249614392238943E-2</v>
      </c>
      <c r="AA856" s="284">
        <v>1.2028873528766582E-2</v>
      </c>
    </row>
    <row r="857" spans="23:27" x14ac:dyDescent="0.2">
      <c r="W857" s="203" t="str">
        <f t="shared" si="23"/>
        <v>1w</v>
      </c>
      <c r="X857" s="287">
        <f>_xll.qlCalendarAdvance(Calendar,X856,W857,"f",FALSE)</f>
        <v>44887</v>
      </c>
      <c r="Y857" s="281">
        <f>_xll.qlCalendarAdvance(Calendar,X857,NDays&amp;"D")</f>
        <v>44890</v>
      </c>
      <c r="Z857" s="282">
        <v>1.2280106328537446E-2</v>
      </c>
      <c r="AA857" s="284">
        <v>1.2070371941632629E-2</v>
      </c>
    </row>
    <row r="858" spans="23:27" x14ac:dyDescent="0.2">
      <c r="W858" s="203" t="str">
        <f t="shared" si="23"/>
        <v>1w</v>
      </c>
      <c r="X858" s="287">
        <f>_xll.qlCalendarAdvance(Calendar,X857,W858,"f",FALSE)</f>
        <v>44894</v>
      </c>
      <c r="Y858" s="281">
        <f>_xll.qlCalendarAdvance(Calendar,X858,NDays&amp;"D")</f>
        <v>44896</v>
      </c>
      <c r="Z858" s="282">
        <v>1.2305702099085103E-2</v>
      </c>
      <c r="AA858" s="284">
        <v>1.2092623827806293E-2</v>
      </c>
    </row>
    <row r="859" spans="23:27" x14ac:dyDescent="0.2">
      <c r="W859" s="203" t="str">
        <f t="shared" si="23"/>
        <v>1w</v>
      </c>
      <c r="X859" s="287">
        <f>_xll.qlCalendarAdvance(Calendar,X858,W859,"f",FALSE)</f>
        <v>44901</v>
      </c>
      <c r="Y859" s="281">
        <f>_xll.qlCalendarAdvance(Calendar,X859,NDays&amp;"D")</f>
        <v>44903</v>
      </c>
      <c r="Z859" s="282">
        <v>1.2335733683706884E-2</v>
      </c>
      <c r="AA859" s="284">
        <v>1.212412961426601E-2</v>
      </c>
    </row>
    <row r="860" spans="23:27" x14ac:dyDescent="0.2">
      <c r="W860" s="203" t="str">
        <f t="shared" si="23"/>
        <v>1w</v>
      </c>
      <c r="X860" s="287">
        <f>_xll.qlCalendarAdvance(Calendar,X859,W860,"f",FALSE)</f>
        <v>44908</v>
      </c>
      <c r="Y860" s="281">
        <f>_xll.qlCalendarAdvance(Calendar,X860,NDays&amp;"D")</f>
        <v>44910</v>
      </c>
      <c r="Z860" s="282">
        <v>1.2365518495358607E-2</v>
      </c>
      <c r="AA860" s="284">
        <v>1.2155389158658991E-2</v>
      </c>
    </row>
    <row r="861" spans="23:27" x14ac:dyDescent="0.2">
      <c r="W861" s="203" t="str">
        <f t="shared" si="23"/>
        <v>1w</v>
      </c>
      <c r="X861" s="287">
        <f>_xll.qlCalendarAdvance(Calendar,X860,W861,"f",FALSE)</f>
        <v>44915</v>
      </c>
      <c r="Y861" s="281">
        <f>_xll.qlCalendarAdvance(Calendar,X861,NDays&amp;"D")</f>
        <v>44917</v>
      </c>
      <c r="Z861" s="282">
        <v>1.2395056528541559E-2</v>
      </c>
      <c r="AA861" s="284">
        <v>1.2198444854694124E-2</v>
      </c>
    </row>
    <row r="862" spans="23:27" x14ac:dyDescent="0.2">
      <c r="W862" s="203" t="str">
        <f t="shared" si="23"/>
        <v>1w</v>
      </c>
      <c r="X862" s="287">
        <f>_xll.qlCalendarAdvance(Calendar,X861,W862,"f",FALSE)</f>
        <v>44923</v>
      </c>
      <c r="Y862" s="281">
        <f>_xll.qlCalendarAdvance(Calendar,X862,NDays&amp;"D")</f>
        <v>44925</v>
      </c>
      <c r="Z862" s="282">
        <v>1.2430768739814885E-2</v>
      </c>
      <c r="AA862" s="284">
        <v>1.2231106024156446E-2</v>
      </c>
    </row>
    <row r="863" spans="23:27" x14ac:dyDescent="0.2">
      <c r="W863" s="203" t="str">
        <f t="shared" si="23"/>
        <v>1w</v>
      </c>
      <c r="X863" s="287">
        <f>_xll.qlCalendarAdvance(Calendar,X862,W863,"f",FALSE)</f>
        <v>44930</v>
      </c>
      <c r="Y863" s="281">
        <f>_xll.qlCalendarAdvance(Calendar,X863,NDays&amp;"D")</f>
        <v>44932</v>
      </c>
      <c r="Z863" s="282">
        <v>1.2457521299914731E-2</v>
      </c>
      <c r="AA863" s="284">
        <v>1.2259153959131019E-2</v>
      </c>
    </row>
    <row r="864" spans="23:27" x14ac:dyDescent="0.2">
      <c r="W864" s="203" t="str">
        <f t="shared" si="23"/>
        <v>1w</v>
      </c>
      <c r="X864" s="287">
        <f>_xll.qlCalendarAdvance(Calendar,X863,W864,"f",FALSE)</f>
        <v>44937</v>
      </c>
      <c r="Y864" s="281">
        <f>_xll.qlCalendarAdvance(Calendar,X864,NDays&amp;"D")</f>
        <v>44939</v>
      </c>
      <c r="Z864" s="282">
        <v>1.2486283708334156E-2</v>
      </c>
      <c r="AA864" s="284">
        <v>1.228698722670174E-2</v>
      </c>
    </row>
    <row r="865" spans="23:27" x14ac:dyDescent="0.2">
      <c r="W865" s="203" t="str">
        <f t="shared" si="23"/>
        <v>1w</v>
      </c>
      <c r="X865" s="287">
        <f>_xll.qlCalendarAdvance(Calendar,X864,W865,"f",FALSE)</f>
        <v>44944</v>
      </c>
      <c r="Y865" s="281">
        <f>_xll.qlCalendarAdvance(Calendar,X865,NDays&amp;"D")</f>
        <v>44946</v>
      </c>
      <c r="Z865" s="282">
        <v>1.2514799315987091E-2</v>
      </c>
      <c r="AA865" s="284">
        <v>1.231694725212229E-2</v>
      </c>
    </row>
    <row r="866" spans="23:27" x14ac:dyDescent="0.2">
      <c r="W866" s="203" t="str">
        <f t="shared" si="23"/>
        <v>1w</v>
      </c>
      <c r="X866" s="287">
        <f>_xll.qlCalendarAdvance(Calendar,X865,W866,"f",FALSE)</f>
        <v>44951</v>
      </c>
      <c r="Y866" s="281">
        <f>_xll.qlCalendarAdvance(Calendar,X866,NDays&amp;"D")</f>
        <v>44953</v>
      </c>
      <c r="Z866" s="282">
        <v>1.2543068117611966E-2</v>
      </c>
      <c r="AA866" s="284">
        <v>1.2346661023112659E-2</v>
      </c>
    </row>
    <row r="867" spans="23:27" x14ac:dyDescent="0.2">
      <c r="W867" s="203" t="str">
        <f t="shared" si="23"/>
        <v>1w</v>
      </c>
      <c r="X867" s="287">
        <f>_xll.qlCalendarAdvance(Calendar,X866,W867,"f",FALSE)</f>
        <v>44958</v>
      </c>
      <c r="Y867" s="281">
        <f>_xll.qlCalendarAdvance(Calendar,X867,NDays&amp;"D")</f>
        <v>44960</v>
      </c>
      <c r="Z867" s="282">
        <v>1.2579774634531681E-2</v>
      </c>
      <c r="AA867" s="284">
        <v>1.2376128539566267E-2</v>
      </c>
    </row>
    <row r="868" spans="23:27" x14ac:dyDescent="0.2">
      <c r="W868" s="203" t="str">
        <f t="shared" si="23"/>
        <v>1w</v>
      </c>
      <c r="X868" s="287">
        <f>_xll.qlCalendarAdvance(Calendar,X867,W868,"f",FALSE)</f>
        <v>44965</v>
      </c>
      <c r="Y868" s="281">
        <f>_xll.qlCalendarAdvance(Calendar,X868,NDays&amp;"D")</f>
        <v>44967</v>
      </c>
      <c r="Z868" s="282">
        <v>1.259670696529926E-2</v>
      </c>
      <c r="AA868" s="284">
        <v>1.2405349801243304E-2</v>
      </c>
    </row>
    <row r="869" spans="23:27" x14ac:dyDescent="0.2">
      <c r="W869" s="203" t="str">
        <f t="shared" si="23"/>
        <v>1w</v>
      </c>
      <c r="X869" s="287">
        <f>_xll.qlCalendarAdvance(Calendar,X868,W869,"f",FALSE)</f>
        <v>44972</v>
      </c>
      <c r="Y869" s="281">
        <f>_xll.qlCalendarAdvance(Calendar,X869,NDays&amp;"D")</f>
        <v>44974</v>
      </c>
      <c r="Z869" s="282">
        <v>1.2624251984846327E-2</v>
      </c>
      <c r="AA869" s="284">
        <v>1.2434324807983899E-2</v>
      </c>
    </row>
    <row r="870" spans="23:27" x14ac:dyDescent="0.2">
      <c r="W870" s="203" t="str">
        <f t="shared" si="23"/>
        <v>1w</v>
      </c>
      <c r="X870" s="287">
        <f>_xll.qlCalendarAdvance(Calendar,X869,W870,"f",FALSE)</f>
        <v>44979</v>
      </c>
      <c r="Y870" s="281">
        <f>_xll.qlCalendarAdvance(Calendar,X870,NDays&amp;"D")</f>
        <v>44981</v>
      </c>
      <c r="Z870" s="282">
        <v>1.2651550184678168E-2</v>
      </c>
      <c r="AA870" s="284">
        <v>1.2463053559628179E-2</v>
      </c>
    </row>
    <row r="871" spans="23:27" x14ac:dyDescent="0.2">
      <c r="W871" s="203" t="str">
        <f t="shared" si="23"/>
        <v>1w</v>
      </c>
      <c r="X871" s="287">
        <f>_xll.qlCalendarAdvance(Calendar,X870,W871,"f",FALSE)</f>
        <v>44986</v>
      </c>
      <c r="Y871" s="281">
        <f>_xll.qlCalendarAdvance(Calendar,X871,NDays&amp;"D")</f>
        <v>44988</v>
      </c>
      <c r="Z871" s="282">
        <v>1.2689127613101842E-2</v>
      </c>
      <c r="AA871" s="284">
        <v>1.2491536055989627E-2</v>
      </c>
    </row>
    <row r="872" spans="23:27" x14ac:dyDescent="0.2">
      <c r="W872" s="203" t="str">
        <f t="shared" si="23"/>
        <v>1w</v>
      </c>
      <c r="X872" s="287">
        <f>_xll.qlCalendarAdvance(Calendar,X871,W872,"f",FALSE)</f>
        <v>44993</v>
      </c>
      <c r="Y872" s="281">
        <f>_xll.qlCalendarAdvance(Calendar,X872,NDays&amp;"D")</f>
        <v>44995</v>
      </c>
      <c r="Z872" s="282">
        <v>1.2715848708714629E-2</v>
      </c>
      <c r="AA872" s="284">
        <v>1.2519772296881726E-2</v>
      </c>
    </row>
    <row r="873" spans="23:27" x14ac:dyDescent="0.2">
      <c r="W873" s="203" t="str">
        <f t="shared" si="23"/>
        <v>1w</v>
      </c>
      <c r="X873" s="287">
        <f>_xll.qlCalendarAdvance(Calendar,X872,W873,"f",FALSE)</f>
        <v>45000</v>
      </c>
      <c r="Y873" s="281">
        <f>_xll.qlCalendarAdvance(Calendar,X873,NDays&amp;"D")</f>
        <v>45002</v>
      </c>
      <c r="Z873" s="282">
        <v>1.2742329469953738E-2</v>
      </c>
      <c r="AA873" s="284">
        <v>1.2547762282117958E-2</v>
      </c>
    </row>
    <row r="874" spans="23:27" x14ac:dyDescent="0.2">
      <c r="W874" s="203" t="str">
        <f t="shared" si="23"/>
        <v>1w</v>
      </c>
      <c r="X874" s="287">
        <f>_xll.qlCalendarAdvance(Calendar,X873,W874,"f",FALSE)</f>
        <v>45007</v>
      </c>
      <c r="Y874" s="281">
        <f>_xll.qlCalendarAdvance(Calendar,X874,NDays&amp;"D")</f>
        <v>45009</v>
      </c>
      <c r="Z874" s="282">
        <v>1.2768602570148741E-2</v>
      </c>
      <c r="AA874" s="284">
        <v>1.2575506011565096E-2</v>
      </c>
    </row>
    <row r="875" spans="23:27" x14ac:dyDescent="0.2">
      <c r="W875" s="203" t="str">
        <f t="shared" si="23"/>
        <v>1w</v>
      </c>
      <c r="X875" s="287">
        <f>_xll.qlCalendarAdvance(Calendar,X874,W875,"f",FALSE)</f>
        <v>45014</v>
      </c>
      <c r="Y875" s="281">
        <f>_xll.qlCalendarAdvance(Calendar,X875,NDays&amp;"D")</f>
        <v>45016</v>
      </c>
      <c r="Z875" s="282">
        <v>1.2788534945798562E-2</v>
      </c>
      <c r="AA875" s="284">
        <v>1.2603003485009978E-2</v>
      </c>
    </row>
    <row r="876" spans="23:27" x14ac:dyDescent="0.2">
      <c r="W876" s="203" t="str">
        <f t="shared" si="23"/>
        <v>1w</v>
      </c>
      <c r="X876" s="287">
        <f>_xll.qlCalendarAdvance(Calendar,X875,W876,"f",FALSE)</f>
        <v>45021</v>
      </c>
      <c r="Y876" s="281">
        <f>_xll.qlCalendarAdvance(Calendar,X876,NDays&amp;"D")</f>
        <v>45027</v>
      </c>
      <c r="Z876" s="282">
        <v>1.2829306636966407E-2</v>
      </c>
      <c r="AA876" s="284">
        <v>1.2641416176970566E-2</v>
      </c>
    </row>
    <row r="877" spans="23:27" x14ac:dyDescent="0.2">
      <c r="W877" s="203" t="str">
        <f t="shared" si="23"/>
        <v>1w</v>
      </c>
      <c r="X877" s="287">
        <f>_xll.qlCalendarAdvance(Calendar,X876,W877,"f",FALSE)</f>
        <v>45028</v>
      </c>
      <c r="Y877" s="281">
        <f>_xll.qlCalendarAdvance(Calendar,X877,NDays&amp;"D")</f>
        <v>45030</v>
      </c>
      <c r="Z877" s="282">
        <v>1.2840385690348372E-2</v>
      </c>
      <c r="AA877" s="284">
        <v>1.2657259663306775E-2</v>
      </c>
    </row>
    <row r="878" spans="23:27" x14ac:dyDescent="0.2">
      <c r="W878" s="203" t="str">
        <f t="shared" si="23"/>
        <v>1w</v>
      </c>
      <c r="X878" s="287">
        <f>_xll.qlCalendarAdvance(Calendar,X877,W878,"f",FALSE)</f>
        <v>45035</v>
      </c>
      <c r="Y878" s="281">
        <f>_xll.qlCalendarAdvance(Calendar,X878,NDays&amp;"D")</f>
        <v>45037</v>
      </c>
      <c r="Z878" s="282">
        <v>1.2866198246682512E-2</v>
      </c>
      <c r="AA878" s="284">
        <v>1.2684018367785654E-2</v>
      </c>
    </row>
    <row r="879" spans="23:27" x14ac:dyDescent="0.2">
      <c r="W879" s="203" t="str">
        <f t="shared" si="23"/>
        <v>1w</v>
      </c>
      <c r="X879" s="287">
        <f>_xll.qlCalendarAdvance(Calendar,X878,W879,"f",FALSE)</f>
        <v>45042</v>
      </c>
      <c r="Y879" s="281">
        <f>_xll.qlCalendarAdvance(Calendar,X879,NDays&amp;"D")</f>
        <v>45044</v>
      </c>
      <c r="Z879" s="282">
        <v>1.2898225542158382E-2</v>
      </c>
      <c r="AA879" s="284">
        <v>1.2712638119733999E-2</v>
      </c>
    </row>
    <row r="880" spans="23:27" x14ac:dyDescent="0.2">
      <c r="W880" s="203" t="str">
        <f t="shared" si="23"/>
        <v>1w</v>
      </c>
      <c r="X880" s="287">
        <f>_xll.qlCalendarAdvance(Calendar,X879,W880,"f",FALSE)</f>
        <v>45054</v>
      </c>
      <c r="Y880" s="281">
        <f>_xll.qlCalendarAdvance(Calendar,X880,NDays&amp;"D")</f>
        <v>45056</v>
      </c>
      <c r="Z880" s="282">
        <v>1.2938371716275076E-2</v>
      </c>
      <c r="AA880" s="284">
        <v>1.2751245713555903E-2</v>
      </c>
    </row>
    <row r="881" spans="23:27" x14ac:dyDescent="0.2">
      <c r="W881" s="203" t="str">
        <f t="shared" si="23"/>
        <v>1w</v>
      </c>
      <c r="X881" s="287">
        <f>_xll.qlCalendarAdvance(Calendar,X880,W881,"f",FALSE)</f>
        <v>45061</v>
      </c>
      <c r="Y881" s="281">
        <f>_xll.qlCalendarAdvance(Calendar,X881,NDays&amp;"D")</f>
        <v>45063</v>
      </c>
      <c r="Z881" s="282">
        <v>1.296432665697784E-2</v>
      </c>
      <c r="AA881" s="284">
        <v>1.2777123094194209E-2</v>
      </c>
    </row>
    <row r="882" spans="23:27" x14ac:dyDescent="0.2">
      <c r="W882" s="203" t="str">
        <f t="shared" si="23"/>
        <v>1w</v>
      </c>
      <c r="X882" s="287">
        <f>_xll.qlCalendarAdvance(Calendar,X881,W882,"f",FALSE)</f>
        <v>45068</v>
      </c>
      <c r="Y882" s="281">
        <f>_xll.qlCalendarAdvance(Calendar,X882,NDays&amp;"D")</f>
        <v>45070</v>
      </c>
      <c r="Z882" s="282">
        <v>1.2990412479194927E-2</v>
      </c>
      <c r="AA882" s="284">
        <v>1.2802754231406865E-2</v>
      </c>
    </row>
    <row r="883" spans="23:27" x14ac:dyDescent="0.2">
      <c r="W883" s="203" t="str">
        <f t="shared" si="23"/>
        <v>1w</v>
      </c>
      <c r="X883" s="287">
        <f>_xll.qlCalendarAdvance(Calendar,X882,W883,"f",FALSE)</f>
        <v>45076</v>
      </c>
      <c r="Y883" s="281">
        <f>_xll.qlCalendarAdvance(Calendar,X883,NDays&amp;"D")</f>
        <v>45078</v>
      </c>
      <c r="Z883" s="282">
        <v>1.3020436510708945E-2</v>
      </c>
      <c r="AA883" s="284">
        <v>1.2831745437082986E-2</v>
      </c>
    </row>
    <row r="884" spans="23:27" x14ac:dyDescent="0.2">
      <c r="W884" s="203" t="str">
        <f t="shared" si="23"/>
        <v>1w</v>
      </c>
      <c r="X884" s="287">
        <f>_xll.qlCalendarAdvance(Calendar,X883,W884,"f",FALSE)</f>
        <v>45083</v>
      </c>
      <c r="Y884" s="281">
        <f>_xll.qlCalendarAdvance(Calendar,X884,NDays&amp;"D")</f>
        <v>45085</v>
      </c>
      <c r="Z884" s="282">
        <v>1.3046937720076793E-2</v>
      </c>
      <c r="AA884" s="284">
        <v>1.2856848909663654E-2</v>
      </c>
    </row>
    <row r="885" spans="23:27" x14ac:dyDescent="0.2">
      <c r="W885" s="203" t="str">
        <f t="shared" si="23"/>
        <v>1w</v>
      </c>
      <c r="X885" s="287">
        <f>_xll.qlCalendarAdvance(Calendar,X884,W885,"f",FALSE)</f>
        <v>45090</v>
      </c>
      <c r="Y885" s="281">
        <f>_xll.qlCalendarAdvance(Calendar,X885,NDays&amp;"D")</f>
        <v>45092</v>
      </c>
      <c r="Z885" s="282">
        <v>1.3073695219336561E-2</v>
      </c>
      <c r="AA885" s="284">
        <v>1.2881772191981611E-2</v>
      </c>
    </row>
    <row r="886" spans="23:27" x14ac:dyDescent="0.2">
      <c r="W886" s="203" t="str">
        <f t="shared" si="23"/>
        <v>1w</v>
      </c>
      <c r="X886" s="287">
        <f>_xll.qlCalendarAdvance(Calendar,X885,W886,"f",FALSE)</f>
        <v>45097</v>
      </c>
      <c r="Y886" s="281">
        <f>_xll.qlCalendarAdvance(Calendar,X886,NDays&amp;"D")</f>
        <v>45099</v>
      </c>
      <c r="Z886" s="282">
        <v>1.3100731188805828E-2</v>
      </c>
      <c r="AA886" s="284">
        <v>1.2906908033789577E-2</v>
      </c>
    </row>
    <row r="887" spans="23:27" x14ac:dyDescent="0.2">
      <c r="W887" s="203" t="str">
        <f t="shared" si="23"/>
        <v>1w</v>
      </c>
      <c r="X887" s="287">
        <f>_xll.qlCalendarAdvance(Calendar,X886,W887,"f",FALSE)</f>
        <v>45104</v>
      </c>
      <c r="Y887" s="281">
        <f>_xll.qlCalendarAdvance(Calendar,X887,NDays&amp;"D")</f>
        <v>45106</v>
      </c>
      <c r="Z887" s="282">
        <v>1.312804688025198E-2</v>
      </c>
      <c r="AA887" s="284">
        <v>1.2932322488410364E-2</v>
      </c>
    </row>
    <row r="888" spans="23:27" x14ac:dyDescent="0.2">
      <c r="W888" s="203" t="str">
        <f t="shared" si="23"/>
        <v>1w</v>
      </c>
      <c r="X888" s="287">
        <f>_xll.qlCalendarAdvance(Calendar,X887,W888,"f",FALSE)</f>
        <v>45111</v>
      </c>
      <c r="Y888" s="281">
        <f>_xll.qlCalendarAdvance(Calendar,X888,NDays&amp;"D")</f>
        <v>45113</v>
      </c>
      <c r="Z888" s="282">
        <v>1.3155642299509482E-2</v>
      </c>
      <c r="AA888" s="284">
        <v>1.295801555608378E-2</v>
      </c>
    </row>
    <row r="889" spans="23:27" x14ac:dyDescent="0.2">
      <c r="W889" s="203" t="str">
        <f t="shared" si="23"/>
        <v>1w</v>
      </c>
      <c r="X889" s="287">
        <f>_xll.qlCalendarAdvance(Calendar,X888,W889,"f",FALSE)</f>
        <v>45118</v>
      </c>
      <c r="Y889" s="281">
        <f>_xll.qlCalendarAdvance(Calendar,X889,NDays&amp;"D")</f>
        <v>45120</v>
      </c>
      <c r="Z889" s="282">
        <v>1.3183517452475355E-2</v>
      </c>
      <c r="AA889" s="284">
        <v>1.2983987236729888E-2</v>
      </c>
    </row>
    <row r="890" spans="23:27" x14ac:dyDescent="0.2">
      <c r="W890" s="203" t="str">
        <f t="shared" si="23"/>
        <v>1w</v>
      </c>
      <c r="X890" s="287">
        <f>_xll.qlCalendarAdvance(Calendar,X889,W890,"f",FALSE)</f>
        <v>45125</v>
      </c>
      <c r="Y890" s="281">
        <f>_xll.qlCalendarAdvance(Calendar,X890,NDays&amp;"D")</f>
        <v>45127</v>
      </c>
      <c r="Z890" s="282">
        <v>1.3211672345104834E-2</v>
      </c>
      <c r="AA890" s="284">
        <v>1.3010237530348689E-2</v>
      </c>
    </row>
    <row r="891" spans="23:27" x14ac:dyDescent="0.2">
      <c r="W891" s="203" t="str">
        <f t="shared" si="23"/>
        <v>1w</v>
      </c>
      <c r="X891" s="287">
        <f>_xll.qlCalendarAdvance(Calendar,X890,W891,"f",FALSE)</f>
        <v>45132</v>
      </c>
      <c r="Y891" s="281">
        <f>_xll.qlCalendarAdvance(Calendar,X891,NDays&amp;"D")</f>
        <v>45134</v>
      </c>
      <c r="Z891" s="282">
        <v>1.3240106983413111E-2</v>
      </c>
      <c r="AA891" s="284">
        <v>1.3036766437179992E-2</v>
      </c>
    </row>
    <row r="892" spans="23:27" x14ac:dyDescent="0.2">
      <c r="W892" s="203" t="str">
        <f t="shared" si="23"/>
        <v>1w</v>
      </c>
      <c r="X892" s="287">
        <f>_xll.qlCalendarAdvance(Calendar,X891,W892,"f",FALSE)</f>
        <v>45139</v>
      </c>
      <c r="Y892" s="281">
        <f>_xll.qlCalendarAdvance(Calendar,X892,NDays&amp;"D")</f>
        <v>45141</v>
      </c>
      <c r="Z892" s="282">
        <v>1.3275877696344009E-2</v>
      </c>
      <c r="AA892" s="284">
        <v>1.3063573957223795E-2</v>
      </c>
    </row>
    <row r="893" spans="23:27" x14ac:dyDescent="0.2">
      <c r="W893" s="203" t="str">
        <f t="shared" si="23"/>
        <v>1w</v>
      </c>
      <c r="X893" s="287">
        <f>_xll.qlCalendarAdvance(Calendar,X892,W893,"f",FALSE)</f>
        <v>45146</v>
      </c>
      <c r="Y893" s="281">
        <f>_xll.qlCalendarAdvance(Calendar,X893,NDays&amp;"D")</f>
        <v>45148</v>
      </c>
      <c r="Z893" s="282">
        <v>1.3297815521423955E-2</v>
      </c>
      <c r="AA893" s="284">
        <v>1.30906600904801E-2</v>
      </c>
    </row>
    <row r="894" spans="23:27" x14ac:dyDescent="0.2">
      <c r="W894" s="203" t="str">
        <f t="shared" si="23"/>
        <v>1w</v>
      </c>
      <c r="X894" s="287">
        <f>_xll.qlCalendarAdvance(Calendar,X893,W894,"f",FALSE)</f>
        <v>45153</v>
      </c>
      <c r="Y894" s="281">
        <f>_xll.qlCalendarAdvance(Calendar,X894,NDays&amp;"D")</f>
        <v>45155</v>
      </c>
      <c r="Z894" s="282">
        <v>1.3327089433455794E-2</v>
      </c>
      <c r="AA894" s="284">
        <v>1.3118024837028841E-2</v>
      </c>
    </row>
    <row r="895" spans="23:27" x14ac:dyDescent="0.2">
      <c r="W895" s="203" t="str">
        <f t="shared" si="23"/>
        <v>1w</v>
      </c>
      <c r="X895" s="287">
        <f>_xll.qlCalendarAdvance(Calendar,X894,W895,"f",FALSE)</f>
        <v>45160</v>
      </c>
      <c r="Y895" s="281">
        <f>_xll.qlCalendarAdvance(Calendar,X895,NDays&amp;"D")</f>
        <v>45162</v>
      </c>
      <c r="Z895" s="282">
        <v>1.3356643115824964E-2</v>
      </c>
      <c r="AA895" s="284">
        <v>1.3145668196949956E-2</v>
      </c>
    </row>
    <row r="896" spans="23:27" x14ac:dyDescent="0.2">
      <c r="W896" s="203" t="str">
        <f t="shared" si="23"/>
        <v>1w</v>
      </c>
      <c r="X896" s="287">
        <f>_xll.qlCalendarAdvance(Calendar,X895,W896,"f",FALSE)</f>
        <v>45167</v>
      </c>
      <c r="Y896" s="281">
        <f>_xll.qlCalendarAdvance(Calendar,X896,NDays&amp;"D")</f>
        <v>45169</v>
      </c>
      <c r="Z896" s="282">
        <v>1.3384044314698598E-2</v>
      </c>
      <c r="AA896" s="284">
        <v>1.3173590170323379E-2</v>
      </c>
    </row>
    <row r="897" spans="23:27" x14ac:dyDescent="0.2">
      <c r="W897" s="203" t="str">
        <f t="shared" si="23"/>
        <v>1w</v>
      </c>
      <c r="X897" s="287">
        <f>_xll.qlCalendarAdvance(Calendar,X896,W897,"f",FALSE)</f>
        <v>45174</v>
      </c>
      <c r="Y897" s="281">
        <f>_xll.qlCalendarAdvance(Calendar,X897,NDays&amp;"D")</f>
        <v>45176</v>
      </c>
      <c r="Z897" s="282">
        <v>1.3414136453547918E-2</v>
      </c>
      <c r="AA897" s="284">
        <v>1.3201790757149112E-2</v>
      </c>
    </row>
    <row r="898" spans="23:27" x14ac:dyDescent="0.2">
      <c r="W898" s="203" t="str">
        <f t="shared" si="23"/>
        <v>1w</v>
      </c>
      <c r="X898" s="287">
        <f>_xll.qlCalendarAdvance(Calendar,X897,W898,"f",FALSE)</f>
        <v>45181</v>
      </c>
      <c r="Y898" s="281">
        <f>_xll.qlCalendarAdvance(Calendar,X898,NDays&amp;"D")</f>
        <v>45183</v>
      </c>
      <c r="Z898" s="282">
        <v>1.3444508368454502E-2</v>
      </c>
      <c r="AA898" s="284">
        <v>1.3230269957587026E-2</v>
      </c>
    </row>
    <row r="899" spans="23:27" x14ac:dyDescent="0.2">
      <c r="W899" s="203" t="str">
        <f t="shared" si="23"/>
        <v>1w</v>
      </c>
      <c r="X899" s="287">
        <f>_xll.qlCalendarAdvance(Calendar,X898,W899,"f",FALSE)</f>
        <v>45188</v>
      </c>
      <c r="Y899" s="281">
        <f>_xll.qlCalendarAdvance(Calendar,X899,NDays&amp;"D")</f>
        <v>45190</v>
      </c>
      <c r="Z899" s="282">
        <v>1.3475160065836078E-2</v>
      </c>
      <c r="AA899" s="284">
        <v>1.3259027771637122E-2</v>
      </c>
    </row>
    <row r="900" spans="23:27" x14ac:dyDescent="0.2">
      <c r="W900" s="203" t="str">
        <f t="shared" si="23"/>
        <v>1w</v>
      </c>
      <c r="X900" s="287">
        <f>_xll.qlCalendarAdvance(Calendar,X899,W900,"f",FALSE)</f>
        <v>45195</v>
      </c>
      <c r="Y900" s="281">
        <f>_xll.qlCalendarAdvance(Calendar,X900,NDays&amp;"D")</f>
        <v>45197</v>
      </c>
      <c r="Z900" s="282">
        <v>1.3506091552170097E-2</v>
      </c>
      <c r="AA900" s="284">
        <v>1.3288064199459271E-2</v>
      </c>
    </row>
    <row r="901" spans="23:27" x14ac:dyDescent="0.2">
      <c r="W901" s="203" t="str">
        <f t="shared" si="23"/>
        <v>1w</v>
      </c>
      <c r="X901" s="287">
        <f>_xll.qlCalendarAdvance(Calendar,X900,W901,"f",FALSE)</f>
        <v>45202</v>
      </c>
      <c r="Y901" s="281">
        <f>_xll.qlCalendarAdvance(Calendar,X901,NDays&amp;"D")</f>
        <v>45204</v>
      </c>
      <c r="Z901" s="282">
        <v>1.353984074490297E-2</v>
      </c>
      <c r="AA901" s="284">
        <v>1.3317379240973537E-2</v>
      </c>
    </row>
    <row r="902" spans="23:27" x14ac:dyDescent="0.2">
      <c r="W902" s="203" t="str">
        <f t="shared" si="23"/>
        <v>1w</v>
      </c>
      <c r="X902" s="287">
        <f>_xll.qlCalendarAdvance(Calendar,X901,W902,"f",FALSE)</f>
        <v>45209</v>
      </c>
      <c r="Y902" s="281">
        <f>_xll.qlCalendarAdvance(Calendar,X902,NDays&amp;"D")</f>
        <v>45211</v>
      </c>
      <c r="Z902" s="282">
        <v>1.3571352999778925E-2</v>
      </c>
      <c r="AA902" s="284">
        <v>1.3346972896339793E-2</v>
      </c>
    </row>
    <row r="903" spans="23:27" x14ac:dyDescent="0.2">
      <c r="W903" s="203" t="str">
        <f t="shared" si="23"/>
        <v>1w</v>
      </c>
      <c r="X903" s="287">
        <f>_xll.qlCalendarAdvance(Calendar,X902,W903,"f",FALSE)</f>
        <v>45216</v>
      </c>
      <c r="Y903" s="281">
        <f>_xll.qlCalendarAdvance(Calendar,X903,NDays&amp;"D")</f>
        <v>45218</v>
      </c>
      <c r="Z903" s="282">
        <v>1.3603145077180032E-2</v>
      </c>
      <c r="AA903" s="284">
        <v>1.3376845165637974E-2</v>
      </c>
    </row>
    <row r="904" spans="23:27" x14ac:dyDescent="0.2">
      <c r="W904" s="203" t="str">
        <f t="shared" si="23"/>
        <v>1w</v>
      </c>
      <c r="X904" s="287">
        <f>_xll.qlCalendarAdvance(Calendar,X903,W904,"f",FALSE)</f>
        <v>45223</v>
      </c>
      <c r="Y904" s="281">
        <f>_xll.qlCalendarAdvance(Calendar,X904,NDays&amp;"D")</f>
        <v>45225</v>
      </c>
      <c r="Z904" s="282">
        <v>1.3635216983899115E-2</v>
      </c>
      <c r="AA904" s="284">
        <v>1.3406996048868081E-2</v>
      </c>
    </row>
    <row r="905" spans="23:27" x14ac:dyDescent="0.2">
      <c r="W905" s="203" t="str">
        <f t="shared" si="23"/>
        <v>1w</v>
      </c>
      <c r="X905" s="287">
        <f>_xll.qlCalendarAdvance(Calendar,X904,W905,"f",FALSE)</f>
        <v>45230</v>
      </c>
      <c r="Y905" s="281">
        <f>_xll.qlCalendarAdvance(Calendar,X905,NDays&amp;"D")</f>
        <v>45232</v>
      </c>
      <c r="Z905" s="282">
        <v>1.366756872678809E-2</v>
      </c>
      <c r="AA905" s="284">
        <v>1.3444739059984556E-2</v>
      </c>
    </row>
    <row r="906" spans="23:27" x14ac:dyDescent="0.2">
      <c r="W906" s="203" t="str">
        <f t="shared" si="23"/>
        <v>1w</v>
      </c>
      <c r="X906" s="287">
        <f>_xll.qlCalendarAdvance(Calendar,X905,W906,"f",FALSE)</f>
        <v>45237</v>
      </c>
      <c r="Y906" s="281">
        <f>_xll.qlCalendarAdvance(Calendar,X906,NDays&amp;"D")</f>
        <v>45239</v>
      </c>
      <c r="Z906" s="282">
        <v>1.3700200312760551E-2</v>
      </c>
      <c r="AA906" s="284">
        <v>1.3468133657603687E-2</v>
      </c>
    </row>
    <row r="907" spans="23:27" x14ac:dyDescent="0.2">
      <c r="W907" s="203" t="str">
        <f t="shared" si="23"/>
        <v>1w</v>
      </c>
      <c r="X907" s="287">
        <f>_xll.qlCalendarAdvance(Calendar,X906,W907,"f",FALSE)</f>
        <v>45244</v>
      </c>
      <c r="Y907" s="281">
        <f>_xll.qlCalendarAdvance(Calendar,X907,NDays&amp;"D")</f>
        <v>45246</v>
      </c>
      <c r="Z907" s="282">
        <v>1.3733111748787446E-2</v>
      </c>
      <c r="AA907" s="284">
        <v>1.3499120383189123E-2</v>
      </c>
    </row>
    <row r="908" spans="23:27" x14ac:dyDescent="0.2">
      <c r="W908" s="203" t="str">
        <f t="shared" si="23"/>
        <v>1w</v>
      </c>
      <c r="X908" s="287">
        <f>_xll.qlCalendarAdvance(Calendar,X907,W908,"f",FALSE)</f>
        <v>45251</v>
      </c>
      <c r="Y908" s="281">
        <f>_xll.qlCalendarAdvance(Calendar,X908,NDays&amp;"D")</f>
        <v>45254</v>
      </c>
      <c r="Z908" s="282">
        <v>1.3776452662827364E-2</v>
      </c>
      <c r="AA908" s="284">
        <v>1.3539880960262707E-2</v>
      </c>
    </row>
    <row r="909" spans="23:27" x14ac:dyDescent="0.2">
      <c r="W909" s="203" t="str">
        <f t="shared" si="23"/>
        <v>1w</v>
      </c>
      <c r="X909" s="287">
        <f>_xll.qlCalendarAdvance(Calendar,X908,W909,"f",FALSE)</f>
        <v>45258</v>
      </c>
      <c r="Y909" s="281">
        <f>_xll.qlCalendarAdvance(Calendar,X909,NDays&amp;"D")</f>
        <v>45260</v>
      </c>
      <c r="Z909" s="282">
        <v>1.3797066530164536E-2</v>
      </c>
      <c r="AA909" s="284">
        <v>1.3561929677194939E-2</v>
      </c>
    </row>
    <row r="910" spans="23:27" x14ac:dyDescent="0.2">
      <c r="W910" s="203" t="str">
        <f t="shared" si="23"/>
        <v>1w</v>
      </c>
      <c r="X910" s="287">
        <f>_xll.qlCalendarAdvance(Calendar,X909,W910,"f",FALSE)</f>
        <v>45265</v>
      </c>
      <c r="Y910" s="281">
        <f>_xll.qlCalendarAdvance(Calendar,X910,NDays&amp;"D")</f>
        <v>45267</v>
      </c>
      <c r="Z910" s="282">
        <v>1.3830796275317062E-2</v>
      </c>
      <c r="AA910" s="284">
        <v>1.3593752245855129E-2</v>
      </c>
    </row>
    <row r="911" spans="23:27" x14ac:dyDescent="0.2">
      <c r="W911" s="203" t="str">
        <f t="shared" si="23"/>
        <v>1w</v>
      </c>
      <c r="X911" s="287">
        <f>_xll.qlCalendarAdvance(Calendar,X910,W911,"f",FALSE)</f>
        <v>45272</v>
      </c>
      <c r="Y911" s="281">
        <f>_xll.qlCalendarAdvance(Calendar,X911,NDays&amp;"D")</f>
        <v>45274</v>
      </c>
      <c r="Z911" s="282">
        <v>1.3864805884583012E-2</v>
      </c>
      <c r="AA911" s="284">
        <v>1.362585342892686E-2</v>
      </c>
    </row>
    <row r="912" spans="23:27" x14ac:dyDescent="0.2">
      <c r="W912" s="203" t="str">
        <f t="shared" si="23"/>
        <v>1w</v>
      </c>
      <c r="X912" s="287">
        <f>_xll.qlCalendarAdvance(Calendar,X911,W912,"f",FALSE)</f>
        <v>45279</v>
      </c>
      <c r="Y912" s="281">
        <f>_xll.qlCalendarAdvance(Calendar,X912,NDays&amp;"D")</f>
        <v>45281</v>
      </c>
      <c r="Z912" s="282">
        <v>1.3899095365148722E-2</v>
      </c>
      <c r="AA912" s="284">
        <v>1.3658233226570005E-2</v>
      </c>
    </row>
    <row r="913" spans="23:27" x14ac:dyDescent="0.2">
      <c r="W913" s="203" t="str">
        <f t="shared" si="23"/>
        <v>1w</v>
      </c>
      <c r="X913" s="287">
        <f>_xll.qlCalendarAdvance(Calendar,X912,W913,"f",FALSE)</f>
        <v>45287</v>
      </c>
      <c r="Y913" s="281">
        <f>_xll.qlCalendarAdvance(Calendar,X913,NDays&amp;"D")</f>
        <v>45289</v>
      </c>
      <c r="Z913" s="282">
        <v>1.3935832219742039E-2</v>
      </c>
      <c r="AA913" s="284">
        <v>1.3708638482272661E-2</v>
      </c>
    </row>
    <row r="914" spans="23:27" x14ac:dyDescent="0.2">
      <c r="W914" s="203" t="str">
        <f t="shared" si="23"/>
        <v>1w</v>
      </c>
      <c r="X914" s="287">
        <f>_xll.qlCalendarAdvance(Calendar,X913,W914,"f",FALSE)</f>
        <v>45295</v>
      </c>
      <c r="Y914" s="281">
        <f>_xll.qlCalendarAdvance(Calendar,X914,NDays&amp;"D")</f>
        <v>45300</v>
      </c>
      <c r="Z914" s="282">
        <v>1.3993577649826051E-2</v>
      </c>
      <c r="AA914" s="284">
        <v>1.3747525694070006E-2</v>
      </c>
    </row>
    <row r="915" spans="23:27" x14ac:dyDescent="0.2">
      <c r="W915" s="203" t="str">
        <f t="shared" si="23"/>
        <v>1w</v>
      </c>
      <c r="X915" s="287">
        <f>_xll.qlCalendarAdvance(Calendar,X914,W915,"f",FALSE)</f>
        <v>45302</v>
      </c>
      <c r="Y915" s="281">
        <f>_xll.qlCalendarAdvance(Calendar,X915,NDays&amp;"D")</f>
        <v>45306</v>
      </c>
      <c r="Z915" s="282">
        <v>1.4023842569861651E-2</v>
      </c>
      <c r="AA915" s="284">
        <v>1.3776149766542289E-2</v>
      </c>
    </row>
    <row r="916" spans="23:27" x14ac:dyDescent="0.2">
      <c r="W916" s="203" t="str">
        <f t="shared" si="23"/>
        <v>1w</v>
      </c>
      <c r="X916" s="287">
        <f>_xll.qlCalendarAdvance(Calendar,X915,W916,"f",FALSE)</f>
        <v>45309</v>
      </c>
      <c r="Y916" s="281">
        <f>_xll.qlCalendarAdvance(Calendar,X916,NDays&amp;"D")</f>
        <v>45313</v>
      </c>
      <c r="Z916" s="282">
        <v>1.4059411555272294E-2</v>
      </c>
      <c r="AA916" s="284">
        <v>1.3809803231676909E-2</v>
      </c>
    </row>
    <row r="917" spans="23:27" x14ac:dyDescent="0.2">
      <c r="W917" s="203" t="str">
        <f t="shared" ref="W917:W980" si="24">W916</f>
        <v>1w</v>
      </c>
      <c r="X917" s="287">
        <f>_xll.qlCalendarAdvance(Calendar,X916,W917,"f",FALSE)</f>
        <v>45316</v>
      </c>
      <c r="Y917" s="281">
        <f>_xll.qlCalendarAdvance(Calendar,X917,NDays&amp;"D")</f>
        <v>45320</v>
      </c>
      <c r="Z917" s="282">
        <v>1.4098151026113231E-2</v>
      </c>
      <c r="AA917" s="284">
        <v>1.3843735311862559E-2</v>
      </c>
    </row>
    <row r="918" spans="23:27" x14ac:dyDescent="0.2">
      <c r="W918" s="203" t="str">
        <f t="shared" si="24"/>
        <v>1w</v>
      </c>
      <c r="X918" s="287">
        <f>_xll.qlCalendarAdvance(Calendar,X917,W918,"f",FALSE)</f>
        <v>45323</v>
      </c>
      <c r="Y918" s="281">
        <f>_xll.qlCalendarAdvance(Calendar,X918,NDays&amp;"D")</f>
        <v>45327</v>
      </c>
      <c r="Z918" s="282">
        <v>1.4134301253869721E-2</v>
      </c>
      <c r="AA918" s="284">
        <v>1.3877946006939368E-2</v>
      </c>
    </row>
    <row r="919" spans="23:27" x14ac:dyDescent="0.2">
      <c r="W919" s="203" t="str">
        <f t="shared" si="24"/>
        <v>1w</v>
      </c>
      <c r="X919" s="287">
        <f>_xll.qlCalendarAdvance(Calendar,X918,W919,"f",FALSE)</f>
        <v>45330</v>
      </c>
      <c r="Y919" s="281">
        <f>_xll.qlCalendarAdvance(Calendar,X919,NDays&amp;"D")</f>
        <v>45335</v>
      </c>
      <c r="Z919" s="282">
        <v>1.4170087767473305E-2</v>
      </c>
      <c r="AA919" s="284">
        <v>1.3917385105726154E-2</v>
      </c>
    </row>
    <row r="920" spans="23:27" x14ac:dyDescent="0.2">
      <c r="W920" s="203" t="str">
        <f t="shared" si="24"/>
        <v>1w</v>
      </c>
      <c r="X920" s="287">
        <f>_xll.qlCalendarAdvance(Calendar,X919,W920,"f",FALSE)</f>
        <v>45337</v>
      </c>
      <c r="Y920" s="281">
        <f>_xll.qlCalendarAdvance(Calendar,X920,NDays&amp;"D")</f>
        <v>45341</v>
      </c>
      <c r="Z920" s="282">
        <v>1.4204486697282628E-2</v>
      </c>
      <c r="AA920" s="284">
        <v>1.3947203242725692E-2</v>
      </c>
    </row>
    <row r="921" spans="23:27" x14ac:dyDescent="0.2">
      <c r="W921" s="203" t="str">
        <f t="shared" si="24"/>
        <v>1w</v>
      </c>
      <c r="X921" s="287">
        <f>_xll.qlCalendarAdvance(Calendar,X920,W921,"f",FALSE)</f>
        <v>45344</v>
      </c>
      <c r="Y921" s="281">
        <f>_xll.qlCalendarAdvance(Calendar,X921,NDays&amp;"D")</f>
        <v>45348</v>
      </c>
      <c r="Z921" s="282">
        <v>1.4244431625198261E-2</v>
      </c>
      <c r="AA921" s="284">
        <v>1.398224978359508E-2</v>
      </c>
    </row>
    <row r="922" spans="23:27" x14ac:dyDescent="0.2">
      <c r="W922" s="203" t="str">
        <f t="shared" si="24"/>
        <v>1w</v>
      </c>
      <c r="X922" s="287">
        <f>_xll.qlCalendarAdvance(Calendar,X921,W922,"f",FALSE)</f>
        <v>45351</v>
      </c>
      <c r="Y922" s="281">
        <f>_xll.qlCalendarAdvance(Calendar,X922,NDays&amp;"D")</f>
        <v>45355</v>
      </c>
      <c r="Z922" s="282">
        <v>1.4281701671141624E-2</v>
      </c>
      <c r="AA922" s="284">
        <v>1.4017574939755306E-2</v>
      </c>
    </row>
    <row r="923" spans="23:27" x14ac:dyDescent="0.2">
      <c r="W923" s="203" t="str">
        <f t="shared" si="24"/>
        <v>1w</v>
      </c>
      <c r="X923" s="287">
        <f>_xll.qlCalendarAdvance(Calendar,X922,W923,"f",FALSE)</f>
        <v>45358</v>
      </c>
      <c r="Y923" s="281">
        <f>_xll.qlCalendarAdvance(Calendar,X923,NDays&amp;"D")</f>
        <v>45362</v>
      </c>
      <c r="Z923" s="282">
        <v>1.4319251682036209E-2</v>
      </c>
      <c r="AA923" s="284">
        <v>1.4053178711446179E-2</v>
      </c>
    </row>
    <row r="924" spans="23:27" x14ac:dyDescent="0.2">
      <c r="W924" s="203" t="str">
        <f t="shared" si="24"/>
        <v>1w</v>
      </c>
      <c r="X924" s="287">
        <f>_xll.qlCalendarAdvance(Calendar,X923,W924,"f",FALSE)</f>
        <v>45365</v>
      </c>
      <c r="Y924" s="281">
        <f>_xll.qlCalendarAdvance(Calendar,X924,NDays&amp;"D")</f>
        <v>45369</v>
      </c>
      <c r="Z924" s="282">
        <v>1.4357076904287105E-2</v>
      </c>
      <c r="AA924" s="284">
        <v>1.4089061098667699E-2</v>
      </c>
    </row>
    <row r="925" spans="23:27" x14ac:dyDescent="0.2">
      <c r="W925" s="203" t="str">
        <f t="shared" si="24"/>
        <v>1w</v>
      </c>
      <c r="X925" s="287">
        <f>_xll.qlCalendarAdvance(Calendar,X924,W925,"f",FALSE)</f>
        <v>45372</v>
      </c>
      <c r="Y925" s="281">
        <f>_xll.qlCalendarAdvance(Calendar,X925,NDays&amp;"D")</f>
        <v>45376</v>
      </c>
      <c r="Z925" s="282">
        <v>1.4395160114028504E-2</v>
      </c>
      <c r="AA925" s="284">
        <v>1.4125222101499801E-2</v>
      </c>
    </row>
    <row r="926" spans="23:27" x14ac:dyDescent="0.2">
      <c r="W926" s="203" t="str">
        <f t="shared" si="24"/>
        <v>1w</v>
      </c>
      <c r="X926" s="287">
        <f>_xll.qlCalendarAdvance(Calendar,X925,W926,"f",FALSE)</f>
        <v>45379</v>
      </c>
      <c r="Y926" s="281">
        <f>_xll.qlCalendarAdvance(Calendar,X926,NDays&amp;"D")</f>
        <v>45385</v>
      </c>
      <c r="Z926" s="282">
        <v>1.4441396636649052E-2</v>
      </c>
      <c r="AA926" s="284">
        <v>1.4172124213933657E-2</v>
      </c>
    </row>
    <row r="927" spans="23:27" x14ac:dyDescent="0.2">
      <c r="W927" s="203" t="str">
        <f t="shared" si="24"/>
        <v>1w</v>
      </c>
      <c r="X927" s="287">
        <f>_xll.qlCalendarAdvance(Calendar,X926,W927,"f",FALSE)</f>
        <v>45386</v>
      </c>
      <c r="Y927" s="281">
        <f>_xll.qlCalendarAdvance(Calendar,X927,NDays&amp;"D")</f>
        <v>45390</v>
      </c>
      <c r="Z927" s="282">
        <v>1.4468938699360424E-2</v>
      </c>
      <c r="AA927" s="284">
        <v>1.4198379954315499E-2</v>
      </c>
    </row>
    <row r="928" spans="23:27" x14ac:dyDescent="0.2">
      <c r="W928" s="203" t="str">
        <f t="shared" si="24"/>
        <v>1w</v>
      </c>
      <c r="X928" s="287">
        <f>_xll.qlCalendarAdvance(Calendar,X927,W928,"f",FALSE)</f>
        <v>45393</v>
      </c>
      <c r="Y928" s="281">
        <f>_xll.qlCalendarAdvance(Calendar,X928,NDays&amp;"D")</f>
        <v>45397</v>
      </c>
      <c r="Z928" s="282">
        <v>1.4510765212998709E-2</v>
      </c>
      <c r="AA928" s="284">
        <v>1.4235376804538902E-2</v>
      </c>
    </row>
    <row r="929" spans="23:27" x14ac:dyDescent="0.2">
      <c r="W929" s="203" t="str">
        <f t="shared" si="24"/>
        <v>1w</v>
      </c>
      <c r="X929" s="287">
        <f>_xll.qlCalendarAdvance(Calendar,X928,W929,"f",FALSE)</f>
        <v>45400</v>
      </c>
      <c r="Y929" s="281">
        <f>_xll.qlCalendarAdvance(Calendar,X929,NDays&amp;"D")</f>
        <v>45404</v>
      </c>
      <c r="Z929" s="282">
        <v>1.4546582509619875E-2</v>
      </c>
      <c r="AA929" s="284">
        <v>1.4272652270692632E-2</v>
      </c>
    </row>
    <row r="930" spans="23:27" x14ac:dyDescent="0.2">
      <c r="W930" s="203" t="str">
        <f t="shared" si="24"/>
        <v>1w</v>
      </c>
      <c r="X930" s="287">
        <f>_xll.qlCalendarAdvance(Calendar,X929,W930,"f",FALSE)</f>
        <v>45407</v>
      </c>
      <c r="Y930" s="281">
        <f>_xll.qlCalendarAdvance(Calendar,X930,NDays&amp;"D")</f>
        <v>45412</v>
      </c>
      <c r="Z930" s="282">
        <v>1.4594367945075033E-2</v>
      </c>
      <c r="AA930" s="284">
        <v>1.431559396601223E-2</v>
      </c>
    </row>
    <row r="931" spans="23:27" x14ac:dyDescent="0.2">
      <c r="W931" s="203" t="str">
        <f t="shared" si="24"/>
        <v>1w</v>
      </c>
      <c r="X931" s="287">
        <f>_xll.qlCalendarAdvance(Calendar,X930,W931,"f",FALSE)</f>
        <v>45414</v>
      </c>
      <c r="Y931" s="281">
        <f>_xll.qlCalendarAdvance(Calendar,X931,NDays&amp;"D")</f>
        <v>45420</v>
      </c>
      <c r="Z931" s="282">
        <v>1.4633613692788407E-2</v>
      </c>
      <c r="AA931" s="284">
        <v>1.4358899568076566E-2</v>
      </c>
    </row>
    <row r="932" spans="23:27" x14ac:dyDescent="0.2">
      <c r="W932" s="203" t="str">
        <f t="shared" si="24"/>
        <v>1w</v>
      </c>
      <c r="X932" s="287">
        <f>_xll.qlCalendarAdvance(Calendar,X931,W932,"f",FALSE)</f>
        <v>45421</v>
      </c>
      <c r="Y932" s="281">
        <f>_xll.qlCalendarAdvance(Calendar,X932,NDays&amp;"D")</f>
        <v>45425</v>
      </c>
      <c r="Z932" s="282">
        <v>1.466734954777449E-2</v>
      </c>
      <c r="AA932" s="284">
        <v>1.4386150365934824E-2</v>
      </c>
    </row>
    <row r="933" spans="23:27" x14ac:dyDescent="0.2">
      <c r="W933" s="203" t="str">
        <f t="shared" si="24"/>
        <v>1w</v>
      </c>
      <c r="X933" s="287">
        <f>_xll.qlCalendarAdvance(Calendar,X932,W933,"f",FALSE)</f>
        <v>45428</v>
      </c>
      <c r="Y933" s="281">
        <f>_xll.qlCalendarAdvance(Calendar,X933,NDays&amp;"D")</f>
        <v>45432</v>
      </c>
      <c r="Z933" s="282">
        <v>1.4706803770900449E-2</v>
      </c>
      <c r="AA933" s="284">
        <v>1.4424540296849031E-2</v>
      </c>
    </row>
    <row r="934" spans="23:27" x14ac:dyDescent="0.2">
      <c r="W934" s="203" t="str">
        <f t="shared" si="24"/>
        <v>1w</v>
      </c>
      <c r="X934" s="287">
        <f>_xll.qlCalendarAdvance(Calendar,X933,W934,"f",FALSE)</f>
        <v>45435</v>
      </c>
      <c r="Y934" s="281">
        <f>_xll.qlCalendarAdvance(Calendar,X934,NDays&amp;"D")</f>
        <v>45440</v>
      </c>
      <c r="Z934" s="282">
        <v>1.4751996970423993E-2</v>
      </c>
      <c r="AA934" s="284">
        <v>1.4468755666614541E-2</v>
      </c>
    </row>
    <row r="935" spans="23:27" x14ac:dyDescent="0.2">
      <c r="W935" s="203" t="str">
        <f t="shared" si="24"/>
        <v>1w</v>
      </c>
      <c r="X935" s="287">
        <f>_xll.qlCalendarAdvance(Calendar,X934,W935,"f",FALSE)</f>
        <v>45442</v>
      </c>
      <c r="Y935" s="281">
        <f>_xll.qlCalendarAdvance(Calendar,X935,NDays&amp;"D")</f>
        <v>45446</v>
      </c>
      <c r="Z935" s="282">
        <v>1.4785947229629672E-2</v>
      </c>
      <c r="AA935" s="284">
        <v>1.4502156008067146E-2</v>
      </c>
    </row>
    <row r="936" spans="23:27" x14ac:dyDescent="0.2">
      <c r="W936" s="203" t="str">
        <f t="shared" si="24"/>
        <v>1w</v>
      </c>
      <c r="X936" s="287">
        <f>_xll.qlCalendarAdvance(Calendar,X935,W936,"f",FALSE)</f>
        <v>45449</v>
      </c>
      <c r="Y936" s="281">
        <f>_xll.qlCalendarAdvance(Calendar,X936,NDays&amp;"D")</f>
        <v>45453</v>
      </c>
      <c r="Z936" s="282">
        <v>1.4825597960779396E-2</v>
      </c>
      <c r="AA936" s="284">
        <v>1.4541380930896963E-2</v>
      </c>
    </row>
    <row r="937" spans="23:27" x14ac:dyDescent="0.2">
      <c r="W937" s="203" t="str">
        <f t="shared" si="24"/>
        <v>1w</v>
      </c>
      <c r="X937" s="287">
        <f>_xll.qlCalendarAdvance(Calendar,X936,W937,"f",FALSE)</f>
        <v>45456</v>
      </c>
      <c r="Y937" s="281">
        <f>_xll.qlCalendarAdvance(Calendar,X937,NDays&amp;"D")</f>
        <v>45460</v>
      </c>
      <c r="Z937" s="282">
        <v>1.4865278897988514E-2</v>
      </c>
      <c r="AA937" s="284">
        <v>1.4580741262131269E-2</v>
      </c>
    </row>
    <row r="938" spans="23:27" x14ac:dyDescent="0.2">
      <c r="W938" s="203" t="str">
        <f t="shared" si="24"/>
        <v>1w</v>
      </c>
      <c r="X938" s="287">
        <f>_xll.qlCalendarAdvance(Calendar,X937,W938,"f",FALSE)</f>
        <v>45463</v>
      </c>
      <c r="Y938" s="281">
        <f>_xll.qlCalendarAdvance(Calendar,X938,NDays&amp;"D")</f>
        <v>45467</v>
      </c>
      <c r="Z938" s="282">
        <v>1.4904986833003363E-2</v>
      </c>
      <c r="AA938" s="284">
        <v>1.4620128094726681E-2</v>
      </c>
    </row>
    <row r="939" spans="23:27" x14ac:dyDescent="0.2">
      <c r="W939" s="203" t="str">
        <f t="shared" si="24"/>
        <v>1w</v>
      </c>
      <c r="X939" s="287">
        <f>_xll.qlCalendarAdvance(Calendar,X938,W939,"f",FALSE)</f>
        <v>45470</v>
      </c>
      <c r="Y939" s="281">
        <f>_xll.qlCalendarAdvance(Calendar,X939,NDays&amp;"D")</f>
        <v>45474</v>
      </c>
      <c r="Z939" s="282">
        <v>1.4944721766633728E-2</v>
      </c>
      <c r="AA939" s="284">
        <v>1.4659541428683198E-2</v>
      </c>
    </row>
    <row r="940" spans="23:27" x14ac:dyDescent="0.2">
      <c r="W940" s="203" t="str">
        <f t="shared" si="24"/>
        <v>1w</v>
      </c>
      <c r="X940" s="287">
        <f>_xll.qlCalendarAdvance(Calendar,X939,W940,"f",FALSE)</f>
        <v>45477</v>
      </c>
      <c r="Y940" s="281">
        <f>_xll.qlCalendarAdvance(Calendar,X940,NDays&amp;"D")</f>
        <v>45481</v>
      </c>
      <c r="Z940" s="282">
        <v>1.4984483699691135E-2</v>
      </c>
      <c r="AA940" s="284">
        <v>1.4698981264000821E-2</v>
      </c>
    </row>
    <row r="941" spans="23:27" x14ac:dyDescent="0.2">
      <c r="W941" s="203" t="str">
        <f t="shared" si="24"/>
        <v>1w</v>
      </c>
      <c r="X941" s="287">
        <f>_xll.qlCalendarAdvance(Calendar,X940,W941,"f",FALSE)</f>
        <v>45484</v>
      </c>
      <c r="Y941" s="281">
        <f>_xll.qlCalendarAdvance(Calendar,X941,NDays&amp;"D")</f>
        <v>45489</v>
      </c>
      <c r="Z941" s="282">
        <v>1.5029958970464514E-2</v>
      </c>
      <c r="AA941" s="284">
        <v>1.474408781233727E-2</v>
      </c>
    </row>
    <row r="942" spans="23:27" x14ac:dyDescent="0.2">
      <c r="W942" s="203" t="str">
        <f t="shared" si="24"/>
        <v>1w</v>
      </c>
      <c r="X942" s="287">
        <f>_xll.qlCalendarAdvance(Calendar,X941,W942,"f",FALSE)</f>
        <v>45491</v>
      </c>
      <c r="Y942" s="281">
        <f>_xll.qlCalendarAdvance(Calendar,X942,NDays&amp;"D")</f>
        <v>45495</v>
      </c>
      <c r="Z942" s="282">
        <v>1.5064088567335781E-2</v>
      </c>
      <c r="AA942" s="284">
        <v>1.4777940439039128E-2</v>
      </c>
    </row>
    <row r="943" spans="23:27" x14ac:dyDescent="0.2">
      <c r="W943" s="203" t="str">
        <f t="shared" si="24"/>
        <v>1w</v>
      </c>
      <c r="X943" s="287">
        <f>_xll.qlCalendarAdvance(Calendar,X942,W943,"f",FALSE)</f>
        <v>45498</v>
      </c>
      <c r="Y943" s="281">
        <f>_xll.qlCalendarAdvance(Calendar,X943,NDays&amp;"D")</f>
        <v>45502</v>
      </c>
      <c r="Z943" s="282">
        <v>1.5103931503547807E-2</v>
      </c>
      <c r="AA943" s="284">
        <v>1.4817459778679876E-2</v>
      </c>
    </row>
    <row r="944" spans="23:27" x14ac:dyDescent="0.2">
      <c r="W944" s="203" t="str">
        <f t="shared" si="24"/>
        <v>1w</v>
      </c>
      <c r="X944" s="287">
        <f>_xll.qlCalendarAdvance(Calendar,X943,W944,"f",FALSE)</f>
        <v>45505</v>
      </c>
      <c r="Y944" s="281">
        <f>_xll.qlCalendarAdvance(Calendar,X944,NDays&amp;"D")</f>
        <v>45509</v>
      </c>
      <c r="Z944" s="282">
        <v>1.5143801442437318E-2</v>
      </c>
      <c r="AA944" s="284">
        <v>1.4857005619841601E-2</v>
      </c>
    </row>
    <row r="945" spans="23:27" x14ac:dyDescent="0.2">
      <c r="W945" s="203" t="str">
        <f t="shared" si="24"/>
        <v>1w</v>
      </c>
      <c r="X945" s="287">
        <f>_xll.qlCalendarAdvance(Calendar,X944,W945,"f",FALSE)</f>
        <v>45512</v>
      </c>
      <c r="Y945" s="281">
        <f>_xll.qlCalendarAdvance(Calendar,X945,NDays&amp;"D")</f>
        <v>45516</v>
      </c>
      <c r="Z945" s="282">
        <v>1.5183698384818445E-2</v>
      </c>
      <c r="AA945" s="284">
        <v>1.4896577962364432E-2</v>
      </c>
    </row>
    <row r="946" spans="23:27" x14ac:dyDescent="0.2">
      <c r="W946" s="203" t="str">
        <f t="shared" si="24"/>
        <v>1w</v>
      </c>
      <c r="X946" s="287">
        <f>_xll.qlCalendarAdvance(Calendar,X945,W946,"f",FALSE)</f>
        <v>45519</v>
      </c>
      <c r="Y946" s="281">
        <f>_xll.qlCalendarAdvance(Calendar,X946,NDays&amp;"D")</f>
        <v>45523</v>
      </c>
      <c r="Z946" s="282">
        <v>1.522362233150619E-2</v>
      </c>
      <c r="AA946" s="284">
        <v>1.4936176806328305E-2</v>
      </c>
    </row>
    <row r="947" spans="23:27" x14ac:dyDescent="0.2">
      <c r="W947" s="203" t="str">
        <f t="shared" si="24"/>
        <v>1w</v>
      </c>
      <c r="X947" s="287">
        <f>_xll.qlCalendarAdvance(Calendar,X946,W947,"f",FALSE)</f>
        <v>45526</v>
      </c>
      <c r="Y947" s="281">
        <f>_xll.qlCalendarAdvance(Calendar,X947,NDays&amp;"D")</f>
        <v>45531</v>
      </c>
      <c r="Z947" s="282">
        <v>1.52692827666912E-2</v>
      </c>
      <c r="AA947" s="284">
        <v>1.4981465078820477E-2</v>
      </c>
    </row>
    <row r="948" spans="23:27" x14ac:dyDescent="0.2">
      <c r="W948" s="203" t="str">
        <f t="shared" si="24"/>
        <v>1w</v>
      </c>
      <c r="X948" s="287">
        <f>_xll.qlCalendarAdvance(Calendar,X947,W948,"f",FALSE)</f>
        <v>45533</v>
      </c>
      <c r="Y948" s="281">
        <f>_xll.qlCalendarAdvance(Calendar,X948,NDays&amp;"D")</f>
        <v>45537</v>
      </c>
      <c r="Z948" s="282">
        <v>1.5300365911018942E-2</v>
      </c>
      <c r="AA948" s="284">
        <v>1.5015453998739048E-2</v>
      </c>
    </row>
    <row r="949" spans="23:27" x14ac:dyDescent="0.2">
      <c r="W949" s="203" t="str">
        <f t="shared" si="24"/>
        <v>1w</v>
      </c>
      <c r="X949" s="287">
        <f>_xll.qlCalendarAdvance(Calendar,X948,W949,"f",FALSE)</f>
        <v>45540</v>
      </c>
      <c r="Y949" s="281">
        <f>_xll.qlCalendarAdvance(Calendar,X949,NDays&amp;"D")</f>
        <v>45544</v>
      </c>
      <c r="Z949" s="282">
        <v>1.5340367247326445E-2</v>
      </c>
      <c r="AA949" s="284">
        <v>1.5055132347105982E-2</v>
      </c>
    </row>
    <row r="950" spans="23:27" x14ac:dyDescent="0.2">
      <c r="W950" s="203" t="str">
        <f t="shared" si="24"/>
        <v>1w</v>
      </c>
      <c r="X950" s="287">
        <f>_xll.qlCalendarAdvance(Calendar,X949,W950,"f",FALSE)</f>
        <v>45547</v>
      </c>
      <c r="Y950" s="281">
        <f>_xll.qlCalendarAdvance(Calendar,X950,NDays&amp;"D")</f>
        <v>45552</v>
      </c>
      <c r="Z950" s="282">
        <v>1.5386116123886909E-2</v>
      </c>
      <c r="AA950" s="284">
        <v>1.510051148179592E-2</v>
      </c>
    </row>
    <row r="951" spans="23:27" x14ac:dyDescent="0.2">
      <c r="W951" s="203" t="str">
        <f t="shared" si="24"/>
        <v>1w</v>
      </c>
      <c r="X951" s="287">
        <f>_xll.qlCalendarAdvance(Calendar,X950,W951,"f",FALSE)</f>
        <v>45554</v>
      </c>
      <c r="Y951" s="281">
        <f>_xll.qlCalendarAdvance(Calendar,X951,NDays&amp;"D")</f>
        <v>45559</v>
      </c>
      <c r="Z951" s="282">
        <v>1.5426175322468505E-2</v>
      </c>
      <c r="AA951" s="284">
        <v>1.5140246619216313E-2</v>
      </c>
    </row>
    <row r="952" spans="23:27" x14ac:dyDescent="0.2">
      <c r="W952" s="203" t="str">
        <f t="shared" si="24"/>
        <v>1w</v>
      </c>
      <c r="X952" s="287">
        <f>_xll.qlCalendarAdvance(Calendar,X951,W952,"f",FALSE)</f>
        <v>45561</v>
      </c>
      <c r="Y952" s="281">
        <f>_xll.qlCalendarAdvance(Calendar,X952,NDays&amp;"D")</f>
        <v>45565</v>
      </c>
      <c r="Z952" s="282">
        <v>1.546053327107688E-2</v>
      </c>
      <c r="AA952" s="284">
        <v>1.517432640133265E-2</v>
      </c>
    </row>
    <row r="953" spans="23:27" x14ac:dyDescent="0.2">
      <c r="W953" s="203" t="str">
        <f t="shared" si="24"/>
        <v>1w</v>
      </c>
      <c r="X953" s="287">
        <f>_xll.qlCalendarAdvance(Calendar,X952,W953,"f",FALSE)</f>
        <v>45568</v>
      </c>
      <c r="Y953" s="281">
        <f>_xll.qlCalendarAdvance(Calendar,X953,NDays&amp;"D")</f>
        <v>45572</v>
      </c>
      <c r="Z953" s="282">
        <v>1.5503846147429126E-2</v>
      </c>
      <c r="AA953" s="284">
        <v>1.5214110755783494E-2</v>
      </c>
    </row>
    <row r="954" spans="23:27" x14ac:dyDescent="0.2">
      <c r="W954" s="203" t="str">
        <f t="shared" si="24"/>
        <v>1w</v>
      </c>
      <c r="X954" s="287">
        <f>_xll.qlCalendarAdvance(Calendar,X953,W954,"f",FALSE)</f>
        <v>45575</v>
      </c>
      <c r="Y954" s="281">
        <f>_xll.qlCalendarAdvance(Calendar,X954,NDays&amp;"D")</f>
        <v>45580</v>
      </c>
      <c r="Z954" s="282">
        <v>1.5549722650188402E-2</v>
      </c>
      <c r="AA954" s="284">
        <v>1.5259611040283616E-2</v>
      </c>
    </row>
    <row r="955" spans="23:27" x14ac:dyDescent="0.2">
      <c r="W955" s="203" t="str">
        <f t="shared" si="24"/>
        <v>1w</v>
      </c>
      <c r="X955" s="287">
        <f>_xll.qlCalendarAdvance(Calendar,X954,W955,"f",FALSE)</f>
        <v>45582</v>
      </c>
      <c r="Y955" s="281">
        <f>_xll.qlCalendarAdvance(Calendar,X955,NDays&amp;"D")</f>
        <v>45586</v>
      </c>
      <c r="Z955" s="282">
        <v>1.5584153180145945E-2</v>
      </c>
      <c r="AA955" s="284">
        <v>1.5293758969248117E-2</v>
      </c>
    </row>
    <row r="956" spans="23:27" x14ac:dyDescent="0.2">
      <c r="W956" s="203" t="str">
        <f t="shared" si="24"/>
        <v>1w</v>
      </c>
      <c r="X956" s="287">
        <f>_xll.qlCalendarAdvance(Calendar,X955,W956,"f",FALSE)</f>
        <v>45589</v>
      </c>
      <c r="Y956" s="281">
        <f>_xll.qlCalendarAdvance(Calendar,X956,NDays&amp;"D")</f>
        <v>45593</v>
      </c>
      <c r="Z956" s="282">
        <v>1.562434721481871E-2</v>
      </c>
      <c r="AA956" s="284">
        <v>1.5333622828261895E-2</v>
      </c>
    </row>
    <row r="957" spans="23:27" x14ac:dyDescent="0.2">
      <c r="W957" s="203" t="str">
        <f t="shared" si="24"/>
        <v>1w</v>
      </c>
      <c r="X957" s="287">
        <f>_xll.qlCalendarAdvance(Calendar,X956,W957,"f",FALSE)</f>
        <v>45596</v>
      </c>
      <c r="Y957" s="281">
        <f>_xll.qlCalendarAdvance(Calendar,X957,NDays&amp;"D")</f>
        <v>45601</v>
      </c>
      <c r="Z957" s="282">
        <v>1.5670316332005416E-2</v>
      </c>
      <c r="AA957" s="284">
        <v>1.537921397519959E-2</v>
      </c>
    </row>
    <row r="958" spans="23:27" x14ac:dyDescent="0.2">
      <c r="W958" s="203" t="str">
        <f t="shared" si="24"/>
        <v>1w</v>
      </c>
      <c r="X958" s="287">
        <f>_xll.qlCalendarAdvance(Calendar,X957,W958,"f",FALSE)</f>
        <v>45603</v>
      </c>
      <c r="Y958" s="281">
        <f>_xll.qlCalendarAdvance(Calendar,X958,NDays&amp;"D")</f>
        <v>45607</v>
      </c>
      <c r="Z958" s="282">
        <v>1.5708038635403061E-2</v>
      </c>
      <c r="AA958" s="284">
        <v>1.5413430051012256E-2</v>
      </c>
    </row>
    <row r="959" spans="23:27" x14ac:dyDescent="0.2">
      <c r="W959" s="203" t="str">
        <f t="shared" si="24"/>
        <v>1w</v>
      </c>
      <c r="X959" s="287">
        <f>_xll.qlCalendarAdvance(Calendar,X958,W959,"f",FALSE)</f>
        <v>45610</v>
      </c>
      <c r="Y959" s="281">
        <f>_xll.qlCalendarAdvance(Calendar,X959,NDays&amp;"D")</f>
        <v>45614</v>
      </c>
      <c r="Z959" s="282">
        <v>1.5745091401939599E-2</v>
      </c>
      <c r="AA959" s="284">
        <v>1.5453373414748839E-2</v>
      </c>
    </row>
    <row r="960" spans="23:27" x14ac:dyDescent="0.2">
      <c r="W960" s="203" t="str">
        <f t="shared" si="24"/>
        <v>1w</v>
      </c>
      <c r="X960" s="287">
        <f>_xll.qlCalendarAdvance(Calendar,X959,W960,"f",FALSE)</f>
        <v>45617</v>
      </c>
      <c r="Y960" s="281">
        <f>_xll.qlCalendarAdvance(Calendar,X960,NDays&amp;"D")</f>
        <v>45621</v>
      </c>
      <c r="Z960" s="282">
        <v>1.5785393494753927E-2</v>
      </c>
      <c r="AA960" s="284">
        <v>1.54933432800064E-2</v>
      </c>
    </row>
    <row r="961" spans="23:27" x14ac:dyDescent="0.2">
      <c r="W961" s="203" t="str">
        <f t="shared" si="24"/>
        <v>1w</v>
      </c>
      <c r="X961" s="287">
        <f>_xll.qlCalendarAdvance(Calendar,X960,W961,"f",FALSE)</f>
        <v>45624</v>
      </c>
      <c r="Y961" s="281">
        <f>_xll.qlCalendarAdvance(Calendar,X961,NDays&amp;"D")</f>
        <v>45628</v>
      </c>
      <c r="Z961" s="282">
        <v>1.5822489665326369E-2</v>
      </c>
      <c r="AA961" s="284">
        <v>1.553333964694481E-2</v>
      </c>
    </row>
    <row r="962" spans="23:27" x14ac:dyDescent="0.2">
      <c r="W962" s="203" t="str">
        <f t="shared" si="24"/>
        <v>1w</v>
      </c>
      <c r="X962" s="287">
        <f>_xll.qlCalendarAdvance(Calendar,X961,W962,"f",FALSE)</f>
        <v>45631</v>
      </c>
      <c r="Y962" s="281">
        <f>_xll.qlCalendarAdvance(Calendar,X962,NDays&amp;"D")</f>
        <v>45635</v>
      </c>
      <c r="Z962" s="282">
        <v>1.5862842089963271E-2</v>
      </c>
      <c r="AA962" s="284">
        <v>1.5573362515404199E-2</v>
      </c>
    </row>
    <row r="963" spans="23:27" x14ac:dyDescent="0.2">
      <c r="W963" s="203" t="str">
        <f t="shared" si="24"/>
        <v>1w</v>
      </c>
      <c r="X963" s="287">
        <f>_xll.qlCalendarAdvance(Calendar,X962,W963,"f",FALSE)</f>
        <v>45638</v>
      </c>
      <c r="Y963" s="281">
        <f>_xll.qlCalendarAdvance(Calendar,X963,NDays&amp;"D")</f>
        <v>45642</v>
      </c>
      <c r="Z963" s="282">
        <v>1.5903221527084729E-2</v>
      </c>
      <c r="AA963" s="284">
        <v>1.5613411885544437E-2</v>
      </c>
    </row>
    <row r="964" spans="23:27" x14ac:dyDescent="0.2">
      <c r="W964" s="203" t="str">
        <f t="shared" si="24"/>
        <v>1w</v>
      </c>
      <c r="X964" s="287">
        <f>_xll.qlCalendarAdvance(Calendar,X963,W964,"f",FALSE)</f>
        <v>45645</v>
      </c>
      <c r="Y964" s="281">
        <f>_xll.qlCalendarAdvance(Calendar,X964,NDays&amp;"D")</f>
        <v>45650</v>
      </c>
      <c r="Z964" s="282">
        <v>1.5946158388300269E-2</v>
      </c>
      <c r="AA964" s="284">
        <v>1.5665624704199743E-2</v>
      </c>
    </row>
    <row r="965" spans="23:27" x14ac:dyDescent="0.2">
      <c r="W965" s="203" t="str">
        <f t="shared" si="24"/>
        <v>1w</v>
      </c>
      <c r="X965" s="287">
        <f>_xll.qlCalendarAdvance(Calendar,X964,W965,"f",FALSE)</f>
        <v>45653</v>
      </c>
      <c r="Y965" s="281">
        <f>_xll.qlCalendarAdvance(Calendar,X965,NDays&amp;"D")</f>
        <v>45663</v>
      </c>
      <c r="Z965" s="282">
        <v>1.6024521921510798E-2</v>
      </c>
      <c r="AA965" s="284">
        <v>1.5733719005570634E-2</v>
      </c>
    </row>
    <row r="966" spans="23:27" x14ac:dyDescent="0.2">
      <c r="W966" s="203" t="str">
        <f t="shared" si="24"/>
        <v>1w</v>
      </c>
      <c r="X966" s="287">
        <f>_xll.qlCalendarAdvance(Calendar,X965,W966,"f",FALSE)</f>
        <v>45663</v>
      </c>
      <c r="Y966" s="281">
        <f>_xll.qlCalendarAdvance(Calendar,X966,NDays&amp;"D")</f>
        <v>45665</v>
      </c>
      <c r="Z966" s="282">
        <v>1.6032834898839887E-2</v>
      </c>
      <c r="AA966" s="284">
        <v>1.5745189266072046E-2</v>
      </c>
    </row>
    <row r="967" spans="23:27" x14ac:dyDescent="0.2">
      <c r="W967" s="203" t="str">
        <f t="shared" si="24"/>
        <v>1w</v>
      </c>
      <c r="X967" s="287">
        <f>_xll.qlCalendarAdvance(Calendar,X966,W967,"f",FALSE)</f>
        <v>45671</v>
      </c>
      <c r="Y967" s="281">
        <f>_xll.qlCalendarAdvance(Calendar,X967,NDays&amp;"D")</f>
        <v>45673</v>
      </c>
      <c r="Z967" s="282">
        <v>1.6079113083632635E-2</v>
      </c>
      <c r="AA967" s="284">
        <v>1.5791091942052304E-2</v>
      </c>
    </row>
    <row r="968" spans="23:27" x14ac:dyDescent="0.2">
      <c r="W968" s="203" t="str">
        <f t="shared" si="24"/>
        <v>1w</v>
      </c>
      <c r="X968" s="287">
        <f>_xll.qlCalendarAdvance(Calendar,X967,W968,"f",FALSE)</f>
        <v>45678</v>
      </c>
      <c r="Y968" s="281">
        <f>_xll.qlCalendarAdvance(Calendar,X968,NDays&amp;"D")</f>
        <v>45680</v>
      </c>
      <c r="Z968" s="282">
        <v>1.6119635435765112E-2</v>
      </c>
      <c r="AA968" s="284">
        <v>1.5831285178151688E-2</v>
      </c>
    </row>
    <row r="969" spans="23:27" x14ac:dyDescent="0.2">
      <c r="W969" s="203" t="str">
        <f t="shared" si="24"/>
        <v>1w</v>
      </c>
      <c r="X969" s="287">
        <f>_xll.qlCalendarAdvance(Calendar,X968,W969,"f",FALSE)</f>
        <v>45685</v>
      </c>
      <c r="Y969" s="281">
        <f>_xll.qlCalendarAdvance(Calendar,X969,NDays&amp;"D")</f>
        <v>45687</v>
      </c>
      <c r="Z969" s="282">
        <v>1.6160184799821842E-2</v>
      </c>
      <c r="AA969" s="284">
        <v>1.5871504915931922E-2</v>
      </c>
    </row>
    <row r="970" spans="23:27" x14ac:dyDescent="0.2">
      <c r="W970" s="203" t="str">
        <f t="shared" si="24"/>
        <v>1w</v>
      </c>
      <c r="X970" s="287">
        <f>_xll.qlCalendarAdvance(Calendar,X969,W970,"f",FALSE)</f>
        <v>45692</v>
      </c>
      <c r="Y970" s="281">
        <f>_xll.qlCalendarAdvance(Calendar,X970,NDays&amp;"D")</f>
        <v>45694</v>
      </c>
      <c r="Z970" s="282">
        <v>1.6200761176612843E-2</v>
      </c>
      <c r="AA970" s="284">
        <v>1.5911751155393006E-2</v>
      </c>
    </row>
    <row r="971" spans="23:27" x14ac:dyDescent="0.2">
      <c r="W971" s="203" t="str">
        <f t="shared" si="24"/>
        <v>1w</v>
      </c>
      <c r="X971" s="287">
        <f>_xll.qlCalendarAdvance(Calendar,X970,W971,"f",FALSE)</f>
        <v>45700</v>
      </c>
      <c r="Y971" s="281">
        <f>_xll.qlCalendarAdvance(Calendar,X971,NDays&amp;"D")</f>
        <v>45702</v>
      </c>
      <c r="Z971" s="282">
        <v>1.6243895799568836E-2</v>
      </c>
      <c r="AA971" s="284">
        <v>1.5964243325843341E-2</v>
      </c>
    </row>
    <row r="972" spans="23:27" x14ac:dyDescent="0.2">
      <c r="W972" s="203" t="str">
        <f t="shared" si="24"/>
        <v>1w</v>
      </c>
      <c r="X972" s="287">
        <f>_xll.qlCalendarAdvance(Calendar,X971,W972,"f",FALSE)</f>
        <v>45707</v>
      </c>
      <c r="Y972" s="281">
        <f>_xll.qlCalendarAdvance(Calendar,X972,NDays&amp;"D")</f>
        <v>45709</v>
      </c>
      <c r="Z972" s="282">
        <v>1.6284526301867198E-2</v>
      </c>
      <c r="AA972" s="284">
        <v>1.600455371982612E-2</v>
      </c>
    </row>
    <row r="973" spans="23:27" x14ac:dyDescent="0.2">
      <c r="W973" s="203" t="str">
        <f t="shared" si="24"/>
        <v>1w</v>
      </c>
      <c r="X973" s="287">
        <f>_xll.qlCalendarAdvance(Calendar,X972,W973,"f",FALSE)</f>
        <v>45714</v>
      </c>
      <c r="Y973" s="281">
        <f>_xll.qlCalendarAdvance(Calendar,X973,NDays&amp;"D")</f>
        <v>45716</v>
      </c>
      <c r="Z973" s="282">
        <v>1.6331742243445635E-2</v>
      </c>
      <c r="AA973" s="284">
        <v>1.604489062689396E-2</v>
      </c>
    </row>
    <row r="974" spans="23:27" x14ac:dyDescent="0.2">
      <c r="W974" s="203" t="str">
        <f t="shared" si="24"/>
        <v>1w</v>
      </c>
      <c r="X974" s="287">
        <f>_xll.qlCalendarAdvance(Calendar,X973,W974,"f",FALSE)</f>
        <v>45721</v>
      </c>
      <c r="Y974" s="281">
        <f>_xll.qlCalendarAdvance(Calendar,X974,NDays&amp;"D")</f>
        <v>45723</v>
      </c>
      <c r="Z974" s="282">
        <v>1.6382286719583378E-2</v>
      </c>
      <c r="AA974" s="284">
        <v>1.608525404710015E-2</v>
      </c>
    </row>
    <row r="975" spans="23:27" x14ac:dyDescent="0.2">
      <c r="W975" s="203" t="str">
        <f t="shared" si="24"/>
        <v>1w</v>
      </c>
      <c r="X975" s="287">
        <f>_xll.qlCalendarAdvance(Calendar,X974,W975,"f",FALSE)</f>
        <v>45728</v>
      </c>
      <c r="Y975" s="281">
        <f>_xll.qlCalendarAdvance(Calendar,X975,NDays&amp;"D")</f>
        <v>45730</v>
      </c>
      <c r="Z975" s="282">
        <v>1.6423017157922902E-2</v>
      </c>
      <c r="AA975" s="284">
        <v>1.6125643980444693E-2</v>
      </c>
    </row>
    <row r="976" spans="23:27" x14ac:dyDescent="0.2">
      <c r="W976" s="203" t="str">
        <f t="shared" si="24"/>
        <v>1w</v>
      </c>
      <c r="X976" s="287">
        <f>_xll.qlCalendarAdvance(Calendar,X975,W976,"f",FALSE)</f>
        <v>45735</v>
      </c>
      <c r="Y976" s="281">
        <f>_xll.qlCalendarAdvance(Calendar,X976,NDays&amp;"D")</f>
        <v>45740</v>
      </c>
      <c r="Z976" s="282">
        <v>1.6463774637503162E-2</v>
      </c>
      <c r="AA976" s="284">
        <v>1.6176885740479818E-2</v>
      </c>
    </row>
    <row r="977" spans="23:27" x14ac:dyDescent="0.2">
      <c r="W977" s="203" t="str">
        <f t="shared" si="24"/>
        <v>1w</v>
      </c>
      <c r="X977" s="287">
        <f>_xll.qlCalendarAdvance(Calendar,X976,W977,"f",FALSE)</f>
        <v>45742</v>
      </c>
      <c r="Y977" s="281">
        <f>_xll.qlCalendarAdvance(Calendar,X977,NDays&amp;"D")</f>
        <v>45744</v>
      </c>
      <c r="Z977" s="282">
        <v>1.650455915917454E-2</v>
      </c>
      <c r="AA977" s="284">
        <v>1.6206503386628768E-2</v>
      </c>
    </row>
    <row r="978" spans="23:27" x14ac:dyDescent="0.2">
      <c r="W978" s="203" t="str">
        <f t="shared" si="24"/>
        <v>1w</v>
      </c>
      <c r="X978" s="287">
        <f>_xll.qlCalendarAdvance(Calendar,X977,W978,"f",FALSE)</f>
        <v>45749</v>
      </c>
      <c r="Y978" s="281">
        <f>_xll.qlCalendarAdvance(Calendar,X978,NDays&amp;"D")</f>
        <v>45751</v>
      </c>
      <c r="Z978" s="282">
        <v>1.6535472827467985E-2</v>
      </c>
      <c r="AA978" s="284">
        <v>1.6246972859548237E-2</v>
      </c>
    </row>
    <row r="979" spans="23:27" x14ac:dyDescent="0.2">
      <c r="W979" s="203" t="str">
        <f t="shared" si="24"/>
        <v>1w</v>
      </c>
      <c r="X979" s="287">
        <f>_xll.qlCalendarAdvance(Calendar,X978,W979,"f",FALSE)</f>
        <v>45756</v>
      </c>
      <c r="Y979" s="281">
        <f>_xll.qlCalendarAdvance(Calendar,X979,NDays&amp;"D")</f>
        <v>45758</v>
      </c>
      <c r="Z979" s="282">
        <v>1.6576300019185041E-2</v>
      </c>
      <c r="AA979" s="284">
        <v>1.6287468845739284E-2</v>
      </c>
    </row>
    <row r="980" spans="23:27" x14ac:dyDescent="0.2">
      <c r="W980" s="203" t="str">
        <f t="shared" si="24"/>
        <v>1w</v>
      </c>
      <c r="X980" s="287">
        <f>_xll.qlCalendarAdvance(Calendar,X979,W980,"f",FALSE)</f>
        <v>45763</v>
      </c>
      <c r="Y980" s="281">
        <f>_xll.qlCalendarAdvance(Calendar,X980,NDays&amp;"D")</f>
        <v>45769</v>
      </c>
      <c r="Z980" s="282">
        <v>1.6640511640414871E-2</v>
      </c>
      <c r="AA980" s="284">
        <v>1.6344623981217055E-2</v>
      </c>
    </row>
    <row r="981" spans="23:27" x14ac:dyDescent="0.2">
      <c r="W981" s="203" t="str">
        <f t="shared" ref="W981:W1044" si="25">W980</f>
        <v>1w</v>
      </c>
      <c r="X981" s="287">
        <f>_xll.qlCalendarAdvance(Calendar,X980,W981,"f",FALSE)</f>
        <v>45770</v>
      </c>
      <c r="Y981" s="281">
        <f>_xll.qlCalendarAdvance(Calendar,X981,NDays&amp;"D")</f>
        <v>45772</v>
      </c>
      <c r="Z981" s="282">
        <v>1.6658035484126376E-2</v>
      </c>
      <c r="AA981" s="284">
        <v>1.6368540357936112E-2</v>
      </c>
    </row>
    <row r="982" spans="23:27" x14ac:dyDescent="0.2">
      <c r="W982" s="203" t="str">
        <f t="shared" si="25"/>
        <v>1w</v>
      </c>
      <c r="X982" s="287">
        <f>_xll.qlCalendarAdvance(Calendar,X981,W982,"f",FALSE)</f>
        <v>45777</v>
      </c>
      <c r="Y982" s="281">
        <f>_xll.qlCalendarAdvance(Calendar,X982,NDays&amp;"D")</f>
        <v>45779</v>
      </c>
      <c r="Z982" s="282">
        <v>1.6708887428705018E-2</v>
      </c>
      <c r="AA982" s="284">
        <v>1.641566337190703E-2</v>
      </c>
    </row>
    <row r="983" spans="23:27" x14ac:dyDescent="0.2">
      <c r="W983" s="203" t="str">
        <f t="shared" si="25"/>
        <v>1w</v>
      </c>
      <c r="X983" s="287">
        <f>_xll.qlCalendarAdvance(Calendar,X982,W983,"f",FALSE)</f>
        <v>45784</v>
      </c>
      <c r="Y983" s="281">
        <f>_xll.qlCalendarAdvance(Calendar,X983,NDays&amp;"D")</f>
        <v>45786</v>
      </c>
      <c r="Z983" s="282">
        <v>1.6749834220815184E-2</v>
      </c>
      <c r="AA983" s="284">
        <v>1.6449717923485707E-2</v>
      </c>
    </row>
    <row r="984" spans="23:27" x14ac:dyDescent="0.2">
      <c r="W984" s="203" t="str">
        <f t="shared" si="25"/>
        <v>1w</v>
      </c>
      <c r="X984" s="287">
        <f>_xll.qlCalendarAdvance(Calendar,X983,W984,"f",FALSE)</f>
        <v>45791</v>
      </c>
      <c r="Y984" s="281">
        <f>_xll.qlCalendarAdvance(Calendar,X984,NDays&amp;"D")</f>
        <v>45793</v>
      </c>
      <c r="Z984" s="282">
        <v>1.6790808060986161E-2</v>
      </c>
      <c r="AA984" s="284">
        <v>1.6490346476301099E-2</v>
      </c>
    </row>
    <row r="985" spans="23:27" x14ac:dyDescent="0.2">
      <c r="W985" s="203" t="str">
        <f t="shared" si="25"/>
        <v>1w</v>
      </c>
      <c r="X985" s="287">
        <f>_xll.qlCalendarAdvance(Calendar,X984,W985,"f",FALSE)</f>
        <v>45798</v>
      </c>
      <c r="Y985" s="281">
        <f>_xll.qlCalendarAdvance(Calendar,X985,NDays&amp;"D")</f>
        <v>45800</v>
      </c>
      <c r="Z985" s="282">
        <v>1.683513595070707E-2</v>
      </c>
      <c r="AA985" s="284">
        <v>1.6534286317133606E-2</v>
      </c>
    </row>
    <row r="986" spans="23:27" x14ac:dyDescent="0.2">
      <c r="W986" s="203" t="str">
        <f t="shared" si="25"/>
        <v>1w</v>
      </c>
      <c r="X986" s="287">
        <f>_xll.qlCalendarAdvance(Calendar,X985,W986,"f",FALSE)</f>
        <v>45805</v>
      </c>
      <c r="Y986" s="281">
        <f>_xll.qlCalendarAdvance(Calendar,X986,NDays&amp;"D")</f>
        <v>45807</v>
      </c>
      <c r="Z986" s="282">
        <v>1.6862847160482624E-2</v>
      </c>
      <c r="AA986" s="284">
        <v>1.6571683122226233E-2</v>
      </c>
    </row>
    <row r="987" spans="23:27" x14ac:dyDescent="0.2">
      <c r="W987" s="203" t="str">
        <f t="shared" si="25"/>
        <v>1w</v>
      </c>
      <c r="X987" s="287">
        <f>_xll.qlCalendarAdvance(Calendar,X986,W987,"f",FALSE)</f>
        <v>45812</v>
      </c>
      <c r="Y987" s="281">
        <f>_xll.qlCalendarAdvance(Calendar,X987,NDays&amp;"D")</f>
        <v>45814</v>
      </c>
      <c r="Z987" s="282">
        <v>1.6913891878416281E-2</v>
      </c>
      <c r="AA987" s="284">
        <v>1.6612391215362621E-2</v>
      </c>
    </row>
    <row r="988" spans="23:27" x14ac:dyDescent="0.2">
      <c r="W988" s="203" t="str">
        <f t="shared" si="25"/>
        <v>1w</v>
      </c>
      <c r="X988" s="287">
        <f>_xll.qlCalendarAdvance(Calendar,X987,W988,"f",FALSE)</f>
        <v>45819</v>
      </c>
      <c r="Y988" s="281">
        <f>_xll.qlCalendarAdvance(Calendar,X988,NDays&amp;"D")</f>
        <v>45821</v>
      </c>
      <c r="Z988" s="282">
        <v>1.6958312485166483E-2</v>
      </c>
      <c r="AA988" s="284">
        <v>1.6653125822010395E-2</v>
      </c>
    </row>
    <row r="989" spans="23:27" x14ac:dyDescent="0.2">
      <c r="W989" s="203" t="str">
        <f t="shared" si="25"/>
        <v>1w</v>
      </c>
      <c r="X989" s="287">
        <f>_xll.qlCalendarAdvance(Calendar,X988,W989,"f",FALSE)</f>
        <v>45826</v>
      </c>
      <c r="Y989" s="281">
        <f>_xll.qlCalendarAdvance(Calendar,X989,NDays&amp;"D")</f>
        <v>45828</v>
      </c>
      <c r="Z989" s="282">
        <v>1.699608301269695E-2</v>
      </c>
      <c r="AA989" s="284">
        <v>1.669388694214291E-2</v>
      </c>
    </row>
    <row r="990" spans="23:27" x14ac:dyDescent="0.2">
      <c r="W990" s="203" t="str">
        <f t="shared" si="25"/>
        <v>1w</v>
      </c>
      <c r="X990" s="287">
        <f>_xll.qlCalendarAdvance(Calendar,X989,W990,"f",FALSE)</f>
        <v>45833</v>
      </c>
      <c r="Y990" s="281">
        <f>_xll.qlCalendarAdvance(Calendar,X990,NDays&amp;"D")</f>
        <v>45835</v>
      </c>
      <c r="Z990" s="282">
        <v>1.7037219159208208E-2</v>
      </c>
      <c r="AA990" s="284">
        <v>1.6734674575840103E-2</v>
      </c>
    </row>
    <row r="991" spans="23:27" x14ac:dyDescent="0.2">
      <c r="W991" s="203" t="str">
        <f t="shared" si="25"/>
        <v>1w</v>
      </c>
      <c r="X991" s="287">
        <f>_xll.qlCalendarAdvance(Calendar,X990,W991,"f",FALSE)</f>
        <v>45840</v>
      </c>
      <c r="Y991" s="281">
        <f>_xll.qlCalendarAdvance(Calendar,X991,NDays&amp;"D")</f>
        <v>45842</v>
      </c>
      <c r="Z991" s="282">
        <v>1.707838235977719E-2</v>
      </c>
      <c r="AA991" s="284">
        <v>1.6775488723128618E-2</v>
      </c>
    </row>
    <row r="992" spans="23:27" x14ac:dyDescent="0.2">
      <c r="W992" s="203" t="str">
        <f t="shared" si="25"/>
        <v>1w</v>
      </c>
      <c r="X992" s="287">
        <f>_xll.qlCalendarAdvance(Calendar,X991,W992,"f",FALSE)</f>
        <v>45847</v>
      </c>
      <c r="Y992" s="281">
        <f>_xll.qlCalendarAdvance(Calendar,X992,NDays&amp;"D")</f>
        <v>45849</v>
      </c>
      <c r="Z992" s="282">
        <v>1.7122926685337273E-2</v>
      </c>
      <c r="AA992" s="284">
        <v>1.6816329384008455E-2</v>
      </c>
    </row>
    <row r="993" spans="23:27" x14ac:dyDescent="0.2">
      <c r="W993" s="203" t="str">
        <f t="shared" si="25"/>
        <v>1w</v>
      </c>
      <c r="X993" s="287">
        <f>_xll.qlCalendarAdvance(Calendar,X992,W993,"f",FALSE)</f>
        <v>45854</v>
      </c>
      <c r="Y993" s="281">
        <f>_xll.qlCalendarAdvance(Calendar,X993,NDays&amp;"D")</f>
        <v>45856</v>
      </c>
      <c r="Z993" s="282">
        <v>1.716078992652725E-2</v>
      </c>
      <c r="AA993" s="284">
        <v>1.6860511612830642E-2</v>
      </c>
    </row>
    <row r="994" spans="23:27" x14ac:dyDescent="0.2">
      <c r="W994" s="203" t="str">
        <f t="shared" si="25"/>
        <v>1w</v>
      </c>
      <c r="X994" s="287">
        <f>_xll.qlCalendarAdvance(Calendar,X993,W994,"f",FALSE)</f>
        <v>45861</v>
      </c>
      <c r="Y994" s="281">
        <f>_xll.qlCalendarAdvance(Calendar,X994,NDays&amp;"D")</f>
        <v>45863</v>
      </c>
      <c r="Z994" s="282">
        <v>1.7202034294426957E-2</v>
      </c>
      <c r="AA994" s="284">
        <v>1.6898090246648678E-2</v>
      </c>
    </row>
    <row r="995" spans="23:27" x14ac:dyDescent="0.2">
      <c r="W995" s="203" t="str">
        <f t="shared" si="25"/>
        <v>1w</v>
      </c>
      <c r="X995" s="287">
        <f>_xll.qlCalendarAdvance(Calendar,X994,W995,"f",FALSE)</f>
        <v>45868</v>
      </c>
      <c r="Y995" s="281">
        <f>_xll.qlCalendarAdvance(Calendar,X995,NDays&amp;"D")</f>
        <v>45870</v>
      </c>
      <c r="Z995" s="282">
        <v>1.7246671481518157E-2</v>
      </c>
      <c r="AA995" s="284">
        <v>1.6939010448515646E-2</v>
      </c>
    </row>
    <row r="996" spans="23:27" x14ac:dyDescent="0.2">
      <c r="W996" s="203" t="str">
        <f t="shared" si="25"/>
        <v>1w</v>
      </c>
      <c r="X996" s="287">
        <f>_xll.qlCalendarAdvance(Calendar,X995,W996,"f",FALSE)</f>
        <v>45875</v>
      </c>
      <c r="Y996" s="281">
        <f>_xll.qlCalendarAdvance(Calendar,X996,NDays&amp;"D")</f>
        <v>45877</v>
      </c>
      <c r="Z996" s="282">
        <v>1.728460420358122E-2</v>
      </c>
      <c r="AA996" s="284">
        <v>1.6979957164027226E-2</v>
      </c>
    </row>
    <row r="997" spans="23:27" x14ac:dyDescent="0.2">
      <c r="W997" s="203" t="str">
        <f t="shared" si="25"/>
        <v>1w</v>
      </c>
      <c r="X997" s="287">
        <f>_xll.qlCalendarAdvance(Calendar,X996,W997,"f",FALSE)</f>
        <v>45882</v>
      </c>
      <c r="Y997" s="281">
        <f>_xll.qlCalendarAdvance(Calendar,X997,NDays&amp;"D")</f>
        <v>45884</v>
      </c>
      <c r="Z997" s="282">
        <v>1.7325929746558652E-2</v>
      </c>
      <c r="AA997" s="284">
        <v>1.7020930393316647E-2</v>
      </c>
    </row>
    <row r="998" spans="23:27" x14ac:dyDescent="0.2">
      <c r="W998" s="203" t="str">
        <f t="shared" si="25"/>
        <v>1w</v>
      </c>
      <c r="X998" s="287">
        <f>_xll.qlCalendarAdvance(Calendar,X997,W998,"f",FALSE)</f>
        <v>45889</v>
      </c>
      <c r="Y998" s="281">
        <f>_xll.qlCalendarAdvance(Calendar,X998,NDays&amp;"D")</f>
        <v>45891</v>
      </c>
      <c r="Z998" s="282">
        <v>1.7370659857554271E-2</v>
      </c>
      <c r="AA998" s="284">
        <v>1.7065264306510564E-2</v>
      </c>
    </row>
    <row r="999" spans="23:27" x14ac:dyDescent="0.2">
      <c r="W999" s="203" t="str">
        <f t="shared" si="25"/>
        <v>1w</v>
      </c>
      <c r="X999" s="287">
        <f>_xll.qlCalendarAdvance(Calendar,X998,W999,"f",FALSE)</f>
        <v>45896</v>
      </c>
      <c r="Y999" s="281">
        <f>_xll.qlCalendarAdvance(Calendar,X999,NDays&amp;"D")</f>
        <v>45898</v>
      </c>
      <c r="Z999" s="282">
        <v>1.7398520602048842E-2</v>
      </c>
      <c r="AA999" s="284">
        <v>1.7102956393202362E-2</v>
      </c>
    </row>
    <row r="1000" spans="23:27" x14ac:dyDescent="0.2">
      <c r="W1000" s="203" t="str">
        <f t="shared" si="25"/>
        <v>1w</v>
      </c>
      <c r="X1000" s="287">
        <f>_xll.qlCalendarAdvance(Calendar,X999,W1000,"f",FALSE)</f>
        <v>45903</v>
      </c>
      <c r="Y1000" s="281">
        <f>_xll.qlCalendarAdvance(Calendar,X1000,NDays&amp;"D")</f>
        <v>45905</v>
      </c>
      <c r="Z1000" s="282">
        <v>1.7439915532561651E-2</v>
      </c>
      <c r="AA1000" s="284">
        <v>1.7144009163851948E-2</v>
      </c>
    </row>
    <row r="1001" spans="23:27" x14ac:dyDescent="0.2">
      <c r="W1001" s="203" t="str">
        <f t="shared" si="25"/>
        <v>1w</v>
      </c>
      <c r="X1001" s="287">
        <f>_xll.qlCalendarAdvance(Calendar,X1000,W1001,"f",FALSE)</f>
        <v>45910</v>
      </c>
      <c r="Y1001" s="281">
        <f>_xll.qlCalendarAdvance(Calendar,X1001,NDays&amp;"D")</f>
        <v>45912</v>
      </c>
      <c r="Z1001" s="282">
        <v>1.7481337507413101E-2</v>
      </c>
      <c r="AA1001" s="284">
        <v>1.7188434159087773E-2</v>
      </c>
    </row>
    <row r="1002" spans="23:27" x14ac:dyDescent="0.2">
      <c r="W1002" s="203" t="str">
        <f t="shared" si="25"/>
        <v>1w</v>
      </c>
      <c r="X1002" s="287">
        <f>_xll.qlCalendarAdvance(Calendar,X1001,W1002,"f",FALSE)</f>
        <v>45917</v>
      </c>
      <c r="Y1002" s="281">
        <f>_xll.qlCalendarAdvance(Calendar,X1002,NDays&amp;"D")</f>
        <v>45919</v>
      </c>
      <c r="Z1002" s="282">
        <v>1.7522786527440319E-2</v>
      </c>
      <c r="AA1002" s="284">
        <v>1.7226194246724447E-2</v>
      </c>
    </row>
    <row r="1003" spans="23:27" x14ac:dyDescent="0.2">
      <c r="W1003" s="203" t="str">
        <f t="shared" si="25"/>
        <v>1w</v>
      </c>
      <c r="X1003" s="287">
        <f>_xll.qlCalendarAdvance(Calendar,X1002,W1003,"f",FALSE)</f>
        <v>45924</v>
      </c>
      <c r="Y1003" s="281">
        <f>_xll.qlCalendarAdvance(Calendar,X1003,NDays&amp;"D")</f>
        <v>45926</v>
      </c>
      <c r="Z1003" s="282">
        <v>1.7574451296406921E-2</v>
      </c>
      <c r="AA1003" s="284">
        <v>1.7267326559000651E-2</v>
      </c>
    </row>
    <row r="1004" spans="23:27" x14ac:dyDescent="0.2">
      <c r="W1004" s="203" t="str">
        <f t="shared" si="25"/>
        <v>1w</v>
      </c>
      <c r="X1004" s="287">
        <f>_xll.qlCalendarAdvance(Calendar,X1003,W1004,"f",FALSE)</f>
        <v>45931</v>
      </c>
      <c r="Y1004" s="281">
        <f>_xll.qlCalendarAdvance(Calendar,X1004,NDays&amp;"D")</f>
        <v>45933</v>
      </c>
      <c r="Z1004" s="282">
        <v>1.7615966278114587E-2</v>
      </c>
      <c r="AA1004" s="284">
        <v>1.7308485385187922E-2</v>
      </c>
    </row>
    <row r="1005" spans="23:27" x14ac:dyDescent="0.2">
      <c r="W1005" s="203" t="str">
        <f t="shared" si="25"/>
        <v>1w</v>
      </c>
      <c r="X1005" s="287">
        <f>_xll.qlCalendarAdvance(Calendar,X1004,W1005,"f",FALSE)</f>
        <v>45938</v>
      </c>
      <c r="Y1005" s="281">
        <f>_xll.qlCalendarAdvance(Calendar,X1005,NDays&amp;"D")</f>
        <v>45940</v>
      </c>
      <c r="Z1005" s="282">
        <v>1.766091345561346E-2</v>
      </c>
      <c r="AA1005" s="284">
        <v>1.7353031906999217E-2</v>
      </c>
    </row>
    <row r="1006" spans="23:27" x14ac:dyDescent="0.2">
      <c r="W1006" s="203" t="str">
        <f t="shared" si="25"/>
        <v>1w</v>
      </c>
      <c r="X1006" s="287">
        <f>_xll.qlCalendarAdvance(Calendar,X1005,W1006,"f",FALSE)</f>
        <v>45945</v>
      </c>
      <c r="Y1006" s="281">
        <f>_xll.qlCalendarAdvance(Calendar,X1006,NDays&amp;"D")</f>
        <v>45947</v>
      </c>
      <c r="Z1006" s="282">
        <v>1.7699077440804456E-2</v>
      </c>
      <c r="AA1006" s="284">
        <v>1.7390882579455536E-2</v>
      </c>
    </row>
    <row r="1007" spans="23:27" x14ac:dyDescent="0.2">
      <c r="W1007" s="203" t="str">
        <f t="shared" si="25"/>
        <v>1w</v>
      </c>
      <c r="X1007" s="287">
        <f>_xll.qlCalendarAdvance(Calendar,X1006,W1007,"f",FALSE)</f>
        <v>45952</v>
      </c>
      <c r="Y1007" s="281">
        <f>_xll.qlCalendarAdvance(Calendar,X1007,NDays&amp;"D")</f>
        <v>45954</v>
      </c>
      <c r="Z1007" s="282">
        <v>1.7740673623524845E-2</v>
      </c>
      <c r="AA1007" s="284">
        <v>1.7432120947589169E-2</v>
      </c>
    </row>
    <row r="1008" spans="23:27" x14ac:dyDescent="0.2">
      <c r="W1008" s="203" t="str">
        <f t="shared" si="25"/>
        <v>1w</v>
      </c>
      <c r="X1008" s="287">
        <f>_xll.qlCalendarAdvance(Calendar,X1007,W1008,"f",FALSE)</f>
        <v>45959</v>
      </c>
      <c r="Y1008" s="281">
        <f>_xll.qlCalendarAdvance(Calendar,X1008,NDays&amp;"D")</f>
        <v>45961</v>
      </c>
      <c r="Z1008" s="282">
        <v>1.777204864322076E-2</v>
      </c>
      <c r="AA1008" s="284">
        <v>1.7476758677528181E-2</v>
      </c>
    </row>
    <row r="1009" spans="23:27" x14ac:dyDescent="0.2">
      <c r="W1009" s="203" t="str">
        <f t="shared" si="25"/>
        <v>1w</v>
      </c>
      <c r="X1009" s="287">
        <f>_xll.qlCalendarAdvance(Calendar,X1008,W1009,"f",FALSE)</f>
        <v>45966</v>
      </c>
      <c r="Y1009" s="281">
        <f>_xll.qlCalendarAdvance(Calendar,X1009,NDays&amp;"D")</f>
        <v>45968</v>
      </c>
      <c r="Z1009" s="282">
        <v>1.7823947196050932E-2</v>
      </c>
      <c r="AA1009" s="284">
        <v>1.7514677226015962E-2</v>
      </c>
    </row>
    <row r="1010" spans="23:27" x14ac:dyDescent="0.2">
      <c r="W1010" s="203" t="str">
        <f t="shared" si="25"/>
        <v>1w</v>
      </c>
      <c r="X1010" s="287">
        <f>_xll.qlCalendarAdvance(Calendar,X1009,W1010,"f",FALSE)</f>
        <v>45973</v>
      </c>
      <c r="Y1010" s="281">
        <f>_xll.qlCalendarAdvance(Calendar,X1010,NDays&amp;"D")</f>
        <v>45975</v>
      </c>
      <c r="Z1010" s="282">
        <v>1.7865624587596517E-2</v>
      </c>
      <c r="AA1010" s="284">
        <v>1.7555995136309122E-2</v>
      </c>
    </row>
    <row r="1011" spans="23:27" x14ac:dyDescent="0.2">
      <c r="W1011" s="203" t="str">
        <f t="shared" si="25"/>
        <v>1w</v>
      </c>
      <c r="X1011" s="287">
        <f>_xll.qlCalendarAdvance(Calendar,X1010,W1011,"f",FALSE)</f>
        <v>45980</v>
      </c>
      <c r="Y1011" s="281">
        <f>_xll.qlCalendarAdvance(Calendar,X1011,NDays&amp;"D")</f>
        <v>45982</v>
      </c>
      <c r="Z1011" s="282">
        <v>1.7907329050489817E-2</v>
      </c>
      <c r="AA1011" s="284">
        <v>1.7600724128812306E-2</v>
      </c>
    </row>
    <row r="1012" spans="23:27" x14ac:dyDescent="0.2">
      <c r="W1012" s="203" t="str">
        <f t="shared" si="25"/>
        <v>1w</v>
      </c>
      <c r="X1012" s="287">
        <f>_xll.qlCalendarAdvance(Calendar,X1011,W1012,"f",FALSE)</f>
        <v>45987</v>
      </c>
      <c r="Y1012" s="281">
        <f>_xll.qlCalendarAdvance(Calendar,X1012,NDays&amp;"D")</f>
        <v>45989</v>
      </c>
      <c r="Z1012" s="282">
        <v>1.7938764396859052E-2</v>
      </c>
      <c r="AA1012" s="284">
        <v>1.763871049937471E-2</v>
      </c>
    </row>
    <row r="1013" spans="23:27" x14ac:dyDescent="0.2">
      <c r="W1013" s="203" t="str">
        <f t="shared" si="25"/>
        <v>1w</v>
      </c>
      <c r="X1013" s="287">
        <f>_xll.qlCalendarAdvance(Calendar,X1012,W1013,"f",FALSE)</f>
        <v>45994</v>
      </c>
      <c r="Y1013" s="281">
        <f>_xll.qlCalendarAdvance(Calendar,X1013,NDays&amp;"D")</f>
        <v>45996</v>
      </c>
      <c r="Z1013" s="282">
        <v>1.797707588632047E-2</v>
      </c>
      <c r="AA1013" s="284">
        <v>1.7680107952120494E-2</v>
      </c>
    </row>
    <row r="1014" spans="23:27" x14ac:dyDescent="0.2">
      <c r="W1014" s="203" t="str">
        <f t="shared" si="25"/>
        <v>1w</v>
      </c>
      <c r="X1014" s="287">
        <f>_xll.qlCalendarAdvance(Calendar,X1013,W1014,"f",FALSE)</f>
        <v>46001</v>
      </c>
      <c r="Y1014" s="281">
        <f>_xll.qlCalendarAdvance(Calendar,X1014,NDays&amp;"D")</f>
        <v>46003</v>
      </c>
      <c r="Z1014" s="282">
        <v>1.8018845497723923E-2</v>
      </c>
      <c r="AA1014" s="284">
        <v>1.7721531919070443E-2</v>
      </c>
    </row>
    <row r="1015" spans="23:27" x14ac:dyDescent="0.2">
      <c r="W1015" s="203" t="str">
        <f t="shared" si="25"/>
        <v>1w</v>
      </c>
      <c r="X1015" s="287">
        <f>_xll.qlCalendarAdvance(Calendar,X1014,W1015,"f",FALSE)</f>
        <v>46008</v>
      </c>
      <c r="Y1015" s="281">
        <f>_xll.qlCalendarAdvance(Calendar,X1015,NDays&amp;"D")</f>
        <v>46010</v>
      </c>
      <c r="Z1015" s="282">
        <v>1.8060642158991946E-2</v>
      </c>
      <c r="AA1015" s="284">
        <v>1.7762982400251204E-2</v>
      </c>
    </row>
    <row r="1016" spans="23:27" x14ac:dyDescent="0.2">
      <c r="W1016" s="203" t="str">
        <f t="shared" si="25"/>
        <v>1w</v>
      </c>
      <c r="X1016" s="287">
        <f>_xll.qlCalendarAdvance(Calendar,X1015,W1016,"f",FALSE)</f>
        <v>46015</v>
      </c>
      <c r="Y1016" s="281">
        <f>_xll.qlCalendarAdvance(Calendar,X1016,NDays&amp;"D")</f>
        <v>46021</v>
      </c>
      <c r="Z1016" s="282">
        <v>1.8129826735607507E-2</v>
      </c>
      <c r="AA1016" s="284">
        <v>1.7838393343301284E-2</v>
      </c>
    </row>
    <row r="1017" spans="23:27" x14ac:dyDescent="0.2">
      <c r="W1017" s="203" t="str">
        <f t="shared" si="25"/>
        <v>1w</v>
      </c>
      <c r="X1017" s="287">
        <f>_xll.qlCalendarAdvance(Calendar,X1016,W1017,"f",FALSE)</f>
        <v>46027</v>
      </c>
      <c r="Y1017" s="281">
        <f>_xll.qlCalendarAdvance(Calendar,X1017,NDays&amp;"D")</f>
        <v>46029</v>
      </c>
      <c r="Z1017" s="282">
        <v>1.8174226599593446E-2</v>
      </c>
      <c r="AA1017" s="284">
        <v>1.7868803977911796E-2</v>
      </c>
    </row>
    <row r="1018" spans="23:27" x14ac:dyDescent="0.2">
      <c r="W1018" s="203" t="str">
        <f t="shared" si="25"/>
        <v>1w</v>
      </c>
      <c r="X1018" s="287">
        <f>_xll.qlCalendarAdvance(Calendar,X1017,W1018,"f",FALSE)</f>
        <v>46035</v>
      </c>
      <c r="Y1018" s="281">
        <f>_xll.qlCalendarAdvance(Calendar,X1018,NDays&amp;"D")</f>
        <v>46037</v>
      </c>
      <c r="Z1018" s="282">
        <v>1.8222111253202833E-2</v>
      </c>
      <c r="AA1018" s="284">
        <v>1.7916281622847308E-2</v>
      </c>
    </row>
    <row r="1019" spans="23:27" x14ac:dyDescent="0.2">
      <c r="W1019" s="203" t="str">
        <f t="shared" si="25"/>
        <v>1w</v>
      </c>
      <c r="X1019" s="287">
        <f>_xll.qlCalendarAdvance(Calendar,X1018,W1019,"f",FALSE)</f>
        <v>46042</v>
      </c>
      <c r="Y1019" s="281">
        <f>_xll.qlCalendarAdvance(Calendar,X1019,NDays&amp;"D")</f>
        <v>46044</v>
      </c>
      <c r="Z1019" s="282">
        <v>1.8264039311417513E-2</v>
      </c>
      <c r="AA1019" s="284">
        <v>1.7957852957382059E-2</v>
      </c>
    </row>
    <row r="1020" spans="23:27" x14ac:dyDescent="0.2">
      <c r="W1020" s="203" t="str">
        <f t="shared" si="25"/>
        <v>1w</v>
      </c>
      <c r="X1020" s="287">
        <f>_xll.qlCalendarAdvance(Calendar,X1019,W1020,"f",FALSE)</f>
        <v>46049</v>
      </c>
      <c r="Y1020" s="281">
        <f>_xll.qlCalendarAdvance(Calendar,X1020,NDays&amp;"D")</f>
        <v>46051</v>
      </c>
      <c r="Z1020" s="282">
        <v>1.8309461231721575E-2</v>
      </c>
      <c r="AA1020" s="284">
        <v>1.799945079399734E-2</v>
      </c>
    </row>
    <row r="1021" spans="23:27" x14ac:dyDescent="0.2">
      <c r="W1021" s="203" t="str">
        <f t="shared" si="25"/>
        <v>1w</v>
      </c>
      <c r="X1021" s="287">
        <f>_xll.qlCalendarAdvance(Calendar,X1020,W1021,"f",FALSE)</f>
        <v>46056</v>
      </c>
      <c r="Y1021" s="281">
        <f>_xll.qlCalendarAdvance(Calendar,X1021,NDays&amp;"D")</f>
        <v>46058</v>
      </c>
      <c r="Z1021" s="282">
        <v>1.8351447465780293E-2</v>
      </c>
      <c r="AA1021" s="284">
        <v>1.8041075132773088E-2</v>
      </c>
    </row>
    <row r="1022" spans="23:27" x14ac:dyDescent="0.2">
      <c r="W1022" s="203" t="str">
        <f t="shared" si="25"/>
        <v>1w</v>
      </c>
      <c r="X1022" s="287">
        <f>_xll.qlCalendarAdvance(Calendar,X1021,W1022,"f",FALSE)</f>
        <v>46063</v>
      </c>
      <c r="Y1022" s="281">
        <f>_xll.qlCalendarAdvance(Calendar,X1022,NDays&amp;"D")</f>
        <v>46066</v>
      </c>
      <c r="Z1022" s="282">
        <v>1.8386511379045622E-2</v>
      </c>
      <c r="AA1022" s="284">
        <v>1.8095540765203921E-2</v>
      </c>
    </row>
    <row r="1023" spans="23:27" x14ac:dyDescent="0.2">
      <c r="W1023" s="203" t="str">
        <f t="shared" si="25"/>
        <v>1w</v>
      </c>
      <c r="X1023" s="287">
        <f>_xll.qlCalendarAdvance(Calendar,X1022,W1023,"f",FALSE)</f>
        <v>46070</v>
      </c>
      <c r="Y1023" s="281">
        <f>_xll.qlCalendarAdvance(Calendar,X1023,NDays&amp;"D")</f>
        <v>46072</v>
      </c>
      <c r="Z1023" s="282">
        <v>1.8428543584243357E-2</v>
      </c>
      <c r="AA1023" s="284">
        <v>1.8124403316805981E-2</v>
      </c>
    </row>
    <row r="1024" spans="23:27" x14ac:dyDescent="0.2">
      <c r="W1024" s="203" t="str">
        <f t="shared" si="25"/>
        <v>1w</v>
      </c>
      <c r="X1024" s="287">
        <f>_xll.qlCalendarAdvance(Calendar,X1023,W1024,"f",FALSE)</f>
        <v>46077</v>
      </c>
      <c r="Y1024" s="281">
        <f>_xll.qlCalendarAdvance(Calendar,X1024,NDays&amp;"D")</f>
        <v>46079</v>
      </c>
      <c r="Z1024" s="282">
        <v>1.8470602841232007E-2</v>
      </c>
      <c r="AA1024" s="284">
        <v>1.8166107162063128E-2</v>
      </c>
    </row>
    <row r="1025" spans="23:27" x14ac:dyDescent="0.2">
      <c r="W1025" s="203" t="str">
        <f t="shared" si="25"/>
        <v>1w</v>
      </c>
      <c r="X1025" s="287">
        <f>_xll.qlCalendarAdvance(Calendar,X1024,W1025,"f",FALSE)</f>
        <v>46084</v>
      </c>
      <c r="Y1025" s="281">
        <f>_xll.qlCalendarAdvance(Calendar,X1025,NDays&amp;"D")</f>
        <v>46086</v>
      </c>
      <c r="Z1025" s="282">
        <v>1.8523150744803357E-2</v>
      </c>
      <c r="AA1025" s="284">
        <v>1.820783750948074E-2</v>
      </c>
    </row>
    <row r="1026" spans="23:27" x14ac:dyDescent="0.2">
      <c r="W1026" s="203" t="str">
        <f t="shared" si="25"/>
        <v>1w</v>
      </c>
      <c r="X1026" s="287">
        <f>_xll.qlCalendarAdvance(Calendar,X1025,W1026,"f",FALSE)</f>
        <v>46091</v>
      </c>
      <c r="Y1026" s="281">
        <f>_xll.qlCalendarAdvance(Calendar,X1026,NDays&amp;"D")</f>
        <v>46093</v>
      </c>
      <c r="Z1026" s="282">
        <v>1.8565276339841688E-2</v>
      </c>
      <c r="AA1026" s="284">
        <v>1.8249594359138754E-2</v>
      </c>
    </row>
    <row r="1027" spans="23:27" x14ac:dyDescent="0.2">
      <c r="W1027" s="203" t="str">
        <f t="shared" si="25"/>
        <v>1w</v>
      </c>
      <c r="X1027" s="287">
        <f>_xll.qlCalendarAdvance(Calendar,X1026,W1027,"f",FALSE)</f>
        <v>46098</v>
      </c>
      <c r="Y1027" s="281">
        <f>_xll.qlCalendarAdvance(Calendar,X1027,NDays&amp;"D")</f>
        <v>46100</v>
      </c>
      <c r="Z1027" s="282">
        <v>1.8607423710295404E-2</v>
      </c>
      <c r="AA1027" s="284">
        <v>1.8301730545646766E-2</v>
      </c>
    </row>
    <row r="1028" spans="23:27" x14ac:dyDescent="0.2">
      <c r="W1028" s="203" t="str">
        <f t="shared" si="25"/>
        <v>1w</v>
      </c>
      <c r="X1028" s="287">
        <f>_xll.qlCalendarAdvance(Calendar,X1027,W1028,"f",FALSE)</f>
        <v>46105</v>
      </c>
      <c r="Y1028" s="281">
        <f>_xll.qlCalendarAdvance(Calendar,X1028,NDays&amp;"D")</f>
        <v>46107</v>
      </c>
      <c r="Z1028" s="282">
        <v>1.8649578493540368E-2</v>
      </c>
      <c r="AA1028" s="284">
        <v>1.8333187564936182E-2</v>
      </c>
    </row>
    <row r="1029" spans="23:27" x14ac:dyDescent="0.2">
      <c r="W1029" s="203" t="str">
        <f t="shared" si="25"/>
        <v>1w</v>
      </c>
      <c r="X1029" s="287">
        <f>_xll.qlCalendarAdvance(Calendar,X1028,W1029,"f",FALSE)</f>
        <v>46112</v>
      </c>
      <c r="Y1029" s="281">
        <f>_xll.qlCalendarAdvance(Calendar,X1029,NDays&amp;"D")</f>
        <v>46114</v>
      </c>
      <c r="Z1029" s="282">
        <v>1.8688231681821557E-2</v>
      </c>
      <c r="AA1029" s="284">
        <v>1.838886089873526E-2</v>
      </c>
    </row>
    <row r="1030" spans="23:27" x14ac:dyDescent="0.2">
      <c r="W1030" s="203" t="str">
        <f t="shared" si="25"/>
        <v>1w</v>
      </c>
      <c r="X1030" s="287">
        <f>_xll.qlCalendarAdvance(Calendar,X1029,W1030,"f",FALSE)</f>
        <v>46119</v>
      </c>
      <c r="Y1030" s="281">
        <f>_xll.qlCalendarAdvance(Calendar,X1030,NDays&amp;"D")</f>
        <v>46121</v>
      </c>
      <c r="Z1030" s="282">
        <v>1.8730358287986304E-2</v>
      </c>
      <c r="AA1030" s="284">
        <v>1.8416886779615282E-2</v>
      </c>
    </row>
    <row r="1031" spans="23:27" x14ac:dyDescent="0.2">
      <c r="W1031" s="203" t="str">
        <f t="shared" si="25"/>
        <v>1w</v>
      </c>
      <c r="X1031" s="287">
        <f>_xll.qlCalendarAdvance(Calendar,X1030,W1031,"f",FALSE)</f>
        <v>46126</v>
      </c>
      <c r="Y1031" s="281">
        <f>_xll.qlCalendarAdvance(Calendar,X1031,NDays&amp;"D")</f>
        <v>46128</v>
      </c>
      <c r="Z1031" s="282">
        <v>1.8772447914354243E-2</v>
      </c>
      <c r="AA1031" s="284">
        <v>1.8458776140315436E-2</v>
      </c>
    </row>
    <row r="1032" spans="23:27" x14ac:dyDescent="0.2">
      <c r="W1032" s="203" t="str">
        <f t="shared" si="25"/>
        <v>1w</v>
      </c>
      <c r="X1032" s="287">
        <f>_xll.qlCalendarAdvance(Calendar,X1031,W1032,"f",FALSE)</f>
        <v>46133</v>
      </c>
      <c r="Y1032" s="281">
        <f>_xll.qlCalendarAdvance(Calendar,X1032,NDays&amp;"D")</f>
        <v>46135</v>
      </c>
      <c r="Z1032" s="282">
        <v>1.8814485099708889E-2</v>
      </c>
      <c r="AA1032" s="284">
        <v>1.8500692003176056E-2</v>
      </c>
    </row>
    <row r="1033" spans="23:27" x14ac:dyDescent="0.2">
      <c r="W1033" s="203" t="str">
        <f t="shared" si="25"/>
        <v>1w</v>
      </c>
      <c r="X1033" s="287">
        <f>_xll.qlCalendarAdvance(Calendar,X1032,W1033,"f",FALSE)</f>
        <v>46140</v>
      </c>
      <c r="Y1033" s="281">
        <f>_xll.qlCalendarAdvance(Calendar,X1033,NDays&amp;"D")</f>
        <v>46143</v>
      </c>
      <c r="Z1033" s="282">
        <v>1.885992835603394E-2</v>
      </c>
      <c r="AA1033" s="284">
        <v>1.8566009552598572E-2</v>
      </c>
    </row>
    <row r="1034" spans="23:27" x14ac:dyDescent="0.2">
      <c r="W1034" s="203" t="str">
        <f t="shared" si="25"/>
        <v>1w</v>
      </c>
      <c r="X1034" s="287">
        <f>_xll.qlCalendarAdvance(Calendar,X1033,W1034,"f",FALSE)</f>
        <v>46149</v>
      </c>
      <c r="Y1034" s="281">
        <f>_xll.qlCalendarAdvance(Calendar,X1034,NDays&amp;"D")</f>
        <v>46153</v>
      </c>
      <c r="Z1034" s="282">
        <v>1.8925693046693247E-2</v>
      </c>
      <c r="AA1034" s="284">
        <v>1.8608597344877964E-2</v>
      </c>
    </row>
    <row r="1035" spans="23:27" x14ac:dyDescent="0.2">
      <c r="W1035" s="203" t="str">
        <f t="shared" si="25"/>
        <v>1w</v>
      </c>
      <c r="X1035" s="287">
        <f>_xll.qlCalendarAdvance(Calendar,X1034,W1035,"f",FALSE)</f>
        <v>46156</v>
      </c>
      <c r="Y1035" s="281">
        <f>_xll.qlCalendarAdvance(Calendar,X1035,NDays&amp;"D")</f>
        <v>46160</v>
      </c>
      <c r="Z1035" s="282">
        <v>1.89674076966093E-2</v>
      </c>
      <c r="AA1035" s="284">
        <v>1.8650607858745616E-2</v>
      </c>
    </row>
    <row r="1036" spans="23:27" x14ac:dyDescent="0.2">
      <c r="W1036" s="203" t="str">
        <f t="shared" si="25"/>
        <v>1w</v>
      </c>
      <c r="X1036" s="287">
        <f>_xll.qlCalendarAdvance(Calendar,X1035,W1036,"f",FALSE)</f>
        <v>46163</v>
      </c>
      <c r="Y1036" s="281">
        <f>_xll.qlCalendarAdvance(Calendar,X1036,NDays&amp;"D")</f>
        <v>46168</v>
      </c>
      <c r="Z1036" s="282">
        <v>1.9014929241285176E-2</v>
      </c>
      <c r="AA1036" s="284">
        <v>1.8698652326349929E-2</v>
      </c>
    </row>
    <row r="1037" spans="23:27" x14ac:dyDescent="0.2">
      <c r="W1037" s="203" t="str">
        <f t="shared" si="25"/>
        <v>1w</v>
      </c>
      <c r="X1037" s="287">
        <f>_xll.qlCalendarAdvance(Calendar,X1036,W1037,"f",FALSE)</f>
        <v>46170</v>
      </c>
      <c r="Y1037" s="281">
        <f>_xll.qlCalendarAdvance(Calendar,X1037,NDays&amp;"D")</f>
        <v>46174</v>
      </c>
      <c r="Z1037" s="282">
        <v>1.9050450648856177E-2</v>
      </c>
      <c r="AA1037" s="284">
        <v>1.8734708393361998E-2</v>
      </c>
    </row>
    <row r="1038" spans="23:27" x14ac:dyDescent="0.2">
      <c r="W1038" s="203" t="str">
        <f t="shared" si="25"/>
        <v>1w</v>
      </c>
      <c r="X1038" s="287">
        <f>_xll.qlCalendarAdvance(Calendar,X1037,W1038,"f",FALSE)</f>
        <v>46177</v>
      </c>
      <c r="Y1038" s="281">
        <f>_xll.qlCalendarAdvance(Calendar,X1038,NDays&amp;"D")</f>
        <v>46181</v>
      </c>
      <c r="Z1038" s="282">
        <v>1.9091748355287274E-2</v>
      </c>
      <c r="AA1038" s="284">
        <v>1.8776798414110729E-2</v>
      </c>
    </row>
    <row r="1039" spans="23:27" x14ac:dyDescent="0.2">
      <c r="W1039" s="203" t="str">
        <f t="shared" si="25"/>
        <v>1w</v>
      </c>
      <c r="X1039" s="287">
        <f>_xll.qlCalendarAdvance(Calendar,X1038,W1039,"f",FALSE)</f>
        <v>46184</v>
      </c>
      <c r="Y1039" s="281">
        <f>_xll.qlCalendarAdvance(Calendar,X1039,NDays&amp;"D")</f>
        <v>46188</v>
      </c>
      <c r="Z1039" s="282">
        <v>1.913287741254896E-2</v>
      </c>
      <c r="AA1039" s="284">
        <v>1.8818853020148296E-2</v>
      </c>
    </row>
    <row r="1040" spans="23:27" x14ac:dyDescent="0.2">
      <c r="W1040" s="203" t="str">
        <f t="shared" si="25"/>
        <v>1w</v>
      </c>
      <c r="X1040" s="287">
        <f>_xll.qlCalendarAdvance(Calendar,X1039,W1040,"f",FALSE)</f>
        <v>46191</v>
      </c>
      <c r="Y1040" s="281">
        <f>_xll.qlCalendarAdvance(Calendar,X1040,NDays&amp;"D")</f>
        <v>46195</v>
      </c>
      <c r="Z1040" s="282">
        <v>1.9180634148385681E-2</v>
      </c>
      <c r="AA1040" s="284">
        <v>1.8860738851911307E-2</v>
      </c>
    </row>
    <row r="1041" spans="23:27" x14ac:dyDescent="0.2">
      <c r="W1041" s="203" t="str">
        <f t="shared" si="25"/>
        <v>1w</v>
      </c>
      <c r="X1041" s="287">
        <f>_xll.qlCalendarAdvance(Calendar,X1040,W1041,"f",FALSE)</f>
        <v>46198</v>
      </c>
      <c r="Y1041" s="281">
        <f>_xll.qlCalendarAdvance(Calendar,X1041,NDays&amp;"D")</f>
        <v>46202</v>
      </c>
      <c r="Z1041" s="282">
        <v>1.9214613780989473E-2</v>
      </c>
      <c r="AA1041" s="284">
        <v>1.8902451146249888E-2</v>
      </c>
    </row>
    <row r="1042" spans="23:27" x14ac:dyDescent="0.2">
      <c r="W1042" s="203" t="str">
        <f t="shared" si="25"/>
        <v>1w</v>
      </c>
      <c r="X1042" s="287">
        <f>_xll.qlCalendarAdvance(Calendar,X1041,W1042,"f",FALSE)</f>
        <v>46205</v>
      </c>
      <c r="Y1042" s="281">
        <f>_xll.qlCalendarAdvance(Calendar,X1042,NDays&amp;"D")</f>
        <v>46209</v>
      </c>
      <c r="Z1042" s="282">
        <v>1.9255221021849765E-2</v>
      </c>
      <c r="AA1042" s="284">
        <v>1.8943989903243974E-2</v>
      </c>
    </row>
    <row r="1043" spans="23:27" x14ac:dyDescent="0.2">
      <c r="W1043" s="203" t="str">
        <f t="shared" si="25"/>
        <v>1w</v>
      </c>
      <c r="X1043" s="287">
        <f>_xll.qlCalendarAdvance(Calendar,X1042,W1043,"f",FALSE)</f>
        <v>46212</v>
      </c>
      <c r="Y1043" s="281">
        <f>_xll.qlCalendarAdvance(Calendar,X1043,NDays&amp;"D")</f>
        <v>46216</v>
      </c>
      <c r="Z1043" s="282">
        <v>1.9295654293265119E-2</v>
      </c>
      <c r="AA1043" s="284">
        <v>1.898535512281363E-2</v>
      </c>
    </row>
    <row r="1044" spans="23:27" x14ac:dyDescent="0.2">
      <c r="W1044" s="203" t="str">
        <f t="shared" si="25"/>
        <v>1w</v>
      </c>
      <c r="X1044" s="287">
        <f>_xll.qlCalendarAdvance(Calendar,X1043,W1044,"f",FALSE)</f>
        <v>46219</v>
      </c>
      <c r="Y1044" s="281">
        <f>_xll.qlCalendarAdvance(Calendar,X1044,NDays&amp;"D")</f>
        <v>46224</v>
      </c>
      <c r="Z1044" s="282">
        <v>1.9341650715607357E-2</v>
      </c>
      <c r="AA1044" s="284">
        <v>1.9032417164597248E-2</v>
      </c>
    </row>
    <row r="1045" spans="23:27" x14ac:dyDescent="0.2">
      <c r="W1045" s="203" t="str">
        <f t="shared" ref="W1045:W1108" si="26">W1044</f>
        <v>1w</v>
      </c>
      <c r="X1045" s="287">
        <f>_xll.qlCalendarAdvance(Calendar,X1044,W1045,"f",FALSE)</f>
        <v>46226</v>
      </c>
      <c r="Y1045" s="281">
        <f>_xll.qlCalendarAdvance(Calendar,X1045,NDays&amp;"D")</f>
        <v>46230</v>
      </c>
      <c r="Z1045" s="282">
        <v>1.9375998906284286E-2</v>
      </c>
      <c r="AA1045" s="284">
        <v>1.9067564949439841E-2</v>
      </c>
    </row>
    <row r="1046" spans="23:27" x14ac:dyDescent="0.2">
      <c r="W1046" s="203" t="str">
        <f t="shared" si="26"/>
        <v>1w</v>
      </c>
      <c r="X1046" s="287">
        <f>_xll.qlCalendarAdvance(Calendar,X1045,W1046,"f",FALSE)</f>
        <v>46233</v>
      </c>
      <c r="Y1046" s="281">
        <f>_xll.qlCalendarAdvance(Calendar,X1046,NDays&amp;"D")</f>
        <v>46237</v>
      </c>
      <c r="Z1046" s="282">
        <v>1.9419249831401031E-2</v>
      </c>
      <c r="AA1046" s="284">
        <v>1.9108409556416461E-2</v>
      </c>
    </row>
    <row r="1047" spans="23:27" x14ac:dyDescent="0.2">
      <c r="W1047" s="203" t="str">
        <f t="shared" si="26"/>
        <v>1w</v>
      </c>
      <c r="X1047" s="287">
        <f>_xll.qlCalendarAdvance(Calendar,X1046,W1047,"f",FALSE)</f>
        <v>46240</v>
      </c>
      <c r="Y1047" s="281">
        <f>_xll.qlCalendarAdvance(Calendar,X1047,NDays&amp;"D")</f>
        <v>46244</v>
      </c>
      <c r="Z1047" s="282">
        <v>1.9455647577322887E-2</v>
      </c>
      <c r="AA1047" s="284">
        <v>1.9149080625648907E-2</v>
      </c>
    </row>
    <row r="1048" spans="23:27" x14ac:dyDescent="0.2">
      <c r="W1048" s="203" t="str">
        <f t="shared" si="26"/>
        <v>1w</v>
      </c>
      <c r="X1048" s="287">
        <f>_xll.qlCalendarAdvance(Calendar,X1047,W1048,"f",FALSE)</f>
        <v>46247</v>
      </c>
      <c r="Y1048" s="281">
        <f>_xll.qlCalendarAdvance(Calendar,X1048,NDays&amp;"D")</f>
        <v>46251</v>
      </c>
      <c r="Z1048" s="282">
        <v>1.9495210921349856E-2</v>
      </c>
      <c r="AA1048" s="284">
        <v>1.9189578157217113E-2</v>
      </c>
    </row>
    <row r="1049" spans="23:27" x14ac:dyDescent="0.2">
      <c r="W1049" s="203" t="str">
        <f t="shared" si="26"/>
        <v>1w</v>
      </c>
      <c r="X1049" s="287">
        <f>_xll.qlCalendarAdvance(Calendar,X1048,W1049,"f",FALSE)</f>
        <v>46254</v>
      </c>
      <c r="Y1049" s="281">
        <f>_xll.qlCalendarAdvance(Calendar,X1049,NDays&amp;"D")</f>
        <v>46258</v>
      </c>
      <c r="Z1049" s="282">
        <v>1.9534600264027844E-2</v>
      </c>
      <c r="AA1049" s="284">
        <v>1.9229902150961209E-2</v>
      </c>
    </row>
    <row r="1050" spans="23:27" x14ac:dyDescent="0.2">
      <c r="W1050" s="203" t="str">
        <f t="shared" si="26"/>
        <v>1w</v>
      </c>
      <c r="X1050" s="287">
        <f>_xll.qlCalendarAdvance(Calendar,X1049,W1050,"f",FALSE)</f>
        <v>46261</v>
      </c>
      <c r="Y1050" s="281">
        <f>_xll.qlCalendarAdvance(Calendar,X1050,NDays&amp;"D")</f>
        <v>46266</v>
      </c>
      <c r="Z1050" s="282">
        <v>1.9576105786690667E-2</v>
      </c>
      <c r="AA1050" s="284">
        <v>1.9275774219984498E-2</v>
      </c>
    </row>
    <row r="1051" spans="23:27" x14ac:dyDescent="0.2">
      <c r="W1051" s="203" t="str">
        <f t="shared" si="26"/>
        <v>1w</v>
      </c>
      <c r="X1051" s="287">
        <f>_xll.qlCalendarAdvance(Calendar,X1050,W1051,"f",FALSE)</f>
        <v>46268</v>
      </c>
      <c r="Y1051" s="281">
        <f>_xll.qlCalendarAdvance(Calendar,X1051,NDays&amp;"D")</f>
        <v>46272</v>
      </c>
      <c r="Z1051" s="282">
        <v>1.960956796250508E-2</v>
      </c>
      <c r="AA1051" s="284">
        <v>1.9310029524897132E-2</v>
      </c>
    </row>
    <row r="1052" spans="23:27" x14ac:dyDescent="0.2">
      <c r="W1052" s="203" t="str">
        <f t="shared" si="26"/>
        <v>1w</v>
      </c>
      <c r="X1052" s="287">
        <f>_xll.qlCalendarAdvance(Calendar,X1051,W1052,"f",FALSE)</f>
        <v>46275</v>
      </c>
      <c r="Y1052" s="281">
        <f>_xll.qlCalendarAdvance(Calendar,X1052,NDays&amp;"D")</f>
        <v>46279</v>
      </c>
      <c r="Z1052" s="282">
        <v>1.9648445585415963E-2</v>
      </c>
      <c r="AA1052" s="284">
        <v>1.9349832904929087E-2</v>
      </c>
    </row>
    <row r="1053" spans="23:27" x14ac:dyDescent="0.2">
      <c r="W1053" s="203" t="str">
        <f t="shared" si="26"/>
        <v>1w</v>
      </c>
      <c r="X1053" s="287">
        <f>_xll.qlCalendarAdvance(Calendar,X1052,W1053,"f",FALSE)</f>
        <v>46282</v>
      </c>
      <c r="Y1053" s="281">
        <f>_xll.qlCalendarAdvance(Calendar,X1053,NDays&amp;"D")</f>
        <v>46289</v>
      </c>
      <c r="Z1053" s="282">
        <v>1.9703683180142786E-2</v>
      </c>
      <c r="AA1053" s="284">
        <v>1.94063938411837E-2</v>
      </c>
    </row>
    <row r="1054" spans="23:27" x14ac:dyDescent="0.2">
      <c r="W1054" s="203" t="str">
        <f t="shared" si="26"/>
        <v>1w</v>
      </c>
      <c r="X1054" s="287">
        <f>_xll.qlCalendarAdvance(Calendar,X1053,W1054,"f",FALSE)</f>
        <v>46289</v>
      </c>
      <c r="Y1054" s="281">
        <f>_xll.qlCalendarAdvance(Calendar,X1054,NDays&amp;"D")</f>
        <v>46293</v>
      </c>
      <c r="Z1054" s="282">
        <v>1.972893677471772E-2</v>
      </c>
      <c r="AA1054" s="284">
        <v>1.9428919050961113E-2</v>
      </c>
    </row>
    <row r="1055" spans="23:27" x14ac:dyDescent="0.2">
      <c r="W1055" s="203" t="str">
        <f t="shared" si="26"/>
        <v>1w</v>
      </c>
      <c r="X1055" s="287">
        <f>_xll.qlCalendarAdvance(Calendar,X1054,W1055,"f",FALSE)</f>
        <v>46296</v>
      </c>
      <c r="Y1055" s="281">
        <f>_xll.qlCalendarAdvance(Calendar,X1055,NDays&amp;"D")</f>
        <v>46300</v>
      </c>
      <c r="Z1055" s="282">
        <v>1.9767282000145655E-2</v>
      </c>
      <c r="AA1055" s="284">
        <v>1.9468201816881248E-2</v>
      </c>
    </row>
    <row r="1056" spans="23:27" x14ac:dyDescent="0.2">
      <c r="W1056" s="203" t="str">
        <f t="shared" si="26"/>
        <v>1w</v>
      </c>
      <c r="X1056" s="287">
        <f>_xll.qlCalendarAdvance(Calendar,X1055,W1056,"f",FALSE)</f>
        <v>46303</v>
      </c>
      <c r="Y1056" s="281">
        <f>_xll.qlCalendarAdvance(Calendar,X1056,NDays&amp;"D")</f>
        <v>46308</v>
      </c>
      <c r="Z1056" s="282">
        <v>1.981089200745622E-2</v>
      </c>
      <c r="AA1056" s="284">
        <v>1.9512883910586254E-2</v>
      </c>
    </row>
    <row r="1057" spans="23:27" x14ac:dyDescent="0.2">
      <c r="W1057" s="203" t="str">
        <f t="shared" si="26"/>
        <v>1w</v>
      </c>
      <c r="X1057" s="287">
        <f>_xll.qlCalendarAdvance(Calendar,X1056,W1057,"f",FALSE)</f>
        <v>46310</v>
      </c>
      <c r="Y1057" s="281">
        <f>_xll.qlCalendarAdvance(Calendar,X1057,NDays&amp;"D")</f>
        <v>46314</v>
      </c>
      <c r="Z1057" s="282">
        <v>1.9843450333368054E-2</v>
      </c>
      <c r="AA1057" s="284">
        <v>1.9546246733970207E-2</v>
      </c>
    </row>
    <row r="1058" spans="23:27" x14ac:dyDescent="0.2">
      <c r="W1058" s="203" t="str">
        <f t="shared" si="26"/>
        <v>1w</v>
      </c>
      <c r="X1058" s="287">
        <f>_xll.qlCalendarAdvance(Calendar,X1057,W1058,"f",FALSE)</f>
        <v>46317</v>
      </c>
      <c r="Y1058" s="281">
        <f>_xll.qlCalendarAdvance(Calendar,X1058,NDays&amp;"D")</f>
        <v>46321</v>
      </c>
      <c r="Z1058" s="282">
        <v>1.9881273431036701E-2</v>
      </c>
      <c r="AA1058" s="284">
        <v>1.9585008885059096E-2</v>
      </c>
    </row>
    <row r="1059" spans="23:27" x14ac:dyDescent="0.2">
      <c r="W1059" s="203" t="str">
        <f t="shared" si="26"/>
        <v>1w</v>
      </c>
      <c r="X1059" s="287">
        <f>_xll.qlCalendarAdvance(Calendar,X1058,W1059,"f",FALSE)</f>
        <v>46324</v>
      </c>
      <c r="Y1059" s="281">
        <f>_xll.qlCalendarAdvance(Calendar,X1059,NDays&amp;"D")</f>
        <v>46328</v>
      </c>
      <c r="Z1059" s="282">
        <v>1.9918922476031338E-2</v>
      </c>
      <c r="AA1059" s="284">
        <v>1.9626881735046453E-2</v>
      </c>
    </row>
    <row r="1060" spans="23:27" x14ac:dyDescent="0.2">
      <c r="W1060" s="203" t="str">
        <f t="shared" si="26"/>
        <v>1w</v>
      </c>
      <c r="X1060" s="287">
        <f>_xll.qlCalendarAdvance(Calendar,X1059,W1060,"f",FALSE)</f>
        <v>46331</v>
      </c>
      <c r="Y1060" s="281">
        <f>_xll.qlCalendarAdvance(Calendar,X1060,NDays&amp;"D")</f>
        <v>46335</v>
      </c>
      <c r="Z1060" s="282">
        <v>1.99563974633464E-2</v>
      </c>
      <c r="AA1060" s="284">
        <v>1.9662012572165821E-2</v>
      </c>
    </row>
    <row r="1061" spans="23:27" x14ac:dyDescent="0.2">
      <c r="W1061" s="203" t="str">
        <f t="shared" si="26"/>
        <v>1w</v>
      </c>
      <c r="X1061" s="287">
        <f>_xll.qlCalendarAdvance(Calendar,X1060,W1061,"f",FALSE)</f>
        <v>46338</v>
      </c>
      <c r="Y1061" s="281">
        <f>_xll.qlCalendarAdvance(Calendar,X1061,NDays&amp;"D")</f>
        <v>46342</v>
      </c>
      <c r="Z1061" s="282">
        <v>1.9993698387999786E-2</v>
      </c>
      <c r="AA1061" s="284">
        <v>1.9700254108103721E-2</v>
      </c>
    </row>
    <row r="1062" spans="23:27" x14ac:dyDescent="0.2">
      <c r="W1062" s="203" t="str">
        <f t="shared" si="26"/>
        <v>1w</v>
      </c>
      <c r="X1062" s="287">
        <f>_xll.qlCalendarAdvance(Calendar,X1061,W1062,"f",FALSE)</f>
        <v>46345</v>
      </c>
      <c r="Y1062" s="281">
        <f>_xll.qlCalendarAdvance(Calendar,X1062,NDays&amp;"D")</f>
        <v>46350</v>
      </c>
      <c r="Z1062" s="282">
        <v>2.0036114871860713E-2</v>
      </c>
      <c r="AA1062" s="284">
        <v>1.9743746224412106E-2</v>
      </c>
    </row>
    <row r="1063" spans="23:27" x14ac:dyDescent="0.2">
      <c r="W1063" s="203" t="str">
        <f t="shared" si="26"/>
        <v>1w</v>
      </c>
      <c r="X1063" s="287">
        <f>_xll.qlCalendarAdvance(Calendar,X1062,W1063,"f",FALSE)</f>
        <v>46352</v>
      </c>
      <c r="Y1063" s="281">
        <f>_xll.qlCalendarAdvance(Calendar,X1063,NDays&amp;"D")</f>
        <v>46356</v>
      </c>
      <c r="Z1063" s="282">
        <v>2.0055113633747901E-2</v>
      </c>
      <c r="AA1063" s="284">
        <v>1.9776216564268978E-2</v>
      </c>
    </row>
    <row r="1064" spans="23:27" x14ac:dyDescent="0.2">
      <c r="W1064" s="203" t="str">
        <f t="shared" si="26"/>
        <v>1w</v>
      </c>
      <c r="X1064" s="287">
        <f>_xll.qlCalendarAdvance(Calendar,X1063,W1064,"f",FALSE)</f>
        <v>46359</v>
      </c>
      <c r="Y1064" s="281">
        <f>_xll.qlCalendarAdvance(Calendar,X1064,NDays&amp;"D")</f>
        <v>46363</v>
      </c>
      <c r="Z1064" s="282">
        <v>2.0101402336099028E-2</v>
      </c>
      <c r="AA1064" s="284">
        <v>1.98139374844164E-2</v>
      </c>
    </row>
    <row r="1065" spans="23:27" x14ac:dyDescent="0.2">
      <c r="W1065" s="203" t="str">
        <f t="shared" si="26"/>
        <v>1w</v>
      </c>
      <c r="X1065" s="287">
        <f>_xll.qlCalendarAdvance(Calendar,X1064,W1065,"f",FALSE)</f>
        <v>46366</v>
      </c>
      <c r="Y1065" s="281">
        <f>_xll.qlCalendarAdvance(Calendar,X1065,NDays&amp;"D")</f>
        <v>46370</v>
      </c>
      <c r="Z1065" s="282">
        <v>2.0138017354397231E-2</v>
      </c>
      <c r="AA1065" s="284">
        <v>1.9851484865860414E-2</v>
      </c>
    </row>
    <row r="1066" spans="23:27" x14ac:dyDescent="0.2">
      <c r="W1066" s="203" t="str">
        <f t="shared" si="26"/>
        <v>1w</v>
      </c>
      <c r="X1066" s="287">
        <f>_xll.qlCalendarAdvance(Calendar,X1065,W1066,"f",FALSE)</f>
        <v>46373</v>
      </c>
      <c r="Y1066" s="281">
        <f>_xll.qlCalendarAdvance(Calendar,X1066,NDays&amp;"D")</f>
        <v>46377</v>
      </c>
      <c r="Z1066" s="282">
        <v>2.0177591898571958E-2</v>
      </c>
      <c r="AA1066" s="284">
        <v>1.9888858708680957E-2</v>
      </c>
    </row>
    <row r="1067" spans="23:27" x14ac:dyDescent="0.2">
      <c r="W1067" s="203" t="str">
        <f t="shared" si="26"/>
        <v>1w</v>
      </c>
      <c r="X1067" s="287">
        <f>_xll.qlCalendarAdvance(Calendar,X1066,W1067,"f",FALSE)</f>
        <v>46380</v>
      </c>
      <c r="Y1067" s="281">
        <f>_xll.qlCalendarAdvance(Calendar,X1067,NDays&amp;"D")</f>
        <v>46386</v>
      </c>
      <c r="Z1067" s="282">
        <v>2.0221055125708563E-2</v>
      </c>
      <c r="AA1067" s="284">
        <v>1.9949445506595609E-2</v>
      </c>
    </row>
    <row r="1068" spans="23:27" x14ac:dyDescent="0.2">
      <c r="W1068" s="203" t="str">
        <f t="shared" si="26"/>
        <v>1w</v>
      </c>
      <c r="X1068" s="287">
        <f>_xll.qlCalendarAdvance(Calendar,X1067,W1068,"f",FALSE)</f>
        <v>46391</v>
      </c>
      <c r="Y1068" s="281">
        <f>_xll.qlCalendarAdvance(Calendar,X1068,NDays&amp;"D")</f>
        <v>46393</v>
      </c>
      <c r="Z1068" s="282">
        <v>2.0253987456695377E-2</v>
      </c>
      <c r="AA1068" s="284">
        <v>1.9973632978924627E-2</v>
      </c>
    </row>
    <row r="1069" spans="23:27" x14ac:dyDescent="0.2">
      <c r="W1069" s="203" t="str">
        <f t="shared" si="26"/>
        <v>1w</v>
      </c>
      <c r="X1069" s="287">
        <f>_xll.qlCalendarAdvance(Calendar,X1068,W1069,"f",FALSE)</f>
        <v>46399</v>
      </c>
      <c r="Y1069" s="281">
        <f>_xll.qlCalendarAdvance(Calendar,X1069,NDays&amp;"D")</f>
        <v>46401</v>
      </c>
      <c r="Z1069" s="282">
        <v>2.0294978210001702E-2</v>
      </c>
      <c r="AA1069" s="284">
        <v>2.001568011949395E-2</v>
      </c>
    </row>
    <row r="1070" spans="23:27" x14ac:dyDescent="0.2">
      <c r="W1070" s="203" t="str">
        <f t="shared" si="26"/>
        <v>1w</v>
      </c>
      <c r="X1070" s="287">
        <f>_xll.qlCalendarAdvance(Calendar,X1069,W1070,"f",FALSE)</f>
        <v>46406</v>
      </c>
      <c r="Y1070" s="281">
        <f>_xll.qlCalendarAdvance(Calendar,X1070,NDays&amp;"D")</f>
        <v>46408</v>
      </c>
      <c r="Z1070" s="282">
        <v>2.0330658588687101E-2</v>
      </c>
      <c r="AA1070" s="284">
        <v>2.0052285432834438E-2</v>
      </c>
    </row>
    <row r="1071" spans="23:27" x14ac:dyDescent="0.2">
      <c r="W1071" s="203" t="str">
        <f t="shared" si="26"/>
        <v>1w</v>
      </c>
      <c r="X1071" s="287">
        <f>_xll.qlCalendarAdvance(Calendar,X1070,W1071,"f",FALSE)</f>
        <v>46413</v>
      </c>
      <c r="Y1071" s="281">
        <f>_xll.qlCalendarAdvance(Calendar,X1071,NDays&amp;"D")</f>
        <v>46415</v>
      </c>
      <c r="Z1071" s="282">
        <v>2.0366164867413161E-2</v>
      </c>
      <c r="AA1071" s="284">
        <v>2.008871720723171E-2</v>
      </c>
    </row>
    <row r="1072" spans="23:27" x14ac:dyDescent="0.2">
      <c r="W1072" s="203" t="str">
        <f t="shared" si="26"/>
        <v>1w</v>
      </c>
      <c r="X1072" s="287">
        <f>_xll.qlCalendarAdvance(Calendar,X1071,W1072,"f",FALSE)</f>
        <v>46420</v>
      </c>
      <c r="Y1072" s="281">
        <f>_xll.qlCalendarAdvance(Calendar,X1072,NDays&amp;"D")</f>
        <v>46422</v>
      </c>
      <c r="Z1072" s="282">
        <v>2.0404564517188084E-2</v>
      </c>
      <c r="AA1072" s="284">
        <v>2.0124975442445958E-2</v>
      </c>
    </row>
    <row r="1073" spans="23:27" x14ac:dyDescent="0.2">
      <c r="W1073" s="203" t="str">
        <f t="shared" si="26"/>
        <v>1w</v>
      </c>
      <c r="X1073" s="287">
        <f>_xll.qlCalendarAdvance(Calendar,X1072,W1073,"f",FALSE)</f>
        <v>46427</v>
      </c>
      <c r="Y1073" s="281">
        <f>_xll.qlCalendarAdvance(Calendar,X1073,NDays&amp;"D")</f>
        <v>46430</v>
      </c>
      <c r="Z1073" s="282">
        <v>2.0438607057033355E-2</v>
      </c>
      <c r="AA1073" s="284">
        <v>2.0172467247894232E-2</v>
      </c>
    </row>
    <row r="1074" spans="23:27" x14ac:dyDescent="0.2">
      <c r="W1074" s="203" t="str">
        <f t="shared" si="26"/>
        <v>1w</v>
      </c>
      <c r="X1074" s="287">
        <f>_xll.qlCalendarAdvance(Calendar,X1073,W1074,"f",FALSE)</f>
        <v>46434</v>
      </c>
      <c r="Y1074" s="281">
        <f>_xll.qlCalendarAdvance(Calendar,X1074,NDays&amp;"D")</f>
        <v>46436</v>
      </c>
      <c r="Z1074" s="282">
        <v>2.0468591601845366E-2</v>
      </c>
      <c r="AA1074" s="284">
        <v>2.0196971295565191E-2</v>
      </c>
    </row>
    <row r="1075" spans="23:27" x14ac:dyDescent="0.2">
      <c r="W1075" s="203" t="str">
        <f t="shared" si="26"/>
        <v>1w</v>
      </c>
      <c r="X1075" s="287">
        <f>_xll.qlCalendarAdvance(Calendar,X1074,W1075,"f",FALSE)</f>
        <v>46441</v>
      </c>
      <c r="Y1075" s="281">
        <f>_xll.qlCalendarAdvance(Calendar,X1075,NDays&amp;"D")</f>
        <v>46443</v>
      </c>
      <c r="Z1075" s="282">
        <v>2.0503411895661305E-2</v>
      </c>
      <c r="AA1075" s="284">
        <v>2.0232708913310304E-2</v>
      </c>
    </row>
    <row r="1076" spans="23:27" x14ac:dyDescent="0.2">
      <c r="W1076" s="203" t="str">
        <f t="shared" si="26"/>
        <v>1w</v>
      </c>
      <c r="X1076" s="287">
        <f>_xll.qlCalendarAdvance(Calendar,X1075,W1076,"f",FALSE)</f>
        <v>46448</v>
      </c>
      <c r="Y1076" s="281">
        <f>_xll.qlCalendarAdvance(Calendar,X1076,NDays&amp;"D")</f>
        <v>46450</v>
      </c>
      <c r="Z1076" s="282">
        <v>2.0547135000245995E-2</v>
      </c>
      <c r="AA1076" s="284">
        <v>2.0268272991712522E-2</v>
      </c>
    </row>
    <row r="1077" spans="23:27" x14ac:dyDescent="0.2">
      <c r="W1077" s="203" t="str">
        <f t="shared" si="26"/>
        <v>1w</v>
      </c>
      <c r="X1077" s="287">
        <f>_xll.qlCalendarAdvance(Calendar,X1076,W1077,"f",FALSE)</f>
        <v>46455</v>
      </c>
      <c r="Y1077" s="281">
        <f>_xll.qlCalendarAdvance(Calendar,X1077,NDays&amp;"D")</f>
        <v>46457</v>
      </c>
      <c r="Z1077" s="282">
        <v>2.0581575631061947E-2</v>
      </c>
      <c r="AA1077" s="284">
        <v>2.0303663530771843E-2</v>
      </c>
    </row>
    <row r="1078" spans="23:27" x14ac:dyDescent="0.2">
      <c r="W1078" s="203" t="str">
        <f t="shared" si="26"/>
        <v>1w</v>
      </c>
      <c r="X1078" s="287">
        <f>_xll.qlCalendarAdvance(Calendar,X1077,W1078,"f",FALSE)</f>
        <v>46462</v>
      </c>
      <c r="Y1078" s="281">
        <f>_xll.qlCalendarAdvance(Calendar,X1078,NDays&amp;"D")</f>
        <v>46464</v>
      </c>
      <c r="Z1078" s="282">
        <v>2.0615842116094889E-2</v>
      </c>
      <c r="AA1078" s="284">
        <v>2.0338880530408332E-2</v>
      </c>
    </row>
    <row r="1079" spans="23:27" x14ac:dyDescent="0.2">
      <c r="W1079" s="203" t="str">
        <f t="shared" si="26"/>
        <v>1w</v>
      </c>
      <c r="X1079" s="287">
        <f>_xll.qlCalendarAdvance(Calendar,X1078,W1079,"f",FALSE)</f>
        <v>46469</v>
      </c>
      <c r="Y1079" s="281">
        <f>_xll.qlCalendarAdvance(Calendar,X1079,NDays&amp;"D")</f>
        <v>46471</v>
      </c>
      <c r="Z1079" s="282">
        <v>2.0649934450785858E-2</v>
      </c>
      <c r="AA1079" s="284">
        <v>2.0386209474612116E-2</v>
      </c>
    </row>
    <row r="1080" spans="23:27" x14ac:dyDescent="0.2">
      <c r="W1080" s="203" t="str">
        <f t="shared" si="26"/>
        <v>1w</v>
      </c>
      <c r="X1080" s="287">
        <f>_xll.qlCalendarAdvance(Calendar,X1079,W1080,"f",FALSE)</f>
        <v>46476</v>
      </c>
      <c r="Y1080" s="281">
        <f>_xll.qlCalendarAdvance(Calendar,X1080,NDays&amp;"D")</f>
        <v>46478</v>
      </c>
      <c r="Z1080" s="282">
        <v>2.068086982127789E-2</v>
      </c>
      <c r="AA1080" s="284">
        <v>2.0408793911412815E-2</v>
      </c>
    </row>
    <row r="1081" spans="23:27" x14ac:dyDescent="0.2">
      <c r="W1081" s="203" t="str">
        <f t="shared" si="26"/>
        <v>1w</v>
      </c>
      <c r="X1081" s="287">
        <f>_xll.qlCalendarAdvance(Calendar,X1080,W1081,"f",FALSE)</f>
        <v>46483</v>
      </c>
      <c r="Y1081" s="281">
        <f>_xll.qlCalendarAdvance(Calendar,X1081,NDays&amp;"D")</f>
        <v>46485</v>
      </c>
      <c r="Z1081" s="282">
        <v>2.0714624346378181E-2</v>
      </c>
      <c r="AA1081" s="284">
        <v>2.0443490292620936E-2</v>
      </c>
    </row>
    <row r="1082" spans="23:27" x14ac:dyDescent="0.2">
      <c r="W1082" s="203" t="str">
        <f t="shared" si="26"/>
        <v>1w</v>
      </c>
      <c r="X1082" s="287">
        <f>_xll.qlCalendarAdvance(Calendar,X1081,W1082,"f",FALSE)</f>
        <v>46490</v>
      </c>
      <c r="Y1082" s="281">
        <f>_xll.qlCalendarAdvance(Calendar,X1082,NDays&amp;"D")</f>
        <v>46492</v>
      </c>
      <c r="Z1082" s="282">
        <v>2.0748204714788523E-2</v>
      </c>
      <c r="AA1082" s="284">
        <v>2.0478013134166417E-2</v>
      </c>
    </row>
    <row r="1083" spans="23:27" x14ac:dyDescent="0.2">
      <c r="W1083" s="203" t="str">
        <f t="shared" si="26"/>
        <v>1w</v>
      </c>
      <c r="X1083" s="287">
        <f>_xll.qlCalendarAdvance(Calendar,X1082,W1083,"f",FALSE)</f>
        <v>46497</v>
      </c>
      <c r="Y1083" s="281">
        <f>_xll.qlCalendarAdvance(Calendar,X1083,NDays&amp;"D")</f>
        <v>46499</v>
      </c>
      <c r="Z1083" s="282">
        <v>2.0781610922093106E-2</v>
      </c>
      <c r="AA1083" s="284">
        <v>2.0512362436129195E-2</v>
      </c>
    </row>
    <row r="1084" spans="23:27" x14ac:dyDescent="0.2">
      <c r="W1084" s="203" t="str">
        <f t="shared" si="26"/>
        <v>1w</v>
      </c>
      <c r="X1084" s="287">
        <f>_xll.qlCalendarAdvance(Calendar,X1083,W1084,"f",FALSE)</f>
        <v>46504</v>
      </c>
      <c r="Y1084" s="281">
        <f>_xll.qlCalendarAdvance(Calendar,X1084,NDays&amp;"D")</f>
        <v>46507</v>
      </c>
      <c r="Z1084" s="282">
        <v>2.0819576180593158E-2</v>
      </c>
      <c r="AA1084" s="284">
        <v>2.0566492587397178E-2</v>
      </c>
    </row>
    <row r="1085" spans="23:27" x14ac:dyDescent="0.2">
      <c r="W1085" s="203" t="str">
        <f t="shared" si="26"/>
        <v>1w</v>
      </c>
      <c r="X1085" s="287">
        <f>_xll.qlCalendarAdvance(Calendar,X1084,W1085,"f",FALSE)</f>
        <v>46513</v>
      </c>
      <c r="Y1085" s="281">
        <f>_xll.qlCalendarAdvance(Calendar,X1085,NDays&amp;"D")</f>
        <v>46517</v>
      </c>
      <c r="Z1085" s="282">
        <v>2.086963703912539E-2</v>
      </c>
      <c r="AA1085" s="284">
        <v>2.0599892346488957E-2</v>
      </c>
    </row>
    <row r="1086" spans="23:27" x14ac:dyDescent="0.2">
      <c r="W1086" s="203" t="str">
        <f t="shared" si="26"/>
        <v>1w</v>
      </c>
      <c r="X1086" s="287">
        <f>_xll.qlCalendarAdvance(Calendar,X1085,W1086,"f",FALSE)</f>
        <v>46520</v>
      </c>
      <c r="Y1086" s="281">
        <f>_xll.qlCalendarAdvance(Calendar,X1086,NDays&amp;"D")</f>
        <v>46524</v>
      </c>
      <c r="Z1086" s="282">
        <v>2.0902410661497017E-2</v>
      </c>
      <c r="AA1086" s="284">
        <v>2.0633621863588303E-2</v>
      </c>
    </row>
    <row r="1087" spans="23:27" x14ac:dyDescent="0.2">
      <c r="W1087" s="203" t="str">
        <f t="shared" si="26"/>
        <v>1w</v>
      </c>
      <c r="X1087" s="287">
        <f>_xll.qlCalendarAdvance(Calendar,X1086,W1087,"f",FALSE)</f>
        <v>46527</v>
      </c>
      <c r="Y1087" s="281">
        <f>_xll.qlCalendarAdvance(Calendar,X1087,NDays&amp;"D")</f>
        <v>46531</v>
      </c>
      <c r="Z1087" s="282">
        <v>2.0935010095422368E-2</v>
      </c>
      <c r="AA1087" s="284">
        <v>2.0667177840865136E-2</v>
      </c>
    </row>
    <row r="1088" spans="23:27" x14ac:dyDescent="0.2">
      <c r="W1088" s="203" t="str">
        <f t="shared" si="26"/>
        <v>1w</v>
      </c>
      <c r="X1088" s="287">
        <f>_xll.qlCalendarAdvance(Calendar,X1087,W1088,"f",FALSE)</f>
        <v>46534</v>
      </c>
      <c r="Y1088" s="281">
        <f>_xll.qlCalendarAdvance(Calendar,X1088,NDays&amp;"D")</f>
        <v>46539</v>
      </c>
      <c r="Z1088" s="282">
        <v>2.0972053293801519E-2</v>
      </c>
      <c r="AA1088" s="284">
        <v>2.0705315031230853E-2</v>
      </c>
    </row>
    <row r="1089" spans="23:27" x14ac:dyDescent="0.2">
      <c r="W1089" s="203" t="str">
        <f t="shared" si="26"/>
        <v>1w</v>
      </c>
      <c r="X1089" s="287">
        <f>_xll.qlCalendarAdvance(Calendar,X1088,W1089,"f",FALSE)</f>
        <v>46541</v>
      </c>
      <c r="Y1089" s="281">
        <f>_xll.qlCalendarAdvance(Calendar,X1089,NDays&amp;"D")</f>
        <v>46545</v>
      </c>
      <c r="Z1089" s="282">
        <v>2.0999686380617659E-2</v>
      </c>
      <c r="AA1089" s="284">
        <v>2.073376917547165E-2</v>
      </c>
    </row>
    <row r="1090" spans="23:27" x14ac:dyDescent="0.2">
      <c r="W1090" s="203" t="str">
        <f t="shared" si="26"/>
        <v>1w</v>
      </c>
      <c r="X1090" s="287">
        <f>_xll.qlCalendarAdvance(Calendar,X1089,W1090,"f",FALSE)</f>
        <v>46548</v>
      </c>
      <c r="Y1090" s="281">
        <f>_xll.qlCalendarAdvance(Calendar,X1090,NDays&amp;"D")</f>
        <v>46552</v>
      </c>
      <c r="Z1090" s="282">
        <v>2.1031763223287522E-2</v>
      </c>
      <c r="AA1090" s="284">
        <v>2.0766804532801331E-2</v>
      </c>
    </row>
    <row r="1091" spans="23:27" x14ac:dyDescent="0.2">
      <c r="W1091" s="203" t="str">
        <f t="shared" si="26"/>
        <v>1w</v>
      </c>
      <c r="X1091" s="287">
        <f>_xll.qlCalendarAdvance(Calendar,X1090,W1091,"f",FALSE)</f>
        <v>46555</v>
      </c>
      <c r="Y1091" s="281">
        <f>_xll.qlCalendarAdvance(Calendar,X1091,NDays&amp;"D")</f>
        <v>46559</v>
      </c>
      <c r="Z1091" s="282">
        <v>2.1063665860310953E-2</v>
      </c>
      <c r="AA1091" s="284">
        <v>2.0799666350068691E-2</v>
      </c>
    </row>
    <row r="1092" spans="23:27" x14ac:dyDescent="0.2">
      <c r="W1092" s="203" t="str">
        <f t="shared" si="26"/>
        <v>1w</v>
      </c>
      <c r="X1092" s="287">
        <f>_xll.qlCalendarAdvance(Calendar,X1091,W1092,"f",FALSE)</f>
        <v>46562</v>
      </c>
      <c r="Y1092" s="281">
        <f>_xll.qlCalendarAdvance(Calendar,X1092,NDays&amp;"D")</f>
        <v>46566</v>
      </c>
      <c r="Z1092" s="282">
        <v>2.1095394287445265E-2</v>
      </c>
      <c r="AA1092" s="284">
        <v>2.0832354627193794E-2</v>
      </c>
    </row>
    <row r="1093" spans="23:27" x14ac:dyDescent="0.2">
      <c r="W1093" s="203" t="str">
        <f t="shared" si="26"/>
        <v>1w</v>
      </c>
      <c r="X1093" s="287">
        <f>_xll.qlCalendarAdvance(Calendar,X1092,W1093,"f",FALSE)</f>
        <v>46569</v>
      </c>
      <c r="Y1093" s="281">
        <f>_xll.qlCalendarAdvance(Calendar,X1093,NDays&amp;"D")</f>
        <v>46573</v>
      </c>
      <c r="Z1093" s="282">
        <v>2.1126948500472087E-2</v>
      </c>
      <c r="AA1093" s="284">
        <v>2.0864869364176641E-2</v>
      </c>
    </row>
    <row r="1094" spans="23:27" x14ac:dyDescent="0.2">
      <c r="W1094" s="203" t="str">
        <f t="shared" si="26"/>
        <v>1w</v>
      </c>
      <c r="X1094" s="287">
        <f>_xll.qlCalendarAdvance(Calendar,X1093,W1094,"f",FALSE)</f>
        <v>46576</v>
      </c>
      <c r="Y1094" s="281">
        <f>_xll.qlCalendarAdvance(Calendar,X1094,NDays&amp;"D")</f>
        <v>46580</v>
      </c>
      <c r="Z1094" s="282">
        <v>2.1158328495193907E-2</v>
      </c>
      <c r="AA1094" s="284">
        <v>2.0897210560937296E-2</v>
      </c>
    </row>
    <row r="1095" spans="23:27" x14ac:dyDescent="0.2">
      <c r="W1095" s="203" t="str">
        <f t="shared" si="26"/>
        <v>1w</v>
      </c>
      <c r="X1095" s="287">
        <f>_xll.qlCalendarAdvance(Calendar,X1094,W1095,"f",FALSE)</f>
        <v>46583</v>
      </c>
      <c r="Y1095" s="281">
        <f>_xll.qlCalendarAdvance(Calendar,X1095,NDays&amp;"D")</f>
        <v>46588</v>
      </c>
      <c r="Z1095" s="282">
        <v>2.1193978012418228E-2</v>
      </c>
      <c r="AA1095" s="284">
        <v>2.0933959430404769E-2</v>
      </c>
    </row>
    <row r="1096" spans="23:27" x14ac:dyDescent="0.2">
      <c r="W1096" s="203" t="str">
        <f t="shared" si="26"/>
        <v>1w</v>
      </c>
      <c r="X1096" s="287">
        <f>_xll.qlCalendarAdvance(Calendar,X1095,W1096,"f",FALSE)</f>
        <v>46590</v>
      </c>
      <c r="Y1096" s="281">
        <f>_xll.qlCalendarAdvance(Calendar,X1096,NDays&amp;"D")</f>
        <v>46594</v>
      </c>
      <c r="Z1096" s="282">
        <v>2.122056581305936E-2</v>
      </c>
      <c r="AA1096" s="284">
        <v>2.0961372333792028E-2</v>
      </c>
    </row>
    <row r="1097" spans="23:27" x14ac:dyDescent="0.2">
      <c r="W1097" s="203" t="str">
        <f t="shared" si="26"/>
        <v>1w</v>
      </c>
      <c r="X1097" s="287">
        <f>_xll.qlCalendarAdvance(Calendar,X1096,W1097,"f",FALSE)</f>
        <v>46597</v>
      </c>
      <c r="Y1097" s="281">
        <f>_xll.qlCalendarAdvance(Calendar,X1097,NDays&amp;"D")</f>
        <v>46601</v>
      </c>
      <c r="Z1097" s="282">
        <v>2.1251423127924395E-2</v>
      </c>
      <c r="AA1097" s="284">
        <v>2.0993192909566361E-2</v>
      </c>
    </row>
    <row r="1098" spans="23:27" x14ac:dyDescent="0.2">
      <c r="W1098" s="203" t="str">
        <f t="shared" si="26"/>
        <v>1w</v>
      </c>
      <c r="X1098" s="287">
        <f>_xll.qlCalendarAdvance(Calendar,X1097,W1098,"f",FALSE)</f>
        <v>46604</v>
      </c>
      <c r="Y1098" s="281">
        <f>_xll.qlCalendarAdvance(Calendar,X1098,NDays&amp;"D")</f>
        <v>46608</v>
      </c>
      <c r="Z1098" s="282">
        <v>2.1282106207933322E-2</v>
      </c>
      <c r="AA1098" s="284">
        <v>2.1024839945038565E-2</v>
      </c>
    </row>
    <row r="1099" spans="23:27" x14ac:dyDescent="0.2">
      <c r="W1099" s="203" t="str">
        <f t="shared" si="26"/>
        <v>1w</v>
      </c>
      <c r="X1099" s="287">
        <f>_xll.qlCalendarAdvance(Calendar,X1098,W1099,"f",FALSE)</f>
        <v>46611</v>
      </c>
      <c r="Y1099" s="281">
        <f>_xll.qlCalendarAdvance(Calendar,X1099,NDays&amp;"D")</f>
        <v>46615</v>
      </c>
      <c r="Z1099" s="282">
        <v>2.1312615049005928E-2</v>
      </c>
      <c r="AA1099" s="284">
        <v>2.105631344020864E-2</v>
      </c>
    </row>
    <row r="1100" spans="23:27" x14ac:dyDescent="0.2">
      <c r="W1100" s="203" t="str">
        <f t="shared" si="26"/>
        <v>1w</v>
      </c>
      <c r="X1100" s="287">
        <f>_xll.qlCalendarAdvance(Calendar,X1099,W1100,"f",FALSE)</f>
        <v>46618</v>
      </c>
      <c r="Y1100" s="281">
        <f>_xll.qlCalendarAdvance(Calendar,X1100,NDays&amp;"D")</f>
        <v>46622</v>
      </c>
      <c r="Z1100" s="282">
        <v>2.1345713948787971E-2</v>
      </c>
      <c r="AA1100" s="284">
        <v>2.1087613394756843E-2</v>
      </c>
    </row>
    <row r="1101" spans="23:27" x14ac:dyDescent="0.2">
      <c r="W1101" s="203" t="str">
        <f t="shared" si="26"/>
        <v>1w</v>
      </c>
      <c r="X1101" s="287">
        <f>_xll.qlCalendarAdvance(Calendar,X1100,W1101,"f",FALSE)</f>
        <v>46625</v>
      </c>
      <c r="Y1101" s="281">
        <f>_xll.qlCalendarAdvance(Calendar,X1101,NDays&amp;"D")</f>
        <v>46630</v>
      </c>
      <c r="Z1101" s="282">
        <v>2.1374651370215433E-2</v>
      </c>
      <c r="AA1101" s="284">
        <v>2.112317227275895E-2</v>
      </c>
    </row>
    <row r="1102" spans="23:27" x14ac:dyDescent="0.2">
      <c r="W1102" s="203" t="str">
        <f t="shared" si="26"/>
        <v>1w</v>
      </c>
      <c r="X1102" s="287">
        <f>_xll.qlCalendarAdvance(Calendar,X1101,W1102,"f",FALSE)</f>
        <v>46632</v>
      </c>
      <c r="Y1102" s="281">
        <f>_xll.qlCalendarAdvance(Calendar,X1102,NDays&amp;"D")</f>
        <v>46636</v>
      </c>
      <c r="Z1102" s="282">
        <v>2.1400352219056208E-2</v>
      </c>
      <c r="AA1102" s="284">
        <v>2.1149692682307375E-2</v>
      </c>
    </row>
    <row r="1103" spans="23:27" x14ac:dyDescent="0.2">
      <c r="W1103" s="203" t="str">
        <f t="shared" si="26"/>
        <v>1w</v>
      </c>
      <c r="X1103" s="287">
        <f>_xll.qlCalendarAdvance(Calendar,X1102,W1103,"f",FALSE)</f>
        <v>46639</v>
      </c>
      <c r="Y1103" s="281">
        <f>_xll.qlCalendarAdvance(Calendar,X1103,NDays&amp;"D")</f>
        <v>46643</v>
      </c>
      <c r="Z1103" s="282">
        <v>2.1430174741849453E-2</v>
      </c>
      <c r="AA1103" s="284">
        <v>2.1180472015149832E-2</v>
      </c>
    </row>
    <row r="1104" spans="23:27" x14ac:dyDescent="0.2">
      <c r="W1104" s="203" t="str">
        <f t="shared" si="26"/>
        <v>1w</v>
      </c>
      <c r="X1104" s="287">
        <f>_xll.qlCalendarAdvance(Calendar,X1103,W1104,"f",FALSE)</f>
        <v>46646</v>
      </c>
      <c r="Y1104" s="281">
        <f>_xll.qlCalendarAdvance(Calendar,X1104,NDays&amp;"D")</f>
        <v>46651</v>
      </c>
      <c r="Z1104" s="282">
        <v>2.146404425647885E-2</v>
      </c>
      <c r="AA1104" s="284">
        <v>2.121543589669983E-2</v>
      </c>
    </row>
    <row r="1105" spans="23:27" x14ac:dyDescent="0.2">
      <c r="W1105" s="203" t="str">
        <f t="shared" si="26"/>
        <v>1w</v>
      </c>
      <c r="X1105" s="287">
        <f>_xll.qlCalendarAdvance(Calendar,X1104,W1105,"f",FALSE)</f>
        <v>46654</v>
      </c>
      <c r="Y1105" s="281">
        <f>_xll.qlCalendarAdvance(Calendar,X1105,NDays&amp;"D")</f>
        <v>46658</v>
      </c>
      <c r="Z1105" s="282">
        <v>2.1496203672562466E-2</v>
      </c>
      <c r="AA1105" s="284">
        <v>2.1245843356769711E-2</v>
      </c>
    </row>
    <row r="1106" spans="23:27" x14ac:dyDescent="0.2">
      <c r="W1106" s="203" t="str">
        <f t="shared" si="26"/>
        <v>1w</v>
      </c>
      <c r="X1106" s="287">
        <f>_xll.qlCalendarAdvance(Calendar,X1105,W1106,"f",FALSE)</f>
        <v>46661</v>
      </c>
      <c r="Y1106" s="281">
        <f>_xll.qlCalendarAdvance(Calendar,X1106,NDays&amp;"D")</f>
        <v>46665</v>
      </c>
      <c r="Z1106" s="282">
        <v>2.1525467833189406E-2</v>
      </c>
      <c r="AA1106" s="284">
        <v>2.1276077275897975E-2</v>
      </c>
    </row>
    <row r="1107" spans="23:27" x14ac:dyDescent="0.2">
      <c r="W1107" s="203" t="str">
        <f t="shared" si="26"/>
        <v>1w</v>
      </c>
      <c r="X1107" s="287">
        <f>_xll.qlCalendarAdvance(Calendar,X1106,W1107,"f",FALSE)</f>
        <v>46668</v>
      </c>
      <c r="Y1107" s="281">
        <f>_xll.qlCalendarAdvance(Calendar,X1107,NDays&amp;"D")</f>
        <v>46673</v>
      </c>
      <c r="Z1107" s="282">
        <v>2.1554557722517211E-2</v>
      </c>
      <c r="AA1107" s="284">
        <v>2.131041782742038E-2</v>
      </c>
    </row>
    <row r="1108" spans="23:27" x14ac:dyDescent="0.2">
      <c r="W1108" s="203" t="str">
        <f t="shared" si="26"/>
        <v>1w</v>
      </c>
      <c r="X1108" s="287">
        <f>_xll.qlCalendarAdvance(Calendar,X1107,W1108,"f",FALSE)</f>
        <v>46675</v>
      </c>
      <c r="Y1108" s="281">
        <f>_xll.qlCalendarAdvance(Calendar,X1108,NDays&amp;"D")</f>
        <v>46679</v>
      </c>
      <c r="Z1108" s="282">
        <v>2.1583473336675069E-2</v>
      </c>
      <c r="AA1108" s="284">
        <v>2.1336024491809269E-2</v>
      </c>
    </row>
    <row r="1109" spans="23:27" x14ac:dyDescent="0.2">
      <c r="W1109" s="203" t="str">
        <f t="shared" ref="W1109:W1172" si="27">W1108</f>
        <v>1w</v>
      </c>
      <c r="X1109" s="287">
        <f>_xll.qlCalendarAdvance(Calendar,X1108,W1109,"f",FALSE)</f>
        <v>46682</v>
      </c>
      <c r="Y1109" s="281">
        <f>_xll.qlCalendarAdvance(Calendar,X1109,NDays&amp;"D")</f>
        <v>46686</v>
      </c>
      <c r="Z1109" s="282">
        <v>2.1612214671820836E-2</v>
      </c>
      <c r="AA1109" s="284">
        <v>2.1365737788512362E-2</v>
      </c>
    </row>
    <row r="1110" spans="23:27" x14ac:dyDescent="0.2">
      <c r="W1110" s="203" t="str">
        <f t="shared" si="27"/>
        <v>1w</v>
      </c>
      <c r="X1110" s="287">
        <f>_xll.qlCalendarAdvance(Calendar,X1109,W1110,"f",FALSE)</f>
        <v>46689</v>
      </c>
      <c r="Y1110" s="281">
        <f>_xll.qlCalendarAdvance(Calendar,X1110,NDays&amp;"D")</f>
        <v>46693</v>
      </c>
      <c r="Z1110" s="282">
        <v>2.1640781724128009E-2</v>
      </c>
      <c r="AA1110" s="284">
        <v>2.1398016343341375E-2</v>
      </c>
    </row>
    <row r="1111" spans="23:27" x14ac:dyDescent="0.2">
      <c r="W1111" s="203" t="str">
        <f t="shared" si="27"/>
        <v>1w</v>
      </c>
      <c r="X1111" s="287">
        <f>_xll.qlCalendarAdvance(Calendar,X1110,W1111,"f",FALSE)</f>
        <v>46696</v>
      </c>
      <c r="Y1111" s="281">
        <f>_xll.qlCalendarAdvance(Calendar,X1111,NDays&amp;"D")</f>
        <v>46700</v>
      </c>
      <c r="Z1111" s="282">
        <v>2.1669174489801359E-2</v>
      </c>
      <c r="AA1111" s="284">
        <v>2.1424643759013762E-2</v>
      </c>
    </row>
    <row r="1112" spans="23:27" x14ac:dyDescent="0.2">
      <c r="W1112" s="203" t="str">
        <f t="shared" si="27"/>
        <v>1w</v>
      </c>
      <c r="X1112" s="287">
        <f>_xll.qlCalendarAdvance(Calendar,X1111,W1112,"f",FALSE)</f>
        <v>46703</v>
      </c>
      <c r="Y1112" s="281">
        <f>_xll.qlCalendarAdvance(Calendar,X1112,NDays&amp;"D")</f>
        <v>46707</v>
      </c>
      <c r="Z1112" s="282">
        <v>2.1697392965062172E-2</v>
      </c>
      <c r="AA1112" s="284">
        <v>2.1453836432732132E-2</v>
      </c>
    </row>
    <row r="1113" spans="23:27" x14ac:dyDescent="0.2">
      <c r="W1113" s="203" t="str">
        <f t="shared" si="27"/>
        <v>1w</v>
      </c>
      <c r="X1113" s="287">
        <f>_xll.qlCalendarAdvance(Calendar,X1112,W1113,"f",FALSE)</f>
        <v>46710</v>
      </c>
      <c r="Y1113" s="281">
        <f>_xll.qlCalendarAdvance(Calendar,X1113,NDays&amp;"D")</f>
        <v>46715</v>
      </c>
      <c r="Z1113" s="282">
        <v>2.1729429229431316E-2</v>
      </c>
      <c r="AA1113" s="284">
        <v>2.1486986989271983E-2</v>
      </c>
    </row>
    <row r="1114" spans="23:27" x14ac:dyDescent="0.2">
      <c r="W1114" s="203" t="str">
        <f t="shared" si="27"/>
        <v>1w</v>
      </c>
      <c r="X1114" s="287">
        <f>_xll.qlCalendarAdvance(Calendar,X1113,W1114,"f",FALSE)</f>
        <v>46717</v>
      </c>
      <c r="Y1114" s="281">
        <f>_xll.qlCalendarAdvance(Calendar,X1114,NDays&amp;"D")</f>
        <v>46721</v>
      </c>
      <c r="Z1114" s="282">
        <v>2.1750693372356422E-2</v>
      </c>
      <c r="AA1114" s="284">
        <v>2.1511701157104213E-2</v>
      </c>
    </row>
    <row r="1115" spans="23:27" x14ac:dyDescent="0.2">
      <c r="W1115" s="203" t="str">
        <f t="shared" si="27"/>
        <v>1w</v>
      </c>
      <c r="X1115" s="287">
        <f>_xll.qlCalendarAdvance(Calendar,X1114,W1115,"f",FALSE)</f>
        <v>46724</v>
      </c>
      <c r="Y1115" s="281">
        <f>_xll.qlCalendarAdvance(Calendar,X1115,NDays&amp;"D")</f>
        <v>46728</v>
      </c>
      <c r="Z1115" s="282">
        <v>2.177839973388147E-2</v>
      </c>
      <c r="AA1115" s="284">
        <v>2.1540373207518115E-2</v>
      </c>
    </row>
    <row r="1116" spans="23:27" x14ac:dyDescent="0.2">
      <c r="W1116" s="203" t="str">
        <f t="shared" si="27"/>
        <v>1w</v>
      </c>
      <c r="X1116" s="287">
        <f>_xll.qlCalendarAdvance(Calendar,X1115,W1116,"f",FALSE)</f>
        <v>46731</v>
      </c>
      <c r="Y1116" s="281">
        <f>_xll.qlCalendarAdvance(Calendar,X1116,NDays&amp;"D")</f>
        <v>46735</v>
      </c>
      <c r="Z1116" s="282">
        <v>2.1805931798792453E-2</v>
      </c>
      <c r="AA1116" s="284">
        <v>2.1568871716830529E-2</v>
      </c>
    </row>
    <row r="1117" spans="23:27" x14ac:dyDescent="0.2">
      <c r="W1117" s="203" t="str">
        <f t="shared" si="27"/>
        <v>1w</v>
      </c>
      <c r="X1117" s="287">
        <f>_xll.qlCalendarAdvance(Calendar,X1116,W1117,"f",FALSE)</f>
        <v>46738</v>
      </c>
      <c r="Y1117" s="281">
        <f>_xll.qlCalendarAdvance(Calendar,X1117,NDays&amp;"D")</f>
        <v>46742</v>
      </c>
      <c r="Z1117" s="282">
        <v>2.1833289563466775E-2</v>
      </c>
      <c r="AA1117" s="284">
        <v>2.1597196684881581E-2</v>
      </c>
    </row>
    <row r="1118" spans="23:27" x14ac:dyDescent="0.2">
      <c r="W1118" s="203" t="str">
        <f t="shared" si="27"/>
        <v>1w</v>
      </c>
      <c r="X1118" s="287">
        <f>_xll.qlCalendarAdvance(Calendar,X1117,W1118,"f",FALSE)</f>
        <v>46745</v>
      </c>
      <c r="Y1118" s="281">
        <f>_xll.qlCalendarAdvance(Calendar,X1118,NDays&amp;"D")</f>
        <v>46751</v>
      </c>
      <c r="Z1118" s="282">
        <v>2.187077510800239E-2</v>
      </c>
      <c r="AA1118" s="284">
        <v>2.1643955273706439E-2</v>
      </c>
    </row>
    <row r="1119" spans="23:27" x14ac:dyDescent="0.2">
      <c r="W1119" s="203" t="str">
        <f t="shared" si="27"/>
        <v>1w</v>
      </c>
      <c r="X1119" s="287">
        <f>_xll.qlCalendarAdvance(Calendar,X1118,W1119,"f",FALSE)</f>
        <v>46756</v>
      </c>
      <c r="Y1119" s="281">
        <f>_xll.qlCalendarAdvance(Calendar,X1119,NDays&amp;"D")</f>
        <v>46758</v>
      </c>
      <c r="Z1119" s="282">
        <v>2.1895167062568499E-2</v>
      </c>
      <c r="AA1119" s="284">
        <v>2.1661287803693696E-2</v>
      </c>
    </row>
    <row r="1120" spans="23:27" x14ac:dyDescent="0.2">
      <c r="W1120" s="203" t="str">
        <f t="shared" si="27"/>
        <v>1w</v>
      </c>
      <c r="X1120" s="287">
        <f>_xll.qlCalendarAdvance(Calendar,X1119,W1120,"f",FALSE)</f>
        <v>46763</v>
      </c>
      <c r="Y1120" s="281">
        <f>_xll.qlCalendarAdvance(Calendar,X1120,NDays&amp;"D")</f>
        <v>46765</v>
      </c>
      <c r="Z1120" s="282">
        <v>2.1921952101250475E-2</v>
      </c>
      <c r="AA1120" s="284">
        <v>2.1689042564663197E-2</v>
      </c>
    </row>
    <row r="1121" spans="23:27" x14ac:dyDescent="0.2">
      <c r="W1121" s="203" t="str">
        <f t="shared" si="27"/>
        <v>1w</v>
      </c>
      <c r="X1121" s="287">
        <f>_xll.qlCalendarAdvance(Calendar,X1120,W1121,"f",FALSE)</f>
        <v>46770</v>
      </c>
      <c r="Y1121" s="281">
        <f>_xll.qlCalendarAdvance(Calendar,X1121,NDays&amp;"D")</f>
        <v>46772</v>
      </c>
      <c r="Z1121" s="282">
        <v>2.1948562824433273E-2</v>
      </c>
      <c r="AA1121" s="284">
        <v>2.1716623784131528E-2</v>
      </c>
    </row>
    <row r="1122" spans="23:27" x14ac:dyDescent="0.2">
      <c r="W1122" s="203" t="str">
        <f t="shared" si="27"/>
        <v>1w</v>
      </c>
      <c r="X1122" s="287">
        <f>_xll.qlCalendarAdvance(Calendar,X1121,W1122,"f",FALSE)</f>
        <v>46777</v>
      </c>
      <c r="Y1122" s="281">
        <f>_xll.qlCalendarAdvance(Calendar,X1122,NDays&amp;"D")</f>
        <v>46779</v>
      </c>
      <c r="Z1122" s="282">
        <v>2.1974999228616395E-2</v>
      </c>
      <c r="AA1122" s="284">
        <v>2.174403146209869E-2</v>
      </c>
    </row>
    <row r="1123" spans="23:27" x14ac:dyDescent="0.2">
      <c r="W1123" s="203" t="str">
        <f t="shared" si="27"/>
        <v>1w</v>
      </c>
      <c r="X1123" s="287">
        <f>_xll.qlCalendarAdvance(Calendar,X1122,W1123,"f",FALSE)</f>
        <v>46784</v>
      </c>
      <c r="Y1123" s="281">
        <f>_xll.qlCalendarAdvance(Calendar,X1123,NDays&amp;"D")</f>
        <v>46786</v>
      </c>
      <c r="Z1123" s="282">
        <v>2.2011308585348388E-2</v>
      </c>
      <c r="AA1123" s="284">
        <v>2.1771265598724554E-2</v>
      </c>
    </row>
    <row r="1124" spans="23:27" x14ac:dyDescent="0.2">
      <c r="W1124" s="203" t="str">
        <f t="shared" si="27"/>
        <v>1w</v>
      </c>
      <c r="X1124" s="287">
        <f>_xll.qlCalendarAdvance(Calendar,X1123,W1124,"f",FALSE)</f>
        <v>46791</v>
      </c>
      <c r="Y1124" s="281">
        <f>_xll.qlCalendarAdvance(Calendar,X1124,NDays&amp;"D")</f>
        <v>46793</v>
      </c>
      <c r="Z1124" s="282">
        <v>2.202484577178776E-2</v>
      </c>
      <c r="AA1124" s="284">
        <v>2.1806081092612395E-2</v>
      </c>
    </row>
    <row r="1125" spans="23:27" x14ac:dyDescent="0.2">
      <c r="W1125" s="203" t="str">
        <f t="shared" si="27"/>
        <v>1w</v>
      </c>
      <c r="X1125" s="287">
        <f>_xll.qlCalendarAdvance(Calendar,X1124,W1125,"f",FALSE)</f>
        <v>46798</v>
      </c>
      <c r="Y1125" s="281">
        <f>_xll.qlCalendarAdvance(Calendar,X1125,NDays&amp;"D")</f>
        <v>46800</v>
      </c>
      <c r="Z1125" s="282">
        <v>2.2050770067906456E-2</v>
      </c>
      <c r="AA1125" s="284">
        <v>2.1825213247312902E-2</v>
      </c>
    </row>
    <row r="1126" spans="23:27" x14ac:dyDescent="0.2">
      <c r="W1126" s="203" t="str">
        <f t="shared" si="27"/>
        <v>1w</v>
      </c>
      <c r="X1126" s="287">
        <f>_xll.qlCalendarAdvance(Calendar,X1125,W1126,"f",FALSE)</f>
        <v>46805</v>
      </c>
      <c r="Y1126" s="281">
        <f>_xll.qlCalendarAdvance(Calendar,X1126,NDays&amp;"D")</f>
        <v>46807</v>
      </c>
      <c r="Z1126" s="282">
        <v>2.2076520040297254E-2</v>
      </c>
      <c r="AA1126" s="284">
        <v>2.185192675919545E-2</v>
      </c>
    </row>
    <row r="1127" spans="23:27" x14ac:dyDescent="0.2">
      <c r="W1127" s="203" t="str">
        <f t="shared" si="27"/>
        <v>1w</v>
      </c>
      <c r="X1127" s="287">
        <f>_xll.qlCalendarAdvance(Calendar,X1126,W1127,"f",FALSE)</f>
        <v>46812</v>
      </c>
      <c r="Y1127" s="281">
        <f>_xll.qlCalendarAdvance(Calendar,X1127,NDays&amp;"D")</f>
        <v>46814</v>
      </c>
      <c r="Z1127" s="282">
        <v>2.2107036062564436E-2</v>
      </c>
      <c r="AA1127" s="284">
        <v>2.1878466729416957E-2</v>
      </c>
    </row>
    <row r="1128" spans="23:27" x14ac:dyDescent="0.2">
      <c r="W1128" s="203" t="str">
        <f t="shared" si="27"/>
        <v>1w</v>
      </c>
      <c r="X1128" s="287">
        <f>_xll.qlCalendarAdvance(Calendar,X1127,W1128,"f",FALSE)</f>
        <v>46819</v>
      </c>
      <c r="Y1128" s="281">
        <f>_xll.qlCalendarAdvance(Calendar,X1128,NDays&amp;"D")</f>
        <v>46821</v>
      </c>
      <c r="Z1128" s="282">
        <v>2.2132415582368444E-2</v>
      </c>
      <c r="AA1128" s="284">
        <v>2.1904833158057357E-2</v>
      </c>
    </row>
    <row r="1129" spans="23:27" x14ac:dyDescent="0.2">
      <c r="W1129" s="203" t="str">
        <f t="shared" si="27"/>
        <v>1w</v>
      </c>
      <c r="X1129" s="287">
        <f>_xll.qlCalendarAdvance(Calendar,X1128,W1129,"f",FALSE)</f>
        <v>46826</v>
      </c>
      <c r="Y1129" s="281">
        <f>_xll.qlCalendarAdvance(Calendar,X1129,NDays&amp;"D")</f>
        <v>46828</v>
      </c>
      <c r="Z1129" s="282">
        <v>2.2157620750152675E-2</v>
      </c>
      <c r="AA1129" s="284">
        <v>2.1931026044956781E-2</v>
      </c>
    </row>
    <row r="1130" spans="23:27" x14ac:dyDescent="0.2">
      <c r="W1130" s="203" t="str">
        <f t="shared" si="27"/>
        <v>1w</v>
      </c>
      <c r="X1130" s="287">
        <f>_xll.qlCalendarAdvance(Calendar,X1129,W1130,"f",FALSE)</f>
        <v>46833</v>
      </c>
      <c r="Y1130" s="281">
        <f>_xll.qlCalendarAdvance(Calendar,X1130,NDays&amp;"D")</f>
        <v>46835</v>
      </c>
      <c r="Z1130" s="282">
        <v>2.2182651562563289E-2</v>
      </c>
      <c r="AA1130" s="284">
        <v>2.1957045390115226E-2</v>
      </c>
    </row>
    <row r="1131" spans="23:27" x14ac:dyDescent="0.2">
      <c r="W1131" s="203" t="str">
        <f t="shared" si="27"/>
        <v>1w</v>
      </c>
      <c r="X1131" s="287">
        <f>_xll.qlCalendarAdvance(Calendar,X1130,W1131,"f",FALSE)</f>
        <v>46840</v>
      </c>
      <c r="Y1131" s="281">
        <f>_xll.qlCalendarAdvance(Calendar,X1131,NDays&amp;"D")</f>
        <v>46842</v>
      </c>
      <c r="Z1131" s="282">
        <v>2.2207508016273379E-2</v>
      </c>
      <c r="AA1131" s="284">
        <v>2.1982891193452758E-2</v>
      </c>
    </row>
    <row r="1132" spans="23:27" x14ac:dyDescent="0.2">
      <c r="W1132" s="203" t="str">
        <f t="shared" si="27"/>
        <v>1w</v>
      </c>
      <c r="X1132" s="287">
        <f>_xll.qlCalendarAdvance(Calendar,X1131,W1132,"f",FALSE)</f>
        <v>46847</v>
      </c>
      <c r="Y1132" s="281">
        <f>_xll.qlCalendarAdvance(Calendar,X1132,NDays&amp;"D")</f>
        <v>46849</v>
      </c>
      <c r="Z1132" s="282">
        <v>2.2229774971722092E-2</v>
      </c>
      <c r="AA1132" s="284">
        <v>2.2008563454969376E-2</v>
      </c>
    </row>
    <row r="1133" spans="23:27" x14ac:dyDescent="0.2">
      <c r="W1133" s="203" t="str">
        <f t="shared" si="27"/>
        <v>1w</v>
      </c>
      <c r="X1133" s="287">
        <f>_xll.qlCalendarAdvance(Calendar,X1132,W1133,"f",FALSE)</f>
        <v>46854</v>
      </c>
      <c r="Y1133" s="281">
        <f>_xll.qlCalendarAdvance(Calendar,X1133,NDays&amp;"D")</f>
        <v>46856</v>
      </c>
      <c r="Z1133" s="282">
        <v>2.2254293642421992E-2</v>
      </c>
      <c r="AA1133" s="284">
        <v>2.2044011268533836E-2</v>
      </c>
    </row>
    <row r="1134" spans="23:27" x14ac:dyDescent="0.2">
      <c r="W1134" s="203" t="str">
        <f t="shared" si="27"/>
        <v>1w</v>
      </c>
      <c r="X1134" s="287">
        <f>_xll.qlCalendarAdvance(Calendar,X1133,W1134,"f",FALSE)</f>
        <v>46861</v>
      </c>
      <c r="Y1134" s="281">
        <f>_xll.qlCalendarAdvance(Calendar,X1134,NDays&amp;"D")</f>
        <v>46863</v>
      </c>
      <c r="Z1134" s="282">
        <v>2.2278637953902083E-2</v>
      </c>
      <c r="AA1134" s="284">
        <v>2.2059387352459936E-2</v>
      </c>
    </row>
    <row r="1135" spans="23:27" x14ac:dyDescent="0.2">
      <c r="W1135" s="203" t="str">
        <f t="shared" si="27"/>
        <v>1w</v>
      </c>
      <c r="X1135" s="287">
        <f>_xll.qlCalendarAdvance(Calendar,X1134,W1135,"f",FALSE)</f>
        <v>46868</v>
      </c>
      <c r="Y1135" s="281">
        <f>_xll.qlCalendarAdvance(Calendar,X1135,NDays&amp;"D")</f>
        <v>46870</v>
      </c>
      <c r="Z1135" s="282">
        <v>2.230280790296053E-2</v>
      </c>
      <c r="AA1135" s="284">
        <v>2.2084538988353941E-2</v>
      </c>
    </row>
    <row r="1136" spans="23:27" x14ac:dyDescent="0.2">
      <c r="W1136" s="203" t="str">
        <f t="shared" si="27"/>
        <v>1w</v>
      </c>
      <c r="X1136" s="287">
        <f>_xll.qlCalendarAdvance(Calendar,X1135,W1136,"f",FALSE)</f>
        <v>46875</v>
      </c>
      <c r="Y1136" s="281">
        <f>_xll.qlCalendarAdvance(Calendar,X1136,NDays&amp;"D")</f>
        <v>46882</v>
      </c>
      <c r="Z1136" s="282">
        <v>2.2342801989388549E-2</v>
      </c>
      <c r="AA1136" s="284">
        <v>2.2127252327619473E-2</v>
      </c>
    </row>
    <row r="1137" spans="23:27" x14ac:dyDescent="0.2">
      <c r="W1137" s="203" t="str">
        <f t="shared" si="27"/>
        <v>1w</v>
      </c>
      <c r="X1137" s="287">
        <f>_xll.qlCalendarAdvance(Calendar,X1136,W1137,"f",FALSE)</f>
        <v>46882</v>
      </c>
      <c r="Y1137" s="281">
        <f>_xll.qlCalendarAdvance(Calendar,X1137,NDays&amp;"D")</f>
        <v>46884</v>
      </c>
      <c r="Z1137" s="282">
        <v>2.2352985022275028E-2</v>
      </c>
      <c r="AA1137" s="284">
        <v>2.2134321634039722E-2</v>
      </c>
    </row>
    <row r="1138" spans="23:27" x14ac:dyDescent="0.2">
      <c r="W1138" s="203" t="str">
        <f t="shared" si="27"/>
        <v>1w</v>
      </c>
      <c r="X1138" s="287">
        <f>_xll.qlCalendarAdvance(Calendar,X1137,W1138,"f",FALSE)</f>
        <v>46889</v>
      </c>
      <c r="Y1138" s="281">
        <f>_xll.qlCalendarAdvance(Calendar,X1138,NDays&amp;"D")</f>
        <v>46891</v>
      </c>
      <c r="Z1138" s="282">
        <v>2.2376620873801444E-2</v>
      </c>
      <c r="AA1138" s="284">
        <v>2.2158952643831498E-2</v>
      </c>
    </row>
    <row r="1139" spans="23:27" x14ac:dyDescent="0.2">
      <c r="W1139" s="203" t="str">
        <f t="shared" si="27"/>
        <v>1w</v>
      </c>
      <c r="X1139" s="287">
        <f>_xll.qlCalendarAdvance(Calendar,X1138,W1139,"f",FALSE)</f>
        <v>46896</v>
      </c>
      <c r="Y1139" s="281">
        <f>_xll.qlCalendarAdvance(Calendar,X1139,NDays&amp;"D")</f>
        <v>46898</v>
      </c>
      <c r="Z1139" s="282">
        <v>2.2400082340827111E-2</v>
      </c>
      <c r="AA1139" s="284">
        <v>2.2183410111562551E-2</v>
      </c>
    </row>
    <row r="1140" spans="23:27" x14ac:dyDescent="0.2">
      <c r="W1140" s="203" t="str">
        <f t="shared" si="27"/>
        <v>1w</v>
      </c>
      <c r="X1140" s="287">
        <f>_xll.qlCalendarAdvance(Calendar,X1139,W1140,"f",FALSE)</f>
        <v>46903</v>
      </c>
      <c r="Y1140" s="281">
        <f>_xll.qlCalendarAdvance(Calendar,X1140,NDays&amp;"D")</f>
        <v>46905</v>
      </c>
      <c r="Z1140" s="282">
        <v>2.242336942023191E-2</v>
      </c>
      <c r="AA1140" s="284">
        <v>2.220769403731282E-2</v>
      </c>
    </row>
    <row r="1141" spans="23:27" x14ac:dyDescent="0.2">
      <c r="W1141" s="203" t="str">
        <f t="shared" si="27"/>
        <v>1w</v>
      </c>
      <c r="X1141" s="287">
        <f>_xll.qlCalendarAdvance(Calendar,X1140,W1141,"f",FALSE)</f>
        <v>46910</v>
      </c>
      <c r="Y1141" s="281">
        <f>_xll.qlCalendarAdvance(Calendar,X1141,NDays&amp;"D")</f>
        <v>46912</v>
      </c>
      <c r="Z1141" s="282">
        <v>2.2446482108917452E-2</v>
      </c>
      <c r="AA1141" s="284">
        <v>2.2231804420762558E-2</v>
      </c>
    </row>
    <row r="1142" spans="23:27" x14ac:dyDescent="0.2">
      <c r="W1142" s="203" t="str">
        <f t="shared" si="27"/>
        <v>1w</v>
      </c>
      <c r="X1142" s="287">
        <f>_xll.qlCalendarAdvance(Calendar,X1141,W1142,"f",FALSE)</f>
        <v>46917</v>
      </c>
      <c r="Y1142" s="281">
        <f>_xll.qlCalendarAdvance(Calendar,X1142,NDays&amp;"D")</f>
        <v>46919</v>
      </c>
      <c r="Z1142" s="282">
        <v>2.2469420403810544E-2</v>
      </c>
      <c r="AA1142" s="284">
        <v>2.2255741262071638E-2</v>
      </c>
    </row>
    <row r="1143" spans="23:27" x14ac:dyDescent="0.2">
      <c r="W1143" s="203" t="str">
        <f t="shared" si="27"/>
        <v>1w</v>
      </c>
      <c r="X1143" s="287">
        <f>_xll.qlCalendarAdvance(Calendar,X1142,W1143,"f",FALSE)</f>
        <v>46924</v>
      </c>
      <c r="Y1143" s="281">
        <f>_xll.qlCalendarAdvance(Calendar,X1143,NDays&amp;"D")</f>
        <v>46926</v>
      </c>
      <c r="Z1143" s="282">
        <v>2.2499061237868122E-2</v>
      </c>
      <c r="AA1143" s="284">
        <v>2.2279504561160124E-2</v>
      </c>
    </row>
    <row r="1144" spans="23:27" x14ac:dyDescent="0.2">
      <c r="W1144" s="203" t="str">
        <f t="shared" si="27"/>
        <v>1w</v>
      </c>
      <c r="X1144" s="287">
        <f>_xll.qlCalendarAdvance(Calendar,X1143,W1144,"f",FALSE)</f>
        <v>46931</v>
      </c>
      <c r="Y1144" s="281">
        <f>_xll.qlCalendarAdvance(Calendar,X1144,NDays&amp;"D")</f>
        <v>46933</v>
      </c>
      <c r="Z1144" s="282">
        <v>2.2514773800038683E-2</v>
      </c>
      <c r="AA1144" s="284">
        <v>2.2303094318028016E-2</v>
      </c>
    </row>
    <row r="1145" spans="23:27" x14ac:dyDescent="0.2">
      <c r="W1145" s="203" t="str">
        <f t="shared" si="27"/>
        <v>1w</v>
      </c>
      <c r="X1145" s="287">
        <f>_xll.qlCalendarAdvance(Calendar,X1144,W1145,"f",FALSE)</f>
        <v>46938</v>
      </c>
      <c r="Y1145" s="281">
        <f>_xll.qlCalendarAdvance(Calendar,X1145,NDays&amp;"D")</f>
        <v>46940</v>
      </c>
      <c r="Z1145" s="282">
        <v>2.2537188895340298E-2</v>
      </c>
      <c r="AA1145" s="284">
        <v>2.2326510532595378E-2</v>
      </c>
    </row>
    <row r="1146" spans="23:27" x14ac:dyDescent="0.2">
      <c r="W1146" s="203" t="str">
        <f t="shared" si="27"/>
        <v>1w</v>
      </c>
      <c r="X1146" s="287">
        <f>_xll.qlCalendarAdvance(Calendar,X1145,W1146,"f",FALSE)</f>
        <v>46945</v>
      </c>
      <c r="Y1146" s="281">
        <f>_xll.qlCalendarAdvance(Calendar,X1146,NDays&amp;"D")</f>
        <v>46947</v>
      </c>
      <c r="Z1146" s="282">
        <v>2.2559429584785202E-2</v>
      </c>
      <c r="AA1146" s="284">
        <v>2.2349753204782274E-2</v>
      </c>
    </row>
    <row r="1147" spans="23:27" x14ac:dyDescent="0.2">
      <c r="W1147" s="203" t="str">
        <f t="shared" si="27"/>
        <v>1w</v>
      </c>
      <c r="X1147" s="287">
        <f>_xll.qlCalendarAdvance(Calendar,X1146,W1147,"f",FALSE)</f>
        <v>46952</v>
      </c>
      <c r="Y1147" s="281">
        <f>_xll.qlCalendarAdvance(Calendar,X1147,NDays&amp;"D")</f>
        <v>46954</v>
      </c>
      <c r="Z1147" s="282">
        <v>2.2581495865413147E-2</v>
      </c>
      <c r="AA1147" s="284">
        <v>2.2372822334748577E-2</v>
      </c>
    </row>
    <row r="1148" spans="23:27" x14ac:dyDescent="0.2">
      <c r="W1148" s="203" t="str">
        <f t="shared" si="27"/>
        <v>1w</v>
      </c>
      <c r="X1148" s="287">
        <f>_xll.qlCalendarAdvance(Calendar,X1147,W1148,"f",FALSE)</f>
        <v>46959</v>
      </c>
      <c r="Y1148" s="281">
        <f>_xll.qlCalendarAdvance(Calendar,X1148,NDays&amp;"D")</f>
        <v>46961</v>
      </c>
      <c r="Z1148" s="282">
        <v>2.2603387734291706E-2</v>
      </c>
      <c r="AA1148" s="284">
        <v>2.2395717922254477E-2</v>
      </c>
    </row>
    <row r="1149" spans="23:27" x14ac:dyDescent="0.2">
      <c r="W1149" s="203" t="str">
        <f t="shared" si="27"/>
        <v>1w</v>
      </c>
      <c r="X1149" s="287">
        <f>_xll.qlCalendarAdvance(Calendar,X1148,W1149,"f",FALSE)</f>
        <v>46966</v>
      </c>
      <c r="Y1149" s="281">
        <f>_xll.qlCalendarAdvance(Calendar,X1149,NDays&amp;"D")</f>
        <v>46968</v>
      </c>
      <c r="Z1149" s="282">
        <v>2.2631782762734018E-2</v>
      </c>
      <c r="AA1149" s="284">
        <v>2.2418439967299975E-2</v>
      </c>
    </row>
    <row r="1150" spans="23:27" x14ac:dyDescent="0.2">
      <c r="W1150" s="203" t="str">
        <f t="shared" si="27"/>
        <v>1w</v>
      </c>
      <c r="X1150" s="287">
        <f>_xll.qlCalendarAdvance(Calendar,X1149,W1150,"f",FALSE)</f>
        <v>46973</v>
      </c>
      <c r="Y1150" s="281">
        <f>_xll.qlCalendarAdvance(Calendar,X1150,NDays&amp;"D")</f>
        <v>46975</v>
      </c>
      <c r="Z1150" s="282">
        <v>2.2646648225170821E-2</v>
      </c>
      <c r="AA1150" s="284">
        <v>2.2440988469965006E-2</v>
      </c>
    </row>
    <row r="1151" spans="23:27" x14ac:dyDescent="0.2">
      <c r="W1151" s="203" t="str">
        <f t="shared" si="27"/>
        <v>1w</v>
      </c>
      <c r="X1151" s="287">
        <f>_xll.qlCalendarAdvance(Calendar,X1150,W1151,"f",FALSE)</f>
        <v>46980</v>
      </c>
      <c r="Y1151" s="281">
        <f>_xll.qlCalendarAdvance(Calendar,X1151,NDays&amp;"D")</f>
        <v>46982</v>
      </c>
      <c r="Z1151" s="282">
        <v>2.2668016841418587E-2</v>
      </c>
      <c r="AA1151" s="284">
        <v>2.24633634300897E-2</v>
      </c>
    </row>
    <row r="1152" spans="23:27" x14ac:dyDescent="0.2">
      <c r="W1152" s="203" t="str">
        <f t="shared" si="27"/>
        <v>1w</v>
      </c>
      <c r="X1152" s="287">
        <f>_xll.qlCalendarAdvance(Calendar,X1151,W1152,"f",FALSE)</f>
        <v>46987</v>
      </c>
      <c r="Y1152" s="281">
        <f>_xll.qlCalendarAdvance(Calendar,X1152,NDays&amp;"D")</f>
        <v>46989</v>
      </c>
      <c r="Z1152" s="282">
        <v>2.2689211034407041E-2</v>
      </c>
      <c r="AA1152" s="284">
        <v>2.2485564847753992E-2</v>
      </c>
    </row>
    <row r="1153" spans="23:27" x14ac:dyDescent="0.2">
      <c r="W1153" s="203" t="str">
        <f t="shared" si="27"/>
        <v>1w</v>
      </c>
      <c r="X1153" s="287">
        <f>_xll.qlCalendarAdvance(Calendar,X1152,W1153,"f",FALSE)</f>
        <v>46994</v>
      </c>
      <c r="Y1153" s="281">
        <f>_xll.qlCalendarAdvance(Calendar,X1153,NDays&amp;"D")</f>
        <v>46996</v>
      </c>
      <c r="Z1153" s="282">
        <v>2.2708047497904806E-2</v>
      </c>
      <c r="AA1153" s="284">
        <v>2.2507592722798009E-2</v>
      </c>
    </row>
    <row r="1154" spans="23:27" x14ac:dyDescent="0.2">
      <c r="W1154" s="203" t="str">
        <f t="shared" si="27"/>
        <v>1w</v>
      </c>
      <c r="X1154" s="287">
        <f>_xll.qlCalendarAdvance(Calendar,X1153,W1154,"f",FALSE)</f>
        <v>47001</v>
      </c>
      <c r="Y1154" s="281">
        <f>_xll.qlCalendarAdvance(Calendar,X1154,NDays&amp;"D")</f>
        <v>47003</v>
      </c>
      <c r="Z1154" s="282">
        <v>2.2728903982918575E-2</v>
      </c>
      <c r="AA1154" s="284">
        <v>2.2529447055301688E-2</v>
      </c>
    </row>
    <row r="1155" spans="23:27" x14ac:dyDescent="0.2">
      <c r="W1155" s="203" t="str">
        <f t="shared" si="27"/>
        <v>1w</v>
      </c>
      <c r="X1155" s="287">
        <f>_xll.qlCalendarAdvance(Calendar,X1154,W1155,"f",FALSE)</f>
        <v>47008</v>
      </c>
      <c r="Y1155" s="281">
        <f>_xll.qlCalendarAdvance(Calendar,X1155,NDays&amp;"D")</f>
        <v>47010</v>
      </c>
      <c r="Z1155" s="282">
        <v>2.2749586046270174E-2</v>
      </c>
      <c r="AA1155" s="284">
        <v>2.2551127845185093E-2</v>
      </c>
    </row>
    <row r="1156" spans="23:27" x14ac:dyDescent="0.2">
      <c r="W1156" s="203" t="str">
        <f t="shared" si="27"/>
        <v>1w</v>
      </c>
      <c r="X1156" s="287">
        <f>_xll.qlCalendarAdvance(Calendar,X1155,W1156,"f",FALSE)</f>
        <v>47015</v>
      </c>
      <c r="Y1156" s="281">
        <f>_xll.qlCalendarAdvance(Calendar,X1156,NDays&amp;"D")</f>
        <v>47017</v>
      </c>
      <c r="Z1156" s="282">
        <v>2.2770093685239145E-2</v>
      </c>
      <c r="AA1156" s="284">
        <v>2.2579342963626736E-2</v>
      </c>
    </row>
    <row r="1157" spans="23:27" x14ac:dyDescent="0.2">
      <c r="W1157" s="203" t="str">
        <f t="shared" si="27"/>
        <v>1w</v>
      </c>
      <c r="X1157" s="287">
        <f>_xll.qlCalendarAdvance(Calendar,X1156,W1157,"f",FALSE)</f>
        <v>47022</v>
      </c>
      <c r="Y1157" s="281">
        <f>_xll.qlCalendarAdvance(Calendar,X1157,NDays&amp;"D")</f>
        <v>47024</v>
      </c>
      <c r="Z1157" s="282">
        <v>2.2790426897129616E-2</v>
      </c>
      <c r="AA1157" s="284">
        <v>2.2593968797011144E-2</v>
      </c>
    </row>
    <row r="1158" spans="23:27" x14ac:dyDescent="0.2">
      <c r="W1158" s="203" t="str">
        <f t="shared" si="27"/>
        <v>1w</v>
      </c>
      <c r="X1158" s="287">
        <f>_xll.qlCalendarAdvance(Calendar,X1157,W1158,"f",FALSE)</f>
        <v>47029</v>
      </c>
      <c r="Y1158" s="281">
        <f>_xll.qlCalendarAdvance(Calendar,X1158,NDays&amp;"D")</f>
        <v>47031</v>
      </c>
      <c r="Z1158" s="282">
        <v>2.281271314764758E-2</v>
      </c>
      <c r="AA1158" s="284">
        <v>2.2615128958793917E-2</v>
      </c>
    </row>
    <row r="1159" spans="23:27" x14ac:dyDescent="0.2">
      <c r="W1159" s="203" t="str">
        <f t="shared" si="27"/>
        <v>1w</v>
      </c>
      <c r="X1159" s="287">
        <f>_xll.qlCalendarAdvance(Calendar,X1158,W1159,"f",FALSE)</f>
        <v>47036</v>
      </c>
      <c r="Y1159" s="281">
        <f>_xll.qlCalendarAdvance(Calendar,X1159,NDays&amp;"D")</f>
        <v>47038</v>
      </c>
      <c r="Z1159" s="282">
        <v>2.2832686300185544E-2</v>
      </c>
      <c r="AA1159" s="284">
        <v>2.2636115577956417E-2</v>
      </c>
    </row>
    <row r="1160" spans="23:27" x14ac:dyDescent="0.2">
      <c r="W1160" s="203" t="str">
        <f t="shared" si="27"/>
        <v>1w</v>
      </c>
      <c r="X1160" s="287">
        <f>_xll.qlCalendarAdvance(Calendar,X1159,W1160,"f",FALSE)</f>
        <v>47043</v>
      </c>
      <c r="Y1160" s="281">
        <f>_xll.qlCalendarAdvance(Calendar,X1160,NDays&amp;"D")</f>
        <v>47045</v>
      </c>
      <c r="Z1160" s="282">
        <v>2.2852485007561717E-2</v>
      </c>
      <c r="AA1160" s="284">
        <v>2.265692865433877E-2</v>
      </c>
    </row>
    <row r="1161" spans="23:27" x14ac:dyDescent="0.2">
      <c r="W1161" s="203" t="str">
        <f t="shared" si="27"/>
        <v>1w</v>
      </c>
      <c r="X1161" s="287">
        <f>_xll.qlCalendarAdvance(Calendar,X1160,W1161,"f",FALSE)</f>
        <v>47050</v>
      </c>
      <c r="Y1161" s="281">
        <f>_xll.qlCalendarAdvance(Calendar,X1161,NDays&amp;"D")</f>
        <v>47052</v>
      </c>
      <c r="Z1161" s="282">
        <v>2.2872109267140808E-2</v>
      </c>
      <c r="AA1161" s="284">
        <v>2.2677568187861041E-2</v>
      </c>
    </row>
    <row r="1162" spans="23:27" x14ac:dyDescent="0.2">
      <c r="W1162" s="203" t="str">
        <f t="shared" si="27"/>
        <v>1w</v>
      </c>
      <c r="X1162" s="287">
        <f>_xll.qlCalendarAdvance(Calendar,X1161,W1162,"f",FALSE)</f>
        <v>47057</v>
      </c>
      <c r="Y1162" s="281">
        <f>_xll.qlCalendarAdvance(Calendar,X1162,NDays&amp;"D")</f>
        <v>47059</v>
      </c>
      <c r="Z1162" s="282">
        <v>2.2891559076314478E-2</v>
      </c>
      <c r="AA1162" s="284">
        <v>2.2704542541231998E-2</v>
      </c>
    </row>
    <row r="1163" spans="23:27" x14ac:dyDescent="0.2">
      <c r="W1163" s="203" t="str">
        <f t="shared" si="27"/>
        <v>1w</v>
      </c>
      <c r="X1163" s="287">
        <f>_xll.qlCalendarAdvance(Calendar,X1162,W1163,"f",FALSE)</f>
        <v>47064</v>
      </c>
      <c r="Y1163" s="281">
        <f>_xll.qlCalendarAdvance(Calendar,X1163,NDays&amp;"D")</f>
        <v>47066</v>
      </c>
      <c r="Z1163" s="282">
        <v>2.2910834432493487E-2</v>
      </c>
      <c r="AA1163" s="284">
        <v>2.2718326626485208E-2</v>
      </c>
    </row>
    <row r="1164" spans="23:27" x14ac:dyDescent="0.2">
      <c r="W1164" s="203" t="str">
        <f t="shared" si="27"/>
        <v>1w</v>
      </c>
      <c r="X1164" s="287">
        <f>_xll.qlCalendarAdvance(Calendar,X1163,W1164,"f",FALSE)</f>
        <v>47071</v>
      </c>
      <c r="Y1164" s="281">
        <f>_xll.qlCalendarAdvance(Calendar,X1164,NDays&amp;"D")</f>
        <v>47073</v>
      </c>
      <c r="Z1164" s="282">
        <v>2.2929935333115537E-2</v>
      </c>
      <c r="AA1164" s="284">
        <v>2.2738445531507168E-2</v>
      </c>
    </row>
    <row r="1165" spans="23:27" x14ac:dyDescent="0.2">
      <c r="W1165" s="203" t="str">
        <f t="shared" si="27"/>
        <v>1w</v>
      </c>
      <c r="X1165" s="287">
        <f>_xll.qlCalendarAdvance(Calendar,X1164,W1165,"f",FALSE)</f>
        <v>47078</v>
      </c>
      <c r="Y1165" s="281">
        <f>_xll.qlCalendarAdvance(Calendar,X1165,NDays&amp;"D")</f>
        <v>47081</v>
      </c>
      <c r="Z1165" s="282">
        <v>2.2955642876067946E-2</v>
      </c>
      <c r="AA1165" s="284">
        <v>2.2765495993697371E-2</v>
      </c>
    </row>
    <row r="1166" spans="23:27" x14ac:dyDescent="0.2">
      <c r="W1166" s="203" t="str">
        <f t="shared" si="27"/>
        <v>1w</v>
      </c>
      <c r="X1166" s="287">
        <f>_xll.qlCalendarAdvance(Calendar,X1165,W1166,"f",FALSE)</f>
        <v>47085</v>
      </c>
      <c r="Y1166" s="281">
        <f>_xll.qlCalendarAdvance(Calendar,X1166,NDays&amp;"D")</f>
        <v>47087</v>
      </c>
      <c r="Z1166" s="282">
        <v>2.2963537556162095E-2</v>
      </c>
      <c r="AA1166" s="284">
        <v>2.2778162712651095E-2</v>
      </c>
    </row>
    <row r="1167" spans="23:27" x14ac:dyDescent="0.2">
      <c r="W1167" s="203" t="str">
        <f t="shared" si="27"/>
        <v>1w</v>
      </c>
      <c r="X1167" s="287">
        <f>_xll.qlCalendarAdvance(Calendar,X1166,W1167,"f",FALSE)</f>
        <v>47092</v>
      </c>
      <c r="Y1167" s="281">
        <f>_xll.qlCalendarAdvance(Calendar,X1167,NDays&amp;"D")</f>
        <v>47094</v>
      </c>
      <c r="Z1167" s="282">
        <v>2.2982137631438526E-2</v>
      </c>
      <c r="AA1167" s="284">
        <v>2.2797760988773064E-2</v>
      </c>
    </row>
    <row r="1168" spans="23:27" x14ac:dyDescent="0.2">
      <c r="W1168" s="203" t="str">
        <f t="shared" si="27"/>
        <v>1w</v>
      </c>
      <c r="X1168" s="287">
        <f>_xll.qlCalendarAdvance(Calendar,X1167,W1168,"f",FALSE)</f>
        <v>47099</v>
      </c>
      <c r="Y1168" s="281">
        <f>_xll.qlCalendarAdvance(Calendar,X1168,NDays&amp;"D")</f>
        <v>47101</v>
      </c>
      <c r="Z1168" s="282">
        <v>2.3000563261800444E-2</v>
      </c>
      <c r="AA1168" s="284">
        <v>2.2817185721955013E-2</v>
      </c>
    </row>
    <row r="1169" spans="23:27" x14ac:dyDescent="0.2">
      <c r="W1169" s="203" t="str">
        <f t="shared" si="27"/>
        <v>1w</v>
      </c>
      <c r="X1169" s="287">
        <f>_xll.qlCalendarAdvance(Calendar,X1168,W1169,"f",FALSE)</f>
        <v>47106</v>
      </c>
      <c r="Y1169" s="281">
        <f>_xll.qlCalendarAdvance(Calendar,X1169,NDays&amp;"D")</f>
        <v>47108</v>
      </c>
      <c r="Z1169" s="282">
        <v>2.3018814444848879E-2</v>
      </c>
      <c r="AA1169" s="284">
        <v>2.2836436912117009E-2</v>
      </c>
    </row>
    <row r="1170" spans="23:27" x14ac:dyDescent="0.2">
      <c r="W1170" s="203" t="str">
        <f t="shared" si="27"/>
        <v>1w</v>
      </c>
      <c r="X1170" s="287">
        <f>_xll.qlCalendarAdvance(Calendar,X1169,W1170,"f",FALSE)</f>
        <v>47114</v>
      </c>
      <c r="Y1170" s="281">
        <f>_xll.qlCalendarAdvance(Calendar,X1170,NDays&amp;"D")</f>
        <v>47116</v>
      </c>
      <c r="Z1170" s="282">
        <v>2.3039459327762302E-2</v>
      </c>
      <c r="AA1170" s="284">
        <v>2.2868614053868086E-2</v>
      </c>
    </row>
    <row r="1171" spans="23:27" x14ac:dyDescent="0.2">
      <c r="W1171" s="203" t="str">
        <f t="shared" si="27"/>
        <v>1w</v>
      </c>
      <c r="X1171" s="287">
        <f>_xll.qlCalendarAdvance(Calendar,X1170,W1171,"f",FALSE)</f>
        <v>47122</v>
      </c>
      <c r="Y1171" s="281">
        <f>_xll.qlCalendarAdvance(Calendar,X1171,NDays&amp;"D")</f>
        <v>47127</v>
      </c>
      <c r="Z1171" s="282">
        <v>2.3067473994667687E-2</v>
      </c>
      <c r="AA1171" s="284">
        <v>2.2887815343706208E-2</v>
      </c>
    </row>
    <row r="1172" spans="23:27" x14ac:dyDescent="0.2">
      <c r="W1172" s="203" t="str">
        <f t="shared" si="27"/>
        <v>1w</v>
      </c>
      <c r="X1172" s="287">
        <f>_xll.qlCalendarAdvance(Calendar,X1171,W1172,"f",FALSE)</f>
        <v>47129</v>
      </c>
      <c r="Y1172" s="281">
        <f>_xll.qlCalendarAdvance(Calendar,X1172,NDays&amp;"D")</f>
        <v>47133</v>
      </c>
      <c r="Z1172" s="282">
        <v>2.3084537442082661E-2</v>
      </c>
      <c r="AA1172" s="284">
        <v>2.290377448435521E-2</v>
      </c>
    </row>
    <row r="1173" spans="23:27" x14ac:dyDescent="0.2">
      <c r="W1173" s="203" t="str">
        <f t="shared" ref="W1173:W1236" si="28">W1172</f>
        <v>1w</v>
      </c>
      <c r="X1173" s="287">
        <f>_xll.qlCalendarAdvance(Calendar,X1172,W1173,"f",FALSE)</f>
        <v>47136</v>
      </c>
      <c r="Y1173" s="281">
        <f>_xll.qlCalendarAdvance(Calendar,X1173,NDays&amp;"D")</f>
        <v>47140</v>
      </c>
      <c r="Z1173" s="282">
        <v>2.3101979775913124E-2</v>
      </c>
      <c r="AA1173" s="284">
        <v>2.2922232334563475E-2</v>
      </c>
    </row>
    <row r="1174" spans="23:27" x14ac:dyDescent="0.2">
      <c r="W1174" s="203" t="str">
        <f t="shared" si="28"/>
        <v>1w</v>
      </c>
      <c r="X1174" s="287">
        <f>_xll.qlCalendarAdvance(Calendar,X1173,W1174,"f",FALSE)</f>
        <v>47143</v>
      </c>
      <c r="Y1174" s="281">
        <f>_xll.qlCalendarAdvance(Calendar,X1174,NDays&amp;"D")</f>
        <v>47147</v>
      </c>
      <c r="Z1174" s="282">
        <v>2.3113419853191063E-2</v>
      </c>
      <c r="AA1174" s="284">
        <v>2.2940516641671849E-2</v>
      </c>
    </row>
    <row r="1175" spans="23:27" x14ac:dyDescent="0.2">
      <c r="W1175" s="203" t="str">
        <f t="shared" si="28"/>
        <v>1w</v>
      </c>
      <c r="X1175" s="287">
        <f>_xll.qlCalendarAdvance(Calendar,X1174,W1175,"f",FALSE)</f>
        <v>47150</v>
      </c>
      <c r="Y1175" s="281">
        <f>_xll.qlCalendarAdvance(Calendar,X1175,NDays&amp;"D")</f>
        <v>47154</v>
      </c>
      <c r="Z1175" s="282">
        <v>2.3138270252897296E-2</v>
      </c>
      <c r="AA1175" s="284">
        <v>2.295862740552046E-2</v>
      </c>
    </row>
    <row r="1176" spans="23:27" x14ac:dyDescent="0.2">
      <c r="W1176" s="203" t="str">
        <f t="shared" si="28"/>
        <v>1w</v>
      </c>
      <c r="X1176" s="287">
        <f>_xll.qlCalendarAdvance(Calendar,X1175,W1176,"f",FALSE)</f>
        <v>47157</v>
      </c>
      <c r="Y1176" s="281">
        <f>_xll.qlCalendarAdvance(Calendar,X1176,NDays&amp;"D")</f>
        <v>47162</v>
      </c>
      <c r="Z1176" s="282">
        <v>2.3153745465356756E-2</v>
      </c>
      <c r="AA1176" s="284">
        <v>2.2979112919365718E-2</v>
      </c>
    </row>
    <row r="1177" spans="23:27" x14ac:dyDescent="0.2">
      <c r="W1177" s="203" t="str">
        <f t="shared" si="28"/>
        <v>1w</v>
      </c>
      <c r="X1177" s="287">
        <f>_xll.qlCalendarAdvance(Calendar,X1176,W1177,"f",FALSE)</f>
        <v>47164</v>
      </c>
      <c r="Y1177" s="281">
        <f>_xll.qlCalendarAdvance(Calendar,X1177,NDays&amp;"D")</f>
        <v>47168</v>
      </c>
      <c r="Z1177" s="282">
        <v>2.3170004381148853E-2</v>
      </c>
      <c r="AA1177" s="284">
        <v>2.2994328303358458E-2</v>
      </c>
    </row>
    <row r="1178" spans="23:27" x14ac:dyDescent="0.2">
      <c r="W1178" s="203" t="str">
        <f t="shared" si="28"/>
        <v>1w</v>
      </c>
      <c r="X1178" s="287">
        <f>_xll.qlCalendarAdvance(Calendar,X1177,W1178,"f",FALSE)</f>
        <v>47171</v>
      </c>
      <c r="Y1178" s="281">
        <f>_xll.qlCalendarAdvance(Calendar,X1178,NDays&amp;"D")</f>
        <v>47175</v>
      </c>
      <c r="Z1178" s="282">
        <v>2.3188469394281878E-2</v>
      </c>
      <c r="AA1178" s="284">
        <v>2.3011918437427781E-2</v>
      </c>
    </row>
    <row r="1179" spans="23:27" x14ac:dyDescent="0.2">
      <c r="W1179" s="203" t="str">
        <f t="shared" si="28"/>
        <v>1w</v>
      </c>
      <c r="X1179" s="287">
        <f>_xll.qlCalendarAdvance(Calendar,X1178,W1179,"f",FALSE)</f>
        <v>47178</v>
      </c>
      <c r="Y1179" s="281">
        <f>_xll.qlCalendarAdvance(Calendar,X1179,NDays&amp;"D")</f>
        <v>47182</v>
      </c>
      <c r="Z1179" s="282">
        <v>2.3204853459376944E-2</v>
      </c>
      <c r="AA1179" s="284">
        <v>2.3029335028157405E-2</v>
      </c>
    </row>
    <row r="1180" spans="23:27" x14ac:dyDescent="0.2">
      <c r="W1180" s="203" t="str">
        <f t="shared" si="28"/>
        <v>1w</v>
      </c>
      <c r="X1180" s="287">
        <f>_xll.qlCalendarAdvance(Calendar,X1179,W1180,"f",FALSE)</f>
        <v>47185</v>
      </c>
      <c r="Y1180" s="281">
        <f>_xll.qlCalendarAdvance(Calendar,X1180,NDays&amp;"D")</f>
        <v>47189</v>
      </c>
      <c r="Z1180" s="282">
        <v>2.3221063032716184E-2</v>
      </c>
      <c r="AA1180" s="284">
        <v>2.3046578075627266E-2</v>
      </c>
    </row>
    <row r="1181" spans="23:27" x14ac:dyDescent="0.2">
      <c r="W1181" s="203" t="str">
        <f t="shared" si="28"/>
        <v>1w</v>
      </c>
      <c r="X1181" s="287">
        <f>_xll.qlCalendarAdvance(Calendar,X1180,W1181,"f",FALSE)</f>
        <v>47192</v>
      </c>
      <c r="Y1181" s="281">
        <f>_xll.qlCalendarAdvance(Calendar,X1181,NDays&amp;"D")</f>
        <v>47196</v>
      </c>
      <c r="Z1181" s="282">
        <v>2.3237099594567677E-2</v>
      </c>
      <c r="AA1181" s="284">
        <v>2.3065598618368099E-2</v>
      </c>
    </row>
    <row r="1182" spans="23:27" x14ac:dyDescent="0.2">
      <c r="W1182" s="203" t="str">
        <f t="shared" si="28"/>
        <v>1w</v>
      </c>
      <c r="X1182" s="287">
        <f>_xll.qlCalendarAdvance(Calendar,X1181,W1182,"f",FALSE)</f>
        <v>47199</v>
      </c>
      <c r="Y1182" s="281">
        <f>_xll.qlCalendarAdvance(Calendar,X1182,NDays&amp;"D")</f>
        <v>47203</v>
      </c>
      <c r="Z1182" s="282">
        <v>2.3252968507530489E-2</v>
      </c>
      <c r="AA1182" s="284">
        <v>2.3080543540308085E-2</v>
      </c>
    </row>
    <row r="1183" spans="23:27" x14ac:dyDescent="0.2">
      <c r="W1183" s="203" t="str">
        <f t="shared" si="28"/>
        <v>1w</v>
      </c>
      <c r="X1183" s="287">
        <f>_xll.qlCalendarAdvance(Calendar,X1182,W1183,"f",FALSE)</f>
        <v>47206</v>
      </c>
      <c r="Y1183" s="281">
        <f>_xll.qlCalendarAdvance(Calendar,X1183,NDays&amp;"D")</f>
        <v>47212</v>
      </c>
      <c r="Z1183" s="282">
        <v>2.3271295636814977E-2</v>
      </c>
      <c r="AA1183" s="284">
        <v>2.3102011915705489E-2</v>
      </c>
    </row>
    <row r="1184" spans="23:27" x14ac:dyDescent="0.2">
      <c r="W1184" s="203" t="str">
        <f t="shared" si="28"/>
        <v>1w</v>
      </c>
      <c r="X1184" s="287">
        <f>_xll.qlCalendarAdvance(Calendar,X1183,W1184,"f",FALSE)</f>
        <v>47213</v>
      </c>
      <c r="Y1184" s="281">
        <f>_xll.qlCalendarAdvance(Calendar,X1184,NDays&amp;"D")</f>
        <v>47217</v>
      </c>
      <c r="Z1184" s="282">
        <v>2.3282394522953918E-2</v>
      </c>
      <c r="AA1184" s="284">
        <v>2.31138148313903E-2</v>
      </c>
    </row>
    <row r="1185" spans="23:27" x14ac:dyDescent="0.2">
      <c r="W1185" s="203" t="str">
        <f t="shared" si="28"/>
        <v>1w</v>
      </c>
      <c r="X1185" s="287">
        <f>_xll.qlCalendarAdvance(Calendar,X1184,W1185,"f",FALSE)</f>
        <v>47220</v>
      </c>
      <c r="Y1185" s="281">
        <f>_xll.qlCalendarAdvance(Calendar,X1185,NDays&amp;"D")</f>
        <v>47224</v>
      </c>
      <c r="Z1185" s="282">
        <v>2.3299629271608259E-2</v>
      </c>
      <c r="AA1185" s="284">
        <v>2.3130190161761988E-2</v>
      </c>
    </row>
    <row r="1186" spans="23:27" x14ac:dyDescent="0.2">
      <c r="W1186" s="203" t="str">
        <f t="shared" si="28"/>
        <v>1w</v>
      </c>
      <c r="X1186" s="287">
        <f>_xll.qlCalendarAdvance(Calendar,X1185,W1186,"f",FALSE)</f>
        <v>47227</v>
      </c>
      <c r="Y1186" s="281">
        <f>_xll.qlCalendarAdvance(Calendar,X1186,NDays&amp;"D")</f>
        <v>47231</v>
      </c>
      <c r="Z1186" s="282">
        <v>2.3313070610828632E-2</v>
      </c>
      <c r="AA1186" s="284">
        <v>2.3146391948634104E-2</v>
      </c>
    </row>
    <row r="1187" spans="23:27" x14ac:dyDescent="0.2">
      <c r="W1187" s="203" t="str">
        <f t="shared" si="28"/>
        <v>1w</v>
      </c>
      <c r="X1187" s="287">
        <f>_xll.qlCalendarAdvance(Calendar,X1186,W1187,"f",FALSE)</f>
        <v>47234</v>
      </c>
      <c r="Y1187" s="281">
        <f>_xll.qlCalendarAdvance(Calendar,X1187,NDays&amp;"D")</f>
        <v>47239</v>
      </c>
      <c r="Z1187" s="282">
        <v>2.333215724359029E-2</v>
      </c>
      <c r="AA1187" s="284">
        <v>2.3164695774209321E-2</v>
      </c>
    </row>
    <row r="1188" spans="23:27" x14ac:dyDescent="0.2">
      <c r="W1188" s="203" t="str">
        <f t="shared" si="28"/>
        <v>1w</v>
      </c>
      <c r="X1188" s="287">
        <f>_xll.qlCalendarAdvance(Calendar,X1187,W1188,"f",FALSE)</f>
        <v>47246</v>
      </c>
      <c r="Y1188" s="281">
        <f>_xll.qlCalendarAdvance(Calendar,X1188,NDays&amp;"D")</f>
        <v>47248</v>
      </c>
      <c r="Z1188" s="282">
        <v>2.3351381870327783E-2</v>
      </c>
      <c r="AA1188" s="284">
        <v>2.3185016637601308E-2</v>
      </c>
    </row>
    <row r="1189" spans="23:27" x14ac:dyDescent="0.2">
      <c r="W1189" s="203" t="str">
        <f t="shared" si="28"/>
        <v>1w</v>
      </c>
      <c r="X1189" s="287">
        <f>_xll.qlCalendarAdvance(Calendar,X1188,W1189,"f",FALSE)</f>
        <v>47253</v>
      </c>
      <c r="Y1189" s="281">
        <f>_xll.qlCalendarAdvance(Calendar,X1189,NDays&amp;"D")</f>
        <v>47255</v>
      </c>
      <c r="Z1189" s="282">
        <v>2.3366192978982098E-2</v>
      </c>
      <c r="AA1189" s="284">
        <v>2.3200623418109245E-2</v>
      </c>
    </row>
    <row r="1190" spans="23:27" x14ac:dyDescent="0.2">
      <c r="W1190" s="203" t="str">
        <f t="shared" si="28"/>
        <v>1w</v>
      </c>
      <c r="X1190" s="287">
        <f>_xll.qlCalendarAdvance(Calendar,X1189,W1190,"f",FALSE)</f>
        <v>47260</v>
      </c>
      <c r="Y1190" s="281">
        <f>_xll.qlCalendarAdvance(Calendar,X1190,NDays&amp;"D")</f>
        <v>47262</v>
      </c>
      <c r="Z1190" s="282">
        <v>2.3380886944501224E-2</v>
      </c>
      <c r="AA1190" s="284">
        <v>2.3216056655037676E-2</v>
      </c>
    </row>
    <row r="1191" spans="23:27" x14ac:dyDescent="0.2">
      <c r="W1191" s="203" t="str">
        <f t="shared" si="28"/>
        <v>1w</v>
      </c>
      <c r="X1191" s="287">
        <f>_xll.qlCalendarAdvance(Calendar,X1190,W1191,"f",FALSE)</f>
        <v>47267</v>
      </c>
      <c r="Y1191" s="281">
        <f>_xll.qlCalendarAdvance(Calendar,X1191,NDays&amp;"D")</f>
        <v>47269</v>
      </c>
      <c r="Z1191" s="282">
        <v>2.3395469759586271E-2</v>
      </c>
      <c r="AA1191" s="284">
        <v>2.3231316348306663E-2</v>
      </c>
    </row>
    <row r="1192" spans="23:27" x14ac:dyDescent="0.2">
      <c r="W1192" s="203" t="str">
        <f t="shared" si="28"/>
        <v>1w</v>
      </c>
      <c r="X1192" s="287">
        <f>_xll.qlCalendarAdvance(Calendar,X1191,W1192,"f",FALSE)</f>
        <v>47274</v>
      </c>
      <c r="Y1192" s="281">
        <f>_xll.qlCalendarAdvance(Calendar,X1192,NDays&amp;"D")</f>
        <v>47276</v>
      </c>
      <c r="Z1192" s="282">
        <v>2.3409947417040892E-2</v>
      </c>
      <c r="AA1192" s="284">
        <v>2.3246402497916208E-2</v>
      </c>
    </row>
    <row r="1193" spans="23:27" x14ac:dyDescent="0.2">
      <c r="W1193" s="203" t="str">
        <f t="shared" si="28"/>
        <v>1w</v>
      </c>
      <c r="X1193" s="287">
        <f>_xll.qlCalendarAdvance(Calendar,X1192,W1193,"f",FALSE)</f>
        <v>47281</v>
      </c>
      <c r="Y1193" s="281">
        <f>_xll.qlCalendarAdvance(Calendar,X1193,NDays&amp;"D")</f>
        <v>47283</v>
      </c>
      <c r="Z1193" s="282">
        <v>2.3424325831126337E-2</v>
      </c>
      <c r="AA1193" s="284">
        <v>2.3261324959982232E-2</v>
      </c>
    </row>
    <row r="1194" spans="23:27" x14ac:dyDescent="0.2">
      <c r="W1194" s="203" t="str">
        <f t="shared" si="28"/>
        <v>1w</v>
      </c>
      <c r="X1194" s="287">
        <f>_xll.qlCalendarAdvance(Calendar,X1193,W1194,"f",FALSE)</f>
        <v>47288</v>
      </c>
      <c r="Y1194" s="281">
        <f>_xll.qlCalendarAdvance(Calendar,X1194,NDays&amp;"D")</f>
        <v>47290</v>
      </c>
      <c r="Z1194" s="282">
        <v>2.343860831817764E-2</v>
      </c>
      <c r="AA1194" s="284">
        <v>2.3276142337627093E-2</v>
      </c>
    </row>
    <row r="1195" spans="23:27" x14ac:dyDescent="0.2">
      <c r="W1195" s="203" t="str">
        <f t="shared" si="28"/>
        <v>1w</v>
      </c>
      <c r="X1195" s="287">
        <f>_xll.qlCalendarAdvance(Calendar,X1194,W1195,"f",FALSE)</f>
        <v>47295</v>
      </c>
      <c r="Y1195" s="281">
        <f>_xll.qlCalendarAdvance(Calendar,X1195,NDays&amp;"D")</f>
        <v>47297</v>
      </c>
      <c r="Z1195" s="282">
        <v>2.3452795063556964E-2</v>
      </c>
      <c r="AA1195" s="284">
        <v>2.3290864487046647E-2</v>
      </c>
    </row>
    <row r="1196" spans="23:27" x14ac:dyDescent="0.2">
      <c r="W1196" s="203" t="str">
        <f t="shared" si="28"/>
        <v>1w</v>
      </c>
      <c r="X1196" s="287">
        <f>_xll.qlCalendarAdvance(Calendar,X1195,W1196,"f",FALSE)</f>
        <v>47302</v>
      </c>
      <c r="Y1196" s="281">
        <f>_xll.qlCalendarAdvance(Calendar,X1196,NDays&amp;"D")</f>
        <v>47304</v>
      </c>
      <c r="Z1196" s="282">
        <v>2.3466886066227741E-2</v>
      </c>
      <c r="AA1196" s="284">
        <v>2.3305491408081025E-2</v>
      </c>
    </row>
    <row r="1197" spans="23:27" x14ac:dyDescent="0.2">
      <c r="W1197" s="203" t="str">
        <f t="shared" si="28"/>
        <v>1w</v>
      </c>
      <c r="X1197" s="287">
        <f>_xll.qlCalendarAdvance(Calendar,X1196,W1197,"f",FALSE)</f>
        <v>47309</v>
      </c>
      <c r="Y1197" s="281">
        <f>_xll.qlCalendarAdvance(Calendar,X1197,NDays&amp;"D")</f>
        <v>47311</v>
      </c>
      <c r="Z1197" s="282">
        <v>2.3480881325162101E-2</v>
      </c>
      <c r="AA1197" s="284">
        <v>2.3320023100730225E-2</v>
      </c>
    </row>
    <row r="1198" spans="23:27" x14ac:dyDescent="0.2">
      <c r="W1198" s="203" t="str">
        <f t="shared" si="28"/>
        <v>1w</v>
      </c>
      <c r="X1198" s="287">
        <f>_xll.qlCalendarAdvance(Calendar,X1197,W1198,"f",FALSE)</f>
        <v>47316</v>
      </c>
      <c r="Y1198" s="281">
        <f>_xll.qlCalendarAdvance(Calendar,X1198,NDays&amp;"D")</f>
        <v>47318</v>
      </c>
      <c r="Z1198" s="282">
        <v>2.3494780839338252E-2</v>
      </c>
      <c r="AA1198" s="284">
        <v>2.3334459565074184E-2</v>
      </c>
    </row>
    <row r="1199" spans="23:27" x14ac:dyDescent="0.2">
      <c r="W1199" s="203" t="str">
        <f t="shared" si="28"/>
        <v>1w</v>
      </c>
      <c r="X1199" s="287">
        <f>_xll.qlCalendarAdvance(Calendar,X1198,W1199,"f",FALSE)</f>
        <v>47323</v>
      </c>
      <c r="Y1199" s="281">
        <f>_xll.qlCalendarAdvance(Calendar,X1199,NDays&amp;"D")</f>
        <v>47325</v>
      </c>
      <c r="Z1199" s="282">
        <v>2.3508584607741356E-2</v>
      </c>
      <c r="AA1199" s="284">
        <v>2.3348800801032965E-2</v>
      </c>
    </row>
    <row r="1200" spans="23:27" x14ac:dyDescent="0.2">
      <c r="W1200" s="203" t="str">
        <f t="shared" si="28"/>
        <v>1w</v>
      </c>
      <c r="X1200" s="287">
        <f>_xll.qlCalendarAdvance(Calendar,X1199,W1200,"f",FALSE)</f>
        <v>47330</v>
      </c>
      <c r="Y1200" s="281">
        <f>_xll.qlCalendarAdvance(Calendar,X1200,NDays&amp;"D")</f>
        <v>47332</v>
      </c>
      <c r="Z1200" s="282">
        <v>2.3522292629366125E-2</v>
      </c>
      <c r="AA1200" s="284">
        <v>2.3363046808686505E-2</v>
      </c>
    </row>
    <row r="1201" spans="23:27" x14ac:dyDescent="0.2">
      <c r="W1201" s="203" t="str">
        <f t="shared" si="28"/>
        <v>1w</v>
      </c>
      <c r="X1201" s="287">
        <f>_xll.qlCalendarAdvance(Calendar,X1200,W1201,"f",FALSE)</f>
        <v>47337</v>
      </c>
      <c r="Y1201" s="281">
        <f>_xll.qlCalendarAdvance(Calendar,X1201,NDays&amp;"D")</f>
        <v>47339</v>
      </c>
      <c r="Z1201" s="282">
        <v>2.353590490320815E-2</v>
      </c>
      <c r="AA1201" s="284">
        <v>2.3377197587794996E-2</v>
      </c>
    </row>
    <row r="1202" spans="23:27" x14ac:dyDescent="0.2">
      <c r="W1202" s="203" t="str">
        <f t="shared" si="28"/>
        <v>1w</v>
      </c>
      <c r="X1202" s="287">
        <f>_xll.qlCalendarAdvance(Calendar,X1201,W1202,"f",FALSE)</f>
        <v>47344</v>
      </c>
      <c r="Y1202" s="281">
        <f>_xll.qlCalendarAdvance(Calendar,X1202,NDays&amp;"D")</f>
        <v>47346</v>
      </c>
      <c r="Z1202" s="282">
        <v>2.3549421428276918E-2</v>
      </c>
      <c r="AA1202" s="284">
        <v>2.3391253138598245E-2</v>
      </c>
    </row>
    <row r="1203" spans="23:27" x14ac:dyDescent="0.2">
      <c r="W1203" s="203" t="str">
        <f t="shared" si="28"/>
        <v>1w</v>
      </c>
      <c r="X1203" s="287">
        <f>_xll.qlCalendarAdvance(Calendar,X1202,W1203,"f",FALSE)</f>
        <v>47351</v>
      </c>
      <c r="Y1203" s="281">
        <f>_xll.qlCalendarAdvance(Calendar,X1203,NDays&amp;"D")</f>
        <v>47353</v>
      </c>
      <c r="Z1203" s="282">
        <v>2.3567969365659542E-2</v>
      </c>
      <c r="AA1203" s="284">
        <v>2.340521346093638E-2</v>
      </c>
    </row>
    <row r="1204" spans="23:27" x14ac:dyDescent="0.2">
      <c r="W1204" s="203" t="str">
        <f t="shared" si="28"/>
        <v>1w</v>
      </c>
      <c r="X1204" s="287">
        <f>_xll.qlCalendarAdvance(Calendar,X1203,W1204,"f",FALSE)</f>
        <v>47358</v>
      </c>
      <c r="Y1204" s="281">
        <f>_xll.qlCalendarAdvance(Calendar,X1204,NDays&amp;"D")</f>
        <v>47360</v>
      </c>
      <c r="Z1204" s="282">
        <v>2.3576167228150879E-2</v>
      </c>
      <c r="AA1204" s="284">
        <v>2.3419078554889339E-2</v>
      </c>
    </row>
    <row r="1205" spans="23:27" x14ac:dyDescent="0.2">
      <c r="W1205" s="203" t="str">
        <f t="shared" si="28"/>
        <v>1w</v>
      </c>
      <c r="X1205" s="287">
        <f>_xll.qlCalendarAdvance(Calendar,X1204,W1205,"f",FALSE)</f>
        <v>47365</v>
      </c>
      <c r="Y1205" s="281">
        <f>_xll.qlCalendarAdvance(Calendar,X1205,NDays&amp;"D")</f>
        <v>47367</v>
      </c>
      <c r="Z1205" s="282">
        <v>2.3587698400690693E-2</v>
      </c>
      <c r="AA1205" s="284">
        <v>2.3432848420297248E-2</v>
      </c>
    </row>
    <row r="1206" spans="23:27" x14ac:dyDescent="0.2">
      <c r="W1206" s="203" t="str">
        <f t="shared" si="28"/>
        <v>1w</v>
      </c>
      <c r="X1206" s="287">
        <f>_xll.qlCalendarAdvance(Calendar,X1205,W1206,"f",FALSE)</f>
        <v>47372</v>
      </c>
      <c r="Y1206" s="281">
        <f>_xll.qlCalendarAdvance(Calendar,X1206,NDays&amp;"D")</f>
        <v>47374</v>
      </c>
      <c r="Z1206" s="282">
        <v>2.3600837901795426E-2</v>
      </c>
      <c r="AA1206" s="284">
        <v>2.3446523057399915E-2</v>
      </c>
    </row>
    <row r="1207" spans="23:27" x14ac:dyDescent="0.2">
      <c r="W1207" s="203" t="str">
        <f t="shared" si="28"/>
        <v>1w</v>
      </c>
      <c r="X1207" s="287">
        <f>_xll.qlCalendarAdvance(Calendar,X1206,W1207,"f",FALSE)</f>
        <v>47379</v>
      </c>
      <c r="Y1207" s="281">
        <f>_xll.qlCalendarAdvance(Calendar,X1207,NDays&amp;"D")</f>
        <v>47381</v>
      </c>
      <c r="Z1207" s="282">
        <v>2.3613881655115958E-2</v>
      </c>
      <c r="AA1207" s="284">
        <v>2.3460102465957533E-2</v>
      </c>
    </row>
    <row r="1208" spans="23:27" x14ac:dyDescent="0.2">
      <c r="W1208" s="203" t="str">
        <f t="shared" si="28"/>
        <v>1w</v>
      </c>
      <c r="X1208" s="287">
        <f>_xll.qlCalendarAdvance(Calendar,X1207,W1208,"f",FALSE)</f>
        <v>47386</v>
      </c>
      <c r="Y1208" s="281">
        <f>_xll.qlCalendarAdvance(Calendar,X1208,NDays&amp;"D")</f>
        <v>47388</v>
      </c>
      <c r="Z1208" s="282">
        <v>2.3626829659711492E-2</v>
      </c>
      <c r="AA1208" s="284">
        <v>2.3473586646050038E-2</v>
      </c>
    </row>
    <row r="1209" spans="23:27" x14ac:dyDescent="0.2">
      <c r="W1209" s="203" t="str">
        <f t="shared" si="28"/>
        <v>1w</v>
      </c>
      <c r="X1209" s="287">
        <f>_xll.qlCalendarAdvance(Calendar,X1208,W1209,"f",FALSE)</f>
        <v>47393</v>
      </c>
      <c r="Y1209" s="281">
        <f>_xll.qlCalendarAdvance(Calendar,X1209,NDays&amp;"D")</f>
        <v>47395</v>
      </c>
      <c r="Z1209" s="282">
        <v>2.3641356056077902E-2</v>
      </c>
      <c r="AA1209" s="284">
        <v>2.3486975597677429E-2</v>
      </c>
    </row>
    <row r="1210" spans="23:27" x14ac:dyDescent="0.2">
      <c r="W1210" s="203" t="str">
        <f t="shared" si="28"/>
        <v>1w</v>
      </c>
      <c r="X1210" s="287">
        <f>_xll.qlCalendarAdvance(Calendar,X1209,W1210,"f",FALSE)</f>
        <v>47400</v>
      </c>
      <c r="Y1210" s="281">
        <f>_xll.qlCalendarAdvance(Calendar,X1210,NDays&amp;"D")</f>
        <v>47402</v>
      </c>
      <c r="Z1210" s="282">
        <v>2.3654106556020731E-2</v>
      </c>
      <c r="AA1210" s="284">
        <v>2.3500269320839706E-2</v>
      </c>
    </row>
    <row r="1211" spans="23:27" x14ac:dyDescent="0.2">
      <c r="W1211" s="203" t="str">
        <f t="shared" si="28"/>
        <v>1w</v>
      </c>
      <c r="X1211" s="287">
        <f>_xll.qlCalendarAdvance(Calendar,X1210,W1211,"f",FALSE)</f>
        <v>47407</v>
      </c>
      <c r="Y1211" s="281">
        <f>_xll.qlCalendarAdvance(Calendar,X1211,NDays&amp;"D")</f>
        <v>47409</v>
      </c>
      <c r="Z1211" s="282">
        <v>2.3666761298561548E-2</v>
      </c>
      <c r="AA1211" s="284">
        <v>2.3513467815456934E-2</v>
      </c>
    </row>
    <row r="1212" spans="23:27" x14ac:dyDescent="0.2">
      <c r="W1212" s="203" t="str">
        <f t="shared" si="28"/>
        <v>1w</v>
      </c>
      <c r="X1212" s="287">
        <f>_xll.qlCalendarAdvance(Calendar,X1211,W1212,"f",FALSE)</f>
        <v>47414</v>
      </c>
      <c r="Y1212" s="281">
        <f>_xll.qlCalendarAdvance(Calendar,X1212,NDays&amp;"D")</f>
        <v>47416</v>
      </c>
      <c r="Z1212" s="282">
        <v>2.3679320282775883E-2</v>
      </c>
      <c r="AA1212" s="284">
        <v>2.3526571081529113E-2</v>
      </c>
    </row>
    <row r="1213" spans="23:27" x14ac:dyDescent="0.2">
      <c r="W1213" s="203" t="str">
        <f t="shared" si="28"/>
        <v>1w</v>
      </c>
      <c r="X1213" s="287">
        <f>_xll.qlCalendarAdvance(Calendar,X1212,W1213,"f",FALSE)</f>
        <v>47421</v>
      </c>
      <c r="Y1213" s="281">
        <f>_xll.qlCalendarAdvance(Calendar,X1213,NDays&amp;"D")</f>
        <v>47423</v>
      </c>
      <c r="Z1213" s="282">
        <v>2.3691783507747075E-2</v>
      </c>
      <c r="AA1213" s="284">
        <v>2.3539579119136178E-2</v>
      </c>
    </row>
    <row r="1214" spans="23:27" x14ac:dyDescent="0.2">
      <c r="W1214" s="203" t="str">
        <f t="shared" si="28"/>
        <v>1w</v>
      </c>
      <c r="X1214" s="287">
        <f>_xll.qlCalendarAdvance(Calendar,X1213,W1214,"f",FALSE)</f>
        <v>47428</v>
      </c>
      <c r="Y1214" s="281">
        <f>_xll.qlCalendarAdvance(Calendar,X1214,NDays&amp;"D")</f>
        <v>47430</v>
      </c>
      <c r="Z1214" s="282">
        <v>2.3704150972566281E-2</v>
      </c>
      <c r="AA1214" s="284">
        <v>2.3552491928198194E-2</v>
      </c>
    </row>
    <row r="1215" spans="23:27" x14ac:dyDescent="0.2">
      <c r="W1215" s="203" t="str">
        <f t="shared" si="28"/>
        <v>1w</v>
      </c>
      <c r="X1215" s="287">
        <f>_xll.qlCalendarAdvance(Calendar,X1214,W1215,"f",FALSE)</f>
        <v>47435</v>
      </c>
      <c r="Y1215" s="281">
        <f>_xll.qlCalendarAdvance(Calendar,X1215,NDays&amp;"D")</f>
        <v>47437</v>
      </c>
      <c r="Z1215" s="282">
        <v>2.3716422676329882E-2</v>
      </c>
      <c r="AA1215" s="284">
        <v>2.356530950871516E-2</v>
      </c>
    </row>
    <row r="1216" spans="23:27" x14ac:dyDescent="0.2">
      <c r="W1216" s="203" t="str">
        <f t="shared" si="28"/>
        <v>1w</v>
      </c>
      <c r="X1216" s="287">
        <f>_xll.qlCalendarAdvance(Calendar,X1215,W1216,"f",FALSE)</f>
        <v>47442</v>
      </c>
      <c r="Y1216" s="281">
        <f>_xll.qlCalendarAdvance(Calendar,X1216,NDays&amp;"D")</f>
        <v>47444</v>
      </c>
      <c r="Z1216" s="282">
        <v>2.372859861814294E-2</v>
      </c>
      <c r="AA1216" s="284">
        <v>2.3583061457326249E-2</v>
      </c>
    </row>
    <row r="1217" spans="23:27" x14ac:dyDescent="0.2">
      <c r="W1217" s="203" t="str">
        <f t="shared" si="28"/>
        <v>1w</v>
      </c>
      <c r="X1217" s="287">
        <f>_xll.qlCalendarAdvance(Calendar,X1216,W1217,"f",FALSE)</f>
        <v>47449</v>
      </c>
      <c r="Y1217" s="281">
        <f>_xll.qlCalendarAdvance(Calendar,X1217,NDays&amp;"D")</f>
        <v>47451</v>
      </c>
      <c r="Z1217" s="282">
        <v>2.3739052856417933E-2</v>
      </c>
      <c r="AA1217" s="284">
        <v>2.3590658984113944E-2</v>
      </c>
    </row>
    <row r="1218" spans="23:27" x14ac:dyDescent="0.2">
      <c r="W1218" s="203" t="str">
        <f t="shared" si="28"/>
        <v>1w</v>
      </c>
      <c r="X1218" s="287">
        <f>_xll.qlCalendarAdvance(Calendar,X1217,W1218,"f",FALSE)</f>
        <v>47456</v>
      </c>
      <c r="Y1218" s="281">
        <f>_xll.qlCalendarAdvance(Calendar,X1218,NDays&amp;"D")</f>
        <v>47458</v>
      </c>
      <c r="Z1218" s="282">
        <v>2.3749422927674679E-2</v>
      </c>
      <c r="AA1218" s="284">
        <v>2.3603190878915825E-2</v>
      </c>
    </row>
    <row r="1219" spans="23:27" x14ac:dyDescent="0.2">
      <c r="W1219" s="203" t="str">
        <f t="shared" si="28"/>
        <v>1w</v>
      </c>
      <c r="X1219" s="287">
        <f>_xll.qlCalendarAdvance(Calendar,X1218,W1219,"f",FALSE)</f>
        <v>47463</v>
      </c>
      <c r="Y1219" s="281">
        <f>_xll.qlCalendarAdvance(Calendar,X1219,NDays&amp;"D")</f>
        <v>47465</v>
      </c>
      <c r="Z1219" s="282">
        <v>2.376132369307804E-2</v>
      </c>
      <c r="AA1219" s="284">
        <v>2.3615627545092721E-2</v>
      </c>
    </row>
    <row r="1220" spans="23:27" x14ac:dyDescent="0.2">
      <c r="W1220" s="203" t="str">
        <f t="shared" si="28"/>
        <v>1w</v>
      </c>
      <c r="X1220" s="287">
        <f>_xll.qlCalendarAdvance(Calendar,X1219,W1220,"f",FALSE)</f>
        <v>47470</v>
      </c>
      <c r="Y1220" s="281">
        <f>_xll.qlCalendarAdvance(Calendar,X1220,NDays&amp;"D")</f>
        <v>47472</v>
      </c>
      <c r="Z1220" s="282">
        <v>2.3774736980844261E-2</v>
      </c>
      <c r="AA1220" s="284">
        <v>2.3627968982724568E-2</v>
      </c>
    </row>
    <row r="1221" spans="23:27" x14ac:dyDescent="0.2">
      <c r="W1221" s="203" t="str">
        <f t="shared" si="28"/>
        <v>1w</v>
      </c>
      <c r="X1221" s="287">
        <f>_xll.qlCalendarAdvance(Calendar,X1220,W1221,"f",FALSE)</f>
        <v>47479</v>
      </c>
      <c r="Y1221" s="281">
        <f>_xll.qlCalendarAdvance(Calendar,X1221,NDays&amp;"D")</f>
        <v>47487</v>
      </c>
      <c r="Z1221" s="282">
        <v>2.3798102719799985E-2</v>
      </c>
      <c r="AA1221" s="284">
        <v>2.3657374214467453E-2</v>
      </c>
    </row>
    <row r="1222" spans="23:27" x14ac:dyDescent="0.2">
      <c r="W1222" s="203" t="str">
        <f t="shared" si="28"/>
        <v>1w</v>
      </c>
      <c r="X1222" s="287">
        <f>_xll.qlCalendarAdvance(Calendar,X1221,W1222,"f",FALSE)</f>
        <v>47487</v>
      </c>
      <c r="Y1222" s="281">
        <f>_xll.qlCalendarAdvance(Calendar,X1222,NDays&amp;"D")</f>
        <v>47491</v>
      </c>
      <c r="Z1222" s="282">
        <v>2.3804688197562207E-2</v>
      </c>
      <c r="AA1222" s="284">
        <v>2.3660987140692313E-2</v>
      </c>
    </row>
    <row r="1223" spans="23:27" x14ac:dyDescent="0.2">
      <c r="W1223" s="203" t="str">
        <f t="shared" si="28"/>
        <v>1w</v>
      </c>
      <c r="X1223" s="287">
        <f>_xll.qlCalendarAdvance(Calendar,X1222,W1223,"f",FALSE)</f>
        <v>47494</v>
      </c>
      <c r="Y1223" s="281">
        <f>_xll.qlCalendarAdvance(Calendar,X1223,NDays&amp;"D")</f>
        <v>47499</v>
      </c>
      <c r="Z1223" s="282">
        <v>2.3816137546215366E-2</v>
      </c>
      <c r="AA1223" s="284">
        <v>2.3674679631273676E-2</v>
      </c>
    </row>
    <row r="1224" spans="23:27" x14ac:dyDescent="0.2">
      <c r="W1224" s="203" t="str">
        <f t="shared" si="28"/>
        <v>1w</v>
      </c>
      <c r="X1224" s="287">
        <f>_xll.qlCalendarAdvance(Calendar,X1223,W1224,"f",FALSE)</f>
        <v>47501</v>
      </c>
      <c r="Y1224" s="281">
        <f>_xll.qlCalendarAdvance(Calendar,X1224,NDays&amp;"D")</f>
        <v>47505</v>
      </c>
      <c r="Z1224" s="282">
        <v>2.3829070750110017E-2</v>
      </c>
      <c r="AA1224" s="284">
        <v>2.3684867374722529E-2</v>
      </c>
    </row>
    <row r="1225" spans="23:27" x14ac:dyDescent="0.2">
      <c r="W1225" s="203" t="str">
        <f t="shared" si="28"/>
        <v>1w</v>
      </c>
      <c r="X1225" s="287">
        <f>_xll.qlCalendarAdvance(Calendar,X1224,W1225,"f",FALSE)</f>
        <v>47508</v>
      </c>
      <c r="Y1225" s="281">
        <f>_xll.qlCalendarAdvance(Calendar,X1225,NDays&amp;"D")</f>
        <v>47512</v>
      </c>
      <c r="Z1225" s="282">
        <v>2.3840322485840403E-2</v>
      </c>
      <c r="AA1225" s="284">
        <v>2.3696664648760191E-2</v>
      </c>
    </row>
    <row r="1226" spans="23:27" x14ac:dyDescent="0.2">
      <c r="W1226" s="203" t="str">
        <f t="shared" si="28"/>
        <v>1w</v>
      </c>
      <c r="X1226" s="287">
        <f>_xll.qlCalendarAdvance(Calendar,X1225,W1226,"f",FALSE)</f>
        <v>47515</v>
      </c>
      <c r="Y1226" s="281">
        <f>_xll.qlCalendarAdvance(Calendar,X1226,NDays&amp;"D")</f>
        <v>47519</v>
      </c>
      <c r="Z1226" s="282">
        <v>2.3851478456495798E-2</v>
      </c>
      <c r="AA1226" s="284">
        <v>2.3708366694172867E-2</v>
      </c>
    </row>
    <row r="1227" spans="23:27" x14ac:dyDescent="0.2">
      <c r="W1227" s="203" t="str">
        <f t="shared" si="28"/>
        <v>1w</v>
      </c>
      <c r="X1227" s="287">
        <f>_xll.qlCalendarAdvance(Calendar,X1226,W1227,"f",FALSE)</f>
        <v>47522</v>
      </c>
      <c r="Y1227" s="281">
        <f>_xll.qlCalendarAdvance(Calendar,X1227,NDays&amp;"D")</f>
        <v>47527</v>
      </c>
      <c r="Z1227" s="282">
        <v>2.3860977358479474E-2</v>
      </c>
      <c r="AA1227" s="284">
        <v>2.3721623853782958E-2</v>
      </c>
    </row>
    <row r="1228" spans="23:27" x14ac:dyDescent="0.2">
      <c r="W1228" s="203" t="str">
        <f t="shared" si="28"/>
        <v>1w</v>
      </c>
      <c r="X1228" s="287">
        <f>_xll.qlCalendarAdvance(Calendar,X1227,W1228,"f",FALSE)</f>
        <v>47529</v>
      </c>
      <c r="Y1228" s="281">
        <f>_xll.qlCalendarAdvance(Calendar,X1228,NDays&amp;"D")</f>
        <v>47533</v>
      </c>
      <c r="Z1228" s="282">
        <v>2.3871947911954017E-2</v>
      </c>
      <c r="AA1228" s="284">
        <v>2.3731485098883454E-2</v>
      </c>
    </row>
    <row r="1229" spans="23:27" x14ac:dyDescent="0.2">
      <c r="W1229" s="203" t="str">
        <f t="shared" si="28"/>
        <v>1w</v>
      </c>
      <c r="X1229" s="287">
        <f>_xll.qlCalendarAdvance(Calendar,X1228,W1229,"f",FALSE)</f>
        <v>47536</v>
      </c>
      <c r="Y1229" s="281">
        <f>_xll.qlCalendarAdvance(Calendar,X1229,NDays&amp;"D")</f>
        <v>47540</v>
      </c>
      <c r="Z1229" s="282">
        <v>2.3884371769988567E-2</v>
      </c>
      <c r="AA1229" s="284">
        <v>2.3742901458261301E-2</v>
      </c>
    </row>
    <row r="1230" spans="23:27" x14ac:dyDescent="0.2">
      <c r="W1230" s="203" t="str">
        <f t="shared" si="28"/>
        <v>1w</v>
      </c>
      <c r="X1230" s="287">
        <f>_xll.qlCalendarAdvance(Calendar,X1229,W1230,"f",FALSE)</f>
        <v>47543</v>
      </c>
      <c r="Y1230" s="281">
        <f>_xll.qlCalendarAdvance(Calendar,X1230,NDays&amp;"D")</f>
        <v>47547</v>
      </c>
      <c r="Z1230" s="282">
        <v>2.3896687093641369E-2</v>
      </c>
      <c r="AA1230" s="284">
        <v>2.375422258885429E-2</v>
      </c>
    </row>
    <row r="1231" spans="23:27" x14ac:dyDescent="0.2">
      <c r="W1231" s="203" t="str">
        <f t="shared" si="28"/>
        <v>1w</v>
      </c>
      <c r="X1231" s="287">
        <f>_xll.qlCalendarAdvance(Calendar,X1230,W1231,"f",FALSE)</f>
        <v>47550</v>
      </c>
      <c r="Y1231" s="281">
        <f>_xll.qlCalendarAdvance(Calendar,X1231,NDays&amp;"D")</f>
        <v>47554</v>
      </c>
      <c r="Z1231" s="282">
        <v>2.3907358092578025E-2</v>
      </c>
      <c r="AA1231" s="284">
        <v>2.376544849090223E-2</v>
      </c>
    </row>
    <row r="1232" spans="23:27" x14ac:dyDescent="0.2">
      <c r="W1232" s="203" t="str">
        <f t="shared" si="28"/>
        <v>1w</v>
      </c>
      <c r="X1232" s="287">
        <f>_xll.qlCalendarAdvance(Calendar,X1231,W1232,"f",FALSE)</f>
        <v>47557</v>
      </c>
      <c r="Y1232" s="281">
        <f>_xll.qlCalendarAdvance(Calendar,X1232,NDays&amp;"D")</f>
        <v>47561</v>
      </c>
      <c r="Z1232" s="282">
        <v>2.3917933315625719E-2</v>
      </c>
      <c r="AA1232" s="284">
        <v>2.3778155552145464E-2</v>
      </c>
    </row>
    <row r="1233" spans="23:27" x14ac:dyDescent="0.2">
      <c r="W1233" s="203" t="str">
        <f t="shared" si="28"/>
        <v>1w</v>
      </c>
      <c r="X1233" s="287">
        <f>_xll.qlCalendarAdvance(Calendar,X1232,W1233,"f",FALSE)</f>
        <v>47564</v>
      </c>
      <c r="Y1233" s="281">
        <f>_xll.qlCalendarAdvance(Calendar,X1233,NDays&amp;"D")</f>
        <v>47568</v>
      </c>
      <c r="Z1233" s="282">
        <v>2.3928412762013764E-2</v>
      </c>
      <c r="AA1233" s="284">
        <v>2.3787614608643537E-2</v>
      </c>
    </row>
    <row r="1234" spans="23:27" x14ac:dyDescent="0.2">
      <c r="W1234" s="203" t="str">
        <f t="shared" si="28"/>
        <v>1w</v>
      </c>
      <c r="X1234" s="287">
        <f>_xll.qlCalendarAdvance(Calendar,X1233,W1234,"f",FALSE)</f>
        <v>47571</v>
      </c>
      <c r="Y1234" s="281">
        <f>_xll.qlCalendarAdvance(Calendar,X1234,NDays&amp;"D")</f>
        <v>47575</v>
      </c>
      <c r="Z1234" s="282">
        <v>2.3937278583815239E-2</v>
      </c>
      <c r="AA1234" s="284">
        <v>2.379855482441684E-2</v>
      </c>
    </row>
    <row r="1235" spans="23:27" x14ac:dyDescent="0.2">
      <c r="W1235" s="203" t="str">
        <f t="shared" si="28"/>
        <v>1w</v>
      </c>
      <c r="X1235" s="287">
        <f>_xll.qlCalendarAdvance(Calendar,X1234,W1235,"f",FALSE)</f>
        <v>47578</v>
      </c>
      <c r="Y1235" s="281">
        <f>_xll.qlCalendarAdvance(Calendar,X1235,NDays&amp;"D")</f>
        <v>47582</v>
      </c>
      <c r="Z1235" s="282">
        <v>2.3947572633373503E-2</v>
      </c>
      <c r="AA1235" s="284">
        <v>2.3809399811405285E-2</v>
      </c>
    </row>
    <row r="1236" spans="23:27" x14ac:dyDescent="0.2">
      <c r="W1236" s="203" t="str">
        <f t="shared" si="28"/>
        <v>1w</v>
      </c>
      <c r="X1236" s="287">
        <f>_xll.qlCalendarAdvance(Calendar,X1235,W1236,"f",FALSE)</f>
        <v>47585</v>
      </c>
      <c r="Y1236" s="281">
        <f>_xll.qlCalendarAdvance(Calendar,X1236,NDays&amp;"D")</f>
        <v>47589</v>
      </c>
      <c r="Z1236" s="282">
        <v>2.3957770910113519E-2</v>
      </c>
      <c r="AA1236" s="284">
        <v>2.3820149569768745E-2</v>
      </c>
    </row>
    <row r="1237" spans="23:27" x14ac:dyDescent="0.2">
      <c r="W1237" s="203" t="str">
        <f t="shared" ref="W1237:W1300" si="29">W1236</f>
        <v>1w</v>
      </c>
      <c r="X1237" s="287">
        <f>_xll.qlCalendarAdvance(Calendar,X1236,W1237,"f",FALSE)</f>
        <v>47596</v>
      </c>
      <c r="Y1237" s="281">
        <f>_xll.qlCalendarAdvance(Calendar,X1237,NDays&amp;"D")</f>
        <v>47598</v>
      </c>
      <c r="Z1237" s="282">
        <v>2.3970742251614208E-2</v>
      </c>
      <c r="AA1237" s="284">
        <v>2.3833830759549812E-2</v>
      </c>
    </row>
    <row r="1238" spans="23:27" x14ac:dyDescent="0.2">
      <c r="W1238" s="203" t="str">
        <f t="shared" si="29"/>
        <v>1w</v>
      </c>
      <c r="X1238" s="287">
        <f>_xll.qlCalendarAdvance(Calendar,X1237,W1238,"f",FALSE)</f>
        <v>47603</v>
      </c>
      <c r="Y1238" s="281">
        <f>_xll.qlCalendarAdvance(Calendar,X1238,NDays&amp;"D")</f>
        <v>47605</v>
      </c>
      <c r="Z1238" s="282">
        <v>2.39822130255927E-2</v>
      </c>
      <c r="AA1238" s="284">
        <v>2.3850512219746989E-2</v>
      </c>
    </row>
    <row r="1239" spans="23:27" x14ac:dyDescent="0.2">
      <c r="W1239" s="203" t="str">
        <f t="shared" si="29"/>
        <v>1w</v>
      </c>
      <c r="X1239" s="287">
        <f>_xll.qlCalendarAdvance(Calendar,X1238,W1239,"f",FALSE)</f>
        <v>47610</v>
      </c>
      <c r="Y1239" s="281">
        <f>_xll.qlCalendarAdvance(Calendar,X1239,NDays&amp;"D")</f>
        <v>47612</v>
      </c>
      <c r="Z1239" s="282">
        <v>2.399209043002359E-2</v>
      </c>
      <c r="AA1239" s="284">
        <v>2.385479971596105E-2</v>
      </c>
    </row>
    <row r="1240" spans="23:27" x14ac:dyDescent="0.2">
      <c r="W1240" s="203" t="str">
        <f t="shared" si="29"/>
        <v>1w</v>
      </c>
      <c r="X1240" s="287">
        <f>_xll.qlCalendarAdvance(Calendar,X1239,W1240,"f",FALSE)</f>
        <v>47617</v>
      </c>
      <c r="Y1240" s="281">
        <f>_xll.qlCalendarAdvance(Calendar,X1240,NDays&amp;"D")</f>
        <v>47619</v>
      </c>
      <c r="Z1240" s="282">
        <v>2.4001872052380906E-2</v>
      </c>
      <c r="AA1240" s="284">
        <v>2.3865141350869479E-2</v>
      </c>
    </row>
    <row r="1241" spans="23:27" x14ac:dyDescent="0.2">
      <c r="W1241" s="203" t="str">
        <f t="shared" si="29"/>
        <v>1w</v>
      </c>
      <c r="X1241" s="287">
        <f>_xll.qlCalendarAdvance(Calendar,X1240,W1241,"f",FALSE)</f>
        <v>47624</v>
      </c>
      <c r="Y1241" s="281">
        <f>_xll.qlCalendarAdvance(Calendar,X1241,NDays&amp;"D")</f>
        <v>47626</v>
      </c>
      <c r="Z1241" s="282">
        <v>2.401155789195043E-2</v>
      </c>
      <c r="AA1241" s="284">
        <v>2.3875387757072986E-2</v>
      </c>
    </row>
    <row r="1242" spans="23:27" x14ac:dyDescent="0.2">
      <c r="W1242" s="203" t="str">
        <f t="shared" si="29"/>
        <v>1w</v>
      </c>
      <c r="X1242" s="287">
        <f>_xll.qlCalendarAdvance(Calendar,X1241,W1242,"f",FALSE)</f>
        <v>47631</v>
      </c>
      <c r="Y1242" s="281">
        <f>_xll.qlCalendarAdvance(Calendar,X1242,NDays&amp;"D")</f>
        <v>47633</v>
      </c>
      <c r="Z1242" s="282">
        <v>2.4021147948024908E-2</v>
      </c>
      <c r="AA1242" s="284">
        <v>2.3885538934491635E-2</v>
      </c>
    </row>
    <row r="1243" spans="23:27" x14ac:dyDescent="0.2">
      <c r="W1243" s="203" t="str">
        <f t="shared" si="29"/>
        <v>1w</v>
      </c>
      <c r="X1243" s="287">
        <f>_xll.qlCalendarAdvance(Calendar,X1242,W1243,"f",FALSE)</f>
        <v>47638</v>
      </c>
      <c r="Y1243" s="281">
        <f>_xll.qlCalendarAdvance(Calendar,X1243,NDays&amp;"D")</f>
        <v>47640</v>
      </c>
      <c r="Z1243" s="282">
        <v>2.4030642219904898E-2</v>
      </c>
      <c r="AA1243" s="284">
        <v>2.389559488304549E-2</v>
      </c>
    </row>
    <row r="1244" spans="23:27" x14ac:dyDescent="0.2">
      <c r="W1244" s="203" t="str">
        <f t="shared" si="29"/>
        <v>1w</v>
      </c>
      <c r="X1244" s="287">
        <f>_xll.qlCalendarAdvance(Calendar,X1243,W1244,"f",FALSE)</f>
        <v>47645</v>
      </c>
      <c r="Y1244" s="281">
        <f>_xll.qlCalendarAdvance(Calendar,X1244,NDays&amp;"D")</f>
        <v>47647</v>
      </c>
      <c r="Z1244" s="282">
        <v>2.4040040706897036E-2</v>
      </c>
      <c r="AA1244" s="284">
        <v>2.3905555602814488E-2</v>
      </c>
    </row>
    <row r="1245" spans="23:27" x14ac:dyDescent="0.2">
      <c r="W1245" s="203" t="str">
        <f t="shared" si="29"/>
        <v>1w</v>
      </c>
      <c r="X1245" s="287">
        <f>_xll.qlCalendarAdvance(Calendar,X1244,W1245,"f",FALSE)</f>
        <v>47652</v>
      </c>
      <c r="Y1245" s="281">
        <f>_xll.qlCalendarAdvance(Calendar,X1245,NDays&amp;"D")</f>
        <v>47654</v>
      </c>
      <c r="Z1245" s="282">
        <v>2.4049343408316663E-2</v>
      </c>
      <c r="AA1245" s="284">
        <v>2.3915421093798628E-2</v>
      </c>
    </row>
    <row r="1246" spans="23:27" x14ac:dyDescent="0.2">
      <c r="W1246" s="203" t="str">
        <f t="shared" si="29"/>
        <v>1w</v>
      </c>
      <c r="X1246" s="287">
        <f>_xll.qlCalendarAdvance(Calendar,X1245,W1246,"f",FALSE)</f>
        <v>47659</v>
      </c>
      <c r="Y1246" s="281">
        <f>_xll.qlCalendarAdvance(Calendar,X1246,NDays&amp;"D")</f>
        <v>47661</v>
      </c>
      <c r="Z1246" s="282">
        <v>2.4058550323480834E-2</v>
      </c>
      <c r="AA1246" s="284">
        <v>2.3925191355917974E-2</v>
      </c>
    </row>
    <row r="1247" spans="23:27" x14ac:dyDescent="0.2">
      <c r="W1247" s="203" t="str">
        <f t="shared" si="29"/>
        <v>1w</v>
      </c>
      <c r="X1247" s="287">
        <f>_xll.qlCalendarAdvance(Calendar,X1246,W1247,"f",FALSE)</f>
        <v>47666</v>
      </c>
      <c r="Y1247" s="281">
        <f>_xll.qlCalendarAdvance(Calendar,X1247,NDays&amp;"D")</f>
        <v>47668</v>
      </c>
      <c r="Z1247" s="282">
        <v>2.40676614517214E-2</v>
      </c>
      <c r="AA1247" s="284">
        <v>2.3934866389172527E-2</v>
      </c>
    </row>
    <row r="1248" spans="23:27" x14ac:dyDescent="0.2">
      <c r="W1248" s="203" t="str">
        <f t="shared" si="29"/>
        <v>1w</v>
      </c>
      <c r="X1248" s="287">
        <f>_xll.qlCalendarAdvance(Calendar,X1247,W1248,"f",FALSE)</f>
        <v>47673</v>
      </c>
      <c r="Y1248" s="281">
        <f>_xll.qlCalendarAdvance(Calendar,X1248,NDays&amp;"D")</f>
        <v>47675</v>
      </c>
      <c r="Z1248" s="282">
        <v>2.4076676792370192E-2</v>
      </c>
      <c r="AA1248" s="284">
        <v>2.3944446193562285E-2</v>
      </c>
    </row>
    <row r="1249" spans="23:27" x14ac:dyDescent="0.2">
      <c r="W1249" s="203" t="str">
        <f t="shared" si="29"/>
        <v>1w</v>
      </c>
      <c r="X1249" s="287">
        <f>_xll.qlCalendarAdvance(Calendar,X1248,W1249,"f",FALSE)</f>
        <v>47680</v>
      </c>
      <c r="Y1249" s="281">
        <f>_xll.qlCalendarAdvance(Calendar,X1249,NDays&amp;"D")</f>
        <v>47682</v>
      </c>
      <c r="Z1249" s="282">
        <v>2.4085596344772087E-2</v>
      </c>
      <c r="AA1249" s="284">
        <v>2.3953930769167187E-2</v>
      </c>
    </row>
    <row r="1250" spans="23:27" x14ac:dyDescent="0.2">
      <c r="W1250" s="203" t="str">
        <f t="shared" si="29"/>
        <v>1w</v>
      </c>
      <c r="X1250" s="287">
        <f>_xll.qlCalendarAdvance(Calendar,X1249,W1250,"f",FALSE)</f>
        <v>47687</v>
      </c>
      <c r="Y1250" s="281">
        <f>_xll.qlCalendarAdvance(Calendar,X1250,NDays&amp;"D")</f>
        <v>47689</v>
      </c>
      <c r="Z1250" s="282">
        <v>2.409442010827369E-2</v>
      </c>
      <c r="AA1250" s="284">
        <v>2.3963320115827358E-2</v>
      </c>
    </row>
    <row r="1251" spans="23:27" x14ac:dyDescent="0.2">
      <c r="W1251" s="203" t="str">
        <f t="shared" si="29"/>
        <v>1w</v>
      </c>
      <c r="X1251" s="287">
        <f>_xll.qlCalendarAdvance(Calendar,X1250,W1251,"f",FALSE)</f>
        <v>47694</v>
      </c>
      <c r="Y1251" s="281">
        <f>_xll.qlCalendarAdvance(Calendar,X1251,NDays&amp;"D")</f>
        <v>47696</v>
      </c>
      <c r="Z1251" s="282">
        <v>2.4103148082232909E-2</v>
      </c>
      <c r="AA1251" s="284">
        <v>2.3972614233782608E-2</v>
      </c>
    </row>
    <row r="1252" spans="23:27" x14ac:dyDescent="0.2">
      <c r="W1252" s="203" t="str">
        <f t="shared" si="29"/>
        <v>1w</v>
      </c>
      <c r="X1252" s="287">
        <f>_xll.qlCalendarAdvance(Calendar,X1251,W1252,"f",FALSE)</f>
        <v>47701</v>
      </c>
      <c r="Y1252" s="281">
        <f>_xll.qlCalendarAdvance(Calendar,X1252,NDays&amp;"D")</f>
        <v>47703</v>
      </c>
      <c r="Z1252" s="282">
        <v>2.4111780266010251E-2</v>
      </c>
      <c r="AA1252" s="284">
        <v>2.3981813122713191E-2</v>
      </c>
    </row>
    <row r="1253" spans="23:27" x14ac:dyDescent="0.2">
      <c r="W1253" s="203" t="str">
        <f t="shared" si="29"/>
        <v>1w</v>
      </c>
      <c r="X1253" s="287">
        <f>_xll.qlCalendarAdvance(Calendar,X1252,W1253,"f",FALSE)</f>
        <v>47708</v>
      </c>
      <c r="Y1253" s="281">
        <f>_xll.qlCalendarAdvance(Calendar,X1253,NDays&amp;"D")</f>
        <v>47710</v>
      </c>
      <c r="Z1253" s="282">
        <v>2.4120316658976661E-2</v>
      </c>
      <c r="AA1253" s="284">
        <v>2.3990916782778982E-2</v>
      </c>
    </row>
    <row r="1254" spans="23:27" x14ac:dyDescent="0.2">
      <c r="W1254" s="203" t="str">
        <f t="shared" si="29"/>
        <v>1w</v>
      </c>
      <c r="X1254" s="287">
        <f>_xll.qlCalendarAdvance(Calendar,X1253,W1254,"f",FALSE)</f>
        <v>47715</v>
      </c>
      <c r="Y1254" s="281">
        <f>_xll.qlCalendarAdvance(Calendar,X1254,NDays&amp;"D")</f>
        <v>47717</v>
      </c>
      <c r="Z1254" s="282">
        <v>2.4128757260510024E-2</v>
      </c>
      <c r="AA1254" s="284">
        <v>2.3999925213900042E-2</v>
      </c>
    </row>
    <row r="1255" spans="23:27" x14ac:dyDescent="0.2">
      <c r="W1255" s="203" t="str">
        <f t="shared" si="29"/>
        <v>1w</v>
      </c>
      <c r="X1255" s="287">
        <f>_xll.qlCalendarAdvance(Calendar,X1254,W1255,"f",FALSE)</f>
        <v>47722</v>
      </c>
      <c r="Y1255" s="281">
        <f>_xll.qlCalendarAdvance(Calendar,X1255,NDays&amp;"D")</f>
        <v>47724</v>
      </c>
      <c r="Z1255" s="282">
        <v>2.4137102069992575E-2</v>
      </c>
      <c r="AA1255" s="284">
        <v>2.4008838416236244E-2</v>
      </c>
    </row>
    <row r="1256" spans="23:27" x14ac:dyDescent="0.2">
      <c r="W1256" s="203" t="str">
        <f t="shared" si="29"/>
        <v>1w</v>
      </c>
      <c r="X1256" s="287">
        <f>_xll.qlCalendarAdvance(Calendar,X1255,W1256,"f",FALSE)</f>
        <v>47729</v>
      </c>
      <c r="Y1256" s="281">
        <f>_xll.qlCalendarAdvance(Calendar,X1256,NDays&amp;"D")</f>
        <v>47731</v>
      </c>
      <c r="Z1256" s="282">
        <v>2.4143971954522593E-2</v>
      </c>
      <c r="AA1256" s="284">
        <v>2.4017656389547781E-2</v>
      </c>
    </row>
    <row r="1257" spans="23:27" x14ac:dyDescent="0.2">
      <c r="W1257" s="203" t="str">
        <f t="shared" si="29"/>
        <v>1w</v>
      </c>
      <c r="X1257" s="287">
        <f>_xll.qlCalendarAdvance(Calendar,X1256,W1257,"f",FALSE)</f>
        <v>47736</v>
      </c>
      <c r="Y1257" s="281">
        <f>_xll.qlCalendarAdvance(Calendar,X1257,NDays&amp;"D")</f>
        <v>47738</v>
      </c>
      <c r="Z1257" s="282">
        <v>2.4152131474832115E-2</v>
      </c>
      <c r="AA1257" s="284">
        <v>2.4026379133994524E-2</v>
      </c>
    </row>
    <row r="1258" spans="23:27" x14ac:dyDescent="0.2">
      <c r="W1258" s="203" t="str">
        <f t="shared" si="29"/>
        <v>1w</v>
      </c>
      <c r="X1258" s="287">
        <f>_xll.qlCalendarAdvance(Calendar,X1257,W1258,"f",FALSE)</f>
        <v>47743</v>
      </c>
      <c r="Y1258" s="281">
        <f>_xll.qlCalendarAdvance(Calendar,X1258,NDays&amp;"D")</f>
        <v>47745</v>
      </c>
      <c r="Z1258" s="282">
        <v>2.416019520755279E-2</v>
      </c>
      <c r="AA1258" s="284">
        <v>2.4035006649576474E-2</v>
      </c>
    </row>
    <row r="1259" spans="23:27" x14ac:dyDescent="0.2">
      <c r="W1259" s="203" t="str">
        <f t="shared" si="29"/>
        <v>1w</v>
      </c>
      <c r="X1259" s="287">
        <f>_xll.qlCalendarAdvance(Calendar,X1258,W1259,"f",FALSE)</f>
        <v>47750</v>
      </c>
      <c r="Y1259" s="281">
        <f>_xll.qlCalendarAdvance(Calendar,X1259,NDays&amp;"D")</f>
        <v>47752</v>
      </c>
      <c r="Z1259" s="282">
        <v>2.4169523375342554E-2</v>
      </c>
      <c r="AA1259" s="284">
        <v>2.4043538936133757E-2</v>
      </c>
    </row>
    <row r="1260" spans="23:27" x14ac:dyDescent="0.2">
      <c r="W1260" s="203" t="str">
        <f t="shared" si="29"/>
        <v>1w</v>
      </c>
      <c r="X1260" s="287">
        <f>_xll.qlCalendarAdvance(Calendar,X1259,W1260,"f",FALSE)</f>
        <v>47757</v>
      </c>
      <c r="Y1260" s="281">
        <f>_xll.qlCalendarAdvance(Calendar,X1260,NDays&amp;"D")</f>
        <v>47759</v>
      </c>
      <c r="Z1260" s="282">
        <v>2.4181447681615644E-2</v>
      </c>
      <c r="AA1260" s="284">
        <v>2.4051975993906183E-2</v>
      </c>
    </row>
    <row r="1261" spans="23:27" x14ac:dyDescent="0.2">
      <c r="W1261" s="203" t="str">
        <f t="shared" si="29"/>
        <v>1w</v>
      </c>
      <c r="X1261" s="287">
        <f>_xll.qlCalendarAdvance(Calendar,X1260,W1261,"f",FALSE)</f>
        <v>47764</v>
      </c>
      <c r="Y1261" s="281">
        <f>_xll.qlCalendarAdvance(Calendar,X1261,NDays&amp;"D")</f>
        <v>47766</v>
      </c>
      <c r="Z1261" s="282">
        <v>2.4185159260210285E-2</v>
      </c>
      <c r="AA1261" s="284">
        <v>2.4060317822574007E-2</v>
      </c>
    </row>
    <row r="1262" spans="23:27" x14ac:dyDescent="0.2">
      <c r="W1262" s="203" t="str">
        <f t="shared" si="29"/>
        <v>1w</v>
      </c>
      <c r="X1262" s="287">
        <f>_xll.qlCalendarAdvance(Calendar,X1261,W1262,"f",FALSE)</f>
        <v>47771</v>
      </c>
      <c r="Y1262" s="281">
        <f>_xll.qlCalendarAdvance(Calendar,X1262,NDays&amp;"D")</f>
        <v>47773</v>
      </c>
      <c r="Z1262" s="282">
        <v>2.4192833508676556E-2</v>
      </c>
      <c r="AA1262" s="284">
        <v>2.4068564422377037E-2</v>
      </c>
    </row>
    <row r="1263" spans="23:27" x14ac:dyDescent="0.2">
      <c r="W1263" s="203" t="str">
        <f t="shared" si="29"/>
        <v>1w</v>
      </c>
      <c r="X1263" s="287">
        <f>_xll.qlCalendarAdvance(Calendar,X1262,W1263,"f",FALSE)</f>
        <v>47778</v>
      </c>
      <c r="Y1263" s="281">
        <f>_xll.qlCalendarAdvance(Calendar,X1263,NDays&amp;"D")</f>
        <v>47780</v>
      </c>
      <c r="Z1263" s="282">
        <v>2.4200411960415752E-2</v>
      </c>
      <c r="AA1263" s="284">
        <v>2.4076715793235337E-2</v>
      </c>
    </row>
    <row r="1264" spans="23:27" x14ac:dyDescent="0.2">
      <c r="W1264" s="203" t="str">
        <f t="shared" si="29"/>
        <v>1w</v>
      </c>
      <c r="X1264" s="287">
        <f>_xll.qlCalendarAdvance(Calendar,X1263,W1264,"f",FALSE)</f>
        <v>47785</v>
      </c>
      <c r="Y1264" s="281">
        <f>_xll.qlCalendarAdvance(Calendar,X1264,NDays&amp;"D")</f>
        <v>47787</v>
      </c>
      <c r="Z1264" s="282">
        <v>2.4207894614872671E-2</v>
      </c>
      <c r="AA1264" s="284">
        <v>2.4084771935068972E-2</v>
      </c>
    </row>
    <row r="1265" spans="23:27" x14ac:dyDescent="0.2">
      <c r="W1265" s="203" t="str">
        <f t="shared" si="29"/>
        <v>1w</v>
      </c>
      <c r="X1265" s="287">
        <f>_xll.qlCalendarAdvance(Calendar,X1264,W1265,"f",FALSE)</f>
        <v>47792</v>
      </c>
      <c r="Y1265" s="281">
        <f>_xll.qlCalendarAdvance(Calendar,X1265,NDays&amp;"D")</f>
        <v>47794</v>
      </c>
      <c r="Z1265" s="282">
        <v>2.4215281471503394E-2</v>
      </c>
      <c r="AA1265" s="284">
        <v>2.4092732847957876E-2</v>
      </c>
    </row>
    <row r="1266" spans="23:27" x14ac:dyDescent="0.2">
      <c r="W1266" s="203" t="str">
        <f t="shared" si="29"/>
        <v>1w</v>
      </c>
      <c r="X1266" s="287">
        <f>_xll.qlCalendarAdvance(Calendar,X1265,W1266,"f",FALSE)</f>
        <v>47799</v>
      </c>
      <c r="Y1266" s="281">
        <f>_xll.qlCalendarAdvance(Calendar,X1266,NDays&amp;"D")</f>
        <v>47801</v>
      </c>
      <c r="Z1266" s="282">
        <v>2.4222572529767485E-2</v>
      </c>
      <c r="AA1266" s="284">
        <v>2.4100598531902051E-2</v>
      </c>
    </row>
    <row r="1267" spans="23:27" x14ac:dyDescent="0.2">
      <c r="W1267" s="203" t="str">
        <f t="shared" si="29"/>
        <v>1w</v>
      </c>
      <c r="X1267" s="287">
        <f>_xll.qlCalendarAdvance(Calendar,X1266,W1267,"f",FALSE)</f>
        <v>47806</v>
      </c>
      <c r="Y1267" s="281">
        <f>_xll.qlCalendarAdvance(Calendar,X1267,NDays&amp;"D")</f>
        <v>47808</v>
      </c>
      <c r="Z1267" s="282">
        <v>2.4229767789133199E-2</v>
      </c>
      <c r="AA1267" s="284">
        <v>2.4108368986901496E-2</v>
      </c>
    </row>
    <row r="1268" spans="23:27" x14ac:dyDescent="0.2">
      <c r="W1268" s="203" t="str">
        <f t="shared" si="29"/>
        <v>1w</v>
      </c>
      <c r="X1268" s="287">
        <f>_xll.qlCalendarAdvance(Calendar,X1267,W1268,"f",FALSE)</f>
        <v>47813</v>
      </c>
      <c r="Y1268" s="281">
        <f>_xll.qlCalendarAdvance(Calendar,X1268,NDays&amp;"D")</f>
        <v>47815</v>
      </c>
      <c r="Z1268" s="282">
        <v>2.4236867249073996E-2</v>
      </c>
      <c r="AA1268" s="284">
        <v>2.4116044212796339E-2</v>
      </c>
    </row>
    <row r="1269" spans="23:27" x14ac:dyDescent="0.2">
      <c r="W1269" s="203" t="str">
        <f t="shared" si="29"/>
        <v>1w</v>
      </c>
      <c r="X1269" s="287">
        <f>_xll.qlCalendarAdvance(Calendar,X1268,W1269,"f",FALSE)</f>
        <v>47820</v>
      </c>
      <c r="Y1269" s="281">
        <f>_xll.qlCalendarAdvance(Calendar,X1269,NDays&amp;"D")</f>
        <v>47822</v>
      </c>
      <c r="Z1269" s="282">
        <v>2.4241276790490041E-2</v>
      </c>
      <c r="AA1269" s="284">
        <v>2.4123624209746453E-2</v>
      </c>
    </row>
    <row r="1270" spans="23:27" x14ac:dyDescent="0.2">
      <c r="W1270" s="203" t="str">
        <f t="shared" si="29"/>
        <v>1w</v>
      </c>
      <c r="X1270" s="287">
        <f>_xll.qlCalendarAdvance(Calendar,X1269,W1270,"f",FALSE)</f>
        <v>47827</v>
      </c>
      <c r="Y1270" s="281">
        <f>_xll.qlCalendarAdvance(Calendar,X1270,NDays&amp;"D")</f>
        <v>47829</v>
      </c>
      <c r="Z1270" s="282">
        <v>2.4248197406490313E-2</v>
      </c>
      <c r="AA1270" s="284">
        <v>2.41311089776719E-2</v>
      </c>
    </row>
    <row r="1271" spans="23:27" x14ac:dyDescent="0.2">
      <c r="W1271" s="203" t="str">
        <f t="shared" si="29"/>
        <v>1w</v>
      </c>
      <c r="X1271" s="287">
        <f>_xll.qlCalendarAdvance(Calendar,X1270,W1271,"f",FALSE)</f>
        <v>47834</v>
      </c>
      <c r="Y1271" s="281">
        <f>_xll.qlCalendarAdvance(Calendar,X1271,NDays&amp;"D")</f>
        <v>47836</v>
      </c>
      <c r="Z1271" s="282">
        <v>2.4255022234209278E-2</v>
      </c>
      <c r="AA1271" s="284">
        <v>2.4138498516732554E-2</v>
      </c>
    </row>
    <row r="1272" spans="23:27" x14ac:dyDescent="0.2">
      <c r="W1272" s="203" t="str">
        <f t="shared" si="29"/>
        <v>1w</v>
      </c>
      <c r="X1272" s="287">
        <f>_xll.qlCalendarAdvance(Calendar,X1271,W1272,"f",FALSE)</f>
        <v>47841</v>
      </c>
      <c r="Y1272" s="281">
        <f>_xll.qlCalendarAdvance(Calendar,X1272,NDays&amp;"D")</f>
        <v>47847</v>
      </c>
      <c r="Z1272" s="282">
        <v>2.4266827958450973E-2</v>
      </c>
      <c r="AA1272" s="284">
        <v>2.4157849954578987E-2</v>
      </c>
    </row>
    <row r="1273" spans="23:27" x14ac:dyDescent="0.2">
      <c r="W1273" s="203" t="str">
        <f t="shared" si="29"/>
        <v>1w</v>
      </c>
      <c r="X1273" s="287">
        <f>_xll.qlCalendarAdvance(Calendar,X1272,W1273,"f",FALSE)</f>
        <v>47854</v>
      </c>
      <c r="Y1273" s="281">
        <f>_xll.qlCalendarAdvance(Calendar,X1273,NDays&amp;"D")</f>
        <v>47856</v>
      </c>
      <c r="Z1273" s="282">
        <v>2.4273993924674109E-2</v>
      </c>
      <c r="AA1273" s="284">
        <v>2.4159086753847703E-2</v>
      </c>
    </row>
    <row r="1274" spans="23:27" x14ac:dyDescent="0.2">
      <c r="W1274" s="203" t="str">
        <f t="shared" si="29"/>
        <v>1w</v>
      </c>
      <c r="X1274" s="287">
        <f>_xll.qlCalendarAdvance(Calendar,X1273,W1274,"f",FALSE)</f>
        <v>47862</v>
      </c>
      <c r="Y1274" s="281">
        <f>_xll.qlCalendarAdvance(Calendar,X1274,NDays&amp;"D")</f>
        <v>47864</v>
      </c>
      <c r="Z1274" s="282">
        <v>2.4281363652617571E-2</v>
      </c>
      <c r="AA1274" s="284">
        <v>2.4167104382408766E-2</v>
      </c>
    </row>
    <row r="1275" spans="23:27" x14ac:dyDescent="0.2">
      <c r="W1275" s="203" t="str">
        <f t="shared" si="29"/>
        <v>1w</v>
      </c>
      <c r="X1275" s="287">
        <f>_xll.qlCalendarAdvance(Calendar,X1274,W1275,"f",FALSE)</f>
        <v>47869</v>
      </c>
      <c r="Y1275" s="281">
        <f>_xll.qlCalendarAdvance(Calendar,X1275,NDays&amp;"D")</f>
        <v>47871</v>
      </c>
      <c r="Z1275" s="282">
        <v>2.4287709531752633E-2</v>
      </c>
      <c r="AA1275" s="284">
        <v>2.4174017776266155E-2</v>
      </c>
    </row>
    <row r="1276" spans="23:27" x14ac:dyDescent="0.2">
      <c r="W1276" s="203" t="str">
        <f t="shared" si="29"/>
        <v>1w</v>
      </c>
      <c r="X1276" s="287">
        <f>_xll.qlCalendarAdvance(Calendar,X1275,W1276,"f",FALSE)</f>
        <v>47876</v>
      </c>
      <c r="Y1276" s="281">
        <f>_xll.qlCalendarAdvance(Calendar,X1276,NDays&amp;"D")</f>
        <v>47878</v>
      </c>
      <c r="Z1276" s="282">
        <v>2.4293959619782868E-2</v>
      </c>
      <c r="AA1276" s="284">
        <v>2.4180835941098877E-2</v>
      </c>
    </row>
    <row r="1277" spans="23:27" x14ac:dyDescent="0.2">
      <c r="W1277" s="203" t="str">
        <f t="shared" si="29"/>
        <v>1w</v>
      </c>
      <c r="X1277" s="287">
        <f>_xll.qlCalendarAdvance(Calendar,X1276,W1277,"f",FALSE)</f>
        <v>47883</v>
      </c>
      <c r="Y1277" s="281">
        <f>_xll.qlCalendarAdvance(Calendar,X1277,NDays&amp;"D")</f>
        <v>47885</v>
      </c>
      <c r="Z1277" s="282">
        <v>2.4300113916264188E-2</v>
      </c>
      <c r="AA1277" s="284">
        <v>2.4187558876906934E-2</v>
      </c>
    </row>
    <row r="1278" spans="23:27" x14ac:dyDescent="0.2">
      <c r="W1278" s="203" t="str">
        <f t="shared" si="29"/>
        <v>1w</v>
      </c>
      <c r="X1278" s="287">
        <f>_xll.qlCalendarAdvance(Calendar,X1277,W1278,"f",FALSE)</f>
        <v>47891</v>
      </c>
      <c r="Y1278" s="281">
        <f>_xll.qlCalendarAdvance(Calendar,X1278,NDays&amp;"D")</f>
        <v>47893</v>
      </c>
      <c r="Z1278" s="282">
        <v>2.430579719138648E-2</v>
      </c>
      <c r="AA1278" s="284">
        <v>2.4197688360052538E-2</v>
      </c>
    </row>
    <row r="1279" spans="23:27" x14ac:dyDescent="0.2">
      <c r="W1279" s="203" t="str">
        <f t="shared" si="29"/>
        <v>1w</v>
      </c>
      <c r="X1279" s="287">
        <f>_xll.qlCalendarAdvance(Calendar,X1278,W1279,"f",FALSE)</f>
        <v>47898</v>
      </c>
      <c r="Y1279" s="281">
        <f>_xll.qlCalendarAdvance(Calendar,X1279,NDays&amp;"D")</f>
        <v>47900</v>
      </c>
      <c r="Z1279" s="282">
        <v>2.4311752660195821E-2</v>
      </c>
      <c r="AA1279" s="284">
        <v>2.420419450402278E-2</v>
      </c>
    </row>
    <row r="1280" spans="23:27" x14ac:dyDescent="0.2">
      <c r="W1280" s="203" t="str">
        <f t="shared" si="29"/>
        <v>1w</v>
      </c>
      <c r="X1280" s="287">
        <f>_xll.qlCalendarAdvance(Calendar,X1279,W1280,"f",FALSE)</f>
        <v>47905</v>
      </c>
      <c r="Y1280" s="281">
        <f>_xll.qlCalendarAdvance(Calendar,X1280,NDays&amp;"D")</f>
        <v>47907</v>
      </c>
      <c r="Z1280" s="282">
        <v>2.4320051823575391E-2</v>
      </c>
      <c r="AA1280" s="284">
        <v>2.4210605406365104E-2</v>
      </c>
    </row>
    <row r="1281" spans="23:27" x14ac:dyDescent="0.2">
      <c r="W1281" s="203" t="str">
        <f t="shared" si="29"/>
        <v>1w</v>
      </c>
      <c r="X1281" s="287">
        <f>_xll.qlCalendarAdvance(Calendar,X1280,W1281,"f",FALSE)</f>
        <v>47912</v>
      </c>
      <c r="Y1281" s="281">
        <f>_xll.qlCalendarAdvance(Calendar,X1281,NDays&amp;"D")</f>
        <v>47914</v>
      </c>
      <c r="Z1281" s="282">
        <v>2.4329438452316016E-2</v>
      </c>
      <c r="AA1281" s="284">
        <v>2.4216921067052866E-2</v>
      </c>
    </row>
    <row r="1282" spans="23:27" x14ac:dyDescent="0.2">
      <c r="W1282" s="203" t="str">
        <f t="shared" si="29"/>
        <v>1w</v>
      </c>
      <c r="X1282" s="287">
        <f>_xll.qlCalendarAdvance(Calendar,X1281,W1282,"f",FALSE)</f>
        <v>47919</v>
      </c>
      <c r="Y1282" s="281">
        <f>_xll.qlCalendarAdvance(Calendar,X1282,NDays&amp;"D")</f>
        <v>47921</v>
      </c>
      <c r="Z1282" s="282">
        <v>2.4335074248608642E-2</v>
      </c>
      <c r="AA1282" s="284">
        <v>2.4223141486086064E-2</v>
      </c>
    </row>
    <row r="1283" spans="23:27" x14ac:dyDescent="0.2">
      <c r="W1283" s="203" t="str">
        <f t="shared" si="29"/>
        <v>1w</v>
      </c>
      <c r="X1283" s="287">
        <f>_xll.qlCalendarAdvance(Calendar,X1282,W1283,"f",FALSE)</f>
        <v>47926</v>
      </c>
      <c r="Y1283" s="281">
        <f>_xll.qlCalendarAdvance(Calendar,X1283,NDays&amp;"D")</f>
        <v>47931</v>
      </c>
      <c r="Z1283" s="282">
        <v>2.4340567385723901E-2</v>
      </c>
      <c r="AA1283" s="284">
        <v>2.422936910338791E-2</v>
      </c>
    </row>
    <row r="1284" spans="23:27" x14ac:dyDescent="0.2">
      <c r="W1284" s="203" t="str">
        <f t="shared" si="29"/>
        <v>1w</v>
      </c>
      <c r="X1284" s="287">
        <f>_xll.qlCalendarAdvance(Calendar,X1283,W1284,"f",FALSE)</f>
        <v>47933</v>
      </c>
      <c r="Y1284" s="281">
        <f>_xll.qlCalendarAdvance(Calendar,X1284,NDays&amp;"D")</f>
        <v>47935</v>
      </c>
      <c r="Z1284" s="282">
        <v>2.4346058381580334E-2</v>
      </c>
      <c r="AA1284" s="284">
        <v>2.4235296599108835E-2</v>
      </c>
    </row>
    <row r="1285" spans="23:27" x14ac:dyDescent="0.2">
      <c r="W1285" s="203" t="str">
        <f t="shared" si="29"/>
        <v>1w</v>
      </c>
      <c r="X1285" s="287">
        <f>_xll.qlCalendarAdvance(Calendar,X1284,W1285,"f",FALSE)</f>
        <v>47940</v>
      </c>
      <c r="Y1285" s="281">
        <f>_xll.qlCalendarAdvance(Calendar,X1285,NDays&amp;"D")</f>
        <v>47942</v>
      </c>
      <c r="Z1285" s="282">
        <v>2.4347848748753717E-2</v>
      </c>
      <c r="AA1285" s="284">
        <v>2.4241231293045118E-2</v>
      </c>
    </row>
    <row r="1286" spans="23:27" x14ac:dyDescent="0.2">
      <c r="W1286" s="203" t="str">
        <f t="shared" si="29"/>
        <v>1w</v>
      </c>
      <c r="X1286" s="287">
        <f>_xll.qlCalendarAdvance(Calendar,X1285,W1286,"f",FALSE)</f>
        <v>47947</v>
      </c>
      <c r="Y1286" s="281">
        <f>_xll.qlCalendarAdvance(Calendar,X1286,NDays&amp;"D")</f>
        <v>47953</v>
      </c>
      <c r="Z1286" s="282">
        <v>2.4356090277855087E-2</v>
      </c>
      <c r="AA1286" s="284">
        <v>2.4247911597647942E-2</v>
      </c>
    </row>
    <row r="1287" spans="23:27" x14ac:dyDescent="0.2">
      <c r="W1287" s="203" t="str">
        <f t="shared" si="29"/>
        <v>1w</v>
      </c>
      <c r="X1287" s="287">
        <f>_xll.qlCalendarAdvance(Calendar,X1286,W1287,"f",FALSE)</f>
        <v>47954</v>
      </c>
      <c r="Y1287" s="281">
        <f>_xll.qlCalendarAdvance(Calendar,X1287,NDays&amp;"D")</f>
        <v>47956</v>
      </c>
      <c r="Z1287" s="282">
        <v>2.4358296909534227E-2</v>
      </c>
      <c r="AA1287" s="284">
        <v>2.4252814955767477E-2</v>
      </c>
    </row>
    <row r="1288" spans="23:27" x14ac:dyDescent="0.2">
      <c r="W1288" s="203" t="str">
        <f t="shared" si="29"/>
        <v>1w</v>
      </c>
      <c r="X1288" s="287">
        <f>_xll.qlCalendarAdvance(Calendar,X1287,W1288,"f",FALSE)</f>
        <v>47961</v>
      </c>
      <c r="Y1288" s="281">
        <f>_xll.qlCalendarAdvance(Calendar,X1288,NDays&amp;"D")</f>
        <v>47963</v>
      </c>
      <c r="Z1288" s="282">
        <v>2.4363377286397161E-2</v>
      </c>
      <c r="AA1288" s="284">
        <v>2.4258463924473617E-2</v>
      </c>
    </row>
    <row r="1289" spans="23:27" x14ac:dyDescent="0.2">
      <c r="W1289" s="203" t="str">
        <f t="shared" si="29"/>
        <v>1w</v>
      </c>
      <c r="X1289" s="287">
        <f>_xll.qlCalendarAdvance(Calendar,X1288,W1289,"f",FALSE)</f>
        <v>47968</v>
      </c>
      <c r="Y1289" s="281">
        <f>_xll.qlCalendarAdvance(Calendar,X1289,NDays&amp;"D")</f>
        <v>47970</v>
      </c>
      <c r="Z1289" s="282">
        <v>2.4371841847483075E-2</v>
      </c>
      <c r="AA1289" s="284">
        <v>2.4266437435359833E-2</v>
      </c>
    </row>
    <row r="1290" spans="23:27" x14ac:dyDescent="0.2">
      <c r="W1290" s="203" t="str">
        <f t="shared" si="29"/>
        <v>1w</v>
      </c>
      <c r="X1290" s="287">
        <f>_xll.qlCalendarAdvance(Calendar,X1289,W1290,"f",FALSE)</f>
        <v>47975</v>
      </c>
      <c r="Y1290" s="281">
        <f>_xll.qlCalendarAdvance(Calendar,X1290,NDays&amp;"D")</f>
        <v>47977</v>
      </c>
      <c r="Z1290" s="282">
        <v>2.437671107473937E-2</v>
      </c>
      <c r="AA1290" s="284">
        <v>2.4269476136655754E-2</v>
      </c>
    </row>
    <row r="1291" spans="23:27" x14ac:dyDescent="0.2">
      <c r="W1291" s="203" t="str">
        <f t="shared" si="29"/>
        <v>1w</v>
      </c>
      <c r="X1291" s="287">
        <f>_xll.qlCalendarAdvance(Calendar,X1290,W1291,"f",FALSE)</f>
        <v>47982</v>
      </c>
      <c r="Y1291" s="281">
        <f>_xll.qlCalendarAdvance(Calendar,X1291,NDays&amp;"D")</f>
        <v>47984</v>
      </c>
      <c r="Z1291" s="282">
        <v>2.4381484479156636E-2</v>
      </c>
      <c r="AA1291" s="284">
        <v>2.4274839380078461E-2</v>
      </c>
    </row>
    <row r="1292" spans="23:27" x14ac:dyDescent="0.2">
      <c r="W1292" s="203" t="str">
        <f t="shared" si="29"/>
        <v>1w</v>
      </c>
      <c r="X1292" s="287">
        <f>_xll.qlCalendarAdvance(Calendar,X1291,W1292,"f",FALSE)</f>
        <v>47989</v>
      </c>
      <c r="Y1292" s="281">
        <f>_xll.qlCalendarAdvance(Calendar,X1292,NDays&amp;"D")</f>
        <v>47991</v>
      </c>
      <c r="Z1292" s="282">
        <v>2.4387301349067508E-2</v>
      </c>
      <c r="AA1292" s="284">
        <v>2.4281298227228909E-2</v>
      </c>
    </row>
    <row r="1293" spans="23:27" x14ac:dyDescent="0.2">
      <c r="W1293" s="203" t="str">
        <f t="shared" si="29"/>
        <v>1w</v>
      </c>
      <c r="X1293" s="287">
        <f>_xll.qlCalendarAdvance(Calendar,X1292,W1293,"f",FALSE)</f>
        <v>47996</v>
      </c>
      <c r="Y1293" s="281">
        <f>_xll.qlCalendarAdvance(Calendar,X1293,NDays&amp;"D")</f>
        <v>47998</v>
      </c>
      <c r="Z1293" s="282">
        <v>2.4387342120971968E-2</v>
      </c>
      <c r="AA1293" s="284">
        <v>2.4285280141507215E-2</v>
      </c>
    </row>
    <row r="1294" spans="23:27" x14ac:dyDescent="0.2">
      <c r="W1294" s="203" t="str">
        <f t="shared" si="29"/>
        <v>1w</v>
      </c>
      <c r="X1294" s="287">
        <f>_xll.qlCalendarAdvance(Calendar,X1293,W1294,"f",FALSE)</f>
        <v>48003</v>
      </c>
      <c r="Y1294" s="281">
        <f>_xll.qlCalendarAdvance(Calendar,X1294,NDays&amp;"D")</f>
        <v>48005</v>
      </c>
      <c r="Z1294" s="282">
        <v>2.4395229751850295E-2</v>
      </c>
      <c r="AA1294" s="284">
        <v>2.4290357659459971E-2</v>
      </c>
    </row>
    <row r="1295" spans="23:27" x14ac:dyDescent="0.2">
      <c r="W1295" s="203" t="str">
        <f t="shared" si="29"/>
        <v>1w</v>
      </c>
      <c r="X1295" s="287">
        <f>_xll.qlCalendarAdvance(Calendar,X1294,W1295,"f",FALSE)</f>
        <v>48010</v>
      </c>
      <c r="Y1295" s="281">
        <f>_xll.qlCalendarAdvance(Calendar,X1295,NDays&amp;"D")</f>
        <v>48012</v>
      </c>
      <c r="Z1295" s="282">
        <v>2.4400739523967936E-2</v>
      </c>
      <c r="AA1295" s="284">
        <v>2.4295339935571647E-2</v>
      </c>
    </row>
    <row r="1296" spans="23:27" x14ac:dyDescent="0.2">
      <c r="W1296" s="203" t="str">
        <f t="shared" si="29"/>
        <v>1w</v>
      </c>
      <c r="X1296" s="287">
        <f>_xll.qlCalendarAdvance(Calendar,X1295,W1296,"f",FALSE)</f>
        <v>48017</v>
      </c>
      <c r="Y1296" s="281">
        <f>_xll.qlCalendarAdvance(Calendar,X1296,NDays&amp;"D")</f>
        <v>48019</v>
      </c>
      <c r="Z1296" s="282">
        <v>2.4403914146448637E-2</v>
      </c>
      <c r="AA1296" s="284">
        <v>2.4300226969868888E-2</v>
      </c>
    </row>
    <row r="1297" spans="23:27" x14ac:dyDescent="0.2">
      <c r="W1297" s="203" t="str">
        <f t="shared" si="29"/>
        <v>1w</v>
      </c>
      <c r="X1297" s="287">
        <f>_xll.qlCalendarAdvance(Calendar,X1296,W1297,"f",FALSE)</f>
        <v>48024</v>
      </c>
      <c r="Y1297" s="281">
        <f>_xll.qlCalendarAdvance(Calendar,X1297,NDays&amp;"D")</f>
        <v>48026</v>
      </c>
      <c r="Z1297" s="282">
        <v>2.4408112606605192E-2</v>
      </c>
      <c r="AA1297" s="284">
        <v>2.4305018762271757E-2</v>
      </c>
    </row>
    <row r="1298" spans="23:27" x14ac:dyDescent="0.2">
      <c r="W1298" s="203" t="str">
        <f t="shared" si="29"/>
        <v>1w</v>
      </c>
      <c r="X1298" s="287">
        <f>_xll.qlCalendarAdvance(Calendar,X1297,W1298,"f",FALSE)</f>
        <v>48031</v>
      </c>
      <c r="Y1298" s="281">
        <f>_xll.qlCalendarAdvance(Calendar,X1298,NDays&amp;"D")</f>
        <v>48033</v>
      </c>
      <c r="Z1298" s="282">
        <v>2.4412215241580767E-2</v>
      </c>
      <c r="AA1298" s="284">
        <v>2.4309715312833546E-2</v>
      </c>
    </row>
    <row r="1299" spans="23:27" x14ac:dyDescent="0.2">
      <c r="W1299" s="203" t="str">
        <f t="shared" si="29"/>
        <v>1w</v>
      </c>
      <c r="X1299" s="287">
        <f>_xll.qlCalendarAdvance(Calendar,X1298,W1299,"f",FALSE)</f>
        <v>48038</v>
      </c>
      <c r="Y1299" s="281">
        <f>_xll.qlCalendarAdvance(Calendar,X1299,NDays&amp;"D")</f>
        <v>48040</v>
      </c>
      <c r="Z1299" s="282">
        <v>2.4417315455176617E-2</v>
      </c>
      <c r="AA1299" s="284">
        <v>2.4314316621474319E-2</v>
      </c>
    </row>
    <row r="1300" spans="23:27" x14ac:dyDescent="0.2">
      <c r="W1300" s="203" t="str">
        <f t="shared" si="29"/>
        <v>1w</v>
      </c>
      <c r="X1300" s="287">
        <f>_xll.qlCalendarAdvance(Calendar,X1299,W1300,"f",FALSE)</f>
        <v>48045</v>
      </c>
      <c r="Y1300" s="281">
        <f>_xll.qlCalendarAdvance(Calendar,X1300,NDays&amp;"D")</f>
        <v>48047</v>
      </c>
      <c r="Z1300" s="282">
        <v>2.4420133034772921E-2</v>
      </c>
      <c r="AA1300" s="284">
        <v>2.4319961719276861E-2</v>
      </c>
    </row>
    <row r="1301" spans="23:27" x14ac:dyDescent="0.2">
      <c r="W1301" s="203" t="str">
        <f t="shared" ref="W1301:W1364" si="30">W1300</f>
        <v>1w</v>
      </c>
      <c r="X1301" s="287">
        <f>_xll.qlCalendarAdvance(Calendar,X1300,W1301,"f",FALSE)</f>
        <v>48052</v>
      </c>
      <c r="Y1301" s="281">
        <f>_xll.qlCalendarAdvance(Calendar,X1301,NDays&amp;"D")</f>
        <v>48054</v>
      </c>
      <c r="Z1301" s="282">
        <v>2.4423948192397637E-2</v>
      </c>
      <c r="AA1301" s="284">
        <v>2.4323233513072751E-2</v>
      </c>
    </row>
    <row r="1302" spans="23:27" x14ac:dyDescent="0.2">
      <c r="W1302" s="203" t="str">
        <f t="shared" si="30"/>
        <v>1w</v>
      </c>
      <c r="X1302" s="287">
        <f>_xll.qlCalendarAdvance(Calendar,X1301,W1302,"f",FALSE)</f>
        <v>48059</v>
      </c>
      <c r="Y1302" s="281">
        <f>_xll.qlCalendarAdvance(Calendar,X1302,NDays&amp;"D")</f>
        <v>48061</v>
      </c>
      <c r="Z1302" s="282">
        <v>2.4428741166156061E-2</v>
      </c>
      <c r="AA1302" s="284">
        <v>2.432754909603041E-2</v>
      </c>
    </row>
    <row r="1303" spans="23:27" x14ac:dyDescent="0.2">
      <c r="W1303" s="203" t="str">
        <f t="shared" si="30"/>
        <v>1w</v>
      </c>
      <c r="X1303" s="287">
        <f>_xll.qlCalendarAdvance(Calendar,X1302,W1303,"f",FALSE)</f>
        <v>48066</v>
      </c>
      <c r="Y1303" s="281">
        <f>_xll.qlCalendarAdvance(Calendar,X1303,NDays&amp;"D")</f>
        <v>48068</v>
      </c>
      <c r="Z1303" s="282">
        <v>2.4431291028283345E-2</v>
      </c>
      <c r="AA1303" s="284">
        <v>2.4331769437067052E-2</v>
      </c>
    </row>
    <row r="1304" spans="23:27" x14ac:dyDescent="0.2">
      <c r="W1304" s="203" t="str">
        <f t="shared" si="30"/>
        <v>1w</v>
      </c>
      <c r="X1304" s="287">
        <f>_xll.qlCalendarAdvance(Calendar,X1303,W1304,"f",FALSE)</f>
        <v>48073</v>
      </c>
      <c r="Y1304" s="281">
        <f>_xll.qlCalendarAdvance(Calendar,X1304,NDays&amp;"D")</f>
        <v>48075</v>
      </c>
      <c r="Z1304" s="282">
        <v>2.4434818705994992E-2</v>
      </c>
      <c r="AA1304" s="284">
        <v>2.4335894536102742E-2</v>
      </c>
    </row>
    <row r="1305" spans="23:27" x14ac:dyDescent="0.2">
      <c r="W1305" s="203" t="str">
        <f t="shared" si="30"/>
        <v>1w</v>
      </c>
      <c r="X1305" s="287">
        <f>_xll.qlCalendarAdvance(Calendar,X1304,W1305,"f",FALSE)</f>
        <v>48080</v>
      </c>
      <c r="Y1305" s="281">
        <f>_xll.qlCalendarAdvance(Calendar,X1305,NDays&amp;"D")</f>
        <v>48082</v>
      </c>
      <c r="Z1305" s="282">
        <v>2.4439304379244294E-2</v>
      </c>
      <c r="AA1305" s="284">
        <v>2.4341030832990551E-2</v>
      </c>
    </row>
    <row r="1306" spans="23:27" x14ac:dyDescent="0.2">
      <c r="W1306" s="203" t="str">
        <f t="shared" si="30"/>
        <v>1w</v>
      </c>
      <c r="X1306" s="287">
        <f>_xll.qlCalendarAdvance(Calendar,X1305,W1306,"f",FALSE)</f>
        <v>48087</v>
      </c>
      <c r="Y1306" s="281">
        <f>_xll.qlCalendarAdvance(Calendar,X1306,NDays&amp;"D")</f>
        <v>48089</v>
      </c>
      <c r="Z1306" s="282">
        <v>2.4438441461808902E-2</v>
      </c>
      <c r="AA1306" s="284">
        <v>2.4343859008411073E-2</v>
      </c>
    </row>
    <row r="1307" spans="23:27" x14ac:dyDescent="0.2">
      <c r="W1307" s="203" t="str">
        <f t="shared" si="30"/>
        <v>1w</v>
      </c>
      <c r="X1307" s="287">
        <f>_xll.qlCalendarAdvance(Calendar,X1306,W1307,"f",FALSE)</f>
        <v>48094</v>
      </c>
      <c r="Y1307" s="281">
        <f>_xll.qlCalendarAdvance(Calendar,X1307,NDays&amp;"D")</f>
        <v>48096</v>
      </c>
      <c r="Z1307" s="282">
        <v>2.4441701529808194E-2</v>
      </c>
      <c r="AA1307" s="284">
        <v>2.4347698381603777E-2</v>
      </c>
    </row>
    <row r="1308" spans="23:27" x14ac:dyDescent="0.2">
      <c r="W1308" s="203" t="str">
        <f t="shared" si="30"/>
        <v>1w</v>
      </c>
      <c r="X1308" s="287">
        <f>_xll.qlCalendarAdvance(Calendar,X1307,W1308,"f",FALSE)</f>
        <v>48101</v>
      </c>
      <c r="Y1308" s="281">
        <f>_xll.qlCalendarAdvance(Calendar,X1308,NDays&amp;"D")</f>
        <v>48103</v>
      </c>
      <c r="Z1308" s="282">
        <v>2.4444865789309645E-2</v>
      </c>
      <c r="AA1308" s="284">
        <v>2.4352529321112204E-2</v>
      </c>
    </row>
    <row r="1309" spans="23:27" x14ac:dyDescent="0.2">
      <c r="W1309" s="203" t="str">
        <f t="shared" si="30"/>
        <v>1w</v>
      </c>
      <c r="X1309" s="287">
        <f>_xll.qlCalendarAdvance(Calendar,X1308,W1309,"f",FALSE)</f>
        <v>48108</v>
      </c>
      <c r="Y1309" s="281">
        <f>_xll.qlCalendarAdvance(Calendar,X1309,NDays&amp;"D")</f>
        <v>48110</v>
      </c>
      <c r="Z1309" s="282">
        <v>2.4447934240083114E-2</v>
      </c>
      <c r="AA1309" s="284">
        <v>2.4355091402066265E-2</v>
      </c>
    </row>
    <row r="1310" spans="23:27" x14ac:dyDescent="0.2">
      <c r="W1310" s="203" t="str">
        <f t="shared" si="30"/>
        <v>1w</v>
      </c>
      <c r="X1310" s="287">
        <f>_xll.qlCalendarAdvance(Calendar,X1309,W1310,"f",FALSE)</f>
        <v>48115</v>
      </c>
      <c r="Y1310" s="281">
        <f>_xll.qlCalendarAdvance(Calendar,X1310,NDays&amp;"D")</f>
        <v>48117</v>
      </c>
      <c r="Z1310" s="282">
        <v>2.4453972392926817E-2</v>
      </c>
      <c r="AA1310" s="284">
        <v>2.4358645049336047E-2</v>
      </c>
    </row>
    <row r="1311" spans="23:27" x14ac:dyDescent="0.2">
      <c r="W1311" s="203" t="str">
        <f t="shared" si="30"/>
        <v>1w</v>
      </c>
      <c r="X1311" s="287">
        <f>_xll.qlCalendarAdvance(Calendar,X1310,W1311,"f",FALSE)</f>
        <v>48122</v>
      </c>
      <c r="Y1311" s="281">
        <f>_xll.qlCalendarAdvance(Calendar,X1311,NDays&amp;"D")</f>
        <v>48124</v>
      </c>
      <c r="Z1311" s="282">
        <v>2.4456829275301743E-2</v>
      </c>
      <c r="AA1311" s="284">
        <v>2.4362103454551587E-2</v>
      </c>
    </row>
    <row r="1312" spans="23:27" x14ac:dyDescent="0.2">
      <c r="W1312" s="203" t="str">
        <f t="shared" si="30"/>
        <v>1w</v>
      </c>
      <c r="X1312" s="287">
        <f>_xll.qlCalendarAdvance(Calendar,X1311,W1312,"f",FALSE)</f>
        <v>48129</v>
      </c>
      <c r="Y1312" s="281">
        <f>_xll.qlCalendarAdvance(Calendar,X1312,NDays&amp;"D")</f>
        <v>48131</v>
      </c>
      <c r="Z1312" s="282">
        <v>2.4460597678827641E-2</v>
      </c>
      <c r="AA1312" s="284">
        <v>2.4366527161079343E-2</v>
      </c>
    </row>
    <row r="1313" spans="23:27" x14ac:dyDescent="0.2">
      <c r="W1313" s="203" t="str">
        <f t="shared" si="30"/>
        <v>1w</v>
      </c>
      <c r="X1313" s="287">
        <f>_xll.qlCalendarAdvance(Calendar,X1312,W1313,"f",FALSE)</f>
        <v>48136</v>
      </c>
      <c r="Y1313" s="281">
        <f>_xll.qlCalendarAdvance(Calendar,X1313,NDays&amp;"D")</f>
        <v>48138</v>
      </c>
      <c r="Z1313" s="282">
        <v>2.4462255553400935E-2</v>
      </c>
      <c r="AA1313" s="284">
        <v>2.4368734539006454E-2</v>
      </c>
    </row>
    <row r="1314" spans="23:27" x14ac:dyDescent="0.2">
      <c r="W1314" s="203" t="str">
        <f t="shared" si="30"/>
        <v>1w</v>
      </c>
      <c r="X1314" s="287">
        <f>_xll.qlCalendarAdvance(Calendar,X1313,W1314,"f",FALSE)</f>
        <v>48143</v>
      </c>
      <c r="Y1314" s="281">
        <f>_xll.qlCalendarAdvance(Calendar,X1314,NDays&amp;"D")</f>
        <v>48145</v>
      </c>
      <c r="Z1314" s="282">
        <v>2.4464824948720421E-2</v>
      </c>
      <c r="AA1314" s="284">
        <v>2.4371907218219135E-2</v>
      </c>
    </row>
    <row r="1315" spans="23:27" x14ac:dyDescent="0.2">
      <c r="W1315" s="203" t="str">
        <f t="shared" si="30"/>
        <v>1w</v>
      </c>
      <c r="X1315" s="287">
        <f>_xll.qlCalendarAdvance(Calendar,X1314,W1315,"f",FALSE)</f>
        <v>48150</v>
      </c>
      <c r="Y1315" s="281">
        <f>_xll.qlCalendarAdvance(Calendar,X1315,NDays&amp;"D")</f>
        <v>48152</v>
      </c>
      <c r="Z1315" s="282">
        <v>2.4464332949530182E-2</v>
      </c>
      <c r="AA1315" s="284">
        <v>2.4376025432568671E-2</v>
      </c>
    </row>
    <row r="1316" spans="23:27" x14ac:dyDescent="0.2">
      <c r="W1316" s="203" t="str">
        <f t="shared" si="30"/>
        <v>1w</v>
      </c>
      <c r="X1316" s="287">
        <f>_xll.qlCalendarAdvance(Calendar,X1315,W1316,"f",FALSE)</f>
        <v>48157</v>
      </c>
      <c r="Y1316" s="281">
        <f>_xll.qlCalendarAdvance(Calendar,X1316,NDays&amp;"D")</f>
        <v>48159</v>
      </c>
      <c r="Z1316" s="282">
        <v>2.4469676250941638E-2</v>
      </c>
      <c r="AA1316" s="284">
        <v>2.4377966850481769E-2</v>
      </c>
    </row>
    <row r="1317" spans="23:27" x14ac:dyDescent="0.2">
      <c r="W1317" s="203" t="str">
        <f t="shared" si="30"/>
        <v>1w</v>
      </c>
      <c r="X1317" s="287">
        <f>_xll.qlCalendarAdvance(Calendar,X1316,W1317,"f",FALSE)</f>
        <v>48164</v>
      </c>
      <c r="Y1317" s="281">
        <f>_xll.qlCalendarAdvance(Calendar,X1317,NDays&amp;"D")</f>
        <v>48166</v>
      </c>
      <c r="Z1317" s="282">
        <v>2.447195815748111E-2</v>
      </c>
      <c r="AA1317" s="284">
        <v>2.4380853803558367E-2</v>
      </c>
    </row>
    <row r="1318" spans="23:27" x14ac:dyDescent="0.2">
      <c r="W1318" s="203" t="str">
        <f t="shared" si="30"/>
        <v>1w</v>
      </c>
      <c r="X1318" s="287">
        <f>_xll.qlCalendarAdvance(Calendar,X1317,W1318,"f",FALSE)</f>
        <v>48171</v>
      </c>
      <c r="Y1318" s="281">
        <f>_xll.qlCalendarAdvance(Calendar,X1318,NDays&amp;"D")</f>
        <v>48173</v>
      </c>
      <c r="Z1318" s="282">
        <v>2.4474144234076598E-2</v>
      </c>
      <c r="AA1318" s="284">
        <v>2.4384666467855975E-2</v>
      </c>
    </row>
    <row r="1319" spans="23:27" x14ac:dyDescent="0.2">
      <c r="W1319" s="203" t="str">
        <f t="shared" si="30"/>
        <v>1w</v>
      </c>
      <c r="X1319" s="287">
        <f>_xll.qlCalendarAdvance(Calendar,X1318,W1319,"f",FALSE)</f>
        <v>48178</v>
      </c>
      <c r="Y1319" s="281">
        <f>_xll.qlCalendarAdvance(Calendar,X1319,NDays&amp;"D")</f>
        <v>48180</v>
      </c>
      <c r="Z1319" s="282">
        <v>2.4473349222499732E-2</v>
      </c>
      <c r="AA1319" s="284">
        <v>2.4386341983548832E-2</v>
      </c>
    </row>
    <row r="1320" spans="23:27" x14ac:dyDescent="0.2">
      <c r="W1320" s="203" t="str">
        <f t="shared" si="30"/>
        <v>1w</v>
      </c>
      <c r="X1320" s="287">
        <f>_xll.qlCalendarAdvance(Calendar,X1319,W1320,"f",FALSE)</f>
        <v>48185</v>
      </c>
      <c r="Y1320" s="281">
        <f>_xll.qlCalendarAdvance(Calendar,X1320,NDays&amp;"D")</f>
        <v>48187</v>
      </c>
      <c r="Z1320" s="282">
        <v>2.4475363764171674E-2</v>
      </c>
      <c r="AA1320" s="284">
        <v>2.4388943210409408E-2</v>
      </c>
    </row>
    <row r="1321" spans="23:27" x14ac:dyDescent="0.2">
      <c r="W1321" s="203" t="str">
        <f t="shared" si="30"/>
        <v>1w</v>
      </c>
      <c r="X1321" s="287">
        <f>_xll.qlCalendarAdvance(Calendar,X1320,W1321,"f",FALSE)</f>
        <v>48192</v>
      </c>
      <c r="Y1321" s="281">
        <f>_xll.qlCalendarAdvance(Calendar,X1321,NDays&amp;"D")</f>
        <v>48194</v>
      </c>
      <c r="Z1321" s="282">
        <v>2.4477282494914314E-2</v>
      </c>
      <c r="AA1321" s="284">
        <v>2.4391449195242387E-2</v>
      </c>
    </row>
    <row r="1322" spans="23:27" x14ac:dyDescent="0.2">
      <c r="W1322" s="203" t="str">
        <f t="shared" si="30"/>
        <v>1w</v>
      </c>
      <c r="X1322" s="287">
        <f>_xll.qlCalendarAdvance(Calendar,X1321,W1322,"f",FALSE)</f>
        <v>48199</v>
      </c>
      <c r="Y1322" s="281">
        <f>_xll.qlCalendarAdvance(Calendar,X1322,NDays&amp;"D")</f>
        <v>48201</v>
      </c>
      <c r="Z1322" s="282">
        <v>2.4479105414588864E-2</v>
      </c>
      <c r="AA1322" s="284">
        <v>2.4393859937994478E-2</v>
      </c>
    </row>
    <row r="1323" spans="23:27" x14ac:dyDescent="0.2">
      <c r="W1323" s="203" t="str">
        <f t="shared" si="30"/>
        <v>1w</v>
      </c>
      <c r="X1323" s="287">
        <f>_xll.qlCalendarAdvance(Calendar,X1322,W1323,"f",FALSE)</f>
        <v>48206</v>
      </c>
      <c r="Y1323" s="281">
        <f>_xll.qlCalendarAdvance(Calendar,X1323,NDays&amp;"D")</f>
        <v>48212</v>
      </c>
      <c r="Z1323" s="282">
        <v>2.4482708057859851E-2</v>
      </c>
      <c r="AA1323" s="284">
        <v>2.4400406003564079E-2</v>
      </c>
    </row>
    <row r="1324" spans="23:27" x14ac:dyDescent="0.2">
      <c r="W1324" s="203" t="str">
        <f t="shared" si="30"/>
        <v>1w</v>
      </c>
      <c r="X1324" s="287">
        <f>_xll.qlCalendarAdvance(Calendar,X1323,W1324,"f",FALSE)</f>
        <v>48218</v>
      </c>
      <c r="Y1324" s="281">
        <f>_xll.qlCalendarAdvance(Calendar,X1324,NDays&amp;"D")</f>
        <v>48220</v>
      </c>
      <c r="Z1324" s="282">
        <v>2.4483570372402452E-2</v>
      </c>
      <c r="AA1324" s="284">
        <v>2.4397968762661648E-2</v>
      </c>
    </row>
    <row r="1325" spans="23:27" x14ac:dyDescent="0.2">
      <c r="W1325" s="203" t="str">
        <f t="shared" si="30"/>
        <v>1w</v>
      </c>
      <c r="X1325" s="287">
        <f>_xll.qlCalendarAdvance(Calendar,X1324,W1325,"f",FALSE)</f>
        <v>48226</v>
      </c>
      <c r="Y1325" s="281">
        <f>_xll.qlCalendarAdvance(Calendar,X1325,NDays&amp;"D")</f>
        <v>48228</v>
      </c>
      <c r="Z1325" s="282">
        <v>2.4485239178356533E-2</v>
      </c>
      <c r="AA1325" s="284">
        <v>2.4400327059579396E-2</v>
      </c>
    </row>
    <row r="1326" spans="23:27" x14ac:dyDescent="0.2">
      <c r="W1326" s="203" t="str">
        <f t="shared" si="30"/>
        <v>1w</v>
      </c>
      <c r="X1326" s="287">
        <f>_xll.qlCalendarAdvance(Calendar,X1325,W1326,"f",FALSE)</f>
        <v>48233</v>
      </c>
      <c r="Y1326" s="281">
        <f>_xll.qlCalendarAdvance(Calendar,X1326,NDays&amp;"D")</f>
        <v>48235</v>
      </c>
      <c r="Z1326" s="282">
        <v>2.4486596728239152E-2</v>
      </c>
      <c r="AA1326" s="284">
        <v>2.4402288537839212E-2</v>
      </c>
    </row>
    <row r="1327" spans="23:27" x14ac:dyDescent="0.2">
      <c r="W1327" s="203" t="str">
        <f t="shared" si="30"/>
        <v>1w</v>
      </c>
      <c r="X1327" s="287">
        <f>_xll.qlCalendarAdvance(Calendar,X1326,W1327,"f",FALSE)</f>
        <v>48240</v>
      </c>
      <c r="Y1327" s="281">
        <f>_xll.qlCalendarAdvance(Calendar,X1327,NDays&amp;"D")</f>
        <v>48242</v>
      </c>
      <c r="Z1327" s="282">
        <v>2.4488761179671466E-2</v>
      </c>
      <c r="AA1327" s="284">
        <v>2.4404154786994425E-2</v>
      </c>
    </row>
    <row r="1328" spans="23:27" x14ac:dyDescent="0.2">
      <c r="W1328" s="203" t="str">
        <f t="shared" si="30"/>
        <v>1w</v>
      </c>
      <c r="X1328" s="287">
        <f>_xll.qlCalendarAdvance(Calendar,X1327,W1328,"f",FALSE)</f>
        <v>48247</v>
      </c>
      <c r="Y1328" s="281">
        <f>_xll.qlCalendarAdvance(Calendar,X1328,NDays&amp;"D")</f>
        <v>48249</v>
      </c>
      <c r="Z1328" s="282">
        <v>2.4489024392692793E-2</v>
      </c>
      <c r="AA1328" s="284">
        <v>2.4405925806965101E-2</v>
      </c>
    </row>
    <row r="1329" spans="23:27" x14ac:dyDescent="0.2">
      <c r="W1329" s="203" t="str">
        <f t="shared" si="30"/>
        <v>1w</v>
      </c>
      <c r="X1329" s="287">
        <f>_xll.qlCalendarAdvance(Calendar,X1328,W1329,"f",FALSE)</f>
        <v>48254</v>
      </c>
      <c r="Y1329" s="281">
        <f>_xll.qlCalendarAdvance(Calendar,X1329,NDays&amp;"D")</f>
        <v>48257</v>
      </c>
      <c r="Z1329" s="282">
        <v>2.448920472422067E-2</v>
      </c>
      <c r="AA1329" s="284">
        <v>2.440971716435314E-2</v>
      </c>
    </row>
    <row r="1330" spans="23:27" x14ac:dyDescent="0.2">
      <c r="W1330" s="203" t="str">
        <f t="shared" si="30"/>
        <v>1w</v>
      </c>
      <c r="X1330" s="287">
        <f>_xll.qlCalendarAdvance(Calendar,X1329,W1330,"f",FALSE)</f>
        <v>48261</v>
      </c>
      <c r="Y1330" s="281">
        <f>_xll.qlCalendarAdvance(Calendar,X1330,NDays&amp;"D")</f>
        <v>48263</v>
      </c>
      <c r="Z1330" s="282">
        <v>2.4490185803803577E-2</v>
      </c>
      <c r="AA1330" s="284">
        <v>2.440918215911303E-2</v>
      </c>
    </row>
    <row r="1331" spans="23:27" x14ac:dyDescent="0.2">
      <c r="W1331" s="203" t="str">
        <f t="shared" si="30"/>
        <v>1w</v>
      </c>
      <c r="X1331" s="287">
        <f>_xll.qlCalendarAdvance(Calendar,X1330,W1331,"f",FALSE)</f>
        <v>48268</v>
      </c>
      <c r="Y1331" s="281">
        <f>_xll.qlCalendarAdvance(Calendar,X1331,NDays&amp;"D")</f>
        <v>48270</v>
      </c>
      <c r="Z1331" s="282">
        <v>2.4491071077823001E-2</v>
      </c>
      <c r="AA1331" s="284">
        <v>2.4410667491450155E-2</v>
      </c>
    </row>
    <row r="1332" spans="23:27" x14ac:dyDescent="0.2">
      <c r="W1332" s="203" t="str">
        <f t="shared" si="30"/>
        <v>1w</v>
      </c>
      <c r="X1332" s="287">
        <f>_xll.qlCalendarAdvance(Calendar,X1331,W1332,"f",FALSE)</f>
        <v>48275</v>
      </c>
      <c r="Y1332" s="281">
        <f>_xll.qlCalendarAdvance(Calendar,X1332,NDays&amp;"D")</f>
        <v>48277</v>
      </c>
      <c r="Z1332" s="282">
        <v>2.4493598800800369E-2</v>
      </c>
      <c r="AA1332" s="284">
        <v>2.4412057594442871E-2</v>
      </c>
    </row>
    <row r="1333" spans="23:27" x14ac:dyDescent="0.2">
      <c r="W1333" s="203" t="str">
        <f t="shared" si="30"/>
        <v>1w</v>
      </c>
      <c r="X1333" s="287">
        <f>_xll.qlCalendarAdvance(Calendar,X1332,W1333,"f",FALSE)</f>
        <v>48282</v>
      </c>
      <c r="Y1333" s="281">
        <f>_xll.qlCalendarAdvance(Calendar,X1333,NDays&amp;"D")</f>
        <v>48284</v>
      </c>
      <c r="Z1333" s="282">
        <v>2.4494278869220208E-2</v>
      </c>
      <c r="AA1333" s="284">
        <v>2.4413352468251048E-2</v>
      </c>
    </row>
    <row r="1334" spans="23:27" x14ac:dyDescent="0.2">
      <c r="W1334" s="203" t="str">
        <f t="shared" si="30"/>
        <v>1w</v>
      </c>
      <c r="X1334" s="287">
        <f>_xll.qlCalendarAdvance(Calendar,X1333,W1334,"f",FALSE)</f>
        <v>48289</v>
      </c>
      <c r="Y1334" s="281">
        <f>_xll.qlCalendarAdvance(Calendar,X1334,NDays&amp;"D")</f>
        <v>48291</v>
      </c>
      <c r="Z1334" s="282">
        <v>2.4494863118907098E-2</v>
      </c>
      <c r="AA1334" s="284">
        <v>2.4414552112874688E-2</v>
      </c>
    </row>
    <row r="1335" spans="23:27" x14ac:dyDescent="0.2">
      <c r="W1335" s="203" t="str">
        <f t="shared" si="30"/>
        <v>1w</v>
      </c>
      <c r="X1335" s="287">
        <f>_xll.qlCalendarAdvance(Calendar,X1334,W1335,"f",FALSE)</f>
        <v>48296</v>
      </c>
      <c r="Y1335" s="281">
        <f>_xll.qlCalendarAdvance(Calendar,X1335,NDays&amp;"D")</f>
        <v>48298</v>
      </c>
      <c r="Z1335" s="282">
        <v>2.4495351549816729E-2</v>
      </c>
      <c r="AA1335" s="284">
        <v>2.4419264747445268E-2</v>
      </c>
    </row>
    <row r="1336" spans="23:27" x14ac:dyDescent="0.2">
      <c r="W1336" s="203" t="str">
        <f t="shared" si="30"/>
        <v>1w</v>
      </c>
      <c r="X1336" s="287">
        <f>_xll.qlCalendarAdvance(Calendar,X1335,W1336,"f",FALSE)</f>
        <v>48303</v>
      </c>
      <c r="Y1336" s="281">
        <f>_xll.qlCalendarAdvance(Calendar,X1336,NDays&amp;"D")</f>
        <v>48305</v>
      </c>
      <c r="Z1336" s="282">
        <v>2.4494902568582569E-2</v>
      </c>
      <c r="AA1336" s="284">
        <v>2.4416665714248609E-2</v>
      </c>
    </row>
    <row r="1337" spans="23:27" x14ac:dyDescent="0.2">
      <c r="W1337" s="203" t="str">
        <f t="shared" si="30"/>
        <v>1w</v>
      </c>
      <c r="X1337" s="287">
        <f>_xll.qlCalendarAdvance(Calendar,X1336,W1337,"f",FALSE)</f>
        <v>48310</v>
      </c>
      <c r="Y1337" s="281">
        <f>_xll.qlCalendarAdvance(Calendar,X1337,NDays&amp;"D")</f>
        <v>48312</v>
      </c>
      <c r="Z1337" s="282">
        <v>2.4495206185448721E-2</v>
      </c>
      <c r="AA1337" s="284">
        <v>2.4417579671238698E-2</v>
      </c>
    </row>
    <row r="1338" spans="23:27" x14ac:dyDescent="0.2">
      <c r="W1338" s="203" t="str">
        <f t="shared" si="30"/>
        <v>1w</v>
      </c>
      <c r="X1338" s="287">
        <f>_xll.qlCalendarAdvance(Calendar,X1337,W1338,"f",FALSE)</f>
        <v>48317</v>
      </c>
      <c r="Y1338" s="281">
        <f>_xll.qlCalendarAdvance(Calendar,X1338,NDays&amp;"D")</f>
        <v>48319</v>
      </c>
      <c r="Z1338" s="282">
        <v>2.4495413989951996E-2</v>
      </c>
      <c r="AA1338" s="284">
        <v>2.4418398398804442E-2</v>
      </c>
    </row>
    <row r="1339" spans="23:27" x14ac:dyDescent="0.2">
      <c r="W1339" s="203" t="str">
        <f t="shared" si="30"/>
        <v>1w</v>
      </c>
      <c r="X1339" s="287">
        <f>_xll.qlCalendarAdvance(Calendar,X1338,W1339,"f",FALSE)</f>
        <v>48324</v>
      </c>
      <c r="Y1339" s="281">
        <f>_xll.qlCalendarAdvance(Calendar,X1339,NDays&amp;"D")</f>
        <v>48326</v>
      </c>
      <c r="Z1339" s="282">
        <v>2.4495525982078339E-2</v>
      </c>
      <c r="AA1339" s="284">
        <v>2.4419121897345519E-2</v>
      </c>
    </row>
    <row r="1340" spans="23:27" x14ac:dyDescent="0.2">
      <c r="W1340" s="203" t="str">
        <f t="shared" si="30"/>
        <v>1w</v>
      </c>
      <c r="X1340" s="287">
        <f>_xll.qlCalendarAdvance(Calendar,X1339,W1340,"f",FALSE)</f>
        <v>48331</v>
      </c>
      <c r="Y1340" s="281">
        <f>_xll.qlCalendarAdvance(Calendar,X1340,NDays&amp;"D")</f>
        <v>48334</v>
      </c>
      <c r="Z1340" s="282">
        <v>2.4495536651791366E-2</v>
      </c>
      <c r="AA1340" s="284">
        <v>2.442416736422981E-2</v>
      </c>
    </row>
    <row r="1341" spans="23:27" x14ac:dyDescent="0.2">
      <c r="W1341" s="203" t="str">
        <f t="shared" si="30"/>
        <v>1w</v>
      </c>
      <c r="X1341" s="287">
        <f>_xll.qlCalendarAdvance(Calendar,X1340,W1341,"f",FALSE)</f>
        <v>48340</v>
      </c>
      <c r="Y1341" s="281">
        <f>_xll.qlCalendarAdvance(Calendar,X1341,NDays&amp;"D")</f>
        <v>48344</v>
      </c>
      <c r="Z1341" s="282">
        <v>2.4496177500309076E-2</v>
      </c>
      <c r="AA1341" s="284">
        <v>2.4420545044705477E-2</v>
      </c>
    </row>
    <row r="1342" spans="23:27" x14ac:dyDescent="0.2">
      <c r="W1342" s="203" t="str">
        <f t="shared" si="30"/>
        <v>1w</v>
      </c>
      <c r="X1342" s="287">
        <f>_xll.qlCalendarAdvance(Calendar,X1341,W1342,"f",FALSE)</f>
        <v>48347</v>
      </c>
      <c r="Y1342" s="281">
        <f>_xll.qlCalendarAdvance(Calendar,X1342,NDays&amp;"D")</f>
        <v>48351</v>
      </c>
      <c r="Z1342" s="282">
        <v>2.4495940445536744E-2</v>
      </c>
      <c r="AA1342" s="284">
        <v>2.4420928438741996E-2</v>
      </c>
    </row>
    <row r="1343" spans="23:27" x14ac:dyDescent="0.2">
      <c r="W1343" s="203" t="str">
        <f t="shared" si="30"/>
        <v>1w</v>
      </c>
      <c r="X1343" s="287">
        <f>_xll.qlCalendarAdvance(Calendar,X1342,W1343,"f",FALSE)</f>
        <v>48354</v>
      </c>
      <c r="Y1343" s="281">
        <f>_xll.qlCalendarAdvance(Calendar,X1343,NDays&amp;"D")</f>
        <v>48358</v>
      </c>
      <c r="Z1343" s="282">
        <v>2.4495607571908082E-2</v>
      </c>
      <c r="AA1343" s="284">
        <v>2.4421216603593976E-2</v>
      </c>
    </row>
    <row r="1344" spans="23:27" x14ac:dyDescent="0.2">
      <c r="W1344" s="203" t="str">
        <f t="shared" si="30"/>
        <v>1w</v>
      </c>
      <c r="X1344" s="287">
        <f>_xll.qlCalendarAdvance(Calendar,X1343,W1344,"f",FALSE)</f>
        <v>48361</v>
      </c>
      <c r="Y1344" s="281">
        <f>_xll.qlCalendarAdvance(Calendar,X1344,NDays&amp;"D")</f>
        <v>48366</v>
      </c>
      <c r="Z1344" s="282">
        <v>2.4495109815726591E-2</v>
      </c>
      <c r="AA1344" s="284">
        <v>2.4421429327512456E-2</v>
      </c>
    </row>
    <row r="1345" spans="23:27" x14ac:dyDescent="0.2">
      <c r="W1345" s="203" t="str">
        <f t="shared" si="30"/>
        <v>1w</v>
      </c>
      <c r="X1345" s="287">
        <f>_xll.qlCalendarAdvance(Calendar,X1344,W1345,"f",FALSE)</f>
        <v>48368</v>
      </c>
      <c r="Y1345" s="281">
        <f>_xll.qlCalendarAdvance(Calendar,X1345,NDays&amp;"D")</f>
        <v>48372</v>
      </c>
      <c r="Z1345" s="282">
        <v>2.4494654368192124E-2</v>
      </c>
      <c r="AA1345" s="284">
        <v>2.4421507245504515E-2</v>
      </c>
    </row>
    <row r="1346" spans="23:27" x14ac:dyDescent="0.2">
      <c r="W1346" s="203" t="str">
        <f t="shared" si="30"/>
        <v>1w</v>
      </c>
      <c r="X1346" s="287">
        <f>_xll.qlCalendarAdvance(Calendar,X1345,W1346,"f",FALSE)</f>
        <v>48375</v>
      </c>
      <c r="Y1346" s="281">
        <f>_xll.qlCalendarAdvance(Calendar,X1346,NDays&amp;"D")</f>
        <v>48379</v>
      </c>
      <c r="Z1346" s="282">
        <v>2.4494034038171728E-2</v>
      </c>
      <c r="AA1346" s="284">
        <v>2.4421509722563073E-2</v>
      </c>
    </row>
    <row r="1347" spans="23:27" x14ac:dyDescent="0.2">
      <c r="W1347" s="203" t="str">
        <f t="shared" si="30"/>
        <v>1w</v>
      </c>
      <c r="X1347" s="287">
        <f>_xll.qlCalendarAdvance(Calendar,X1346,W1347,"f",FALSE)</f>
        <v>48382</v>
      </c>
      <c r="Y1347" s="281">
        <f>_xll.qlCalendarAdvance(Calendar,X1347,NDays&amp;"D")</f>
        <v>48386</v>
      </c>
      <c r="Z1347" s="282">
        <v>2.4494840492262134E-2</v>
      </c>
      <c r="AA1347" s="284">
        <v>2.4421416970357157E-2</v>
      </c>
    </row>
    <row r="1348" spans="23:27" x14ac:dyDescent="0.2">
      <c r="W1348" s="203" t="str">
        <f t="shared" si="30"/>
        <v>1w</v>
      </c>
      <c r="X1348" s="287">
        <f>_xll.qlCalendarAdvance(Calendar,X1347,W1348,"f",FALSE)</f>
        <v>48389</v>
      </c>
      <c r="Y1348" s="281">
        <f>_xll.qlCalendarAdvance(Calendar,X1348,NDays&amp;"D")</f>
        <v>48393</v>
      </c>
      <c r="Z1348" s="282">
        <v>2.4492505922037229E-2</v>
      </c>
      <c r="AA1348" s="284">
        <v>2.4421228988966703E-2</v>
      </c>
    </row>
    <row r="1349" spans="23:27" x14ac:dyDescent="0.2">
      <c r="W1349" s="203" t="str">
        <f t="shared" si="30"/>
        <v>1w</v>
      </c>
      <c r="X1349" s="287">
        <f>_xll.qlCalendarAdvance(Calendar,X1348,W1349,"f",FALSE)</f>
        <v>48396</v>
      </c>
      <c r="Y1349" s="281">
        <f>_xll.qlCalendarAdvance(Calendar,X1349,NDays&amp;"D")</f>
        <v>48400</v>
      </c>
      <c r="Z1349" s="282">
        <v>2.4491598136032602E-2</v>
      </c>
      <c r="AA1349" s="284">
        <v>2.4420945778391712E-2</v>
      </c>
    </row>
    <row r="1350" spans="23:27" x14ac:dyDescent="0.2">
      <c r="W1350" s="203" t="str">
        <f t="shared" si="30"/>
        <v>1w</v>
      </c>
      <c r="X1350" s="287">
        <f>_xll.qlCalendarAdvance(Calendar,X1349,W1350,"f",FALSE)</f>
        <v>48403</v>
      </c>
      <c r="Y1350" s="281">
        <f>_xll.qlCalendarAdvance(Calendar,X1350,NDays&amp;"D")</f>
        <v>48407</v>
      </c>
      <c r="Z1350" s="282">
        <v>2.4490594531490523E-2</v>
      </c>
      <c r="AA1350" s="284">
        <v>2.4420567338552246E-2</v>
      </c>
    </row>
    <row r="1351" spans="23:27" x14ac:dyDescent="0.2">
      <c r="W1351" s="203" t="str">
        <f t="shared" si="30"/>
        <v>1w</v>
      </c>
      <c r="X1351" s="287">
        <f>_xll.qlCalendarAdvance(Calendar,X1350,W1351,"f",FALSE)</f>
        <v>48410</v>
      </c>
      <c r="Y1351" s="281">
        <f>_xll.qlCalendarAdvance(Calendar,X1351,NDays&amp;"D")</f>
        <v>48415</v>
      </c>
      <c r="Z1351" s="282">
        <v>2.4489330226142282E-2</v>
      </c>
      <c r="AA1351" s="284">
        <v>2.4420018228594742E-2</v>
      </c>
    </row>
    <row r="1352" spans="23:27" x14ac:dyDescent="0.2">
      <c r="W1352" s="203" t="str">
        <f t="shared" si="30"/>
        <v>1w</v>
      </c>
      <c r="X1352" s="287">
        <f>_xll.qlCalendarAdvance(Calendar,X1351,W1352,"f",FALSE)</f>
        <v>48417</v>
      </c>
      <c r="Y1352" s="281">
        <f>_xll.qlCalendarAdvance(Calendar,X1352,NDays&amp;"D")</f>
        <v>48421</v>
      </c>
      <c r="Z1352" s="282">
        <v>2.4488299867092028E-2</v>
      </c>
      <c r="AA1352" s="284">
        <v>2.4419524771159828E-2</v>
      </c>
    </row>
    <row r="1353" spans="23:27" x14ac:dyDescent="0.2">
      <c r="W1353" s="203" t="str">
        <f t="shared" si="30"/>
        <v>1w</v>
      </c>
      <c r="X1353" s="287">
        <f>_xll.qlCalendarAdvance(Calendar,X1352,W1353,"f",FALSE)</f>
        <v>48424</v>
      </c>
      <c r="Y1353" s="281">
        <f>_xll.qlCalendarAdvance(Calendar,X1353,NDays&amp;"D")</f>
        <v>48428</v>
      </c>
      <c r="Z1353" s="282">
        <v>2.4487008807401567E-2</v>
      </c>
      <c r="AA1353" s="284">
        <v>2.4418860643526941E-2</v>
      </c>
    </row>
    <row r="1354" spans="23:27" x14ac:dyDescent="0.2">
      <c r="W1354" s="203" t="str">
        <f t="shared" si="30"/>
        <v>1w</v>
      </c>
      <c r="X1354" s="287">
        <f>_xll.qlCalendarAdvance(Calendar,X1353,W1354,"f",FALSE)</f>
        <v>48431</v>
      </c>
      <c r="Y1354" s="281">
        <f>_xll.qlCalendarAdvance(Calendar,X1354,NDays&amp;"D")</f>
        <v>48435</v>
      </c>
      <c r="Z1354" s="282">
        <v>2.4485621929509906E-2</v>
      </c>
      <c r="AA1354" s="284">
        <v>2.4418101286789451E-2</v>
      </c>
    </row>
    <row r="1355" spans="23:27" x14ac:dyDescent="0.2">
      <c r="W1355" s="203" t="str">
        <f t="shared" si="30"/>
        <v>1w</v>
      </c>
      <c r="X1355" s="287">
        <f>_xll.qlCalendarAdvance(Calendar,X1354,W1355,"f",FALSE)</f>
        <v>48438</v>
      </c>
      <c r="Y1355" s="281">
        <f>_xll.qlCalendarAdvance(Calendar,X1355,NDays&amp;"D")</f>
        <v>48442</v>
      </c>
      <c r="Z1355" s="282">
        <v>2.448413923351523E-2</v>
      </c>
      <c r="AA1355" s="284">
        <v>2.4417246700787487E-2</v>
      </c>
    </row>
    <row r="1356" spans="23:27" x14ac:dyDescent="0.2">
      <c r="W1356" s="203" t="str">
        <f t="shared" si="30"/>
        <v>1w</v>
      </c>
      <c r="X1356" s="287">
        <f>_xll.qlCalendarAdvance(Calendar,X1355,W1356,"f",FALSE)</f>
        <v>48445</v>
      </c>
      <c r="Y1356" s="281">
        <f>_xll.qlCalendarAdvance(Calendar,X1356,NDays&amp;"D")</f>
        <v>48449</v>
      </c>
      <c r="Z1356" s="282">
        <v>2.4483260001739508E-2</v>
      </c>
      <c r="AA1356" s="284">
        <v>2.4416296885521049E-2</v>
      </c>
    </row>
    <row r="1357" spans="23:27" x14ac:dyDescent="0.2">
      <c r="W1357" s="203" t="str">
        <f t="shared" si="30"/>
        <v>1w</v>
      </c>
      <c r="X1357" s="287">
        <f>_xll.qlCalendarAdvance(Calendar,X1356,W1357,"f",FALSE)</f>
        <v>48452</v>
      </c>
      <c r="Y1357" s="281">
        <f>_xll.qlCalendarAdvance(Calendar,X1357,NDays&amp;"D")</f>
        <v>48457</v>
      </c>
      <c r="Z1357" s="282">
        <v>2.4479947412856019E-2</v>
      </c>
      <c r="AA1357" s="284">
        <v>2.4415094775189772E-2</v>
      </c>
    </row>
    <row r="1358" spans="23:27" x14ac:dyDescent="0.2">
      <c r="W1358" s="203" t="str">
        <f t="shared" si="30"/>
        <v>1w</v>
      </c>
      <c r="X1358" s="287">
        <f>_xll.qlCalendarAdvance(Calendar,X1357,W1358,"f",FALSE)</f>
        <v>48459</v>
      </c>
      <c r="Y1358" s="281">
        <f>_xll.qlCalendarAdvance(Calendar,X1358,NDays&amp;"D")</f>
        <v>48463</v>
      </c>
      <c r="Z1358" s="282">
        <v>2.4478430244593348E-2</v>
      </c>
      <c r="AA1358" s="284">
        <v>2.4414111567354624E-2</v>
      </c>
    </row>
    <row r="1359" spans="23:27" x14ac:dyDescent="0.2">
      <c r="W1359" s="203" t="str">
        <f t="shared" si="30"/>
        <v>1w</v>
      </c>
      <c r="X1359" s="287">
        <f>_xll.qlCalendarAdvance(Calendar,X1358,W1359,"f",FALSE)</f>
        <v>48466</v>
      </c>
      <c r="Y1359" s="281">
        <f>_xll.qlCalendarAdvance(Calendar,X1359,NDays&amp;"D")</f>
        <v>48470</v>
      </c>
      <c r="Z1359" s="282">
        <v>2.4476571247462171E-2</v>
      </c>
      <c r="AA1359" s="284">
        <v>2.4412876064454636E-2</v>
      </c>
    </row>
    <row r="1360" spans="23:27" x14ac:dyDescent="0.2">
      <c r="W1360" s="203" t="str">
        <f t="shared" si="30"/>
        <v>1w</v>
      </c>
      <c r="X1360" s="287">
        <f>_xll.qlCalendarAdvance(Calendar,X1359,W1360,"f",FALSE)</f>
        <v>48473</v>
      </c>
      <c r="Y1360" s="281">
        <f>_xll.qlCalendarAdvance(Calendar,X1360,NDays&amp;"D")</f>
        <v>48480</v>
      </c>
      <c r="Z1360" s="282">
        <v>2.4474418389309992E-2</v>
      </c>
      <c r="AA1360" s="284">
        <v>2.4410945866693012E-2</v>
      </c>
    </row>
    <row r="1361" spans="23:27" x14ac:dyDescent="0.2">
      <c r="W1361" s="203" t="str">
        <f t="shared" si="30"/>
        <v>1w</v>
      </c>
      <c r="X1361" s="287">
        <f>_xll.qlCalendarAdvance(Calendar,X1360,W1361,"f",FALSE)</f>
        <v>48480</v>
      </c>
      <c r="Y1361" s="281">
        <f>_xll.qlCalendarAdvance(Calendar,X1361,NDays&amp;"D")</f>
        <v>48484</v>
      </c>
      <c r="Z1361" s="282">
        <v>2.4473895310919716E-2</v>
      </c>
      <c r="AA1361" s="284">
        <v>2.4410119370941175E-2</v>
      </c>
    </row>
    <row r="1362" spans="23:27" x14ac:dyDescent="0.2">
      <c r="W1362" s="203" t="str">
        <f t="shared" si="30"/>
        <v>1w</v>
      </c>
      <c r="X1362" s="287">
        <f>_xll.qlCalendarAdvance(Calendar,X1361,W1362,"f",FALSE)</f>
        <v>48487</v>
      </c>
      <c r="Y1362" s="281">
        <f>_xll.qlCalendarAdvance(Calendar,X1362,NDays&amp;"D")</f>
        <v>48491</v>
      </c>
      <c r="Z1362" s="282">
        <v>2.4471077464674789E-2</v>
      </c>
      <c r="AA1362" s="284">
        <v>2.4408598180247765E-2</v>
      </c>
    </row>
    <row r="1363" spans="23:27" x14ac:dyDescent="0.2">
      <c r="W1363" s="203" t="str">
        <f t="shared" si="30"/>
        <v>1w</v>
      </c>
      <c r="X1363" s="287">
        <f>_xll.qlCalendarAdvance(Calendar,X1362,W1363,"f",FALSE)</f>
        <v>48494</v>
      </c>
      <c r="Y1363" s="281">
        <f>_xll.qlCalendarAdvance(Calendar,X1363,NDays&amp;"D")</f>
        <v>48499</v>
      </c>
      <c r="Z1363" s="282">
        <v>2.4468499087084223E-2</v>
      </c>
      <c r="AA1363" s="284">
        <v>2.4406743069542713E-2</v>
      </c>
    </row>
    <row r="1364" spans="23:27" x14ac:dyDescent="0.2">
      <c r="W1364" s="203" t="str">
        <f t="shared" si="30"/>
        <v>1w</v>
      </c>
      <c r="X1364" s="287">
        <f>_xll.qlCalendarAdvance(Calendar,X1363,W1364,"f",FALSE)</f>
        <v>48501</v>
      </c>
      <c r="Y1364" s="281">
        <f>_xll.qlCalendarAdvance(Calendar,X1364,NDays&amp;"D")</f>
        <v>48505</v>
      </c>
      <c r="Z1364" s="282">
        <v>2.4466483175147713E-2</v>
      </c>
      <c r="AA1364" s="284">
        <v>2.4405270111387267E-2</v>
      </c>
    </row>
    <row r="1365" spans="23:27" x14ac:dyDescent="0.2">
      <c r="W1365" s="203" t="str">
        <f t="shared" ref="W1365:W1428" si="31">W1364</f>
        <v>1w</v>
      </c>
      <c r="X1365" s="287">
        <f>_xll.qlCalendarAdvance(Calendar,X1364,W1365,"f",FALSE)</f>
        <v>48508</v>
      </c>
      <c r="Y1365" s="281">
        <f>_xll.qlCalendarAdvance(Calendar,X1365,NDays&amp;"D")</f>
        <v>48512</v>
      </c>
      <c r="Z1365" s="282">
        <v>2.4464042305241518E-2</v>
      </c>
      <c r="AA1365" s="284">
        <v>2.4403463233060307E-2</v>
      </c>
    </row>
    <row r="1366" spans="23:27" x14ac:dyDescent="0.2">
      <c r="W1366" s="203" t="str">
        <f t="shared" si="31"/>
        <v>1w</v>
      </c>
      <c r="X1366" s="287">
        <f>_xll.qlCalendarAdvance(Calendar,X1365,W1366,"f",FALSE)</f>
        <v>48515</v>
      </c>
      <c r="Y1366" s="281">
        <f>_xll.qlCalendarAdvance(Calendar,X1366,NDays&amp;"D")</f>
        <v>48519</v>
      </c>
      <c r="Z1366" s="282">
        <v>2.4461505618808436E-2</v>
      </c>
      <c r="AA1366" s="284">
        <v>2.440156112554881E-2</v>
      </c>
    </row>
    <row r="1367" spans="23:27" x14ac:dyDescent="0.2">
      <c r="W1367" s="203" t="str">
        <f t="shared" si="31"/>
        <v>1w</v>
      </c>
      <c r="X1367" s="287">
        <f>_xll.qlCalendarAdvance(Calendar,X1366,W1367,"f",FALSE)</f>
        <v>48522</v>
      </c>
      <c r="Y1367" s="281">
        <f>_xll.qlCalendarAdvance(Calendar,X1367,NDays&amp;"D")</f>
        <v>48526</v>
      </c>
      <c r="Z1367" s="282">
        <v>2.4458873116034407E-2</v>
      </c>
      <c r="AA1367" s="284">
        <v>2.439956378893271E-2</v>
      </c>
    </row>
    <row r="1368" spans="23:27" x14ac:dyDescent="0.2">
      <c r="W1368" s="203" t="str">
        <f t="shared" si="31"/>
        <v>1w</v>
      </c>
      <c r="X1368" s="287">
        <f>_xll.qlCalendarAdvance(Calendar,X1367,W1368,"f",FALSE)</f>
        <v>48529</v>
      </c>
      <c r="Y1368" s="281">
        <f>_xll.qlCalendarAdvance(Calendar,X1368,NDays&amp;"D")</f>
        <v>48533</v>
      </c>
      <c r="Z1368" s="282">
        <v>2.4456144797112316E-2</v>
      </c>
      <c r="AA1368" s="284">
        <v>2.4397471222892264E-2</v>
      </c>
    </row>
    <row r="1369" spans="23:27" x14ac:dyDescent="0.2">
      <c r="W1369" s="203" t="str">
        <f t="shared" si="31"/>
        <v>1w</v>
      </c>
      <c r="X1369" s="287">
        <f>_xll.qlCalendarAdvance(Calendar,X1368,W1369,"f",FALSE)</f>
        <v>48536</v>
      </c>
      <c r="Y1369" s="281">
        <f>_xll.qlCalendarAdvance(Calendar,X1369,NDays&amp;"D")</f>
        <v>48540</v>
      </c>
      <c r="Z1369" s="282">
        <v>2.4453320662238532E-2</v>
      </c>
      <c r="AA1369" s="284">
        <v>2.4395949828162067E-2</v>
      </c>
    </row>
    <row r="1370" spans="23:27" x14ac:dyDescent="0.2">
      <c r="W1370" s="203" t="str">
        <f t="shared" si="31"/>
        <v>1w</v>
      </c>
      <c r="X1370" s="287">
        <f>_xll.qlCalendarAdvance(Calendar,X1369,W1370,"f",FALSE)</f>
        <v>48543</v>
      </c>
      <c r="Y1370" s="281">
        <f>_xll.qlCalendarAdvance(Calendar,X1370,NDays&amp;"D")</f>
        <v>48547</v>
      </c>
      <c r="Z1370" s="282">
        <v>2.4449798786392113E-2</v>
      </c>
      <c r="AA1370" s="284">
        <v>2.4393000403417631E-2</v>
      </c>
    </row>
    <row r="1371" spans="23:27" x14ac:dyDescent="0.2">
      <c r="W1371" s="203" t="str">
        <f t="shared" si="31"/>
        <v>1w</v>
      </c>
      <c r="X1371" s="287">
        <f>_xll.qlCalendarAdvance(Calendar,X1370,W1371,"f",FALSE)</f>
        <v>48550</v>
      </c>
      <c r="Y1371" s="281">
        <f>_xll.qlCalendarAdvance(Calendar,X1371,NDays&amp;"D")</f>
        <v>48554</v>
      </c>
      <c r="Z1371" s="282">
        <v>2.4446790067898426E-2</v>
      </c>
      <c r="AA1371" s="284">
        <v>2.4390622149823571E-2</v>
      </c>
    </row>
    <row r="1372" spans="23:27" x14ac:dyDescent="0.2">
      <c r="W1372" s="203" t="str">
        <f t="shared" si="31"/>
        <v>1w</v>
      </c>
      <c r="X1372" s="287">
        <f>_xll.qlCalendarAdvance(Calendar,X1371,W1372,"f",FALSE)</f>
        <v>48557</v>
      </c>
      <c r="Y1372" s="281">
        <f>_xll.qlCalendarAdvance(Calendar,X1372,NDays&amp;"D")</f>
        <v>48561</v>
      </c>
      <c r="Z1372" s="282">
        <v>2.4443685540538843E-2</v>
      </c>
      <c r="AA1372" s="284">
        <v>2.4388148667124909E-2</v>
      </c>
    </row>
    <row r="1373" spans="23:27" x14ac:dyDescent="0.2">
      <c r="W1373" s="203" t="str">
        <f t="shared" si="31"/>
        <v>1w</v>
      </c>
      <c r="X1373" s="287">
        <f>_xll.qlCalendarAdvance(Calendar,X1372,W1373,"f",FALSE)</f>
        <v>48564</v>
      </c>
      <c r="Y1373" s="281">
        <f>_xll.qlCalendarAdvance(Calendar,X1373,NDays&amp;"D")</f>
        <v>48568</v>
      </c>
      <c r="Z1373" s="282">
        <v>2.4441065967473488E-2</v>
      </c>
      <c r="AA1373" s="284">
        <v>2.4385579955001901E-2</v>
      </c>
    </row>
    <row r="1374" spans="23:27" x14ac:dyDescent="0.2">
      <c r="W1374" s="203" t="str">
        <f t="shared" si="31"/>
        <v>1w</v>
      </c>
      <c r="X1374" s="287">
        <f>_xll.qlCalendarAdvance(Calendar,X1373,W1374,"f",FALSE)</f>
        <v>48572</v>
      </c>
      <c r="Y1374" s="281">
        <f>_xll.qlCalendarAdvance(Calendar,X1374,NDays&amp;"D")</f>
        <v>48578</v>
      </c>
      <c r="Z1374" s="282">
        <v>2.4435747097756592E-2</v>
      </c>
      <c r="AA1374" s="284">
        <v>2.4384255569025015E-2</v>
      </c>
    </row>
    <row r="1375" spans="23:27" x14ac:dyDescent="0.2">
      <c r="W1375" s="203" t="str">
        <f t="shared" si="31"/>
        <v>1w</v>
      </c>
      <c r="X1375" s="287">
        <f>_xll.qlCalendarAdvance(Calendar,X1374,W1375,"f",FALSE)</f>
        <v>48583</v>
      </c>
      <c r="Y1375" s="281">
        <f>_xll.qlCalendarAdvance(Calendar,X1375,NDays&amp;"D")</f>
        <v>48585</v>
      </c>
      <c r="Z1375" s="282">
        <v>2.4431749845413187E-2</v>
      </c>
      <c r="AA1375" s="284">
        <v>2.4378945190024481E-2</v>
      </c>
    </row>
    <row r="1376" spans="23:27" x14ac:dyDescent="0.2">
      <c r="W1376" s="203" t="str">
        <f t="shared" si="31"/>
        <v>1w</v>
      </c>
      <c r="X1376" s="287">
        <f>_xll.qlCalendarAdvance(Calendar,X1375,W1376,"f",FALSE)</f>
        <v>48590</v>
      </c>
      <c r="Y1376" s="281">
        <f>_xll.qlCalendarAdvance(Calendar,X1376,NDays&amp;"D")</f>
        <v>48592</v>
      </c>
      <c r="Z1376" s="282">
        <v>2.4428228106100569E-2</v>
      </c>
      <c r="AA1376" s="284">
        <v>2.4376049977874459E-2</v>
      </c>
    </row>
    <row r="1377" spans="23:27" x14ac:dyDescent="0.2">
      <c r="W1377" s="203" t="str">
        <f t="shared" si="31"/>
        <v>1w</v>
      </c>
      <c r="X1377" s="287">
        <f>_xll.qlCalendarAdvance(Calendar,X1376,W1377,"f",FALSE)</f>
        <v>48597</v>
      </c>
      <c r="Y1377" s="281">
        <f>_xll.qlCalendarAdvance(Calendar,X1377,NDays&amp;"D")</f>
        <v>48599</v>
      </c>
      <c r="Z1377" s="282">
        <v>2.4424610565648486E-2</v>
      </c>
      <c r="AA1377" s="284">
        <v>2.4373059536619834E-2</v>
      </c>
    </row>
    <row r="1378" spans="23:27" x14ac:dyDescent="0.2">
      <c r="W1378" s="203" t="str">
        <f t="shared" si="31"/>
        <v>1w</v>
      </c>
      <c r="X1378" s="287">
        <f>_xll.qlCalendarAdvance(Calendar,X1377,W1378,"f",FALSE)</f>
        <v>48604</v>
      </c>
      <c r="Y1378" s="281">
        <f>_xll.qlCalendarAdvance(Calendar,X1378,NDays&amp;"D")</f>
        <v>48606</v>
      </c>
      <c r="Z1378" s="282">
        <v>2.4420897224315397E-2</v>
      </c>
      <c r="AA1378" s="284">
        <v>2.4369973866100736E-2</v>
      </c>
    </row>
    <row r="1379" spans="23:27" x14ac:dyDescent="0.2">
      <c r="W1379" s="203" t="str">
        <f t="shared" si="31"/>
        <v>1w</v>
      </c>
      <c r="X1379" s="287">
        <f>_xll.qlCalendarAdvance(Calendar,X1378,W1379,"f",FALSE)</f>
        <v>48611</v>
      </c>
      <c r="Y1379" s="281">
        <f>_xll.qlCalendarAdvance(Calendar,X1379,NDays&amp;"D")</f>
        <v>48613</v>
      </c>
      <c r="Z1379" s="282">
        <v>2.4418159176511165E-2</v>
      </c>
      <c r="AA1379" s="284">
        <v>2.4366792966397099E-2</v>
      </c>
    </row>
    <row r="1380" spans="23:27" x14ac:dyDescent="0.2">
      <c r="W1380" s="203" t="str">
        <f t="shared" si="31"/>
        <v>1w</v>
      </c>
      <c r="X1380" s="287">
        <f>_xll.qlCalendarAdvance(Calendar,X1379,W1380,"f",FALSE)</f>
        <v>48618</v>
      </c>
      <c r="Y1380" s="281">
        <f>_xll.qlCalendarAdvance(Calendar,X1380,NDays&amp;"D")</f>
        <v>48620</v>
      </c>
      <c r="Z1380" s="282">
        <v>2.4412653718836764E-2</v>
      </c>
      <c r="AA1380" s="284">
        <v>2.4365274425923733E-2</v>
      </c>
    </row>
    <row r="1381" spans="23:27" x14ac:dyDescent="0.2">
      <c r="W1381" s="203" t="str">
        <f t="shared" si="31"/>
        <v>1w</v>
      </c>
      <c r="X1381" s="287">
        <f>_xll.qlCalendarAdvance(Calendar,X1380,W1381,"f",FALSE)</f>
        <v>48625</v>
      </c>
      <c r="Y1381" s="281">
        <f>_xll.qlCalendarAdvance(Calendar,X1381,NDays&amp;"D")</f>
        <v>48627</v>
      </c>
      <c r="Z1381" s="282">
        <v>2.4408660089311706E-2</v>
      </c>
      <c r="AA1381" s="284">
        <v>2.4360145479356277E-2</v>
      </c>
    </row>
    <row r="1382" spans="23:27" x14ac:dyDescent="0.2">
      <c r="W1382" s="203" t="str">
        <f t="shared" si="31"/>
        <v>1w</v>
      </c>
      <c r="X1382" s="287">
        <f>_xll.qlCalendarAdvance(Calendar,X1381,W1382,"f",FALSE)</f>
        <v>48632</v>
      </c>
      <c r="Y1382" s="281">
        <f>_xll.qlCalendarAdvance(Calendar,X1382,NDays&amp;"D")</f>
        <v>48634</v>
      </c>
      <c r="Z1382" s="282">
        <v>2.440457066641611E-2</v>
      </c>
      <c r="AA1382" s="284">
        <v>2.4356678892099026E-2</v>
      </c>
    </row>
    <row r="1383" spans="23:27" x14ac:dyDescent="0.2">
      <c r="W1383" s="203" t="str">
        <f t="shared" si="31"/>
        <v>1w</v>
      </c>
      <c r="X1383" s="287">
        <f>_xll.qlCalendarAdvance(Calendar,X1382,W1383,"f",FALSE)</f>
        <v>48639</v>
      </c>
      <c r="Y1383" s="281">
        <f>_xll.qlCalendarAdvance(Calendar,X1383,NDays&amp;"D")</f>
        <v>48641</v>
      </c>
      <c r="Z1383" s="282">
        <v>2.4401907668616964E-2</v>
      </c>
      <c r="AA1383" s="284">
        <v>2.4353117075577302E-2</v>
      </c>
    </row>
    <row r="1384" spans="23:27" x14ac:dyDescent="0.2">
      <c r="W1384" s="203" t="str">
        <f t="shared" si="31"/>
        <v>1w</v>
      </c>
      <c r="X1384" s="287">
        <f>_xll.qlCalendarAdvance(Calendar,X1383,W1384,"f",FALSE)</f>
        <v>48646</v>
      </c>
      <c r="Y1384" s="281">
        <f>_xll.qlCalendarAdvance(Calendar,X1384,NDays&amp;"D")</f>
        <v>48648</v>
      </c>
      <c r="Z1384" s="282">
        <v>2.4397605260906865E-2</v>
      </c>
      <c r="AA1384" s="284">
        <v>2.4349460029950976E-2</v>
      </c>
    </row>
    <row r="1385" spans="23:27" x14ac:dyDescent="0.2">
      <c r="W1385" s="203" t="str">
        <f t="shared" si="31"/>
        <v>1w</v>
      </c>
      <c r="X1385" s="287">
        <f>_xll.qlCalendarAdvance(Calendar,X1384,W1385,"f",FALSE)</f>
        <v>48653</v>
      </c>
      <c r="Y1385" s="281">
        <f>_xll.qlCalendarAdvance(Calendar,X1385,NDays&amp;"D")</f>
        <v>48655</v>
      </c>
      <c r="Z1385" s="282">
        <v>2.4393207041522522E-2</v>
      </c>
      <c r="AA1385" s="284">
        <v>2.4345707755220047E-2</v>
      </c>
    </row>
    <row r="1386" spans="23:27" x14ac:dyDescent="0.2">
      <c r="W1386" s="203" t="str">
        <f t="shared" si="31"/>
        <v>1w</v>
      </c>
      <c r="X1386" s="287">
        <f>_xll.qlCalendarAdvance(Calendar,X1385,W1386,"f",FALSE)</f>
        <v>48660</v>
      </c>
      <c r="Y1386" s="281">
        <f>_xll.qlCalendarAdvance(Calendar,X1386,NDays&amp;"D")</f>
        <v>48662</v>
      </c>
      <c r="Z1386" s="282">
        <v>2.4388713010781066E-2</v>
      </c>
      <c r="AA1386" s="284">
        <v>2.4341860251224645E-2</v>
      </c>
    </row>
    <row r="1387" spans="23:27" x14ac:dyDescent="0.2">
      <c r="W1387" s="203" t="str">
        <f t="shared" si="31"/>
        <v>1w</v>
      </c>
      <c r="X1387" s="287">
        <f>_xll.qlCalendarAdvance(Calendar,X1386,W1387,"f",FALSE)</f>
        <v>48667</v>
      </c>
      <c r="Y1387" s="281">
        <f>_xll.qlCalendarAdvance(Calendar,X1387,NDays&amp;"D")</f>
        <v>48669</v>
      </c>
      <c r="Z1387" s="282">
        <v>2.4383644994505897E-2</v>
      </c>
      <c r="AA1387" s="284">
        <v>2.4337917518124641E-2</v>
      </c>
    </row>
    <row r="1388" spans="23:27" x14ac:dyDescent="0.2">
      <c r="W1388" s="203" t="str">
        <f t="shared" si="31"/>
        <v>1w</v>
      </c>
      <c r="X1388" s="287">
        <f>_xll.qlCalendarAdvance(Calendar,X1387,W1388,"f",FALSE)</f>
        <v>48674</v>
      </c>
      <c r="Y1388" s="281">
        <f>_xll.qlCalendarAdvance(Calendar,X1388,NDays&amp;"D")</f>
        <v>48676</v>
      </c>
      <c r="Z1388" s="282">
        <v>2.4378966501530888E-2</v>
      </c>
      <c r="AA1388" s="284">
        <v>2.4333879555680227E-2</v>
      </c>
    </row>
    <row r="1389" spans="23:27" x14ac:dyDescent="0.2">
      <c r="W1389" s="203" t="str">
        <f t="shared" si="31"/>
        <v>1w</v>
      </c>
      <c r="X1389" s="287">
        <f>_xll.qlCalendarAdvance(Calendar,X1388,W1389,"f",FALSE)</f>
        <v>48681</v>
      </c>
      <c r="Y1389" s="281">
        <f>_xll.qlCalendarAdvance(Calendar,X1389,NDays&amp;"D")</f>
        <v>48683</v>
      </c>
      <c r="Z1389" s="282">
        <v>2.4374192204587166E-2</v>
      </c>
      <c r="AA1389" s="284">
        <v>2.4331834451993828E-2</v>
      </c>
    </row>
    <row r="1390" spans="23:27" x14ac:dyDescent="0.2">
      <c r="W1390" s="203" t="str">
        <f t="shared" si="31"/>
        <v>1w</v>
      </c>
      <c r="X1390" s="287">
        <f>_xll.qlCalendarAdvance(Calendar,X1389,W1390,"f",FALSE)</f>
        <v>48688</v>
      </c>
      <c r="Y1390" s="281">
        <f>_xll.qlCalendarAdvance(Calendar,X1390,NDays&amp;"D")</f>
        <v>48690</v>
      </c>
      <c r="Z1390" s="282">
        <v>2.436932210401907E-2</v>
      </c>
      <c r="AA1390" s="284">
        <v>2.4325517943557529E-2</v>
      </c>
    </row>
    <row r="1391" spans="23:27" x14ac:dyDescent="0.2">
      <c r="W1391" s="203" t="str">
        <f t="shared" si="31"/>
        <v>1w</v>
      </c>
      <c r="X1391" s="287">
        <f>_xll.qlCalendarAdvance(Calendar,X1390,W1391,"f",FALSE)</f>
        <v>48695</v>
      </c>
      <c r="Y1391" s="281">
        <f>_xll.qlCalendarAdvance(Calendar,X1391,NDays&amp;"D")</f>
        <v>48697</v>
      </c>
      <c r="Z1391" s="282">
        <v>2.4364805698475576E-2</v>
      </c>
      <c r="AA1391" s="284">
        <v>2.4324742285289913E-2</v>
      </c>
    </row>
    <row r="1392" spans="23:27" x14ac:dyDescent="0.2">
      <c r="W1392" s="203" t="str">
        <f t="shared" si="31"/>
        <v>1w</v>
      </c>
      <c r="X1392" s="287">
        <f>_xll.qlCalendarAdvance(Calendar,X1391,W1392,"f",FALSE)</f>
        <v>48705</v>
      </c>
      <c r="Y1392" s="281">
        <f>_xll.qlCalendarAdvance(Calendar,X1392,NDays&amp;"D")</f>
        <v>48709</v>
      </c>
      <c r="Z1392" s="282">
        <v>2.4356057511242694E-2</v>
      </c>
      <c r="AA1392" s="284">
        <v>2.4313560769106957E-2</v>
      </c>
    </row>
    <row r="1393" spans="23:27" x14ac:dyDescent="0.2">
      <c r="W1393" s="203" t="str">
        <f t="shared" si="31"/>
        <v>1w</v>
      </c>
      <c r="X1393" s="287">
        <f>_xll.qlCalendarAdvance(Calendar,X1392,W1393,"f",FALSE)</f>
        <v>48712</v>
      </c>
      <c r="Y1393" s="281">
        <f>_xll.qlCalendarAdvance(Calendar,X1393,NDays&amp;"D")</f>
        <v>48716</v>
      </c>
      <c r="Z1393" s="282">
        <v>2.4350824375884598E-2</v>
      </c>
      <c r="AA1393" s="284">
        <v>2.4308978640110723E-2</v>
      </c>
    </row>
    <row r="1394" spans="23:27" x14ac:dyDescent="0.2">
      <c r="W1394" s="203" t="str">
        <f t="shared" si="31"/>
        <v>1w</v>
      </c>
      <c r="X1394" s="287">
        <f>_xll.qlCalendarAdvance(Calendar,X1393,W1394,"f",FALSE)</f>
        <v>48719</v>
      </c>
      <c r="Y1394" s="281">
        <f>_xll.qlCalendarAdvance(Calendar,X1394,NDays&amp;"D")</f>
        <v>48723</v>
      </c>
      <c r="Z1394" s="282">
        <v>2.4345495432266918E-2</v>
      </c>
      <c r="AA1394" s="284">
        <v>2.4304301282089824E-2</v>
      </c>
    </row>
    <row r="1395" spans="23:27" x14ac:dyDescent="0.2">
      <c r="W1395" s="203" t="str">
        <f t="shared" si="31"/>
        <v>1w</v>
      </c>
      <c r="X1395" s="287">
        <f>_xll.qlCalendarAdvance(Calendar,X1394,W1395,"f",FALSE)</f>
        <v>48726</v>
      </c>
      <c r="Y1395" s="281">
        <f>_xll.qlCalendarAdvance(Calendar,X1395,NDays&amp;"D")</f>
        <v>48731</v>
      </c>
      <c r="Z1395" s="282">
        <v>2.4339287895251201E-2</v>
      </c>
      <c r="AA1395" s="284">
        <v>2.4298839122804949E-2</v>
      </c>
    </row>
    <row r="1396" spans="23:27" x14ac:dyDescent="0.2">
      <c r="W1396" s="203" t="str">
        <f t="shared" si="31"/>
        <v>1w</v>
      </c>
      <c r="X1396" s="287">
        <f>_xll.qlCalendarAdvance(Calendar,X1395,W1396,"f",FALSE)</f>
        <v>48733</v>
      </c>
      <c r="Y1396" s="281">
        <f>_xll.qlCalendarAdvance(Calendar,X1396,NDays&amp;"D")</f>
        <v>48737</v>
      </c>
      <c r="Z1396" s="282">
        <v>2.4334550121810676E-2</v>
      </c>
      <c r="AA1396" s="284">
        <v>2.4294660878494412E-2</v>
      </c>
    </row>
    <row r="1397" spans="23:27" x14ac:dyDescent="0.2">
      <c r="W1397" s="203" t="str">
        <f t="shared" si="31"/>
        <v>1w</v>
      </c>
      <c r="X1397" s="287">
        <f>_xll.qlCalendarAdvance(Calendar,X1396,W1397,"f",FALSE)</f>
        <v>48740</v>
      </c>
      <c r="Y1397" s="281">
        <f>_xll.qlCalendarAdvance(Calendar,X1397,NDays&amp;"D")</f>
        <v>48744</v>
      </c>
      <c r="Z1397" s="282">
        <v>2.4328933755770613E-2</v>
      </c>
      <c r="AA1397" s="284">
        <v>2.4289697832919899E-2</v>
      </c>
    </row>
    <row r="1398" spans="23:27" x14ac:dyDescent="0.2">
      <c r="W1398" s="203" t="str">
        <f t="shared" si="31"/>
        <v>1w</v>
      </c>
      <c r="X1398" s="287">
        <f>_xll.qlCalendarAdvance(Calendar,X1397,W1398,"f",FALSE)</f>
        <v>48747</v>
      </c>
      <c r="Y1398" s="281">
        <f>_xll.qlCalendarAdvance(Calendar,X1398,NDays&amp;"D")</f>
        <v>48751</v>
      </c>
      <c r="Z1398" s="282">
        <v>2.4323221583067073E-2</v>
      </c>
      <c r="AA1398" s="284">
        <v>2.428463955832072E-2</v>
      </c>
    </row>
    <row r="1399" spans="23:27" x14ac:dyDescent="0.2">
      <c r="W1399" s="203" t="str">
        <f t="shared" si="31"/>
        <v>1w</v>
      </c>
      <c r="X1399" s="287">
        <f>_xll.qlCalendarAdvance(Calendar,X1398,W1399,"f",FALSE)</f>
        <v>48754</v>
      </c>
      <c r="Y1399" s="281">
        <f>_xll.qlCalendarAdvance(Calendar,X1399,NDays&amp;"D")</f>
        <v>48758</v>
      </c>
      <c r="Z1399" s="282">
        <v>2.4317413604118859E-2</v>
      </c>
      <c r="AA1399" s="284">
        <v>2.4279486054616939E-2</v>
      </c>
    </row>
    <row r="1400" spans="23:27" x14ac:dyDescent="0.2">
      <c r="W1400" s="203" t="str">
        <f t="shared" si="31"/>
        <v>1w</v>
      </c>
      <c r="X1400" s="287">
        <f>_xll.qlCalendarAdvance(Calendar,X1399,W1400,"f",FALSE)</f>
        <v>48761</v>
      </c>
      <c r="Y1400" s="281">
        <f>_xll.qlCalendarAdvance(Calendar,X1400,NDays&amp;"D")</f>
        <v>48765</v>
      </c>
      <c r="Z1400" s="282">
        <v>2.4311509819346499E-2</v>
      </c>
      <c r="AA1400" s="284">
        <v>2.4274237321648684E-2</v>
      </c>
    </row>
    <row r="1401" spans="23:27" x14ac:dyDescent="0.2">
      <c r="W1401" s="203" t="str">
        <f t="shared" si="31"/>
        <v>1w</v>
      </c>
      <c r="X1401" s="287">
        <f>_xll.qlCalendarAdvance(Calendar,X1400,W1401,"f",FALSE)</f>
        <v>48768</v>
      </c>
      <c r="Y1401" s="281">
        <f>_xll.qlCalendarAdvance(Calendar,X1401,NDays&amp;"D")</f>
        <v>48772</v>
      </c>
      <c r="Z1401" s="282">
        <v>2.4305510229184434E-2</v>
      </c>
      <c r="AA1401" s="284">
        <v>2.4268893359735699E-2</v>
      </c>
    </row>
    <row r="1402" spans="23:27" x14ac:dyDescent="0.2">
      <c r="W1402" s="203" t="str">
        <f t="shared" si="31"/>
        <v>1w</v>
      </c>
      <c r="X1402" s="287">
        <f>_xll.qlCalendarAdvance(Calendar,X1401,W1402,"f",FALSE)</f>
        <v>48775</v>
      </c>
      <c r="Y1402" s="281">
        <f>_xll.qlCalendarAdvance(Calendar,X1402,NDays&amp;"D")</f>
        <v>48780</v>
      </c>
      <c r="Z1402" s="282">
        <v>2.4299414834067962E-2</v>
      </c>
      <c r="AA1402" s="284">
        <v>2.4262669367454137E-2</v>
      </c>
    </row>
    <row r="1403" spans="23:27" x14ac:dyDescent="0.2">
      <c r="W1403" s="203" t="str">
        <f t="shared" si="31"/>
        <v>1w</v>
      </c>
      <c r="X1403" s="287">
        <f>_xll.qlCalendarAdvance(Calendar,X1402,W1403,"f",FALSE)</f>
        <v>48782</v>
      </c>
      <c r="Y1403" s="281">
        <f>_xll.qlCalendarAdvance(Calendar,X1403,NDays&amp;"D")</f>
        <v>48786</v>
      </c>
      <c r="Z1403" s="282">
        <v>2.4293223634443684E-2</v>
      </c>
      <c r="AA1403" s="284">
        <v>2.4257919748436052E-2</v>
      </c>
    </row>
    <row r="1404" spans="23:27" x14ac:dyDescent="0.2">
      <c r="W1404" s="203" t="str">
        <f t="shared" si="31"/>
        <v>1w</v>
      </c>
      <c r="X1404" s="287">
        <f>_xll.qlCalendarAdvance(Calendar,X1403,W1404,"f",FALSE)</f>
        <v>48789</v>
      </c>
      <c r="Y1404" s="281">
        <f>_xll.qlCalendarAdvance(Calendar,X1404,NDays&amp;"D")</f>
        <v>48793</v>
      </c>
      <c r="Z1404" s="282">
        <v>2.4286936630762545E-2</v>
      </c>
      <c r="AA1404" s="284">
        <v>2.4252290099049389E-2</v>
      </c>
    </row>
    <row r="1405" spans="23:27" x14ac:dyDescent="0.2">
      <c r="W1405" s="203" t="str">
        <f t="shared" si="31"/>
        <v>1w</v>
      </c>
      <c r="X1405" s="287">
        <f>_xll.qlCalendarAdvance(Calendar,X1404,W1405,"f",FALSE)</f>
        <v>48796</v>
      </c>
      <c r="Y1405" s="281">
        <f>_xll.qlCalendarAdvance(Calendar,X1405,NDays&amp;"D")</f>
        <v>48800</v>
      </c>
      <c r="Z1405" s="282">
        <v>2.4280553823485047E-2</v>
      </c>
      <c r="AA1405" s="284">
        <v>2.4246565220638061E-2</v>
      </c>
    </row>
    <row r="1406" spans="23:27" x14ac:dyDescent="0.2">
      <c r="W1406" s="203" t="str">
        <f t="shared" si="31"/>
        <v>1w</v>
      </c>
      <c r="X1406" s="287">
        <f>_xll.qlCalendarAdvance(Calendar,X1405,W1406,"f",FALSE)</f>
        <v>48803</v>
      </c>
      <c r="Y1406" s="281">
        <f>_xll.qlCalendarAdvance(Calendar,X1406,NDays&amp;"D")</f>
        <v>48807</v>
      </c>
      <c r="Z1406" s="282">
        <v>2.4274075213075164E-2</v>
      </c>
      <c r="AA1406" s="284">
        <v>2.4240745113042195E-2</v>
      </c>
    </row>
    <row r="1407" spans="23:27" x14ac:dyDescent="0.2">
      <c r="W1407" s="203" t="str">
        <f t="shared" si="31"/>
        <v>1w</v>
      </c>
      <c r="X1407" s="287">
        <f>_xll.qlCalendarAdvance(Calendar,X1406,W1407,"f",FALSE)</f>
        <v>48810</v>
      </c>
      <c r="Y1407" s="281">
        <f>_xll.qlCalendarAdvance(Calendar,X1407,NDays&amp;"D")</f>
        <v>48814</v>
      </c>
      <c r="Z1407" s="282">
        <v>2.4267828693111587E-2</v>
      </c>
      <c r="AA1407" s="284">
        <v>2.4234829776501599E-2</v>
      </c>
    </row>
    <row r="1408" spans="23:27" x14ac:dyDescent="0.2">
      <c r="W1408" s="203" t="str">
        <f t="shared" si="31"/>
        <v>1w</v>
      </c>
      <c r="X1408" s="287">
        <f>_xll.qlCalendarAdvance(Calendar,X1407,W1408,"f",FALSE)</f>
        <v>48817</v>
      </c>
      <c r="Y1408" s="281">
        <f>_xll.qlCalendarAdvance(Calendar,X1408,NDays&amp;"D")</f>
        <v>48822</v>
      </c>
      <c r="Z1408" s="282">
        <v>2.4259549635206656E-2</v>
      </c>
      <c r="AA1408" s="284">
        <v>2.4227952784805495E-2</v>
      </c>
    </row>
    <row r="1409" spans="23:27" x14ac:dyDescent="0.2">
      <c r="W1409" s="203" t="str">
        <f t="shared" si="31"/>
        <v>1w</v>
      </c>
      <c r="X1409" s="287">
        <f>_xll.qlCalendarAdvance(Calendar,X1408,W1409,"f",FALSE)</f>
        <v>48824</v>
      </c>
      <c r="Y1409" s="281">
        <f>_xll.qlCalendarAdvance(Calendar,X1409,NDays&amp;"D")</f>
        <v>48828</v>
      </c>
      <c r="Z1409" s="282">
        <v>2.4253750581648425E-2</v>
      </c>
      <c r="AA1409" s="284">
        <v>2.4222713416026664E-2</v>
      </c>
    </row>
    <row r="1410" spans="23:27" x14ac:dyDescent="0.2">
      <c r="W1410" s="203" t="str">
        <f t="shared" si="31"/>
        <v>1w</v>
      </c>
      <c r="X1410" s="287">
        <f>_xll.qlCalendarAdvance(Calendar,X1409,W1410,"f",FALSE)</f>
        <v>48831</v>
      </c>
      <c r="Y1410" s="281">
        <f>_xll.qlCalendarAdvance(Calendar,X1410,NDays&amp;"D")</f>
        <v>48835</v>
      </c>
      <c r="Z1410" s="282">
        <v>2.4246896066752524E-2</v>
      </c>
      <c r="AA1410" s="284">
        <v>2.4216512392172262E-2</v>
      </c>
    </row>
    <row r="1411" spans="23:27" x14ac:dyDescent="0.2">
      <c r="W1411" s="203" t="str">
        <f t="shared" si="31"/>
        <v>1w</v>
      </c>
      <c r="X1411" s="287">
        <f>_xll.qlCalendarAdvance(Calendar,X1410,W1411,"f",FALSE)</f>
        <v>48838</v>
      </c>
      <c r="Y1411" s="281">
        <f>_xll.qlCalendarAdvance(Calendar,X1411,NDays&amp;"D")</f>
        <v>48843</v>
      </c>
      <c r="Z1411" s="282">
        <v>2.423994575742577E-2</v>
      </c>
      <c r="AA1411" s="284">
        <v>2.4209308900688953E-2</v>
      </c>
    </row>
    <row r="1412" spans="23:27" x14ac:dyDescent="0.2">
      <c r="W1412" s="203" t="str">
        <f t="shared" si="31"/>
        <v>1w</v>
      </c>
      <c r="X1412" s="287">
        <f>_xll.qlCalendarAdvance(Calendar,X1411,W1412,"f",FALSE)</f>
        <v>48848</v>
      </c>
      <c r="Y1412" s="281">
        <f>_xll.qlCalendarAdvance(Calendar,X1412,NDays&amp;"D")</f>
        <v>48850</v>
      </c>
      <c r="Z1412" s="282">
        <v>2.4231885248104667E-2</v>
      </c>
      <c r="AA1412" s="284">
        <v>2.4202903814547483E-2</v>
      </c>
    </row>
    <row r="1413" spans="23:27" x14ac:dyDescent="0.2">
      <c r="W1413" s="203" t="str">
        <f t="shared" si="31"/>
        <v>1w</v>
      </c>
      <c r="X1413" s="287">
        <f>_xll.qlCalendarAdvance(Calendar,X1412,W1413,"f",FALSE)</f>
        <v>48855</v>
      </c>
      <c r="Y1413" s="281">
        <f>_xll.qlCalendarAdvance(Calendar,X1413,NDays&amp;"D")</f>
        <v>48857</v>
      </c>
      <c r="Z1413" s="282">
        <v>2.4225013355831361E-2</v>
      </c>
      <c r="AA1413" s="284">
        <v>2.4196403499301411E-2</v>
      </c>
    </row>
    <row r="1414" spans="23:27" x14ac:dyDescent="0.2">
      <c r="W1414" s="203" t="str">
        <f t="shared" si="31"/>
        <v>1w</v>
      </c>
      <c r="X1414" s="287">
        <f>_xll.qlCalendarAdvance(Calendar,X1413,W1414,"f",FALSE)</f>
        <v>48863</v>
      </c>
      <c r="Y1414" s="281">
        <f>_xll.qlCalendarAdvance(Calendar,X1414,NDays&amp;"D")</f>
        <v>48865</v>
      </c>
      <c r="Z1414" s="282">
        <v>2.4216709874504489E-2</v>
      </c>
      <c r="AA1414" s="284">
        <v>2.418885796062753E-2</v>
      </c>
    </row>
    <row r="1415" spans="23:27" x14ac:dyDescent="0.2">
      <c r="W1415" s="203" t="str">
        <f t="shared" si="31"/>
        <v>1w</v>
      </c>
      <c r="X1415" s="287">
        <f>_xll.qlCalendarAdvance(Calendar,X1414,W1415,"f",FALSE)</f>
        <v>48870</v>
      </c>
      <c r="Y1415" s="281">
        <f>_xll.qlCalendarAdvance(Calendar,X1415,NDays&amp;"D")</f>
        <v>48872</v>
      </c>
      <c r="Z1415" s="282">
        <v>2.4209341687098193E-2</v>
      </c>
      <c r="AA1415" s="284">
        <v>2.4182153583254262E-2</v>
      </c>
    </row>
    <row r="1416" spans="23:27" x14ac:dyDescent="0.2">
      <c r="W1416" s="203" t="str">
        <f t="shared" si="31"/>
        <v>1w</v>
      </c>
      <c r="X1416" s="287">
        <f>_xll.qlCalendarAdvance(Calendar,X1415,W1416,"f",FALSE)</f>
        <v>48877</v>
      </c>
      <c r="Y1416" s="281">
        <f>_xll.qlCalendarAdvance(Calendar,X1416,NDays&amp;"D")</f>
        <v>48879</v>
      </c>
      <c r="Z1416" s="282">
        <v>2.4201877701757964E-2</v>
      </c>
      <c r="AA1416" s="284">
        <v>2.4175353976776393E-2</v>
      </c>
    </row>
    <row r="1417" spans="23:27" x14ac:dyDescent="0.2">
      <c r="W1417" s="203" t="str">
        <f t="shared" si="31"/>
        <v>1w</v>
      </c>
      <c r="X1417" s="287">
        <f>_xll.qlCalendarAdvance(Calendar,X1416,W1417,"f",FALSE)</f>
        <v>48884</v>
      </c>
      <c r="Y1417" s="281">
        <f>_xll.qlCalendarAdvance(Calendar,X1417,NDays&amp;"D")</f>
        <v>48887</v>
      </c>
      <c r="Z1417" s="282">
        <v>2.4193732527750242E-2</v>
      </c>
      <c r="AA1417" s="284">
        <v>2.4168093358722942E-2</v>
      </c>
    </row>
    <row r="1418" spans="23:27" x14ac:dyDescent="0.2">
      <c r="W1418" s="203" t="str">
        <f t="shared" si="31"/>
        <v>1w</v>
      </c>
      <c r="X1418" s="287">
        <f>_xll.qlCalendarAdvance(Calendar,X1417,W1418,"f",FALSE)</f>
        <v>48891</v>
      </c>
      <c r="Y1418" s="281">
        <f>_xll.qlCalendarAdvance(Calendar,X1418,NDays&amp;"D")</f>
        <v>48893</v>
      </c>
      <c r="Z1418" s="282">
        <v>2.4186662339465259E-2</v>
      </c>
      <c r="AA1418" s="284">
        <v>2.416146907666672E-2</v>
      </c>
    </row>
    <row r="1419" spans="23:27" x14ac:dyDescent="0.2">
      <c r="W1419" s="203" t="str">
        <f t="shared" si="31"/>
        <v>1w</v>
      </c>
      <c r="X1419" s="287">
        <f>_xll.qlCalendarAdvance(Calendar,X1418,W1419,"f",FALSE)</f>
        <v>48898</v>
      </c>
      <c r="Y1419" s="281">
        <f>_xll.qlCalendarAdvance(Calendar,X1419,NDays&amp;"D")</f>
        <v>48900</v>
      </c>
      <c r="Z1419" s="282">
        <v>2.4178910963624067E-2</v>
      </c>
      <c r="AA1419" s="284">
        <v>2.415438378295498E-2</v>
      </c>
    </row>
    <row r="1420" spans="23:27" x14ac:dyDescent="0.2">
      <c r="W1420" s="203" t="str">
        <f t="shared" si="31"/>
        <v>1w</v>
      </c>
      <c r="X1420" s="287">
        <f>_xll.qlCalendarAdvance(Calendar,X1419,W1420,"f",FALSE)</f>
        <v>48905</v>
      </c>
      <c r="Y1420" s="281">
        <f>_xll.qlCalendarAdvance(Calendar,X1420,NDays&amp;"D")</f>
        <v>48908</v>
      </c>
      <c r="Z1420" s="282">
        <v>2.4171063792071512E-2</v>
      </c>
      <c r="AA1420" s="284">
        <v>2.4146752989464559E-2</v>
      </c>
    </row>
    <row r="1421" spans="23:27" x14ac:dyDescent="0.2">
      <c r="W1421" s="203" t="str">
        <f t="shared" si="31"/>
        <v>1w</v>
      </c>
      <c r="X1421" s="287">
        <f>_xll.qlCalendarAdvance(Calendar,X1420,W1421,"f",FALSE)</f>
        <v>48912</v>
      </c>
      <c r="Y1421" s="281">
        <f>_xll.qlCalendarAdvance(Calendar,X1421,NDays&amp;"D")</f>
        <v>48914</v>
      </c>
      <c r="Z1421" s="282">
        <v>2.4162672475891434E-2</v>
      </c>
      <c r="AA1421" s="284">
        <v>2.4139927508697312E-2</v>
      </c>
    </row>
    <row r="1422" spans="23:27" x14ac:dyDescent="0.2">
      <c r="W1422" s="203" t="str">
        <f t="shared" si="31"/>
        <v>1w</v>
      </c>
      <c r="X1422" s="287">
        <f>_xll.qlCalendarAdvance(Calendar,X1421,W1422,"f",FALSE)</f>
        <v>48919</v>
      </c>
      <c r="Y1422" s="281">
        <f>_xll.qlCalendarAdvance(Calendar,X1422,NDays&amp;"D")</f>
        <v>48921</v>
      </c>
      <c r="Z1422" s="282">
        <v>2.4154648473253992E-2</v>
      </c>
      <c r="AA1422" s="284">
        <v>2.4132556528071447E-2</v>
      </c>
    </row>
    <row r="1423" spans="23:27" x14ac:dyDescent="0.2">
      <c r="W1423" s="203" t="str">
        <f t="shared" si="31"/>
        <v>1w</v>
      </c>
      <c r="X1423" s="287">
        <f>_xll.qlCalendarAdvance(Calendar,X1422,W1423,"f",FALSE)</f>
        <v>48926</v>
      </c>
      <c r="Y1423" s="281">
        <f>_xll.qlCalendarAdvance(Calendar,X1423,NDays&amp;"D")</f>
        <v>48928</v>
      </c>
      <c r="Z1423" s="282">
        <v>2.4146528689016122E-2</v>
      </c>
      <c r="AA1423" s="284">
        <v>2.4125090318420916E-2</v>
      </c>
    </row>
    <row r="1424" spans="23:27" x14ac:dyDescent="0.2">
      <c r="W1424" s="203" t="str">
        <f t="shared" si="31"/>
        <v>1w</v>
      </c>
      <c r="X1424" s="287">
        <f>_xll.qlCalendarAdvance(Calendar,X1423,W1424,"f",FALSE)</f>
        <v>48933</v>
      </c>
      <c r="Y1424" s="281">
        <f>_xll.qlCalendarAdvance(Calendar,X1424,NDays&amp;"D")</f>
        <v>48935</v>
      </c>
      <c r="Z1424" s="282">
        <v>2.4138313123756028E-2</v>
      </c>
      <c r="AA1424" s="284">
        <v>2.4118841172966476E-2</v>
      </c>
    </row>
    <row r="1425" spans="23:27" x14ac:dyDescent="0.2">
      <c r="W1425" s="203" t="str">
        <f t="shared" si="31"/>
        <v>1w</v>
      </c>
      <c r="X1425" s="287">
        <f>_xll.qlCalendarAdvance(Calendar,X1424,W1425,"f",FALSE)</f>
        <v>48941</v>
      </c>
      <c r="Y1425" s="281">
        <f>_xll.qlCalendarAdvance(Calendar,X1425,NDays&amp;"D")</f>
        <v>48943</v>
      </c>
      <c r="Z1425" s="282">
        <v>2.4129000536103749E-2</v>
      </c>
      <c r="AA1425" s="284">
        <v>2.4109788383070097E-2</v>
      </c>
    </row>
    <row r="1426" spans="23:27" x14ac:dyDescent="0.2">
      <c r="W1426" s="203" t="str">
        <f t="shared" si="31"/>
        <v>1w</v>
      </c>
      <c r="X1426" s="287">
        <f>_xll.qlCalendarAdvance(Calendar,X1425,W1426,"f",FALSE)</f>
        <v>48948</v>
      </c>
      <c r="Y1426" s="281">
        <f>_xll.qlCalendarAdvance(Calendar,X1426,NDays&amp;"D")</f>
        <v>48950</v>
      </c>
      <c r="Z1426" s="282">
        <v>2.4120385815865397E-2</v>
      </c>
      <c r="AA1426" s="284">
        <v>2.4101747502400794E-2</v>
      </c>
    </row>
    <row r="1427" spans="23:27" x14ac:dyDescent="0.2">
      <c r="W1427" s="203" t="str">
        <f t="shared" si="31"/>
        <v>1w</v>
      </c>
      <c r="X1427" s="287">
        <f>_xll.qlCalendarAdvance(Calendar,X1426,W1427,"f",FALSE)</f>
        <v>48955</v>
      </c>
      <c r="Y1427" s="281">
        <f>_xll.qlCalendarAdvance(Calendar,X1427,NDays&amp;"D")</f>
        <v>48957</v>
      </c>
      <c r="Z1427" s="282">
        <v>2.411186922838926E-2</v>
      </c>
      <c r="AA1427" s="284">
        <v>2.409362534294246E-2</v>
      </c>
    </row>
    <row r="1428" spans="23:27" x14ac:dyDescent="0.2">
      <c r="W1428" s="203" t="str">
        <f t="shared" si="31"/>
        <v>1w</v>
      </c>
      <c r="X1428" s="287">
        <f>_xll.qlCalendarAdvance(Calendar,X1427,W1428,"f",FALSE)</f>
        <v>48962</v>
      </c>
      <c r="Y1428" s="281">
        <f>_xll.qlCalendarAdvance(Calendar,X1428,NDays&amp;"D")</f>
        <v>48964</v>
      </c>
      <c r="Z1428" s="282">
        <v>2.4103256862367139E-2</v>
      </c>
      <c r="AA1428" s="284">
        <v>2.4085654713532634E-2</v>
      </c>
    </row>
    <row r="1429" spans="23:27" x14ac:dyDescent="0.2">
      <c r="W1429" s="203" t="str">
        <f t="shared" ref="W1429:W1492" si="32">W1428</f>
        <v>1w</v>
      </c>
      <c r="X1429" s="287">
        <f>_xll.qlCalendarAdvance(Calendar,X1428,W1429,"f",FALSE)</f>
        <v>48969</v>
      </c>
      <c r="Y1429" s="281">
        <f>_xll.qlCalendarAdvance(Calendar,X1429,NDays&amp;"D")</f>
        <v>48971</v>
      </c>
      <c r="Z1429" s="282">
        <v>2.4094548718413655E-2</v>
      </c>
      <c r="AA1429" s="284">
        <v>2.4077588842761344E-2</v>
      </c>
    </row>
    <row r="1430" spans="23:27" x14ac:dyDescent="0.2">
      <c r="W1430" s="203" t="str">
        <f t="shared" si="32"/>
        <v>1w</v>
      </c>
      <c r="X1430" s="287">
        <f>_xll.qlCalendarAdvance(Calendar,X1429,W1430,"f",FALSE)</f>
        <v>48976</v>
      </c>
      <c r="Y1430" s="281">
        <f>_xll.qlCalendarAdvance(Calendar,X1430,NDays&amp;"D")</f>
        <v>48978</v>
      </c>
      <c r="Z1430" s="282">
        <v>2.408636789641758E-2</v>
      </c>
      <c r="AA1430" s="284">
        <v>2.4069427730655235E-2</v>
      </c>
    </row>
    <row r="1431" spans="23:27" x14ac:dyDescent="0.2">
      <c r="W1431" s="203" t="str">
        <f t="shared" si="32"/>
        <v>1w</v>
      </c>
      <c r="X1431" s="287">
        <f>_xll.qlCalendarAdvance(Calendar,X1430,W1431,"f",FALSE)</f>
        <v>48983</v>
      </c>
      <c r="Y1431" s="281">
        <f>_xll.qlCalendarAdvance(Calendar,X1431,NDays&amp;"D")</f>
        <v>48985</v>
      </c>
      <c r="Z1431" s="282">
        <v>2.4076695003021741E-2</v>
      </c>
      <c r="AA1431" s="284">
        <v>2.4061171377240953E-2</v>
      </c>
    </row>
    <row r="1432" spans="23:27" x14ac:dyDescent="0.2">
      <c r="W1432" s="203" t="str">
        <f t="shared" si="32"/>
        <v>1w</v>
      </c>
      <c r="X1432" s="287">
        <f>_xll.qlCalendarAdvance(Calendar,X1431,W1432,"f",FALSE)</f>
        <v>48990</v>
      </c>
      <c r="Y1432" s="281">
        <f>_xll.qlCalendarAdvance(Calendar,X1432,NDays&amp;"D")</f>
        <v>48992</v>
      </c>
      <c r="Z1432" s="282">
        <v>2.4067706969368663E-2</v>
      </c>
      <c r="AA1432" s="284">
        <v>2.4052819782518498E-2</v>
      </c>
    </row>
    <row r="1433" spans="23:27" x14ac:dyDescent="0.2">
      <c r="W1433" s="203" t="str">
        <f t="shared" si="32"/>
        <v>1w</v>
      </c>
      <c r="X1433" s="287">
        <f>_xll.qlCalendarAdvance(Calendar,X1432,W1433,"f",FALSE)</f>
        <v>48997</v>
      </c>
      <c r="Y1433" s="281">
        <f>_xll.qlCalendarAdvance(Calendar,X1433,NDays&amp;"D")</f>
        <v>48999</v>
      </c>
      <c r="Z1433" s="282">
        <v>2.4058623166424663E-2</v>
      </c>
      <c r="AA1433" s="284">
        <v>2.4044372946541159E-2</v>
      </c>
    </row>
    <row r="1434" spans="23:27" x14ac:dyDescent="0.2">
      <c r="W1434" s="203" t="str">
        <f t="shared" si="32"/>
        <v>1w</v>
      </c>
      <c r="X1434" s="287">
        <f>_xll.qlCalendarAdvance(Calendar,X1433,W1434,"f",FALSE)</f>
        <v>49004</v>
      </c>
      <c r="Y1434" s="281">
        <f>_xll.qlCalendarAdvance(Calendar,X1434,NDays&amp;"D")</f>
        <v>49006</v>
      </c>
      <c r="Z1434" s="282">
        <v>2.4050075320123564E-2</v>
      </c>
      <c r="AA1434" s="284">
        <v>2.4035830869308938E-2</v>
      </c>
    </row>
    <row r="1435" spans="23:27" x14ac:dyDescent="0.2">
      <c r="W1435" s="203" t="str">
        <f t="shared" si="32"/>
        <v>1w</v>
      </c>
      <c r="X1435" s="287">
        <f>_xll.qlCalendarAdvance(Calendar,X1434,W1435,"f",FALSE)</f>
        <v>49011</v>
      </c>
      <c r="Y1435" s="281">
        <f>_xll.qlCalendarAdvance(Calendar,X1435,NDays&amp;"D")</f>
        <v>49013</v>
      </c>
      <c r="Z1435" s="282">
        <v>2.4040762678151101E-2</v>
      </c>
      <c r="AA1435" s="284">
        <v>2.4027193550821835E-2</v>
      </c>
    </row>
    <row r="1436" spans="23:27" x14ac:dyDescent="0.2">
      <c r="W1436" s="203" t="str">
        <f t="shared" si="32"/>
        <v>1w</v>
      </c>
      <c r="X1436" s="287">
        <f>_xll.qlCalendarAdvance(Calendar,X1435,W1436,"f",FALSE)</f>
        <v>49018</v>
      </c>
      <c r="Y1436" s="281">
        <f>_xll.qlCalendarAdvance(Calendar,X1436,NDays&amp;"D")</f>
        <v>49020</v>
      </c>
      <c r="Z1436" s="282">
        <v>2.4031355631163768E-2</v>
      </c>
      <c r="AA1436" s="284">
        <v>2.4018634179217013E-2</v>
      </c>
    </row>
    <row r="1437" spans="23:27" x14ac:dyDescent="0.2">
      <c r="W1437" s="203" t="str">
        <f t="shared" si="32"/>
        <v>1w</v>
      </c>
      <c r="X1437" s="287">
        <f>_xll.qlCalendarAdvance(Calendar,X1436,W1437,"f",FALSE)</f>
        <v>49025</v>
      </c>
      <c r="Y1437" s="281">
        <f>_xll.qlCalendarAdvance(Calendar,X1437,NDays&amp;"D")</f>
        <v>49027</v>
      </c>
      <c r="Z1437" s="282">
        <v>2.4021861143676489E-2</v>
      </c>
      <c r="AA1437" s="284">
        <v>2.4009633190269497E-2</v>
      </c>
    </row>
    <row r="1438" spans="23:27" x14ac:dyDescent="0.2">
      <c r="W1438" s="203" t="str">
        <f t="shared" si="32"/>
        <v>1w</v>
      </c>
      <c r="X1438" s="287">
        <f>_xll.qlCalendarAdvance(Calendar,X1437,W1438,"f",FALSE)</f>
        <v>49032</v>
      </c>
      <c r="Y1438" s="281">
        <f>_xll.qlCalendarAdvance(Calendar,X1438,NDays&amp;"D")</f>
        <v>49034</v>
      </c>
      <c r="Z1438" s="282">
        <v>2.4011987153952523E-2</v>
      </c>
      <c r="AA1438" s="284">
        <v>2.4000710148230908E-2</v>
      </c>
    </row>
    <row r="1439" spans="23:27" x14ac:dyDescent="0.2">
      <c r="W1439" s="203" t="str">
        <f t="shared" si="32"/>
        <v>1w</v>
      </c>
      <c r="X1439" s="287">
        <f>_xll.qlCalendarAdvance(Calendar,X1438,W1439,"f",FALSE)</f>
        <v>49039</v>
      </c>
      <c r="Y1439" s="281">
        <f>_xll.qlCalendarAdvance(Calendar,X1439,NDays&amp;"D")</f>
        <v>49045</v>
      </c>
      <c r="Z1439" s="282">
        <v>2.399682095869287E-2</v>
      </c>
      <c r="AA1439" s="284">
        <v>2.3986200182948281E-2</v>
      </c>
    </row>
    <row r="1440" spans="23:27" x14ac:dyDescent="0.2">
      <c r="W1440" s="203" t="str">
        <f t="shared" si="32"/>
        <v>1w</v>
      </c>
      <c r="X1440" s="287">
        <f>_xll.qlCalendarAdvance(Calendar,X1439,W1440,"f",FALSE)</f>
        <v>49046</v>
      </c>
      <c r="Y1440" s="281">
        <f>_xll.qlCalendarAdvance(Calendar,X1440,NDays&amp;"D")</f>
        <v>49048</v>
      </c>
      <c r="Z1440" s="282">
        <v>2.3992657590540659E-2</v>
      </c>
      <c r="AA1440" s="284">
        <v>2.3982578340708827E-2</v>
      </c>
    </row>
    <row r="1441" spans="23:27" x14ac:dyDescent="0.2">
      <c r="W1441" s="203" t="str">
        <f t="shared" si="32"/>
        <v>1w</v>
      </c>
      <c r="X1441" s="287">
        <f>_xll.qlCalendarAdvance(Calendar,X1440,W1441,"f",FALSE)</f>
        <v>49053</v>
      </c>
      <c r="Y1441" s="281">
        <f>_xll.qlCalendarAdvance(Calendar,X1441,NDays&amp;"D")</f>
        <v>49055</v>
      </c>
      <c r="Z1441" s="282">
        <v>2.3982904007858925E-2</v>
      </c>
      <c r="AA1441" s="284">
        <v>2.3973369575278625E-2</v>
      </c>
    </row>
    <row r="1442" spans="23:27" x14ac:dyDescent="0.2">
      <c r="W1442" s="203" t="str">
        <f t="shared" si="32"/>
        <v>1w</v>
      </c>
      <c r="X1442" s="287">
        <f>_xll.qlCalendarAdvance(Calendar,X1441,W1442,"f",FALSE)</f>
        <v>49060</v>
      </c>
      <c r="Y1442" s="281">
        <f>_xll.qlCalendarAdvance(Calendar,X1442,NDays&amp;"D")</f>
        <v>49062</v>
      </c>
      <c r="Z1442" s="282">
        <v>2.3973369598350096E-2</v>
      </c>
      <c r="AA1442" s="284">
        <v>2.3964194311782983E-2</v>
      </c>
    </row>
    <row r="1443" spans="23:27" x14ac:dyDescent="0.2">
      <c r="W1443" s="203" t="str">
        <f t="shared" si="32"/>
        <v>1w</v>
      </c>
      <c r="X1443" s="287">
        <f>_xll.qlCalendarAdvance(Calendar,X1442,W1443,"f",FALSE)</f>
        <v>49072</v>
      </c>
      <c r="Y1443" s="281">
        <f>_xll.qlCalendarAdvance(Calendar,X1443,NDays&amp;"D")</f>
        <v>49074</v>
      </c>
      <c r="Z1443" s="282">
        <v>2.3956301810569534E-2</v>
      </c>
      <c r="AA1443" s="284">
        <v>2.3947660144907346E-2</v>
      </c>
    </row>
    <row r="1444" spans="23:27" x14ac:dyDescent="0.2">
      <c r="W1444" s="203" t="str">
        <f t="shared" si="32"/>
        <v>1w</v>
      </c>
      <c r="X1444" s="287">
        <f>_xll.qlCalendarAdvance(Calendar,X1443,W1444,"f",FALSE)</f>
        <v>49079</v>
      </c>
      <c r="Y1444" s="281">
        <f>_xll.qlCalendarAdvance(Calendar,X1444,NDays&amp;"D")</f>
        <v>49081</v>
      </c>
      <c r="Z1444" s="282">
        <v>2.394641426716116E-2</v>
      </c>
      <c r="AA1444" s="284">
        <v>2.3938112502870368E-2</v>
      </c>
    </row>
    <row r="1445" spans="23:27" x14ac:dyDescent="0.2">
      <c r="W1445" s="203" t="str">
        <f t="shared" si="32"/>
        <v>1w</v>
      </c>
      <c r="X1445" s="287">
        <f>_xll.qlCalendarAdvance(Calendar,X1444,W1445,"f",FALSE)</f>
        <v>49086</v>
      </c>
      <c r="Y1445" s="281">
        <f>_xll.qlCalendarAdvance(Calendar,X1445,NDays&amp;"D")</f>
        <v>49088</v>
      </c>
      <c r="Z1445" s="282">
        <v>2.3936511434404738E-2</v>
      </c>
      <c r="AA1445" s="284">
        <v>2.3928469632048532E-2</v>
      </c>
    </row>
    <row r="1446" spans="23:27" x14ac:dyDescent="0.2">
      <c r="W1446" s="203" t="str">
        <f t="shared" si="32"/>
        <v>1w</v>
      </c>
      <c r="X1446" s="287">
        <f>_xll.qlCalendarAdvance(Calendar,X1445,W1446,"f",FALSE)</f>
        <v>49094</v>
      </c>
      <c r="Y1446" s="281">
        <f>_xll.qlCalendarAdvance(Calendar,X1446,NDays&amp;"D")</f>
        <v>49096</v>
      </c>
      <c r="Z1446" s="282">
        <v>2.3925186140884354E-2</v>
      </c>
      <c r="AA1446" s="284">
        <v>2.3917332601390839E-2</v>
      </c>
    </row>
    <row r="1447" spans="23:27" x14ac:dyDescent="0.2">
      <c r="W1447" s="203" t="str">
        <f t="shared" si="32"/>
        <v>1w</v>
      </c>
      <c r="X1447" s="287">
        <f>_xll.qlCalendarAdvance(Calendar,X1446,W1447,"f",FALSE)</f>
        <v>49101</v>
      </c>
      <c r="Y1447" s="281">
        <f>_xll.qlCalendarAdvance(Calendar,X1447,NDays&amp;"D")</f>
        <v>49103</v>
      </c>
      <c r="Z1447" s="282">
        <v>2.3915279292255946E-2</v>
      </c>
      <c r="AA1447" s="284">
        <v>2.3907485668681616E-2</v>
      </c>
    </row>
    <row r="1448" spans="23:27" x14ac:dyDescent="0.2">
      <c r="W1448" s="203" t="str">
        <f t="shared" si="32"/>
        <v>1w</v>
      </c>
      <c r="X1448" s="287">
        <f>_xll.qlCalendarAdvance(Calendar,X1447,W1448,"f",FALSE)</f>
        <v>49108</v>
      </c>
      <c r="Y1448" s="281">
        <f>_xll.qlCalendarAdvance(Calendar,X1448,NDays&amp;"D")</f>
        <v>49110</v>
      </c>
      <c r="Z1448" s="282">
        <v>2.3905383872646142E-2</v>
      </c>
      <c r="AA1448" s="284">
        <v>2.3897557542680303E-2</v>
      </c>
    </row>
    <row r="1449" spans="23:27" x14ac:dyDescent="0.2">
      <c r="W1449" s="203" t="str">
        <f t="shared" si="32"/>
        <v>1w</v>
      </c>
      <c r="X1449" s="287">
        <f>_xll.qlCalendarAdvance(Calendar,X1448,W1449,"f",FALSE)</f>
        <v>49115</v>
      </c>
      <c r="Y1449" s="281">
        <f>_xll.qlCalendarAdvance(Calendar,X1449,NDays&amp;"D")</f>
        <v>49117</v>
      </c>
      <c r="Z1449" s="282">
        <v>2.3895504606682584E-2</v>
      </c>
      <c r="AA1449" s="284">
        <v>2.3887631677270704E-2</v>
      </c>
    </row>
    <row r="1450" spans="23:27" x14ac:dyDescent="0.2">
      <c r="W1450" s="203" t="str">
        <f t="shared" si="32"/>
        <v>1w</v>
      </c>
      <c r="X1450" s="287">
        <f>_xll.qlCalendarAdvance(Calendar,X1449,W1450,"f",FALSE)</f>
        <v>49122</v>
      </c>
      <c r="Y1450" s="281">
        <f>_xll.qlCalendarAdvance(Calendar,X1450,NDays&amp;"D")</f>
        <v>49124</v>
      </c>
      <c r="Z1450" s="282">
        <v>2.3885641759725181E-2</v>
      </c>
      <c r="AA1450" s="284">
        <v>2.3877722108025523E-2</v>
      </c>
    </row>
    <row r="1451" spans="23:27" x14ac:dyDescent="0.2">
      <c r="W1451" s="203" t="str">
        <f t="shared" si="32"/>
        <v>1w</v>
      </c>
      <c r="X1451" s="287">
        <f>_xll.qlCalendarAdvance(Calendar,X1450,W1451,"f",FALSE)</f>
        <v>49129</v>
      </c>
      <c r="Y1451" s="281">
        <f>_xll.qlCalendarAdvance(Calendar,X1451,NDays&amp;"D")</f>
        <v>49131</v>
      </c>
      <c r="Z1451" s="282">
        <v>2.3875795331648814E-2</v>
      </c>
      <c r="AA1451" s="284">
        <v>2.3867828834864824E-2</v>
      </c>
    </row>
    <row r="1452" spans="23:27" x14ac:dyDescent="0.2">
      <c r="W1452" s="203" t="str">
        <f t="shared" si="32"/>
        <v>1w</v>
      </c>
      <c r="X1452" s="287">
        <f>_xll.qlCalendarAdvance(Calendar,X1451,W1452,"f",FALSE)</f>
        <v>49136</v>
      </c>
      <c r="Y1452" s="281">
        <f>_xll.qlCalendarAdvance(Calendar,X1452,NDays&amp;"D")</f>
        <v>49138</v>
      </c>
      <c r="Z1452" s="282">
        <v>2.3865965322331845E-2</v>
      </c>
      <c r="AA1452" s="284">
        <v>2.3857951857788606E-2</v>
      </c>
    </row>
    <row r="1453" spans="23:27" x14ac:dyDescent="0.2">
      <c r="W1453" s="203" t="str">
        <f t="shared" si="32"/>
        <v>1w</v>
      </c>
      <c r="X1453" s="287">
        <f>_xll.qlCalendarAdvance(Calendar,X1452,W1453,"f",FALSE)</f>
        <v>49143</v>
      </c>
      <c r="Y1453" s="281">
        <f>_xll.qlCalendarAdvance(Calendar,X1453,NDays&amp;"D")</f>
        <v>49145</v>
      </c>
      <c r="Z1453" s="282">
        <v>2.3856151731650892E-2</v>
      </c>
      <c r="AA1453" s="284">
        <v>2.3848091176796871E-2</v>
      </c>
    </row>
    <row r="1454" spans="23:27" x14ac:dyDescent="0.2">
      <c r="W1454" s="203" t="str">
        <f t="shared" si="32"/>
        <v>1w</v>
      </c>
      <c r="X1454" s="287">
        <f>_xll.qlCalendarAdvance(Calendar,X1453,W1454,"f",FALSE)</f>
        <v>49150</v>
      </c>
      <c r="Y1454" s="281">
        <f>_xll.qlCalendarAdvance(Calendar,X1454,NDays&amp;"D")</f>
        <v>49152</v>
      </c>
      <c r="Z1454" s="282">
        <v>2.3846354559483442E-2</v>
      </c>
      <c r="AA1454" s="284">
        <v>2.3838246791809681E-2</v>
      </c>
    </row>
    <row r="1455" spans="23:27" x14ac:dyDescent="0.2">
      <c r="W1455" s="203" t="str">
        <f t="shared" si="32"/>
        <v>1w</v>
      </c>
      <c r="X1455" s="287">
        <f>_xll.qlCalendarAdvance(Calendar,X1454,W1455,"f",FALSE)</f>
        <v>49157</v>
      </c>
      <c r="Y1455" s="281">
        <f>_xll.qlCalendarAdvance(Calendar,X1455,NDays&amp;"D")</f>
        <v>49159</v>
      </c>
      <c r="Z1455" s="282">
        <v>2.3836850263019807E-2</v>
      </c>
      <c r="AA1455" s="284">
        <v>2.3828418703066845E-2</v>
      </c>
    </row>
    <row r="1456" spans="23:27" x14ac:dyDescent="0.2">
      <c r="W1456" s="203" t="str">
        <f t="shared" si="32"/>
        <v>1w</v>
      </c>
      <c r="X1456" s="287">
        <f>_xll.qlCalendarAdvance(Calendar,X1455,W1456,"f",FALSE)</f>
        <v>49164</v>
      </c>
      <c r="Y1456" s="281">
        <f>_xll.qlCalendarAdvance(Calendar,X1456,NDays&amp;"D")</f>
        <v>49166</v>
      </c>
      <c r="Z1456" s="282">
        <v>2.3826809470199016E-2</v>
      </c>
      <c r="AA1456" s="284">
        <v>2.3818606910328555E-2</v>
      </c>
    </row>
    <row r="1457" spans="23:27" x14ac:dyDescent="0.2">
      <c r="W1457" s="203" t="str">
        <f t="shared" si="32"/>
        <v>1w</v>
      </c>
      <c r="X1457" s="287">
        <f>_xll.qlCalendarAdvance(Calendar,X1456,W1457,"f",FALSE)</f>
        <v>49171</v>
      </c>
      <c r="Y1457" s="281">
        <f>_xll.qlCalendarAdvance(Calendar,X1457,NDays&amp;"D")</f>
        <v>49173</v>
      </c>
      <c r="Z1457" s="282">
        <v>2.3817061552838758E-2</v>
      </c>
      <c r="AA1457" s="284">
        <v>2.3808811413754682E-2</v>
      </c>
    </row>
    <row r="1458" spans="23:27" x14ac:dyDescent="0.2">
      <c r="W1458" s="203" t="str">
        <f t="shared" si="32"/>
        <v>1w</v>
      </c>
      <c r="X1458" s="287">
        <f>_xll.qlCalendarAdvance(Calendar,X1457,W1458,"f",FALSE)</f>
        <v>49178</v>
      </c>
      <c r="Y1458" s="281">
        <f>_xll.qlCalendarAdvance(Calendar,X1458,NDays&amp;"D")</f>
        <v>49180</v>
      </c>
      <c r="Z1458" s="282">
        <v>2.3807330053501958E-2</v>
      </c>
      <c r="AA1458" s="284">
        <v>2.3799032213265292E-2</v>
      </c>
    </row>
    <row r="1459" spans="23:27" x14ac:dyDescent="0.2">
      <c r="W1459" s="203" t="str">
        <f t="shared" si="32"/>
        <v>1w</v>
      </c>
      <c r="X1459" s="287">
        <f>_xll.qlCalendarAdvance(Calendar,X1458,W1459,"f",FALSE)</f>
        <v>49185</v>
      </c>
      <c r="Y1459" s="281">
        <f>_xll.qlCalendarAdvance(Calendar,X1459,NDays&amp;"D")</f>
        <v>49187</v>
      </c>
      <c r="Z1459" s="282">
        <v>2.3797520807772227E-2</v>
      </c>
      <c r="AA1459" s="284">
        <v>2.3789269308860383E-2</v>
      </c>
    </row>
    <row r="1460" spans="23:27" x14ac:dyDescent="0.2">
      <c r="W1460" s="203" t="str">
        <f t="shared" si="32"/>
        <v>1w</v>
      </c>
      <c r="X1460" s="287">
        <f>_xll.qlCalendarAdvance(Calendar,X1459,W1460,"f",FALSE)</f>
        <v>49192</v>
      </c>
      <c r="Y1460" s="281">
        <f>_xll.qlCalendarAdvance(Calendar,X1460,NDays&amp;"D")</f>
        <v>49194</v>
      </c>
      <c r="Z1460" s="282">
        <v>2.3787821610560683E-2</v>
      </c>
      <c r="AA1460" s="284">
        <v>2.3779522700539957E-2</v>
      </c>
    </row>
    <row r="1461" spans="23:27" x14ac:dyDescent="0.2">
      <c r="W1461" s="203" t="str">
        <f t="shared" si="32"/>
        <v>1w</v>
      </c>
      <c r="X1461" s="287">
        <f>_xll.qlCalendarAdvance(Calendar,X1460,W1461,"f",FALSE)</f>
        <v>49199</v>
      </c>
      <c r="Y1461" s="281">
        <f>_xll.qlCalendarAdvance(Calendar,X1461,NDays&amp;"D")</f>
        <v>49201</v>
      </c>
      <c r="Z1461" s="282">
        <v>2.3778138829677657E-2</v>
      </c>
      <c r="AA1461" s="284">
        <v>2.3769792388383948E-2</v>
      </c>
    </row>
    <row r="1462" spans="23:27" x14ac:dyDescent="0.2">
      <c r="W1462" s="203" t="str">
        <f t="shared" si="32"/>
        <v>1w</v>
      </c>
      <c r="X1462" s="287">
        <f>_xll.qlCalendarAdvance(Calendar,X1461,W1462,"f",FALSE)</f>
        <v>49206</v>
      </c>
      <c r="Y1462" s="281">
        <f>_xll.qlCalendarAdvance(Calendar,X1462,NDays&amp;"D")</f>
        <v>49208</v>
      </c>
      <c r="Z1462" s="282">
        <v>2.3768472465003684E-2</v>
      </c>
      <c r="AA1462" s="284">
        <v>2.3760078372152549E-2</v>
      </c>
    </row>
    <row r="1463" spans="23:27" x14ac:dyDescent="0.2">
      <c r="W1463" s="203" t="str">
        <f t="shared" si="32"/>
        <v>1w</v>
      </c>
      <c r="X1463" s="287">
        <f>_xll.qlCalendarAdvance(Calendar,X1462,W1463,"f",FALSE)</f>
        <v>49213</v>
      </c>
      <c r="Y1463" s="281">
        <f>_xll.qlCalendarAdvance(Calendar,X1463,NDays&amp;"D")</f>
        <v>49215</v>
      </c>
      <c r="Z1463" s="282">
        <v>2.3758822516418417E-2</v>
      </c>
      <c r="AA1463" s="284">
        <v>2.3750380652085568E-2</v>
      </c>
    </row>
    <row r="1464" spans="23:27" x14ac:dyDescent="0.2">
      <c r="W1464" s="203" t="str">
        <f t="shared" si="32"/>
        <v>1w</v>
      </c>
      <c r="X1464" s="287">
        <f>_xll.qlCalendarAdvance(Calendar,X1463,W1464,"f",FALSE)</f>
        <v>49220</v>
      </c>
      <c r="Y1464" s="281">
        <f>_xll.qlCalendarAdvance(Calendar,X1464,NDays&amp;"D")</f>
        <v>49222</v>
      </c>
      <c r="Z1464" s="282">
        <v>2.3749285829209734E-2</v>
      </c>
      <c r="AA1464" s="284">
        <v>2.3740699228103068E-2</v>
      </c>
    </row>
    <row r="1465" spans="23:27" x14ac:dyDescent="0.2">
      <c r="W1465" s="203" t="str">
        <f t="shared" si="32"/>
        <v>1w</v>
      </c>
      <c r="X1465" s="287">
        <f>_xll.qlCalendarAdvance(Calendar,X1464,W1465,"f",FALSE)</f>
        <v>49227</v>
      </c>
      <c r="Y1465" s="281">
        <f>_xll.qlCalendarAdvance(Calendar,X1465,NDays&amp;"D")</f>
        <v>49229</v>
      </c>
      <c r="Z1465" s="282">
        <v>2.3739669252652924E-2</v>
      </c>
      <c r="AA1465" s="284">
        <v>2.3731034100205051E-2</v>
      </c>
    </row>
    <row r="1466" spans="23:27" x14ac:dyDescent="0.2">
      <c r="W1466" s="203" t="str">
        <f t="shared" si="32"/>
        <v>1w</v>
      </c>
      <c r="X1466" s="287">
        <f>_xll.qlCalendarAdvance(Calendar,X1465,W1466,"f",FALSE)</f>
        <v>49234</v>
      </c>
      <c r="Y1466" s="281">
        <f>_xll.qlCalendarAdvance(Calendar,X1466,NDays&amp;"D")</f>
        <v>49236</v>
      </c>
      <c r="Z1466" s="282">
        <v>2.3730069093154262E-2</v>
      </c>
      <c r="AA1466" s="284">
        <v>2.3721385268471451E-2</v>
      </c>
    </row>
    <row r="1467" spans="23:27" x14ac:dyDescent="0.2">
      <c r="W1467" s="203" t="str">
        <f t="shared" si="32"/>
        <v>1w</v>
      </c>
      <c r="X1467" s="287">
        <f>_xll.qlCalendarAdvance(Calendar,X1466,W1467,"f",FALSE)</f>
        <v>49241</v>
      </c>
      <c r="Y1467" s="281">
        <f>_xll.qlCalendarAdvance(Calendar,X1467,NDays&amp;"D")</f>
        <v>49243</v>
      </c>
      <c r="Z1467" s="282">
        <v>2.3720485350592107E-2</v>
      </c>
      <c r="AA1467" s="284">
        <v>2.3711752732662461E-2</v>
      </c>
    </row>
    <row r="1468" spans="23:27" x14ac:dyDescent="0.2">
      <c r="W1468" s="203" t="str">
        <f t="shared" si="32"/>
        <v>1w</v>
      </c>
      <c r="X1468" s="287">
        <f>_xll.qlCalendarAdvance(Calendar,X1467,W1468,"f",FALSE)</f>
        <v>49248</v>
      </c>
      <c r="Y1468" s="281">
        <f>_xll.qlCalendarAdvance(Calendar,X1468,NDays&amp;"D")</f>
        <v>49250</v>
      </c>
      <c r="Z1468" s="282">
        <v>2.3710918024849158E-2</v>
      </c>
      <c r="AA1468" s="284">
        <v>2.3702418691442517E-2</v>
      </c>
    </row>
    <row r="1469" spans="23:27" x14ac:dyDescent="0.2">
      <c r="W1469" s="203" t="str">
        <f t="shared" si="32"/>
        <v>1w</v>
      </c>
      <c r="X1469" s="287">
        <f>_xll.qlCalendarAdvance(Calendar,X1468,W1469,"f",FALSE)</f>
        <v>49255</v>
      </c>
      <c r="Y1469" s="281">
        <f>_xll.qlCalendarAdvance(Calendar,X1469,NDays&amp;"D")</f>
        <v>49257</v>
      </c>
      <c r="Z1469" s="282">
        <v>2.3701367115803777E-2</v>
      </c>
      <c r="AA1469" s="284">
        <v>2.3692536549537735E-2</v>
      </c>
    </row>
    <row r="1470" spans="23:27" x14ac:dyDescent="0.2">
      <c r="W1470" s="203" t="str">
        <f t="shared" si="32"/>
        <v>1w</v>
      </c>
      <c r="X1470" s="287">
        <f>_xll.qlCalendarAdvance(Calendar,X1469,W1470,"f",FALSE)</f>
        <v>49262</v>
      </c>
      <c r="Y1470" s="281">
        <f>_xll.qlCalendarAdvance(Calendar,X1470,NDays&amp;"D")</f>
        <v>49264</v>
      </c>
      <c r="Z1470" s="282">
        <v>2.369183262333693E-2</v>
      </c>
      <c r="AA1470" s="284">
        <v>2.3682952902062127E-2</v>
      </c>
    </row>
    <row r="1471" spans="23:27" x14ac:dyDescent="0.2">
      <c r="W1471" s="203" t="str">
        <f t="shared" si="32"/>
        <v>1w</v>
      </c>
      <c r="X1471" s="287">
        <f>_xll.qlCalendarAdvance(Calendar,X1470,W1471,"f",FALSE)</f>
        <v>49269</v>
      </c>
      <c r="Y1471" s="281">
        <f>_xll.qlCalendarAdvance(Calendar,X1471,NDays&amp;"D")</f>
        <v>49272</v>
      </c>
      <c r="Z1471" s="282">
        <v>2.3681157799158355E-2</v>
      </c>
      <c r="AA1471" s="284">
        <v>2.3672211548415589E-2</v>
      </c>
    </row>
    <row r="1472" spans="23:27" x14ac:dyDescent="0.2">
      <c r="W1472" s="203" t="str">
        <f t="shared" si="32"/>
        <v>1w</v>
      </c>
      <c r="X1472" s="287">
        <f>_xll.qlCalendarAdvance(Calendar,X1471,W1472,"f",FALSE)</f>
        <v>49276</v>
      </c>
      <c r="Y1472" s="281">
        <f>_xll.qlCalendarAdvance(Calendar,X1472,NDays&amp;"D")</f>
        <v>49278</v>
      </c>
      <c r="Z1472" s="282">
        <v>2.3672610536433325E-2</v>
      </c>
      <c r="AA1472" s="284">
        <v>2.3663834495284419E-2</v>
      </c>
    </row>
    <row r="1473" spans="23:27" x14ac:dyDescent="0.2">
      <c r="W1473" s="203" t="str">
        <f t="shared" si="32"/>
        <v>1w</v>
      </c>
      <c r="X1473" s="287">
        <f>_xll.qlCalendarAdvance(Calendar,X1472,W1473,"f",FALSE)</f>
        <v>49283</v>
      </c>
      <c r="Y1473" s="281">
        <f>_xll.qlCalendarAdvance(Calendar,X1473,NDays&amp;"D")</f>
        <v>49285</v>
      </c>
      <c r="Z1473" s="282">
        <v>2.3663124191581453E-2</v>
      </c>
      <c r="AA1473" s="284">
        <v>2.3654299735902384E-2</v>
      </c>
    </row>
    <row r="1474" spans="23:27" x14ac:dyDescent="0.2">
      <c r="W1474" s="203" t="str">
        <f t="shared" si="32"/>
        <v>1w</v>
      </c>
      <c r="X1474" s="287">
        <f>_xll.qlCalendarAdvance(Calendar,X1473,W1474,"f",FALSE)</f>
        <v>49290</v>
      </c>
      <c r="Y1474" s="281">
        <f>_xll.qlCalendarAdvance(Calendar,X1474,NDays&amp;"D")</f>
        <v>49292</v>
      </c>
      <c r="Z1474" s="282">
        <v>2.3653654260202828E-2</v>
      </c>
      <c r="AA1474" s="284">
        <v>2.3644781272844639E-2</v>
      </c>
    </row>
    <row r="1475" spans="23:27" x14ac:dyDescent="0.2">
      <c r="W1475" s="203" t="str">
        <f t="shared" si="32"/>
        <v>1w</v>
      </c>
      <c r="X1475" s="287">
        <f>_xll.qlCalendarAdvance(Calendar,X1474,W1475,"f",FALSE)</f>
        <v>49297</v>
      </c>
      <c r="Y1475" s="281">
        <f>_xll.qlCalendarAdvance(Calendar,X1475,NDays&amp;"D")</f>
        <v>49299</v>
      </c>
      <c r="Z1475" s="282">
        <v>2.3644303545126158E-2</v>
      </c>
      <c r="AA1475" s="284">
        <v>2.3635279105631568E-2</v>
      </c>
    </row>
    <row r="1476" spans="23:27" x14ac:dyDescent="0.2">
      <c r="W1476" s="203" t="str">
        <f t="shared" si="32"/>
        <v>1w</v>
      </c>
      <c r="X1476" s="287">
        <f>_xll.qlCalendarAdvance(Calendar,X1475,W1476,"f",FALSE)</f>
        <v>49305</v>
      </c>
      <c r="Y1476" s="281">
        <f>_xll.qlCalendarAdvance(Calendar,X1476,NDays&amp;"D")</f>
        <v>49307</v>
      </c>
      <c r="Z1476" s="282">
        <v>2.3633520256273542E-2</v>
      </c>
      <c r="AA1476" s="284">
        <v>2.3624931916965686E-2</v>
      </c>
    </row>
    <row r="1477" spans="23:27" x14ac:dyDescent="0.2">
      <c r="W1477" s="203" t="str">
        <f t="shared" si="32"/>
        <v>1w</v>
      </c>
      <c r="X1477" s="287">
        <f>_xll.qlCalendarAdvance(Calendar,X1476,W1477,"f",FALSE)</f>
        <v>49313</v>
      </c>
      <c r="Y1477" s="281">
        <f>_xll.qlCalendarAdvance(Calendar,X1477,NDays&amp;"D")</f>
        <v>49318</v>
      </c>
      <c r="Z1477" s="282">
        <v>2.3618623929063887E-2</v>
      </c>
      <c r="AA1477" s="284">
        <v>2.3609569654743368E-2</v>
      </c>
    </row>
    <row r="1478" spans="23:27" x14ac:dyDescent="0.2">
      <c r="W1478" s="203" t="str">
        <f t="shared" si="32"/>
        <v>1w</v>
      </c>
      <c r="X1478" s="287">
        <f>_xll.qlCalendarAdvance(Calendar,X1477,W1478,"f",FALSE)</f>
        <v>49320</v>
      </c>
      <c r="Y1478" s="281">
        <f>_xll.qlCalendarAdvance(Calendar,X1478,NDays&amp;"D")</f>
        <v>49324</v>
      </c>
      <c r="Z1478" s="282">
        <v>2.3610676952231357E-2</v>
      </c>
      <c r="AA1478" s="284">
        <v>2.3601475823697982E-2</v>
      </c>
    </row>
    <row r="1479" spans="23:27" x14ac:dyDescent="0.2">
      <c r="W1479" s="203" t="str">
        <f t="shared" si="32"/>
        <v>1w</v>
      </c>
      <c r="X1479" s="287">
        <f>_xll.qlCalendarAdvance(Calendar,X1478,W1479,"f",FALSE)</f>
        <v>49327</v>
      </c>
      <c r="Y1479" s="281">
        <f>_xll.qlCalendarAdvance(Calendar,X1479,NDays&amp;"D")</f>
        <v>49331</v>
      </c>
      <c r="Z1479" s="282">
        <v>2.3601299024478321E-2</v>
      </c>
      <c r="AA1479" s="284">
        <v>2.3592048152814016E-2</v>
      </c>
    </row>
    <row r="1480" spans="23:27" x14ac:dyDescent="0.2">
      <c r="W1480" s="203" t="str">
        <f t="shared" si="32"/>
        <v>1w</v>
      </c>
      <c r="X1480" s="287">
        <f>_xll.qlCalendarAdvance(Calendar,X1479,W1480,"f",FALSE)</f>
        <v>49334</v>
      </c>
      <c r="Y1480" s="281">
        <f>_xll.qlCalendarAdvance(Calendar,X1480,NDays&amp;"D")</f>
        <v>49338</v>
      </c>
      <c r="Z1480" s="282">
        <v>2.3591619957313143E-2</v>
      </c>
      <c r="AA1480" s="284">
        <v>2.3582636778094468E-2</v>
      </c>
    </row>
    <row r="1481" spans="23:27" x14ac:dyDescent="0.2">
      <c r="W1481" s="203" t="str">
        <f t="shared" si="32"/>
        <v>1w</v>
      </c>
      <c r="X1481" s="287">
        <f>_xll.qlCalendarAdvance(Calendar,X1480,W1481,"f",FALSE)</f>
        <v>49341</v>
      </c>
      <c r="Y1481" s="281">
        <f>_xll.qlCalendarAdvance(Calendar,X1481,NDays&amp;"D")</f>
        <v>49345</v>
      </c>
      <c r="Z1481" s="282">
        <v>2.3582698940597439E-2</v>
      </c>
      <c r="AA1481" s="284">
        <v>2.3573241699459402E-2</v>
      </c>
    </row>
    <row r="1482" spans="23:27" x14ac:dyDescent="0.2">
      <c r="W1482" s="203" t="str">
        <f t="shared" si="32"/>
        <v>1w</v>
      </c>
      <c r="X1482" s="287">
        <f>_xll.qlCalendarAdvance(Calendar,X1481,W1482,"f",FALSE)</f>
        <v>49348</v>
      </c>
      <c r="Y1482" s="281">
        <f>_xll.qlCalendarAdvance(Calendar,X1482,NDays&amp;"D")</f>
        <v>49353</v>
      </c>
      <c r="Z1482" s="282">
        <v>2.3571825280373382E-2</v>
      </c>
      <c r="AA1482" s="284">
        <v>2.3562524420954745E-2</v>
      </c>
    </row>
    <row r="1483" spans="23:27" x14ac:dyDescent="0.2">
      <c r="W1483" s="203" t="str">
        <f t="shared" si="32"/>
        <v>1w</v>
      </c>
      <c r="X1483" s="287">
        <f>_xll.qlCalendarAdvance(Calendar,X1482,W1483,"f",FALSE)</f>
        <v>49355</v>
      </c>
      <c r="Y1483" s="281">
        <f>_xll.qlCalendarAdvance(Calendar,X1483,NDays&amp;"D")</f>
        <v>49359</v>
      </c>
      <c r="Z1483" s="282">
        <v>2.3563951452537757E-2</v>
      </c>
      <c r="AA1483" s="284">
        <v>2.3554500430282843E-2</v>
      </c>
    </row>
    <row r="1484" spans="23:27" x14ac:dyDescent="0.2">
      <c r="W1484" s="203" t="str">
        <f t="shared" si="32"/>
        <v>1w</v>
      </c>
      <c r="X1484" s="287">
        <f>_xll.qlCalendarAdvance(Calendar,X1483,W1484,"f",FALSE)</f>
        <v>49362</v>
      </c>
      <c r="Y1484" s="281">
        <f>_xll.qlCalendarAdvance(Calendar,X1484,NDays&amp;"D")</f>
        <v>49366</v>
      </c>
      <c r="Z1484" s="282">
        <v>2.355476381726811E-2</v>
      </c>
      <c r="AA1484" s="284">
        <v>2.354515423974135E-2</v>
      </c>
    </row>
    <row r="1485" spans="23:27" x14ac:dyDescent="0.2">
      <c r="W1485" s="203" t="str">
        <f t="shared" si="32"/>
        <v>1w</v>
      </c>
      <c r="X1485" s="287">
        <f>_xll.qlCalendarAdvance(Calendar,X1484,W1485,"f",FALSE)</f>
        <v>49369</v>
      </c>
      <c r="Y1485" s="281">
        <f>_xll.qlCalendarAdvance(Calendar,X1485,NDays&amp;"D")</f>
        <v>49373</v>
      </c>
      <c r="Z1485" s="282">
        <v>2.3545484939139653E-2</v>
      </c>
      <c r="AA1485" s="284">
        <v>2.353582434528434E-2</v>
      </c>
    </row>
    <row r="1486" spans="23:27" x14ac:dyDescent="0.2">
      <c r="W1486" s="203" t="str">
        <f t="shared" si="32"/>
        <v>1w</v>
      </c>
      <c r="X1486" s="287">
        <f>_xll.qlCalendarAdvance(Calendar,X1485,W1486,"f",FALSE)</f>
        <v>49376</v>
      </c>
      <c r="Y1486" s="281">
        <f>_xll.qlCalendarAdvance(Calendar,X1486,NDays&amp;"D")</f>
        <v>49380</v>
      </c>
      <c r="Z1486" s="282">
        <v>2.3536222475641719E-2</v>
      </c>
      <c r="AA1486" s="284">
        <v>2.3526510746911811E-2</v>
      </c>
    </row>
    <row r="1487" spans="23:27" x14ac:dyDescent="0.2">
      <c r="W1487" s="203" t="str">
        <f t="shared" si="32"/>
        <v>1w</v>
      </c>
      <c r="X1487" s="287">
        <f>_xll.qlCalendarAdvance(Calendar,X1486,W1487,"f",FALSE)</f>
        <v>49383</v>
      </c>
      <c r="Y1487" s="281">
        <f>_xll.qlCalendarAdvance(Calendar,X1487,NDays&amp;"D")</f>
        <v>49387</v>
      </c>
      <c r="Z1487" s="282">
        <v>2.3526976426658752E-2</v>
      </c>
      <c r="AA1487" s="284">
        <v>2.3517213444543827E-2</v>
      </c>
    </row>
    <row r="1488" spans="23:27" x14ac:dyDescent="0.2">
      <c r="W1488" s="203" t="str">
        <f t="shared" si="32"/>
        <v>1w</v>
      </c>
      <c r="X1488" s="287">
        <f>_xll.qlCalendarAdvance(Calendar,X1487,W1488,"f",FALSE)</f>
        <v>49390</v>
      </c>
      <c r="Y1488" s="281">
        <f>_xll.qlCalendarAdvance(Calendar,X1488,NDays&amp;"D")</f>
        <v>49396</v>
      </c>
      <c r="Z1488" s="282">
        <v>2.3515112768495067E-2</v>
      </c>
      <c r="AA1488" s="284">
        <v>2.3505283715339331E-2</v>
      </c>
    </row>
    <row r="1489" spans="23:27" x14ac:dyDescent="0.2">
      <c r="W1489" s="203" t="str">
        <f t="shared" si="32"/>
        <v>1w</v>
      </c>
      <c r="X1489" s="287">
        <f>_xll.qlCalendarAdvance(Calendar,X1488,W1489,"f",FALSE)</f>
        <v>49397</v>
      </c>
      <c r="Y1489" s="281">
        <f>_xll.qlCalendarAdvance(Calendar,X1489,NDays&amp;"D")</f>
        <v>49401</v>
      </c>
      <c r="Z1489" s="282">
        <v>2.3508422499161196E-2</v>
      </c>
      <c r="AA1489" s="284">
        <v>2.3498667728141243E-2</v>
      </c>
    </row>
    <row r="1490" spans="23:27" x14ac:dyDescent="0.2">
      <c r="W1490" s="203" t="str">
        <f t="shared" si="32"/>
        <v>1w</v>
      </c>
      <c r="X1490" s="287">
        <f>_xll.qlCalendarAdvance(Calendar,X1489,W1490,"f",FALSE)</f>
        <v>49404</v>
      </c>
      <c r="Y1490" s="281">
        <f>_xll.qlCalendarAdvance(Calendar,X1490,NDays&amp;"D")</f>
        <v>49408</v>
      </c>
      <c r="Z1490" s="282">
        <v>2.3499225119324122E-2</v>
      </c>
      <c r="AA1490" s="284">
        <v>2.3489419313946769E-2</v>
      </c>
    </row>
    <row r="1491" spans="23:27" x14ac:dyDescent="0.2">
      <c r="W1491" s="203" t="str">
        <f t="shared" si="32"/>
        <v>1w</v>
      </c>
      <c r="X1491" s="287">
        <f>_xll.qlCalendarAdvance(Calendar,X1490,W1491,"f",FALSE)</f>
        <v>49411</v>
      </c>
      <c r="Y1491" s="281">
        <f>_xll.qlCalendarAdvance(Calendar,X1491,NDays&amp;"D")</f>
        <v>49415</v>
      </c>
      <c r="Z1491" s="282">
        <v>2.3490156373565326E-2</v>
      </c>
      <c r="AA1491" s="284">
        <v>2.3480187195756841E-2</v>
      </c>
    </row>
    <row r="1492" spans="23:27" x14ac:dyDescent="0.2">
      <c r="W1492" s="203" t="str">
        <f t="shared" si="32"/>
        <v>1w</v>
      </c>
      <c r="X1492" s="287">
        <f>_xll.qlCalendarAdvance(Calendar,X1491,W1492,"f",FALSE)</f>
        <v>49418</v>
      </c>
      <c r="Y1492" s="281">
        <f>_xll.qlCalendarAdvance(Calendar,X1492,NDays&amp;"D")</f>
        <v>49422</v>
      </c>
      <c r="Z1492" s="282">
        <v>2.3480879597817802E-2</v>
      </c>
      <c r="AA1492" s="284">
        <v>2.3470971373731331E-2</v>
      </c>
    </row>
    <row r="1493" spans="23:27" x14ac:dyDescent="0.2">
      <c r="W1493" s="203" t="str">
        <f t="shared" ref="W1493:W1556" si="33">W1492</f>
        <v>1w</v>
      </c>
      <c r="X1493" s="287">
        <f>_xll.qlCalendarAdvance(Calendar,X1492,W1493,"f",FALSE)</f>
        <v>49425</v>
      </c>
      <c r="Y1493" s="281">
        <f>_xll.qlCalendarAdvance(Calendar,X1493,NDays&amp;"D")</f>
        <v>49430</v>
      </c>
      <c r="Z1493" s="282">
        <v>2.3470539376108442E-2</v>
      </c>
      <c r="AA1493" s="284">
        <v>2.346045895991189E-2</v>
      </c>
    </row>
    <row r="1494" spans="23:27" x14ac:dyDescent="0.2">
      <c r="W1494" s="203" t="str">
        <f t="shared" si="33"/>
        <v>1w</v>
      </c>
      <c r="X1494" s="287">
        <f>_xll.qlCalendarAdvance(Calendar,X1493,W1494,"f",FALSE)</f>
        <v>49437</v>
      </c>
      <c r="Y1494" s="281">
        <f>_xll.qlCalendarAdvance(Calendar,X1494,NDays&amp;"D")</f>
        <v>49439</v>
      </c>
      <c r="Z1494" s="282">
        <v>2.3458805354826855E-2</v>
      </c>
      <c r="AA1494" s="284">
        <v>2.344865793623363E-2</v>
      </c>
    </row>
    <row r="1495" spans="23:27" x14ac:dyDescent="0.2">
      <c r="W1495" s="203" t="str">
        <f t="shared" si="33"/>
        <v>1w</v>
      </c>
      <c r="X1495" s="287">
        <f>_xll.qlCalendarAdvance(Calendar,X1494,W1495,"f",FALSE)</f>
        <v>49444</v>
      </c>
      <c r="Y1495" s="281">
        <f>_xll.qlCalendarAdvance(Calendar,X1495,NDays&amp;"D")</f>
        <v>49446</v>
      </c>
      <c r="Z1495" s="282">
        <v>2.3449697652182619E-2</v>
      </c>
      <c r="AA1495" s="284">
        <v>2.3439497986394997E-2</v>
      </c>
    </row>
    <row r="1496" spans="23:27" x14ac:dyDescent="0.2">
      <c r="W1496" s="203" t="str">
        <f t="shared" si="33"/>
        <v>1w</v>
      </c>
      <c r="X1496" s="287">
        <f>_xll.qlCalendarAdvance(Calendar,X1495,W1496,"f",FALSE)</f>
        <v>49451</v>
      </c>
      <c r="Y1496" s="281">
        <f>_xll.qlCalendarAdvance(Calendar,X1496,NDays&amp;"D")</f>
        <v>49453</v>
      </c>
      <c r="Z1496" s="282">
        <v>2.3440606362971607E-2</v>
      </c>
      <c r="AA1496" s="284">
        <v>2.3430354332480974E-2</v>
      </c>
    </row>
    <row r="1497" spans="23:27" x14ac:dyDescent="0.2">
      <c r="W1497" s="203" t="str">
        <f t="shared" si="33"/>
        <v>1w</v>
      </c>
      <c r="X1497" s="287">
        <f>_xll.qlCalendarAdvance(Calendar,X1496,W1497,"f",FALSE)</f>
        <v>49458</v>
      </c>
      <c r="Y1497" s="281">
        <f>_xll.qlCalendarAdvance(Calendar,X1497,NDays&amp;"D")</f>
        <v>49460</v>
      </c>
      <c r="Z1497" s="282">
        <v>2.3431531487079989E-2</v>
      </c>
      <c r="AA1497" s="284">
        <v>2.3421226974571496E-2</v>
      </c>
    </row>
    <row r="1498" spans="23:27" x14ac:dyDescent="0.2">
      <c r="W1498" s="203" t="str">
        <f t="shared" si="33"/>
        <v>1w</v>
      </c>
      <c r="X1498" s="287">
        <f>_xll.qlCalendarAdvance(Calendar,X1497,W1498,"f",FALSE)</f>
        <v>49465</v>
      </c>
      <c r="Y1498" s="281">
        <f>_xll.qlCalendarAdvance(Calendar,X1498,NDays&amp;"D")</f>
        <v>49467</v>
      </c>
      <c r="Z1498" s="282">
        <v>2.3422473024396557E-2</v>
      </c>
      <c r="AA1498" s="284">
        <v>2.3412115912906373E-2</v>
      </c>
    </row>
    <row r="1499" spans="23:27" x14ac:dyDescent="0.2">
      <c r="W1499" s="203" t="str">
        <f t="shared" si="33"/>
        <v>1w</v>
      </c>
      <c r="X1499" s="287">
        <f>_xll.qlCalendarAdvance(Calendar,X1498,W1499,"f",FALSE)</f>
        <v>49472</v>
      </c>
      <c r="Y1499" s="281">
        <f>_xll.qlCalendarAdvance(Calendar,X1499,NDays&amp;"D")</f>
        <v>49474</v>
      </c>
      <c r="Z1499" s="282">
        <v>2.3413430974804014E-2</v>
      </c>
      <c r="AA1499" s="284">
        <v>2.3403021147085923E-2</v>
      </c>
    </row>
    <row r="1500" spans="23:27" x14ac:dyDescent="0.2">
      <c r="W1500" s="203" t="str">
        <f t="shared" si="33"/>
        <v>1w</v>
      </c>
      <c r="X1500" s="287">
        <f>_xll.qlCalendarAdvance(Calendar,X1499,W1500,"f",FALSE)</f>
        <v>49479</v>
      </c>
      <c r="Y1500" s="281">
        <f>_xll.qlCalendarAdvance(Calendar,X1500,NDays&amp;"D")</f>
        <v>49481</v>
      </c>
      <c r="Z1500" s="282">
        <v>2.3404405338192876E-2</v>
      </c>
      <c r="AA1500" s="284">
        <v>2.3393942677429891E-2</v>
      </c>
    </row>
    <row r="1501" spans="23:27" x14ac:dyDescent="0.2">
      <c r="W1501" s="203" t="str">
        <f t="shared" si="33"/>
        <v>1w</v>
      </c>
      <c r="X1501" s="287">
        <f>_xll.qlCalendarAdvance(Calendar,X1500,W1501,"f",FALSE)</f>
        <v>49486</v>
      </c>
      <c r="Y1501" s="281">
        <f>_xll.qlCalendarAdvance(Calendar,X1501,NDays&amp;"D")</f>
        <v>49488</v>
      </c>
      <c r="Z1501" s="282">
        <v>2.3395396114448457E-2</v>
      </c>
      <c r="AA1501" s="284">
        <v>2.3384880503698469E-2</v>
      </c>
    </row>
    <row r="1502" spans="23:27" x14ac:dyDescent="0.2">
      <c r="W1502" s="203" t="str">
        <f t="shared" si="33"/>
        <v>1w</v>
      </c>
      <c r="X1502" s="287">
        <f>_xll.qlCalendarAdvance(Calendar,X1501,W1502,"f",FALSE)</f>
        <v>49493</v>
      </c>
      <c r="Y1502" s="281">
        <f>_xll.qlCalendarAdvance(Calendar,X1502,NDays&amp;"D")</f>
        <v>49495</v>
      </c>
      <c r="Z1502" s="282">
        <v>2.3386403303458671E-2</v>
      </c>
      <c r="AA1502" s="284">
        <v>2.3375834626051528E-2</v>
      </c>
    </row>
    <row r="1503" spans="23:27" x14ac:dyDescent="0.2">
      <c r="W1503" s="203" t="str">
        <f t="shared" si="33"/>
        <v>1w</v>
      </c>
      <c r="X1503" s="287">
        <f>_xll.qlCalendarAdvance(Calendar,X1502,W1503,"f",FALSE)</f>
        <v>49500</v>
      </c>
      <c r="Y1503" s="281">
        <f>_xll.qlCalendarAdvance(Calendar,X1503,NDays&amp;"D")</f>
        <v>49502</v>
      </c>
      <c r="Z1503" s="282">
        <v>2.3377426905112308E-2</v>
      </c>
      <c r="AA1503" s="284">
        <v>2.3366805044409134E-2</v>
      </c>
    </row>
    <row r="1504" spans="23:27" x14ac:dyDescent="0.2">
      <c r="W1504" s="203" t="str">
        <f t="shared" si="33"/>
        <v>1w</v>
      </c>
      <c r="X1504" s="287">
        <f>_xll.qlCalendarAdvance(Calendar,X1503,W1504,"f",FALSE)</f>
        <v>49507</v>
      </c>
      <c r="Y1504" s="281">
        <f>_xll.qlCalendarAdvance(Calendar,X1504,NDays&amp;"D")</f>
        <v>49509</v>
      </c>
      <c r="Z1504" s="282">
        <v>2.3368466919295536E-2</v>
      </c>
      <c r="AA1504" s="284">
        <v>2.3357791758851221E-2</v>
      </c>
    </row>
    <row r="1505" spans="23:27" x14ac:dyDescent="0.2">
      <c r="W1505" s="203" t="str">
        <f t="shared" si="33"/>
        <v>1w</v>
      </c>
      <c r="X1505" s="287">
        <f>_xll.qlCalendarAdvance(Calendar,X1504,W1505,"f",FALSE)</f>
        <v>49514</v>
      </c>
      <c r="Y1505" s="281">
        <f>_xll.qlCalendarAdvance(Calendar,X1505,NDays&amp;"D")</f>
        <v>49516</v>
      </c>
      <c r="Z1505" s="282">
        <v>2.3359523345896277E-2</v>
      </c>
      <c r="AA1505" s="284">
        <v>2.3348794769297854E-2</v>
      </c>
    </row>
    <row r="1506" spans="23:27" x14ac:dyDescent="0.2">
      <c r="W1506" s="203" t="str">
        <f t="shared" si="33"/>
        <v>1w</v>
      </c>
      <c r="X1506" s="287">
        <f>_xll.qlCalendarAdvance(Calendar,X1505,W1506,"f",FALSE)</f>
        <v>49521</v>
      </c>
      <c r="Y1506" s="281">
        <f>_xll.qlCalendarAdvance(Calendar,X1506,NDays&amp;"D")</f>
        <v>49523</v>
      </c>
      <c r="Z1506" s="282">
        <v>2.3350596184803316E-2</v>
      </c>
      <c r="AA1506" s="284">
        <v>2.3339814075828968E-2</v>
      </c>
    </row>
    <row r="1507" spans="23:27" x14ac:dyDescent="0.2">
      <c r="W1507" s="203" t="str">
        <f t="shared" si="33"/>
        <v>1w</v>
      </c>
      <c r="X1507" s="287">
        <f>_xll.qlCalendarAdvance(Calendar,X1506,W1507,"f",FALSE)</f>
        <v>49528</v>
      </c>
      <c r="Y1507" s="281">
        <f>_xll.qlCalendarAdvance(Calendar,X1507,NDays&amp;"D")</f>
        <v>49530</v>
      </c>
      <c r="Z1507" s="282">
        <v>2.3341685435905434E-2</v>
      </c>
      <c r="AA1507" s="284">
        <v>2.3330849678284693E-2</v>
      </c>
    </row>
    <row r="1508" spans="23:27" x14ac:dyDescent="0.2">
      <c r="W1508" s="203" t="str">
        <f t="shared" si="33"/>
        <v>1w</v>
      </c>
      <c r="X1508" s="287">
        <f>_xll.qlCalendarAdvance(Calendar,X1507,W1508,"f",FALSE)</f>
        <v>49535</v>
      </c>
      <c r="Y1508" s="281">
        <f>_xll.qlCalendarAdvance(Calendar,X1508,NDays&amp;"D")</f>
        <v>49537</v>
      </c>
      <c r="Z1508" s="282">
        <v>2.3332791099091421E-2</v>
      </c>
      <c r="AA1508" s="284">
        <v>2.3321901576824899E-2</v>
      </c>
    </row>
    <row r="1509" spans="23:27" x14ac:dyDescent="0.2">
      <c r="W1509" s="203" t="str">
        <f t="shared" si="33"/>
        <v>1w</v>
      </c>
      <c r="X1509" s="287">
        <f>_xll.qlCalendarAdvance(Calendar,X1508,W1509,"f",FALSE)</f>
        <v>49542</v>
      </c>
      <c r="Y1509" s="281">
        <f>_xll.qlCalendarAdvance(Calendar,X1509,NDays&amp;"D")</f>
        <v>49544</v>
      </c>
      <c r="Z1509" s="282">
        <v>2.3324282693038573E-2</v>
      </c>
      <c r="AA1509" s="284">
        <v>2.3312969771449588E-2</v>
      </c>
    </row>
    <row r="1510" spans="23:27" x14ac:dyDescent="0.2">
      <c r="W1510" s="203" t="str">
        <f t="shared" si="33"/>
        <v>1w</v>
      </c>
      <c r="X1510" s="287">
        <f>_xll.qlCalendarAdvance(Calendar,X1509,W1510,"f",FALSE)</f>
        <v>49549</v>
      </c>
      <c r="Y1510" s="281">
        <f>_xll.qlCalendarAdvance(Calendar,X1510,NDays&amp;"D")</f>
        <v>49551</v>
      </c>
      <c r="Z1510" s="282">
        <v>2.3315051661269258E-2</v>
      </c>
      <c r="AA1510" s="284">
        <v>2.3304054262078822E-2</v>
      </c>
    </row>
    <row r="1511" spans="23:27" x14ac:dyDescent="0.2">
      <c r="W1511" s="203" t="str">
        <f t="shared" si="33"/>
        <v>1w</v>
      </c>
      <c r="X1511" s="287">
        <f>_xll.qlCalendarAdvance(Calendar,X1510,W1511,"f",FALSE)</f>
        <v>49556</v>
      </c>
      <c r="Y1511" s="281">
        <f>_xll.qlCalendarAdvance(Calendar,X1511,NDays&amp;"D")</f>
        <v>49558</v>
      </c>
      <c r="Z1511" s="282">
        <v>2.3306082311266747E-2</v>
      </c>
      <c r="AA1511" s="284">
        <v>2.3295155048712601E-2</v>
      </c>
    </row>
    <row r="1512" spans="23:27" x14ac:dyDescent="0.2">
      <c r="W1512" s="203" t="str">
        <f t="shared" si="33"/>
        <v>1w</v>
      </c>
      <c r="X1512" s="287">
        <f>_xll.qlCalendarAdvance(Calendar,X1511,W1512,"f",FALSE)</f>
        <v>49563</v>
      </c>
      <c r="Y1512" s="281">
        <f>_xll.qlCalendarAdvance(Calendar,X1512,NDays&amp;"D")</f>
        <v>49565</v>
      </c>
      <c r="Z1512" s="282">
        <v>2.3297253019260659E-2</v>
      </c>
      <c r="AA1512" s="284">
        <v>2.3286272131270991E-2</v>
      </c>
    </row>
    <row r="1513" spans="23:27" x14ac:dyDescent="0.2">
      <c r="W1513" s="203" t="str">
        <f t="shared" si="33"/>
        <v>1w</v>
      </c>
      <c r="X1513" s="287">
        <f>_xll.qlCalendarAdvance(Calendar,X1512,W1513,"f",FALSE)</f>
        <v>49570</v>
      </c>
      <c r="Y1513" s="281">
        <f>_xll.qlCalendarAdvance(Calendar,X1513,NDays&amp;"D")</f>
        <v>49572</v>
      </c>
      <c r="Z1513" s="282">
        <v>2.3288440137517609E-2</v>
      </c>
      <c r="AA1513" s="284">
        <v>2.3277405509993798E-2</v>
      </c>
    </row>
    <row r="1514" spans="23:27" x14ac:dyDescent="0.2">
      <c r="W1514" s="203" t="str">
        <f t="shared" si="33"/>
        <v>1w</v>
      </c>
      <c r="X1514" s="287">
        <f>_xll.qlCalendarAdvance(Calendar,X1513,W1514,"f",FALSE)</f>
        <v>49577</v>
      </c>
      <c r="Y1514" s="281">
        <f>_xll.qlCalendarAdvance(Calendar,X1514,NDays&amp;"D")</f>
        <v>49579</v>
      </c>
      <c r="Z1514" s="282">
        <v>2.3279643665930428E-2</v>
      </c>
      <c r="AA1514" s="284">
        <v>2.3268555184641215E-2</v>
      </c>
    </row>
    <row r="1515" spans="23:27" x14ac:dyDescent="0.2">
      <c r="W1515" s="203" t="str">
        <f t="shared" si="33"/>
        <v>1w</v>
      </c>
      <c r="X1515" s="287">
        <f>_xll.qlCalendarAdvance(Calendar,X1514,W1515,"f",FALSE)</f>
        <v>49584</v>
      </c>
      <c r="Y1515" s="281">
        <f>_xll.qlCalendarAdvance(Calendar,X1515,NDays&amp;"D")</f>
        <v>49586</v>
      </c>
      <c r="Z1515" s="282">
        <v>2.3270990270418585E-2</v>
      </c>
      <c r="AA1515" s="284">
        <v>2.3259721155373114E-2</v>
      </c>
    </row>
    <row r="1516" spans="23:27" x14ac:dyDescent="0.2">
      <c r="W1516" s="203" t="str">
        <f t="shared" si="33"/>
        <v>1w</v>
      </c>
      <c r="X1516" s="287">
        <f>_xll.qlCalendarAdvance(Calendar,X1515,W1516,"f",FALSE)</f>
        <v>49591</v>
      </c>
      <c r="Y1516" s="281">
        <f>_xll.qlCalendarAdvance(Calendar,X1516,NDays&amp;"D")</f>
        <v>49593</v>
      </c>
      <c r="Z1516" s="282">
        <v>2.3262227226288252E-2</v>
      </c>
      <c r="AA1516" s="284">
        <v>2.3250903422189495E-2</v>
      </c>
    </row>
    <row r="1517" spans="23:27" x14ac:dyDescent="0.2">
      <c r="W1517" s="203" t="str">
        <f t="shared" si="33"/>
        <v>1w</v>
      </c>
      <c r="X1517" s="287">
        <f>_xll.qlCalendarAdvance(Calendar,X1516,W1517,"f",FALSE)</f>
        <v>49598</v>
      </c>
      <c r="Y1517" s="281">
        <f>_xll.qlCalendarAdvance(Calendar,X1517,NDays&amp;"D")</f>
        <v>49600</v>
      </c>
      <c r="Z1517" s="282">
        <v>2.3253480593246927E-2</v>
      </c>
      <c r="AA1517" s="284">
        <v>2.3242101984850549E-2</v>
      </c>
    </row>
    <row r="1518" spans="23:27" x14ac:dyDescent="0.2">
      <c r="W1518" s="203" t="str">
        <f t="shared" si="33"/>
        <v>1w</v>
      </c>
      <c r="X1518" s="287">
        <f>_xll.qlCalendarAdvance(Calendar,X1517,W1518,"f",FALSE)</f>
        <v>49605</v>
      </c>
      <c r="Y1518" s="281">
        <f>_xll.qlCalendarAdvance(Calendar,X1518,NDays&amp;"D")</f>
        <v>49607</v>
      </c>
      <c r="Z1518" s="282">
        <v>2.3244750371187742E-2</v>
      </c>
      <c r="AA1518" s="284">
        <v>2.3233316843596086E-2</v>
      </c>
    </row>
    <row r="1519" spans="23:27" x14ac:dyDescent="0.2">
      <c r="W1519" s="203" t="str">
        <f t="shared" si="33"/>
        <v>1w</v>
      </c>
      <c r="X1519" s="287">
        <f>_xll.qlCalendarAdvance(Calendar,X1518,W1519,"f",FALSE)</f>
        <v>49612</v>
      </c>
      <c r="Y1519" s="281">
        <f>_xll.qlCalendarAdvance(Calendar,X1519,NDays&amp;"D")</f>
        <v>49614</v>
      </c>
      <c r="Z1519" s="282">
        <v>2.323603656000035E-2</v>
      </c>
      <c r="AA1519" s="284">
        <v>2.3224547998426104E-2</v>
      </c>
    </row>
    <row r="1520" spans="23:27" x14ac:dyDescent="0.2">
      <c r="W1520" s="203" t="str">
        <f t="shared" si="33"/>
        <v>1w</v>
      </c>
      <c r="X1520" s="287">
        <f>_xll.qlCalendarAdvance(Calendar,X1519,W1520,"f",FALSE)</f>
        <v>49619</v>
      </c>
      <c r="Y1520" s="281">
        <f>_xll.qlCalendarAdvance(Calendar,X1520,NDays&amp;"D")</f>
        <v>49621</v>
      </c>
      <c r="Z1520" s="282">
        <v>2.3227339159576137E-2</v>
      </c>
      <c r="AA1520" s="284">
        <v>2.3215795449180732E-2</v>
      </c>
    </row>
    <row r="1521" spans="23:27" x14ac:dyDescent="0.2">
      <c r="W1521" s="203" t="str">
        <f t="shared" si="33"/>
        <v>1w</v>
      </c>
      <c r="X1521" s="287">
        <f>_xll.qlCalendarAdvance(Calendar,X1520,W1521,"f",FALSE)</f>
        <v>49626</v>
      </c>
      <c r="Y1521" s="281">
        <f>_xll.qlCalendarAdvance(Calendar,X1521,NDays&amp;"D")</f>
        <v>49628</v>
      </c>
      <c r="Z1521" s="282">
        <v>2.3218658169807373E-2</v>
      </c>
      <c r="AA1521" s="284">
        <v>2.3207059196019841E-2</v>
      </c>
    </row>
    <row r="1522" spans="23:27" x14ac:dyDescent="0.2">
      <c r="W1522" s="203" t="str">
        <f t="shared" si="33"/>
        <v>1w</v>
      </c>
      <c r="X1522" s="287">
        <f>_xll.qlCalendarAdvance(Calendar,X1521,W1522,"f",FALSE)</f>
        <v>49633</v>
      </c>
      <c r="Y1522" s="281">
        <f>_xll.qlCalendarAdvance(Calendar,X1522,NDays&amp;"D")</f>
        <v>49635</v>
      </c>
      <c r="Z1522" s="282">
        <v>2.3209993590582831E-2</v>
      </c>
      <c r="AA1522" s="284">
        <v>2.3198715085697152E-2</v>
      </c>
    </row>
    <row r="1523" spans="23:27" x14ac:dyDescent="0.2">
      <c r="W1523" s="203" t="str">
        <f t="shared" si="33"/>
        <v>1w</v>
      </c>
      <c r="X1523" s="287">
        <f>_xll.qlCalendarAdvance(Calendar,X1522,W1523,"f",FALSE)</f>
        <v>49640</v>
      </c>
      <c r="Y1523" s="281">
        <f>_xll.qlCalendarAdvance(Calendar,X1523,NDays&amp;"D")</f>
        <v>49642</v>
      </c>
      <c r="Z1523" s="282">
        <v>2.320134542179652E-2</v>
      </c>
      <c r="AA1523" s="284">
        <v>2.3189635577631762E-2</v>
      </c>
    </row>
    <row r="1524" spans="23:27" x14ac:dyDescent="0.2">
      <c r="W1524" s="203" t="str">
        <f t="shared" si="33"/>
        <v>1w</v>
      </c>
      <c r="X1524" s="287">
        <f>_xll.qlCalendarAdvance(Calendar,X1523,W1524,"f",FALSE)</f>
        <v>49647</v>
      </c>
      <c r="Y1524" s="281">
        <f>_xll.qlCalendarAdvance(Calendar,X1524,NDays&amp;"D")</f>
        <v>49649</v>
      </c>
      <c r="Z1524" s="282">
        <v>2.319258148474913E-2</v>
      </c>
      <c r="AA1524" s="284">
        <v>2.3180948212484509E-2</v>
      </c>
    </row>
    <row r="1525" spans="23:27" x14ac:dyDescent="0.2">
      <c r="W1525" s="203" t="str">
        <f t="shared" si="33"/>
        <v>1w</v>
      </c>
      <c r="X1525" s="287">
        <f>_xll.qlCalendarAdvance(Calendar,X1524,W1525,"f",FALSE)</f>
        <v>49654</v>
      </c>
      <c r="Y1525" s="281">
        <f>_xll.qlCalendarAdvance(Calendar,X1525,NDays&amp;"D")</f>
        <v>49656</v>
      </c>
      <c r="Z1525" s="282">
        <v>2.3183965517732361E-2</v>
      </c>
      <c r="AA1525" s="284">
        <v>2.3172277143341802E-2</v>
      </c>
    </row>
    <row r="1526" spans="23:27" x14ac:dyDescent="0.2">
      <c r="W1526" s="203" t="str">
        <f t="shared" si="33"/>
        <v>1w</v>
      </c>
      <c r="X1526" s="287">
        <f>_xll.qlCalendarAdvance(Calendar,X1525,W1526,"f",FALSE)</f>
        <v>49661</v>
      </c>
      <c r="Y1526" s="281">
        <f>_xll.qlCalendarAdvance(Calendar,X1526,NDays&amp;"D")</f>
        <v>49663</v>
      </c>
      <c r="Z1526" s="282">
        <v>2.317549937698345E-2</v>
      </c>
      <c r="AA1526" s="284">
        <v>2.3163622370123704E-2</v>
      </c>
    </row>
    <row r="1527" spans="23:27" x14ac:dyDescent="0.2">
      <c r="W1527" s="203" t="str">
        <f t="shared" si="33"/>
        <v>1w</v>
      </c>
      <c r="X1527" s="287">
        <f>_xll.qlCalendarAdvance(Calendar,X1526,W1527,"f",FALSE)</f>
        <v>49670</v>
      </c>
      <c r="Y1527" s="281">
        <f>_xll.qlCalendarAdvance(Calendar,X1527,NDays&amp;"D")</f>
        <v>49678</v>
      </c>
      <c r="Z1527" s="282">
        <v>2.3156993588808204E-2</v>
      </c>
      <c r="AA1527" s="284">
        <v>2.31453892568112E-2</v>
      </c>
    </row>
    <row r="1528" spans="23:27" x14ac:dyDescent="0.2">
      <c r="W1528" s="203" t="str">
        <f t="shared" si="33"/>
        <v>1w</v>
      </c>
      <c r="X1528" s="287">
        <f>_xll.qlCalendarAdvance(Calendar,X1527,W1528,"f",FALSE)</f>
        <v>49678</v>
      </c>
      <c r="Y1528" s="281">
        <f>_xll.qlCalendarAdvance(Calendar,X1528,NDays&amp;"D")</f>
        <v>49682</v>
      </c>
      <c r="Z1528" s="282">
        <v>2.3152107014960222E-2</v>
      </c>
      <c r="AA1528" s="284">
        <v>2.3140212988170816E-2</v>
      </c>
    </row>
    <row r="1529" spans="23:27" x14ac:dyDescent="0.2">
      <c r="W1529" s="203" t="str">
        <f t="shared" si="33"/>
        <v>1w</v>
      </c>
      <c r="X1529" s="287">
        <f>_xll.qlCalendarAdvance(Calendar,X1528,W1529,"f",FALSE)</f>
        <v>49685</v>
      </c>
      <c r="Y1529" s="281">
        <f>_xll.qlCalendarAdvance(Calendar,X1529,NDays&amp;"D")</f>
        <v>49690</v>
      </c>
      <c r="Z1529" s="282">
        <v>2.3143568403085527E-2</v>
      </c>
      <c r="AA1529" s="284">
        <v>2.3130392324048898E-2</v>
      </c>
    </row>
    <row r="1530" spans="23:27" x14ac:dyDescent="0.2">
      <c r="W1530" s="203" t="str">
        <f t="shared" si="33"/>
        <v>1w</v>
      </c>
      <c r="X1530" s="287">
        <f>_xll.qlCalendarAdvance(Calendar,X1529,W1530,"f",FALSE)</f>
        <v>49692</v>
      </c>
      <c r="Y1530" s="281">
        <f>_xll.qlCalendarAdvance(Calendar,X1530,NDays&amp;"D")</f>
        <v>49696</v>
      </c>
      <c r="Z1530" s="282">
        <v>2.313504619957385E-2</v>
      </c>
      <c r="AA1530" s="284">
        <v>2.3123040794024163E-2</v>
      </c>
    </row>
    <row r="1531" spans="23:27" x14ac:dyDescent="0.2">
      <c r="W1531" s="203" t="str">
        <f t="shared" si="33"/>
        <v>1w</v>
      </c>
      <c r="X1531" s="287">
        <f>_xll.qlCalendarAdvance(Calendar,X1530,W1531,"f",FALSE)</f>
        <v>49699</v>
      </c>
      <c r="Y1531" s="281">
        <f>_xll.qlCalendarAdvance(Calendar,X1531,NDays&amp;"D")</f>
        <v>49703</v>
      </c>
      <c r="Z1531" s="282">
        <v>2.3126677388699994E-2</v>
      </c>
      <c r="AA1531" s="284">
        <v>2.3114479140797783E-2</v>
      </c>
    </row>
    <row r="1532" spans="23:27" x14ac:dyDescent="0.2">
      <c r="W1532" s="203" t="str">
        <f t="shared" si="33"/>
        <v>1w</v>
      </c>
      <c r="X1532" s="287">
        <f>_xll.qlCalendarAdvance(Calendar,X1531,W1532,"f",FALSE)</f>
        <v>49706</v>
      </c>
      <c r="Y1532" s="281">
        <f>_xll.qlCalendarAdvance(Calendar,X1532,NDays&amp;"D")</f>
        <v>49710</v>
      </c>
      <c r="Z1532" s="282">
        <v>2.311818863000055E-2</v>
      </c>
      <c r="AA1532" s="284">
        <v>2.3105933783735821E-2</v>
      </c>
    </row>
    <row r="1533" spans="23:27" x14ac:dyDescent="0.2">
      <c r="W1533" s="203" t="str">
        <f t="shared" si="33"/>
        <v>1w</v>
      </c>
      <c r="X1533" s="287">
        <f>_xll.qlCalendarAdvance(Calendar,X1532,W1533,"f",FALSE)</f>
        <v>49713</v>
      </c>
      <c r="Y1533" s="281">
        <f>_xll.qlCalendarAdvance(Calendar,X1533,NDays&amp;"D")</f>
        <v>49718</v>
      </c>
      <c r="Z1533" s="282">
        <v>2.3109439861869419E-2</v>
      </c>
      <c r="AA1533" s="284">
        <v>2.3096187615543329E-2</v>
      </c>
    </row>
    <row r="1534" spans="23:27" x14ac:dyDescent="0.2">
      <c r="W1534" s="203" t="str">
        <f t="shared" si="33"/>
        <v>1w</v>
      </c>
      <c r="X1534" s="287">
        <f>_xll.qlCalendarAdvance(Calendar,X1533,W1534,"f",FALSE)</f>
        <v>49720</v>
      </c>
      <c r="Y1534" s="281">
        <f>_xll.qlCalendarAdvance(Calendar,X1534,NDays&amp;"D")</f>
        <v>49724</v>
      </c>
      <c r="Z1534" s="282">
        <v>2.3100982660023917E-2</v>
      </c>
      <c r="AA1534" s="284">
        <v>2.3088891957465663E-2</v>
      </c>
    </row>
    <row r="1535" spans="23:27" x14ac:dyDescent="0.2">
      <c r="W1535" s="203" t="str">
        <f t="shared" si="33"/>
        <v>1w</v>
      </c>
      <c r="X1535" s="287">
        <f>_xll.qlCalendarAdvance(Calendar,X1534,W1535,"f",FALSE)</f>
        <v>49727</v>
      </c>
      <c r="Y1535" s="281">
        <f>_xll.qlCalendarAdvance(Calendar,X1535,NDays&amp;"D")</f>
        <v>49731</v>
      </c>
      <c r="Z1535" s="282">
        <v>2.3092681303796887E-2</v>
      </c>
      <c r="AA1535" s="284">
        <v>2.3080395488257466E-2</v>
      </c>
    </row>
    <row r="1536" spans="23:27" x14ac:dyDescent="0.2">
      <c r="W1536" s="203" t="str">
        <f t="shared" si="33"/>
        <v>1w</v>
      </c>
      <c r="X1536" s="287">
        <f>_xll.qlCalendarAdvance(Calendar,X1535,W1536,"f",FALSE)</f>
        <v>49734</v>
      </c>
      <c r="Y1536" s="281">
        <f>_xll.qlCalendarAdvance(Calendar,X1536,NDays&amp;"D")</f>
        <v>49738</v>
      </c>
      <c r="Z1536" s="282">
        <v>2.3084397687045496E-2</v>
      </c>
      <c r="AA1536" s="284">
        <v>2.3071915315133751E-2</v>
      </c>
    </row>
    <row r="1537" spans="23:27" x14ac:dyDescent="0.2">
      <c r="W1537" s="203" t="str">
        <f t="shared" si="33"/>
        <v>1w</v>
      </c>
      <c r="X1537" s="287">
        <f>_xll.qlCalendarAdvance(Calendar,X1536,W1537,"f",FALSE)</f>
        <v>49741</v>
      </c>
      <c r="Y1537" s="281">
        <f>_xll.qlCalendarAdvance(Calendar,X1537,NDays&amp;"D")</f>
        <v>49745</v>
      </c>
      <c r="Z1537" s="282">
        <v>2.307599097374001E-2</v>
      </c>
      <c r="AA1537" s="284">
        <v>2.3063451438014582E-2</v>
      </c>
    </row>
    <row r="1538" spans="23:27" x14ac:dyDescent="0.2">
      <c r="W1538" s="203" t="str">
        <f t="shared" si="33"/>
        <v>1w</v>
      </c>
      <c r="X1538" s="287">
        <f>_xll.qlCalendarAdvance(Calendar,X1537,W1538,"f",FALSE)</f>
        <v>49748</v>
      </c>
      <c r="Y1538" s="281">
        <f>_xll.qlCalendarAdvance(Calendar,X1538,NDays&amp;"D")</f>
        <v>49752</v>
      </c>
      <c r="Z1538" s="282">
        <v>2.3067600669197569E-2</v>
      </c>
      <c r="AA1538" s="284">
        <v>2.3055003856820022E-2</v>
      </c>
    </row>
    <row r="1539" spans="23:27" x14ac:dyDescent="0.2">
      <c r="W1539" s="203" t="str">
        <f t="shared" si="33"/>
        <v>1w</v>
      </c>
      <c r="X1539" s="287">
        <f>_xll.qlCalendarAdvance(Calendar,X1538,W1539,"f",FALSE)</f>
        <v>49755</v>
      </c>
      <c r="Y1539" s="281">
        <f>_xll.qlCalendarAdvance(Calendar,X1539,NDays&amp;"D")</f>
        <v>49759</v>
      </c>
      <c r="Z1539" s="282">
        <v>2.3059226773313037E-2</v>
      </c>
      <c r="AA1539" s="284">
        <v>2.3046572571630008E-2</v>
      </c>
    </row>
    <row r="1540" spans="23:27" x14ac:dyDescent="0.2">
      <c r="W1540" s="203" t="str">
        <f t="shared" si="33"/>
        <v>1w</v>
      </c>
      <c r="X1540" s="287">
        <f>_xll.qlCalendarAdvance(Calendar,X1539,W1540,"f",FALSE)</f>
        <v>49762</v>
      </c>
      <c r="Y1540" s="281">
        <f>_xll.qlCalendarAdvance(Calendar,X1540,NDays&amp;"D")</f>
        <v>49766</v>
      </c>
      <c r="Z1540" s="282">
        <v>2.3050726601405995E-2</v>
      </c>
      <c r="AA1540" s="284">
        <v>2.3038157582524477E-2</v>
      </c>
    </row>
    <row r="1541" spans="23:27" x14ac:dyDescent="0.2">
      <c r="W1541" s="203" t="str">
        <f t="shared" si="33"/>
        <v>1w</v>
      </c>
      <c r="X1541" s="287">
        <f>_xll.qlCalendarAdvance(Calendar,X1540,W1541,"f",FALSE)</f>
        <v>49769</v>
      </c>
      <c r="Y1541" s="281">
        <f>_xll.qlCalendarAdvance(Calendar,X1541,NDays&amp;"D")</f>
        <v>49773</v>
      </c>
      <c r="Z1541" s="282">
        <v>2.3042384882990197E-2</v>
      </c>
      <c r="AA1541" s="284">
        <v>2.3029758889343555E-2</v>
      </c>
    </row>
    <row r="1542" spans="23:27" x14ac:dyDescent="0.2">
      <c r="W1542" s="203" t="str">
        <f t="shared" si="33"/>
        <v>1w</v>
      </c>
      <c r="X1542" s="287">
        <f>_xll.qlCalendarAdvance(Calendar,X1541,W1542,"f",FALSE)</f>
        <v>49780</v>
      </c>
      <c r="Y1542" s="281">
        <f>_xll.qlCalendarAdvance(Calendar,X1542,NDays&amp;"D")</f>
        <v>49782</v>
      </c>
      <c r="Z1542" s="282">
        <v>2.3031683924853014E-2</v>
      </c>
      <c r="AA1542" s="284">
        <v>2.3018984514671104E-2</v>
      </c>
    </row>
    <row r="1543" spans="23:27" x14ac:dyDescent="0.2">
      <c r="W1543" s="203" t="str">
        <f t="shared" si="33"/>
        <v>1w</v>
      </c>
      <c r="X1543" s="287">
        <f>_xll.qlCalendarAdvance(Calendar,X1542,W1543,"f",FALSE)</f>
        <v>49787</v>
      </c>
      <c r="Y1543" s="281">
        <f>_xll.qlCalendarAdvance(Calendar,X1543,NDays&amp;"D")</f>
        <v>49789</v>
      </c>
      <c r="Z1543" s="282">
        <v>2.3023379708259524E-2</v>
      </c>
      <c r="AA1543" s="284">
        <v>2.3010623069374958E-2</v>
      </c>
    </row>
    <row r="1544" spans="23:27" x14ac:dyDescent="0.2">
      <c r="W1544" s="203" t="str">
        <f t="shared" si="33"/>
        <v>1w</v>
      </c>
      <c r="X1544" s="287">
        <f>_xll.qlCalendarAdvance(Calendar,X1543,W1544,"f",FALSE)</f>
        <v>49795</v>
      </c>
      <c r="Y1544" s="281">
        <f>_xll.qlCalendarAdvance(Calendar,X1544,NDays&amp;"D")</f>
        <v>49797</v>
      </c>
      <c r="Z1544" s="282">
        <v>2.3014346046793224E-2</v>
      </c>
      <c r="AA1544" s="284">
        <v>2.3001645494899137E-2</v>
      </c>
    </row>
    <row r="1545" spans="23:27" x14ac:dyDescent="0.2">
      <c r="W1545" s="203" t="str">
        <f t="shared" si="33"/>
        <v>1w</v>
      </c>
      <c r="X1545" s="287">
        <f>_xll.qlCalendarAdvance(Calendar,X1544,W1545,"f",FALSE)</f>
        <v>49802</v>
      </c>
      <c r="Y1545" s="281">
        <f>_xll.qlCalendarAdvance(Calendar,X1545,NDays&amp;"D")</f>
        <v>49804</v>
      </c>
      <c r="Z1545" s="282">
        <v>2.3006078923034041E-2</v>
      </c>
      <c r="AA1545" s="284">
        <v>2.2993040897576478E-2</v>
      </c>
    </row>
    <row r="1546" spans="23:27" x14ac:dyDescent="0.2">
      <c r="W1546" s="203" t="str">
        <f t="shared" si="33"/>
        <v>1w</v>
      </c>
      <c r="X1546" s="287">
        <f>_xll.qlCalendarAdvance(Calendar,X1545,W1546,"f",FALSE)</f>
        <v>49809</v>
      </c>
      <c r="Y1546" s="281">
        <f>_xll.qlCalendarAdvance(Calendar,X1546,NDays&amp;"D")</f>
        <v>49811</v>
      </c>
      <c r="Z1546" s="282">
        <v>2.2997828209613481E-2</v>
      </c>
      <c r="AA1546" s="284">
        <v>2.2984731935284941E-2</v>
      </c>
    </row>
    <row r="1547" spans="23:27" x14ac:dyDescent="0.2">
      <c r="W1547" s="203" t="str">
        <f t="shared" si="33"/>
        <v>1w</v>
      </c>
      <c r="X1547" s="287">
        <f>_xll.qlCalendarAdvance(Calendar,X1546,W1547,"f",FALSE)</f>
        <v>49816</v>
      </c>
      <c r="Y1547" s="281">
        <f>_xll.qlCalendarAdvance(Calendar,X1547,NDays&amp;"D")</f>
        <v>49818</v>
      </c>
      <c r="Z1547" s="282">
        <v>2.2989741575809106E-2</v>
      </c>
      <c r="AA1547" s="284">
        <v>2.2976580807765323E-2</v>
      </c>
    </row>
    <row r="1548" spans="23:27" x14ac:dyDescent="0.2">
      <c r="W1548" s="203" t="str">
        <f t="shared" si="33"/>
        <v>1w</v>
      </c>
      <c r="X1548" s="287">
        <f>_xll.qlCalendarAdvance(Calendar,X1547,W1548,"f",FALSE)</f>
        <v>49823</v>
      </c>
      <c r="Y1548" s="281">
        <f>_xll.qlCalendarAdvance(Calendar,X1548,NDays&amp;"D")</f>
        <v>49825</v>
      </c>
      <c r="Z1548" s="282">
        <v>2.2980931468113794E-2</v>
      </c>
      <c r="AA1548" s="284">
        <v>2.2968162906042977E-2</v>
      </c>
    </row>
    <row r="1549" spans="23:27" x14ac:dyDescent="0.2">
      <c r="W1549" s="203" t="str">
        <f t="shared" si="33"/>
        <v>1w</v>
      </c>
      <c r="X1549" s="287">
        <f>_xll.qlCalendarAdvance(Calendar,X1548,W1549,"f",FALSE)</f>
        <v>49830</v>
      </c>
      <c r="Y1549" s="281">
        <f>_xll.qlCalendarAdvance(Calendar,X1549,NDays&amp;"D")</f>
        <v>49832</v>
      </c>
      <c r="Z1549" s="282">
        <v>2.297317453033074E-2</v>
      </c>
      <c r="AA1549" s="284">
        <v>2.2959902839065904E-2</v>
      </c>
    </row>
    <row r="1550" spans="23:27" x14ac:dyDescent="0.2">
      <c r="W1550" s="203" t="str">
        <f t="shared" si="33"/>
        <v>1w</v>
      </c>
      <c r="X1550" s="287">
        <f>_xll.qlCalendarAdvance(Calendar,X1549,W1550,"f",FALSE)</f>
        <v>49837</v>
      </c>
      <c r="Y1550" s="281">
        <f>_xll.qlCalendarAdvance(Calendar,X1550,NDays&amp;"D")</f>
        <v>49839</v>
      </c>
      <c r="Z1550" s="282">
        <v>2.2965139077507763E-2</v>
      </c>
      <c r="AA1550" s="284">
        <v>2.295165907054475E-2</v>
      </c>
    </row>
    <row r="1551" spans="23:27" x14ac:dyDescent="0.2">
      <c r="W1551" s="203" t="str">
        <f t="shared" si="33"/>
        <v>1w</v>
      </c>
      <c r="X1551" s="287">
        <f>_xll.qlCalendarAdvance(Calendar,X1550,W1551,"f",FALSE)</f>
        <v>49844</v>
      </c>
      <c r="Y1551" s="281">
        <f>_xll.qlCalendarAdvance(Calendar,X1551,NDays&amp;"D")</f>
        <v>49846</v>
      </c>
      <c r="Z1551" s="282">
        <v>2.2956971066951E-2</v>
      </c>
      <c r="AA1551" s="284">
        <v>2.2943431600426223E-2</v>
      </c>
    </row>
    <row r="1552" spans="23:27" x14ac:dyDescent="0.2">
      <c r="W1552" s="203" t="str">
        <f t="shared" si="33"/>
        <v>1w</v>
      </c>
      <c r="X1552" s="287">
        <f>_xll.qlCalendarAdvance(Calendar,X1551,W1552,"f",FALSE)</f>
        <v>49851</v>
      </c>
      <c r="Y1552" s="281">
        <f>_xll.qlCalendarAdvance(Calendar,X1552,NDays&amp;"D")</f>
        <v>49853</v>
      </c>
      <c r="Z1552" s="282">
        <v>2.2948668540316474E-2</v>
      </c>
      <c r="AA1552" s="284">
        <v>2.2935220428763614E-2</v>
      </c>
    </row>
    <row r="1553" spans="23:27" x14ac:dyDescent="0.2">
      <c r="W1553" s="203" t="str">
        <f t="shared" si="33"/>
        <v>1w</v>
      </c>
      <c r="X1553" s="287">
        <f>_xll.qlCalendarAdvance(Calendar,X1552,W1553,"f",FALSE)</f>
        <v>49858</v>
      </c>
      <c r="Y1553" s="281">
        <f>_xll.qlCalendarAdvance(Calendar,X1553,NDays&amp;"D")</f>
        <v>49860</v>
      </c>
      <c r="Z1553" s="282">
        <v>2.2940532696327325E-2</v>
      </c>
      <c r="AA1553" s="284">
        <v>2.2927025555503633E-2</v>
      </c>
    </row>
    <row r="1554" spans="23:27" x14ac:dyDescent="0.2">
      <c r="W1554" s="203" t="str">
        <f t="shared" si="33"/>
        <v>1w</v>
      </c>
      <c r="X1554" s="287">
        <f>_xll.qlCalendarAdvance(Calendar,X1553,W1554,"f",FALSE)</f>
        <v>49865</v>
      </c>
      <c r="Y1554" s="281">
        <f>_xll.qlCalendarAdvance(Calendar,X1554,NDays&amp;"D")</f>
        <v>49867</v>
      </c>
      <c r="Z1554" s="282">
        <v>2.2932565500435903E-2</v>
      </c>
      <c r="AA1554" s="284">
        <v>2.291884698069957E-2</v>
      </c>
    </row>
    <row r="1555" spans="23:27" x14ac:dyDescent="0.2">
      <c r="W1555" s="203" t="str">
        <f t="shared" si="33"/>
        <v>1w</v>
      </c>
      <c r="X1555" s="287">
        <f>_xll.qlCalendarAdvance(Calendar,X1554,W1555,"f",FALSE)</f>
        <v>49872</v>
      </c>
      <c r="Y1555" s="281">
        <f>_xll.qlCalendarAdvance(Calendar,X1555,NDays&amp;"D")</f>
        <v>49874</v>
      </c>
      <c r="Z1555" s="282">
        <v>2.292431023675166E-2</v>
      </c>
      <c r="AA1555" s="284">
        <v>2.291083136427563E-2</v>
      </c>
    </row>
    <row r="1556" spans="23:27" x14ac:dyDescent="0.2">
      <c r="W1556" s="203" t="str">
        <f t="shared" si="33"/>
        <v>1w</v>
      </c>
      <c r="X1556" s="287">
        <f>_xll.qlCalendarAdvance(Calendar,X1555,W1556,"f",FALSE)</f>
        <v>49879</v>
      </c>
      <c r="Y1556" s="281">
        <f>_xll.qlCalendarAdvance(Calendar,X1556,NDays&amp;"D")</f>
        <v>49881</v>
      </c>
      <c r="Z1556" s="282">
        <v>2.2916223620956799E-2</v>
      </c>
      <c r="AA1556" s="284">
        <v>2.2902538726272681E-2</v>
      </c>
    </row>
    <row r="1557" spans="23:27" x14ac:dyDescent="0.2">
      <c r="W1557" s="203" t="str">
        <f t="shared" ref="W1557:W1620" si="34">W1556</f>
        <v>1w</v>
      </c>
      <c r="X1557" s="287">
        <f>_xll.qlCalendarAdvance(Calendar,X1556,W1557,"f",FALSE)</f>
        <v>49886</v>
      </c>
      <c r="Y1557" s="281">
        <f>_xll.qlCalendarAdvance(Calendar,X1557,NDays&amp;"D")</f>
        <v>49888</v>
      </c>
      <c r="Z1557" s="282">
        <v>2.290830762945156E-2</v>
      </c>
      <c r="AA1557" s="284">
        <v>2.2894409046703146E-2</v>
      </c>
    </row>
    <row r="1558" spans="23:27" x14ac:dyDescent="0.2">
      <c r="W1558" s="203" t="str">
        <f t="shared" si="34"/>
        <v>1w</v>
      </c>
      <c r="X1558" s="287">
        <f>_xll.qlCalendarAdvance(Calendar,X1557,W1558,"f",FALSE)</f>
        <v>49893</v>
      </c>
      <c r="Y1558" s="281">
        <f>_xll.qlCalendarAdvance(Calendar,X1558,NDays&amp;"D")</f>
        <v>49895</v>
      </c>
      <c r="Z1558" s="282">
        <v>2.2900099616837685E-2</v>
      </c>
      <c r="AA1558" s="284">
        <v>2.2886295665509593E-2</v>
      </c>
    </row>
    <row r="1559" spans="23:27" x14ac:dyDescent="0.2">
      <c r="W1559" s="203" t="str">
        <f t="shared" si="34"/>
        <v>1w</v>
      </c>
      <c r="X1559" s="287">
        <f>_xll.qlCalendarAdvance(Calendar,X1558,W1559,"f",FALSE)</f>
        <v>49900</v>
      </c>
      <c r="Y1559" s="281">
        <f>_xll.qlCalendarAdvance(Calendar,X1559,NDays&amp;"D")</f>
        <v>49902</v>
      </c>
      <c r="Z1559" s="282">
        <v>2.2892062228307641E-2</v>
      </c>
      <c r="AA1559" s="284">
        <v>2.2878198582745313E-2</v>
      </c>
    </row>
    <row r="1560" spans="23:27" x14ac:dyDescent="0.2">
      <c r="W1560" s="203" t="str">
        <f t="shared" si="34"/>
        <v>1w</v>
      </c>
      <c r="X1560" s="287">
        <f>_xll.qlCalendarAdvance(Calendar,X1559,W1560,"f",FALSE)</f>
        <v>49907</v>
      </c>
      <c r="Y1560" s="281">
        <f>_xll.qlCalendarAdvance(Calendar,X1560,NDays&amp;"D")</f>
        <v>49909</v>
      </c>
      <c r="Z1560" s="282">
        <v>2.2884197451180012E-2</v>
      </c>
      <c r="AA1560" s="284">
        <v>2.2870267700387803E-2</v>
      </c>
    </row>
    <row r="1561" spans="23:27" x14ac:dyDescent="0.2">
      <c r="W1561" s="203" t="str">
        <f t="shared" si="34"/>
        <v>1w</v>
      </c>
      <c r="X1561" s="287">
        <f>_xll.qlCalendarAdvance(Calendar,X1560,W1561,"f",FALSE)</f>
        <v>49914</v>
      </c>
      <c r="Y1561" s="281">
        <f>_xll.qlCalendarAdvance(Calendar,X1561,NDays&amp;"D")</f>
        <v>49916</v>
      </c>
      <c r="Z1561" s="282">
        <v>2.2875566496716328E-2</v>
      </c>
      <c r="AA1561" s="284">
        <v>2.286205331239799E-2</v>
      </c>
    </row>
    <row r="1562" spans="23:27" x14ac:dyDescent="0.2">
      <c r="W1562" s="203" t="str">
        <f t="shared" si="34"/>
        <v>1w</v>
      </c>
      <c r="X1562" s="287">
        <f>_xll.qlCalendarAdvance(Calendar,X1561,W1562,"f",FALSE)</f>
        <v>49921</v>
      </c>
      <c r="Y1562" s="281">
        <f>_xll.qlCalendarAdvance(Calendar,X1562,NDays&amp;"D")</f>
        <v>49923</v>
      </c>
      <c r="Z1562" s="282">
        <v>2.2867576337061536E-2</v>
      </c>
      <c r="AA1562" s="284">
        <v>2.2854005124814947E-2</v>
      </c>
    </row>
    <row r="1563" spans="23:27" x14ac:dyDescent="0.2">
      <c r="W1563" s="203" t="str">
        <f t="shared" si="34"/>
        <v>1w</v>
      </c>
      <c r="X1563" s="287">
        <f>_xll.qlCalendarAdvance(Calendar,X1562,W1563,"f",FALSE)</f>
        <v>49928</v>
      </c>
      <c r="Y1563" s="281">
        <f>_xll.qlCalendarAdvance(Calendar,X1563,NDays&amp;"D")</f>
        <v>49930</v>
      </c>
      <c r="Z1563" s="282">
        <v>2.2859602582358866E-2</v>
      </c>
      <c r="AA1563" s="284">
        <v>2.2846125097490955E-2</v>
      </c>
    </row>
    <row r="1564" spans="23:27" x14ac:dyDescent="0.2">
      <c r="W1564" s="203" t="str">
        <f t="shared" si="34"/>
        <v>1w</v>
      </c>
      <c r="X1564" s="287">
        <f>_xll.qlCalendarAdvance(Calendar,X1563,W1564,"f",FALSE)</f>
        <v>49935</v>
      </c>
      <c r="Y1564" s="281">
        <f>_xll.qlCalendarAdvance(Calendar,X1564,NDays&amp;"D")</f>
        <v>49937</v>
      </c>
      <c r="Z1564" s="282">
        <v>2.2851645232510813E-2</v>
      </c>
      <c r="AA1564" s="284">
        <v>2.2838110162395342E-2</v>
      </c>
    </row>
    <row r="1565" spans="23:27" x14ac:dyDescent="0.2">
      <c r="W1565" s="203" t="str">
        <f t="shared" si="34"/>
        <v>1w</v>
      </c>
      <c r="X1565" s="287">
        <f>_xll.qlCalendarAdvance(Calendar,X1564,W1565,"f",FALSE)</f>
        <v>49942</v>
      </c>
      <c r="Y1565" s="281">
        <f>_xll.qlCalendarAdvance(Calendar,X1565,NDays&amp;"D")</f>
        <v>49944</v>
      </c>
      <c r="Z1565" s="282">
        <v>2.2844182480087846E-2</v>
      </c>
      <c r="AA1565" s="284">
        <v>2.2829958352428292E-2</v>
      </c>
    </row>
    <row r="1566" spans="23:27" x14ac:dyDescent="0.2">
      <c r="W1566" s="203" t="str">
        <f t="shared" si="34"/>
        <v>1w</v>
      </c>
      <c r="X1566" s="287">
        <f>_xll.qlCalendarAdvance(Calendar,X1565,W1566,"f",FALSE)</f>
        <v>49949</v>
      </c>
      <c r="Y1566" s="281">
        <f>_xll.qlCalendarAdvance(Calendar,X1566,NDays&amp;"D")</f>
        <v>49951</v>
      </c>
      <c r="Z1566" s="282">
        <v>2.2836259951592476E-2</v>
      </c>
      <c r="AA1566" s="284">
        <v>2.2821975358375823E-2</v>
      </c>
    </row>
    <row r="1567" spans="23:27" x14ac:dyDescent="0.2">
      <c r="W1567" s="203" t="str">
        <f t="shared" si="34"/>
        <v>1w</v>
      </c>
      <c r="X1567" s="287">
        <f>_xll.qlCalendarAdvance(Calendar,X1566,W1567,"f",FALSE)</f>
        <v>49956</v>
      </c>
      <c r="Y1567" s="281">
        <f>_xll.qlCalendarAdvance(Calendar,X1567,NDays&amp;"D")</f>
        <v>49958</v>
      </c>
      <c r="Z1567" s="282">
        <v>2.282851471340018E-2</v>
      </c>
      <c r="AA1567" s="284">
        <v>2.2814163154678546E-2</v>
      </c>
    </row>
    <row r="1568" spans="23:27" x14ac:dyDescent="0.2">
      <c r="W1568" s="203" t="str">
        <f t="shared" si="34"/>
        <v>1w</v>
      </c>
      <c r="X1568" s="287">
        <f>_xll.qlCalendarAdvance(Calendar,X1567,W1568,"f",FALSE)</f>
        <v>49963</v>
      </c>
      <c r="Y1568" s="281">
        <f>_xll.qlCalendarAdvance(Calendar,X1568,NDays&amp;"D")</f>
        <v>49965</v>
      </c>
      <c r="Z1568" s="282">
        <v>2.282046411901352E-2</v>
      </c>
      <c r="AA1568" s="284">
        <v>2.2806058265478768E-2</v>
      </c>
    </row>
    <row r="1569" spans="23:27" x14ac:dyDescent="0.2">
      <c r="W1569" s="203" t="str">
        <f t="shared" si="34"/>
        <v>1w</v>
      </c>
      <c r="X1569" s="287">
        <f>_xll.qlCalendarAdvance(Calendar,X1568,W1569,"f",FALSE)</f>
        <v>49970</v>
      </c>
      <c r="Y1569" s="281">
        <f>_xll.qlCalendarAdvance(Calendar,X1569,NDays&amp;"D")</f>
        <v>49972</v>
      </c>
      <c r="Z1569" s="282">
        <v>2.281259081472584E-2</v>
      </c>
      <c r="AA1569" s="284">
        <v>2.2798124166554246E-2</v>
      </c>
    </row>
    <row r="1570" spans="23:27" x14ac:dyDescent="0.2">
      <c r="W1570" s="203" t="str">
        <f t="shared" si="34"/>
        <v>1w</v>
      </c>
      <c r="X1570" s="287">
        <f>_xll.qlCalendarAdvance(Calendar,X1569,W1570,"f",FALSE)</f>
        <v>49977</v>
      </c>
      <c r="Y1570" s="281">
        <f>_xll.qlCalendarAdvance(Calendar,X1570,NDays&amp;"D")</f>
        <v>49979</v>
      </c>
      <c r="Z1570" s="282">
        <v>2.2804245629856508E-2</v>
      </c>
      <c r="AA1570" s="284">
        <v>2.279036284319691E-2</v>
      </c>
    </row>
    <row r="1571" spans="23:27" x14ac:dyDescent="0.2">
      <c r="W1571" s="203" t="str">
        <f t="shared" si="34"/>
        <v>1w</v>
      </c>
      <c r="X1571" s="287">
        <f>_xll.qlCalendarAdvance(Calendar,X1570,W1571,"f",FALSE)</f>
        <v>49984</v>
      </c>
      <c r="Y1571" s="281">
        <f>_xll.qlCalendarAdvance(Calendar,X1571,NDays&amp;"D")</f>
        <v>49986</v>
      </c>
      <c r="Z1571" s="282">
        <v>2.2796893429656601E-2</v>
      </c>
      <c r="AA1571" s="284">
        <v>2.2782304863833147E-2</v>
      </c>
    </row>
    <row r="1572" spans="23:27" x14ac:dyDescent="0.2">
      <c r="W1572" s="203" t="str">
        <f t="shared" si="34"/>
        <v>1w</v>
      </c>
      <c r="X1572" s="287">
        <f>_xll.qlCalendarAdvance(Calendar,X1571,W1572,"f",FALSE)</f>
        <v>49991</v>
      </c>
      <c r="Y1572" s="281">
        <f>_xll.qlCalendarAdvance(Calendar,X1572,NDays&amp;"D")</f>
        <v>49993</v>
      </c>
      <c r="Z1572" s="282">
        <v>2.2789069348673502E-2</v>
      </c>
      <c r="AA1572" s="284">
        <v>2.2774419660063216E-2</v>
      </c>
    </row>
    <row r="1573" spans="23:27" x14ac:dyDescent="0.2">
      <c r="W1573" s="203" t="str">
        <f t="shared" si="34"/>
        <v>1w</v>
      </c>
      <c r="X1573" s="287">
        <f>_xll.qlCalendarAdvance(Calendar,X1572,W1573,"f",FALSE)</f>
        <v>49998</v>
      </c>
      <c r="Y1573" s="281">
        <f>_xll.qlCalendarAdvance(Calendar,X1573,NDays&amp;"D")</f>
        <v>50000</v>
      </c>
      <c r="Z1573" s="282">
        <v>2.2781261675257625E-2</v>
      </c>
      <c r="AA1573" s="284">
        <v>2.2766709227850512E-2</v>
      </c>
    </row>
    <row r="1574" spans="23:27" x14ac:dyDescent="0.2">
      <c r="W1574" s="203" t="str">
        <f t="shared" si="34"/>
        <v>1w</v>
      </c>
      <c r="X1574" s="287">
        <f>_xll.qlCalendarAdvance(Calendar,X1573,W1574,"f",FALSE)</f>
        <v>50005</v>
      </c>
      <c r="Y1574" s="281">
        <f>_xll.qlCalendarAdvance(Calendar,X1574,NDays&amp;"D")</f>
        <v>50007</v>
      </c>
      <c r="Z1574" s="282">
        <v>2.2772973979448875E-2</v>
      </c>
      <c r="AA1574" s="284">
        <v>2.2758698147518075E-2</v>
      </c>
    </row>
    <row r="1575" spans="23:27" x14ac:dyDescent="0.2">
      <c r="W1575" s="203" t="str">
        <f t="shared" si="34"/>
        <v>1w</v>
      </c>
      <c r="X1575" s="287">
        <f>_xll.qlCalendarAdvance(Calendar,X1574,W1575,"f",FALSE)</f>
        <v>50012</v>
      </c>
      <c r="Y1575" s="281">
        <f>_xll.qlCalendarAdvance(Calendar,X1575,NDays&amp;"D")</f>
        <v>50014</v>
      </c>
      <c r="Z1575" s="282">
        <v>2.2765031062744967E-2</v>
      </c>
      <c r="AA1575" s="284">
        <v>2.2750861838742864E-2</v>
      </c>
    </row>
    <row r="1576" spans="23:27" x14ac:dyDescent="0.2">
      <c r="W1576" s="203" t="str">
        <f t="shared" si="34"/>
        <v>1w</v>
      </c>
      <c r="X1576" s="287">
        <f>_xll.qlCalendarAdvance(Calendar,X1575,W1576,"f",FALSE)</f>
        <v>50019</v>
      </c>
      <c r="Y1576" s="281">
        <f>_xll.qlCalendarAdvance(Calendar,X1576,NDays&amp;"D")</f>
        <v>50021</v>
      </c>
      <c r="Z1576" s="282">
        <v>2.2757269881173769E-2</v>
      </c>
      <c r="AA1576" s="284">
        <v>2.2743041828396926E-2</v>
      </c>
    </row>
    <row r="1577" spans="23:27" x14ac:dyDescent="0.2">
      <c r="W1577" s="203" t="str">
        <f t="shared" si="34"/>
        <v>1w</v>
      </c>
      <c r="X1577" s="287">
        <f>_xll.qlCalendarAdvance(Calendar,X1576,W1577,"f",FALSE)</f>
        <v>50026</v>
      </c>
      <c r="Y1577" s="281">
        <f>_xll.qlCalendarAdvance(Calendar,X1577,NDays&amp;"D")</f>
        <v>50028</v>
      </c>
      <c r="Z1577" s="282">
        <v>2.2749525102000234E-2</v>
      </c>
      <c r="AA1577" s="284">
        <v>2.2735238116347034E-2</v>
      </c>
    </row>
    <row r="1578" spans="23:27" x14ac:dyDescent="0.2">
      <c r="W1578" s="203" t="str">
        <f t="shared" si="34"/>
        <v>1w</v>
      </c>
      <c r="X1578" s="287">
        <f>_xll.qlCalendarAdvance(Calendar,X1577,W1578,"f",FALSE)</f>
        <v>50033</v>
      </c>
      <c r="Y1578" s="281">
        <f>_xll.qlCalendarAdvance(Calendar,X1578,NDays&amp;"D")</f>
        <v>50039</v>
      </c>
      <c r="Z1578" s="282">
        <v>2.273755633029868E-2</v>
      </c>
      <c r="AA1578" s="284">
        <v>2.272349490951342E-2</v>
      </c>
    </row>
    <row r="1579" spans="23:27" x14ac:dyDescent="0.2">
      <c r="W1579" s="203" t="str">
        <f t="shared" si="34"/>
        <v>1w</v>
      </c>
      <c r="X1579" s="287">
        <f>_xll.qlCalendarAdvance(Calendar,X1578,W1579,"f",FALSE)</f>
        <v>50045</v>
      </c>
      <c r="Y1579" s="281">
        <f>_xll.qlCalendarAdvance(Calendar,X1579,NDays&amp;"D")</f>
        <v>50047</v>
      </c>
      <c r="Z1579" s="282">
        <v>2.2728586239254334E-2</v>
      </c>
      <c r="AA1579" s="284">
        <v>2.2713813022914309E-2</v>
      </c>
    </row>
    <row r="1580" spans="23:27" x14ac:dyDescent="0.2">
      <c r="W1580" s="203" t="str">
        <f t="shared" si="34"/>
        <v>1w</v>
      </c>
      <c r="X1580" s="287">
        <f>_xll.qlCalendarAdvance(Calendar,X1579,W1580,"f",FALSE)</f>
        <v>50053</v>
      </c>
      <c r="Y1580" s="281">
        <f>_xll.qlCalendarAdvance(Calendar,X1580,NDays&amp;"D")</f>
        <v>50055</v>
      </c>
      <c r="Z1580" s="282">
        <v>2.2719806027552636E-2</v>
      </c>
      <c r="AA1580" s="284">
        <v>2.2704963465667305E-2</v>
      </c>
    </row>
    <row r="1581" spans="23:27" x14ac:dyDescent="0.2">
      <c r="W1581" s="203" t="str">
        <f t="shared" si="34"/>
        <v>1w</v>
      </c>
      <c r="X1581" s="287">
        <f>_xll.qlCalendarAdvance(Calendar,X1580,W1581,"f",FALSE)</f>
        <v>50060</v>
      </c>
      <c r="Y1581" s="281">
        <f>_xll.qlCalendarAdvance(Calendar,X1581,NDays&amp;"D")</f>
        <v>50062</v>
      </c>
      <c r="Z1581" s="282">
        <v>2.2712140915825074E-2</v>
      </c>
      <c r="AA1581" s="284">
        <v>2.2697237563109596E-2</v>
      </c>
    </row>
    <row r="1582" spans="23:27" x14ac:dyDescent="0.2">
      <c r="W1582" s="203" t="str">
        <f t="shared" si="34"/>
        <v>1w</v>
      </c>
      <c r="X1582" s="287">
        <f>_xll.qlCalendarAdvance(Calendar,X1581,W1582,"f",FALSE)</f>
        <v>50067</v>
      </c>
      <c r="Y1582" s="281">
        <f>_xll.qlCalendarAdvance(Calendar,X1582,NDays&amp;"D")</f>
        <v>50069</v>
      </c>
      <c r="Z1582" s="282">
        <v>2.2704663613195661E-2</v>
      </c>
      <c r="AA1582" s="284">
        <v>2.2689527956316624E-2</v>
      </c>
    </row>
    <row r="1583" spans="23:27" x14ac:dyDescent="0.2">
      <c r="W1583" s="203" t="str">
        <f t="shared" si="34"/>
        <v>1w</v>
      </c>
      <c r="X1583" s="287">
        <f>_xll.qlCalendarAdvance(Calendar,X1582,W1583,"f",FALSE)</f>
        <v>50074</v>
      </c>
      <c r="Y1583" s="281">
        <f>_xll.qlCalendarAdvance(Calendar,X1583,NDays&amp;"D")</f>
        <v>50076</v>
      </c>
      <c r="Z1583" s="282">
        <v>2.2697031996769382E-2</v>
      </c>
      <c r="AA1583" s="284">
        <v>2.2681834645608134E-2</v>
      </c>
    </row>
    <row r="1584" spans="23:27" x14ac:dyDescent="0.2">
      <c r="W1584" s="203" t="str">
        <f t="shared" si="34"/>
        <v>1w</v>
      </c>
      <c r="X1584" s="287">
        <f>_xll.qlCalendarAdvance(Calendar,X1583,W1584,"f",FALSE)</f>
        <v>50081</v>
      </c>
      <c r="Y1584" s="281">
        <f>_xll.qlCalendarAdvance(Calendar,X1584,NDays&amp;"D")</f>
        <v>50084</v>
      </c>
      <c r="Z1584" s="282">
        <v>2.2689071272981878E-2</v>
      </c>
      <c r="AA1584" s="284">
        <v>2.2673395160071053E-2</v>
      </c>
    </row>
    <row r="1585" spans="23:27" x14ac:dyDescent="0.2">
      <c r="W1585" s="203" t="str">
        <f t="shared" si="34"/>
        <v>1w</v>
      </c>
      <c r="X1585" s="287">
        <f>_xll.qlCalendarAdvance(Calendar,X1584,W1585,"f",FALSE)</f>
        <v>50088</v>
      </c>
      <c r="Y1585" s="281">
        <f>_xll.qlCalendarAdvance(Calendar,X1585,NDays&amp;"D")</f>
        <v>50090</v>
      </c>
      <c r="Z1585" s="282">
        <v>2.2681471074147554E-2</v>
      </c>
      <c r="AA1585" s="284">
        <v>2.2666496911964984E-2</v>
      </c>
    </row>
    <row r="1586" spans="23:27" x14ac:dyDescent="0.2">
      <c r="W1586" s="203" t="str">
        <f t="shared" si="34"/>
        <v>1w</v>
      </c>
      <c r="X1586" s="287">
        <f>_xll.qlCalendarAdvance(Calendar,X1585,W1586,"f",FALSE)</f>
        <v>50095</v>
      </c>
      <c r="Y1586" s="281">
        <f>_xll.qlCalendarAdvance(Calendar,X1586,NDays&amp;"D")</f>
        <v>50097</v>
      </c>
      <c r="Z1586" s="282">
        <v>2.2673887275603797E-2</v>
      </c>
      <c r="AA1586" s="284">
        <v>2.2658852489110259E-2</v>
      </c>
    </row>
    <row r="1587" spans="23:27" x14ac:dyDescent="0.2">
      <c r="W1587" s="203" t="str">
        <f t="shared" si="34"/>
        <v>1w</v>
      </c>
      <c r="X1587" s="287">
        <f>_xll.qlCalendarAdvance(Calendar,X1586,W1587,"f",FALSE)</f>
        <v>50102</v>
      </c>
      <c r="Y1587" s="281">
        <f>_xll.qlCalendarAdvance(Calendar,X1587,NDays&amp;"D")</f>
        <v>50104</v>
      </c>
      <c r="Z1587" s="282">
        <v>2.2666844510083099E-2</v>
      </c>
      <c r="AA1587" s="284">
        <v>2.2651224362100209E-2</v>
      </c>
    </row>
    <row r="1588" spans="23:27" x14ac:dyDescent="0.2">
      <c r="W1588" s="203" t="str">
        <f t="shared" si="34"/>
        <v>1w</v>
      </c>
      <c r="X1588" s="287">
        <f>_xll.qlCalendarAdvance(Calendar,X1587,W1588,"f",FALSE)</f>
        <v>50109</v>
      </c>
      <c r="Y1588" s="281">
        <f>_xll.qlCalendarAdvance(Calendar,X1588,NDays&amp;"D")</f>
        <v>50111</v>
      </c>
      <c r="Z1588" s="282">
        <v>2.2659295604696223E-2</v>
      </c>
      <c r="AA1588" s="284">
        <v>2.2643612531014767E-2</v>
      </c>
    </row>
    <row r="1589" spans="23:27" x14ac:dyDescent="0.2">
      <c r="W1589" s="203" t="str">
        <f t="shared" si="34"/>
        <v>1w</v>
      </c>
      <c r="X1589" s="287">
        <f>_xll.qlCalendarAdvance(Calendar,X1588,W1589,"f",FALSE)</f>
        <v>50116</v>
      </c>
      <c r="Y1589" s="281">
        <f>_xll.qlCalendarAdvance(Calendar,X1589,NDays&amp;"D")</f>
        <v>50118</v>
      </c>
      <c r="Z1589" s="282">
        <v>2.2651763102863515E-2</v>
      </c>
      <c r="AA1589" s="284">
        <v>2.2636526447414873E-2</v>
      </c>
    </row>
    <row r="1590" spans="23:27" x14ac:dyDescent="0.2">
      <c r="W1590" s="203" t="str">
        <f t="shared" si="34"/>
        <v>1w</v>
      </c>
      <c r="X1590" s="287">
        <f>_xll.qlCalendarAdvance(Calendar,X1589,W1590,"f",FALSE)</f>
        <v>50123</v>
      </c>
      <c r="Y1590" s="281">
        <f>_xll.qlCalendarAdvance(Calendar,X1590,NDays&amp;"D")</f>
        <v>50125</v>
      </c>
      <c r="Z1590" s="282">
        <v>2.2644247004493741E-2</v>
      </c>
      <c r="AA1590" s="284">
        <v>2.2628437756777586E-2</v>
      </c>
    </row>
    <row r="1591" spans="23:27" x14ac:dyDescent="0.2">
      <c r="W1591" s="203" t="str">
        <f t="shared" si="34"/>
        <v>1w</v>
      </c>
      <c r="X1591" s="287">
        <f>_xll.qlCalendarAdvance(Calendar,X1590,W1591,"f",FALSE)</f>
        <v>50130</v>
      </c>
      <c r="Y1591" s="281">
        <f>_xll.qlCalendarAdvance(Calendar,X1591,NDays&amp;"D")</f>
        <v>50132</v>
      </c>
      <c r="Z1591" s="282">
        <v>2.2636569559875728E-2</v>
      </c>
      <c r="AA1591" s="284">
        <v>2.262155973446589E-2</v>
      </c>
    </row>
    <row r="1592" spans="23:27" x14ac:dyDescent="0.2">
      <c r="W1592" s="203" t="str">
        <f t="shared" si="34"/>
        <v>1w</v>
      </c>
      <c r="X1592" s="287">
        <f>_xll.qlCalendarAdvance(Calendar,X1591,W1592,"f",FALSE)</f>
        <v>50137</v>
      </c>
      <c r="Y1592" s="281">
        <f>_xll.qlCalendarAdvance(Calendar,X1592,NDays&amp;"D")</f>
        <v>50139</v>
      </c>
      <c r="Z1592" s="282">
        <v>2.2629085565676856E-2</v>
      </c>
      <c r="AA1592" s="284">
        <v>2.2613328166078972E-2</v>
      </c>
    </row>
    <row r="1593" spans="23:27" x14ac:dyDescent="0.2">
      <c r="W1593" s="203" t="str">
        <f t="shared" si="34"/>
        <v>1w</v>
      </c>
      <c r="X1593" s="287">
        <f>_xll.qlCalendarAdvance(Calendar,X1592,W1593,"f",FALSE)</f>
        <v>50144</v>
      </c>
      <c r="Y1593" s="281">
        <f>_xll.qlCalendarAdvance(Calendar,X1593,NDays&amp;"D")</f>
        <v>50146</v>
      </c>
      <c r="Z1593" s="282">
        <v>2.2621617973483017E-2</v>
      </c>
      <c r="AA1593" s="284">
        <v>2.2605797814776452E-2</v>
      </c>
    </row>
    <row r="1594" spans="23:27" x14ac:dyDescent="0.2">
      <c r="W1594" s="203" t="str">
        <f t="shared" si="34"/>
        <v>1w</v>
      </c>
      <c r="X1594" s="287">
        <f>_xll.qlCalendarAdvance(Calendar,X1593,W1594,"f",FALSE)</f>
        <v>50151</v>
      </c>
      <c r="Y1594" s="281">
        <f>_xll.qlCalendarAdvance(Calendar,X1594,NDays&amp;"D")</f>
        <v>50153</v>
      </c>
      <c r="Z1594" s="282">
        <v>2.2614166783201092E-2</v>
      </c>
      <c r="AA1594" s="284">
        <v>2.2598283759318605E-2</v>
      </c>
    </row>
    <row r="1595" spans="23:27" x14ac:dyDescent="0.2">
      <c r="W1595" s="203" t="str">
        <f t="shared" si="34"/>
        <v>1w</v>
      </c>
      <c r="X1595" s="287">
        <f>_xll.qlCalendarAdvance(Calendar,X1594,W1595,"f",FALSE)</f>
        <v>50158</v>
      </c>
      <c r="Y1595" s="281">
        <f>_xll.qlCalendarAdvance(Calendar,X1595,NDays&amp;"D")</f>
        <v>50161</v>
      </c>
      <c r="Z1595" s="282">
        <v>2.2606912561284599E-2</v>
      </c>
      <c r="AA1595" s="284">
        <v>2.2590586891189091E-2</v>
      </c>
    </row>
    <row r="1596" spans="23:27" x14ac:dyDescent="0.2">
      <c r="W1596" s="203" t="str">
        <f t="shared" si="34"/>
        <v>1w</v>
      </c>
      <c r="X1596" s="287">
        <f>_xll.qlCalendarAdvance(Calendar,X1595,W1596,"f",FALSE)</f>
        <v>50167</v>
      </c>
      <c r="Y1596" s="281">
        <f>_xll.qlCalendarAdvance(Calendar,X1596,NDays&amp;"D")</f>
        <v>50171</v>
      </c>
      <c r="Z1596" s="282">
        <v>2.2595263572212112E-2</v>
      </c>
      <c r="AA1596" s="284">
        <v>2.2579036730707713E-2</v>
      </c>
    </row>
    <row r="1597" spans="23:27" x14ac:dyDescent="0.2">
      <c r="W1597" s="203" t="str">
        <f t="shared" si="34"/>
        <v>1w</v>
      </c>
      <c r="X1597" s="287">
        <f>_xll.qlCalendarAdvance(Calendar,X1596,W1597,"f",FALSE)</f>
        <v>50174</v>
      </c>
      <c r="Y1597" s="281">
        <f>_xll.qlCalendarAdvance(Calendar,X1597,NDays&amp;"D")</f>
        <v>50178</v>
      </c>
      <c r="Z1597" s="282">
        <v>2.2587871668445638E-2</v>
      </c>
      <c r="AA1597" s="284">
        <v>2.2571580875014874E-2</v>
      </c>
    </row>
    <row r="1598" spans="23:27" x14ac:dyDescent="0.2">
      <c r="W1598" s="203" t="str">
        <f t="shared" si="34"/>
        <v>1w</v>
      </c>
      <c r="X1598" s="287">
        <f>_xll.qlCalendarAdvance(Calendar,X1597,W1598,"f",FALSE)</f>
        <v>50181</v>
      </c>
      <c r="Y1598" s="281">
        <f>_xll.qlCalendarAdvance(Calendar,X1598,NDays&amp;"D")</f>
        <v>50186</v>
      </c>
      <c r="Z1598" s="282">
        <v>2.2579443863315344E-2</v>
      </c>
      <c r="AA1598" s="284">
        <v>2.2563079851209977E-2</v>
      </c>
    </row>
    <row r="1599" spans="23:27" x14ac:dyDescent="0.2">
      <c r="W1599" s="203" t="str">
        <f t="shared" si="34"/>
        <v>1w</v>
      </c>
      <c r="X1599" s="287">
        <f>_xll.qlCalendarAdvance(Calendar,X1598,W1599,"f",FALSE)</f>
        <v>50188</v>
      </c>
      <c r="Y1599" s="281">
        <f>_xll.qlCalendarAdvance(Calendar,X1599,NDays&amp;"D")</f>
        <v>50192</v>
      </c>
      <c r="Z1599" s="282">
        <v>2.257313706881044E-2</v>
      </c>
      <c r="AA1599" s="284">
        <v>2.2556718051323088E-2</v>
      </c>
    </row>
    <row r="1600" spans="23:27" x14ac:dyDescent="0.2">
      <c r="W1600" s="203" t="str">
        <f t="shared" si="34"/>
        <v>1w</v>
      </c>
      <c r="X1600" s="287">
        <f>_xll.qlCalendarAdvance(Calendar,X1599,W1600,"f",FALSE)</f>
        <v>50195</v>
      </c>
      <c r="Y1600" s="281">
        <f>_xll.qlCalendarAdvance(Calendar,X1600,NDays&amp;"D")</f>
        <v>50199</v>
      </c>
      <c r="Z1600" s="282">
        <v>2.2565794372756652E-2</v>
      </c>
      <c r="AA1600" s="284">
        <v>2.2549311083404078E-2</v>
      </c>
    </row>
    <row r="1601" spans="23:27" x14ac:dyDescent="0.2">
      <c r="W1601" s="203" t="str">
        <f t="shared" si="34"/>
        <v>1w</v>
      </c>
      <c r="X1601" s="287">
        <f>_xll.qlCalendarAdvance(Calendar,X1600,W1601,"f",FALSE)</f>
        <v>50202</v>
      </c>
      <c r="Y1601" s="281">
        <f>_xll.qlCalendarAdvance(Calendar,X1601,NDays&amp;"D")</f>
        <v>50206</v>
      </c>
      <c r="Z1601" s="282">
        <v>2.2558468079091006E-2</v>
      </c>
      <c r="AA1601" s="284">
        <v>2.2541920411409677E-2</v>
      </c>
    </row>
    <row r="1602" spans="23:27" x14ac:dyDescent="0.2">
      <c r="W1602" s="203" t="str">
        <f t="shared" si="34"/>
        <v>1w</v>
      </c>
      <c r="X1602" s="287">
        <f>_xll.qlCalendarAdvance(Calendar,X1601,W1602,"f",FALSE)</f>
        <v>50209</v>
      </c>
      <c r="Y1602" s="281">
        <f>_xll.qlCalendarAdvance(Calendar,X1602,NDays&amp;"D")</f>
        <v>50213</v>
      </c>
      <c r="Z1602" s="282">
        <v>2.2551530315841041E-2</v>
      </c>
      <c r="AA1602" s="284">
        <v>2.253454603525995E-2</v>
      </c>
    </row>
    <row r="1603" spans="23:27" x14ac:dyDescent="0.2">
      <c r="W1603" s="203" t="str">
        <f t="shared" si="34"/>
        <v>1w</v>
      </c>
      <c r="X1603" s="287">
        <f>_xll.qlCalendarAdvance(Calendar,X1602,W1603,"f",FALSE)</f>
        <v>50216</v>
      </c>
      <c r="Y1603" s="281">
        <f>_xll.qlCalendarAdvance(Calendar,X1603,NDays&amp;"D")</f>
        <v>50220</v>
      </c>
      <c r="Z1603" s="282">
        <v>2.2543864698553139E-2</v>
      </c>
      <c r="AA1603" s="284">
        <v>2.2527187955114769E-2</v>
      </c>
    </row>
    <row r="1604" spans="23:27" x14ac:dyDescent="0.2">
      <c r="W1604" s="203" t="str">
        <f t="shared" si="34"/>
        <v>1w</v>
      </c>
      <c r="X1604" s="287">
        <f>_xll.qlCalendarAdvance(Calendar,X1603,W1604,"f",FALSE)</f>
        <v>50223</v>
      </c>
      <c r="Y1604" s="281">
        <f>_xll.qlCalendarAdvance(Calendar,X1604,NDays&amp;"D")</f>
        <v>50227</v>
      </c>
      <c r="Z1604" s="282">
        <v>2.2536587611500191E-2</v>
      </c>
      <c r="AA1604" s="284">
        <v>2.2519846170894198E-2</v>
      </c>
    </row>
    <row r="1605" spans="23:27" x14ac:dyDescent="0.2">
      <c r="W1605" s="203" t="str">
        <f t="shared" si="34"/>
        <v>1w</v>
      </c>
      <c r="X1605" s="287">
        <f>_xll.qlCalendarAdvance(Calendar,X1604,W1605,"f",FALSE)</f>
        <v>50230</v>
      </c>
      <c r="Y1605" s="281">
        <f>_xll.qlCalendarAdvance(Calendar,X1605,NDays&amp;"D")</f>
        <v>50234</v>
      </c>
      <c r="Z1605" s="282">
        <v>2.252932692646872E-2</v>
      </c>
      <c r="AA1605" s="284">
        <v>2.25125206825183E-2</v>
      </c>
    </row>
    <row r="1606" spans="23:27" x14ac:dyDescent="0.2">
      <c r="W1606" s="203" t="str">
        <f t="shared" si="34"/>
        <v>1w</v>
      </c>
      <c r="X1606" s="287">
        <f>_xll.qlCalendarAdvance(Calendar,X1605,W1606,"f",FALSE)</f>
        <v>50237</v>
      </c>
      <c r="Y1606" s="281">
        <f>_xll.qlCalendarAdvance(Calendar,X1606,NDays&amp;"D")</f>
        <v>50242</v>
      </c>
      <c r="Z1606" s="282">
        <v>2.2521049084713189E-2</v>
      </c>
      <c r="AA1606" s="284">
        <v>2.2504168650092637E-2</v>
      </c>
    </row>
    <row r="1607" spans="23:27" x14ac:dyDescent="0.2">
      <c r="W1607" s="203" t="str">
        <f t="shared" si="34"/>
        <v>1w</v>
      </c>
      <c r="X1607" s="287">
        <f>_xll.qlCalendarAdvance(Calendar,X1606,W1607,"f",FALSE)</f>
        <v>50244</v>
      </c>
      <c r="Y1607" s="281">
        <f>_xll.qlCalendarAdvance(Calendar,X1607,NDays&amp;"D")</f>
        <v>50248</v>
      </c>
      <c r="Z1607" s="282">
        <v>2.2514854762111382E-2</v>
      </c>
      <c r="AA1607" s="284">
        <v>2.249791859362027E-2</v>
      </c>
    </row>
    <row r="1608" spans="23:27" x14ac:dyDescent="0.2">
      <c r="W1608" s="203" t="str">
        <f t="shared" si="34"/>
        <v>1w</v>
      </c>
      <c r="X1608" s="287">
        <f>_xll.qlCalendarAdvance(Calendar,X1607,W1608,"f",FALSE)</f>
        <v>50251</v>
      </c>
      <c r="Y1608" s="281">
        <f>_xll.qlCalendarAdvance(Calendar,X1608,NDays&amp;"D")</f>
        <v>50255</v>
      </c>
      <c r="Z1608" s="282">
        <v>2.2507833622969216E-2</v>
      </c>
      <c r="AA1608" s="284">
        <v>2.2490641993018201E-2</v>
      </c>
    </row>
    <row r="1609" spans="23:27" x14ac:dyDescent="0.2">
      <c r="W1609" s="203" t="str">
        <f t="shared" si="34"/>
        <v>1w</v>
      </c>
      <c r="X1609" s="287">
        <f>_xll.qlCalendarAdvance(Calendar,X1608,W1609,"f",FALSE)</f>
        <v>50258</v>
      </c>
      <c r="Y1609" s="281">
        <f>_xll.qlCalendarAdvance(Calendar,X1609,NDays&amp;"D")</f>
        <v>50262</v>
      </c>
      <c r="Z1609" s="282">
        <v>2.2500448204755615E-2</v>
      </c>
      <c r="AA1609" s="284">
        <v>2.2483381688340742E-2</v>
      </c>
    </row>
    <row r="1610" spans="23:27" x14ac:dyDescent="0.2">
      <c r="W1610" s="203" t="str">
        <f t="shared" si="34"/>
        <v>1w</v>
      </c>
      <c r="X1610" s="287">
        <f>_xll.qlCalendarAdvance(Calendar,X1609,W1610,"f",FALSE)</f>
        <v>50265</v>
      </c>
      <c r="Y1610" s="281">
        <f>_xll.qlCalendarAdvance(Calendar,X1610,NDays&amp;"D")</f>
        <v>50269</v>
      </c>
      <c r="Z1610" s="282">
        <v>2.2493269528480454E-2</v>
      </c>
      <c r="AA1610" s="284">
        <v>2.2476137679587893E-2</v>
      </c>
    </row>
    <row r="1611" spans="23:27" x14ac:dyDescent="0.2">
      <c r="W1611" s="203" t="str">
        <f t="shared" si="34"/>
        <v>1w</v>
      </c>
      <c r="X1611" s="287">
        <f>_xll.qlCalendarAdvance(Calendar,X1610,W1611,"f",FALSE)</f>
        <v>50272</v>
      </c>
      <c r="Y1611" s="281">
        <f>_xll.qlCalendarAdvance(Calendar,X1611,NDays&amp;"D")</f>
        <v>50276</v>
      </c>
      <c r="Z1611" s="282">
        <v>2.2486107253684599E-2</v>
      </c>
      <c r="AA1611" s="284">
        <v>2.2468909966679718E-2</v>
      </c>
    </row>
    <row r="1612" spans="23:27" x14ac:dyDescent="0.2">
      <c r="W1612" s="203" t="str">
        <f t="shared" si="34"/>
        <v>1w</v>
      </c>
      <c r="X1612" s="287">
        <f>_xll.qlCalendarAdvance(Calendar,X1611,W1612,"f",FALSE)</f>
        <v>50279</v>
      </c>
      <c r="Y1612" s="281">
        <f>_xll.qlCalendarAdvance(Calendar,X1612,NDays&amp;"D")</f>
        <v>50284</v>
      </c>
      <c r="Z1612" s="282">
        <v>2.2477748613899555E-2</v>
      </c>
      <c r="AA1612" s="284">
        <v>2.2460669677668577E-2</v>
      </c>
    </row>
    <row r="1613" spans="23:27" x14ac:dyDescent="0.2">
      <c r="W1613" s="203" t="str">
        <f t="shared" si="34"/>
        <v>1w</v>
      </c>
      <c r="X1613" s="287">
        <f>_xll.qlCalendarAdvance(Calendar,X1612,W1613,"f",FALSE)</f>
        <v>50286</v>
      </c>
      <c r="Y1613" s="281">
        <f>_xll.qlCalendarAdvance(Calendar,X1613,NDays&amp;"D")</f>
        <v>50290</v>
      </c>
      <c r="Z1613" s="282">
        <v>2.2471638018231412E-2</v>
      </c>
      <c r="AA1613" s="284">
        <v>2.2454503428797068E-2</v>
      </c>
    </row>
    <row r="1614" spans="23:27" x14ac:dyDescent="0.2">
      <c r="W1614" s="203" t="str">
        <f t="shared" si="34"/>
        <v>1w</v>
      </c>
      <c r="X1614" s="287">
        <f>_xll.qlCalendarAdvance(Calendar,X1613,W1614,"f",FALSE)</f>
        <v>50293</v>
      </c>
      <c r="Y1614" s="281">
        <f>_xll.qlCalendarAdvance(Calendar,X1614,NDays&amp;"D")</f>
        <v>50297</v>
      </c>
      <c r="Z1614" s="282">
        <v>2.2464524218573936E-2</v>
      </c>
      <c r="AA1614" s="284">
        <v>2.2447324603582786E-2</v>
      </c>
    </row>
    <row r="1615" spans="23:27" x14ac:dyDescent="0.2">
      <c r="W1615" s="203" t="str">
        <f t="shared" si="34"/>
        <v>1w</v>
      </c>
      <c r="X1615" s="287">
        <f>_xll.qlCalendarAdvance(Calendar,X1614,W1615,"f",FALSE)</f>
        <v>50300</v>
      </c>
      <c r="Y1615" s="281">
        <f>_xll.qlCalendarAdvance(Calendar,X1615,NDays&amp;"D")</f>
        <v>50307</v>
      </c>
      <c r="Z1615" s="282">
        <v>2.2454390096542719E-2</v>
      </c>
      <c r="AA1615" s="284">
        <v>2.2437097407532747E-2</v>
      </c>
    </row>
    <row r="1616" spans="23:27" x14ac:dyDescent="0.2">
      <c r="W1616" s="203" t="str">
        <f t="shared" si="34"/>
        <v>1w</v>
      </c>
      <c r="X1616" s="287">
        <f>_xll.qlCalendarAdvance(Calendar,X1615,W1616,"f",FALSE)</f>
        <v>50307</v>
      </c>
      <c r="Y1616" s="281">
        <f>_xll.qlCalendarAdvance(Calendar,X1616,NDays&amp;"D")</f>
        <v>50311</v>
      </c>
      <c r="Z1616" s="282">
        <v>2.2450541898794769E-2</v>
      </c>
      <c r="AA1616" s="284">
        <v>2.2433015841087922E-2</v>
      </c>
    </row>
    <row r="1617" spans="23:27" x14ac:dyDescent="0.2">
      <c r="W1617" s="203" t="str">
        <f t="shared" si="34"/>
        <v>1w</v>
      </c>
      <c r="X1617" s="287">
        <f>_xll.qlCalendarAdvance(Calendar,X1616,W1617,"f",FALSE)</f>
        <v>50314</v>
      </c>
      <c r="Y1617" s="281">
        <f>_xll.qlCalendarAdvance(Calendar,X1617,NDays&amp;"D")</f>
        <v>50318</v>
      </c>
      <c r="Z1617" s="282">
        <v>2.2443478031012758E-2</v>
      </c>
      <c r="AA1617" s="284">
        <v>2.2425885903727405E-2</v>
      </c>
    </row>
    <row r="1618" spans="23:27" x14ac:dyDescent="0.2">
      <c r="W1618" s="203" t="str">
        <f t="shared" si="34"/>
        <v>1w</v>
      </c>
      <c r="X1618" s="287">
        <f>_xll.qlCalendarAdvance(Calendar,X1617,W1618,"f",FALSE)</f>
        <v>50321</v>
      </c>
      <c r="Y1618" s="281">
        <f>_xll.qlCalendarAdvance(Calendar,X1618,NDays&amp;"D")</f>
        <v>50326</v>
      </c>
      <c r="Z1618" s="282">
        <v>2.2435425121940137E-2</v>
      </c>
      <c r="AA1618" s="284">
        <v>2.2417757358050849E-2</v>
      </c>
    </row>
    <row r="1619" spans="23:27" x14ac:dyDescent="0.2">
      <c r="W1619" s="203" t="str">
        <f t="shared" si="34"/>
        <v>1w</v>
      </c>
      <c r="X1619" s="287">
        <f>_xll.qlCalendarAdvance(Calendar,X1618,W1619,"f",FALSE)</f>
        <v>50328</v>
      </c>
      <c r="Y1619" s="281">
        <f>_xll.qlCalendarAdvance(Calendar,X1619,NDays&amp;"D")</f>
        <v>50332</v>
      </c>
      <c r="Z1619" s="282">
        <v>2.2429399497936899E-2</v>
      </c>
      <c r="AA1619" s="284">
        <v>2.2411674916700264E-2</v>
      </c>
    </row>
    <row r="1620" spans="23:27" x14ac:dyDescent="0.2">
      <c r="W1620" s="203" t="str">
        <f t="shared" si="34"/>
        <v>1w</v>
      </c>
      <c r="X1620" s="287">
        <f>_xll.qlCalendarAdvance(Calendar,X1619,W1620,"f",FALSE)</f>
        <v>50335</v>
      </c>
      <c r="Y1620" s="281">
        <f>_xll.qlCalendarAdvance(Calendar,X1620,NDays&amp;"D")</f>
        <v>50339</v>
      </c>
      <c r="Z1620" s="282">
        <v>2.2422384832465808E-2</v>
      </c>
      <c r="AA1620" s="284">
        <v>2.2404593866953704E-2</v>
      </c>
    </row>
    <row r="1621" spans="23:27" x14ac:dyDescent="0.2">
      <c r="W1621" s="203" t="str">
        <f t="shared" ref="W1621:W1684" si="35">W1620</f>
        <v>1w</v>
      </c>
      <c r="X1621" s="287">
        <f>_xll.qlCalendarAdvance(Calendar,X1620,W1621,"f",FALSE)</f>
        <v>50342</v>
      </c>
      <c r="Y1621" s="281">
        <f>_xll.qlCalendarAdvance(Calendar,X1621,NDays&amp;"D")</f>
        <v>50346</v>
      </c>
      <c r="Z1621" s="282">
        <v>2.2415386567591251E-2</v>
      </c>
      <c r="AA1621" s="284">
        <v>2.2397721856872721E-2</v>
      </c>
    </row>
    <row r="1622" spans="23:27" x14ac:dyDescent="0.2">
      <c r="W1622" s="203" t="str">
        <f t="shared" si="35"/>
        <v>1w</v>
      </c>
      <c r="X1622" s="287">
        <f>_xll.qlCalendarAdvance(Calendar,X1621,W1622,"f",FALSE)</f>
        <v>50349</v>
      </c>
      <c r="Y1622" s="281">
        <f>_xll.qlCalendarAdvance(Calendar,X1622,NDays&amp;"D")</f>
        <v>50353</v>
      </c>
      <c r="Z1622" s="282">
        <v>2.2408404703223729E-2</v>
      </c>
      <c r="AA1622" s="284">
        <v>2.2390480655314349E-2</v>
      </c>
    </row>
    <row r="1623" spans="23:27" x14ac:dyDescent="0.2">
      <c r="W1623" s="203" t="str">
        <f t="shared" si="35"/>
        <v>1w</v>
      </c>
      <c r="X1623" s="287">
        <f>_xll.qlCalendarAdvance(Calendar,X1622,W1623,"f",FALSE)</f>
        <v>50356</v>
      </c>
      <c r="Y1623" s="281">
        <f>_xll.qlCalendarAdvance(Calendar,X1623,NDays&amp;"D")</f>
        <v>50360</v>
      </c>
      <c r="Z1623" s="282">
        <v>2.2401439239277232E-2</v>
      </c>
      <c r="AA1623" s="284">
        <v>2.2383448493341618E-2</v>
      </c>
    </row>
    <row r="1624" spans="23:27" x14ac:dyDescent="0.2">
      <c r="W1624" s="203" t="str">
        <f t="shared" si="35"/>
        <v>1w</v>
      </c>
      <c r="X1624" s="287">
        <f>_xll.qlCalendarAdvance(Calendar,X1623,W1624,"f",FALSE)</f>
        <v>50363</v>
      </c>
      <c r="Y1624" s="281">
        <f>_xll.qlCalendarAdvance(Calendar,X1624,NDays&amp;"D")</f>
        <v>50368</v>
      </c>
      <c r="Z1624" s="282">
        <v>2.2393498791087828E-2</v>
      </c>
      <c r="AA1624" s="284">
        <v>2.2375431690999648E-2</v>
      </c>
    </row>
    <row r="1625" spans="23:27" x14ac:dyDescent="0.2">
      <c r="W1625" s="203" t="str">
        <f t="shared" si="35"/>
        <v>1w</v>
      </c>
      <c r="X1625" s="287">
        <f>_xll.qlCalendarAdvance(Calendar,X1624,W1625,"f",FALSE)</f>
        <v>50370</v>
      </c>
      <c r="Y1625" s="281">
        <f>_xll.qlCalendarAdvance(Calendar,X1625,NDays&amp;"D")</f>
        <v>50374</v>
      </c>
      <c r="Z1625" s="282">
        <v>2.2386747143272098E-2</v>
      </c>
      <c r="AA1625" s="284">
        <v>2.2369433057090049E-2</v>
      </c>
    </row>
    <row r="1626" spans="23:27" x14ac:dyDescent="0.2">
      <c r="W1626" s="203" t="str">
        <f t="shared" si="35"/>
        <v>1w</v>
      </c>
      <c r="X1626" s="287">
        <f>_xll.qlCalendarAdvance(Calendar,X1625,W1626,"f",FALSE)</f>
        <v>50377</v>
      </c>
      <c r="Y1626" s="281">
        <f>_xll.qlCalendarAdvance(Calendar,X1626,NDays&amp;"D")</f>
        <v>50381</v>
      </c>
      <c r="Z1626" s="282">
        <v>2.2380437795444037E-2</v>
      </c>
      <c r="AA1626" s="284">
        <v>2.2362449782891147E-2</v>
      </c>
    </row>
    <row r="1627" spans="23:27" x14ac:dyDescent="0.2">
      <c r="W1627" s="203" t="str">
        <f t="shared" si="35"/>
        <v>1w</v>
      </c>
      <c r="X1627" s="287">
        <f>_xll.qlCalendarAdvance(Calendar,X1626,W1627,"f",FALSE)</f>
        <v>50384</v>
      </c>
      <c r="Y1627" s="281">
        <f>_xll.qlCalendarAdvance(Calendar,X1627,NDays&amp;"D")</f>
        <v>50388</v>
      </c>
      <c r="Z1627" s="282">
        <v>2.2373537188618741E-2</v>
      </c>
      <c r="AA1627" s="284">
        <v>2.2355482804377047E-2</v>
      </c>
    </row>
    <row r="1628" spans="23:27" x14ac:dyDescent="0.2">
      <c r="W1628" s="203" t="str">
        <f t="shared" si="35"/>
        <v>1w</v>
      </c>
      <c r="X1628" s="287">
        <f>_xll.qlCalendarAdvance(Calendar,X1627,W1628,"f",FALSE)</f>
        <v>50391</v>
      </c>
      <c r="Y1628" s="281">
        <f>_xll.qlCalendarAdvance(Calendar,X1628,NDays&amp;"D")</f>
        <v>50395</v>
      </c>
      <c r="Z1628" s="282">
        <v>2.2366652980640563E-2</v>
      </c>
      <c r="AA1628" s="284">
        <v>2.2348532122027365E-2</v>
      </c>
    </row>
    <row r="1629" spans="23:27" x14ac:dyDescent="0.2">
      <c r="W1629" s="203" t="str">
        <f t="shared" si="35"/>
        <v>1w</v>
      </c>
      <c r="X1629" s="287">
        <f>_xll.qlCalendarAdvance(Calendar,X1628,W1629,"f",FALSE)</f>
        <v>50398</v>
      </c>
      <c r="Y1629" s="281">
        <f>_xll.qlCalendarAdvance(Calendar,X1629,NDays&amp;"D")</f>
        <v>50404</v>
      </c>
      <c r="Z1629" s="282">
        <v>2.2357825952222469E-2</v>
      </c>
      <c r="AA1629" s="284">
        <v>2.2340415106999245E-2</v>
      </c>
    </row>
    <row r="1630" spans="23:27" x14ac:dyDescent="0.2">
      <c r="W1630" s="203" t="str">
        <f t="shared" si="35"/>
        <v>1w</v>
      </c>
      <c r="X1630" s="287">
        <f>_xll.qlCalendarAdvance(Calendar,X1629,W1630,"f",FALSE)</f>
        <v>50409</v>
      </c>
      <c r="Y1630" s="281">
        <f>_xll.qlCalendarAdvance(Calendar,X1630,NDays&amp;"D")</f>
        <v>50411</v>
      </c>
      <c r="Z1630" s="282">
        <v>2.2350772658034757E-2</v>
      </c>
      <c r="AA1630" s="284">
        <v>2.2332706040462114E-2</v>
      </c>
    </row>
    <row r="1631" spans="23:27" x14ac:dyDescent="0.2">
      <c r="W1631" s="203" t="str">
        <f t="shared" si="35"/>
        <v>1w</v>
      </c>
      <c r="X1631" s="287">
        <f>_xll.qlCalendarAdvance(Calendar,X1630,W1631,"f",FALSE)</f>
        <v>50417</v>
      </c>
      <c r="Y1631" s="281">
        <f>_xll.qlCalendarAdvance(Calendar,X1631,NDays&amp;"D")</f>
        <v>50419</v>
      </c>
      <c r="Z1631" s="282">
        <v>2.2342967053629259E-2</v>
      </c>
      <c r="AA1631" s="284">
        <v>2.2324824926380771E-2</v>
      </c>
    </row>
    <row r="1632" spans="23:27" x14ac:dyDescent="0.2">
      <c r="W1632" s="203" t="str">
        <f t="shared" si="35"/>
        <v>1w</v>
      </c>
      <c r="X1632" s="287">
        <f>_xll.qlCalendarAdvance(Calendar,X1631,W1632,"f",FALSE)</f>
        <v>50424</v>
      </c>
      <c r="Y1632" s="281">
        <f>_xll.qlCalendarAdvance(Calendar,X1632,NDays&amp;"D")</f>
        <v>50426</v>
      </c>
      <c r="Z1632" s="282">
        <v>2.2336154718350265E-2</v>
      </c>
      <c r="AA1632" s="284">
        <v>2.2317946411423151E-2</v>
      </c>
    </row>
    <row r="1633" spans="23:27" x14ac:dyDescent="0.2">
      <c r="W1633" s="203" t="str">
        <f t="shared" si="35"/>
        <v>1w</v>
      </c>
      <c r="X1633" s="287">
        <f>_xll.qlCalendarAdvance(Calendar,X1632,W1633,"f",FALSE)</f>
        <v>50431</v>
      </c>
      <c r="Y1633" s="281">
        <f>_xll.qlCalendarAdvance(Calendar,X1633,NDays&amp;"D")</f>
        <v>50433</v>
      </c>
      <c r="Z1633" s="282">
        <v>2.2329358780321051E-2</v>
      </c>
      <c r="AA1633" s="284">
        <v>2.2311084192310204E-2</v>
      </c>
    </row>
    <row r="1634" spans="23:27" x14ac:dyDescent="0.2">
      <c r="W1634" s="203" t="str">
        <f t="shared" si="35"/>
        <v>1w</v>
      </c>
      <c r="X1634" s="287">
        <f>_xll.qlCalendarAdvance(Calendar,X1633,W1634,"f",FALSE)</f>
        <v>50438</v>
      </c>
      <c r="Y1634" s="281">
        <f>_xll.qlCalendarAdvance(Calendar,X1634,NDays&amp;"D")</f>
        <v>50440</v>
      </c>
      <c r="Z1634" s="282">
        <v>2.2322788916508428E-2</v>
      </c>
      <c r="AA1634" s="284">
        <v>2.2304238269201804E-2</v>
      </c>
    </row>
    <row r="1635" spans="23:27" x14ac:dyDescent="0.2">
      <c r="W1635" s="203" t="str">
        <f t="shared" si="35"/>
        <v>1w</v>
      </c>
      <c r="X1635" s="287">
        <f>_xll.qlCalendarAdvance(Calendar,X1634,W1635,"f",FALSE)</f>
        <v>50445</v>
      </c>
      <c r="Y1635" s="281">
        <f>_xll.qlCalendarAdvance(Calendar,X1635,NDays&amp;"D")</f>
        <v>50448</v>
      </c>
      <c r="Z1635" s="282">
        <v>2.2314640813602512E-2</v>
      </c>
      <c r="AA1635" s="284">
        <v>2.2296841251030486E-2</v>
      </c>
    </row>
    <row r="1636" spans="23:27" x14ac:dyDescent="0.2">
      <c r="W1636" s="203" t="str">
        <f t="shared" si="35"/>
        <v>1w</v>
      </c>
      <c r="X1636" s="287">
        <f>_xll.qlCalendarAdvance(Calendar,X1635,W1636,"f",FALSE)</f>
        <v>50452</v>
      </c>
      <c r="Y1636" s="281">
        <f>_xll.qlCalendarAdvance(Calendar,X1636,NDays&amp;"D")</f>
        <v>50454</v>
      </c>
      <c r="Z1636" s="282">
        <v>2.230885824521165E-2</v>
      </c>
      <c r="AA1636" s="284">
        <v>2.2290595310439087E-2</v>
      </c>
    </row>
    <row r="1637" spans="23:27" x14ac:dyDescent="0.2">
      <c r="W1637" s="203" t="str">
        <f t="shared" si="35"/>
        <v>1w</v>
      </c>
      <c r="X1637" s="287">
        <f>_xll.qlCalendarAdvance(Calendar,X1636,W1637,"f",FALSE)</f>
        <v>50459</v>
      </c>
      <c r="Y1637" s="281">
        <f>_xll.qlCalendarAdvance(Calendar,X1637,NDays&amp;"D")</f>
        <v>50461</v>
      </c>
      <c r="Z1637" s="282">
        <v>2.2302127140076806E-2</v>
      </c>
      <c r="AA1637" s="284">
        <v>2.2283798274944644E-2</v>
      </c>
    </row>
    <row r="1638" spans="23:27" x14ac:dyDescent="0.2">
      <c r="W1638" s="203" t="str">
        <f t="shared" si="35"/>
        <v>1w</v>
      </c>
      <c r="X1638" s="287">
        <f>_xll.qlCalendarAdvance(Calendar,X1637,W1638,"f",FALSE)</f>
        <v>50466</v>
      </c>
      <c r="Y1638" s="281">
        <f>_xll.qlCalendarAdvance(Calendar,X1638,NDays&amp;"D")</f>
        <v>50468</v>
      </c>
      <c r="Z1638" s="282">
        <v>2.2296050519970148E-2</v>
      </c>
      <c r="AA1638" s="284">
        <v>2.2277017535294874E-2</v>
      </c>
    </row>
    <row r="1639" spans="23:27" x14ac:dyDescent="0.2">
      <c r="W1639" s="203" t="str">
        <f t="shared" si="35"/>
        <v>1w</v>
      </c>
      <c r="X1639" s="287">
        <f>_xll.qlCalendarAdvance(Calendar,X1638,W1639,"f",FALSE)</f>
        <v>50473</v>
      </c>
      <c r="Y1639" s="281">
        <f>_xll.qlCalendarAdvance(Calendar,X1639,NDays&amp;"D")</f>
        <v>50475</v>
      </c>
      <c r="Z1639" s="282">
        <v>2.2289354479192641E-2</v>
      </c>
      <c r="AA1639" s="284">
        <v>2.2270253091569714E-2</v>
      </c>
    </row>
    <row r="1640" spans="23:27" x14ac:dyDescent="0.2">
      <c r="W1640" s="203" t="str">
        <f t="shared" si="35"/>
        <v>1w</v>
      </c>
      <c r="X1640" s="287">
        <f>_xll.qlCalendarAdvance(Calendar,X1639,W1640,"f",FALSE)</f>
        <v>50480</v>
      </c>
      <c r="Y1640" s="281">
        <f>_xll.qlCalendarAdvance(Calendar,X1640,NDays&amp;"D")</f>
        <v>50482</v>
      </c>
      <c r="Z1640" s="282">
        <v>2.2282674837347784E-2</v>
      </c>
      <c r="AA1640" s="284">
        <v>2.2263504943689227E-2</v>
      </c>
    </row>
    <row r="1641" spans="23:27" x14ac:dyDescent="0.2">
      <c r="W1641" s="203" t="str">
        <f t="shared" si="35"/>
        <v>1w</v>
      </c>
      <c r="X1641" s="287">
        <f>_xll.qlCalendarAdvance(Calendar,X1640,W1641,"f",FALSE)</f>
        <v>50487</v>
      </c>
      <c r="Y1641" s="281">
        <f>_xll.qlCalendarAdvance(Calendar,X1641,NDays&amp;"D")</f>
        <v>50489</v>
      </c>
      <c r="Z1641" s="282">
        <v>2.2276011594353027E-2</v>
      </c>
      <c r="AA1641" s="284">
        <v>2.2256773091733351E-2</v>
      </c>
    </row>
    <row r="1642" spans="23:27" x14ac:dyDescent="0.2">
      <c r="W1642" s="203" t="str">
        <f t="shared" si="35"/>
        <v>1w</v>
      </c>
      <c r="X1642" s="287">
        <f>_xll.qlCalendarAdvance(Calendar,X1641,W1642,"f",FALSE)</f>
        <v>50494</v>
      </c>
      <c r="Y1642" s="281">
        <f>_xll.qlCalendarAdvance(Calendar,X1642,NDays&amp;"D")</f>
        <v>50496</v>
      </c>
      <c r="Z1642" s="282">
        <v>2.2269148934587604E-2</v>
      </c>
      <c r="AA1642" s="284">
        <v>2.2250057535702084E-2</v>
      </c>
    </row>
    <row r="1643" spans="23:27" x14ac:dyDescent="0.2">
      <c r="W1643" s="203" t="str">
        <f t="shared" si="35"/>
        <v>1w</v>
      </c>
      <c r="X1643" s="287">
        <f>_xll.qlCalendarAdvance(Calendar,X1642,W1643,"f",FALSE)</f>
        <v>50501</v>
      </c>
      <c r="Y1643" s="281">
        <f>_xll.qlCalendarAdvance(Calendar,X1643,NDays&amp;"D")</f>
        <v>50503</v>
      </c>
      <c r="Z1643" s="282">
        <v>2.2262517726713806E-2</v>
      </c>
      <c r="AA1643" s="284">
        <v>2.2243358275435554E-2</v>
      </c>
    </row>
    <row r="1644" spans="23:27" x14ac:dyDescent="0.2">
      <c r="W1644" s="203" t="str">
        <f t="shared" si="35"/>
        <v>1w</v>
      </c>
      <c r="X1644" s="287">
        <f>_xll.qlCalendarAdvance(Calendar,X1643,W1644,"f",FALSE)</f>
        <v>50508</v>
      </c>
      <c r="Y1644" s="281">
        <f>_xll.qlCalendarAdvance(Calendar,X1644,NDays&amp;"D")</f>
        <v>50510</v>
      </c>
      <c r="Z1644" s="282">
        <v>2.2255902916314158E-2</v>
      </c>
      <c r="AA1644" s="284">
        <v>2.2236675311093634E-2</v>
      </c>
    </row>
    <row r="1645" spans="23:27" x14ac:dyDescent="0.2">
      <c r="W1645" s="203" t="str">
        <f t="shared" si="35"/>
        <v>1w</v>
      </c>
      <c r="X1645" s="287">
        <f>_xll.qlCalendarAdvance(Calendar,X1644,W1645,"f",FALSE)</f>
        <v>50515</v>
      </c>
      <c r="Y1645" s="281">
        <f>_xll.qlCalendarAdvance(Calendar,X1645,NDays&amp;"D")</f>
        <v>50517</v>
      </c>
      <c r="Z1645" s="282">
        <v>2.2249304503306085E-2</v>
      </c>
      <c r="AA1645" s="284">
        <v>2.223085231294597E-2</v>
      </c>
    </row>
    <row r="1646" spans="23:27" x14ac:dyDescent="0.2">
      <c r="W1646" s="203" t="str">
        <f t="shared" si="35"/>
        <v>1w</v>
      </c>
      <c r="X1646" s="287">
        <f>_xll.qlCalendarAdvance(Calendar,X1645,W1646,"f",FALSE)</f>
        <v>50522</v>
      </c>
      <c r="Y1646" s="281">
        <f>_xll.qlCalendarAdvance(Calendar,X1646,NDays&amp;"D")</f>
        <v>50525</v>
      </c>
      <c r="Z1646" s="282">
        <v>2.2241783538203514E-2</v>
      </c>
      <c r="AA1646" s="284">
        <v>2.2223468643653987E-2</v>
      </c>
    </row>
    <row r="1647" spans="23:27" x14ac:dyDescent="0.2">
      <c r="W1647" s="203" t="str">
        <f t="shared" si="35"/>
        <v>1w</v>
      </c>
      <c r="X1647" s="287">
        <f>_xll.qlCalendarAdvance(Calendar,X1646,W1647,"f",FALSE)</f>
        <v>50531</v>
      </c>
      <c r="Y1647" s="281">
        <f>_xll.qlCalendarAdvance(Calendar,X1647,NDays&amp;"D")</f>
        <v>50535</v>
      </c>
      <c r="Z1647" s="282">
        <v>2.2232632526271941E-2</v>
      </c>
      <c r="AA1647" s="284">
        <v>2.2212940608969944E-2</v>
      </c>
    </row>
    <row r="1648" spans="23:27" x14ac:dyDescent="0.2">
      <c r="W1648" s="203" t="str">
        <f t="shared" si="35"/>
        <v>1w</v>
      </c>
      <c r="X1648" s="287">
        <f>_xll.qlCalendarAdvance(Calendar,X1647,W1648,"f",FALSE)</f>
        <v>50538</v>
      </c>
      <c r="Y1648" s="281">
        <f>_xll.qlCalendarAdvance(Calendar,X1648,NDays&amp;"D")</f>
        <v>50542</v>
      </c>
      <c r="Z1648" s="282">
        <v>2.222609344330553E-2</v>
      </c>
      <c r="AA1648" s="284">
        <v>2.2206332140077834E-2</v>
      </c>
    </row>
    <row r="1649" spans="23:27" x14ac:dyDescent="0.2">
      <c r="W1649" s="203" t="str">
        <f t="shared" si="35"/>
        <v>1w</v>
      </c>
      <c r="X1649" s="287">
        <f>_xll.qlCalendarAdvance(Calendar,X1648,W1649,"f",FALSE)</f>
        <v>50545</v>
      </c>
      <c r="Y1649" s="281">
        <f>_xll.qlCalendarAdvance(Calendar,X1649,NDays&amp;"D")</f>
        <v>50549</v>
      </c>
      <c r="Z1649" s="282">
        <v>2.2219570758482833E-2</v>
      </c>
      <c r="AA1649" s="284">
        <v>2.2199739967030396E-2</v>
      </c>
    </row>
    <row r="1650" spans="23:27" x14ac:dyDescent="0.2">
      <c r="W1650" s="203" t="str">
        <f t="shared" si="35"/>
        <v>1w</v>
      </c>
      <c r="X1650" s="287">
        <f>_xll.qlCalendarAdvance(Calendar,X1649,W1650,"f",FALSE)</f>
        <v>50552</v>
      </c>
      <c r="Y1650" s="281">
        <f>_xll.qlCalendarAdvance(Calendar,X1650,NDays&amp;"D")</f>
        <v>50557</v>
      </c>
      <c r="Z1650" s="282">
        <v>2.2212136340795278E-2</v>
      </c>
      <c r="AA1650" s="284">
        <v>2.2192226009254412E-2</v>
      </c>
    </row>
    <row r="1651" spans="23:27" x14ac:dyDescent="0.2">
      <c r="W1651" s="203" t="str">
        <f t="shared" si="35"/>
        <v>1w</v>
      </c>
      <c r="X1651" s="287">
        <f>_xll.qlCalendarAdvance(Calendar,X1650,W1651,"f",FALSE)</f>
        <v>50559</v>
      </c>
      <c r="Y1651" s="281">
        <f>_xll.qlCalendarAdvance(Calendar,X1651,NDays&amp;"D")</f>
        <v>50563</v>
      </c>
      <c r="Z1651" s="282">
        <v>2.2206574582938406E-2</v>
      </c>
      <c r="AA1651" s="284">
        <v>2.2186604508709351E-2</v>
      </c>
    </row>
    <row r="1652" spans="23:27" x14ac:dyDescent="0.2">
      <c r="W1652" s="203" t="str">
        <f t="shared" si="35"/>
        <v>1w</v>
      </c>
      <c r="X1652" s="287">
        <f>_xll.qlCalendarAdvance(Calendar,X1651,W1652,"f",FALSE)</f>
        <v>50566</v>
      </c>
      <c r="Y1652" s="281">
        <f>_xll.qlCalendarAdvance(Calendar,X1652,NDays&amp;"D")</f>
        <v>50570</v>
      </c>
      <c r="Z1652" s="282">
        <v>2.2200101092054194E-2</v>
      </c>
      <c r="AA1652" s="284">
        <v>2.2180061223275871E-2</v>
      </c>
    </row>
    <row r="1653" spans="23:27" x14ac:dyDescent="0.2">
      <c r="W1653" s="203" t="str">
        <f t="shared" si="35"/>
        <v>1w</v>
      </c>
      <c r="X1653" s="287">
        <f>_xll.qlCalendarAdvance(Calendar,X1652,W1653,"f",FALSE)</f>
        <v>50573</v>
      </c>
      <c r="Y1653" s="281">
        <f>_xll.qlCalendarAdvance(Calendar,X1653,NDays&amp;"D")</f>
        <v>50577</v>
      </c>
      <c r="Z1653" s="282">
        <v>2.2193643998987003E-2</v>
      </c>
      <c r="AA1653" s="284">
        <v>2.2173534233846937E-2</v>
      </c>
    </row>
    <row r="1654" spans="23:27" x14ac:dyDescent="0.2">
      <c r="W1654" s="203" t="str">
        <f t="shared" si="35"/>
        <v>1w</v>
      </c>
      <c r="X1654" s="287">
        <f>_xll.qlCalendarAdvance(Calendar,X1653,W1654,"f",FALSE)</f>
        <v>50580</v>
      </c>
      <c r="Y1654" s="281">
        <f>_xll.qlCalendarAdvance(Calendar,X1654,NDays&amp;"D")</f>
        <v>50584</v>
      </c>
      <c r="Z1654" s="282">
        <v>2.2187203303658629E-2</v>
      </c>
      <c r="AA1654" s="284">
        <v>2.216702354018274E-2</v>
      </c>
    </row>
    <row r="1655" spans="23:27" x14ac:dyDescent="0.2">
      <c r="W1655" s="203" t="str">
        <f t="shared" si="35"/>
        <v>1w</v>
      </c>
      <c r="X1655" s="287">
        <f>_xll.qlCalendarAdvance(Calendar,X1654,W1655,"f",FALSE)</f>
        <v>50587</v>
      </c>
      <c r="Y1655" s="281">
        <f>_xll.qlCalendarAdvance(Calendar,X1655,NDays&amp;"D")</f>
        <v>50591</v>
      </c>
      <c r="Z1655" s="282">
        <v>2.2180779005985665E-2</v>
      </c>
      <c r="AA1655" s="284">
        <v>2.2160529142443153E-2</v>
      </c>
    </row>
    <row r="1656" spans="23:27" x14ac:dyDescent="0.2">
      <c r="W1656" s="203" t="str">
        <f t="shared" si="35"/>
        <v>1w</v>
      </c>
      <c r="X1656" s="287">
        <f>_xll.qlCalendarAdvance(Calendar,X1655,W1656,"f",FALSE)</f>
        <v>50594</v>
      </c>
      <c r="Y1656" s="281">
        <f>_xll.qlCalendarAdvance(Calendar,X1656,NDays&amp;"D")</f>
        <v>50598</v>
      </c>
      <c r="Z1656" s="282">
        <v>2.2174371105888168E-2</v>
      </c>
      <c r="AA1656" s="284">
        <v>2.2154051040548239E-2</v>
      </c>
    </row>
    <row r="1657" spans="23:27" x14ac:dyDescent="0.2">
      <c r="W1657" s="203" t="str">
        <f t="shared" si="35"/>
        <v>1w</v>
      </c>
      <c r="X1657" s="287">
        <f>_xll.qlCalendarAdvance(Calendar,X1656,W1657,"f",FALSE)</f>
        <v>50601</v>
      </c>
      <c r="Y1657" s="281">
        <f>_xll.qlCalendarAdvance(Calendar,X1657,NDays&amp;"D")</f>
        <v>50606</v>
      </c>
      <c r="Z1657" s="282">
        <v>2.216706787005469E-2</v>
      </c>
      <c r="AA1657" s="284">
        <v>2.2146667449609581E-2</v>
      </c>
    </row>
    <row r="1658" spans="23:27" x14ac:dyDescent="0.2">
      <c r="W1658" s="203" t="str">
        <f t="shared" si="35"/>
        <v>1w</v>
      </c>
      <c r="X1658" s="287">
        <f>_xll.qlCalendarAdvance(Calendar,X1657,W1658,"f",FALSE)</f>
        <v>50608</v>
      </c>
      <c r="Y1658" s="281">
        <f>_xll.qlCalendarAdvance(Calendar,X1658,NDays&amp;"D")</f>
        <v>50612</v>
      </c>
      <c r="Z1658" s="282">
        <v>2.2161604498102457E-2</v>
      </c>
      <c r="AA1658" s="284">
        <v>2.2141143724292434E-2</v>
      </c>
    </row>
    <row r="1659" spans="23:27" x14ac:dyDescent="0.2">
      <c r="W1659" s="203" t="str">
        <f t="shared" si="35"/>
        <v>1w</v>
      </c>
      <c r="X1659" s="287">
        <f>_xll.qlCalendarAdvance(Calendar,X1658,W1659,"f",FALSE)</f>
        <v>50615</v>
      </c>
      <c r="Y1659" s="281">
        <f>_xll.qlCalendarAdvance(Calendar,X1659,NDays&amp;"D")</f>
        <v>50619</v>
      </c>
      <c r="Z1659" s="282">
        <v>2.2155245790255233E-2</v>
      </c>
      <c r="AA1659" s="284">
        <v>2.2134714510011477E-2</v>
      </c>
    </row>
    <row r="1660" spans="23:27" x14ac:dyDescent="0.2">
      <c r="W1660" s="203" t="str">
        <f t="shared" si="35"/>
        <v>1w</v>
      </c>
      <c r="X1660" s="287">
        <f>_xll.qlCalendarAdvance(Calendar,X1659,W1660,"f",FALSE)</f>
        <v>50622</v>
      </c>
      <c r="Y1660" s="281">
        <f>_xll.qlCalendarAdvance(Calendar,X1660,NDays&amp;"D")</f>
        <v>50626</v>
      </c>
      <c r="Z1660" s="282">
        <v>2.214890347966374E-2</v>
      </c>
      <c r="AA1660" s="284">
        <v>2.2128301591575195E-2</v>
      </c>
    </row>
    <row r="1661" spans="23:27" x14ac:dyDescent="0.2">
      <c r="W1661" s="203" t="str">
        <f t="shared" si="35"/>
        <v>1w</v>
      </c>
      <c r="X1661" s="287">
        <f>_xll.qlCalendarAdvance(Calendar,X1660,W1661,"f",FALSE)</f>
        <v>50629</v>
      </c>
      <c r="Y1661" s="281">
        <f>_xll.qlCalendarAdvance(Calendar,X1661,NDays&amp;"D")</f>
        <v>50633</v>
      </c>
      <c r="Z1661" s="282">
        <v>2.2142577566250644E-2</v>
      </c>
      <c r="AA1661" s="284">
        <v>2.212190496890365E-2</v>
      </c>
    </row>
    <row r="1662" spans="23:27" x14ac:dyDescent="0.2">
      <c r="W1662" s="203" t="str">
        <f t="shared" si="35"/>
        <v>1w</v>
      </c>
      <c r="X1662" s="287">
        <f>_xll.qlCalendarAdvance(Calendar,X1661,W1662,"f",FALSE)</f>
        <v>50636</v>
      </c>
      <c r="Y1662" s="281">
        <f>_xll.qlCalendarAdvance(Calendar,X1662,NDays&amp;"D")</f>
        <v>50640</v>
      </c>
      <c r="Z1662" s="282">
        <v>2.2136499857738336E-2</v>
      </c>
      <c r="AA1662" s="284">
        <v>2.2115524642316586E-2</v>
      </c>
    </row>
    <row r="1663" spans="23:27" x14ac:dyDescent="0.2">
      <c r="W1663" s="203" t="str">
        <f t="shared" si="35"/>
        <v>1w</v>
      </c>
      <c r="X1663" s="287">
        <f>_xll.qlCalendarAdvance(Calendar,X1662,W1663,"f",FALSE)</f>
        <v>50643</v>
      </c>
      <c r="Y1663" s="281">
        <f>_xll.qlCalendarAdvance(Calendar,X1663,NDays&amp;"D")</f>
        <v>50648</v>
      </c>
      <c r="Z1663" s="282">
        <v>2.2128844631147185E-2</v>
      </c>
      <c r="AA1663" s="284">
        <v>2.2108252794472705E-2</v>
      </c>
    </row>
    <row r="1664" spans="23:27" x14ac:dyDescent="0.2">
      <c r="W1664" s="203" t="str">
        <f t="shared" si="35"/>
        <v>1w</v>
      </c>
      <c r="X1664" s="287">
        <f>_xll.qlCalendarAdvance(Calendar,X1663,W1664,"f",FALSE)</f>
        <v>50650</v>
      </c>
      <c r="Y1664" s="281">
        <f>_xll.qlCalendarAdvance(Calendar,X1664,NDays&amp;"D")</f>
        <v>50654</v>
      </c>
      <c r="Z1664" s="282">
        <v>2.2123464913154787E-2</v>
      </c>
      <c r="AA1664" s="284">
        <v>2.2102812876436673E-2</v>
      </c>
    </row>
    <row r="1665" spans="23:27" x14ac:dyDescent="0.2">
      <c r="W1665" s="203" t="str">
        <f t="shared" si="35"/>
        <v>1w</v>
      </c>
      <c r="X1665" s="287">
        <f>_xll.qlCalendarAdvance(Calendar,X1664,W1665,"f",FALSE)</f>
        <v>50657</v>
      </c>
      <c r="Y1665" s="281">
        <f>_xll.qlCalendarAdvance(Calendar,X1665,NDays&amp;"D")</f>
        <v>50661</v>
      </c>
      <c r="Z1665" s="282">
        <v>2.2117203800123674E-2</v>
      </c>
      <c r="AA1665" s="284">
        <v>2.209648143738363E-2</v>
      </c>
    </row>
    <row r="1666" spans="23:27" x14ac:dyDescent="0.2">
      <c r="W1666" s="203" t="str">
        <f t="shared" si="35"/>
        <v>1w</v>
      </c>
      <c r="X1666" s="287">
        <f>_xll.qlCalendarAdvance(Calendar,X1665,W1666,"f",FALSE)</f>
        <v>50664</v>
      </c>
      <c r="Y1666" s="281">
        <f>_xll.qlCalendarAdvance(Calendar,X1666,NDays&amp;"D")</f>
        <v>50669</v>
      </c>
      <c r="Z1666" s="282">
        <v>2.2110068318709149E-2</v>
      </c>
      <c r="AA1666" s="284">
        <v>2.2089265461087138E-2</v>
      </c>
    </row>
    <row r="1667" spans="23:27" x14ac:dyDescent="0.2">
      <c r="W1667" s="203" t="str">
        <f t="shared" si="35"/>
        <v>1w</v>
      </c>
      <c r="X1667" s="287">
        <f>_xll.qlCalendarAdvance(Calendar,X1666,W1667,"f",FALSE)</f>
        <v>50672</v>
      </c>
      <c r="Y1667" s="281">
        <f>_xll.qlCalendarAdvance(Calendar,X1667,NDays&amp;"D")</f>
        <v>50676</v>
      </c>
      <c r="Z1667" s="282">
        <v>2.2104078113169449E-2</v>
      </c>
      <c r="AA1667" s="284">
        <v>2.2082968941621317E-2</v>
      </c>
    </row>
    <row r="1668" spans="23:27" x14ac:dyDescent="0.2">
      <c r="W1668" s="203" t="str">
        <f t="shared" si="35"/>
        <v>1w</v>
      </c>
      <c r="X1668" s="287">
        <f>_xll.qlCalendarAdvance(Calendar,X1667,W1668,"f",FALSE)</f>
        <v>50679</v>
      </c>
      <c r="Y1668" s="281">
        <f>_xll.qlCalendarAdvance(Calendar,X1668,NDays&amp;"D")</f>
        <v>50683</v>
      </c>
      <c r="Z1668" s="282">
        <v>2.209786932016972E-2</v>
      </c>
      <c r="AA1668" s="284">
        <v>2.2076688718160042E-2</v>
      </c>
    </row>
    <row r="1669" spans="23:27" x14ac:dyDescent="0.2">
      <c r="W1669" s="203" t="str">
        <f t="shared" si="35"/>
        <v>1w</v>
      </c>
      <c r="X1669" s="287">
        <f>_xll.qlCalendarAdvance(Calendar,X1668,W1669,"f",FALSE)</f>
        <v>50686</v>
      </c>
      <c r="Y1669" s="281">
        <f>_xll.qlCalendarAdvance(Calendar,X1669,NDays&amp;"D")</f>
        <v>50691</v>
      </c>
      <c r="Z1669" s="282">
        <v>2.2091676923708902E-2</v>
      </c>
      <c r="AA1669" s="284">
        <v>2.2069531273842813E-2</v>
      </c>
    </row>
    <row r="1670" spans="23:27" x14ac:dyDescent="0.2">
      <c r="W1670" s="203" t="str">
        <f t="shared" si="35"/>
        <v>1w</v>
      </c>
      <c r="X1670" s="287">
        <f>_xll.qlCalendarAdvance(Calendar,X1669,W1670,"f",FALSE)</f>
        <v>50693</v>
      </c>
      <c r="Y1670" s="281">
        <f>_xll.qlCalendarAdvance(Calendar,X1670,NDays&amp;"D")</f>
        <v>50697</v>
      </c>
      <c r="Z1670" s="282">
        <v>2.20855009237114E-2</v>
      </c>
      <c r="AA1670" s="284">
        <v>2.2064177158531706E-2</v>
      </c>
    </row>
    <row r="1671" spans="23:27" x14ac:dyDescent="0.2">
      <c r="W1671" s="203" t="str">
        <f t="shared" si="35"/>
        <v>1w</v>
      </c>
      <c r="X1671" s="287">
        <f>_xll.qlCalendarAdvance(Calendar,X1670,W1671,"f",FALSE)</f>
        <v>50700</v>
      </c>
      <c r="Y1671" s="281">
        <f>_xll.qlCalendarAdvance(Calendar,X1671,NDays&amp;"D")</f>
        <v>50704</v>
      </c>
      <c r="Z1671" s="282">
        <v>2.2079341320099883E-2</v>
      </c>
      <c r="AA1671" s="284">
        <v>2.2057945822524516E-2</v>
      </c>
    </row>
    <row r="1672" spans="23:27" x14ac:dyDescent="0.2">
      <c r="W1672" s="203" t="str">
        <f t="shared" si="35"/>
        <v>1w</v>
      </c>
      <c r="X1672" s="287">
        <f>_xll.qlCalendarAdvance(Calendar,X1671,W1672,"f",FALSE)</f>
        <v>50707</v>
      </c>
      <c r="Y1672" s="281">
        <f>_xll.qlCalendarAdvance(Calendar,X1672,NDays&amp;"D")</f>
        <v>50711</v>
      </c>
      <c r="Z1672" s="282">
        <v>2.207319811279616E-2</v>
      </c>
      <c r="AA1672" s="284">
        <v>2.2051962876266096E-2</v>
      </c>
    </row>
    <row r="1673" spans="23:27" x14ac:dyDescent="0.2">
      <c r="W1673" s="203" t="str">
        <f t="shared" si="35"/>
        <v>1w</v>
      </c>
      <c r="X1673" s="287">
        <f>_xll.qlCalendarAdvance(Calendar,X1672,W1673,"f",FALSE)</f>
        <v>50714</v>
      </c>
      <c r="Y1673" s="281">
        <f>_xll.qlCalendarAdvance(Calendar,X1673,NDays&amp;"D")</f>
        <v>50718</v>
      </c>
      <c r="Z1673" s="282">
        <v>2.2067071301725503E-2</v>
      </c>
      <c r="AA1673" s="284">
        <v>2.204553203820403E-2</v>
      </c>
    </row>
    <row r="1674" spans="23:27" x14ac:dyDescent="0.2">
      <c r="W1674" s="203" t="str">
        <f t="shared" si="35"/>
        <v>1w</v>
      </c>
      <c r="X1674" s="287">
        <f>_xll.qlCalendarAdvance(Calendar,X1673,W1674,"f",FALSE)</f>
        <v>50721</v>
      </c>
      <c r="Y1674" s="281">
        <f>_xll.qlCalendarAdvance(Calendar,X1674,NDays&amp;"D")</f>
        <v>50725</v>
      </c>
      <c r="Z1674" s="282">
        <v>2.2060960886808846E-2</v>
      </c>
      <c r="AA1674" s="284">
        <v>2.2039349589730861E-2</v>
      </c>
    </row>
    <row r="1675" spans="23:27" x14ac:dyDescent="0.2">
      <c r="W1675" s="203" t="str">
        <f t="shared" si="35"/>
        <v>1w</v>
      </c>
      <c r="X1675" s="287">
        <f>_xll.qlCalendarAdvance(Calendar,X1674,W1675,"f",FALSE)</f>
        <v>50728</v>
      </c>
      <c r="Y1675" s="281">
        <f>_xll.qlCalendarAdvance(Calendar,X1675,NDays&amp;"D")</f>
        <v>50733</v>
      </c>
      <c r="Z1675" s="282">
        <v>2.2053997632304541E-2</v>
      </c>
      <c r="AA1675" s="284">
        <v>2.2032303888588345E-2</v>
      </c>
    </row>
    <row r="1676" spans="23:27" x14ac:dyDescent="0.2">
      <c r="W1676" s="203" t="str">
        <f t="shared" si="35"/>
        <v>1w</v>
      </c>
      <c r="X1676" s="287">
        <f>_xll.qlCalendarAdvance(Calendar,X1675,W1676,"f",FALSE)</f>
        <v>50735</v>
      </c>
      <c r="Y1676" s="281">
        <f>_xll.qlCalendarAdvance(Calendar,X1676,NDays&amp;"D")</f>
        <v>50739</v>
      </c>
      <c r="Z1676" s="282">
        <v>2.2048303465782126E-2</v>
      </c>
      <c r="AA1676" s="284">
        <v>2.2027033580398481E-2</v>
      </c>
    </row>
    <row r="1677" spans="23:27" x14ac:dyDescent="0.2">
      <c r="W1677" s="203" t="str">
        <f t="shared" si="35"/>
        <v>1w</v>
      </c>
      <c r="X1677" s="287">
        <f>_xll.qlCalendarAdvance(Calendar,X1676,W1677,"f",FALSE)</f>
        <v>50742</v>
      </c>
      <c r="Y1677" s="281">
        <f>_xll.qlCalendarAdvance(Calendar,X1677,NDays&amp;"D")</f>
        <v>50746</v>
      </c>
      <c r="Z1677" s="282">
        <v>2.2042240637157207E-2</v>
      </c>
      <c r="AA1677" s="284">
        <v>2.2020900019619205E-2</v>
      </c>
    </row>
    <row r="1678" spans="23:27" x14ac:dyDescent="0.2">
      <c r="W1678" s="203" t="str">
        <f t="shared" si="35"/>
        <v>1w</v>
      </c>
      <c r="X1678" s="287">
        <f>_xll.qlCalendarAdvance(Calendar,X1677,W1678,"f",FALSE)</f>
        <v>50749</v>
      </c>
      <c r="Y1678" s="281">
        <f>_xll.qlCalendarAdvance(Calendar,X1678,NDays&amp;"D")</f>
        <v>50753</v>
      </c>
      <c r="Z1678" s="282">
        <v>2.2036194202187609E-2</v>
      </c>
      <c r="AA1678" s="284">
        <v>2.2014782754524731E-2</v>
      </c>
    </row>
    <row r="1679" spans="23:27" x14ac:dyDescent="0.2">
      <c r="W1679" s="203" t="str">
        <f t="shared" si="35"/>
        <v>1w</v>
      </c>
      <c r="X1679" s="287">
        <f>_xll.qlCalendarAdvance(Calendar,X1678,W1679,"f",FALSE)</f>
        <v>50756</v>
      </c>
      <c r="Y1679" s="281">
        <f>_xll.qlCalendarAdvance(Calendar,X1679,NDays&amp;"D")</f>
        <v>50760</v>
      </c>
      <c r="Z1679" s="282">
        <v>2.2030409412991288E-2</v>
      </c>
      <c r="AA1679" s="284">
        <v>2.2008681785434803E-2</v>
      </c>
    </row>
    <row r="1680" spans="23:27" x14ac:dyDescent="0.2">
      <c r="W1680" s="203" t="str">
        <f t="shared" si="35"/>
        <v>1w</v>
      </c>
      <c r="X1680" s="287">
        <f>_xll.qlCalendarAdvance(Calendar,X1679,W1680,"f",FALSE)</f>
        <v>50763</v>
      </c>
      <c r="Y1680" s="281">
        <f>_xll.qlCalendarAdvance(Calendar,X1680,NDays&amp;"D")</f>
        <v>50769</v>
      </c>
      <c r="Z1680" s="282">
        <v>2.2022681625070505E-2</v>
      </c>
      <c r="AA1680" s="284">
        <v>2.2001816645010663E-2</v>
      </c>
    </row>
    <row r="1681" spans="23:27" x14ac:dyDescent="0.2">
      <c r="W1681" s="203" t="str">
        <f t="shared" si="35"/>
        <v>1w</v>
      </c>
      <c r="X1681" s="287">
        <f>_xll.qlCalendarAdvance(Calendar,X1680,W1681,"f",FALSE)</f>
        <v>50774</v>
      </c>
      <c r="Y1681" s="281">
        <f>_xll.qlCalendarAdvance(Calendar,X1681,NDays&amp;"D")</f>
        <v>50776</v>
      </c>
      <c r="Z1681" s="282">
        <v>2.2016442768248545E-2</v>
      </c>
      <c r="AA1681" s="284">
        <v>2.1994797905628971E-2</v>
      </c>
    </row>
    <row r="1682" spans="23:27" x14ac:dyDescent="0.2">
      <c r="W1682" s="203" t="str">
        <f t="shared" si="35"/>
        <v>1w</v>
      </c>
      <c r="X1682" s="287">
        <f>_xll.qlCalendarAdvance(Calendar,X1681,W1682,"f",FALSE)</f>
        <v>50781</v>
      </c>
      <c r="Y1682" s="281">
        <f>_xll.qlCalendarAdvance(Calendar,X1682,NDays&amp;"D")</f>
        <v>50783</v>
      </c>
      <c r="Z1682" s="282">
        <v>2.2010466590975497E-2</v>
      </c>
      <c r="AA1682" s="284">
        <v>2.1988750479948749E-2</v>
      </c>
    </row>
    <row r="1683" spans="23:27" x14ac:dyDescent="0.2">
      <c r="W1683" s="203" t="str">
        <f t="shared" si="35"/>
        <v>1w</v>
      </c>
      <c r="X1683" s="287">
        <f>_xll.qlCalendarAdvance(Calendar,X1682,W1683,"f",FALSE)</f>
        <v>50788</v>
      </c>
      <c r="Y1683" s="281">
        <f>_xll.qlCalendarAdvance(Calendar,X1683,NDays&amp;"D")</f>
        <v>50790</v>
      </c>
      <c r="Z1683" s="282">
        <v>2.200450680697319E-2</v>
      </c>
      <c r="AA1683" s="284">
        <v>2.1982719350193136E-2</v>
      </c>
    </row>
    <row r="1684" spans="23:27" x14ac:dyDescent="0.2">
      <c r="W1684" s="203" t="str">
        <f t="shared" si="35"/>
        <v>1w</v>
      </c>
      <c r="X1684" s="287">
        <f>_xll.qlCalendarAdvance(Calendar,X1683,W1684,"f",FALSE)</f>
        <v>50795</v>
      </c>
      <c r="Y1684" s="281">
        <f>_xll.qlCalendarAdvance(Calendar,X1684,NDays&amp;"D")</f>
        <v>50797</v>
      </c>
      <c r="Z1684" s="282">
        <v>2.199856341616524E-2</v>
      </c>
      <c r="AA1684" s="284">
        <v>2.1976704516202261E-2</v>
      </c>
    </row>
    <row r="1685" spans="23:27" x14ac:dyDescent="0.2">
      <c r="W1685" s="203" t="str">
        <f t="shared" ref="W1685:W1748" si="36">W1684</f>
        <v>1w</v>
      </c>
      <c r="X1685" s="287">
        <f>_xll.qlCalendarAdvance(Calendar,X1684,W1685,"f",FALSE)</f>
        <v>50802</v>
      </c>
      <c r="Y1685" s="281">
        <f>_xll.qlCalendarAdvance(Calendar,X1685,NDays&amp;"D")</f>
        <v>50804</v>
      </c>
      <c r="Z1685" s="282">
        <v>2.1993137155190932E-2</v>
      </c>
      <c r="AA1685" s="284">
        <v>2.1970705978135996E-2</v>
      </c>
    </row>
    <row r="1686" spans="23:27" x14ac:dyDescent="0.2">
      <c r="W1686" s="203" t="str">
        <f t="shared" si="36"/>
        <v>1w</v>
      </c>
      <c r="X1686" s="287">
        <f>_xll.qlCalendarAdvance(Calendar,X1685,W1686,"f",FALSE)</f>
        <v>50809</v>
      </c>
      <c r="Y1686" s="281">
        <f>_xll.qlCalendarAdvance(Calendar,X1686,NDays&amp;"D")</f>
        <v>50811</v>
      </c>
      <c r="Z1686" s="282">
        <v>2.1986474766001574E-2</v>
      </c>
      <c r="AA1686" s="284">
        <v>2.1965454206798185E-2</v>
      </c>
    </row>
    <row r="1687" spans="23:27" x14ac:dyDescent="0.2">
      <c r="W1687" s="203" t="str">
        <f t="shared" si="36"/>
        <v>1w</v>
      </c>
      <c r="X1687" s="287">
        <f>_xll.qlCalendarAdvance(Calendar,X1686,W1687,"f",FALSE)</f>
        <v>50816</v>
      </c>
      <c r="Y1687" s="281">
        <f>_xll.qlCalendarAdvance(Calendar,X1687,NDays&amp;"D")</f>
        <v>50818</v>
      </c>
      <c r="Z1687" s="282">
        <v>2.1980579742444634E-2</v>
      </c>
      <c r="AA1687" s="284">
        <v>2.1958757789297678E-2</v>
      </c>
    </row>
    <row r="1688" spans="23:27" x14ac:dyDescent="0.2">
      <c r="W1688" s="203" t="str">
        <f t="shared" si="36"/>
        <v>1w</v>
      </c>
      <c r="X1688" s="287">
        <f>_xll.qlCalendarAdvance(Calendar,X1687,W1688,"f",FALSE)</f>
        <v>50823</v>
      </c>
      <c r="Y1688" s="281">
        <f>_xll.qlCalendarAdvance(Calendar,X1688,NDays&amp;"D")</f>
        <v>50825</v>
      </c>
      <c r="Z1688" s="282">
        <v>2.1974701110705031E-2</v>
      </c>
      <c r="AA1688" s="284">
        <v>2.1952808138765434E-2</v>
      </c>
    </row>
    <row r="1689" spans="23:27" x14ac:dyDescent="0.2">
      <c r="W1689" s="203" t="str">
        <f t="shared" si="36"/>
        <v>1w</v>
      </c>
      <c r="X1689" s="287">
        <f>_xll.qlCalendarAdvance(Calendar,X1688,W1689,"f",FALSE)</f>
        <v>50830</v>
      </c>
      <c r="Y1689" s="281">
        <f>_xll.qlCalendarAdvance(Calendar,X1689,NDays&amp;"D")</f>
        <v>50832</v>
      </c>
      <c r="Z1689" s="282">
        <v>2.1969599595427072E-2</v>
      </c>
      <c r="AA1689" s="284">
        <v>2.1946874783997927E-2</v>
      </c>
    </row>
    <row r="1690" spans="23:27" x14ac:dyDescent="0.2">
      <c r="W1690" s="203" t="str">
        <f t="shared" si="36"/>
        <v>1w</v>
      </c>
      <c r="X1690" s="287">
        <f>_xll.qlCalendarAdvance(Calendar,X1689,W1690,"f",FALSE)</f>
        <v>50837</v>
      </c>
      <c r="Y1690" s="281">
        <f>_xll.qlCalendarAdvance(Calendar,X1690,NDays&amp;"D")</f>
        <v>50839</v>
      </c>
      <c r="Z1690" s="282">
        <v>2.1963756193013825E-2</v>
      </c>
      <c r="AA1690" s="284">
        <v>2.1940957725075094E-2</v>
      </c>
    </row>
    <row r="1691" spans="23:27" x14ac:dyDescent="0.2">
      <c r="W1691" s="203" t="str">
        <f t="shared" si="36"/>
        <v>1w</v>
      </c>
      <c r="X1691" s="287">
        <f>_xll.qlCalendarAdvance(Calendar,X1690,W1691,"f",FALSE)</f>
        <v>50844</v>
      </c>
      <c r="Y1691" s="281">
        <f>_xll.qlCalendarAdvance(Calendar,X1691,NDays&amp;"D")</f>
        <v>50846</v>
      </c>
      <c r="Z1691" s="282">
        <v>2.1957929255950533E-2</v>
      </c>
      <c r="AA1691" s="284">
        <v>2.1935056961996935E-2</v>
      </c>
    </row>
    <row r="1692" spans="23:27" x14ac:dyDescent="0.2">
      <c r="W1692" s="203" t="str">
        <f t="shared" si="36"/>
        <v>1w</v>
      </c>
      <c r="X1692" s="287">
        <f>_xll.qlCalendarAdvance(Calendar,X1691,W1692,"f",FALSE)</f>
        <v>50851</v>
      </c>
      <c r="Y1692" s="281">
        <f>_xll.qlCalendarAdvance(Calendar,X1692,NDays&amp;"D")</f>
        <v>50853</v>
      </c>
      <c r="Z1692" s="282">
        <v>2.1952119136592729E-2</v>
      </c>
      <c r="AA1692" s="284">
        <v>2.1929172494763449E-2</v>
      </c>
    </row>
    <row r="1693" spans="23:27" x14ac:dyDescent="0.2">
      <c r="W1693" s="203" t="str">
        <f t="shared" si="36"/>
        <v>1w</v>
      </c>
      <c r="X1693" s="287">
        <f>_xll.qlCalendarAdvance(Calendar,X1692,W1693,"f",FALSE)</f>
        <v>50858</v>
      </c>
      <c r="Y1693" s="281">
        <f>_xll.qlCalendarAdvance(Calendar,X1693,NDays&amp;"D")</f>
        <v>50860</v>
      </c>
      <c r="Z1693" s="282">
        <v>2.194606908536572E-2</v>
      </c>
      <c r="AA1693" s="284">
        <v>2.1923304323374637E-2</v>
      </c>
    </row>
    <row r="1694" spans="23:27" x14ac:dyDescent="0.2">
      <c r="W1694" s="203" t="str">
        <f t="shared" si="36"/>
        <v>1w</v>
      </c>
      <c r="X1694" s="287">
        <f>_xll.qlCalendarAdvance(Calendar,X1693,W1694,"f",FALSE)</f>
        <v>50865</v>
      </c>
      <c r="Y1694" s="281">
        <f>_xll.qlCalendarAdvance(Calendar,X1694,NDays&amp;"D")</f>
        <v>50867</v>
      </c>
      <c r="Z1694" s="282">
        <v>2.19402928692581E-2</v>
      </c>
      <c r="AA1694" s="284">
        <v>2.1918452313620662E-2</v>
      </c>
    </row>
    <row r="1695" spans="23:27" x14ac:dyDescent="0.2">
      <c r="W1695" s="203" t="str">
        <f t="shared" si="36"/>
        <v>1w</v>
      </c>
      <c r="X1695" s="287">
        <f>_xll.qlCalendarAdvance(Calendar,X1694,W1695,"f",FALSE)</f>
        <v>50872</v>
      </c>
      <c r="Y1695" s="281">
        <f>_xll.qlCalendarAdvance(Calendar,X1695,NDays&amp;"D")</f>
        <v>50874</v>
      </c>
      <c r="Z1695" s="282">
        <v>2.1934534695694643E-2</v>
      </c>
      <c r="AA1695" s="284">
        <v>2.1911616868051098E-2</v>
      </c>
    </row>
    <row r="1696" spans="23:27" x14ac:dyDescent="0.2">
      <c r="W1696" s="203" t="str">
        <f t="shared" si="36"/>
        <v>1w</v>
      </c>
      <c r="X1696" s="287">
        <f>_xll.qlCalendarAdvance(Calendar,X1695,W1696,"f",FALSE)</f>
        <v>50879</v>
      </c>
      <c r="Y1696" s="281">
        <f>_xll.qlCalendarAdvance(Calendar,X1696,NDays&amp;"D")</f>
        <v>50881</v>
      </c>
      <c r="Z1696" s="282">
        <v>2.1928794992132097E-2</v>
      </c>
      <c r="AA1696" s="284">
        <v>2.1905797584196307E-2</v>
      </c>
    </row>
    <row r="1697" spans="23:27" x14ac:dyDescent="0.2">
      <c r="W1697" s="203" t="str">
        <f t="shared" si="36"/>
        <v>1w</v>
      </c>
      <c r="X1697" s="287">
        <f>_xll.qlCalendarAdvance(Calendar,X1696,W1697,"f",FALSE)</f>
        <v>50886</v>
      </c>
      <c r="Y1697" s="281">
        <f>_xll.qlCalendarAdvance(Calendar,X1697,NDays&amp;"D")</f>
        <v>50888</v>
      </c>
      <c r="Z1697" s="282">
        <v>2.1923335604713028E-2</v>
      </c>
      <c r="AA1697" s="284">
        <v>2.19017622933948E-2</v>
      </c>
    </row>
    <row r="1698" spans="23:27" x14ac:dyDescent="0.2">
      <c r="W1698" s="203" t="str">
        <f t="shared" si="36"/>
        <v>1w</v>
      </c>
      <c r="X1698" s="287">
        <f>_xll.qlCalendarAdvance(Calendar,X1697,W1698,"f",FALSE)</f>
        <v>50896</v>
      </c>
      <c r="Y1698" s="281">
        <f>_xll.qlCalendarAdvance(Calendar,X1698,NDays&amp;"D")</f>
        <v>50900</v>
      </c>
      <c r="Z1698" s="282">
        <v>2.1913575688359666E-2</v>
      </c>
      <c r="AA1698" s="284">
        <v>2.1890084529418985E-2</v>
      </c>
    </row>
    <row r="1699" spans="23:27" x14ac:dyDescent="0.2">
      <c r="W1699" s="203" t="str">
        <f t="shared" si="36"/>
        <v>1w</v>
      </c>
      <c r="X1699" s="287">
        <f>_xll.qlCalendarAdvance(Calendar,X1698,W1699,"f",FALSE)</f>
        <v>50903</v>
      </c>
      <c r="Y1699" s="281">
        <f>_xll.qlCalendarAdvance(Calendar,X1699,NDays&amp;"D")</f>
        <v>50907</v>
      </c>
      <c r="Z1699" s="282">
        <v>2.1907909518017177E-2</v>
      </c>
      <c r="AA1699" s="284">
        <v>2.1884325772907331E-2</v>
      </c>
    </row>
    <row r="1700" spans="23:27" x14ac:dyDescent="0.2">
      <c r="W1700" s="203" t="str">
        <f t="shared" si="36"/>
        <v>1w</v>
      </c>
      <c r="X1700" s="287">
        <f>_xll.qlCalendarAdvance(Calendar,X1699,W1700,"f",FALSE)</f>
        <v>50910</v>
      </c>
      <c r="Y1700" s="281">
        <f>_xll.qlCalendarAdvance(Calendar,X1700,NDays&amp;"D")</f>
        <v>50914</v>
      </c>
      <c r="Z1700" s="282">
        <v>2.1902263850053616E-2</v>
      </c>
      <c r="AA1700" s="284">
        <v>2.1878583312240352E-2</v>
      </c>
    </row>
    <row r="1701" spans="23:27" x14ac:dyDescent="0.2">
      <c r="W1701" s="203" t="str">
        <f t="shared" si="36"/>
        <v>1w</v>
      </c>
      <c r="X1701" s="287">
        <f>_xll.qlCalendarAdvance(Calendar,X1700,W1701,"f",FALSE)</f>
        <v>50917</v>
      </c>
      <c r="Y1701" s="281">
        <f>_xll.qlCalendarAdvance(Calendar,X1701,NDays&amp;"D")</f>
        <v>50922</v>
      </c>
      <c r="Z1701" s="282">
        <v>2.1895837305440626E-2</v>
      </c>
      <c r="AA1701" s="284">
        <v>2.1872040454145036E-2</v>
      </c>
    </row>
    <row r="1702" spans="23:27" x14ac:dyDescent="0.2">
      <c r="W1702" s="203" t="str">
        <f t="shared" si="36"/>
        <v>1w</v>
      </c>
      <c r="X1702" s="287">
        <f>_xll.qlCalendarAdvance(Calendar,X1701,W1702,"f",FALSE)</f>
        <v>50924</v>
      </c>
      <c r="Y1702" s="281">
        <f>_xll.qlCalendarAdvance(Calendar,X1702,NDays&amp;"D")</f>
        <v>50928</v>
      </c>
      <c r="Z1702" s="282">
        <v>2.1891035712538212E-2</v>
      </c>
      <c r="AA1702" s="284">
        <v>2.1867147278360477E-2</v>
      </c>
    </row>
    <row r="1703" spans="23:27" x14ac:dyDescent="0.2">
      <c r="W1703" s="203" t="str">
        <f t="shared" si="36"/>
        <v>1w</v>
      </c>
      <c r="X1703" s="287">
        <f>_xll.qlCalendarAdvance(Calendar,X1702,W1703,"f",FALSE)</f>
        <v>50931</v>
      </c>
      <c r="Y1703" s="281">
        <f>_xll.qlCalendarAdvance(Calendar,X1703,NDays&amp;"D")</f>
        <v>50935</v>
      </c>
      <c r="Z1703" s="282">
        <v>2.1885454075471756E-2</v>
      </c>
      <c r="AA1703" s="284">
        <v>2.1861454852070139E-2</v>
      </c>
    </row>
    <row r="1704" spans="23:27" x14ac:dyDescent="0.2">
      <c r="W1704" s="203" t="str">
        <f t="shared" si="36"/>
        <v>1w</v>
      </c>
      <c r="X1704" s="287">
        <f>_xll.qlCalendarAdvance(Calendar,X1703,W1704,"f",FALSE)</f>
        <v>50938</v>
      </c>
      <c r="Y1704" s="281">
        <f>_xll.qlCalendarAdvance(Calendar,X1704,NDays&amp;"D")</f>
        <v>50942</v>
      </c>
      <c r="Z1704" s="282">
        <v>2.1879894384842141E-2</v>
      </c>
      <c r="AA1704" s="284">
        <v>2.1855783892048564E-2</v>
      </c>
    </row>
    <row r="1705" spans="23:27" x14ac:dyDescent="0.2">
      <c r="W1705" s="203" t="str">
        <f t="shared" si="36"/>
        <v>1w</v>
      </c>
      <c r="X1705" s="287">
        <f>_xll.qlCalendarAdvance(Calendar,X1704,W1705,"f",FALSE)</f>
        <v>50945</v>
      </c>
      <c r="Y1705" s="281">
        <f>_xll.qlCalendarAdvance(Calendar,X1705,NDays&amp;"D")</f>
        <v>50949</v>
      </c>
      <c r="Z1705" s="282">
        <v>2.1874356646107613E-2</v>
      </c>
      <c r="AA1705" s="284">
        <v>2.1850134755450057E-2</v>
      </c>
    </row>
    <row r="1706" spans="23:27" x14ac:dyDescent="0.2">
      <c r="W1706" s="203" t="str">
        <f t="shared" si="36"/>
        <v>1w</v>
      </c>
      <c r="X1706" s="287">
        <f>_xll.qlCalendarAdvance(Calendar,X1705,W1706,"f",FALSE)</f>
        <v>50952</v>
      </c>
      <c r="Y1706" s="281">
        <f>_xll.qlCalendarAdvance(Calendar,X1706,NDays&amp;"D")</f>
        <v>50956</v>
      </c>
      <c r="Z1706" s="282">
        <v>2.1868840859173459E-2</v>
      </c>
      <c r="AA1706" s="284">
        <v>2.1844507442354555E-2</v>
      </c>
    </row>
    <row r="1707" spans="23:27" x14ac:dyDescent="0.2">
      <c r="W1707" s="203" t="str">
        <f t="shared" si="36"/>
        <v>1w</v>
      </c>
      <c r="X1707" s="287">
        <f>_xll.qlCalendarAdvance(Calendar,X1706,W1707,"f",FALSE)</f>
        <v>50959</v>
      </c>
      <c r="Y1707" s="281">
        <f>_xll.qlCalendarAdvance(Calendar,X1707,NDays&amp;"D")</f>
        <v>50963</v>
      </c>
      <c r="Z1707" s="282">
        <v>2.1863347023948453E-2</v>
      </c>
      <c r="AA1707" s="284">
        <v>2.1838901952682122E-2</v>
      </c>
    </row>
    <row r="1708" spans="23:27" x14ac:dyDescent="0.2">
      <c r="W1708" s="203" t="str">
        <f t="shared" si="36"/>
        <v>1w</v>
      </c>
      <c r="X1708" s="287">
        <f>_xll.qlCalendarAdvance(Calendar,X1707,W1708,"f",FALSE)</f>
        <v>50966</v>
      </c>
      <c r="Y1708" s="281">
        <f>_xll.qlCalendarAdvance(Calendar,X1708,NDays&amp;"D")</f>
        <v>50971</v>
      </c>
      <c r="Z1708" s="282">
        <v>2.1857875140338753E-2</v>
      </c>
      <c r="AA1708" s="284">
        <v>2.1832522401314947E-2</v>
      </c>
    </row>
    <row r="1709" spans="23:27" x14ac:dyDescent="0.2">
      <c r="W1709" s="203" t="str">
        <f t="shared" si="36"/>
        <v>1w</v>
      </c>
      <c r="X1709" s="287">
        <f>_xll.qlCalendarAdvance(Calendar,X1708,W1709,"f",FALSE)</f>
        <v>50973</v>
      </c>
      <c r="Y1709" s="281">
        <f>_xll.qlCalendarAdvance(Calendar,X1709,NDays&amp;"D")</f>
        <v>50977</v>
      </c>
      <c r="Z1709" s="282">
        <v>2.1852425208256608E-2</v>
      </c>
      <c r="AA1709" s="284">
        <v>2.1827756443686397E-2</v>
      </c>
    </row>
    <row r="1710" spans="23:27" x14ac:dyDescent="0.2">
      <c r="W1710" s="203" t="str">
        <f t="shared" si="36"/>
        <v>1w</v>
      </c>
      <c r="X1710" s="287">
        <f>_xll.qlCalendarAdvance(Calendar,X1709,W1710,"f",FALSE)</f>
        <v>50980</v>
      </c>
      <c r="Y1710" s="281">
        <f>_xll.qlCalendarAdvance(Calendar,X1710,NDays&amp;"D")</f>
        <v>50984</v>
      </c>
      <c r="Z1710" s="282">
        <v>2.1846997227607308E-2</v>
      </c>
      <c r="AA1710" s="284">
        <v>2.1822216424443042E-2</v>
      </c>
    </row>
    <row r="1711" spans="23:27" x14ac:dyDescent="0.2">
      <c r="W1711" s="203" t="str">
        <f t="shared" si="36"/>
        <v>1w</v>
      </c>
      <c r="X1711" s="287">
        <f>_xll.qlCalendarAdvance(Calendar,X1710,W1711,"f",FALSE)</f>
        <v>50987</v>
      </c>
      <c r="Y1711" s="281">
        <f>_xll.qlCalendarAdvance(Calendar,X1711,NDays&amp;"D")</f>
        <v>50991</v>
      </c>
      <c r="Z1711" s="282">
        <v>2.1841591198300491E-2</v>
      </c>
      <c r="AA1711" s="284">
        <v>2.1816698228622755E-2</v>
      </c>
    </row>
    <row r="1712" spans="23:27" x14ac:dyDescent="0.2">
      <c r="W1712" s="203" t="str">
        <f t="shared" si="36"/>
        <v>1w</v>
      </c>
      <c r="X1712" s="287">
        <f>_xll.qlCalendarAdvance(Calendar,X1711,W1712,"f",FALSE)</f>
        <v>50994</v>
      </c>
      <c r="Y1712" s="281">
        <f>_xll.qlCalendarAdvance(Calendar,X1712,NDays&amp;"D")</f>
        <v>50998</v>
      </c>
      <c r="Z1712" s="282">
        <v>2.1836207120247531E-2</v>
      </c>
      <c r="AA1712" s="284">
        <v>2.1811201856225537E-2</v>
      </c>
    </row>
    <row r="1713" spans="23:27" x14ac:dyDescent="0.2">
      <c r="W1713" s="203" t="str">
        <f t="shared" si="36"/>
        <v>1w</v>
      </c>
      <c r="X1713" s="287">
        <f>_xll.qlCalendarAdvance(Calendar,X1712,W1713,"f",FALSE)</f>
        <v>51001</v>
      </c>
      <c r="Y1713" s="281">
        <f>_xll.qlCalendarAdvance(Calendar,X1713,NDays&amp;"D")</f>
        <v>51005</v>
      </c>
      <c r="Z1713" s="282">
        <v>2.1831126963899432E-2</v>
      </c>
      <c r="AA1713" s="284">
        <v>2.1805727307331324E-2</v>
      </c>
    </row>
    <row r="1714" spans="23:27" x14ac:dyDescent="0.2">
      <c r="W1714" s="203" t="str">
        <f t="shared" si="36"/>
        <v>1w</v>
      </c>
      <c r="X1714" s="287">
        <f>_xll.qlCalendarAdvance(Calendar,X1713,W1714,"f",FALSE)</f>
        <v>51008</v>
      </c>
      <c r="Y1714" s="281">
        <f>_xll.qlCalendarAdvance(Calendar,X1714,NDays&amp;"D")</f>
        <v>51013</v>
      </c>
      <c r="Z1714" s="282">
        <v>2.182446046390191E-2</v>
      </c>
      <c r="AA1714" s="284">
        <v>2.1799497402659185E-2</v>
      </c>
    </row>
    <row r="1715" spans="23:27" x14ac:dyDescent="0.2">
      <c r="W1715" s="203" t="str">
        <f t="shared" si="36"/>
        <v>1w</v>
      </c>
      <c r="X1715" s="287">
        <f>_xll.qlCalendarAdvance(Calendar,X1714,W1715,"f",FALSE)</f>
        <v>51015</v>
      </c>
      <c r="Y1715" s="281">
        <f>_xll.qlCalendarAdvance(Calendar,X1715,NDays&amp;"D")</f>
        <v>51019</v>
      </c>
      <c r="Z1715" s="282">
        <v>2.1819902261032691E-2</v>
      </c>
      <c r="AA1715" s="284">
        <v>2.179484367989204E-2</v>
      </c>
    </row>
    <row r="1716" spans="23:27" x14ac:dyDescent="0.2">
      <c r="W1716" s="203" t="str">
        <f t="shared" si="36"/>
        <v>1w</v>
      </c>
      <c r="X1716" s="287">
        <f>_xll.qlCalendarAdvance(Calendar,X1715,W1716,"f",FALSE)</f>
        <v>51022</v>
      </c>
      <c r="Y1716" s="281">
        <f>_xll.qlCalendarAdvance(Calendar,X1716,NDays&amp;"D")</f>
        <v>51026</v>
      </c>
      <c r="Z1716" s="282">
        <v>2.1814604739355103E-2</v>
      </c>
      <c r="AA1716" s="284">
        <v>2.1789434601346969E-2</v>
      </c>
    </row>
    <row r="1717" spans="23:27" x14ac:dyDescent="0.2">
      <c r="W1717" s="203" t="str">
        <f t="shared" si="36"/>
        <v>1w</v>
      </c>
      <c r="X1717" s="287">
        <f>_xll.qlCalendarAdvance(Calendar,X1716,W1717,"f",FALSE)</f>
        <v>51029</v>
      </c>
      <c r="Y1717" s="281">
        <f>_xll.qlCalendarAdvance(Calendar,X1717,NDays&amp;"D")</f>
        <v>51034</v>
      </c>
      <c r="Z1717" s="282">
        <v>2.1809329167087711E-2</v>
      </c>
      <c r="AA1717" s="284">
        <v>2.1783279519942411E-2</v>
      </c>
    </row>
    <row r="1718" spans="23:27" x14ac:dyDescent="0.2">
      <c r="W1718" s="203" t="str">
        <f t="shared" si="36"/>
        <v>1w</v>
      </c>
      <c r="X1718" s="287">
        <f>_xll.qlCalendarAdvance(Calendar,X1717,W1718,"f",FALSE)</f>
        <v>51039</v>
      </c>
      <c r="Y1718" s="281">
        <f>_xll.qlCalendarAdvance(Calendar,X1718,NDays&amp;"D")</f>
        <v>51041</v>
      </c>
      <c r="Z1718" s="282">
        <v>2.1803326818352741E-2</v>
      </c>
      <c r="AA1718" s="284">
        <v>2.1777917205829667E-2</v>
      </c>
    </row>
    <row r="1719" spans="23:27" x14ac:dyDescent="0.2">
      <c r="W1719" s="203" t="str">
        <f t="shared" si="36"/>
        <v>1w</v>
      </c>
      <c r="X1719" s="287">
        <f>_xll.qlCalendarAdvance(Calendar,X1718,W1719,"f",FALSE)</f>
        <v>51046</v>
      </c>
      <c r="Y1719" s="281">
        <f>_xll.qlCalendarAdvance(Calendar,X1719,NDays&amp;"D")</f>
        <v>51048</v>
      </c>
      <c r="Z1719" s="282">
        <v>2.1798387790202486E-2</v>
      </c>
      <c r="AA1719" s="284">
        <v>2.1772576715299863E-2</v>
      </c>
    </row>
    <row r="1720" spans="23:27" x14ac:dyDescent="0.2">
      <c r="W1720" s="203" t="str">
        <f t="shared" si="36"/>
        <v>1w</v>
      </c>
      <c r="X1720" s="287">
        <f>_xll.qlCalendarAdvance(Calendar,X1719,W1720,"f",FALSE)</f>
        <v>51054</v>
      </c>
      <c r="Y1720" s="281">
        <f>_xll.qlCalendarAdvance(Calendar,X1720,NDays&amp;"D")</f>
        <v>51056</v>
      </c>
      <c r="Z1720" s="282">
        <v>2.1792440627268195E-2</v>
      </c>
      <c r="AA1720" s="284">
        <v>2.176650002015279E-2</v>
      </c>
    </row>
    <row r="1721" spans="23:27" x14ac:dyDescent="0.2">
      <c r="W1721" s="203" t="str">
        <f t="shared" si="36"/>
        <v>1w</v>
      </c>
      <c r="X1721" s="287">
        <f>_xll.qlCalendarAdvance(Calendar,X1720,W1721,"f",FALSE)</f>
        <v>51061</v>
      </c>
      <c r="Y1721" s="281">
        <f>_xll.qlCalendarAdvance(Calendar,X1721,NDays&amp;"D")</f>
        <v>51063</v>
      </c>
      <c r="Z1721" s="282">
        <v>2.178726037802298E-2</v>
      </c>
      <c r="AA1721" s="284">
        <v>2.1761206294135249E-2</v>
      </c>
    </row>
    <row r="1722" spans="23:27" x14ac:dyDescent="0.2">
      <c r="W1722" s="203" t="str">
        <f t="shared" si="36"/>
        <v>1w</v>
      </c>
      <c r="X1722" s="287">
        <f>_xll.qlCalendarAdvance(Calendar,X1721,W1722,"f",FALSE)</f>
        <v>51068</v>
      </c>
      <c r="Y1722" s="281">
        <f>_xll.qlCalendarAdvance(Calendar,X1722,NDays&amp;"D")</f>
        <v>51070</v>
      </c>
      <c r="Z1722" s="282">
        <v>2.1782102079121918E-2</v>
      </c>
      <c r="AA1722" s="284">
        <v>2.1755934391540777E-2</v>
      </c>
    </row>
    <row r="1723" spans="23:27" x14ac:dyDescent="0.2">
      <c r="W1723" s="203" t="str">
        <f t="shared" si="36"/>
        <v>1w</v>
      </c>
      <c r="X1723" s="287">
        <f>_xll.qlCalendarAdvance(Calendar,X1722,W1723,"f",FALSE)</f>
        <v>51075</v>
      </c>
      <c r="Y1723" s="281">
        <f>_xll.qlCalendarAdvance(Calendar,X1723,NDays&amp;"D")</f>
        <v>51078</v>
      </c>
      <c r="Z1723" s="282">
        <v>2.1776823938363322E-2</v>
      </c>
      <c r="AA1723" s="284">
        <v>2.1750502437560826E-2</v>
      </c>
    </row>
    <row r="1724" spans="23:27" x14ac:dyDescent="0.2">
      <c r="W1724" s="203" t="str">
        <f t="shared" si="36"/>
        <v>1w</v>
      </c>
      <c r="X1724" s="287">
        <f>_xll.qlCalendarAdvance(Calendar,X1723,W1724,"f",FALSE)</f>
        <v>51082</v>
      </c>
      <c r="Y1724" s="281">
        <f>_xll.qlCalendarAdvance(Calendar,X1724,NDays&amp;"D")</f>
        <v>51084</v>
      </c>
      <c r="Z1724" s="282">
        <v>2.1771851332005564E-2</v>
      </c>
      <c r="AA1724" s="284">
        <v>2.174545605678091E-2</v>
      </c>
    </row>
    <row r="1725" spans="23:27" x14ac:dyDescent="0.2">
      <c r="W1725" s="203" t="str">
        <f t="shared" si="36"/>
        <v>1w</v>
      </c>
      <c r="X1725" s="287">
        <f>_xll.qlCalendarAdvance(Calendar,X1724,W1725,"f",FALSE)</f>
        <v>51089</v>
      </c>
      <c r="Y1725" s="281">
        <f>_xll.qlCalendarAdvance(Calendar,X1725,NDays&amp;"D")</f>
        <v>51091</v>
      </c>
      <c r="Z1725" s="282">
        <v>2.1766758883618238E-2</v>
      </c>
      <c r="AA1725" s="284">
        <v>2.1740249624455643E-2</v>
      </c>
    </row>
    <row r="1726" spans="23:27" x14ac:dyDescent="0.2">
      <c r="W1726" s="203" t="str">
        <f t="shared" si="36"/>
        <v>1w</v>
      </c>
      <c r="X1726" s="287">
        <f>_xll.qlCalendarAdvance(Calendar,X1725,W1726,"f",FALSE)</f>
        <v>51096</v>
      </c>
      <c r="Y1726" s="281">
        <f>_xll.qlCalendarAdvance(Calendar,X1726,NDays&amp;"D")</f>
        <v>51099</v>
      </c>
      <c r="Z1726" s="282">
        <v>2.1761688385232729E-2</v>
      </c>
      <c r="AA1726" s="284">
        <v>2.1734899962275733E-2</v>
      </c>
    </row>
    <row r="1727" spans="23:27" x14ac:dyDescent="0.2">
      <c r="W1727" s="203" t="str">
        <f t="shared" si="36"/>
        <v>1w</v>
      </c>
      <c r="X1727" s="287">
        <f>_xll.qlCalendarAdvance(Calendar,X1726,W1727,"f",FALSE)</f>
        <v>51103</v>
      </c>
      <c r="Y1727" s="281">
        <f>_xll.qlCalendarAdvance(Calendar,X1727,NDays&amp;"D")</f>
        <v>51105</v>
      </c>
      <c r="Z1727" s="282">
        <v>2.1756340079088509E-2</v>
      </c>
      <c r="AA1727" s="284">
        <v>2.1729902230314124E-2</v>
      </c>
    </row>
    <row r="1728" spans="23:27" x14ac:dyDescent="0.2">
      <c r="W1728" s="203" t="str">
        <f t="shared" si="36"/>
        <v>1w</v>
      </c>
      <c r="X1728" s="287">
        <f>_xll.qlCalendarAdvance(Calendar,X1727,W1728,"f",FALSE)</f>
        <v>51110</v>
      </c>
      <c r="Y1728" s="281">
        <f>_xll.qlCalendarAdvance(Calendar,X1728,NDays&amp;"D")</f>
        <v>51112</v>
      </c>
      <c r="Z1728" s="282">
        <v>2.1751312215609105E-2</v>
      </c>
      <c r="AA1728" s="284">
        <v>2.1724761268497872E-2</v>
      </c>
    </row>
    <row r="1729" spans="23:27" x14ac:dyDescent="0.2">
      <c r="W1729" s="203" t="str">
        <f t="shared" si="36"/>
        <v>1w</v>
      </c>
      <c r="X1729" s="287">
        <f>_xll.qlCalendarAdvance(Calendar,X1728,W1729,"f",FALSE)</f>
        <v>51117</v>
      </c>
      <c r="Y1729" s="281">
        <f>_xll.qlCalendarAdvance(Calendar,X1729,NDays&amp;"D")</f>
        <v>51119</v>
      </c>
      <c r="Z1729" s="282">
        <v>2.1746306300490195E-2</v>
      </c>
      <c r="AA1729" s="284">
        <v>2.1719642129944816E-2</v>
      </c>
    </row>
    <row r="1730" spans="23:27" x14ac:dyDescent="0.2">
      <c r="W1730" s="203" t="str">
        <f t="shared" si="36"/>
        <v>1w</v>
      </c>
      <c r="X1730" s="287">
        <f>_xll.qlCalendarAdvance(Calendar,X1729,W1730,"f",FALSE)</f>
        <v>51124</v>
      </c>
      <c r="Y1730" s="281">
        <f>_xll.qlCalendarAdvance(Calendar,X1730,NDays&amp;"D")</f>
        <v>51126</v>
      </c>
      <c r="Z1730" s="282">
        <v>2.1741322333650084E-2</v>
      </c>
      <c r="AA1730" s="284">
        <v>2.1716004454250815E-2</v>
      </c>
    </row>
    <row r="1731" spans="23:27" x14ac:dyDescent="0.2">
      <c r="W1731" s="203" t="str">
        <f t="shared" si="36"/>
        <v>1w</v>
      </c>
      <c r="X1731" s="287">
        <f>_xll.qlCalendarAdvance(Calendar,X1730,W1731,"f",FALSE)</f>
        <v>51132</v>
      </c>
      <c r="Y1731" s="281">
        <f>_xll.qlCalendarAdvance(Calendar,X1731,NDays&amp;"D")</f>
        <v>51134</v>
      </c>
      <c r="Z1731" s="282">
        <v>2.1735348373583818E-2</v>
      </c>
      <c r="AA1731" s="284">
        <v>2.1709919212785422E-2</v>
      </c>
    </row>
    <row r="1732" spans="23:27" x14ac:dyDescent="0.2">
      <c r="W1732" s="203" t="str">
        <f t="shared" si="36"/>
        <v>1w</v>
      </c>
      <c r="X1732" s="287">
        <f>_xll.qlCalendarAdvance(Calendar,X1731,W1732,"f",FALSE)</f>
        <v>51139</v>
      </c>
      <c r="Y1732" s="281">
        <f>_xll.qlCalendarAdvance(Calendar,X1732,NDays&amp;"D")</f>
        <v>51141</v>
      </c>
      <c r="Z1732" s="282">
        <v>2.173071631179152E-2</v>
      </c>
      <c r="AA1732" s="284">
        <v>2.1704578934593766E-2</v>
      </c>
    </row>
    <row r="1733" spans="23:27" x14ac:dyDescent="0.2">
      <c r="W1733" s="203" t="str">
        <f t="shared" si="36"/>
        <v>1w</v>
      </c>
      <c r="X1733" s="287">
        <f>_xll.qlCalendarAdvance(Calendar,X1732,W1733,"f",FALSE)</f>
        <v>51146</v>
      </c>
      <c r="Y1733" s="281">
        <f>_xll.qlCalendarAdvance(Calendar,X1733,NDays&amp;"D")</f>
        <v>51148</v>
      </c>
      <c r="Z1733" s="282">
        <v>2.1725801324720118E-2</v>
      </c>
      <c r="AA1733" s="284">
        <v>2.1699258104357355E-2</v>
      </c>
    </row>
    <row r="1734" spans="23:27" x14ac:dyDescent="0.2">
      <c r="W1734" s="203" t="str">
        <f t="shared" si="36"/>
        <v>1w</v>
      </c>
      <c r="X1734" s="287">
        <f>_xll.qlCalendarAdvance(Calendar,X1733,W1734,"f",FALSE)</f>
        <v>51153</v>
      </c>
      <c r="Y1734" s="281">
        <f>_xll.qlCalendarAdvance(Calendar,X1734,NDays&amp;"D")</f>
        <v>51155</v>
      </c>
      <c r="Z1734" s="282">
        <v>2.1720908285586687E-2</v>
      </c>
      <c r="AA1734" s="284">
        <v>2.1694253715214273E-2</v>
      </c>
    </row>
    <row r="1735" spans="23:27" x14ac:dyDescent="0.2">
      <c r="W1735" s="203" t="str">
        <f t="shared" si="36"/>
        <v>1w</v>
      </c>
      <c r="X1735" s="287">
        <f>_xll.qlCalendarAdvance(Calendar,X1734,W1735,"f",FALSE)</f>
        <v>51160</v>
      </c>
      <c r="Y1735" s="281">
        <f>_xll.qlCalendarAdvance(Calendar,X1735,NDays&amp;"D")</f>
        <v>51162</v>
      </c>
      <c r="Z1735" s="282">
        <v>2.1716037194311293E-2</v>
      </c>
      <c r="AA1735" s="284">
        <v>2.1689271152265377E-2</v>
      </c>
    </row>
    <row r="1736" spans="23:27" x14ac:dyDescent="0.2">
      <c r="W1736" s="203" t="str">
        <f t="shared" si="36"/>
        <v>1w</v>
      </c>
      <c r="X1736" s="287">
        <f>_xll.qlCalendarAdvance(Calendar,X1735,W1736,"f",FALSE)</f>
        <v>51167</v>
      </c>
      <c r="Y1736" s="281">
        <f>_xll.qlCalendarAdvance(Calendar,X1736,NDays&amp;"D")</f>
        <v>51169</v>
      </c>
      <c r="Z1736" s="282">
        <v>2.1712434350954737E-2</v>
      </c>
      <c r="AA1736" s="284">
        <v>2.1684310415537311E-2</v>
      </c>
    </row>
    <row r="1737" spans="23:27" x14ac:dyDescent="0.2">
      <c r="W1737" s="203" t="str">
        <f t="shared" si="36"/>
        <v>1w</v>
      </c>
      <c r="X1737" s="287">
        <f>_xll.qlCalendarAdvance(Calendar,X1736,W1737,"f",FALSE)</f>
        <v>51174</v>
      </c>
      <c r="Y1737" s="281">
        <f>_xll.qlCalendarAdvance(Calendar,X1737,NDays&amp;"D")</f>
        <v>51176</v>
      </c>
      <c r="Z1737" s="282">
        <v>2.1706048338606898E-2</v>
      </c>
      <c r="AA1737" s="284">
        <v>2.1679371505003431E-2</v>
      </c>
    </row>
    <row r="1738" spans="23:27" x14ac:dyDescent="0.2">
      <c r="W1738" s="203" t="str">
        <f t="shared" si="36"/>
        <v>1w</v>
      </c>
      <c r="X1738" s="287">
        <f>_xll.qlCalendarAdvance(Calendar,X1737,W1738,"f",FALSE)</f>
        <v>51181</v>
      </c>
      <c r="Y1738" s="281">
        <f>_xll.qlCalendarAdvance(Calendar,X1738,NDays&amp;"D")</f>
        <v>51183</v>
      </c>
      <c r="Z1738" s="282">
        <v>2.1701241811745042E-2</v>
      </c>
      <c r="AA1738" s="284">
        <v>2.1674454420690381E-2</v>
      </c>
    </row>
    <row r="1739" spans="23:27" x14ac:dyDescent="0.2">
      <c r="W1739" s="203" t="str">
        <f t="shared" si="36"/>
        <v>1w</v>
      </c>
      <c r="X1739" s="287">
        <f>_xll.qlCalendarAdvance(Calendar,X1738,W1739,"f",FALSE)</f>
        <v>51188</v>
      </c>
      <c r="Y1739" s="281">
        <f>_xll.qlCalendarAdvance(Calendar,X1739,NDays&amp;"D")</f>
        <v>51190</v>
      </c>
      <c r="Z1739" s="282">
        <v>2.1696457231042743E-2</v>
      </c>
      <c r="AA1739" s="284">
        <v>2.1669559162518226E-2</v>
      </c>
    </row>
    <row r="1740" spans="23:27" x14ac:dyDescent="0.2">
      <c r="W1740" s="203" t="str">
        <f t="shared" si="36"/>
        <v>1w</v>
      </c>
      <c r="X1740" s="287">
        <f>_xll.qlCalendarAdvance(Calendar,X1739,W1740,"f",FALSE)</f>
        <v>51195</v>
      </c>
      <c r="Y1740" s="281">
        <f>_xll.qlCalendarAdvance(Calendar,X1740,NDays&amp;"D")</f>
        <v>51197</v>
      </c>
      <c r="Z1740" s="282">
        <v>2.1692960833219616E-2</v>
      </c>
      <c r="AA1740" s="284">
        <v>2.1664685730566902E-2</v>
      </c>
    </row>
    <row r="1741" spans="23:27" x14ac:dyDescent="0.2">
      <c r="W1741" s="203" t="str">
        <f t="shared" si="36"/>
        <v>1w</v>
      </c>
      <c r="X1741" s="287">
        <f>_xll.qlCalendarAdvance(Calendar,X1740,W1741,"f",FALSE)</f>
        <v>51202</v>
      </c>
      <c r="Y1741" s="281">
        <f>_xll.qlCalendarAdvance(Calendar,X1741,NDays&amp;"D")</f>
        <v>51204</v>
      </c>
      <c r="Z1741" s="282">
        <v>2.168822527691593E-2</v>
      </c>
      <c r="AA1741" s="284">
        <v>2.1659834124783117E-2</v>
      </c>
    </row>
    <row r="1742" spans="23:27" x14ac:dyDescent="0.2">
      <c r="W1742" s="203" t="str">
        <f t="shared" si="36"/>
        <v>1w</v>
      </c>
      <c r="X1742" s="287">
        <f>_xll.qlCalendarAdvance(Calendar,X1741,W1742,"f",FALSE)</f>
        <v>51209</v>
      </c>
      <c r="Y1742" s="281">
        <f>_xll.qlCalendarAdvance(Calendar,X1742,NDays&amp;"D")</f>
        <v>51211</v>
      </c>
      <c r="Z1742" s="282">
        <v>2.1683511672037598E-2</v>
      </c>
      <c r="AA1742" s="284">
        <v>2.1655004345193518E-2</v>
      </c>
    </row>
    <row r="1743" spans="23:27" x14ac:dyDescent="0.2">
      <c r="W1743" s="203" t="str">
        <f t="shared" si="36"/>
        <v>1w</v>
      </c>
      <c r="X1743" s="287">
        <f>_xll.qlCalendarAdvance(Calendar,X1742,W1743,"f",FALSE)</f>
        <v>51216</v>
      </c>
      <c r="Y1743" s="281">
        <f>_xll.qlCalendarAdvance(Calendar,X1743,NDays&amp;"D")</f>
        <v>51218</v>
      </c>
      <c r="Z1743" s="282">
        <v>2.1678820018504692E-2</v>
      </c>
      <c r="AA1743" s="284">
        <v>2.1650196391798104E-2</v>
      </c>
    </row>
    <row r="1744" spans="23:27" x14ac:dyDescent="0.2">
      <c r="W1744" s="203" t="str">
        <f t="shared" si="36"/>
        <v>1w</v>
      </c>
      <c r="X1744" s="287">
        <f>_xll.qlCalendarAdvance(Calendar,X1743,W1744,"f",FALSE)</f>
        <v>51223</v>
      </c>
      <c r="Y1744" s="281">
        <f>_xll.qlCalendarAdvance(Calendar,X1744,NDays&amp;"D")</f>
        <v>51229</v>
      </c>
      <c r="Z1744" s="282">
        <v>2.1670524258976948E-2</v>
      </c>
      <c r="AA1744" s="284">
        <v>2.1642064521447679E-2</v>
      </c>
    </row>
    <row r="1745" spans="23:27" x14ac:dyDescent="0.2">
      <c r="W1745" s="203" t="str">
        <f t="shared" si="36"/>
        <v>1w</v>
      </c>
      <c r="X1745" s="287">
        <f>_xll.qlCalendarAdvance(Calendar,X1744,W1745,"f",FALSE)</f>
        <v>51230</v>
      </c>
      <c r="Y1745" s="281">
        <f>_xll.qlCalendarAdvance(Calendar,X1745,NDays&amp;"D")</f>
        <v>51232</v>
      </c>
      <c r="Z1745" s="282">
        <v>2.1668533396195063E-2</v>
      </c>
      <c r="AA1745" s="284">
        <v>2.1640645963536542E-2</v>
      </c>
    </row>
    <row r="1746" spans="23:27" x14ac:dyDescent="0.2">
      <c r="W1746" s="203" t="str">
        <f t="shared" si="36"/>
        <v>1w</v>
      </c>
      <c r="X1746" s="287">
        <f>_xll.qlCalendarAdvance(Calendar,X1745,W1746,"f",FALSE)</f>
        <v>51237</v>
      </c>
      <c r="Y1746" s="281">
        <f>_xll.qlCalendarAdvance(Calendar,X1746,NDays&amp;"D")</f>
        <v>51239</v>
      </c>
      <c r="Z1746" s="282">
        <v>2.1663903726117428E-2</v>
      </c>
      <c r="AA1746" s="284">
        <v>2.1635903488643748E-2</v>
      </c>
    </row>
    <row r="1747" spans="23:27" x14ac:dyDescent="0.2">
      <c r="W1747" s="203" t="str">
        <f t="shared" si="36"/>
        <v>1w</v>
      </c>
      <c r="X1747" s="287">
        <f>_xll.qlCalendarAdvance(Calendar,X1746,W1747,"f",FALSE)</f>
        <v>51244</v>
      </c>
      <c r="Y1747" s="281">
        <f>_xll.qlCalendarAdvance(Calendar,X1747,NDays&amp;"D")</f>
        <v>51246</v>
      </c>
      <c r="Z1747" s="282">
        <v>2.1659296002954409E-2</v>
      </c>
      <c r="AA1747" s="284">
        <v>2.163118283994514E-2</v>
      </c>
    </row>
    <row r="1748" spans="23:27" x14ac:dyDescent="0.2">
      <c r="W1748" s="203" t="str">
        <f t="shared" si="36"/>
        <v>1w</v>
      </c>
      <c r="X1748" s="287">
        <f>_xll.qlCalendarAdvance(Calendar,X1747,W1748,"f",FALSE)</f>
        <v>51251</v>
      </c>
      <c r="Y1748" s="281">
        <f>_xll.qlCalendarAdvance(Calendar,X1748,NDays&amp;"D")</f>
        <v>51253</v>
      </c>
      <c r="Z1748" s="282">
        <v>2.1656018221868484E-2</v>
      </c>
      <c r="AA1748" s="284">
        <v>2.1626798896243749E-2</v>
      </c>
    </row>
    <row r="1749" spans="23:27" x14ac:dyDescent="0.2">
      <c r="W1749" s="203" t="str">
        <f t="shared" ref="W1749:W1812" si="37">W1748</f>
        <v>1w</v>
      </c>
      <c r="X1749" s="287">
        <f>_xll.qlCalendarAdvance(Calendar,X1748,W1749,"f",FALSE)</f>
        <v>51258</v>
      </c>
      <c r="Y1749" s="281">
        <f>_xll.qlCalendarAdvance(Calendar,X1749,NDays&amp;"D")</f>
        <v>51265</v>
      </c>
      <c r="Z1749" s="282">
        <v>2.1647877176058362E-2</v>
      </c>
      <c r="AA1749" s="284">
        <v>2.161784593431193E-2</v>
      </c>
    </row>
    <row r="1750" spans="23:27" x14ac:dyDescent="0.2">
      <c r="W1750" s="203" t="str">
        <f t="shared" si="37"/>
        <v>1w</v>
      </c>
      <c r="X1750" s="287">
        <f>_xll.qlCalendarAdvance(Calendar,X1749,W1750,"f",FALSE)</f>
        <v>51265</v>
      </c>
      <c r="Y1750" s="281">
        <f>_xll.qlCalendarAdvance(Calendar,X1750,NDays&amp;"D")</f>
        <v>51267</v>
      </c>
      <c r="Z1750" s="282">
        <v>2.1646593074738336E-2</v>
      </c>
      <c r="AA1750" s="284">
        <v>2.1617151850854555E-2</v>
      </c>
    </row>
    <row r="1751" spans="23:27" x14ac:dyDescent="0.2">
      <c r="W1751" s="203" t="str">
        <f t="shared" si="37"/>
        <v>1w</v>
      </c>
      <c r="X1751" s="287">
        <f>_xll.qlCalendarAdvance(Calendar,X1750,W1751,"f",FALSE)</f>
        <v>51272</v>
      </c>
      <c r="Y1751" s="281">
        <f>_xll.qlCalendarAdvance(Calendar,X1751,NDays&amp;"D")</f>
        <v>51274</v>
      </c>
      <c r="Z1751" s="282">
        <v>2.1642077029107268E-2</v>
      </c>
      <c r="AA1751" s="284">
        <v>2.1612518506826106E-2</v>
      </c>
    </row>
    <row r="1752" spans="23:27" x14ac:dyDescent="0.2">
      <c r="W1752" s="203" t="str">
        <f t="shared" si="37"/>
        <v>1w</v>
      </c>
      <c r="X1752" s="287">
        <f>_xll.qlCalendarAdvance(Calendar,X1751,W1752,"f",FALSE)</f>
        <v>51279</v>
      </c>
      <c r="Y1752" s="281">
        <f>_xll.qlCalendarAdvance(Calendar,X1752,NDays&amp;"D")</f>
        <v>51281</v>
      </c>
      <c r="Z1752" s="282">
        <v>2.1637915323973658E-2</v>
      </c>
      <c r="AA1752" s="284">
        <v>2.1608226988731882E-2</v>
      </c>
    </row>
    <row r="1753" spans="23:27" x14ac:dyDescent="0.2">
      <c r="W1753" s="203" t="str">
        <f t="shared" si="37"/>
        <v>1w</v>
      </c>
      <c r="X1753" s="287">
        <f>_xll.qlCalendarAdvance(Calendar,X1752,W1753,"f",FALSE)</f>
        <v>51286</v>
      </c>
      <c r="Y1753" s="281">
        <f>_xll.qlCalendarAdvance(Calendar,X1753,NDays&amp;"D")</f>
        <v>51288</v>
      </c>
      <c r="Z1753" s="282">
        <v>2.1633110789678899E-2</v>
      </c>
      <c r="AA1753" s="284">
        <v>2.1603317297191893E-2</v>
      </c>
    </row>
    <row r="1754" spans="23:27" x14ac:dyDescent="0.2">
      <c r="W1754" s="203" t="str">
        <f t="shared" si="37"/>
        <v>1w</v>
      </c>
      <c r="X1754" s="287">
        <f>_xll.qlCalendarAdvance(Calendar,X1753,W1754,"f",FALSE)</f>
        <v>51293</v>
      </c>
      <c r="Y1754" s="281">
        <f>_xll.qlCalendarAdvance(Calendar,X1754,NDays&amp;"D")</f>
        <v>51295</v>
      </c>
      <c r="Z1754" s="282">
        <v>2.1628660595727683E-2</v>
      </c>
      <c r="AA1754" s="284">
        <v>2.1598749431639419E-2</v>
      </c>
    </row>
    <row r="1755" spans="23:27" x14ac:dyDescent="0.2">
      <c r="W1755" s="203" t="str">
        <f t="shared" si="37"/>
        <v>1w</v>
      </c>
      <c r="X1755" s="287">
        <f>_xll.qlCalendarAdvance(Calendar,X1754,W1755,"f",FALSE)</f>
        <v>51300</v>
      </c>
      <c r="Y1755" s="281">
        <f>_xll.qlCalendarAdvance(Calendar,X1755,NDays&amp;"D")</f>
        <v>51302</v>
      </c>
      <c r="Z1755" s="282">
        <v>2.162456864604323E-2</v>
      </c>
      <c r="AA1755" s="284">
        <v>2.1594203392201194E-2</v>
      </c>
    </row>
    <row r="1756" spans="23:27" x14ac:dyDescent="0.2">
      <c r="W1756" s="203" t="str">
        <f t="shared" si="37"/>
        <v>1w</v>
      </c>
      <c r="X1756" s="287">
        <f>_xll.qlCalendarAdvance(Calendar,X1755,W1756,"f",FALSE)</f>
        <v>51307</v>
      </c>
      <c r="Y1756" s="281">
        <f>_xll.qlCalendarAdvance(Calendar,X1756,NDays&amp;"D")</f>
        <v>51309</v>
      </c>
      <c r="Z1756" s="282">
        <v>2.1619826058971912E-2</v>
      </c>
      <c r="AA1756" s="284">
        <v>2.1589679178957155E-2</v>
      </c>
    </row>
    <row r="1757" spans="23:27" x14ac:dyDescent="0.2">
      <c r="W1757" s="203" t="str">
        <f t="shared" si="37"/>
        <v>1w</v>
      </c>
      <c r="X1757" s="287">
        <f>_xll.qlCalendarAdvance(Calendar,X1756,W1757,"f",FALSE)</f>
        <v>51314</v>
      </c>
      <c r="Y1757" s="281">
        <f>_xll.qlCalendarAdvance(Calendar,X1757,NDays&amp;"D")</f>
        <v>51316</v>
      </c>
      <c r="Z1757" s="282">
        <v>2.1614425835027713E-2</v>
      </c>
      <c r="AA1757" s="284">
        <v>2.158517679180072E-2</v>
      </c>
    </row>
    <row r="1758" spans="23:27" x14ac:dyDescent="0.2">
      <c r="W1758" s="203" t="str">
        <f t="shared" si="37"/>
        <v>1w</v>
      </c>
      <c r="X1758" s="287">
        <f>_xll.qlCalendarAdvance(Calendar,X1757,W1758,"f",FALSE)</f>
        <v>51321</v>
      </c>
      <c r="Y1758" s="281">
        <f>_xll.qlCalendarAdvance(Calendar,X1758,NDays&amp;"D")</f>
        <v>51323</v>
      </c>
      <c r="Z1758" s="282">
        <v>2.1611419533367905E-2</v>
      </c>
      <c r="AA1758" s="284">
        <v>2.158069623083847E-2</v>
      </c>
    </row>
    <row r="1759" spans="23:27" x14ac:dyDescent="0.2">
      <c r="W1759" s="203" t="str">
        <f t="shared" si="37"/>
        <v>1w</v>
      </c>
      <c r="X1759" s="287">
        <f>_xll.qlCalendarAdvance(Calendar,X1758,W1759,"f",FALSE)</f>
        <v>51328</v>
      </c>
      <c r="Y1759" s="281">
        <f>_xll.qlCalendarAdvance(Calendar,X1759,NDays&amp;"D")</f>
        <v>51330</v>
      </c>
      <c r="Z1759" s="282">
        <v>2.1606738880570506E-2</v>
      </c>
      <c r="AA1759" s="284">
        <v>2.1576566510213002E-2</v>
      </c>
    </row>
    <row r="1760" spans="23:27" x14ac:dyDescent="0.2">
      <c r="W1760" s="203" t="str">
        <f t="shared" si="37"/>
        <v>1w</v>
      </c>
      <c r="X1760" s="287">
        <f>_xll.qlCalendarAdvance(Calendar,X1759,W1760,"f",FALSE)</f>
        <v>51335</v>
      </c>
      <c r="Y1760" s="281">
        <f>_xll.qlCalendarAdvance(Calendar,X1760,NDays&amp;"D")</f>
        <v>51337</v>
      </c>
      <c r="Z1760" s="282">
        <v>2.1602420387933821E-2</v>
      </c>
      <c r="AA1760" s="284">
        <v>2.1571800587310008E-2</v>
      </c>
    </row>
    <row r="1761" spans="23:27" x14ac:dyDescent="0.2">
      <c r="W1761" s="203" t="str">
        <f t="shared" si="37"/>
        <v>1w</v>
      </c>
      <c r="X1761" s="287">
        <f>_xll.qlCalendarAdvance(Calendar,X1760,W1761,"f",FALSE)</f>
        <v>51342</v>
      </c>
      <c r="Y1761" s="281">
        <f>_xll.qlCalendarAdvance(Calendar,X1761,NDays&amp;"D")</f>
        <v>51344</v>
      </c>
      <c r="Z1761" s="282">
        <v>2.1598123845256438E-2</v>
      </c>
      <c r="AA1761" s="284">
        <v>2.1567385504743797E-2</v>
      </c>
    </row>
    <row r="1762" spans="23:27" x14ac:dyDescent="0.2">
      <c r="W1762" s="203" t="str">
        <f t="shared" si="37"/>
        <v>1w</v>
      </c>
      <c r="X1762" s="287">
        <f>_xll.qlCalendarAdvance(Calendar,X1761,W1762,"f",FALSE)</f>
        <v>51349</v>
      </c>
      <c r="Y1762" s="281">
        <f>_xll.qlCalendarAdvance(Calendar,X1762,NDays&amp;"D")</f>
        <v>51351</v>
      </c>
      <c r="Z1762" s="282">
        <v>2.1593849252463517E-2</v>
      </c>
      <c r="AA1762" s="284">
        <v>2.1562992248291835E-2</v>
      </c>
    </row>
    <row r="1763" spans="23:27" x14ac:dyDescent="0.2">
      <c r="W1763" s="203" t="str">
        <f t="shared" si="37"/>
        <v>1w</v>
      </c>
      <c r="X1763" s="287">
        <f>_xll.qlCalendarAdvance(Calendar,X1762,W1763,"f",FALSE)</f>
        <v>51356</v>
      </c>
      <c r="Y1763" s="281">
        <f>_xll.qlCalendarAdvance(Calendar,X1763,NDays&amp;"D")</f>
        <v>51358</v>
      </c>
      <c r="Z1763" s="282">
        <v>2.1589596609482776E-2</v>
      </c>
      <c r="AA1763" s="284">
        <v>2.1558620818007412E-2</v>
      </c>
    </row>
    <row r="1764" spans="23:27" x14ac:dyDescent="0.2">
      <c r="W1764" s="203" t="str">
        <f t="shared" si="37"/>
        <v>1w</v>
      </c>
      <c r="X1764" s="287">
        <f>_xll.qlCalendarAdvance(Calendar,X1763,W1764,"f",FALSE)</f>
        <v>51363</v>
      </c>
      <c r="Y1764" s="281">
        <f>_xll.qlCalendarAdvance(Calendar,X1764,NDays&amp;"D")</f>
        <v>51365</v>
      </c>
      <c r="Z1764" s="282">
        <v>2.1585365916241932E-2</v>
      </c>
      <c r="AA1764" s="284">
        <v>2.1554271213837239E-2</v>
      </c>
    </row>
    <row r="1765" spans="23:27" x14ac:dyDescent="0.2">
      <c r="W1765" s="203" t="str">
        <f t="shared" si="37"/>
        <v>1w</v>
      </c>
      <c r="X1765" s="287">
        <f>_xll.qlCalendarAdvance(Calendar,X1764,W1765,"f",FALSE)</f>
        <v>51370</v>
      </c>
      <c r="Y1765" s="281">
        <f>_xll.qlCalendarAdvance(Calendar,X1765,NDays&amp;"D")</f>
        <v>51372</v>
      </c>
      <c r="Z1765" s="282">
        <v>2.1581157172667006E-2</v>
      </c>
      <c r="AA1765" s="284">
        <v>2.1550280229800656E-2</v>
      </c>
    </row>
    <row r="1766" spans="23:27" x14ac:dyDescent="0.2">
      <c r="W1766" s="203" t="str">
        <f t="shared" si="37"/>
        <v>1w</v>
      </c>
      <c r="X1766" s="287">
        <f>_xll.qlCalendarAdvance(Calendar,X1765,W1766,"f",FALSE)</f>
        <v>51377</v>
      </c>
      <c r="Y1766" s="281">
        <f>_xll.qlCalendarAdvance(Calendar,X1766,NDays&amp;"D")</f>
        <v>51379</v>
      </c>
      <c r="Z1766" s="282">
        <v>2.1575919077378845E-2</v>
      </c>
      <c r="AA1766" s="284">
        <v>2.1545637483866287E-2</v>
      </c>
    </row>
    <row r="1767" spans="23:27" x14ac:dyDescent="0.2">
      <c r="W1767" s="203" t="str">
        <f t="shared" si="37"/>
        <v>1w</v>
      </c>
      <c r="X1767" s="287">
        <f>_xll.qlCalendarAdvance(Calendar,X1766,W1767,"f",FALSE)</f>
        <v>51384</v>
      </c>
      <c r="Y1767" s="281">
        <f>_xll.qlCalendarAdvance(Calendar,X1767,NDays&amp;"D")</f>
        <v>51386</v>
      </c>
      <c r="Z1767" s="282">
        <v>2.1571750276976821E-2</v>
      </c>
      <c r="AA1767" s="284">
        <v>2.1541353358092152E-2</v>
      </c>
    </row>
    <row r="1768" spans="23:27" x14ac:dyDescent="0.2">
      <c r="W1768" s="203" t="str">
        <f t="shared" si="37"/>
        <v>1w</v>
      </c>
      <c r="X1768" s="287">
        <f>_xll.qlCalendarAdvance(Calendar,X1767,W1768,"f",FALSE)</f>
        <v>51391</v>
      </c>
      <c r="Y1768" s="281">
        <f>_xll.qlCalendarAdvance(Calendar,X1768,NDays&amp;"D")</f>
        <v>51393</v>
      </c>
      <c r="Z1768" s="282">
        <v>2.1567603421964475E-2</v>
      </c>
      <c r="AA1768" s="284">
        <v>2.1537431760652037E-2</v>
      </c>
    </row>
    <row r="1769" spans="23:27" x14ac:dyDescent="0.2">
      <c r="W1769" s="203" t="str">
        <f t="shared" si="37"/>
        <v>1w</v>
      </c>
      <c r="X1769" s="287">
        <f>_xll.qlCalendarAdvance(Calendar,X1768,W1769,"f",FALSE)</f>
        <v>51398</v>
      </c>
      <c r="Y1769" s="281">
        <f>_xll.qlCalendarAdvance(Calendar,X1769,NDays&amp;"D")</f>
        <v>51400</v>
      </c>
      <c r="Z1769" s="282">
        <v>2.1563478512271542E-2</v>
      </c>
      <c r="AA1769" s="284">
        <v>2.1532850584859986E-2</v>
      </c>
    </row>
    <row r="1770" spans="23:27" x14ac:dyDescent="0.2">
      <c r="W1770" s="203" t="str">
        <f t="shared" si="37"/>
        <v>1w</v>
      </c>
      <c r="X1770" s="287">
        <f>_xll.qlCalendarAdvance(Calendar,X1769,W1770,"f",FALSE)</f>
        <v>51405</v>
      </c>
      <c r="Y1770" s="281">
        <f>_xll.qlCalendarAdvance(Calendar,X1770,NDays&amp;"D")</f>
        <v>51407</v>
      </c>
      <c r="Z1770" s="282">
        <v>2.155937554783301E-2</v>
      </c>
      <c r="AA1770" s="284">
        <v>2.1528631937428599E-2</v>
      </c>
    </row>
    <row r="1771" spans="23:27" x14ac:dyDescent="0.2">
      <c r="W1771" s="203" t="str">
        <f t="shared" si="37"/>
        <v>1w</v>
      </c>
      <c r="X1771" s="287">
        <f>_xll.qlCalendarAdvance(Calendar,X1770,W1771,"f",FALSE)</f>
        <v>51412</v>
      </c>
      <c r="Y1771" s="281">
        <f>_xll.qlCalendarAdvance(Calendar,X1771,NDays&amp;"D")</f>
        <v>51414</v>
      </c>
      <c r="Z1771" s="282">
        <v>2.155636565022355E-2</v>
      </c>
      <c r="AA1771" s="284">
        <v>2.1524779738761879E-2</v>
      </c>
    </row>
    <row r="1772" spans="23:27" x14ac:dyDescent="0.2">
      <c r="W1772" s="203" t="str">
        <f t="shared" si="37"/>
        <v>1w</v>
      </c>
      <c r="X1772" s="287">
        <f>_xll.qlCalendarAdvance(Calendar,X1771,W1772,"f",FALSE)</f>
        <v>51419</v>
      </c>
      <c r="Y1772" s="281">
        <f>_xll.qlCalendarAdvance(Calendar,X1772,NDays&amp;"D")</f>
        <v>51421</v>
      </c>
      <c r="Z1772" s="282">
        <v>2.1552669200002525E-2</v>
      </c>
      <c r="AA1772" s="284">
        <v>2.1520260120881929E-2</v>
      </c>
    </row>
    <row r="1773" spans="23:27" x14ac:dyDescent="0.2">
      <c r="W1773" s="203" t="str">
        <f t="shared" si="37"/>
        <v>1w</v>
      </c>
      <c r="X1773" s="287">
        <f>_xll.qlCalendarAdvance(Calendar,X1772,W1773,"f",FALSE)</f>
        <v>51426</v>
      </c>
      <c r="Y1773" s="281">
        <f>_xll.qlCalendarAdvance(Calendar,X1773,NDays&amp;"D")</f>
        <v>51428</v>
      </c>
      <c r="Z1773" s="282">
        <v>2.1548277403527317E-2</v>
      </c>
      <c r="AA1773" s="284">
        <v>2.1516106951766645E-2</v>
      </c>
    </row>
    <row r="1774" spans="23:27" x14ac:dyDescent="0.2">
      <c r="W1774" s="203" t="str">
        <f t="shared" si="37"/>
        <v>1w</v>
      </c>
      <c r="X1774" s="287">
        <f>_xll.qlCalendarAdvance(Calendar,X1773,W1774,"f",FALSE)</f>
        <v>51433</v>
      </c>
      <c r="Y1774" s="281">
        <f>_xll.qlCalendarAdvance(Calendar,X1774,NDays&amp;"D")</f>
        <v>51435</v>
      </c>
      <c r="Z1774" s="282">
        <v>2.1544266203763485E-2</v>
      </c>
      <c r="AA1774" s="284">
        <v>2.1511975608792255E-2</v>
      </c>
    </row>
    <row r="1775" spans="23:27" x14ac:dyDescent="0.2">
      <c r="W1775" s="203" t="str">
        <f t="shared" si="37"/>
        <v>1w</v>
      </c>
      <c r="X1775" s="287">
        <f>_xll.qlCalendarAdvance(Calendar,X1774,W1775,"f",FALSE)</f>
        <v>51440</v>
      </c>
      <c r="Y1775" s="281">
        <f>_xll.qlCalendarAdvance(Calendar,X1775,NDays&amp;"D")</f>
        <v>51442</v>
      </c>
      <c r="Z1775" s="282">
        <v>2.154027695296315E-2</v>
      </c>
      <c r="AA1775" s="284">
        <v>2.1507866091878824E-2</v>
      </c>
    </row>
    <row r="1776" spans="23:27" x14ac:dyDescent="0.2">
      <c r="W1776" s="203" t="str">
        <f t="shared" si="37"/>
        <v>1w</v>
      </c>
      <c r="X1776" s="287">
        <f>_xll.qlCalendarAdvance(Calendar,X1775,W1776,"f",FALSE)</f>
        <v>51447</v>
      </c>
      <c r="Y1776" s="281">
        <f>_xll.qlCalendarAdvance(Calendar,X1776,NDays&amp;"D")</f>
        <v>51449</v>
      </c>
      <c r="Z1776" s="282">
        <v>2.1536673615316682E-2</v>
      </c>
      <c r="AA1776" s="284">
        <v>2.1503778401079643E-2</v>
      </c>
    </row>
    <row r="1777" spans="23:27" x14ac:dyDescent="0.2">
      <c r="W1777" s="203" t="str">
        <f t="shared" si="37"/>
        <v>1w</v>
      </c>
      <c r="X1777" s="287">
        <f>_xll.qlCalendarAdvance(Calendar,X1776,W1777,"f",FALSE)</f>
        <v>51454</v>
      </c>
      <c r="Y1777" s="281">
        <f>_xll.qlCalendarAdvance(Calendar,X1777,NDays&amp;"D")</f>
        <v>51456</v>
      </c>
      <c r="Z1777" s="282">
        <v>2.1532364297984254E-2</v>
      </c>
      <c r="AA1777" s="284">
        <v>2.1499712536394711E-2</v>
      </c>
    </row>
    <row r="1778" spans="23:27" x14ac:dyDescent="0.2">
      <c r="W1778" s="203" t="str">
        <f t="shared" si="37"/>
        <v>1w</v>
      </c>
      <c r="X1778" s="287">
        <f>_xll.qlCalendarAdvance(Calendar,X1777,W1778,"f",FALSE)</f>
        <v>51461</v>
      </c>
      <c r="Y1778" s="281">
        <f>_xll.qlCalendarAdvance(Calendar,X1778,NDays&amp;"D")</f>
        <v>51466</v>
      </c>
      <c r="Z1778" s="282">
        <v>2.1526032174305852E-2</v>
      </c>
      <c r="AA1778" s="284">
        <v>2.149323367332201E-2</v>
      </c>
    </row>
    <row r="1779" spans="23:27" x14ac:dyDescent="0.2">
      <c r="W1779" s="203" t="str">
        <f t="shared" si="37"/>
        <v>1w</v>
      </c>
      <c r="X1779" s="287">
        <f>_xll.qlCalendarAdvance(Calendar,X1778,W1779,"f",FALSE)</f>
        <v>51468</v>
      </c>
      <c r="Y1779" s="281">
        <f>_xll.qlCalendarAdvance(Calendar,X1779,NDays&amp;"D")</f>
        <v>51470</v>
      </c>
      <c r="Z1779" s="282">
        <v>2.1523068995665362E-2</v>
      </c>
      <c r="AA1779" s="284">
        <v>2.1491646285287658E-2</v>
      </c>
    </row>
    <row r="1780" spans="23:27" x14ac:dyDescent="0.2">
      <c r="W1780" s="203" t="str">
        <f t="shared" si="37"/>
        <v>1w</v>
      </c>
      <c r="X1780" s="287">
        <f>_xll.qlCalendarAdvance(Calendar,X1779,W1780,"f",FALSE)</f>
        <v>51475</v>
      </c>
      <c r="Y1780" s="281">
        <f>_xll.qlCalendarAdvance(Calendar,X1780,NDays&amp;"D")</f>
        <v>51477</v>
      </c>
      <c r="Z1780" s="282">
        <v>2.151918414423637E-2</v>
      </c>
      <c r="AA1780" s="284">
        <v>2.1487645898865537E-2</v>
      </c>
    </row>
    <row r="1781" spans="23:27" x14ac:dyDescent="0.2">
      <c r="W1781" s="203" t="str">
        <f t="shared" si="37"/>
        <v>1w</v>
      </c>
      <c r="X1781" s="287">
        <f>_xll.qlCalendarAdvance(Calendar,X1780,W1781,"f",FALSE)</f>
        <v>51482</v>
      </c>
      <c r="Y1781" s="281">
        <f>_xll.qlCalendarAdvance(Calendar,X1781,NDays&amp;"D")</f>
        <v>51484</v>
      </c>
      <c r="Z1781" s="282">
        <v>2.1515321235987095E-2</v>
      </c>
      <c r="AA1781" s="284">
        <v>2.1483667338557666E-2</v>
      </c>
    </row>
    <row r="1782" spans="23:27" x14ac:dyDescent="0.2">
      <c r="W1782" s="203" t="str">
        <f t="shared" si="37"/>
        <v>1w</v>
      </c>
      <c r="X1782" s="287">
        <f>_xll.qlCalendarAdvance(Calendar,X1781,W1782,"f",FALSE)</f>
        <v>51489</v>
      </c>
      <c r="Y1782" s="281">
        <f>_xll.qlCalendarAdvance(Calendar,X1782,NDays&amp;"D")</f>
        <v>51491</v>
      </c>
      <c r="Z1782" s="282">
        <v>2.1511480270857142E-2</v>
      </c>
      <c r="AA1782" s="284">
        <v>2.14807883304724E-2</v>
      </c>
    </row>
    <row r="1783" spans="23:27" x14ac:dyDescent="0.2">
      <c r="W1783" s="203" t="str">
        <f t="shared" si="37"/>
        <v>1w</v>
      </c>
      <c r="X1783" s="287">
        <f>_xll.qlCalendarAdvance(Calendar,X1782,W1783,"f",FALSE)</f>
        <v>51497</v>
      </c>
      <c r="Y1783" s="281">
        <f>_xll.qlCalendarAdvance(Calendar,X1783,NDays&amp;"D")</f>
        <v>51505</v>
      </c>
      <c r="Z1783" s="282">
        <v>2.1503864169695852E-2</v>
      </c>
      <c r="AA1783" s="284">
        <v>2.1471862614106385E-2</v>
      </c>
    </row>
    <row r="1784" spans="23:27" x14ac:dyDescent="0.2">
      <c r="W1784" s="203" t="str">
        <f t="shared" si="37"/>
        <v>1w</v>
      </c>
      <c r="X1784" s="287">
        <f>_xll.qlCalendarAdvance(Calendar,X1783,W1784,"f",FALSE)</f>
        <v>51505</v>
      </c>
      <c r="Y1784" s="281">
        <f>_xll.qlCalendarAdvance(Calendar,X1784,NDays&amp;"D")</f>
        <v>51509</v>
      </c>
      <c r="Z1784" s="282">
        <v>2.1501704262150589E-2</v>
      </c>
      <c r="AA1784" s="284">
        <v>2.1468911769311205E-2</v>
      </c>
    </row>
    <row r="1785" spans="23:27" x14ac:dyDescent="0.2">
      <c r="W1785" s="203" t="str">
        <f t="shared" si="37"/>
        <v>1w</v>
      </c>
      <c r="X1785" s="287">
        <f>_xll.qlCalendarAdvance(Calendar,X1784,W1785,"f",FALSE)</f>
        <v>51512</v>
      </c>
      <c r="Y1785" s="281">
        <f>_xll.qlCalendarAdvance(Calendar,X1785,NDays&amp;"D")</f>
        <v>51517</v>
      </c>
      <c r="Z1785" s="282">
        <v>2.149794166478447E-2</v>
      </c>
      <c r="AA1785" s="284">
        <v>2.1464477620583011E-2</v>
      </c>
    </row>
    <row r="1786" spans="23:27" x14ac:dyDescent="0.2">
      <c r="W1786" s="203" t="str">
        <f t="shared" si="37"/>
        <v>1w</v>
      </c>
      <c r="X1786" s="287">
        <f>_xll.qlCalendarAdvance(Calendar,X1785,W1786,"f",FALSE)</f>
        <v>51519</v>
      </c>
      <c r="Y1786" s="281">
        <f>_xll.qlCalendarAdvance(Calendar,X1786,NDays&amp;"D")</f>
        <v>51523</v>
      </c>
      <c r="Z1786" s="282">
        <v>2.1494578555404632E-2</v>
      </c>
      <c r="AA1786" s="284">
        <v>2.1461170714713873E-2</v>
      </c>
    </row>
    <row r="1787" spans="23:27" x14ac:dyDescent="0.2">
      <c r="W1787" s="203" t="str">
        <f t="shared" si="37"/>
        <v>1w</v>
      </c>
      <c r="X1787" s="287">
        <f>_xll.qlCalendarAdvance(Calendar,X1786,W1787,"f",FALSE)</f>
        <v>51526</v>
      </c>
      <c r="Y1787" s="281">
        <f>_xll.qlCalendarAdvance(Calendar,X1787,NDays&amp;"D")</f>
        <v>51530</v>
      </c>
      <c r="Z1787" s="282">
        <v>2.1490861189653147E-2</v>
      </c>
      <c r="AA1787" s="284">
        <v>2.1457332922469874E-2</v>
      </c>
    </row>
    <row r="1788" spans="23:27" x14ac:dyDescent="0.2">
      <c r="W1788" s="203" t="str">
        <f t="shared" si="37"/>
        <v>1w</v>
      </c>
      <c r="X1788" s="287">
        <f>_xll.qlCalendarAdvance(Calendar,X1787,W1788,"f",FALSE)</f>
        <v>51533</v>
      </c>
      <c r="Y1788" s="281">
        <f>_xll.qlCalendarAdvance(Calendar,X1788,NDays&amp;"D")</f>
        <v>51537</v>
      </c>
      <c r="Z1788" s="282">
        <v>2.1487165767950001E-2</v>
      </c>
      <c r="AA1788" s="284">
        <v>2.1453516953648943E-2</v>
      </c>
    </row>
    <row r="1789" spans="23:27" x14ac:dyDescent="0.2">
      <c r="W1789" s="203" t="str">
        <f t="shared" si="37"/>
        <v>1w</v>
      </c>
      <c r="X1789" s="287">
        <f>_xll.qlCalendarAdvance(Calendar,X1788,W1789,"f",FALSE)</f>
        <v>51540</v>
      </c>
      <c r="Y1789" s="281">
        <f>_xll.qlCalendarAdvance(Calendar,X1789,NDays&amp;"D")</f>
        <v>51545</v>
      </c>
      <c r="Z1789" s="282">
        <v>2.1483110703041319E-2</v>
      </c>
      <c r="AA1789" s="284">
        <v>2.1449182568877845E-2</v>
      </c>
    </row>
    <row r="1790" spans="23:27" x14ac:dyDescent="0.2">
      <c r="W1790" s="203" t="str">
        <f t="shared" si="37"/>
        <v>1w</v>
      </c>
      <c r="X1790" s="287">
        <f>_xll.qlCalendarAdvance(Calendar,X1789,W1790,"f",FALSE)</f>
        <v>51547</v>
      </c>
      <c r="Y1790" s="281">
        <f>_xll.qlCalendarAdvance(Calendar,X1790,NDays&amp;"D")</f>
        <v>51551</v>
      </c>
      <c r="Z1790" s="282">
        <v>2.1479457819230774E-2</v>
      </c>
      <c r="AA1790" s="284">
        <v>2.1445950486116416E-2</v>
      </c>
    </row>
    <row r="1791" spans="23:27" x14ac:dyDescent="0.2">
      <c r="W1791" s="203" t="str">
        <f t="shared" si="37"/>
        <v>1w</v>
      </c>
      <c r="X1791" s="287">
        <f>_xll.qlCalendarAdvance(Calendar,X1790,W1791,"f",FALSE)</f>
        <v>51554</v>
      </c>
      <c r="Y1791" s="281">
        <f>_xll.qlCalendarAdvance(Calendar,X1791,NDays&amp;"D")</f>
        <v>51558</v>
      </c>
      <c r="Z1791" s="282">
        <v>2.1476211166541158E-2</v>
      </c>
      <c r="AA1791" s="284">
        <v>2.144219998740482E-2</v>
      </c>
    </row>
    <row r="1792" spans="23:27" x14ac:dyDescent="0.2">
      <c r="W1792" s="203" t="str">
        <f t="shared" si="37"/>
        <v>1w</v>
      </c>
      <c r="X1792" s="287">
        <f>_xll.qlCalendarAdvance(Calendar,X1791,W1792,"f",FALSE)</f>
        <v>51561</v>
      </c>
      <c r="Y1792" s="281">
        <f>_xll.qlCalendarAdvance(Calendar,X1792,NDays&amp;"D")</f>
        <v>51565</v>
      </c>
      <c r="Z1792" s="282">
        <v>2.1472989306197607E-2</v>
      </c>
      <c r="AA1792" s="284">
        <v>2.1438471312116292E-2</v>
      </c>
    </row>
    <row r="1793" spans="23:27" x14ac:dyDescent="0.2">
      <c r="W1793" s="203" t="str">
        <f t="shared" si="37"/>
        <v>1w</v>
      </c>
      <c r="X1793" s="287">
        <f>_xll.qlCalendarAdvance(Calendar,X1792,W1793,"f",FALSE)</f>
        <v>51568</v>
      </c>
      <c r="Y1793" s="281">
        <f>_xll.qlCalendarAdvance(Calendar,X1793,NDays&amp;"D")</f>
        <v>51572</v>
      </c>
      <c r="Z1793" s="282">
        <v>2.1469404958056701E-2</v>
      </c>
      <c r="AA1793" s="284">
        <v>2.1434764460250832E-2</v>
      </c>
    </row>
    <row r="1794" spans="23:27" x14ac:dyDescent="0.2">
      <c r="W1794" s="203" t="str">
        <f t="shared" si="37"/>
        <v>1w</v>
      </c>
      <c r="X1794" s="287">
        <f>_xll.qlCalendarAdvance(Calendar,X1793,W1794,"f",FALSE)</f>
        <v>51575</v>
      </c>
      <c r="Y1794" s="281">
        <f>_xll.qlCalendarAdvance(Calendar,X1794,NDays&amp;"D")</f>
        <v>51579</v>
      </c>
      <c r="Z1794" s="282">
        <v>2.1465842554942462E-2</v>
      </c>
      <c r="AA1794" s="284">
        <v>2.1431454994949029E-2</v>
      </c>
    </row>
    <row r="1795" spans="23:27" x14ac:dyDescent="0.2">
      <c r="W1795" s="203" t="str">
        <f t="shared" si="37"/>
        <v>1w</v>
      </c>
      <c r="X1795" s="287">
        <f>_xll.qlCalendarAdvance(Calendar,X1794,W1795,"f",FALSE)</f>
        <v>51582</v>
      </c>
      <c r="Y1795" s="281">
        <f>_xll.qlCalendarAdvance(Calendar,X1795,NDays&amp;"D")</f>
        <v>51586</v>
      </c>
      <c r="Z1795" s="282">
        <v>2.1462302096793201E-2</v>
      </c>
      <c r="AA1795" s="284">
        <v>2.1427416226629248E-2</v>
      </c>
    </row>
    <row r="1796" spans="23:27" x14ac:dyDescent="0.2">
      <c r="W1796" s="203" t="str">
        <f t="shared" si="37"/>
        <v>1w</v>
      </c>
      <c r="X1796" s="287">
        <f>_xll.qlCalendarAdvance(Calendar,X1795,W1796,"f",FALSE)</f>
        <v>51589</v>
      </c>
      <c r="Y1796" s="281">
        <f>_xll.qlCalendarAdvance(Calendar,X1796,NDays&amp;"D")</f>
        <v>51593</v>
      </c>
      <c r="Z1796" s="282">
        <v>2.1458392372903191E-2</v>
      </c>
      <c r="AA1796" s="284">
        <v>2.1423774844873122E-2</v>
      </c>
    </row>
    <row r="1797" spans="23:27" x14ac:dyDescent="0.2">
      <c r="W1797" s="203" t="str">
        <f t="shared" si="37"/>
        <v>1w</v>
      </c>
      <c r="X1797" s="287">
        <f>_xll.qlCalendarAdvance(Calendar,X1796,W1797,"f",FALSE)</f>
        <v>51596</v>
      </c>
      <c r="Y1797" s="281">
        <f>_xll.qlCalendarAdvance(Calendar,X1797,NDays&amp;"D")</f>
        <v>51600</v>
      </c>
      <c r="Z1797" s="282">
        <v>2.1454894444950627E-2</v>
      </c>
      <c r="AA1797" s="284">
        <v>2.142015528646013E-2</v>
      </c>
    </row>
    <row r="1798" spans="23:27" x14ac:dyDescent="0.2">
      <c r="W1798" s="203" t="str">
        <f t="shared" si="37"/>
        <v>1w</v>
      </c>
      <c r="X1798" s="287">
        <f>_xll.qlCalendarAdvance(Calendar,X1797,W1798,"f",FALSE)</f>
        <v>51603</v>
      </c>
      <c r="Y1798" s="281">
        <f>_xll.qlCalendarAdvance(Calendar,X1798,NDays&amp;"D")</f>
        <v>51607</v>
      </c>
      <c r="Z1798" s="282">
        <v>2.1451418460454345E-2</v>
      </c>
      <c r="AA1798" s="284">
        <v>2.1416557551550142E-2</v>
      </c>
    </row>
    <row r="1799" spans="23:27" x14ac:dyDescent="0.2">
      <c r="W1799" s="203" t="str">
        <f t="shared" si="37"/>
        <v>1w</v>
      </c>
      <c r="X1799" s="287">
        <f>_xll.qlCalendarAdvance(Calendar,X1798,W1799,"f",FALSE)</f>
        <v>51614</v>
      </c>
      <c r="Y1799" s="281">
        <f>_xll.qlCalendarAdvance(Calendar,X1799,NDays&amp;"D")</f>
        <v>51616</v>
      </c>
      <c r="Z1799" s="282">
        <v>2.1446981580881153E-2</v>
      </c>
      <c r="AA1799" s="284">
        <v>2.1411963959323543E-2</v>
      </c>
    </row>
    <row r="1800" spans="23:27" x14ac:dyDescent="0.2">
      <c r="W1800" s="203" t="str">
        <f t="shared" si="37"/>
        <v>1w</v>
      </c>
      <c r="X1800" s="287">
        <f>_xll.qlCalendarAdvance(Calendar,X1799,W1800,"f",FALSE)</f>
        <v>51621</v>
      </c>
      <c r="Y1800" s="281">
        <f>_xll.qlCalendarAdvance(Calendar,X1800,NDays&amp;"D")</f>
        <v>51623</v>
      </c>
      <c r="Z1800" s="282">
        <v>2.144395279935345E-2</v>
      </c>
      <c r="AA1800" s="284">
        <v>2.1409953022994088E-2</v>
      </c>
    </row>
    <row r="1801" spans="23:27" x14ac:dyDescent="0.2">
      <c r="W1801" s="203" t="str">
        <f t="shared" si="37"/>
        <v>1w</v>
      </c>
      <c r="X1801" s="287">
        <f>_xll.qlCalendarAdvance(Calendar,X1800,W1801,"f",FALSE)</f>
        <v>51628</v>
      </c>
      <c r="Y1801" s="281">
        <f>_xll.qlCalendarAdvance(Calendar,X1801,NDays&amp;"D")</f>
        <v>51630</v>
      </c>
      <c r="Z1801" s="282">
        <v>2.1440550279649202E-2</v>
      </c>
      <c r="AA1801" s="284">
        <v>2.1404890076803795E-2</v>
      </c>
    </row>
    <row r="1802" spans="23:27" x14ac:dyDescent="0.2">
      <c r="W1802" s="203" t="str">
        <f t="shared" si="37"/>
        <v>1w</v>
      </c>
      <c r="X1802" s="287">
        <f>_xll.qlCalendarAdvance(Calendar,X1801,W1802,"f",FALSE)</f>
        <v>51635</v>
      </c>
      <c r="Y1802" s="281">
        <f>_xll.qlCalendarAdvance(Calendar,X1802,NDays&amp;"D")</f>
        <v>51637</v>
      </c>
      <c r="Z1802" s="282">
        <v>2.1437169704487658E-2</v>
      </c>
      <c r="AA1802" s="284">
        <v>2.1401385870678524E-2</v>
      </c>
    </row>
    <row r="1803" spans="23:27" x14ac:dyDescent="0.2">
      <c r="W1803" s="203" t="str">
        <f t="shared" si="37"/>
        <v>1w</v>
      </c>
      <c r="X1803" s="287">
        <f>_xll.qlCalendarAdvance(Calendar,X1802,W1803,"f",FALSE)</f>
        <v>51642</v>
      </c>
      <c r="Y1803" s="281">
        <f>_xll.qlCalendarAdvance(Calendar,X1803,NDays&amp;"D")</f>
        <v>51644</v>
      </c>
      <c r="Z1803" s="282">
        <v>2.1433811073811475E-2</v>
      </c>
      <c r="AA1803" s="284">
        <v>2.1397903487896386E-2</v>
      </c>
    </row>
    <row r="1804" spans="23:27" x14ac:dyDescent="0.2">
      <c r="W1804" s="203" t="str">
        <f t="shared" si="37"/>
        <v>1w</v>
      </c>
      <c r="X1804" s="287">
        <f>_xll.qlCalendarAdvance(Calendar,X1803,W1804,"f",FALSE)</f>
        <v>51649</v>
      </c>
      <c r="Y1804" s="281">
        <f>_xll.qlCalendarAdvance(Calendar,X1804,NDays&amp;"D")</f>
        <v>51651</v>
      </c>
      <c r="Z1804" s="282">
        <v>2.1430474387566779E-2</v>
      </c>
      <c r="AA1804" s="284">
        <v>2.139444292845738E-2</v>
      </c>
    </row>
    <row r="1805" spans="23:27" x14ac:dyDescent="0.2">
      <c r="W1805" s="203" t="str">
        <f t="shared" si="37"/>
        <v>1w</v>
      </c>
      <c r="X1805" s="287">
        <f>_xll.qlCalendarAdvance(Calendar,X1804,W1805,"f",FALSE)</f>
        <v>51656</v>
      </c>
      <c r="Y1805" s="281">
        <f>_xll.qlCalendarAdvance(Calendar,X1805,NDays&amp;"D")</f>
        <v>51658</v>
      </c>
      <c r="Z1805" s="282">
        <v>2.1427159645694489E-2</v>
      </c>
      <c r="AA1805" s="284">
        <v>2.1391004192361507E-2</v>
      </c>
    </row>
    <row r="1806" spans="23:27" x14ac:dyDescent="0.2">
      <c r="W1806" s="203" t="str">
        <f t="shared" si="37"/>
        <v>1w</v>
      </c>
      <c r="X1806" s="287">
        <f>_xll.qlCalendarAdvance(Calendar,X1805,W1806,"f",FALSE)</f>
        <v>51663</v>
      </c>
      <c r="Y1806" s="281">
        <f>_xll.qlCalendarAdvance(Calendar,X1806,NDays&amp;"D")</f>
        <v>51665</v>
      </c>
      <c r="Z1806" s="282">
        <v>2.1423866848141605E-2</v>
      </c>
      <c r="AA1806" s="284">
        <v>2.1387587279768638E-2</v>
      </c>
    </row>
    <row r="1807" spans="23:27" x14ac:dyDescent="0.2">
      <c r="W1807" s="203" t="str">
        <f t="shared" si="37"/>
        <v>1w</v>
      </c>
      <c r="X1807" s="287">
        <f>_xll.qlCalendarAdvance(Calendar,X1806,W1807,"f",FALSE)</f>
        <v>51670</v>
      </c>
      <c r="Y1807" s="281">
        <f>_xll.qlCalendarAdvance(Calendar,X1807,NDays&amp;"D")</f>
        <v>51672</v>
      </c>
      <c r="Z1807" s="282">
        <v>2.1420595994853388E-2</v>
      </c>
      <c r="AA1807" s="284">
        <v>2.1384192190518903E-2</v>
      </c>
    </row>
    <row r="1808" spans="23:27" x14ac:dyDescent="0.2">
      <c r="W1808" s="203" t="str">
        <f t="shared" si="37"/>
        <v>1w</v>
      </c>
      <c r="X1808" s="287">
        <f>_xll.qlCalendarAdvance(Calendar,X1807,W1808,"f",FALSE)</f>
        <v>51677</v>
      </c>
      <c r="Y1808" s="281">
        <f>_xll.qlCalendarAdvance(Calendar,X1808,NDays&amp;"D")</f>
        <v>51679</v>
      </c>
      <c r="Z1808" s="282">
        <v>2.1417347085772493E-2</v>
      </c>
      <c r="AA1808" s="284">
        <v>2.1380818924612299E-2</v>
      </c>
    </row>
    <row r="1809" spans="23:27" x14ac:dyDescent="0.2">
      <c r="W1809" s="203" t="str">
        <f t="shared" si="37"/>
        <v>1w</v>
      </c>
      <c r="X1809" s="287">
        <f>_xll.qlCalendarAdvance(Calendar,X1808,W1809,"f",FALSE)</f>
        <v>51684</v>
      </c>
      <c r="Y1809" s="281">
        <f>_xll.qlCalendarAdvance(Calendar,X1809,NDays&amp;"D")</f>
        <v>51686</v>
      </c>
      <c r="Z1809" s="282">
        <v>2.1414120120846782E-2</v>
      </c>
      <c r="AA1809" s="284">
        <v>2.1377467482048829E-2</v>
      </c>
    </row>
    <row r="1810" spans="23:27" x14ac:dyDescent="0.2">
      <c r="W1810" s="203" t="str">
        <f t="shared" si="37"/>
        <v>1w</v>
      </c>
      <c r="X1810" s="287">
        <f>_xll.qlCalendarAdvance(Calendar,X1809,W1810,"f",FALSE)</f>
        <v>51691</v>
      </c>
      <c r="Y1810" s="281">
        <f>_xll.qlCalendarAdvance(Calendar,X1810,NDays&amp;"D")</f>
        <v>51693</v>
      </c>
      <c r="Z1810" s="282">
        <v>2.1410915100022396E-2</v>
      </c>
      <c r="AA1810" s="284">
        <v>2.1374137862988363E-2</v>
      </c>
    </row>
    <row r="1811" spans="23:27" x14ac:dyDescent="0.2">
      <c r="W1811" s="203" t="str">
        <f t="shared" si="37"/>
        <v>1w</v>
      </c>
      <c r="X1811" s="287">
        <f>_xll.qlCalendarAdvance(Calendar,X1810,W1811,"f",FALSE)</f>
        <v>51698</v>
      </c>
      <c r="Y1811" s="281">
        <f>_xll.qlCalendarAdvance(Calendar,X1811,NDays&amp;"D")</f>
        <v>51700</v>
      </c>
      <c r="Z1811" s="282">
        <v>2.1407732023243715E-2</v>
      </c>
      <c r="AA1811" s="284">
        <v>2.1370830067111157E-2</v>
      </c>
    </row>
    <row r="1812" spans="23:27" x14ac:dyDescent="0.2">
      <c r="W1812" s="203" t="str">
        <f t="shared" si="37"/>
        <v>1w</v>
      </c>
      <c r="X1812" s="287">
        <f>_xll.qlCalendarAdvance(Calendar,X1811,W1812,"f",FALSE)</f>
        <v>51705</v>
      </c>
      <c r="Y1812" s="281">
        <f>_xll.qlCalendarAdvance(Calendar,X1812,NDays&amp;"D")</f>
        <v>51707</v>
      </c>
      <c r="Z1812" s="282">
        <v>2.1404570890459485E-2</v>
      </c>
      <c r="AA1812" s="284">
        <v>2.1367544094816893E-2</v>
      </c>
    </row>
    <row r="1813" spans="23:27" x14ac:dyDescent="0.2">
      <c r="W1813" s="203" t="str">
        <f t="shared" ref="W1813:W1876" si="38">W1812</f>
        <v>1w</v>
      </c>
      <c r="X1813" s="287">
        <f>_xll.qlCalendarAdvance(Calendar,X1812,W1813,"f",FALSE)</f>
        <v>51712</v>
      </c>
      <c r="Y1813" s="281">
        <f>_xll.qlCalendarAdvance(Calendar,X1813,NDays&amp;"D")</f>
        <v>51714</v>
      </c>
      <c r="Z1813" s="282">
        <v>2.1401431701616701E-2</v>
      </c>
      <c r="AA1813" s="284">
        <v>2.1364279945785825E-2</v>
      </c>
    </row>
    <row r="1814" spans="23:27" x14ac:dyDescent="0.2">
      <c r="W1814" s="203" t="str">
        <f t="shared" si="38"/>
        <v>1w</v>
      </c>
      <c r="X1814" s="287">
        <f>_xll.qlCalendarAdvance(Calendar,X1813,W1814,"f",FALSE)</f>
        <v>51719</v>
      </c>
      <c r="Y1814" s="281">
        <f>_xll.qlCalendarAdvance(Calendar,X1814,NDays&amp;"D")</f>
        <v>51721</v>
      </c>
      <c r="Z1814" s="282">
        <v>2.1398314456660624E-2</v>
      </c>
      <c r="AA1814" s="284">
        <v>2.1361037620177825E-2</v>
      </c>
    </row>
    <row r="1815" spans="23:27" x14ac:dyDescent="0.2">
      <c r="W1815" s="203" t="str">
        <f t="shared" si="38"/>
        <v>1w</v>
      </c>
      <c r="X1815" s="287">
        <f>_xll.qlCalendarAdvance(Calendar,X1814,W1815,"f",FALSE)</f>
        <v>51726</v>
      </c>
      <c r="Y1815" s="281">
        <f>_xll.qlCalendarAdvance(Calendar,X1815,NDays&amp;"D")</f>
        <v>51728</v>
      </c>
      <c r="Z1815" s="282">
        <v>2.1395219155541729E-2</v>
      </c>
      <c r="AA1815" s="284">
        <v>2.1357817117912958E-2</v>
      </c>
    </row>
    <row r="1816" spans="23:27" x14ac:dyDescent="0.2">
      <c r="W1816" s="203" t="str">
        <f t="shared" si="38"/>
        <v>1w</v>
      </c>
      <c r="X1816" s="287">
        <f>_xll.qlCalendarAdvance(Calendar,X1815,W1816,"f",FALSE)</f>
        <v>51733</v>
      </c>
      <c r="Y1816" s="281">
        <f>_xll.qlCalendarAdvance(Calendar,X1816,NDays&amp;"D")</f>
        <v>51735</v>
      </c>
      <c r="Z1816" s="282">
        <v>2.1392145798206148E-2</v>
      </c>
      <c r="AA1816" s="284">
        <v>2.1354618438991224E-2</v>
      </c>
    </row>
    <row r="1817" spans="23:27" x14ac:dyDescent="0.2">
      <c r="W1817" s="203" t="str">
        <f t="shared" si="38"/>
        <v>1w</v>
      </c>
      <c r="X1817" s="287">
        <f>_xll.qlCalendarAdvance(Calendar,X1816,W1817,"f",FALSE)</f>
        <v>51740</v>
      </c>
      <c r="Y1817" s="281">
        <f>_xll.qlCalendarAdvance(Calendar,X1817,NDays&amp;"D")</f>
        <v>51742</v>
      </c>
      <c r="Z1817" s="282">
        <v>2.138909438460522E-2</v>
      </c>
      <c r="AA1817" s="284">
        <v>2.1351441583572495E-2</v>
      </c>
    </row>
    <row r="1818" spans="23:27" x14ac:dyDescent="0.2">
      <c r="W1818" s="203" t="str">
        <f t="shared" si="38"/>
        <v>1w</v>
      </c>
      <c r="X1818" s="287">
        <f>_xll.qlCalendarAdvance(Calendar,X1817,W1818,"f",FALSE)</f>
        <v>51747</v>
      </c>
      <c r="Y1818" s="281">
        <f>_xll.qlCalendarAdvance(Calendar,X1818,NDays&amp;"D")</f>
        <v>51749</v>
      </c>
      <c r="Z1818" s="282">
        <v>2.1385643089913378E-2</v>
      </c>
      <c r="AA1818" s="284">
        <v>2.1348286551337026E-2</v>
      </c>
    </row>
    <row r="1819" spans="23:27" x14ac:dyDescent="0.2">
      <c r="W1819" s="203" t="str">
        <f t="shared" si="38"/>
        <v>1w</v>
      </c>
      <c r="X1819" s="287">
        <f>_xll.qlCalendarAdvance(Calendar,X1818,W1819,"f",FALSE)</f>
        <v>51754</v>
      </c>
      <c r="Y1819" s="281">
        <f>_xll.qlCalendarAdvance(Calendar,X1819,NDays&amp;"D")</f>
        <v>51756</v>
      </c>
      <c r="Z1819" s="282">
        <v>2.1382634174480962E-2</v>
      </c>
      <c r="AA1819" s="284">
        <v>2.1345153342604561E-2</v>
      </c>
    </row>
    <row r="1820" spans="23:27" x14ac:dyDescent="0.2">
      <c r="W1820" s="203" t="str">
        <f t="shared" si="38"/>
        <v>1w</v>
      </c>
      <c r="X1820" s="287">
        <f>_xll.qlCalendarAdvance(Calendar,X1819,W1820,"f",FALSE)</f>
        <v>51761</v>
      </c>
      <c r="Y1820" s="281">
        <f>_xll.qlCalendarAdvance(Calendar,X1820,NDays&amp;"D")</f>
        <v>51763</v>
      </c>
      <c r="Z1820" s="282">
        <v>2.1379647201308423E-2</v>
      </c>
      <c r="AA1820" s="284">
        <v>2.1342041957135294E-2</v>
      </c>
    </row>
    <row r="1821" spans="23:27" x14ac:dyDescent="0.2">
      <c r="W1821" s="203" t="str">
        <f t="shared" si="38"/>
        <v>1w</v>
      </c>
      <c r="X1821" s="287">
        <f>_xll.qlCalendarAdvance(Calendar,X1820,W1821,"f",FALSE)</f>
        <v>51768</v>
      </c>
      <c r="Y1821" s="281">
        <f>_xll.qlCalendarAdvance(Calendar,X1821,NDays&amp;"D")</f>
        <v>51770</v>
      </c>
      <c r="Z1821" s="282">
        <v>2.137710816650977E-2</v>
      </c>
      <c r="AA1821" s="284">
        <v>2.1338952395089095E-2</v>
      </c>
    </row>
    <row r="1822" spans="23:27" x14ac:dyDescent="0.2">
      <c r="W1822" s="203" t="str">
        <f t="shared" si="38"/>
        <v>1w</v>
      </c>
      <c r="X1822" s="287">
        <f>_xll.qlCalendarAdvance(Calendar,X1821,W1822,"f",FALSE)</f>
        <v>51775</v>
      </c>
      <c r="Y1822" s="281">
        <f>_xll.qlCalendarAdvance(Calendar,X1822,NDays&amp;"D")</f>
        <v>51777</v>
      </c>
      <c r="Z1822" s="282">
        <v>2.1375449538123186E-2</v>
      </c>
      <c r="AA1822" s="284">
        <v>2.1335884656465964E-2</v>
      </c>
    </row>
    <row r="1823" spans="23:27" x14ac:dyDescent="0.2">
      <c r="W1823" s="203" t="str">
        <f t="shared" si="38"/>
        <v>1w</v>
      </c>
      <c r="X1823" s="287">
        <f>_xll.qlCalendarAdvance(Calendar,X1822,W1823,"f",FALSE)</f>
        <v>51782</v>
      </c>
      <c r="Y1823" s="281">
        <f>_xll.qlCalendarAdvance(Calendar,X1823,NDays&amp;"D")</f>
        <v>51784</v>
      </c>
      <c r="Z1823" s="282">
        <v>2.1371246718550597E-2</v>
      </c>
      <c r="AA1823" s="284">
        <v>2.1332838741185967E-2</v>
      </c>
    </row>
    <row r="1824" spans="23:27" x14ac:dyDescent="0.2">
      <c r="W1824" s="203" t="str">
        <f t="shared" si="38"/>
        <v>1w</v>
      </c>
      <c r="X1824" s="287">
        <f>_xll.qlCalendarAdvance(Calendar,X1823,W1824,"f",FALSE)</f>
        <v>51789</v>
      </c>
      <c r="Y1824" s="281">
        <f>_xll.qlCalendarAdvance(Calendar,X1824,NDays&amp;"D")</f>
        <v>51791</v>
      </c>
      <c r="Z1824" s="282">
        <v>2.1368348909669918E-2</v>
      </c>
      <c r="AA1824" s="284">
        <v>2.1329814649329037E-2</v>
      </c>
    </row>
    <row r="1825" spans="23:27" x14ac:dyDescent="0.2">
      <c r="W1825" s="203" t="str">
        <f t="shared" si="38"/>
        <v>1w</v>
      </c>
      <c r="X1825" s="287">
        <f>_xll.qlCalendarAdvance(Calendar,X1824,W1825,"f",FALSE)</f>
        <v>51796</v>
      </c>
      <c r="Y1825" s="281">
        <f>_xll.qlCalendarAdvance(Calendar,X1825,NDays&amp;"D")</f>
        <v>51798</v>
      </c>
      <c r="Z1825" s="282">
        <v>2.1365473044123343E-2</v>
      </c>
      <c r="AA1825" s="284">
        <v>2.1326812380735305E-2</v>
      </c>
    </row>
    <row r="1826" spans="23:27" x14ac:dyDescent="0.2">
      <c r="W1826" s="203" t="str">
        <f t="shared" si="38"/>
        <v>1w</v>
      </c>
      <c r="X1826" s="287">
        <f>_xll.qlCalendarAdvance(Calendar,X1825,W1826,"f",FALSE)</f>
        <v>51803</v>
      </c>
      <c r="Y1826" s="281">
        <f>_xll.qlCalendarAdvance(Calendar,X1826,NDays&amp;"D")</f>
        <v>51805</v>
      </c>
      <c r="Z1826" s="282">
        <v>2.1362619121864827E-2</v>
      </c>
      <c r="AA1826" s="284">
        <v>2.1323831935644577E-2</v>
      </c>
    </row>
    <row r="1827" spans="23:27" x14ac:dyDescent="0.2">
      <c r="W1827" s="203" t="str">
        <f t="shared" si="38"/>
        <v>1w</v>
      </c>
      <c r="X1827" s="287">
        <f>_xll.qlCalendarAdvance(Calendar,X1826,W1827,"f",FALSE)</f>
        <v>51810</v>
      </c>
      <c r="Y1827" s="281">
        <f>_xll.qlCalendarAdvance(Calendar,X1827,NDays&amp;"D")</f>
        <v>51812</v>
      </c>
      <c r="Z1827" s="282">
        <v>2.1359787142843971E-2</v>
      </c>
      <c r="AA1827" s="284">
        <v>2.132087331373711E-2</v>
      </c>
    </row>
    <row r="1828" spans="23:27" x14ac:dyDescent="0.2">
      <c r="W1828" s="203" t="str">
        <f t="shared" si="38"/>
        <v>1w</v>
      </c>
      <c r="X1828" s="287">
        <f>_xll.qlCalendarAdvance(Calendar,X1827,W1828,"f",FALSE)</f>
        <v>51817</v>
      </c>
      <c r="Y1828" s="281">
        <f>_xll.qlCalendarAdvance(Calendar,X1828,NDays&amp;"D")</f>
        <v>51819</v>
      </c>
      <c r="Z1828" s="282">
        <v>2.135697710701473E-2</v>
      </c>
      <c r="AA1828" s="284">
        <v>2.1317936515332647E-2</v>
      </c>
    </row>
    <row r="1829" spans="23:27" x14ac:dyDescent="0.2">
      <c r="W1829" s="203" t="str">
        <f t="shared" si="38"/>
        <v>1w</v>
      </c>
      <c r="X1829" s="287">
        <f>_xll.qlCalendarAdvance(Calendar,X1828,W1829,"f",FALSE)</f>
        <v>51824</v>
      </c>
      <c r="Y1829" s="281">
        <f>_xll.qlCalendarAdvance(Calendar,X1829,NDays&amp;"D")</f>
        <v>51826</v>
      </c>
      <c r="Z1829" s="282">
        <v>2.1354189014331046E-2</v>
      </c>
      <c r="AA1829" s="284">
        <v>2.1315021540191381E-2</v>
      </c>
    </row>
    <row r="1830" spans="23:27" x14ac:dyDescent="0.2">
      <c r="W1830" s="203" t="str">
        <f t="shared" si="38"/>
        <v>1w</v>
      </c>
      <c r="X1830" s="287">
        <f>_xll.qlCalendarAdvance(Calendar,X1829,W1830,"f",FALSE)</f>
        <v>51831</v>
      </c>
      <c r="Y1830" s="281">
        <f>_xll.qlCalendarAdvance(Calendar,X1830,NDays&amp;"D")</f>
        <v>51833</v>
      </c>
      <c r="Z1830" s="282">
        <v>2.1351422864744271E-2</v>
      </c>
      <c r="AA1830" s="284">
        <v>2.131212838855312E-2</v>
      </c>
    </row>
    <row r="1831" spans="23:27" x14ac:dyDescent="0.2">
      <c r="W1831" s="203" t="str">
        <f t="shared" si="38"/>
        <v>1w</v>
      </c>
      <c r="X1831" s="287">
        <f>_xll.qlCalendarAdvance(Calendar,X1830,W1831,"f",FALSE)</f>
        <v>51838</v>
      </c>
      <c r="Y1831" s="281">
        <f>_xll.qlCalendarAdvance(Calendar,X1831,NDays&amp;"D")</f>
        <v>51840</v>
      </c>
      <c r="Z1831" s="282">
        <v>2.134779883662663E-2</v>
      </c>
      <c r="AA1831" s="284">
        <v>2.1309257060178055E-2</v>
      </c>
    </row>
    <row r="1832" spans="23:27" x14ac:dyDescent="0.2">
      <c r="W1832" s="203" t="str">
        <f t="shared" si="38"/>
        <v>1w</v>
      </c>
      <c r="X1832" s="287">
        <f>_xll.qlCalendarAdvance(Calendar,X1831,W1832,"f",FALSE)</f>
        <v>51845</v>
      </c>
      <c r="Y1832" s="281">
        <f>_xll.qlCalendarAdvance(Calendar,X1832,NDays&amp;"D")</f>
        <v>51847</v>
      </c>
      <c r="Z1832" s="282">
        <v>2.134507376071948E-2</v>
      </c>
      <c r="AA1832" s="284">
        <v>2.1306407555226059E-2</v>
      </c>
    </row>
    <row r="1833" spans="23:27" x14ac:dyDescent="0.2">
      <c r="W1833" s="203" t="str">
        <f t="shared" si="38"/>
        <v>1w</v>
      </c>
      <c r="X1833" s="287">
        <f>_xll.qlCalendarAdvance(Calendar,X1832,W1833,"f",FALSE)</f>
        <v>51852</v>
      </c>
      <c r="Y1833" s="281">
        <f>_xll.qlCalendarAdvance(Calendar,X1833,NDays&amp;"D")</f>
        <v>51854</v>
      </c>
      <c r="Z1833" s="282">
        <v>2.1342370625143658E-2</v>
      </c>
      <c r="AA1833" s="284">
        <v>2.1303579873537259E-2</v>
      </c>
    </row>
    <row r="1834" spans="23:27" x14ac:dyDescent="0.2">
      <c r="W1834" s="203" t="str">
        <f t="shared" si="38"/>
        <v>1w</v>
      </c>
      <c r="X1834" s="287">
        <f>_xll.qlCalendarAdvance(Calendar,X1833,W1834,"f",FALSE)</f>
        <v>51859</v>
      </c>
      <c r="Y1834" s="281">
        <f>_xll.qlCalendarAdvance(Calendar,X1834,NDays&amp;"D")</f>
        <v>51865</v>
      </c>
      <c r="Z1834" s="282">
        <v>2.1338612031855234E-2</v>
      </c>
      <c r="AA1834" s="284">
        <v>2.1301771280741733E-2</v>
      </c>
    </row>
    <row r="1835" spans="23:27" x14ac:dyDescent="0.2">
      <c r="W1835" s="203" t="str">
        <f t="shared" si="38"/>
        <v>1w</v>
      </c>
      <c r="X1835" s="287">
        <f>_xll.qlCalendarAdvance(Calendar,X1834,W1835,"f",FALSE)</f>
        <v>51872</v>
      </c>
      <c r="Y1835" s="281">
        <f>_xll.qlCalendarAdvance(Calendar,X1835,NDays&amp;"D")</f>
        <v>51874</v>
      </c>
      <c r="Z1835" s="282">
        <v>2.1334768275949045E-2</v>
      </c>
      <c r="AA1835" s="284">
        <v>2.1295621034509438E-2</v>
      </c>
    </row>
    <row r="1836" spans="23:27" x14ac:dyDescent="0.2">
      <c r="W1836" s="203" t="str">
        <f t="shared" si="38"/>
        <v>1w</v>
      </c>
      <c r="X1836" s="287">
        <f>_xll.qlCalendarAdvance(Calendar,X1835,W1836,"f",FALSE)</f>
        <v>51880</v>
      </c>
      <c r="Y1836" s="281">
        <f>_xll.qlCalendarAdvance(Calendar,X1836,NDays&amp;"D")</f>
        <v>51882</v>
      </c>
      <c r="Z1836" s="282">
        <v>2.1331777485269043E-2</v>
      </c>
      <c r="AA1836" s="284">
        <v>2.129248738077294E-2</v>
      </c>
    </row>
    <row r="1837" spans="23:27" x14ac:dyDescent="0.2">
      <c r="W1837" s="203" t="str">
        <f t="shared" si="38"/>
        <v>1w</v>
      </c>
      <c r="X1837" s="287">
        <f>_xll.qlCalendarAdvance(Calendar,X1836,W1837,"f",FALSE)</f>
        <v>51887</v>
      </c>
      <c r="Y1837" s="281">
        <f>_xll.qlCalendarAdvance(Calendar,X1837,NDays&amp;"D")</f>
        <v>51889</v>
      </c>
      <c r="Z1837" s="282">
        <v>2.132918405069173E-2</v>
      </c>
      <c r="AA1837" s="284">
        <v>2.1289768815959675E-2</v>
      </c>
    </row>
    <row r="1838" spans="23:27" x14ac:dyDescent="0.2">
      <c r="W1838" s="203" t="str">
        <f t="shared" si="38"/>
        <v>1w</v>
      </c>
      <c r="X1838" s="287">
        <f>_xll.qlCalendarAdvance(Calendar,X1837,W1838,"f",FALSE)</f>
        <v>51894</v>
      </c>
      <c r="Y1838" s="281">
        <f>_xll.qlCalendarAdvance(Calendar,X1838,NDays&amp;"D")</f>
        <v>51896</v>
      </c>
      <c r="Z1838" s="282">
        <v>2.1326612556184621E-2</v>
      </c>
      <c r="AA1838" s="284">
        <v>2.128707207456948E-2</v>
      </c>
    </row>
    <row r="1839" spans="23:27" x14ac:dyDescent="0.2">
      <c r="W1839" s="203" t="str">
        <f t="shared" si="38"/>
        <v>1w</v>
      </c>
      <c r="X1839" s="287">
        <f>_xll.qlCalendarAdvance(Calendar,X1838,W1839,"f",FALSE)</f>
        <v>51901</v>
      </c>
      <c r="Y1839" s="281">
        <f>_xll.qlCalendarAdvance(Calendar,X1839,NDays&amp;"D")</f>
        <v>51903</v>
      </c>
      <c r="Z1839" s="282">
        <v>2.1324063001705973E-2</v>
      </c>
      <c r="AA1839" s="284">
        <v>2.1284397156442481E-2</v>
      </c>
    </row>
    <row r="1840" spans="23:27" x14ac:dyDescent="0.2">
      <c r="W1840" s="203" t="str">
        <f t="shared" si="38"/>
        <v>1w</v>
      </c>
      <c r="X1840" s="287">
        <f>_xll.qlCalendarAdvance(Calendar,X1839,W1840,"f",FALSE)</f>
        <v>51909</v>
      </c>
      <c r="Y1840" s="281">
        <f>_xll.qlCalendarAdvance(Calendar,X1840,NDays&amp;"D")</f>
        <v>51911</v>
      </c>
      <c r="Z1840" s="282">
        <v>2.1320722085896072E-2</v>
      </c>
      <c r="AA1840" s="284">
        <v>2.1282248217815436E-2</v>
      </c>
    </row>
    <row r="1841" spans="23:27" x14ac:dyDescent="0.2">
      <c r="W1841" s="203" t="str">
        <f t="shared" si="38"/>
        <v>1w</v>
      </c>
      <c r="X1841" s="287">
        <f>_xll.qlCalendarAdvance(Calendar,X1840,W1841,"f",FALSE)</f>
        <v>51916</v>
      </c>
      <c r="Y1841" s="281">
        <f>_xll.qlCalendarAdvance(Calendar,X1841,NDays&amp;"D")</f>
        <v>51918</v>
      </c>
      <c r="Z1841" s="282">
        <v>2.1318218126390714E-2</v>
      </c>
      <c r="AA1841" s="284">
        <v>2.1279622871341886E-2</v>
      </c>
    </row>
    <row r="1842" spans="23:27" x14ac:dyDescent="0.2">
      <c r="W1842" s="203" t="str">
        <f t="shared" si="38"/>
        <v>1w</v>
      </c>
      <c r="X1842" s="287">
        <f>_xll.qlCalendarAdvance(Calendar,X1841,W1842,"f",FALSE)</f>
        <v>51923</v>
      </c>
      <c r="Y1842" s="281">
        <f>_xll.qlCalendarAdvance(Calendar,X1842,NDays&amp;"D")</f>
        <v>51925</v>
      </c>
      <c r="Z1842" s="282">
        <v>2.1316649947753143E-2</v>
      </c>
      <c r="AA1842" s="284">
        <v>2.1277019350876003E-2</v>
      </c>
    </row>
    <row r="1843" spans="23:27" x14ac:dyDescent="0.2">
      <c r="W1843" s="203" t="str">
        <f t="shared" si="38"/>
        <v>1w</v>
      </c>
      <c r="X1843" s="287">
        <f>_xll.qlCalendarAdvance(Calendar,X1842,W1843,"f",FALSE)</f>
        <v>51930</v>
      </c>
      <c r="Y1843" s="281">
        <f>_xll.qlCalendarAdvance(Calendar,X1843,NDays&amp;"D")</f>
        <v>51932</v>
      </c>
      <c r="Z1843" s="282">
        <v>2.1315568892284392E-2</v>
      </c>
      <c r="AA1843" s="284">
        <v>2.1274437656391143E-2</v>
      </c>
    </row>
    <row r="1844" spans="23:27" x14ac:dyDescent="0.2">
      <c r="W1844" s="203" t="str">
        <f t="shared" si="38"/>
        <v>1w</v>
      </c>
      <c r="X1844" s="287">
        <f>_xll.qlCalendarAdvance(Calendar,X1843,W1844,"f",FALSE)</f>
        <v>51937</v>
      </c>
      <c r="Y1844" s="281">
        <f>_xll.qlCalendarAdvance(Calendar,X1844,NDays&amp;"D")</f>
        <v>51939</v>
      </c>
      <c r="Z1844" s="282">
        <v>2.1313137866025796E-2</v>
      </c>
      <c r="AA1844" s="284">
        <v>2.127187778786066E-2</v>
      </c>
    </row>
    <row r="1845" spans="23:27" x14ac:dyDescent="0.2">
      <c r="W1845" s="203" t="str">
        <f t="shared" si="38"/>
        <v>1w</v>
      </c>
      <c r="X1845" s="287">
        <f>_xll.qlCalendarAdvance(Calendar,X1844,W1845,"f",FALSE)</f>
        <v>51944</v>
      </c>
      <c r="Y1845" s="281">
        <f>_xll.qlCalendarAdvance(Calendar,X1845,NDays&amp;"D")</f>
        <v>51949</v>
      </c>
      <c r="Z1845" s="282">
        <v>2.1310728784778115E-2</v>
      </c>
      <c r="AA1845" s="284">
        <v>2.1267362035128912E-2</v>
      </c>
    </row>
    <row r="1846" spans="23:27" x14ac:dyDescent="0.2">
      <c r="W1846" s="203" t="str">
        <f t="shared" si="38"/>
        <v>1w</v>
      </c>
      <c r="X1846" s="287">
        <f>_xll.qlCalendarAdvance(Calendar,X1845,W1846,"f",FALSE)</f>
        <v>51951</v>
      </c>
      <c r="Y1846" s="281">
        <f>_xll.qlCalendarAdvance(Calendar,X1846,NDays&amp;"D")</f>
        <v>51953</v>
      </c>
      <c r="Z1846" s="282">
        <v>2.1308341648504783E-2</v>
      </c>
      <c r="AA1846" s="284">
        <v>2.1266823528716117E-2</v>
      </c>
    </row>
    <row r="1847" spans="23:27" x14ac:dyDescent="0.2">
      <c r="W1847" s="203" t="str">
        <f t="shared" si="38"/>
        <v>1w</v>
      </c>
      <c r="X1847" s="287">
        <f>_xll.qlCalendarAdvance(Calendar,X1846,W1847,"f",FALSE)</f>
        <v>51958</v>
      </c>
      <c r="Y1847" s="281">
        <f>_xll.qlCalendarAdvance(Calendar,X1847,NDays&amp;"D")</f>
        <v>51964</v>
      </c>
      <c r="Z1847" s="282">
        <v>2.1303239031995016E-2</v>
      </c>
      <c r="AA1847" s="284">
        <v>2.1262010863143388E-2</v>
      </c>
    </row>
    <row r="1848" spans="23:27" x14ac:dyDescent="0.2">
      <c r="W1848" s="203" t="str">
        <f t="shared" si="38"/>
        <v>1w</v>
      </c>
      <c r="X1848" s="287">
        <f>_xll.qlCalendarAdvance(Calendar,X1847,W1848,"f",FALSE)</f>
        <v>51965</v>
      </c>
      <c r="Y1848" s="281">
        <f>_xll.qlCalendarAdvance(Calendar,X1848,NDays&amp;"D")</f>
        <v>51967</v>
      </c>
      <c r="Z1848" s="282">
        <v>2.1302235632965218E-2</v>
      </c>
      <c r="AA1848" s="284">
        <v>2.1261856573469018E-2</v>
      </c>
    </row>
    <row r="1849" spans="23:27" x14ac:dyDescent="0.2">
      <c r="W1849" s="203" t="str">
        <f t="shared" si="38"/>
        <v>1w</v>
      </c>
      <c r="X1849" s="287">
        <f>_xll.qlCalendarAdvance(Calendar,X1848,W1849,"f",FALSE)</f>
        <v>51972</v>
      </c>
      <c r="Y1849" s="281">
        <f>_xll.qlCalendarAdvance(Calendar,X1849,NDays&amp;"D")</f>
        <v>51974</v>
      </c>
      <c r="Z1849" s="282">
        <v>2.1299910040648695E-2</v>
      </c>
      <c r="AA1849" s="284">
        <v>2.1259405834790357E-2</v>
      </c>
    </row>
    <row r="1850" spans="23:27" x14ac:dyDescent="0.2">
      <c r="W1850" s="203" t="str">
        <f t="shared" si="38"/>
        <v>1w</v>
      </c>
      <c r="X1850" s="287">
        <f>_xll.qlCalendarAdvance(Calendar,X1849,W1850,"f",FALSE)</f>
        <v>51979</v>
      </c>
      <c r="Y1850" s="281">
        <f>_xll.qlCalendarAdvance(Calendar,X1850,NDays&amp;"D")</f>
        <v>51981</v>
      </c>
      <c r="Z1850" s="282">
        <v>2.1297606389222595E-2</v>
      </c>
      <c r="AA1850" s="284">
        <v>2.1256976922092718E-2</v>
      </c>
    </row>
    <row r="1851" spans="23:27" x14ac:dyDescent="0.2">
      <c r="W1851" s="203" t="str">
        <f t="shared" si="38"/>
        <v>1w</v>
      </c>
      <c r="X1851" s="287">
        <f>_xll.qlCalendarAdvance(Calendar,X1850,W1851,"f",FALSE)</f>
        <v>51986</v>
      </c>
      <c r="Y1851" s="281">
        <f>_xll.qlCalendarAdvance(Calendar,X1851,NDays&amp;"D")</f>
        <v>51988</v>
      </c>
      <c r="Z1851" s="282">
        <v>2.129673514030259E-2</v>
      </c>
      <c r="AA1851" s="284">
        <v>2.1255482859261932E-2</v>
      </c>
    </row>
    <row r="1852" spans="23:27" x14ac:dyDescent="0.2">
      <c r="W1852" s="203" t="str">
        <f t="shared" si="38"/>
        <v>1w</v>
      </c>
      <c r="X1852" s="287">
        <f>_xll.qlCalendarAdvance(Calendar,X1851,W1852,"f",FALSE)</f>
        <v>51993</v>
      </c>
      <c r="Y1852" s="281">
        <f>_xll.qlCalendarAdvance(Calendar,X1852,NDays&amp;"D")</f>
        <v>51995</v>
      </c>
      <c r="Z1852" s="282">
        <v>2.129447967301731E-2</v>
      </c>
      <c r="AA1852" s="284">
        <v>2.1252184574560573E-2</v>
      </c>
    </row>
    <row r="1853" spans="23:27" x14ac:dyDescent="0.2">
      <c r="W1853" s="203" t="str">
        <f t="shared" si="38"/>
        <v>1w</v>
      </c>
      <c r="X1853" s="287">
        <f>_xll.qlCalendarAdvance(Calendar,X1852,W1853,"f",FALSE)</f>
        <v>52000</v>
      </c>
      <c r="Y1853" s="281">
        <f>_xll.qlCalendarAdvance(Calendar,X1853,NDays&amp;"D")</f>
        <v>52002</v>
      </c>
      <c r="Z1853" s="282">
        <v>2.1292246150426603E-2</v>
      </c>
      <c r="AA1853" s="284">
        <v>2.1249821139752711E-2</v>
      </c>
    </row>
    <row r="1854" spans="23:27" x14ac:dyDescent="0.2">
      <c r="W1854" s="203" t="str">
        <f t="shared" si="38"/>
        <v>1w</v>
      </c>
      <c r="X1854" s="287">
        <f>_xll.qlCalendarAdvance(Calendar,X1853,W1854,"f",FALSE)</f>
        <v>52007</v>
      </c>
      <c r="Y1854" s="281">
        <f>_xll.qlCalendarAdvance(Calendar,X1854,NDays&amp;"D")</f>
        <v>52009</v>
      </c>
      <c r="Z1854" s="282">
        <v>2.1290509344474816E-2</v>
      </c>
      <c r="AA1854" s="284">
        <v>2.1247940225088691E-2</v>
      </c>
    </row>
    <row r="1855" spans="23:27" x14ac:dyDescent="0.2">
      <c r="W1855" s="203" t="str">
        <f t="shared" si="38"/>
        <v>1w</v>
      </c>
      <c r="X1855" s="287">
        <f>_xll.qlCalendarAdvance(Calendar,X1854,W1855,"f",FALSE)</f>
        <v>52014</v>
      </c>
      <c r="Y1855" s="281">
        <f>_xll.qlCalendarAdvance(Calendar,X1855,NDays&amp;"D")</f>
        <v>52016</v>
      </c>
      <c r="Z1855" s="282">
        <v>2.1286417244132574E-2</v>
      </c>
      <c r="AA1855" s="284">
        <v>2.124515974800012E-2</v>
      </c>
    </row>
    <row r="1856" spans="23:27" x14ac:dyDescent="0.2">
      <c r="W1856" s="203" t="str">
        <f t="shared" si="38"/>
        <v>1w</v>
      </c>
      <c r="X1856" s="287">
        <f>_xll.qlCalendarAdvance(Calendar,X1855,W1856,"f",FALSE)</f>
        <v>52021</v>
      </c>
      <c r="Y1856" s="281">
        <f>_xll.qlCalendarAdvance(Calendar,X1856,NDays&amp;"D")</f>
        <v>52023</v>
      </c>
      <c r="Z1856" s="282">
        <v>2.1285677250441792E-2</v>
      </c>
      <c r="AA1856" s="284">
        <v>2.124286179105539E-2</v>
      </c>
    </row>
    <row r="1857" spans="23:27" x14ac:dyDescent="0.2">
      <c r="W1857" s="203" t="str">
        <f t="shared" si="38"/>
        <v>1w</v>
      </c>
      <c r="X1857" s="287">
        <f>_xll.qlCalendarAdvance(Calendar,X1856,W1857,"f",FALSE)</f>
        <v>52028</v>
      </c>
      <c r="Y1857" s="281">
        <f>_xll.qlCalendarAdvance(Calendar,X1857,NDays&amp;"D")</f>
        <v>52030</v>
      </c>
      <c r="Z1857" s="282">
        <v>2.1284010597440409E-2</v>
      </c>
      <c r="AA1857" s="284">
        <v>2.1240585660091682E-2</v>
      </c>
    </row>
    <row r="1858" spans="23:27" x14ac:dyDescent="0.2">
      <c r="W1858" s="203" t="str">
        <f t="shared" si="38"/>
        <v>1w</v>
      </c>
      <c r="X1858" s="287">
        <f>_xll.qlCalendarAdvance(Calendar,X1857,W1858,"f",FALSE)</f>
        <v>52035</v>
      </c>
      <c r="Y1858" s="281">
        <f>_xll.qlCalendarAdvance(Calendar,X1858,NDays&amp;"D")</f>
        <v>52037</v>
      </c>
      <c r="Z1858" s="282">
        <v>2.1281407706566748E-2</v>
      </c>
      <c r="AA1858" s="284">
        <v>2.1238331355055706E-2</v>
      </c>
    </row>
    <row r="1859" spans="23:27" x14ac:dyDescent="0.2">
      <c r="W1859" s="203" t="str">
        <f t="shared" si="38"/>
        <v>1w</v>
      </c>
      <c r="X1859" s="287">
        <f>_xll.qlCalendarAdvance(Calendar,X1858,W1859,"f",FALSE)</f>
        <v>52042</v>
      </c>
      <c r="Y1859" s="281">
        <f>_xll.qlCalendarAdvance(Calendar,X1859,NDays&amp;"D")</f>
        <v>52044</v>
      </c>
      <c r="Z1859" s="282">
        <v>2.1279305851353469E-2</v>
      </c>
      <c r="AA1859" s="284">
        <v>2.1236098876000753E-2</v>
      </c>
    </row>
    <row r="1860" spans="23:27" x14ac:dyDescent="0.2">
      <c r="W1860" s="203" t="str">
        <f t="shared" si="38"/>
        <v>1w</v>
      </c>
      <c r="X1860" s="287">
        <f>_xll.qlCalendarAdvance(Calendar,X1859,W1860,"f",FALSE)</f>
        <v>52049</v>
      </c>
      <c r="Y1860" s="281">
        <f>_xll.qlCalendarAdvance(Calendar,X1860,NDays&amp;"D")</f>
        <v>52051</v>
      </c>
      <c r="Z1860" s="282">
        <v>2.1277225940575392E-2</v>
      </c>
      <c r="AA1860" s="284">
        <v>2.1233888222873532E-2</v>
      </c>
    </row>
    <row r="1861" spans="23:27" x14ac:dyDescent="0.2">
      <c r="W1861" s="203" t="str">
        <f t="shared" si="38"/>
        <v>1w</v>
      </c>
      <c r="X1861" s="287">
        <f>_xll.qlCalendarAdvance(Calendar,X1860,W1861,"f",FALSE)</f>
        <v>52056</v>
      </c>
      <c r="Y1861" s="281">
        <f>_xll.qlCalendarAdvance(Calendar,X1861,NDays&amp;"D")</f>
        <v>52058</v>
      </c>
      <c r="Z1861" s="282">
        <v>2.1275652842581691E-2</v>
      </c>
      <c r="AA1861" s="284">
        <v>2.1231699395727333E-2</v>
      </c>
    </row>
    <row r="1862" spans="23:27" x14ac:dyDescent="0.2">
      <c r="W1862" s="203" t="str">
        <f t="shared" si="38"/>
        <v>1w</v>
      </c>
      <c r="X1862" s="287">
        <f>_xll.qlCalendarAdvance(Calendar,X1861,W1862,"f",FALSE)</f>
        <v>52063</v>
      </c>
      <c r="Y1862" s="281">
        <f>_xll.qlCalendarAdvance(Calendar,X1862,NDays&amp;"D")</f>
        <v>52065</v>
      </c>
      <c r="Z1862" s="282">
        <v>2.127313195218369E-2</v>
      </c>
      <c r="AA1862" s="284">
        <v>2.1230004502701405E-2</v>
      </c>
    </row>
    <row r="1863" spans="23:27" x14ac:dyDescent="0.2">
      <c r="W1863" s="203" t="str">
        <f t="shared" si="38"/>
        <v>1w</v>
      </c>
      <c r="X1863" s="287">
        <f>_xll.qlCalendarAdvance(Calendar,X1862,W1863,"f",FALSE)</f>
        <v>52070</v>
      </c>
      <c r="Y1863" s="281">
        <f>_xll.qlCalendarAdvance(Calendar,X1863,NDays&amp;"D")</f>
        <v>52072</v>
      </c>
      <c r="Z1863" s="282">
        <v>2.1271117874497786E-2</v>
      </c>
      <c r="AA1863" s="284">
        <v>2.1227387219244775E-2</v>
      </c>
    </row>
    <row r="1864" spans="23:27" x14ac:dyDescent="0.2">
      <c r="W1864" s="203" t="str">
        <f t="shared" si="38"/>
        <v>1w</v>
      </c>
      <c r="X1864" s="287">
        <f>_xll.qlCalendarAdvance(Calendar,X1863,W1864,"f",FALSE)</f>
        <v>52077</v>
      </c>
      <c r="Y1864" s="281">
        <f>_xll.qlCalendarAdvance(Calendar,X1864,NDays&amp;"D")</f>
        <v>52079</v>
      </c>
      <c r="Z1864" s="282">
        <v>2.1269614956065875E-2</v>
      </c>
      <c r="AA1864" s="284">
        <v>2.1225263869961708E-2</v>
      </c>
    </row>
    <row r="1865" spans="23:27" x14ac:dyDescent="0.2">
      <c r="W1865" s="203" t="str">
        <f t="shared" si="38"/>
        <v>1w</v>
      </c>
      <c r="X1865" s="287">
        <f>_xll.qlCalendarAdvance(Calendar,X1864,W1865,"f",FALSE)</f>
        <v>52084</v>
      </c>
      <c r="Y1865" s="281">
        <f>_xll.qlCalendarAdvance(Calendar,X1865,NDays&amp;"D")</f>
        <v>52086</v>
      </c>
      <c r="Z1865" s="282">
        <v>2.1267155551980034E-2</v>
      </c>
      <c r="AA1865" s="284">
        <v>2.1223162346579727E-2</v>
      </c>
    </row>
    <row r="1866" spans="23:27" x14ac:dyDescent="0.2">
      <c r="W1866" s="203" t="str">
        <f t="shared" si="38"/>
        <v>1w</v>
      </c>
      <c r="X1866" s="287">
        <f>_xll.qlCalendarAdvance(Calendar,X1865,W1866,"f",FALSE)</f>
        <v>52091</v>
      </c>
      <c r="Y1866" s="281">
        <f>_xll.qlCalendarAdvance(Calendar,X1866,NDays&amp;"D")</f>
        <v>52093</v>
      </c>
      <c r="Z1866" s="282">
        <v>2.1265207307077608E-2</v>
      </c>
      <c r="AA1866" s="284">
        <v>2.1221082649152123E-2</v>
      </c>
    </row>
    <row r="1867" spans="23:27" x14ac:dyDescent="0.2">
      <c r="W1867" s="203" t="str">
        <f t="shared" si="38"/>
        <v>1w</v>
      </c>
      <c r="X1867" s="287">
        <f>_xll.qlCalendarAdvance(Calendar,X1866,W1867,"f",FALSE)</f>
        <v>52098</v>
      </c>
      <c r="Y1867" s="281">
        <f>_xll.qlCalendarAdvance(Calendar,X1867,NDays&amp;"D")</f>
        <v>52100</v>
      </c>
      <c r="Z1867" s="282">
        <v>2.126377457961226E-2</v>
      </c>
      <c r="AA1867" s="284">
        <v>2.1219504061864569E-2</v>
      </c>
    </row>
    <row r="1868" spans="23:27" x14ac:dyDescent="0.2">
      <c r="W1868" s="203" t="str">
        <f t="shared" si="38"/>
        <v>1w</v>
      </c>
      <c r="X1868" s="287">
        <f>_xll.qlCalendarAdvance(Calendar,X1867,W1868,"f",FALSE)</f>
        <v>52105</v>
      </c>
      <c r="Y1868" s="281">
        <f>_xll.qlCalendarAdvance(Calendar,X1868,NDays&amp;"D")</f>
        <v>52107</v>
      </c>
      <c r="Z1868" s="282">
        <v>2.1259892514176381E-2</v>
      </c>
      <c r="AA1868" s="284">
        <v>2.1216988732133402E-2</v>
      </c>
    </row>
    <row r="1869" spans="23:27" x14ac:dyDescent="0.2">
      <c r="W1869" s="203" t="str">
        <f t="shared" si="38"/>
        <v>1w</v>
      </c>
      <c r="X1869" s="287">
        <f>_xll.qlCalendarAdvance(Calendar,X1868,W1869,"f",FALSE)</f>
        <v>52112</v>
      </c>
      <c r="Y1869" s="281">
        <f>_xll.qlCalendarAdvance(Calendar,X1869,NDays&amp;"D")</f>
        <v>52114</v>
      </c>
      <c r="Z1869" s="282">
        <v>2.1258005732845645E-2</v>
      </c>
      <c r="AA1869" s="284">
        <v>2.1214974512595575E-2</v>
      </c>
    </row>
    <row r="1870" spans="23:27" x14ac:dyDescent="0.2">
      <c r="W1870" s="203" t="str">
        <f t="shared" si="38"/>
        <v>1w</v>
      </c>
      <c r="X1870" s="287">
        <f>_xll.qlCalendarAdvance(Calendar,X1869,W1870,"f",FALSE)</f>
        <v>52119</v>
      </c>
      <c r="Y1870" s="281">
        <f>_xll.qlCalendarAdvance(Calendar,X1870,NDays&amp;"D")</f>
        <v>52121</v>
      </c>
      <c r="Z1870" s="282">
        <v>2.1256140891711385E-2</v>
      </c>
      <c r="AA1870" s="284">
        <v>2.1213465724274627E-2</v>
      </c>
    </row>
    <row r="1871" spans="23:27" x14ac:dyDescent="0.2">
      <c r="W1871" s="203" t="str">
        <f t="shared" si="38"/>
        <v>1w</v>
      </c>
      <c r="X1871" s="287">
        <f>_xll.qlCalendarAdvance(Calendar,X1870,W1871,"f",FALSE)</f>
        <v>52126</v>
      </c>
      <c r="Y1871" s="281">
        <f>_xll.qlCalendarAdvance(Calendar,X1871,NDays&amp;"D")</f>
        <v>52128</v>
      </c>
      <c r="Z1871" s="282">
        <v>2.125429799074461E-2</v>
      </c>
      <c r="AA1871" s="284">
        <v>2.121101155122318E-2</v>
      </c>
    </row>
    <row r="1872" spans="23:27" x14ac:dyDescent="0.2">
      <c r="W1872" s="203" t="str">
        <f t="shared" si="38"/>
        <v>1w</v>
      </c>
      <c r="X1872" s="287">
        <f>_xll.qlCalendarAdvance(Calendar,X1871,W1872,"f",FALSE)</f>
        <v>52133</v>
      </c>
      <c r="Y1872" s="281">
        <f>_xll.qlCalendarAdvance(Calendar,X1872,NDays&amp;"D")</f>
        <v>52135</v>
      </c>
      <c r="Z1872" s="282">
        <v>2.1253978664603056E-2</v>
      </c>
      <c r="AA1872" s="284">
        <v>2.1209062809441903E-2</v>
      </c>
    </row>
    <row r="1873" spans="23:27" x14ac:dyDescent="0.2">
      <c r="W1873" s="203" t="str">
        <f t="shared" si="38"/>
        <v>1w</v>
      </c>
      <c r="X1873" s="287">
        <f>_xll.qlCalendarAdvance(Calendar,X1872,W1873,"f",FALSE)</f>
        <v>52140</v>
      </c>
      <c r="Y1873" s="281">
        <f>_xll.qlCalendarAdvance(Calendar,X1873,NDays&amp;"D")</f>
        <v>52142</v>
      </c>
      <c r="Z1873" s="282">
        <v>2.1252184028381301E-2</v>
      </c>
      <c r="AA1873" s="284">
        <v>2.1207135893641649E-2</v>
      </c>
    </row>
    <row r="1874" spans="23:27" x14ac:dyDescent="0.2">
      <c r="W1874" s="203" t="str">
        <f t="shared" si="38"/>
        <v>1w</v>
      </c>
      <c r="X1874" s="287">
        <f>_xll.qlCalendarAdvance(Calendar,X1873,W1874,"f",FALSE)</f>
        <v>52147</v>
      </c>
      <c r="Y1874" s="281">
        <f>_xll.qlCalendarAdvance(Calendar,X1874,NDays&amp;"D")</f>
        <v>52149</v>
      </c>
      <c r="Z1874" s="282">
        <v>2.1250915124201006E-2</v>
      </c>
      <c r="AA1874" s="284">
        <v>2.1205720188821608E-2</v>
      </c>
    </row>
    <row r="1875" spans="23:27" x14ac:dyDescent="0.2">
      <c r="W1875" s="203" t="str">
        <f t="shared" si="38"/>
        <v>1w</v>
      </c>
      <c r="X1875" s="287">
        <f>_xll.qlCalendarAdvance(Calendar,X1874,W1875,"f",FALSE)</f>
        <v>52154</v>
      </c>
      <c r="Y1875" s="281">
        <f>_xll.qlCalendarAdvance(Calendar,X1875,NDays&amp;"D")</f>
        <v>52156</v>
      </c>
      <c r="Z1875" s="282">
        <v>2.1248660587820708E-2</v>
      </c>
      <c r="AA1875" s="284">
        <v>2.1203347539824335E-2</v>
      </c>
    </row>
    <row r="1876" spans="23:27" x14ac:dyDescent="0.2">
      <c r="W1876" s="203" t="str">
        <f t="shared" si="38"/>
        <v>1w</v>
      </c>
      <c r="X1876" s="287">
        <f>_xll.qlCalendarAdvance(Calendar,X1875,W1876,"f",FALSE)</f>
        <v>52161</v>
      </c>
      <c r="Y1876" s="281">
        <f>_xll.qlCalendarAdvance(Calendar,X1876,NDays&amp;"D")</f>
        <v>52163</v>
      </c>
      <c r="Z1876" s="282">
        <v>2.1246931783421494E-2</v>
      </c>
      <c r="AA1876" s="284">
        <v>2.1201486101780631E-2</v>
      </c>
    </row>
    <row r="1877" spans="23:27" x14ac:dyDescent="0.2">
      <c r="W1877" s="203" t="str">
        <f t="shared" ref="W1877:W1940" si="39">W1876</f>
        <v>1w</v>
      </c>
      <c r="X1877" s="287">
        <f>_xll.qlCalendarAdvance(Calendar,X1876,W1877,"f",FALSE)</f>
        <v>52168</v>
      </c>
      <c r="Y1877" s="281">
        <f>_xll.qlCalendarAdvance(Calendar,X1877,NDays&amp;"D")</f>
        <v>52170</v>
      </c>
      <c r="Z1877" s="282">
        <v>2.1243701326756129E-2</v>
      </c>
      <c r="AA1877" s="284">
        <v>2.120014022317207E-2</v>
      </c>
    </row>
    <row r="1878" spans="23:27" x14ac:dyDescent="0.2">
      <c r="W1878" s="203" t="str">
        <f t="shared" si="39"/>
        <v>1w</v>
      </c>
      <c r="X1878" s="287">
        <f>_xll.qlCalendarAdvance(Calendar,X1877,W1878,"f",FALSE)</f>
        <v>52175</v>
      </c>
      <c r="Y1878" s="281">
        <f>_xll.qlCalendarAdvance(Calendar,X1878,NDays&amp;"D")</f>
        <v>52177</v>
      </c>
      <c r="Z1878" s="282">
        <v>2.1243540006240676E-2</v>
      </c>
      <c r="AA1878" s="284">
        <v>2.1197828703582999E-2</v>
      </c>
    </row>
    <row r="1879" spans="23:27" x14ac:dyDescent="0.2">
      <c r="W1879" s="203" t="str">
        <f t="shared" si="39"/>
        <v>1w</v>
      </c>
      <c r="X1879" s="287">
        <f>_xll.qlCalendarAdvance(Calendar,X1878,W1879,"f",FALSE)</f>
        <v>52182</v>
      </c>
      <c r="Y1879" s="281">
        <f>_xll.qlCalendarAdvance(Calendar,X1879,NDays&amp;"D")</f>
        <v>52184</v>
      </c>
      <c r="Z1879" s="282">
        <v>2.1241877033399543E-2</v>
      </c>
      <c r="AA1879" s="284">
        <v>2.1196032743349136E-2</v>
      </c>
    </row>
    <row r="1880" spans="23:27" x14ac:dyDescent="0.2">
      <c r="W1880" s="203" t="str">
        <f t="shared" si="39"/>
        <v>1w</v>
      </c>
      <c r="X1880" s="287">
        <f>_xll.qlCalendarAdvance(Calendar,X1879,W1880,"f",FALSE)</f>
        <v>52189</v>
      </c>
      <c r="Y1880" s="281">
        <f>_xll.qlCalendarAdvance(Calendar,X1880,NDays&amp;"D")</f>
        <v>52191</v>
      </c>
      <c r="Z1880" s="282">
        <v>2.1240236004354124E-2</v>
      </c>
      <c r="AA1880" s="284">
        <v>2.1194756702562767E-2</v>
      </c>
    </row>
    <row r="1881" spans="23:27" x14ac:dyDescent="0.2">
      <c r="W1881" s="203" t="str">
        <f t="shared" si="39"/>
        <v>1w</v>
      </c>
      <c r="X1881" s="287">
        <f>_xll.qlCalendarAdvance(Calendar,X1880,W1881,"f",FALSE)</f>
        <v>52196</v>
      </c>
      <c r="Y1881" s="281">
        <f>_xll.qlCalendarAdvance(Calendar,X1881,NDays&amp;"D")</f>
        <v>52198</v>
      </c>
      <c r="Z1881" s="282">
        <v>2.1237075683700389E-2</v>
      </c>
      <c r="AA1881" s="284">
        <v>2.1192506300717895E-2</v>
      </c>
    </row>
    <row r="1882" spans="23:27" x14ac:dyDescent="0.2">
      <c r="W1882" s="203" t="str">
        <f t="shared" si="39"/>
        <v>1w</v>
      </c>
      <c r="X1882" s="287">
        <f>_xll.qlCalendarAdvance(Calendar,X1881,W1882,"f",FALSE)</f>
        <v>52203</v>
      </c>
      <c r="Y1882" s="281">
        <f>_xll.qlCalendarAdvance(Calendar,X1882,NDays&amp;"D")</f>
        <v>52205</v>
      </c>
      <c r="Z1882" s="282">
        <v>2.1234959225989058E-2</v>
      </c>
      <c r="AA1882" s="284">
        <v>2.1190775818293872E-2</v>
      </c>
    </row>
    <row r="1883" spans="23:27" x14ac:dyDescent="0.2">
      <c r="W1883" s="203" t="str">
        <f t="shared" si="39"/>
        <v>1w</v>
      </c>
      <c r="X1883" s="287">
        <f>_xll.qlCalendarAdvance(Calendar,X1882,W1883,"f",FALSE)</f>
        <v>52210</v>
      </c>
      <c r="Y1883" s="281">
        <f>_xll.qlCalendarAdvance(Calendar,X1883,NDays&amp;"D")</f>
        <v>52212</v>
      </c>
      <c r="Z1883" s="282">
        <v>2.1233378130632197E-2</v>
      </c>
      <c r="AA1883" s="284">
        <v>2.1189067161797581E-2</v>
      </c>
    </row>
    <row r="1884" spans="23:27" x14ac:dyDescent="0.2">
      <c r="W1884" s="203" t="str">
        <f t="shared" si="39"/>
        <v>1w</v>
      </c>
      <c r="X1884" s="287">
        <f>_xll.qlCalendarAdvance(Calendar,X1883,W1884,"f",FALSE)</f>
        <v>52217</v>
      </c>
      <c r="Y1884" s="281">
        <f>_xll.qlCalendarAdvance(Calendar,X1884,NDays&amp;"D")</f>
        <v>52219</v>
      </c>
      <c r="Z1884" s="282">
        <v>2.1231818973777017E-2</v>
      </c>
      <c r="AA1884" s="284">
        <v>2.1187380331255667E-2</v>
      </c>
    </row>
    <row r="1885" spans="23:27" x14ac:dyDescent="0.2">
      <c r="W1885" s="203" t="str">
        <f t="shared" si="39"/>
        <v>1w</v>
      </c>
      <c r="X1885" s="287">
        <f>_xll.qlCalendarAdvance(Calendar,X1884,W1885,"f",FALSE)</f>
        <v>52224</v>
      </c>
      <c r="Y1885" s="281">
        <f>_xll.qlCalendarAdvance(Calendar,X1885,NDays&amp;"D")</f>
        <v>52230</v>
      </c>
      <c r="Z1885" s="282">
        <v>2.1229933362096789E-2</v>
      </c>
      <c r="AA1885" s="284">
        <v>2.1186292837080956E-2</v>
      </c>
    </row>
    <row r="1886" spans="23:27" x14ac:dyDescent="0.2">
      <c r="W1886" s="203" t="str">
        <f t="shared" si="39"/>
        <v>1w</v>
      </c>
      <c r="X1886" s="287">
        <f>_xll.qlCalendarAdvance(Calendar,X1885,W1886,"f",FALSE)</f>
        <v>52236</v>
      </c>
      <c r="Y1886" s="281">
        <f>_xll.qlCalendarAdvance(Calendar,X1886,NDays&amp;"D")</f>
        <v>52238</v>
      </c>
      <c r="Z1886" s="282">
        <v>2.1227697564361492E-2</v>
      </c>
      <c r="AA1886" s="284">
        <v>2.1181896501918374E-2</v>
      </c>
    </row>
    <row r="1887" spans="23:27" x14ac:dyDescent="0.2">
      <c r="W1887" s="203" t="str">
        <f t="shared" si="39"/>
        <v>1w</v>
      </c>
      <c r="X1887" s="287">
        <f>_xll.qlCalendarAdvance(Calendar,X1886,W1887,"f",FALSE)</f>
        <v>52244</v>
      </c>
      <c r="Y1887" s="281">
        <f>_xll.qlCalendarAdvance(Calendar,X1887,NDays&amp;"D")</f>
        <v>52246</v>
      </c>
      <c r="Z1887" s="282">
        <v>2.1226010588155653E-2</v>
      </c>
      <c r="AA1887" s="284">
        <v>2.1180059778824756E-2</v>
      </c>
    </row>
    <row r="1888" spans="23:27" x14ac:dyDescent="0.2">
      <c r="W1888" s="203" t="str">
        <f t="shared" si="39"/>
        <v>1w</v>
      </c>
      <c r="X1888" s="287">
        <f>_xll.qlCalendarAdvance(Calendar,X1887,W1888,"f",FALSE)</f>
        <v>52251</v>
      </c>
      <c r="Y1888" s="281">
        <f>_xll.qlCalendarAdvance(Calendar,X1888,NDays&amp;"D")</f>
        <v>52253</v>
      </c>
      <c r="Z1888" s="282">
        <v>2.1224557989386383E-2</v>
      </c>
      <c r="AA1888" s="284">
        <v>2.1178476028254067E-2</v>
      </c>
    </row>
    <row r="1889" spans="23:27" x14ac:dyDescent="0.2">
      <c r="W1889" s="203" t="str">
        <f t="shared" si="39"/>
        <v>1w</v>
      </c>
      <c r="X1889" s="287">
        <f>_xll.qlCalendarAdvance(Calendar,X1888,W1889,"f",FALSE)</f>
        <v>52258</v>
      </c>
      <c r="Y1889" s="281">
        <f>_xll.qlCalendarAdvance(Calendar,X1889,NDays&amp;"D")</f>
        <v>52260</v>
      </c>
      <c r="Z1889" s="282">
        <v>2.1223653842822113E-2</v>
      </c>
      <c r="AA1889" s="284">
        <v>2.1176914101106448E-2</v>
      </c>
    </row>
    <row r="1890" spans="23:27" x14ac:dyDescent="0.2">
      <c r="W1890" s="203" t="str">
        <f t="shared" si="39"/>
        <v>1w</v>
      </c>
      <c r="X1890" s="287">
        <f>_xll.qlCalendarAdvance(Calendar,X1889,W1890,"f",FALSE)</f>
        <v>52265</v>
      </c>
      <c r="Y1890" s="281">
        <f>_xll.qlCalendarAdvance(Calendar,X1890,NDays&amp;"D")</f>
        <v>52267</v>
      </c>
      <c r="Z1890" s="282">
        <v>2.122224660503208E-2</v>
      </c>
      <c r="AA1890" s="284">
        <v>2.1175373997142088E-2</v>
      </c>
    </row>
    <row r="1891" spans="23:27" x14ac:dyDescent="0.2">
      <c r="W1891" s="203" t="str">
        <f t="shared" si="39"/>
        <v>1w</v>
      </c>
      <c r="X1891" s="287">
        <f>_xll.qlCalendarAdvance(Calendar,X1890,W1891,"f",FALSE)</f>
        <v>52272</v>
      </c>
      <c r="Y1891" s="281">
        <f>_xll.qlCalendarAdvance(Calendar,X1891,NDays&amp;"D")</f>
        <v>52275</v>
      </c>
      <c r="Z1891" s="282">
        <v>2.1219802501983926E-2</v>
      </c>
      <c r="AA1891" s="284">
        <v>2.1174671420052249E-2</v>
      </c>
    </row>
    <row r="1892" spans="23:27" x14ac:dyDescent="0.2">
      <c r="W1892" s="203" t="str">
        <f t="shared" si="39"/>
        <v>1w</v>
      </c>
      <c r="X1892" s="287">
        <f>_xll.qlCalendarAdvance(Calendar,X1891,W1892,"f",FALSE)</f>
        <v>52279</v>
      </c>
      <c r="Y1892" s="281">
        <f>_xll.qlCalendarAdvance(Calendar,X1892,NDays&amp;"D")</f>
        <v>52281</v>
      </c>
      <c r="Z1892" s="282">
        <v>2.1218436169816519E-2</v>
      </c>
      <c r="AA1892" s="284">
        <v>2.1172359259482576E-2</v>
      </c>
    </row>
    <row r="1893" spans="23:27" x14ac:dyDescent="0.2">
      <c r="W1893" s="203" t="str">
        <f t="shared" si="39"/>
        <v>1w</v>
      </c>
      <c r="X1893" s="287">
        <f>_xll.qlCalendarAdvance(Calendar,X1892,W1893,"f",FALSE)</f>
        <v>52286</v>
      </c>
      <c r="Y1893" s="281">
        <f>_xll.qlCalendarAdvance(Calendar,X1893,NDays&amp;"D")</f>
        <v>52288</v>
      </c>
      <c r="Z1893" s="282">
        <v>2.1217091774623598E-2</v>
      </c>
      <c r="AA1893" s="284">
        <v>2.1170884625627551E-2</v>
      </c>
    </row>
    <row r="1894" spans="23:27" x14ac:dyDescent="0.2">
      <c r="W1894" s="203" t="str">
        <f t="shared" si="39"/>
        <v>1w</v>
      </c>
      <c r="X1894" s="287">
        <f>_xll.qlCalendarAdvance(Calendar,X1893,W1894,"f",FALSE)</f>
        <v>52293</v>
      </c>
      <c r="Y1894" s="281">
        <f>_xll.qlCalendarAdvance(Calendar,X1894,NDays&amp;"D")</f>
        <v>52295</v>
      </c>
      <c r="Z1894" s="282">
        <v>2.1217371161032967E-2</v>
      </c>
      <c r="AA1894" s="284">
        <v>2.1169431815035722E-2</v>
      </c>
    </row>
    <row r="1895" spans="23:27" x14ac:dyDescent="0.2">
      <c r="W1895" s="203" t="str">
        <f t="shared" si="39"/>
        <v>1w</v>
      </c>
      <c r="X1895" s="287">
        <f>_xll.qlCalendarAdvance(Calendar,X1894,W1895,"f",FALSE)</f>
        <v>52300</v>
      </c>
      <c r="Y1895" s="281">
        <f>_xll.qlCalendarAdvance(Calendar,X1895,NDays&amp;"D")</f>
        <v>52302</v>
      </c>
      <c r="Z1895" s="282">
        <v>2.1216075111977064E-2</v>
      </c>
      <c r="AA1895" s="284">
        <v>2.1168000827866962E-2</v>
      </c>
    </row>
    <row r="1896" spans="23:27" x14ac:dyDescent="0.2">
      <c r="W1896" s="203" t="str">
        <f t="shared" si="39"/>
        <v>1w</v>
      </c>
      <c r="X1896" s="287">
        <f>_xll.qlCalendarAdvance(Calendar,X1895,W1896,"f",FALSE)</f>
        <v>52307</v>
      </c>
      <c r="Y1896" s="281">
        <f>_xll.qlCalendarAdvance(Calendar,X1896,NDays&amp;"D")</f>
        <v>52309</v>
      </c>
      <c r="Z1896" s="282">
        <v>2.1214801003708608E-2</v>
      </c>
      <c r="AA1896" s="284">
        <v>2.1166591664041334E-2</v>
      </c>
    </row>
    <row r="1897" spans="23:27" x14ac:dyDescent="0.2">
      <c r="W1897" s="203" t="str">
        <f t="shared" si="39"/>
        <v>1w</v>
      </c>
      <c r="X1897" s="287">
        <f>_xll.qlCalendarAdvance(Calendar,X1896,W1897,"f",FALSE)</f>
        <v>52314</v>
      </c>
      <c r="Y1897" s="281">
        <f>_xll.qlCalendarAdvance(Calendar,X1897,NDays&amp;"D")</f>
        <v>52316</v>
      </c>
      <c r="Z1897" s="282">
        <v>2.121354883620501E-2</v>
      </c>
      <c r="AA1897" s="284">
        <v>2.1167301147761108E-2</v>
      </c>
    </row>
    <row r="1898" spans="23:27" x14ac:dyDescent="0.2">
      <c r="W1898" s="203" t="str">
        <f t="shared" si="39"/>
        <v>1w</v>
      </c>
      <c r="X1898" s="287">
        <f>_xll.qlCalendarAdvance(Calendar,X1897,W1898,"f",FALSE)</f>
        <v>52321</v>
      </c>
      <c r="Y1898" s="281">
        <f>_xll.qlCalendarAdvance(Calendar,X1898,NDays&amp;"D")</f>
        <v>52323</v>
      </c>
      <c r="Z1898" s="282">
        <v>2.1211778526630615E-2</v>
      </c>
      <c r="AA1898" s="284">
        <v>2.1163838806419477E-2</v>
      </c>
    </row>
    <row r="1899" spans="23:27" x14ac:dyDescent="0.2">
      <c r="W1899" s="203" t="str">
        <f t="shared" si="39"/>
        <v>1w</v>
      </c>
      <c r="X1899" s="287">
        <f>_xll.qlCalendarAdvance(Calendar,X1898,W1899,"f",FALSE)</f>
        <v>52328</v>
      </c>
      <c r="Y1899" s="281">
        <f>_xll.qlCalendarAdvance(Calendar,X1899,NDays&amp;"D")</f>
        <v>52330</v>
      </c>
      <c r="Z1899" s="282">
        <v>2.1210568744495045E-2</v>
      </c>
      <c r="AA1899" s="284">
        <v>2.1162495112623247E-2</v>
      </c>
    </row>
    <row r="1900" spans="23:27" x14ac:dyDescent="0.2">
      <c r="W1900" s="203" t="str">
        <f t="shared" si="39"/>
        <v>1w</v>
      </c>
      <c r="X1900" s="287">
        <f>_xll.qlCalendarAdvance(Calendar,X1899,W1900,"f",FALSE)</f>
        <v>52335</v>
      </c>
      <c r="Y1900" s="281">
        <f>_xll.qlCalendarAdvance(Calendar,X1900,NDays&amp;"D")</f>
        <v>52337</v>
      </c>
      <c r="Z1900" s="282">
        <v>2.1209380901772403E-2</v>
      </c>
      <c r="AA1900" s="284">
        <v>2.1161173242090214E-2</v>
      </c>
    </row>
    <row r="1901" spans="23:27" x14ac:dyDescent="0.2">
      <c r="W1901" s="203" t="str">
        <f t="shared" si="39"/>
        <v>1w</v>
      </c>
      <c r="X1901" s="287">
        <f>_xll.qlCalendarAdvance(Calendar,X1900,W1901,"f",FALSE)</f>
        <v>52342</v>
      </c>
      <c r="Y1901" s="281">
        <f>_xll.qlCalendarAdvance(Calendar,X1901,NDays&amp;"D")</f>
        <v>52344</v>
      </c>
      <c r="Z1901" s="282">
        <v>2.1208214998442478E-2</v>
      </c>
      <c r="AA1901" s="284">
        <v>2.1159873194900314E-2</v>
      </c>
    </row>
    <row r="1902" spans="23:27" x14ac:dyDescent="0.2">
      <c r="W1902" s="203" t="str">
        <f t="shared" si="39"/>
        <v>1w</v>
      </c>
      <c r="X1902" s="287">
        <f>_xll.qlCalendarAdvance(Calendar,X1901,W1902,"f",FALSE)</f>
        <v>52349</v>
      </c>
      <c r="Y1902" s="281">
        <f>_xll.qlCalendarAdvance(Calendar,X1902,NDays&amp;"D")</f>
        <v>52352</v>
      </c>
      <c r="Z1902" s="282">
        <v>2.1207617109455224E-2</v>
      </c>
      <c r="AA1902" s="284">
        <v>2.1161073682449683E-2</v>
      </c>
    </row>
    <row r="1903" spans="23:27" x14ac:dyDescent="0.2">
      <c r="W1903" s="203" t="str">
        <f t="shared" si="39"/>
        <v>1w</v>
      </c>
      <c r="X1903" s="287">
        <f>_xll.qlCalendarAdvance(Calendar,X1902,W1903,"f",FALSE)</f>
        <v>52358</v>
      </c>
      <c r="Y1903" s="281">
        <f>_xll.qlCalendarAdvance(Calendar,X1903,NDays&amp;"D")</f>
        <v>52362</v>
      </c>
      <c r="Z1903" s="282">
        <v>2.1205866137964817E-2</v>
      </c>
      <c r="AA1903" s="284">
        <v>2.115663042572713E-2</v>
      </c>
    </row>
    <row r="1904" spans="23:27" x14ac:dyDescent="0.2">
      <c r="W1904" s="203" t="str">
        <f t="shared" si="39"/>
        <v>1w</v>
      </c>
      <c r="X1904" s="287">
        <f>_xll.qlCalendarAdvance(Calendar,X1903,W1904,"f",FALSE)</f>
        <v>52365</v>
      </c>
      <c r="Y1904" s="281">
        <f>_xll.qlCalendarAdvance(Calendar,X1904,NDays&amp;"D")</f>
        <v>52369</v>
      </c>
      <c r="Z1904" s="282">
        <v>2.1204780092750185E-2</v>
      </c>
      <c r="AA1904" s="284">
        <v>2.1155408319151192E-2</v>
      </c>
    </row>
    <row r="1905" spans="23:27" x14ac:dyDescent="0.2">
      <c r="W1905" s="203" t="str">
        <f t="shared" si="39"/>
        <v>1w</v>
      </c>
      <c r="X1905" s="287">
        <f>_xll.qlCalendarAdvance(Calendar,X1904,W1905,"f",FALSE)</f>
        <v>52372</v>
      </c>
      <c r="Y1905" s="281">
        <f>_xll.qlCalendarAdvance(Calendar,X1905,NDays&amp;"D")</f>
        <v>52377</v>
      </c>
      <c r="Z1905" s="282">
        <v>2.1203565764255906E-2</v>
      </c>
      <c r="AA1905" s="284">
        <v>2.1154038348294435E-2</v>
      </c>
    </row>
    <row r="1906" spans="23:27" x14ac:dyDescent="0.2">
      <c r="W1906" s="203" t="str">
        <f t="shared" si="39"/>
        <v>1w</v>
      </c>
      <c r="X1906" s="287">
        <f>_xll.qlCalendarAdvance(Calendar,X1905,W1906,"f",FALSE)</f>
        <v>52379</v>
      </c>
      <c r="Y1906" s="281">
        <f>_xll.qlCalendarAdvance(Calendar,X1906,NDays&amp;"D")</f>
        <v>52383</v>
      </c>
      <c r="Z1906" s="282">
        <v>2.1202673824095044E-2</v>
      </c>
      <c r="AA1906" s="284">
        <v>2.1153029575788906E-2</v>
      </c>
    </row>
    <row r="1907" spans="23:27" x14ac:dyDescent="0.2">
      <c r="W1907" s="203" t="str">
        <f t="shared" si="39"/>
        <v>1w</v>
      </c>
      <c r="X1907" s="287">
        <f>_xll.qlCalendarAdvance(Calendar,X1906,W1907,"f",FALSE)</f>
        <v>52386</v>
      </c>
      <c r="Y1907" s="281">
        <f>_xll.qlCalendarAdvance(Calendar,X1907,NDays&amp;"D")</f>
        <v>52390</v>
      </c>
      <c r="Z1907" s="282">
        <v>2.1201653600621519E-2</v>
      </c>
      <c r="AA1907" s="284">
        <v>2.115187293916243E-2</v>
      </c>
    </row>
    <row r="1908" spans="23:27" x14ac:dyDescent="0.2">
      <c r="W1908" s="203" t="str">
        <f t="shared" si="39"/>
        <v>1w</v>
      </c>
      <c r="X1908" s="287">
        <f>_xll.qlCalendarAdvance(Calendar,X1907,W1908,"f",FALSE)</f>
        <v>52393</v>
      </c>
      <c r="Y1908" s="281">
        <f>_xll.qlCalendarAdvance(Calendar,X1908,NDays&amp;"D")</f>
        <v>52397</v>
      </c>
      <c r="Z1908" s="282">
        <v>2.1200655317692153E-2</v>
      </c>
      <c r="AA1908" s="284">
        <v>2.1150738125879087E-2</v>
      </c>
    </row>
    <row r="1909" spans="23:27" x14ac:dyDescent="0.2">
      <c r="W1909" s="203" t="str">
        <f t="shared" si="39"/>
        <v>1w</v>
      </c>
      <c r="X1909" s="287">
        <f>_xll.qlCalendarAdvance(Calendar,X1908,W1909,"f",FALSE)</f>
        <v>52400</v>
      </c>
      <c r="Y1909" s="281">
        <f>_xll.qlCalendarAdvance(Calendar,X1909,NDays&amp;"D")</f>
        <v>52404</v>
      </c>
      <c r="Z1909" s="282">
        <v>2.1200794420844275E-2</v>
      </c>
      <c r="AA1909" s="284">
        <v>2.1149625135938876E-2</v>
      </c>
    </row>
    <row r="1910" spans="23:27" x14ac:dyDescent="0.2">
      <c r="W1910" s="203" t="str">
        <f t="shared" si="39"/>
        <v>1w</v>
      </c>
      <c r="X1910" s="287">
        <f>_xll.qlCalendarAdvance(Calendar,X1909,W1910,"f",FALSE)</f>
        <v>52407</v>
      </c>
      <c r="Y1910" s="281">
        <f>_xll.qlCalendarAdvance(Calendar,X1910,NDays&amp;"D")</f>
        <v>52411</v>
      </c>
      <c r="Z1910" s="282">
        <v>2.1198724573406835E-2</v>
      </c>
      <c r="AA1910" s="284">
        <v>2.1148533969261862E-2</v>
      </c>
    </row>
    <row r="1911" spans="23:27" x14ac:dyDescent="0.2">
      <c r="W1911" s="203" t="str">
        <f t="shared" si="39"/>
        <v>1w</v>
      </c>
      <c r="X1911" s="287">
        <f>_xll.qlCalendarAdvance(Calendar,X1910,W1911,"f",FALSE)</f>
        <v>52414</v>
      </c>
      <c r="Y1911" s="281">
        <f>_xll.qlCalendarAdvance(Calendar,X1911,NDays&amp;"D")</f>
        <v>52418</v>
      </c>
      <c r="Z1911" s="282">
        <v>2.1197792112016993E-2</v>
      </c>
      <c r="AA1911" s="284">
        <v>2.1147464626007917E-2</v>
      </c>
    </row>
    <row r="1912" spans="23:27" x14ac:dyDescent="0.2">
      <c r="W1912" s="203" t="str">
        <f t="shared" si="39"/>
        <v>1w</v>
      </c>
      <c r="X1912" s="287">
        <f>_xll.qlCalendarAdvance(Calendar,X1911,W1912,"f",FALSE)</f>
        <v>52421</v>
      </c>
      <c r="Y1912" s="281">
        <f>_xll.qlCalendarAdvance(Calendar,X1912,NDays&amp;"D")</f>
        <v>52425</v>
      </c>
      <c r="Z1912" s="282">
        <v>2.1196881591108756E-2</v>
      </c>
      <c r="AA1912" s="284">
        <v>2.1146417106017168E-2</v>
      </c>
    </row>
    <row r="1913" spans="23:27" x14ac:dyDescent="0.2">
      <c r="W1913" s="203" t="str">
        <f t="shared" si="39"/>
        <v>1w</v>
      </c>
      <c r="X1913" s="287">
        <f>_xll.qlCalendarAdvance(Calendar,X1912,W1913,"f",FALSE)</f>
        <v>52428</v>
      </c>
      <c r="Y1913" s="281">
        <f>_xll.qlCalendarAdvance(Calendar,X1913,NDays&amp;"D")</f>
        <v>52433</v>
      </c>
      <c r="Z1913" s="282">
        <v>2.1195867861660545E-2</v>
      </c>
      <c r="AA1913" s="284">
        <v>2.1145246662834793E-2</v>
      </c>
    </row>
    <row r="1914" spans="23:27" x14ac:dyDescent="0.2">
      <c r="W1914" s="203" t="str">
        <f t="shared" si="39"/>
        <v>1w</v>
      </c>
      <c r="X1914" s="287">
        <f>_xll.qlCalendarAdvance(Calendar,X1913,W1914,"f",FALSE)</f>
        <v>52435</v>
      </c>
      <c r="Y1914" s="281">
        <f>_xll.qlCalendarAdvance(Calendar,X1914,NDays&amp;"D")</f>
        <v>52439</v>
      </c>
      <c r="Z1914" s="282">
        <v>2.1195126370674541E-2</v>
      </c>
      <c r="AA1914" s="284">
        <v>2.1144387536145004E-2</v>
      </c>
    </row>
    <row r="1915" spans="23:27" x14ac:dyDescent="0.2">
      <c r="W1915" s="203" t="str">
        <f t="shared" si="39"/>
        <v>1w</v>
      </c>
      <c r="X1915" s="287">
        <f>_xll.qlCalendarAdvance(Calendar,X1914,W1915,"f",FALSE)</f>
        <v>52442</v>
      </c>
      <c r="Y1915" s="281">
        <f>_xll.qlCalendarAdvance(Calendar,X1915,NDays&amp;"D")</f>
        <v>52446</v>
      </c>
      <c r="Z1915" s="282">
        <v>2.1194848397556944E-2</v>
      </c>
      <c r="AA1915" s="284">
        <v>2.1143405486103717E-2</v>
      </c>
    </row>
    <row r="1916" spans="23:27" x14ac:dyDescent="0.2">
      <c r="W1916" s="203" t="str">
        <f t="shared" si="39"/>
        <v>1w</v>
      </c>
      <c r="X1916" s="287">
        <f>_xll.qlCalendarAdvance(Calendar,X1915,W1916,"f",FALSE)</f>
        <v>52449</v>
      </c>
      <c r="Y1916" s="281">
        <f>_xll.qlCalendarAdvance(Calendar,X1916,NDays&amp;"D")</f>
        <v>52453</v>
      </c>
      <c r="Z1916" s="282">
        <v>2.1193458911988632E-2</v>
      </c>
      <c r="AA1916" s="284">
        <v>2.1142445259485498E-2</v>
      </c>
    </row>
    <row r="1917" spans="23:27" x14ac:dyDescent="0.2">
      <c r="W1917" s="203" t="str">
        <f t="shared" si="39"/>
        <v>1w</v>
      </c>
      <c r="X1917" s="287">
        <f>_xll.qlCalendarAdvance(Calendar,X1916,W1917,"f",FALSE)</f>
        <v>52456</v>
      </c>
      <c r="Y1917" s="281">
        <f>_xll.qlCalendarAdvance(Calendar,X1917,NDays&amp;"D")</f>
        <v>52460</v>
      </c>
      <c r="Z1917" s="282">
        <v>2.1192658093265124E-2</v>
      </c>
      <c r="AA1917" s="284">
        <v>2.1141506856290349E-2</v>
      </c>
    </row>
    <row r="1918" spans="23:27" x14ac:dyDescent="0.2">
      <c r="W1918" s="203" t="str">
        <f t="shared" si="39"/>
        <v>1w</v>
      </c>
      <c r="X1918" s="287">
        <f>_xll.qlCalendarAdvance(Calendar,X1917,W1918,"f",FALSE)</f>
        <v>52463</v>
      </c>
      <c r="Y1918" s="281">
        <f>_xll.qlCalendarAdvance(Calendar,X1918,NDays&amp;"D")</f>
        <v>52467</v>
      </c>
      <c r="Z1918" s="282">
        <v>2.1191879214938071E-2</v>
      </c>
      <c r="AA1918" s="284">
        <v>2.1140590276358395E-2</v>
      </c>
    </row>
    <row r="1919" spans="23:27" x14ac:dyDescent="0.2">
      <c r="W1919" s="203" t="str">
        <f t="shared" si="39"/>
        <v>1w</v>
      </c>
      <c r="X1919" s="287">
        <f>_xll.qlCalendarAdvance(Calendar,X1918,W1919,"f",FALSE)</f>
        <v>52470</v>
      </c>
      <c r="Y1919" s="281">
        <f>_xll.qlCalendarAdvance(Calendar,X1919,NDays&amp;"D")</f>
        <v>52475</v>
      </c>
      <c r="Z1919" s="282">
        <v>2.1190443074208695E-2</v>
      </c>
      <c r="AA1919" s="284">
        <v>2.1139569478831888E-2</v>
      </c>
    </row>
    <row r="1920" spans="23:27" x14ac:dyDescent="0.2">
      <c r="W1920" s="203" t="str">
        <f t="shared" si="39"/>
        <v>1w</v>
      </c>
      <c r="X1920" s="287">
        <f>_xll.qlCalendarAdvance(Calendar,X1919,W1920,"f",FALSE)</f>
        <v>52477</v>
      </c>
      <c r="Y1920" s="281">
        <f>_xll.qlCalendarAdvance(Calendar,X1920,NDays&amp;"D")</f>
        <v>52481</v>
      </c>
      <c r="Z1920" s="282">
        <v>2.1189813113269895E-2</v>
      </c>
      <c r="AA1920" s="284">
        <v>2.1138822586443951E-2</v>
      </c>
    </row>
    <row r="1921" spans="23:27" x14ac:dyDescent="0.2">
      <c r="W1921" s="203" t="str">
        <f t="shared" si="39"/>
        <v>1w</v>
      </c>
      <c r="X1921" s="287">
        <f>_xll.qlCalendarAdvance(Calendar,X1920,W1921,"f",FALSE)</f>
        <v>52484</v>
      </c>
      <c r="Y1921" s="281">
        <f>_xll.qlCalendarAdvance(Calendar,X1921,NDays&amp;"D")</f>
        <v>52488</v>
      </c>
      <c r="Z1921" s="282">
        <v>2.1189098530832718E-2</v>
      </c>
      <c r="AA1921" s="284">
        <v>2.1137971476461459E-2</v>
      </c>
    </row>
    <row r="1922" spans="23:27" x14ac:dyDescent="0.2">
      <c r="W1922" s="203" t="str">
        <f t="shared" si="39"/>
        <v>1w</v>
      </c>
      <c r="X1922" s="287">
        <f>_xll.qlCalendarAdvance(Calendar,X1921,W1922,"f",FALSE)</f>
        <v>52491</v>
      </c>
      <c r="Y1922" s="281">
        <f>_xll.qlCalendarAdvance(Calendar,X1922,NDays&amp;"D")</f>
        <v>52498</v>
      </c>
      <c r="Z1922" s="282">
        <v>2.1188115756324788E-2</v>
      </c>
      <c r="AA1922" s="284">
        <v>2.1136793461895564E-2</v>
      </c>
    </row>
    <row r="1923" spans="23:27" x14ac:dyDescent="0.2">
      <c r="W1923" s="203" t="str">
        <f t="shared" si="39"/>
        <v>1w</v>
      </c>
      <c r="X1923" s="287">
        <f>_xll.qlCalendarAdvance(Calendar,X1922,W1923,"f",FALSE)</f>
        <v>52498</v>
      </c>
      <c r="Y1923" s="281">
        <f>_xll.qlCalendarAdvance(Calendar,X1923,NDays&amp;"D")</f>
        <v>52502</v>
      </c>
      <c r="Z1923" s="282">
        <v>2.118831392878481E-2</v>
      </c>
      <c r="AA1923" s="284">
        <v>2.1136334726525874E-2</v>
      </c>
    </row>
    <row r="1924" spans="23:27" x14ac:dyDescent="0.2">
      <c r="W1924" s="203" t="str">
        <f t="shared" si="39"/>
        <v>1w</v>
      </c>
      <c r="X1924" s="287">
        <f>_xll.qlCalendarAdvance(Calendar,X1923,W1924,"f",FALSE)</f>
        <v>52505</v>
      </c>
      <c r="Y1924" s="281">
        <f>_xll.qlCalendarAdvance(Calendar,X1924,NDays&amp;"D")</f>
        <v>52509</v>
      </c>
      <c r="Z1924" s="282">
        <v>2.1187666692568882E-2</v>
      </c>
      <c r="AA1924" s="284">
        <v>2.1135549086652716E-2</v>
      </c>
    </row>
    <row r="1925" spans="23:27" x14ac:dyDescent="0.2">
      <c r="W1925" s="203" t="str">
        <f t="shared" si="39"/>
        <v>1w</v>
      </c>
      <c r="X1925" s="287">
        <f>_xll.qlCalendarAdvance(Calendar,X1924,W1925,"f",FALSE)</f>
        <v>52512</v>
      </c>
      <c r="Y1925" s="281">
        <f>_xll.qlCalendarAdvance(Calendar,X1925,NDays&amp;"D")</f>
        <v>52517</v>
      </c>
      <c r="Z1925" s="282">
        <v>2.1186953859723089E-2</v>
      </c>
      <c r="AA1925" s="284">
        <v>2.1134677934862012E-2</v>
      </c>
    </row>
    <row r="1926" spans="23:27" x14ac:dyDescent="0.2">
      <c r="W1926" s="203" t="str">
        <f t="shared" si="39"/>
        <v>1w</v>
      </c>
      <c r="X1926" s="287">
        <f>_xll.qlCalendarAdvance(Calendar,X1925,W1926,"f",FALSE)</f>
        <v>52519</v>
      </c>
      <c r="Y1926" s="281">
        <f>_xll.qlCalendarAdvance(Calendar,X1926,NDays&amp;"D")</f>
        <v>52523</v>
      </c>
      <c r="Z1926" s="282">
        <v>2.1186438041060521E-2</v>
      </c>
      <c r="AA1926" s="284">
        <v>2.1134043276695991E-2</v>
      </c>
    </row>
    <row r="1927" spans="23:27" x14ac:dyDescent="0.2">
      <c r="W1927" s="203" t="str">
        <f t="shared" si="39"/>
        <v>1w</v>
      </c>
      <c r="X1927" s="287">
        <f>_xll.qlCalendarAdvance(Calendar,X1926,W1927,"f",FALSE)</f>
        <v>52526</v>
      </c>
      <c r="Y1927" s="281">
        <f>_xll.qlCalendarAdvance(Calendar,X1927,NDays&amp;"D")</f>
        <v>52530</v>
      </c>
      <c r="Z1927" s="282">
        <v>2.1185856625748973E-2</v>
      </c>
      <c r="AA1927" s="284">
        <v>2.1133323106692359E-2</v>
      </c>
    </row>
    <row r="1928" spans="23:27" x14ac:dyDescent="0.2">
      <c r="W1928" s="203" t="str">
        <f t="shared" si="39"/>
        <v>1w</v>
      </c>
      <c r="X1928" s="287">
        <f>_xll.qlCalendarAdvance(Calendar,X1927,W1928,"f",FALSE)</f>
        <v>52533</v>
      </c>
      <c r="Y1928" s="281">
        <f>_xll.qlCalendarAdvance(Calendar,X1928,NDays&amp;"D")</f>
        <v>52537</v>
      </c>
      <c r="Z1928" s="282">
        <v>2.1185297150718322E-2</v>
      </c>
      <c r="AA1928" s="284">
        <v>2.1133196026985601E-2</v>
      </c>
    </row>
    <row r="1929" spans="23:27" x14ac:dyDescent="0.2">
      <c r="W1929" s="203" t="str">
        <f t="shared" si="39"/>
        <v>1w</v>
      </c>
      <c r="X1929" s="287">
        <f>_xll.qlCalendarAdvance(Calendar,X1928,W1929,"f",FALSE)</f>
        <v>52540</v>
      </c>
      <c r="Y1929" s="281">
        <f>_xll.qlCalendarAdvance(Calendar,X1929,NDays&amp;"D")</f>
        <v>52544</v>
      </c>
      <c r="Z1929" s="282">
        <v>2.1184759615960749E-2</v>
      </c>
      <c r="AA1929" s="284">
        <v>2.1131948236874365E-2</v>
      </c>
    </row>
    <row r="1930" spans="23:27" x14ac:dyDescent="0.2">
      <c r="W1930" s="203" t="str">
        <f t="shared" si="39"/>
        <v>1w</v>
      </c>
      <c r="X1930" s="287">
        <f>_xll.qlCalendarAdvance(Calendar,X1929,W1930,"f",FALSE)</f>
        <v>52547</v>
      </c>
      <c r="Y1930" s="281">
        <f>_xll.qlCalendarAdvance(Calendar,X1930,NDays&amp;"D")</f>
        <v>52551</v>
      </c>
      <c r="Z1930" s="282">
        <v>2.1184244021465824E-2</v>
      </c>
      <c r="AA1930" s="284">
        <v>2.1131293536980067E-2</v>
      </c>
    </row>
    <row r="1931" spans="23:27" x14ac:dyDescent="0.2">
      <c r="W1931" s="203" t="str">
        <f t="shared" si="39"/>
        <v>1w</v>
      </c>
      <c r="X1931" s="287">
        <f>_xll.qlCalendarAdvance(Calendar,X1930,W1931,"f",FALSE)</f>
        <v>52554</v>
      </c>
      <c r="Y1931" s="281">
        <f>_xll.qlCalendarAdvance(Calendar,X1931,NDays&amp;"D")</f>
        <v>52559</v>
      </c>
      <c r="Z1931" s="282">
        <v>2.1183681636231789E-2</v>
      </c>
      <c r="AA1931" s="284">
        <v>2.1130572030845229E-2</v>
      </c>
    </row>
    <row r="1932" spans="23:27" x14ac:dyDescent="0.2">
      <c r="W1932" s="203" t="str">
        <f t="shared" si="39"/>
        <v>1w</v>
      </c>
      <c r="X1932" s="287">
        <f>_xll.qlCalendarAdvance(Calendar,X1931,W1932,"f",FALSE)</f>
        <v>52561</v>
      </c>
      <c r="Y1932" s="281">
        <f>_xll.qlCalendarAdvance(Calendar,X1932,NDays&amp;"D")</f>
        <v>52565</v>
      </c>
      <c r="Z1932" s="282">
        <v>2.1182686099447713E-2</v>
      </c>
      <c r="AA1932" s="284">
        <v>2.1130049607060997E-2</v>
      </c>
    </row>
    <row r="1933" spans="23:27" x14ac:dyDescent="0.2">
      <c r="W1933" s="203" t="str">
        <f t="shared" si="39"/>
        <v>1w</v>
      </c>
      <c r="X1933" s="287">
        <f>_xll.qlCalendarAdvance(Calendar,X1932,W1933,"f",FALSE)</f>
        <v>52568</v>
      </c>
      <c r="Y1933" s="281">
        <f>_xll.qlCalendarAdvance(Calendar,X1933,NDays&amp;"D")</f>
        <v>52572</v>
      </c>
      <c r="Z1933" s="282">
        <v>2.1182234785018367E-2</v>
      </c>
      <c r="AA1933" s="284">
        <v>2.112946037711616E-2</v>
      </c>
    </row>
    <row r="1934" spans="23:27" x14ac:dyDescent="0.2">
      <c r="W1934" s="203" t="str">
        <f t="shared" si="39"/>
        <v>1w</v>
      </c>
      <c r="X1934" s="287">
        <f>_xll.qlCalendarAdvance(Calendar,X1933,W1934,"f",FALSE)</f>
        <v>52575</v>
      </c>
      <c r="Y1934" s="281">
        <f>_xll.qlCalendarAdvance(Calendar,X1934,NDays&amp;"D")</f>
        <v>52579</v>
      </c>
      <c r="Z1934" s="282">
        <v>2.1181805409531993E-2</v>
      </c>
      <c r="AA1934" s="284">
        <v>2.1128892970434521E-2</v>
      </c>
    </row>
    <row r="1935" spans="23:27" x14ac:dyDescent="0.2">
      <c r="W1935" s="203" t="str">
        <f t="shared" si="39"/>
        <v>1w</v>
      </c>
      <c r="X1935" s="287">
        <f>_xll.qlCalendarAdvance(Calendar,X1934,W1935,"f",FALSE)</f>
        <v>52582</v>
      </c>
      <c r="Y1935" s="281">
        <f>_xll.qlCalendarAdvance(Calendar,X1935,NDays&amp;"D")</f>
        <v>52586</v>
      </c>
      <c r="Z1935" s="282">
        <v>2.1181995152649437E-2</v>
      </c>
      <c r="AA1935" s="284">
        <v>2.112834738717595E-2</v>
      </c>
    </row>
    <row r="1936" spans="23:27" x14ac:dyDescent="0.2">
      <c r="W1936" s="203" t="str">
        <f t="shared" si="39"/>
        <v>1w</v>
      </c>
      <c r="X1936" s="287">
        <f>_xll.qlCalendarAdvance(Calendar,X1935,W1936,"f",FALSE)</f>
        <v>52589</v>
      </c>
      <c r="Y1936" s="281">
        <f>_xll.qlCalendarAdvance(Calendar,X1936,NDays&amp;"D")</f>
        <v>52595</v>
      </c>
      <c r="Z1936" s="282">
        <v>2.1181505528519502E-2</v>
      </c>
      <c r="AA1936" s="284">
        <v>2.1130014573389033E-2</v>
      </c>
    </row>
    <row r="1937" spans="23:27" x14ac:dyDescent="0.2">
      <c r="W1937" s="203" t="str">
        <f t="shared" si="39"/>
        <v>1w</v>
      </c>
      <c r="X1937" s="287">
        <f>_xll.qlCalendarAdvance(Calendar,X1936,W1937,"f",FALSE)</f>
        <v>52600</v>
      </c>
      <c r="Y1937" s="281">
        <f>_xll.qlCalendarAdvance(Calendar,X1937,NDays&amp;"D")</f>
        <v>52602</v>
      </c>
      <c r="Z1937" s="282">
        <v>2.1180549072348256E-2</v>
      </c>
      <c r="AA1937" s="284">
        <v>2.1127182288518398E-2</v>
      </c>
    </row>
    <row r="1938" spans="23:27" x14ac:dyDescent="0.2">
      <c r="W1938" s="203" t="str">
        <f t="shared" si="39"/>
        <v>1w</v>
      </c>
      <c r="X1938" s="287">
        <f>_xll.qlCalendarAdvance(Calendar,X1937,W1938,"f",FALSE)</f>
        <v>52608</v>
      </c>
      <c r="Y1938" s="281">
        <f>_xll.qlCalendarAdvance(Calendar,X1938,NDays&amp;"D")</f>
        <v>52610</v>
      </c>
      <c r="Z1938" s="282">
        <v>2.1180167604401796E-2</v>
      </c>
      <c r="AA1938" s="284">
        <v>2.1126642495108428E-2</v>
      </c>
    </row>
    <row r="1939" spans="23:27" x14ac:dyDescent="0.2">
      <c r="W1939" s="203" t="str">
        <f t="shared" si="39"/>
        <v>1w</v>
      </c>
      <c r="X1939" s="287">
        <f>_xll.qlCalendarAdvance(Calendar,X1938,W1939,"f",FALSE)</f>
        <v>52615</v>
      </c>
      <c r="Y1939" s="281">
        <f>_xll.qlCalendarAdvance(Calendar,X1939,NDays&amp;"D")</f>
        <v>52617</v>
      </c>
      <c r="Z1939" s="282">
        <v>2.1179857325921963E-2</v>
      </c>
      <c r="AA1939" s="284">
        <v>2.1126193557980955E-2</v>
      </c>
    </row>
    <row r="1940" spans="23:27" x14ac:dyDescent="0.2">
      <c r="W1940" s="203" t="str">
        <f t="shared" si="39"/>
        <v>1w</v>
      </c>
      <c r="X1940" s="287">
        <f>_xll.qlCalendarAdvance(Calendar,X1939,W1940,"f",FALSE)</f>
        <v>52622</v>
      </c>
      <c r="Y1940" s="281">
        <f>_xll.qlCalendarAdvance(Calendar,X1940,NDays&amp;"D")</f>
        <v>52624</v>
      </c>
      <c r="Z1940" s="282">
        <v>2.1179568986346452E-2</v>
      </c>
      <c r="AA1940" s="284">
        <v>2.1125766444196614E-2</v>
      </c>
    </row>
    <row r="1941" spans="23:27" x14ac:dyDescent="0.2">
      <c r="W1941" s="203" t="str">
        <f t="shared" ref="W1941:W2004" si="40">W1940</f>
        <v>1w</v>
      </c>
      <c r="X1941" s="287">
        <f>_xll.qlCalendarAdvance(Calendar,X1940,W1941,"f",FALSE)</f>
        <v>52629</v>
      </c>
      <c r="Y1941" s="281">
        <f>_xll.qlCalendarAdvance(Calendar,X1941,NDays&amp;"D")</f>
        <v>52631</v>
      </c>
      <c r="Z1941" s="282">
        <v>2.1179909716962691E-2</v>
      </c>
      <c r="AA1941" s="284">
        <v>2.1125361153755406E-2</v>
      </c>
    </row>
    <row r="1942" spans="23:27" x14ac:dyDescent="0.2">
      <c r="W1942" s="203" t="str">
        <f t="shared" si="40"/>
        <v>1w</v>
      </c>
      <c r="X1942" s="287">
        <f>_xll.qlCalendarAdvance(Calendar,X1941,W1942,"f",FALSE)</f>
        <v>52636</v>
      </c>
      <c r="Y1942" s="281">
        <f>_xll.qlCalendarAdvance(Calendar,X1942,NDays&amp;"D")</f>
        <v>52639</v>
      </c>
      <c r="Z1942" s="282">
        <v>2.1178416257717103E-2</v>
      </c>
      <c r="AA1942" s="284">
        <v>2.1126111917446622E-2</v>
      </c>
    </row>
    <row r="1943" spans="23:27" x14ac:dyDescent="0.2">
      <c r="W1943" s="203" t="str">
        <f t="shared" si="40"/>
        <v>1w</v>
      </c>
      <c r="X1943" s="287">
        <f>_xll.qlCalendarAdvance(Calendar,X1942,W1943,"f",FALSE)</f>
        <v>52643</v>
      </c>
      <c r="Y1943" s="281">
        <f>_xll.qlCalendarAdvance(Calendar,X1943,NDays&amp;"D")</f>
        <v>52645</v>
      </c>
      <c r="Z1943" s="282">
        <v>2.1178225535003037E-2</v>
      </c>
      <c r="AA1943" s="284">
        <v>2.1124616042902389E-2</v>
      </c>
    </row>
    <row r="1944" spans="23:27" x14ac:dyDescent="0.2">
      <c r="W1944" s="203" t="str">
        <f t="shared" si="40"/>
        <v>1w</v>
      </c>
      <c r="X1944" s="287">
        <f>_xll.qlCalendarAdvance(Calendar,X1943,W1944,"f",FALSE)</f>
        <v>52650</v>
      </c>
      <c r="Y1944" s="281">
        <f>_xll.qlCalendarAdvance(Calendar,X1944,NDays&amp;"D")</f>
        <v>52652</v>
      </c>
      <c r="Z1944" s="282">
        <v>2.1178023395797219E-2</v>
      </c>
      <c r="AA1944" s="284">
        <v>2.1124276222490579E-2</v>
      </c>
    </row>
    <row r="1945" spans="23:27" x14ac:dyDescent="0.2">
      <c r="W1945" s="203" t="str">
        <f t="shared" si="40"/>
        <v>1w</v>
      </c>
      <c r="X1945" s="287">
        <f>_xll.qlCalendarAdvance(Calendar,X1944,W1945,"f",FALSE)</f>
        <v>52657</v>
      </c>
      <c r="Y1945" s="281">
        <f>_xll.qlCalendarAdvance(Calendar,X1945,NDays&amp;"D")</f>
        <v>52659</v>
      </c>
      <c r="Z1945" s="282">
        <v>2.1179069722137688E-2</v>
      </c>
      <c r="AA1945" s="284">
        <v>2.1123958225341966E-2</v>
      </c>
    </row>
    <row r="1946" spans="23:27" x14ac:dyDescent="0.2">
      <c r="W1946" s="203" t="str">
        <f t="shared" si="40"/>
        <v>1w</v>
      </c>
      <c r="X1946" s="287">
        <f>_xll.qlCalendarAdvance(Calendar,X1945,W1946,"f",FALSE)</f>
        <v>52664</v>
      </c>
      <c r="Y1946" s="281">
        <f>_xll.qlCalendarAdvance(Calendar,X1946,NDays&amp;"D")</f>
        <v>52666</v>
      </c>
      <c r="Z1946" s="282">
        <v>2.1178914573859987E-2</v>
      </c>
      <c r="AA1946" s="284">
        <v>2.1123662051616421E-2</v>
      </c>
    </row>
    <row r="1947" spans="23:27" x14ac:dyDescent="0.2">
      <c r="W1947" s="203" t="str">
        <f t="shared" si="40"/>
        <v>1w</v>
      </c>
      <c r="X1947" s="287">
        <f>_xll.qlCalendarAdvance(Calendar,X1946,W1947,"f",FALSE)</f>
        <v>52671</v>
      </c>
      <c r="Y1947" s="281">
        <f>_xll.qlCalendarAdvance(Calendar,X1947,NDays&amp;"D")</f>
        <v>52673</v>
      </c>
      <c r="Z1947" s="282" t="e">
        <v>#N/A</v>
      </c>
      <c r="AA1947" s="284">
        <v>2.1123387701154073E-2</v>
      </c>
    </row>
    <row r="1948" spans="23:27" x14ac:dyDescent="0.2">
      <c r="W1948" s="203" t="str">
        <f t="shared" si="40"/>
        <v>1w</v>
      </c>
      <c r="X1948" s="287">
        <f>_xll.qlCalendarAdvance(Calendar,X1947,W1948,"f",FALSE)</f>
        <v>52678</v>
      </c>
      <c r="Y1948" s="281">
        <f>_xll.qlCalendarAdvance(Calendar,X1948,NDays&amp;"D")</f>
        <v>52680</v>
      </c>
      <c r="Z1948" s="282" t="e">
        <v>#N/A</v>
      </c>
      <c r="AA1948" s="284">
        <v>2.1123135174034857E-2</v>
      </c>
    </row>
    <row r="1949" spans="23:27" x14ac:dyDescent="0.2">
      <c r="W1949" s="203" t="str">
        <f t="shared" si="40"/>
        <v>1w</v>
      </c>
      <c r="X1949" s="287">
        <f>_xll.qlCalendarAdvance(Calendar,X1948,W1949,"f",FALSE)</f>
        <v>52685</v>
      </c>
      <c r="Y1949" s="281">
        <f>_xll.qlCalendarAdvance(Calendar,X1949,NDays&amp;"D")</f>
        <v>52687</v>
      </c>
      <c r="Z1949" s="282" t="e">
        <v>#N/A</v>
      </c>
      <c r="AA1949" s="284">
        <v>2.1122904470178838E-2</v>
      </c>
    </row>
    <row r="1950" spans="23:27" x14ac:dyDescent="0.2">
      <c r="W1950" s="203" t="str">
        <f t="shared" si="40"/>
        <v>1w</v>
      </c>
      <c r="X1950" s="287">
        <f>_xll.qlCalendarAdvance(Calendar,X1949,W1950,"f",FALSE)</f>
        <v>52692</v>
      </c>
      <c r="Y1950" s="281">
        <f>_xll.qlCalendarAdvance(Calendar,X1950,NDays&amp;"D")</f>
        <v>52694</v>
      </c>
      <c r="Z1950" s="282" t="e">
        <v>#N/A</v>
      </c>
      <c r="AA1950" s="284">
        <v>2.1122695589745888E-2</v>
      </c>
    </row>
    <row r="1951" spans="23:27" x14ac:dyDescent="0.2">
      <c r="W1951" s="203" t="str">
        <f t="shared" si="40"/>
        <v>1w</v>
      </c>
      <c r="X1951" s="287">
        <f>_xll.qlCalendarAdvance(Calendar,X1950,W1951,"f",FALSE)</f>
        <v>52699</v>
      </c>
      <c r="Y1951" s="281">
        <f>_xll.qlCalendarAdvance(Calendar,X1951,NDays&amp;"D")</f>
        <v>52701</v>
      </c>
      <c r="Z1951" s="282" t="e">
        <v>#N/A</v>
      </c>
      <c r="AA1951" s="284">
        <v>2.112493834411211E-2</v>
      </c>
    </row>
    <row r="1952" spans="23:27" x14ac:dyDescent="0.2">
      <c r="W1952" s="203" t="str">
        <f t="shared" si="40"/>
        <v>1w</v>
      </c>
      <c r="X1952" s="287">
        <f>_xll.qlCalendarAdvance(Calendar,X1951,W1952,"f",FALSE)</f>
        <v>52706</v>
      </c>
      <c r="Y1952" s="281">
        <f>_xll.qlCalendarAdvance(Calendar,X1952,NDays&amp;"D")</f>
        <v>52708</v>
      </c>
      <c r="Z1952" s="282" t="e">
        <v>#N/A</v>
      </c>
      <c r="AA1952" s="284">
        <v>2.1122343298829449E-2</v>
      </c>
    </row>
    <row r="1953" spans="23:27" x14ac:dyDescent="0.2">
      <c r="W1953" s="203" t="str">
        <f t="shared" si="40"/>
        <v>1w</v>
      </c>
      <c r="X1953" s="287">
        <f>_xll.qlCalendarAdvance(Calendar,X1952,W1953,"f",FALSE)</f>
        <v>52713</v>
      </c>
      <c r="Y1953" s="281">
        <f>_xll.qlCalendarAdvance(Calendar,X1953,NDays&amp;"D")</f>
        <v>52715</v>
      </c>
      <c r="Z1953" s="282" t="e">
        <v>#N/A</v>
      </c>
      <c r="AA1953" s="284">
        <v>2.1126475562890379E-2</v>
      </c>
    </row>
    <row r="1954" spans="23:27" x14ac:dyDescent="0.2">
      <c r="W1954" s="203" t="str">
        <f t="shared" si="40"/>
        <v>1w</v>
      </c>
      <c r="X1954" s="287">
        <f>_xll.qlCalendarAdvance(Calendar,X1953,W1954,"f",FALSE)</f>
        <v>52723</v>
      </c>
      <c r="Y1954" s="281">
        <f>_xll.qlCalendarAdvance(Calendar,X1954,NDays&amp;"D")</f>
        <v>52727</v>
      </c>
      <c r="Z1954" s="282" t="e">
        <v>#N/A</v>
      </c>
      <c r="AA1954" s="284">
        <v>2.1122004814548845E-2</v>
      </c>
    </row>
    <row r="1955" spans="23:27" x14ac:dyDescent="0.2">
      <c r="W1955" s="203" t="str">
        <f t="shared" si="40"/>
        <v>1w</v>
      </c>
      <c r="X1955" s="287">
        <f>_xll.qlCalendarAdvance(Calendar,X1954,W1955,"f",FALSE)</f>
        <v>52730</v>
      </c>
      <c r="Y1955" s="281">
        <f>_xll.qlCalendarAdvance(Calendar,X1955,NDays&amp;"D")</f>
        <v>52734</v>
      </c>
      <c r="Z1955" s="282" t="e">
        <v>#N/A</v>
      </c>
      <c r="AA1955" s="284">
        <v>2.112192063884244E-2</v>
      </c>
    </row>
    <row r="1956" spans="23:27" x14ac:dyDescent="0.2">
      <c r="W1956" s="203" t="str">
        <f t="shared" si="40"/>
        <v>1w</v>
      </c>
      <c r="X1956" s="287">
        <f>_xll.qlCalendarAdvance(Calendar,X1955,W1956,"f",FALSE)</f>
        <v>52737</v>
      </c>
      <c r="Y1956" s="281">
        <f>_xll.qlCalendarAdvance(Calendar,X1956,NDays&amp;"D")</f>
        <v>52741</v>
      </c>
      <c r="Z1956" s="282" t="e">
        <v>#N/A</v>
      </c>
      <c r="AA1956" s="284">
        <v>2.1121858286399231E-2</v>
      </c>
    </row>
    <row r="1957" spans="23:27" x14ac:dyDescent="0.2">
      <c r="W1957" s="203" t="str">
        <f t="shared" si="40"/>
        <v>1w</v>
      </c>
      <c r="X1957" s="287">
        <f>_xll.qlCalendarAdvance(Calendar,X1956,W1957,"f",FALSE)</f>
        <v>52744</v>
      </c>
      <c r="Y1957" s="281">
        <f>_xll.qlCalendarAdvance(Calendar,X1957,NDays&amp;"D")</f>
        <v>52749</v>
      </c>
      <c r="Z1957" s="282" t="e">
        <v>#N/A</v>
      </c>
      <c r="AA1957" s="284">
        <v>2.112181374906541E-2</v>
      </c>
    </row>
    <row r="1958" spans="23:27" x14ac:dyDescent="0.2">
      <c r="W1958" s="203" t="str">
        <f t="shared" si="40"/>
        <v>1w</v>
      </c>
      <c r="X1958" s="287">
        <f>_xll.qlCalendarAdvance(Calendar,X1957,W1958,"f",FALSE)</f>
        <v>52751</v>
      </c>
      <c r="Y1958" s="281">
        <f>_xll.qlCalendarAdvance(Calendar,X1958,NDays&amp;"D")</f>
        <v>52755</v>
      </c>
      <c r="Z1958" s="282" t="e">
        <v>#N/A</v>
      </c>
      <c r="AA1958" s="284">
        <v>2.1121799051622148E-2</v>
      </c>
    </row>
    <row r="1959" spans="23:27" x14ac:dyDescent="0.2">
      <c r="W1959" s="203" t="str">
        <f t="shared" si="40"/>
        <v>1w</v>
      </c>
      <c r="X1959" s="287">
        <f>_xll.qlCalendarAdvance(Calendar,X1958,W1959,"f",FALSE)</f>
        <v>52758</v>
      </c>
      <c r="Y1959" s="281">
        <f>_xll.qlCalendarAdvance(Calendar,X1959,NDays&amp;"D")</f>
        <v>52762</v>
      </c>
      <c r="Z1959" s="282" t="e">
        <v>#N/A</v>
      </c>
      <c r="AA1959" s="284" t="e">
        <v>#N/A</v>
      </c>
    </row>
    <row r="1960" spans="23:27" x14ac:dyDescent="0.2">
      <c r="W1960" s="203" t="str">
        <f t="shared" si="40"/>
        <v>1w</v>
      </c>
      <c r="X1960" s="287">
        <f>_xll.qlCalendarAdvance(Calendar,X1959,W1960,"f",FALSE)</f>
        <v>52765</v>
      </c>
      <c r="Y1960" s="281">
        <f>_xll.qlCalendarAdvance(Calendar,X1960,NDays&amp;"D")</f>
        <v>52769</v>
      </c>
      <c r="Z1960" s="282" t="e">
        <v>#N/A</v>
      </c>
      <c r="AA1960" s="284" t="e">
        <v>#N/A</v>
      </c>
    </row>
    <row r="1961" spans="23:27" x14ac:dyDescent="0.2">
      <c r="W1961" s="203" t="str">
        <f t="shared" si="40"/>
        <v>1w</v>
      </c>
      <c r="X1961" s="287">
        <f>_xll.qlCalendarAdvance(Calendar,X1960,W1961,"f",FALSE)</f>
        <v>52772</v>
      </c>
      <c r="Y1961" s="281">
        <f>_xll.qlCalendarAdvance(Calendar,X1961,NDays&amp;"D")</f>
        <v>52776</v>
      </c>
      <c r="Z1961" s="282" t="e">
        <v>#N/A</v>
      </c>
      <c r="AA1961" s="284" t="e">
        <v>#N/A</v>
      </c>
    </row>
    <row r="1962" spans="23:27" x14ac:dyDescent="0.2">
      <c r="W1962" s="203" t="str">
        <f t="shared" si="40"/>
        <v>1w</v>
      </c>
      <c r="X1962" s="287">
        <f>_xll.qlCalendarAdvance(Calendar,X1961,W1962,"f",FALSE)</f>
        <v>52779</v>
      </c>
      <c r="Y1962" s="281">
        <f>_xll.qlCalendarAdvance(Calendar,X1962,NDays&amp;"D")</f>
        <v>52783</v>
      </c>
      <c r="Z1962" s="282" t="e">
        <v>#N/A</v>
      </c>
      <c r="AA1962" s="284" t="e">
        <v>#N/A</v>
      </c>
    </row>
    <row r="1963" spans="23:27" x14ac:dyDescent="0.2">
      <c r="W1963" s="203" t="str">
        <f t="shared" si="40"/>
        <v>1w</v>
      </c>
      <c r="X1963" s="287">
        <f>_xll.qlCalendarAdvance(Calendar,X1962,W1963,"f",FALSE)</f>
        <v>52786</v>
      </c>
      <c r="Y1963" s="281">
        <f>_xll.qlCalendarAdvance(Calendar,X1963,NDays&amp;"D")</f>
        <v>52790</v>
      </c>
      <c r="Z1963" s="282" t="e">
        <v>#N/A</v>
      </c>
      <c r="AA1963" s="284" t="e">
        <v>#N/A</v>
      </c>
    </row>
    <row r="1964" spans="23:27" x14ac:dyDescent="0.2">
      <c r="W1964" s="203" t="str">
        <f t="shared" si="40"/>
        <v>1w</v>
      </c>
      <c r="X1964" s="287">
        <f>_xll.qlCalendarAdvance(Calendar,X1963,W1964,"f",FALSE)</f>
        <v>52793</v>
      </c>
      <c r="Y1964" s="281">
        <f>_xll.qlCalendarAdvance(Calendar,X1964,NDays&amp;"D")</f>
        <v>52798</v>
      </c>
      <c r="Z1964" s="282" t="e">
        <v>#N/A</v>
      </c>
      <c r="AA1964" s="284" t="e">
        <v>#N/A</v>
      </c>
    </row>
    <row r="1965" spans="23:27" x14ac:dyDescent="0.2">
      <c r="W1965" s="203" t="str">
        <f t="shared" si="40"/>
        <v>1w</v>
      </c>
      <c r="X1965" s="287">
        <f>_xll.qlCalendarAdvance(Calendar,X1964,W1965,"f",FALSE)</f>
        <v>52800</v>
      </c>
      <c r="Y1965" s="281">
        <f>_xll.qlCalendarAdvance(Calendar,X1965,NDays&amp;"D")</f>
        <v>52804</v>
      </c>
      <c r="Z1965" s="282" t="e">
        <v>#N/A</v>
      </c>
      <c r="AA1965" s="284" t="e">
        <v>#N/A</v>
      </c>
    </row>
    <row r="1966" spans="23:27" x14ac:dyDescent="0.2">
      <c r="W1966" s="203" t="str">
        <f t="shared" si="40"/>
        <v>1w</v>
      </c>
      <c r="X1966" s="287">
        <f>_xll.qlCalendarAdvance(Calendar,X1965,W1966,"f",FALSE)</f>
        <v>52807</v>
      </c>
      <c r="Y1966" s="281">
        <f>_xll.qlCalendarAdvance(Calendar,X1966,NDays&amp;"D")</f>
        <v>52811</v>
      </c>
      <c r="Z1966" s="282" t="e">
        <v>#N/A</v>
      </c>
      <c r="AA1966" s="284" t="e">
        <v>#N/A</v>
      </c>
    </row>
    <row r="1967" spans="23:27" x14ac:dyDescent="0.2">
      <c r="W1967" s="203" t="str">
        <f t="shared" si="40"/>
        <v>1w</v>
      </c>
      <c r="X1967" s="287">
        <f>_xll.qlCalendarAdvance(Calendar,X1966,W1967,"f",FALSE)</f>
        <v>52814</v>
      </c>
      <c r="Y1967" s="281">
        <f>_xll.qlCalendarAdvance(Calendar,X1967,NDays&amp;"D")</f>
        <v>52818</v>
      </c>
      <c r="Z1967" s="282" t="e">
        <v>#N/A</v>
      </c>
      <c r="AA1967" s="284" t="e">
        <v>#N/A</v>
      </c>
    </row>
    <row r="1968" spans="23:27" x14ac:dyDescent="0.2">
      <c r="W1968" s="203" t="str">
        <f t="shared" si="40"/>
        <v>1w</v>
      </c>
      <c r="X1968" s="287">
        <f>_xll.qlCalendarAdvance(Calendar,X1967,W1968,"f",FALSE)</f>
        <v>52821</v>
      </c>
      <c r="Y1968" s="281">
        <f>_xll.qlCalendarAdvance(Calendar,X1968,NDays&amp;"D")</f>
        <v>52825</v>
      </c>
      <c r="Z1968" s="282" t="e">
        <v>#N/A</v>
      </c>
      <c r="AA1968" s="284" t="e">
        <v>#N/A</v>
      </c>
    </row>
    <row r="1969" spans="23:27" x14ac:dyDescent="0.2">
      <c r="W1969" s="203" t="str">
        <f t="shared" si="40"/>
        <v>1w</v>
      </c>
      <c r="X1969" s="287">
        <f>_xll.qlCalendarAdvance(Calendar,X1968,W1969,"f",FALSE)</f>
        <v>52828</v>
      </c>
      <c r="Y1969" s="281">
        <f>_xll.qlCalendarAdvance(Calendar,X1969,NDays&amp;"D")</f>
        <v>52832</v>
      </c>
      <c r="Z1969" s="282" t="e">
        <v>#N/A</v>
      </c>
      <c r="AA1969" s="284" t="e">
        <v>#N/A</v>
      </c>
    </row>
    <row r="1970" spans="23:27" x14ac:dyDescent="0.2">
      <c r="W1970" s="203" t="str">
        <f t="shared" si="40"/>
        <v>1w</v>
      </c>
      <c r="X1970" s="287">
        <f>_xll.qlCalendarAdvance(Calendar,X1969,W1970,"f",FALSE)</f>
        <v>52835</v>
      </c>
      <c r="Y1970" s="281">
        <f>_xll.qlCalendarAdvance(Calendar,X1970,NDays&amp;"D")</f>
        <v>52840</v>
      </c>
      <c r="Z1970" s="282" t="e">
        <v>#N/A</v>
      </c>
      <c r="AA1970" s="284" t="e">
        <v>#N/A</v>
      </c>
    </row>
    <row r="1971" spans="23:27" x14ac:dyDescent="0.2">
      <c r="W1971" s="203" t="str">
        <f t="shared" si="40"/>
        <v>1w</v>
      </c>
      <c r="X1971" s="287">
        <f>_xll.qlCalendarAdvance(Calendar,X1970,W1971,"f",FALSE)</f>
        <v>52842</v>
      </c>
      <c r="Y1971" s="281">
        <f>_xll.qlCalendarAdvance(Calendar,X1971,NDays&amp;"D")</f>
        <v>52846</v>
      </c>
      <c r="Z1971" s="282" t="e">
        <v>#N/A</v>
      </c>
      <c r="AA1971" s="284" t="e">
        <v>#N/A</v>
      </c>
    </row>
    <row r="1972" spans="23:27" x14ac:dyDescent="0.2">
      <c r="W1972" s="203" t="str">
        <f t="shared" si="40"/>
        <v>1w</v>
      </c>
      <c r="X1972" s="287">
        <f>_xll.qlCalendarAdvance(Calendar,X1971,W1972,"f",FALSE)</f>
        <v>52849</v>
      </c>
      <c r="Y1972" s="281">
        <f>_xll.qlCalendarAdvance(Calendar,X1972,NDays&amp;"D")</f>
        <v>52853</v>
      </c>
      <c r="Z1972" s="282" t="e">
        <v>#N/A</v>
      </c>
      <c r="AA1972" s="284" t="e">
        <v>#N/A</v>
      </c>
    </row>
    <row r="1973" spans="23:27" x14ac:dyDescent="0.2">
      <c r="W1973" s="203" t="str">
        <f t="shared" si="40"/>
        <v>1w</v>
      </c>
      <c r="X1973" s="287">
        <f>_xll.qlCalendarAdvance(Calendar,X1972,W1973,"f",FALSE)</f>
        <v>52856</v>
      </c>
      <c r="Y1973" s="281">
        <f>_xll.qlCalendarAdvance(Calendar,X1973,NDays&amp;"D")</f>
        <v>52861</v>
      </c>
      <c r="Z1973" s="282" t="e">
        <v>#N/A</v>
      </c>
      <c r="AA1973" s="284" t="e">
        <v>#N/A</v>
      </c>
    </row>
    <row r="1974" spans="23:27" x14ac:dyDescent="0.2">
      <c r="W1974" s="203" t="str">
        <f t="shared" si="40"/>
        <v>1w</v>
      </c>
      <c r="X1974" s="287">
        <f>_xll.qlCalendarAdvance(Calendar,X1973,W1974,"f",FALSE)</f>
        <v>52863</v>
      </c>
      <c r="Y1974" s="281">
        <f>_xll.qlCalendarAdvance(Calendar,X1974,NDays&amp;"D")</f>
        <v>52867</v>
      </c>
      <c r="Z1974" s="282" t="e">
        <v>#N/A</v>
      </c>
      <c r="AA1974" s="284" t="e">
        <v>#N/A</v>
      </c>
    </row>
    <row r="1975" spans="23:27" x14ac:dyDescent="0.2">
      <c r="W1975" s="203" t="str">
        <f t="shared" si="40"/>
        <v>1w</v>
      </c>
      <c r="X1975" s="287">
        <f>_xll.qlCalendarAdvance(Calendar,X1974,W1975,"f",FALSE)</f>
        <v>52870</v>
      </c>
      <c r="Y1975" s="281">
        <f>_xll.qlCalendarAdvance(Calendar,X1975,NDays&amp;"D")</f>
        <v>52874</v>
      </c>
      <c r="Z1975" s="282" t="e">
        <v>#N/A</v>
      </c>
      <c r="AA1975" s="284" t="e">
        <v>#N/A</v>
      </c>
    </row>
    <row r="1976" spans="23:27" x14ac:dyDescent="0.2">
      <c r="W1976" s="203" t="str">
        <f t="shared" si="40"/>
        <v>1w</v>
      </c>
      <c r="X1976" s="287">
        <f>_xll.qlCalendarAdvance(Calendar,X1975,W1976,"f",FALSE)</f>
        <v>52877</v>
      </c>
      <c r="Y1976" s="281">
        <f>_xll.qlCalendarAdvance(Calendar,X1976,NDays&amp;"D")</f>
        <v>52882</v>
      </c>
      <c r="Z1976" s="282" t="e">
        <v>#N/A</v>
      </c>
      <c r="AA1976" s="284" t="e">
        <v>#N/A</v>
      </c>
    </row>
    <row r="1977" spans="23:27" x14ac:dyDescent="0.2">
      <c r="W1977" s="203" t="str">
        <f t="shared" si="40"/>
        <v>1w</v>
      </c>
      <c r="X1977" s="287">
        <f>_xll.qlCalendarAdvance(Calendar,X1976,W1977,"f",FALSE)</f>
        <v>52884</v>
      </c>
      <c r="Y1977" s="281">
        <f>_xll.qlCalendarAdvance(Calendar,X1977,NDays&amp;"D")</f>
        <v>52888</v>
      </c>
      <c r="Z1977" s="282" t="e">
        <v>#N/A</v>
      </c>
      <c r="AA1977" s="284" t="e">
        <v>#N/A</v>
      </c>
    </row>
    <row r="1978" spans="23:27" x14ac:dyDescent="0.2">
      <c r="W1978" s="203" t="str">
        <f t="shared" si="40"/>
        <v>1w</v>
      </c>
      <c r="X1978" s="287">
        <f>_xll.qlCalendarAdvance(Calendar,X1977,W1978,"f",FALSE)</f>
        <v>52891</v>
      </c>
      <c r="Y1978" s="281">
        <f>_xll.qlCalendarAdvance(Calendar,X1978,NDays&amp;"D")</f>
        <v>52895</v>
      </c>
      <c r="Z1978" s="282" t="e">
        <v>#N/A</v>
      </c>
      <c r="AA1978" s="284" t="e">
        <v>#N/A</v>
      </c>
    </row>
    <row r="1979" spans="23:27" x14ac:dyDescent="0.2">
      <c r="W1979" s="203" t="str">
        <f t="shared" si="40"/>
        <v>1w</v>
      </c>
      <c r="X1979" s="287">
        <f>_xll.qlCalendarAdvance(Calendar,X1978,W1979,"f",FALSE)</f>
        <v>52898</v>
      </c>
      <c r="Y1979" s="281">
        <f>_xll.qlCalendarAdvance(Calendar,X1979,NDays&amp;"D")</f>
        <v>52902</v>
      </c>
      <c r="Z1979" s="282" t="e">
        <v>#N/A</v>
      </c>
      <c r="AA1979" s="284" t="e">
        <v>#N/A</v>
      </c>
    </row>
    <row r="1980" spans="23:27" x14ac:dyDescent="0.2">
      <c r="W1980" s="203" t="str">
        <f t="shared" si="40"/>
        <v>1w</v>
      </c>
      <c r="X1980" s="287">
        <f>_xll.qlCalendarAdvance(Calendar,X1979,W1980,"f",FALSE)</f>
        <v>52905</v>
      </c>
      <c r="Y1980" s="281">
        <f>_xll.qlCalendarAdvance(Calendar,X1980,NDays&amp;"D")</f>
        <v>52909</v>
      </c>
      <c r="Z1980" s="282" t="e">
        <v>#N/A</v>
      </c>
      <c r="AA1980" s="284" t="e">
        <v>#N/A</v>
      </c>
    </row>
    <row r="1981" spans="23:27" x14ac:dyDescent="0.2">
      <c r="W1981" s="203" t="str">
        <f t="shared" si="40"/>
        <v>1w</v>
      </c>
      <c r="X1981" s="287">
        <f>_xll.qlCalendarAdvance(Calendar,X1980,W1981,"f",FALSE)</f>
        <v>52912</v>
      </c>
      <c r="Y1981" s="281">
        <f>_xll.qlCalendarAdvance(Calendar,X1981,NDays&amp;"D")</f>
        <v>52916</v>
      </c>
      <c r="Z1981" s="282" t="e">
        <v>#N/A</v>
      </c>
      <c r="AA1981" s="284" t="e">
        <v>#N/A</v>
      </c>
    </row>
    <row r="1982" spans="23:27" x14ac:dyDescent="0.2">
      <c r="W1982" s="203" t="str">
        <f t="shared" si="40"/>
        <v>1w</v>
      </c>
      <c r="X1982" s="287">
        <f>_xll.qlCalendarAdvance(Calendar,X1981,W1982,"f",FALSE)</f>
        <v>52919</v>
      </c>
      <c r="Y1982" s="281">
        <f>_xll.qlCalendarAdvance(Calendar,X1982,NDays&amp;"D")</f>
        <v>52923</v>
      </c>
      <c r="Z1982" s="282" t="e">
        <v>#N/A</v>
      </c>
      <c r="AA1982" s="284" t="e">
        <v>#N/A</v>
      </c>
    </row>
    <row r="1983" spans="23:27" x14ac:dyDescent="0.2">
      <c r="W1983" s="203" t="str">
        <f t="shared" si="40"/>
        <v>1w</v>
      </c>
      <c r="X1983" s="287">
        <f>_xll.qlCalendarAdvance(Calendar,X1982,W1983,"f",FALSE)</f>
        <v>52926</v>
      </c>
      <c r="Y1983" s="281">
        <f>_xll.qlCalendarAdvance(Calendar,X1983,NDays&amp;"D")</f>
        <v>52930</v>
      </c>
      <c r="Z1983" s="282" t="e">
        <v>#N/A</v>
      </c>
      <c r="AA1983" s="284" t="e">
        <v>#N/A</v>
      </c>
    </row>
    <row r="1984" spans="23:27" x14ac:dyDescent="0.2">
      <c r="W1984" s="203" t="str">
        <f t="shared" si="40"/>
        <v>1w</v>
      </c>
      <c r="X1984" s="287">
        <f>_xll.qlCalendarAdvance(Calendar,X1983,W1984,"f",FALSE)</f>
        <v>52933</v>
      </c>
      <c r="Y1984" s="281">
        <f>_xll.qlCalendarAdvance(Calendar,X1984,NDays&amp;"D")</f>
        <v>52937</v>
      </c>
      <c r="Z1984" s="282" t="e">
        <v>#N/A</v>
      </c>
      <c r="AA1984" s="284" t="e">
        <v>#N/A</v>
      </c>
    </row>
    <row r="1985" spans="23:27" x14ac:dyDescent="0.2">
      <c r="W1985" s="203" t="str">
        <f t="shared" si="40"/>
        <v>1w</v>
      </c>
      <c r="X1985" s="287">
        <f>_xll.qlCalendarAdvance(Calendar,X1984,W1985,"f",FALSE)</f>
        <v>52940</v>
      </c>
      <c r="Y1985" s="281">
        <f>_xll.qlCalendarAdvance(Calendar,X1985,NDays&amp;"D")</f>
        <v>52944</v>
      </c>
      <c r="Z1985" s="282" t="e">
        <v>#N/A</v>
      </c>
      <c r="AA1985" s="284" t="e">
        <v>#N/A</v>
      </c>
    </row>
    <row r="1986" spans="23:27" x14ac:dyDescent="0.2">
      <c r="W1986" s="203" t="str">
        <f t="shared" si="40"/>
        <v>1w</v>
      </c>
      <c r="X1986" s="287">
        <f>_xll.qlCalendarAdvance(Calendar,X1985,W1986,"f",FALSE)</f>
        <v>52947</v>
      </c>
      <c r="Y1986" s="281">
        <f>_xll.qlCalendarAdvance(Calendar,X1986,NDays&amp;"D")</f>
        <v>52951</v>
      </c>
      <c r="Z1986" s="282" t="e">
        <v>#N/A</v>
      </c>
      <c r="AA1986" s="284" t="e">
        <v>#N/A</v>
      </c>
    </row>
    <row r="1987" spans="23:27" x14ac:dyDescent="0.2">
      <c r="W1987" s="203" t="str">
        <f t="shared" si="40"/>
        <v>1w</v>
      </c>
      <c r="X1987" s="287">
        <f>_xll.qlCalendarAdvance(Calendar,X1986,W1987,"f",FALSE)</f>
        <v>52959</v>
      </c>
      <c r="Y1987" s="281">
        <f>_xll.qlCalendarAdvance(Calendar,X1987,NDays&amp;"D")</f>
        <v>52961</v>
      </c>
      <c r="Z1987" s="282" t="e">
        <v>#N/A</v>
      </c>
      <c r="AA1987" s="284" t="e">
        <v>#N/A</v>
      </c>
    </row>
    <row r="1988" spans="23:27" x14ac:dyDescent="0.2">
      <c r="W1988" s="203" t="str">
        <f t="shared" si="40"/>
        <v>1w</v>
      </c>
      <c r="X1988" s="287">
        <f>_xll.qlCalendarAdvance(Calendar,X1987,W1988,"f",FALSE)</f>
        <v>52966</v>
      </c>
      <c r="Y1988" s="281">
        <f>_xll.qlCalendarAdvance(Calendar,X1988,NDays&amp;"D")</f>
        <v>52968</v>
      </c>
      <c r="Z1988" s="282" t="e">
        <v>#N/A</v>
      </c>
      <c r="AA1988" s="284" t="e">
        <v>#N/A</v>
      </c>
    </row>
    <row r="1989" spans="23:27" x14ac:dyDescent="0.2">
      <c r="W1989" s="203" t="str">
        <f t="shared" si="40"/>
        <v>1w</v>
      </c>
      <c r="X1989" s="287">
        <f>_xll.qlCalendarAdvance(Calendar,X1988,W1989,"f",FALSE)</f>
        <v>52973</v>
      </c>
      <c r="Y1989" s="281">
        <f>_xll.qlCalendarAdvance(Calendar,X1989,NDays&amp;"D")</f>
        <v>52975</v>
      </c>
      <c r="Z1989" s="282" t="e">
        <v>#N/A</v>
      </c>
      <c r="AA1989" s="284" t="e">
        <v>#N/A</v>
      </c>
    </row>
    <row r="1990" spans="23:27" x14ac:dyDescent="0.2">
      <c r="W1990" s="203" t="str">
        <f t="shared" si="40"/>
        <v>1w</v>
      </c>
      <c r="X1990" s="287">
        <f>_xll.qlCalendarAdvance(Calendar,X1989,W1990,"f",FALSE)</f>
        <v>52980</v>
      </c>
      <c r="Y1990" s="281">
        <f>_xll.qlCalendarAdvance(Calendar,X1990,NDays&amp;"D")</f>
        <v>52982</v>
      </c>
      <c r="Z1990" s="282" t="e">
        <v>#N/A</v>
      </c>
      <c r="AA1990" s="284" t="e">
        <v>#N/A</v>
      </c>
    </row>
    <row r="1991" spans="23:27" x14ac:dyDescent="0.2">
      <c r="W1991" s="203" t="str">
        <f t="shared" si="40"/>
        <v>1w</v>
      </c>
      <c r="X1991" s="287">
        <f>_xll.qlCalendarAdvance(Calendar,X1990,W1991,"f",FALSE)</f>
        <v>52987</v>
      </c>
      <c r="Y1991" s="281">
        <f>_xll.qlCalendarAdvance(Calendar,X1991,NDays&amp;"D")</f>
        <v>52989</v>
      </c>
      <c r="Z1991" s="282" t="e">
        <v>#N/A</v>
      </c>
      <c r="AA1991" s="284" t="e">
        <v>#N/A</v>
      </c>
    </row>
    <row r="1992" spans="23:27" x14ac:dyDescent="0.2">
      <c r="W1992" s="203" t="str">
        <f t="shared" si="40"/>
        <v>1w</v>
      </c>
      <c r="X1992" s="287">
        <f>_xll.qlCalendarAdvance(Calendar,X1991,W1992,"f",FALSE)</f>
        <v>52994</v>
      </c>
      <c r="Y1992" s="281">
        <f>_xll.qlCalendarAdvance(Calendar,X1992,NDays&amp;"D")</f>
        <v>52996</v>
      </c>
      <c r="Z1992" s="282" t="e">
        <v>#N/A</v>
      </c>
      <c r="AA1992" s="284" t="e">
        <v>#N/A</v>
      </c>
    </row>
    <row r="1993" spans="23:27" x14ac:dyDescent="0.2">
      <c r="W1993" s="203" t="str">
        <f t="shared" si="40"/>
        <v>1w</v>
      </c>
      <c r="X1993" s="287">
        <f>_xll.qlCalendarAdvance(Calendar,X1992,W1993,"f",FALSE)</f>
        <v>53001</v>
      </c>
      <c r="Y1993" s="281">
        <f>_xll.qlCalendarAdvance(Calendar,X1993,NDays&amp;"D")</f>
        <v>53003</v>
      </c>
      <c r="Z1993" s="282" t="e">
        <v>#N/A</v>
      </c>
      <c r="AA1993" s="284" t="e">
        <v>#N/A</v>
      </c>
    </row>
    <row r="1994" spans="23:27" x14ac:dyDescent="0.2">
      <c r="W1994" s="203" t="str">
        <f t="shared" si="40"/>
        <v>1w</v>
      </c>
      <c r="X1994" s="287">
        <f>_xll.qlCalendarAdvance(Calendar,X1993,W1994,"f",FALSE)</f>
        <v>53008</v>
      </c>
      <c r="Y1994" s="281">
        <f>_xll.qlCalendarAdvance(Calendar,X1994,NDays&amp;"D")</f>
        <v>53010</v>
      </c>
      <c r="Z1994" s="282" t="e">
        <v>#N/A</v>
      </c>
      <c r="AA1994" s="284" t="e">
        <v>#N/A</v>
      </c>
    </row>
    <row r="1995" spans="23:27" x14ac:dyDescent="0.2">
      <c r="W1995" s="203" t="str">
        <f t="shared" si="40"/>
        <v>1w</v>
      </c>
      <c r="X1995" s="287">
        <f>_xll.qlCalendarAdvance(Calendar,X1994,W1995,"f",FALSE)</f>
        <v>53015</v>
      </c>
      <c r="Y1995" s="281">
        <f>_xll.qlCalendarAdvance(Calendar,X1995,NDays&amp;"D")</f>
        <v>53017</v>
      </c>
      <c r="Z1995" s="282" t="e">
        <v>#N/A</v>
      </c>
      <c r="AA1995" s="284" t="e">
        <v>#N/A</v>
      </c>
    </row>
    <row r="1996" spans="23:27" x14ac:dyDescent="0.2">
      <c r="W1996" s="203" t="str">
        <f t="shared" si="40"/>
        <v>1w</v>
      </c>
      <c r="X1996" s="287">
        <f>_xll.qlCalendarAdvance(Calendar,X1995,W1996,"f",FALSE)</f>
        <v>53022</v>
      </c>
      <c r="Y1996" s="281">
        <f>_xll.qlCalendarAdvance(Calendar,X1996,NDays&amp;"D")</f>
        <v>53024</v>
      </c>
      <c r="Z1996" s="282" t="e">
        <v>#N/A</v>
      </c>
      <c r="AA1996" s="284" t="e">
        <v>#N/A</v>
      </c>
    </row>
    <row r="1997" spans="23:27" x14ac:dyDescent="0.2">
      <c r="W1997" s="203" t="str">
        <f t="shared" si="40"/>
        <v>1w</v>
      </c>
      <c r="X1997" s="287">
        <f>_xll.qlCalendarAdvance(Calendar,X1996,W1997,"f",FALSE)</f>
        <v>53029</v>
      </c>
      <c r="Y1997" s="281">
        <f>_xll.qlCalendarAdvance(Calendar,X1997,NDays&amp;"D")</f>
        <v>53031</v>
      </c>
      <c r="Z1997" s="282" t="e">
        <v>#N/A</v>
      </c>
      <c r="AA1997" s="284" t="e">
        <v>#N/A</v>
      </c>
    </row>
    <row r="1998" spans="23:27" x14ac:dyDescent="0.2">
      <c r="W1998" s="203" t="str">
        <f t="shared" si="40"/>
        <v>1w</v>
      </c>
      <c r="X1998" s="287">
        <f>_xll.qlCalendarAdvance(Calendar,X1997,W1998,"f",FALSE)</f>
        <v>53036</v>
      </c>
      <c r="Y1998" s="281">
        <f>_xll.qlCalendarAdvance(Calendar,X1998,NDays&amp;"D")</f>
        <v>53038</v>
      </c>
      <c r="Z1998" s="282" t="e">
        <v>#N/A</v>
      </c>
      <c r="AA1998" s="284" t="e">
        <v>#N/A</v>
      </c>
    </row>
    <row r="1999" spans="23:27" x14ac:dyDescent="0.2">
      <c r="W1999" s="203" t="str">
        <f t="shared" si="40"/>
        <v>1w</v>
      </c>
      <c r="X1999" s="287">
        <f>_xll.qlCalendarAdvance(Calendar,X1998,W1999,"f",FALSE)</f>
        <v>53043</v>
      </c>
      <c r="Y1999" s="281">
        <f>_xll.qlCalendarAdvance(Calendar,X1999,NDays&amp;"D")</f>
        <v>53045</v>
      </c>
      <c r="Z1999" s="282" t="e">
        <v>#N/A</v>
      </c>
      <c r="AA1999" s="284" t="e">
        <v>#N/A</v>
      </c>
    </row>
    <row r="2000" spans="23:27" x14ac:dyDescent="0.2">
      <c r="W2000" s="203" t="str">
        <f t="shared" si="40"/>
        <v>1w</v>
      </c>
      <c r="X2000" s="287">
        <f>_xll.qlCalendarAdvance(Calendar,X1999,W2000,"f",FALSE)</f>
        <v>53050</v>
      </c>
      <c r="Y2000" s="281">
        <f>_xll.qlCalendarAdvance(Calendar,X2000,NDays&amp;"D")</f>
        <v>53052</v>
      </c>
      <c r="Z2000" s="282" t="e">
        <v>#N/A</v>
      </c>
      <c r="AA2000" s="284" t="e">
        <v>#N/A</v>
      </c>
    </row>
    <row r="2001" spans="23:27" x14ac:dyDescent="0.2">
      <c r="W2001" s="203" t="str">
        <f t="shared" si="40"/>
        <v>1w</v>
      </c>
      <c r="X2001" s="287">
        <f>_xll.qlCalendarAdvance(Calendar,X2000,W2001,"f",FALSE)</f>
        <v>53057</v>
      </c>
      <c r="Y2001" s="281">
        <f>_xll.qlCalendarAdvance(Calendar,X2001,NDays&amp;"D")</f>
        <v>53063</v>
      </c>
      <c r="Z2001" s="282" t="e">
        <v>#N/A</v>
      </c>
      <c r="AA2001" s="284" t="e">
        <v>#N/A</v>
      </c>
    </row>
    <row r="2002" spans="23:27" x14ac:dyDescent="0.2">
      <c r="W2002" s="203" t="str">
        <f t="shared" si="40"/>
        <v>1w</v>
      </c>
      <c r="X2002" s="287">
        <f>_xll.qlCalendarAdvance(Calendar,X2001,W2002,"f",FALSE)</f>
        <v>53064</v>
      </c>
      <c r="Y2002" s="281">
        <f>_xll.qlCalendarAdvance(Calendar,X2002,NDays&amp;"D")</f>
        <v>53066</v>
      </c>
      <c r="Z2002" s="282" t="e">
        <v>#N/A</v>
      </c>
      <c r="AA2002" s="284" t="e">
        <v>#N/A</v>
      </c>
    </row>
    <row r="2003" spans="23:27" x14ac:dyDescent="0.2">
      <c r="W2003" s="203" t="str">
        <f t="shared" si="40"/>
        <v>1w</v>
      </c>
      <c r="X2003" s="287">
        <f>_xll.qlCalendarAdvance(Calendar,X2002,W2003,"f",FALSE)</f>
        <v>53071</v>
      </c>
      <c r="Y2003" s="281">
        <f>_xll.qlCalendarAdvance(Calendar,X2003,NDays&amp;"D")</f>
        <v>53073</v>
      </c>
      <c r="Z2003" s="282" t="e">
        <v>#N/A</v>
      </c>
      <c r="AA2003" s="284" t="e">
        <v>#N/A</v>
      </c>
    </row>
    <row r="2004" spans="23:27" x14ac:dyDescent="0.2">
      <c r="W2004" s="203" t="str">
        <f t="shared" si="40"/>
        <v>1w</v>
      </c>
      <c r="X2004" s="287">
        <f>_xll.qlCalendarAdvance(Calendar,X2003,W2004,"f",FALSE)</f>
        <v>53078</v>
      </c>
      <c r="Y2004" s="281">
        <f>_xll.qlCalendarAdvance(Calendar,X2004,NDays&amp;"D")</f>
        <v>53080</v>
      </c>
      <c r="Z2004" s="282" t="e">
        <v>#N/A</v>
      </c>
      <c r="AA2004" s="284" t="e">
        <v>#N/A</v>
      </c>
    </row>
    <row r="2005" spans="23:27" x14ac:dyDescent="0.2">
      <c r="W2005" s="203" t="str">
        <f t="shared" ref="W2005:W2068" si="41">W2004</f>
        <v>1w</v>
      </c>
      <c r="X2005" s="287">
        <f>_xll.qlCalendarAdvance(Calendar,X2004,W2005,"f",FALSE)</f>
        <v>53090</v>
      </c>
      <c r="Y2005" s="281">
        <f>_xll.qlCalendarAdvance(Calendar,X2005,NDays&amp;"D")</f>
        <v>53092</v>
      </c>
      <c r="Z2005" s="282" t="e">
        <v>#N/A</v>
      </c>
      <c r="AA2005" s="284" t="e">
        <v>#N/A</v>
      </c>
    </row>
    <row r="2006" spans="23:27" x14ac:dyDescent="0.2">
      <c r="W2006" s="203" t="str">
        <f t="shared" si="41"/>
        <v>1w</v>
      </c>
      <c r="X2006" s="287">
        <f>_xll.qlCalendarAdvance(Calendar,X2005,W2006,"f",FALSE)</f>
        <v>53097</v>
      </c>
      <c r="Y2006" s="281">
        <f>_xll.qlCalendarAdvance(Calendar,X2006,NDays&amp;"D")</f>
        <v>53099</v>
      </c>
      <c r="Z2006" s="282" t="e">
        <v>#N/A</v>
      </c>
      <c r="AA2006" s="284" t="e">
        <v>#N/A</v>
      </c>
    </row>
    <row r="2007" spans="23:27" x14ac:dyDescent="0.2">
      <c r="W2007" s="203" t="str">
        <f t="shared" si="41"/>
        <v>1w</v>
      </c>
      <c r="X2007" s="287">
        <f>_xll.qlCalendarAdvance(Calendar,X2006,W2007,"f",FALSE)</f>
        <v>53104</v>
      </c>
      <c r="Y2007" s="281">
        <f>_xll.qlCalendarAdvance(Calendar,X2007,NDays&amp;"D")</f>
        <v>53106</v>
      </c>
      <c r="Z2007" s="282" t="e">
        <v>#N/A</v>
      </c>
      <c r="AA2007" s="284" t="e">
        <v>#N/A</v>
      </c>
    </row>
    <row r="2008" spans="23:27" x14ac:dyDescent="0.2">
      <c r="W2008" s="203" t="str">
        <f t="shared" si="41"/>
        <v>1w</v>
      </c>
      <c r="X2008" s="287">
        <f>_xll.qlCalendarAdvance(Calendar,X2007,W2008,"f",FALSE)</f>
        <v>53112</v>
      </c>
      <c r="Y2008" s="281">
        <f>_xll.qlCalendarAdvance(Calendar,X2008,NDays&amp;"D")</f>
        <v>53114</v>
      </c>
      <c r="Z2008" s="282" t="e">
        <v>#N/A</v>
      </c>
      <c r="AA2008" s="284" t="e">
        <v>#N/A</v>
      </c>
    </row>
    <row r="2009" spans="23:27" x14ac:dyDescent="0.2">
      <c r="W2009" s="203" t="str">
        <f t="shared" si="41"/>
        <v>1w</v>
      </c>
      <c r="X2009" s="287">
        <f>_xll.qlCalendarAdvance(Calendar,X2008,W2009,"f",FALSE)</f>
        <v>53119</v>
      </c>
      <c r="Y2009" s="281">
        <f>_xll.qlCalendarAdvance(Calendar,X2009,NDays&amp;"D")</f>
        <v>53121</v>
      </c>
      <c r="Z2009" s="282" t="e">
        <v>#N/A</v>
      </c>
      <c r="AA2009" s="284" t="e">
        <v>#N/A</v>
      </c>
    </row>
    <row r="2010" spans="23:27" x14ac:dyDescent="0.2">
      <c r="W2010" s="203" t="str">
        <f t="shared" si="41"/>
        <v>1w</v>
      </c>
      <c r="X2010" s="287">
        <f>_xll.qlCalendarAdvance(Calendar,X2009,W2010,"f",FALSE)</f>
        <v>53126</v>
      </c>
      <c r="Y2010" s="281">
        <f>_xll.qlCalendarAdvance(Calendar,X2010,NDays&amp;"D")</f>
        <v>53128</v>
      </c>
      <c r="Z2010" s="282" t="e">
        <v>#N/A</v>
      </c>
      <c r="AA2010" s="284" t="e">
        <v>#N/A</v>
      </c>
    </row>
    <row r="2011" spans="23:27" x14ac:dyDescent="0.2">
      <c r="W2011" s="203" t="str">
        <f t="shared" si="41"/>
        <v>1w</v>
      </c>
      <c r="X2011" s="287">
        <f>_xll.qlCalendarAdvance(Calendar,X2010,W2011,"f",FALSE)</f>
        <v>53133</v>
      </c>
      <c r="Y2011" s="281">
        <f>_xll.qlCalendarAdvance(Calendar,X2011,NDays&amp;"D")</f>
        <v>53135</v>
      </c>
      <c r="Z2011" s="282" t="e">
        <v>#N/A</v>
      </c>
      <c r="AA2011" s="284" t="e">
        <v>#N/A</v>
      </c>
    </row>
    <row r="2012" spans="23:27" x14ac:dyDescent="0.2">
      <c r="W2012" s="203" t="str">
        <f t="shared" si="41"/>
        <v>1w</v>
      </c>
      <c r="X2012" s="287">
        <f>_xll.qlCalendarAdvance(Calendar,X2011,W2012,"f",FALSE)</f>
        <v>53140</v>
      </c>
      <c r="Y2012" s="281">
        <f>_xll.qlCalendarAdvance(Calendar,X2012,NDays&amp;"D")</f>
        <v>53142</v>
      </c>
      <c r="Z2012" s="282" t="e">
        <v>#N/A</v>
      </c>
      <c r="AA2012" s="284" t="e">
        <v>#N/A</v>
      </c>
    </row>
    <row r="2013" spans="23:27" x14ac:dyDescent="0.2">
      <c r="W2013" s="203" t="str">
        <f t="shared" si="41"/>
        <v>1w</v>
      </c>
      <c r="X2013" s="287">
        <f>_xll.qlCalendarAdvance(Calendar,X2012,W2013,"f",FALSE)</f>
        <v>53147</v>
      </c>
      <c r="Y2013" s="281">
        <f>_xll.qlCalendarAdvance(Calendar,X2013,NDays&amp;"D")</f>
        <v>53149</v>
      </c>
      <c r="Z2013" s="282" t="e">
        <v>#N/A</v>
      </c>
      <c r="AA2013" s="284" t="e">
        <v>#N/A</v>
      </c>
    </row>
    <row r="2014" spans="23:27" x14ac:dyDescent="0.2">
      <c r="W2014" s="203" t="str">
        <f t="shared" si="41"/>
        <v>1w</v>
      </c>
      <c r="X2014" s="287">
        <f>_xll.qlCalendarAdvance(Calendar,X2013,W2014,"f",FALSE)</f>
        <v>53154</v>
      </c>
      <c r="Y2014" s="281">
        <f>_xll.qlCalendarAdvance(Calendar,X2014,NDays&amp;"D")</f>
        <v>53156</v>
      </c>
      <c r="Z2014" s="282" t="e">
        <v>#N/A</v>
      </c>
      <c r="AA2014" s="284" t="e">
        <v>#N/A</v>
      </c>
    </row>
    <row r="2015" spans="23:27" x14ac:dyDescent="0.2">
      <c r="W2015" s="203" t="str">
        <f t="shared" si="41"/>
        <v>1w</v>
      </c>
      <c r="X2015" s="287">
        <f>_xll.qlCalendarAdvance(Calendar,X2014,W2015,"f",FALSE)</f>
        <v>53161</v>
      </c>
      <c r="Y2015" s="281">
        <f>_xll.qlCalendarAdvance(Calendar,X2015,NDays&amp;"D")</f>
        <v>53163</v>
      </c>
      <c r="Z2015" s="282" t="e">
        <v>#N/A</v>
      </c>
      <c r="AA2015" s="284" t="e">
        <v>#N/A</v>
      </c>
    </row>
    <row r="2016" spans="23:27" x14ac:dyDescent="0.2">
      <c r="W2016" s="203" t="str">
        <f t="shared" si="41"/>
        <v>1w</v>
      </c>
      <c r="X2016" s="287">
        <f>_xll.qlCalendarAdvance(Calendar,X2015,W2016,"f",FALSE)</f>
        <v>53168</v>
      </c>
      <c r="Y2016" s="281">
        <f>_xll.qlCalendarAdvance(Calendar,X2016,NDays&amp;"D")</f>
        <v>53170</v>
      </c>
      <c r="Z2016" s="282" t="e">
        <v>#N/A</v>
      </c>
      <c r="AA2016" s="284" t="e">
        <v>#N/A</v>
      </c>
    </row>
    <row r="2017" spans="23:27" x14ac:dyDescent="0.2">
      <c r="W2017" s="203" t="str">
        <f t="shared" si="41"/>
        <v>1w</v>
      </c>
      <c r="X2017" s="287">
        <f>_xll.qlCalendarAdvance(Calendar,X2016,W2017,"f",FALSE)</f>
        <v>53175</v>
      </c>
      <c r="Y2017" s="281">
        <f>_xll.qlCalendarAdvance(Calendar,X2017,NDays&amp;"D")</f>
        <v>53177</v>
      </c>
      <c r="Z2017" s="282" t="e">
        <v>#N/A</v>
      </c>
      <c r="AA2017" s="284" t="e">
        <v>#N/A</v>
      </c>
    </row>
    <row r="2018" spans="23:27" x14ac:dyDescent="0.2">
      <c r="W2018" s="203" t="str">
        <f t="shared" si="41"/>
        <v>1w</v>
      </c>
      <c r="X2018" s="287">
        <f>_xll.qlCalendarAdvance(Calendar,X2017,W2018,"f",FALSE)</f>
        <v>53182</v>
      </c>
      <c r="Y2018" s="281">
        <f>_xll.qlCalendarAdvance(Calendar,X2018,NDays&amp;"D")</f>
        <v>53184</v>
      </c>
      <c r="Z2018" s="282" t="e">
        <v>#N/A</v>
      </c>
      <c r="AA2018" s="284" t="e">
        <v>#N/A</v>
      </c>
    </row>
    <row r="2019" spans="23:27" x14ac:dyDescent="0.2">
      <c r="W2019" s="203" t="str">
        <f t="shared" si="41"/>
        <v>1w</v>
      </c>
      <c r="X2019" s="287">
        <f>_xll.qlCalendarAdvance(Calendar,X2018,W2019,"f",FALSE)</f>
        <v>53189</v>
      </c>
      <c r="Y2019" s="281">
        <f>_xll.qlCalendarAdvance(Calendar,X2019,NDays&amp;"D")</f>
        <v>53191</v>
      </c>
      <c r="Z2019" s="282" t="e">
        <v>#N/A</v>
      </c>
      <c r="AA2019" s="284" t="e">
        <v>#N/A</v>
      </c>
    </row>
    <row r="2020" spans="23:27" x14ac:dyDescent="0.2">
      <c r="W2020" s="203" t="str">
        <f t="shared" si="41"/>
        <v>1w</v>
      </c>
      <c r="X2020" s="287">
        <f>_xll.qlCalendarAdvance(Calendar,X2019,W2020,"f",FALSE)</f>
        <v>53196</v>
      </c>
      <c r="Y2020" s="281">
        <f>_xll.qlCalendarAdvance(Calendar,X2020,NDays&amp;"D")</f>
        <v>53198</v>
      </c>
      <c r="Z2020" s="282" t="e">
        <v>#N/A</v>
      </c>
      <c r="AA2020" s="284" t="e">
        <v>#N/A</v>
      </c>
    </row>
    <row r="2021" spans="23:27" x14ac:dyDescent="0.2">
      <c r="W2021" s="203" t="str">
        <f t="shared" si="41"/>
        <v>1w</v>
      </c>
      <c r="X2021" s="287">
        <f>_xll.qlCalendarAdvance(Calendar,X2020,W2021,"f",FALSE)</f>
        <v>53203</v>
      </c>
      <c r="Y2021" s="281">
        <f>_xll.qlCalendarAdvance(Calendar,X2021,NDays&amp;"D")</f>
        <v>53205</v>
      </c>
      <c r="Z2021" s="282" t="e">
        <v>#N/A</v>
      </c>
      <c r="AA2021" s="284" t="e">
        <v>#N/A</v>
      </c>
    </row>
    <row r="2022" spans="23:27" x14ac:dyDescent="0.2">
      <c r="W2022" s="203" t="str">
        <f t="shared" si="41"/>
        <v>1w</v>
      </c>
      <c r="X2022" s="287">
        <f>_xll.qlCalendarAdvance(Calendar,X2021,W2022,"f",FALSE)</f>
        <v>53210</v>
      </c>
      <c r="Y2022" s="281">
        <f>_xll.qlCalendarAdvance(Calendar,X2022,NDays&amp;"D")</f>
        <v>53212</v>
      </c>
      <c r="Z2022" s="282" t="e">
        <v>#N/A</v>
      </c>
      <c r="AA2022" s="284" t="e">
        <v>#N/A</v>
      </c>
    </row>
    <row r="2023" spans="23:27" x14ac:dyDescent="0.2">
      <c r="W2023" s="203" t="str">
        <f t="shared" si="41"/>
        <v>1w</v>
      </c>
      <c r="X2023" s="287">
        <f>_xll.qlCalendarAdvance(Calendar,X2022,W2023,"f",FALSE)</f>
        <v>53217</v>
      </c>
      <c r="Y2023" s="281">
        <f>_xll.qlCalendarAdvance(Calendar,X2023,NDays&amp;"D")</f>
        <v>53219</v>
      </c>
      <c r="Z2023" s="282" t="e">
        <v>#N/A</v>
      </c>
      <c r="AA2023" s="284" t="e">
        <v>#N/A</v>
      </c>
    </row>
    <row r="2024" spans="23:27" x14ac:dyDescent="0.2">
      <c r="W2024" s="203" t="str">
        <f t="shared" si="41"/>
        <v>1w</v>
      </c>
      <c r="X2024" s="287">
        <f>_xll.qlCalendarAdvance(Calendar,X2023,W2024,"f",FALSE)</f>
        <v>53224</v>
      </c>
      <c r="Y2024" s="281">
        <f>_xll.qlCalendarAdvance(Calendar,X2024,NDays&amp;"D")</f>
        <v>53226</v>
      </c>
      <c r="Z2024" s="282" t="e">
        <v>#N/A</v>
      </c>
      <c r="AA2024" s="284" t="e">
        <v>#N/A</v>
      </c>
    </row>
    <row r="2025" spans="23:27" x14ac:dyDescent="0.2">
      <c r="W2025" s="203" t="str">
        <f t="shared" si="41"/>
        <v>1w</v>
      </c>
      <c r="X2025" s="287">
        <f>_xll.qlCalendarAdvance(Calendar,X2024,W2025,"f",FALSE)</f>
        <v>53231</v>
      </c>
      <c r="Y2025" s="281">
        <f>_xll.qlCalendarAdvance(Calendar,X2025,NDays&amp;"D")</f>
        <v>53233</v>
      </c>
      <c r="Z2025" s="282" t="e">
        <v>#N/A</v>
      </c>
      <c r="AA2025" s="284" t="e">
        <v>#N/A</v>
      </c>
    </row>
    <row r="2026" spans="23:27" x14ac:dyDescent="0.2">
      <c r="W2026" s="203" t="str">
        <f t="shared" si="41"/>
        <v>1w</v>
      </c>
      <c r="X2026" s="287">
        <f>_xll.qlCalendarAdvance(Calendar,X2025,W2026,"f",FALSE)</f>
        <v>53238</v>
      </c>
      <c r="Y2026" s="281">
        <f>_xll.qlCalendarAdvance(Calendar,X2026,NDays&amp;"D")</f>
        <v>53240</v>
      </c>
      <c r="Z2026" s="282" t="e">
        <v>#N/A</v>
      </c>
      <c r="AA2026" s="284" t="e">
        <v>#N/A</v>
      </c>
    </row>
    <row r="2027" spans="23:27" x14ac:dyDescent="0.2">
      <c r="W2027" s="203" t="str">
        <f t="shared" si="41"/>
        <v>1w</v>
      </c>
      <c r="X2027" s="287">
        <f>_xll.qlCalendarAdvance(Calendar,X2026,W2027,"f",FALSE)</f>
        <v>53245</v>
      </c>
      <c r="Y2027" s="281">
        <f>_xll.qlCalendarAdvance(Calendar,X2027,NDays&amp;"D")</f>
        <v>53247</v>
      </c>
      <c r="Z2027" s="282" t="e">
        <v>#N/A</v>
      </c>
      <c r="AA2027" s="284" t="e">
        <v>#N/A</v>
      </c>
    </row>
    <row r="2028" spans="23:27" x14ac:dyDescent="0.2">
      <c r="W2028" s="203" t="str">
        <f t="shared" si="41"/>
        <v>1w</v>
      </c>
      <c r="X2028" s="287">
        <f>_xll.qlCalendarAdvance(Calendar,X2027,W2028,"f",FALSE)</f>
        <v>53252</v>
      </c>
      <c r="Y2028" s="281">
        <f>_xll.qlCalendarAdvance(Calendar,X2028,NDays&amp;"D")</f>
        <v>53254</v>
      </c>
      <c r="Z2028" s="282" t="e">
        <v>#N/A</v>
      </c>
      <c r="AA2028" s="284" t="e">
        <v>#N/A</v>
      </c>
    </row>
    <row r="2029" spans="23:27" x14ac:dyDescent="0.2">
      <c r="W2029" s="203" t="str">
        <f t="shared" si="41"/>
        <v>1w</v>
      </c>
      <c r="X2029" s="287">
        <f>_xll.qlCalendarAdvance(Calendar,X2028,W2029,"f",FALSE)</f>
        <v>53259</v>
      </c>
      <c r="Y2029" s="281">
        <f>_xll.qlCalendarAdvance(Calendar,X2029,NDays&amp;"D")</f>
        <v>53261</v>
      </c>
      <c r="Z2029" s="282" t="e">
        <v>#N/A</v>
      </c>
      <c r="AA2029" s="284" t="e">
        <v>#N/A</v>
      </c>
    </row>
    <row r="2030" spans="23:27" x14ac:dyDescent="0.2">
      <c r="W2030" s="203" t="str">
        <f t="shared" si="41"/>
        <v>1w</v>
      </c>
      <c r="X2030" s="287">
        <f>_xll.qlCalendarAdvance(Calendar,X2029,W2030,"f",FALSE)</f>
        <v>53266</v>
      </c>
      <c r="Y2030" s="281">
        <f>_xll.qlCalendarAdvance(Calendar,X2030,NDays&amp;"D")</f>
        <v>53268</v>
      </c>
      <c r="Z2030" s="282" t="e">
        <v>#N/A</v>
      </c>
      <c r="AA2030" s="284" t="e">
        <v>#N/A</v>
      </c>
    </row>
    <row r="2031" spans="23:27" x14ac:dyDescent="0.2">
      <c r="W2031" s="203" t="str">
        <f t="shared" si="41"/>
        <v>1w</v>
      </c>
      <c r="X2031" s="287">
        <f>_xll.qlCalendarAdvance(Calendar,X2030,W2031,"f",FALSE)</f>
        <v>53273</v>
      </c>
      <c r="Y2031" s="281">
        <f>_xll.qlCalendarAdvance(Calendar,X2031,NDays&amp;"D")</f>
        <v>53275</v>
      </c>
      <c r="Z2031" s="282" t="e">
        <v>#N/A</v>
      </c>
      <c r="AA2031" s="284" t="e">
        <v>#N/A</v>
      </c>
    </row>
    <row r="2032" spans="23:27" x14ac:dyDescent="0.2">
      <c r="W2032" s="203" t="str">
        <f t="shared" si="41"/>
        <v>1w</v>
      </c>
      <c r="X2032" s="287">
        <f>_xll.qlCalendarAdvance(Calendar,X2031,W2032,"f",FALSE)</f>
        <v>53280</v>
      </c>
      <c r="Y2032" s="281">
        <f>_xll.qlCalendarAdvance(Calendar,X2032,NDays&amp;"D")</f>
        <v>53282</v>
      </c>
      <c r="Z2032" s="282" t="e">
        <v>#N/A</v>
      </c>
      <c r="AA2032" s="284" t="e">
        <v>#N/A</v>
      </c>
    </row>
    <row r="2033" spans="23:27" x14ac:dyDescent="0.2">
      <c r="W2033" s="203" t="str">
        <f t="shared" si="41"/>
        <v>1w</v>
      </c>
      <c r="X2033" s="287">
        <f>_xll.qlCalendarAdvance(Calendar,X2032,W2033,"f",FALSE)</f>
        <v>53287</v>
      </c>
      <c r="Y2033" s="281">
        <f>_xll.qlCalendarAdvance(Calendar,X2033,NDays&amp;"D")</f>
        <v>53290</v>
      </c>
      <c r="Z2033" s="282" t="e">
        <v>#N/A</v>
      </c>
      <c r="AA2033" s="284" t="e">
        <v>#N/A</v>
      </c>
    </row>
    <row r="2034" spans="23:27" x14ac:dyDescent="0.2">
      <c r="W2034" s="203" t="str">
        <f t="shared" si="41"/>
        <v>1w</v>
      </c>
      <c r="X2034" s="287">
        <f>_xll.qlCalendarAdvance(Calendar,X2033,W2034,"f",FALSE)</f>
        <v>53294</v>
      </c>
      <c r="Y2034" s="281">
        <f>_xll.qlCalendarAdvance(Calendar,X2034,NDays&amp;"D")</f>
        <v>53296</v>
      </c>
      <c r="Z2034" s="282" t="e">
        <v>#N/A</v>
      </c>
      <c r="AA2034" s="284" t="e">
        <v>#N/A</v>
      </c>
    </row>
    <row r="2035" spans="23:27" x14ac:dyDescent="0.2">
      <c r="W2035" s="203" t="str">
        <f t="shared" si="41"/>
        <v>1w</v>
      </c>
      <c r="X2035" s="287">
        <f>_xll.qlCalendarAdvance(Calendar,X2034,W2035,"f",FALSE)</f>
        <v>53301</v>
      </c>
      <c r="Y2035" s="281">
        <f>_xll.qlCalendarAdvance(Calendar,X2035,NDays&amp;"D")</f>
        <v>53303</v>
      </c>
      <c r="Z2035" s="282" t="e">
        <v>#N/A</v>
      </c>
      <c r="AA2035" s="284" t="e">
        <v>#N/A</v>
      </c>
    </row>
    <row r="2036" spans="23:27" x14ac:dyDescent="0.2">
      <c r="W2036" s="203" t="str">
        <f t="shared" si="41"/>
        <v>1w</v>
      </c>
      <c r="X2036" s="287">
        <f>_xll.qlCalendarAdvance(Calendar,X2035,W2036,"f",FALSE)</f>
        <v>53308</v>
      </c>
      <c r="Y2036" s="281">
        <f>_xll.qlCalendarAdvance(Calendar,X2036,NDays&amp;"D")</f>
        <v>53310</v>
      </c>
      <c r="Z2036" s="282" t="e">
        <v>#N/A</v>
      </c>
      <c r="AA2036" s="284" t="e">
        <v>#N/A</v>
      </c>
    </row>
    <row r="2037" spans="23:27" x14ac:dyDescent="0.2">
      <c r="W2037" s="203" t="str">
        <f t="shared" si="41"/>
        <v>1w</v>
      </c>
      <c r="X2037" s="287">
        <f>_xll.qlCalendarAdvance(Calendar,X2036,W2037,"f",FALSE)</f>
        <v>53315</v>
      </c>
      <c r="Y2037" s="281">
        <f>_xll.qlCalendarAdvance(Calendar,X2037,NDays&amp;"D")</f>
        <v>53317</v>
      </c>
      <c r="Z2037" s="282" t="e">
        <v>#N/A</v>
      </c>
      <c r="AA2037" s="284" t="e">
        <v>#N/A</v>
      </c>
    </row>
    <row r="2038" spans="23:27" x14ac:dyDescent="0.2">
      <c r="W2038" s="203" t="str">
        <f t="shared" si="41"/>
        <v>1w</v>
      </c>
      <c r="X2038" s="287">
        <f>_xll.qlCalendarAdvance(Calendar,X2037,W2038,"f",FALSE)</f>
        <v>53323</v>
      </c>
      <c r="Y2038" s="281">
        <f>_xll.qlCalendarAdvance(Calendar,X2038,NDays&amp;"D")</f>
        <v>53325</v>
      </c>
      <c r="Z2038" s="282" t="e">
        <v>#N/A</v>
      </c>
      <c r="AA2038" s="284" t="e">
        <v>#N/A</v>
      </c>
    </row>
    <row r="2039" spans="23:27" x14ac:dyDescent="0.2">
      <c r="W2039" s="203" t="str">
        <f t="shared" si="41"/>
        <v>1w</v>
      </c>
      <c r="X2039" s="287">
        <f>_xll.qlCalendarAdvance(Calendar,X2038,W2039,"f",FALSE)</f>
        <v>53331</v>
      </c>
      <c r="Y2039" s="281">
        <f>_xll.qlCalendarAdvance(Calendar,X2039,NDays&amp;"D")</f>
        <v>53336</v>
      </c>
      <c r="Z2039" s="282" t="e">
        <v>#N/A</v>
      </c>
      <c r="AA2039" s="284" t="e">
        <v>#N/A</v>
      </c>
    </row>
    <row r="2040" spans="23:27" x14ac:dyDescent="0.2">
      <c r="W2040" s="203" t="str">
        <f t="shared" si="41"/>
        <v>1w</v>
      </c>
      <c r="X2040" s="287">
        <f>_xll.qlCalendarAdvance(Calendar,X2039,W2040,"f",FALSE)</f>
        <v>53338</v>
      </c>
      <c r="Y2040" s="281">
        <f>_xll.qlCalendarAdvance(Calendar,X2040,NDays&amp;"D")</f>
        <v>53342</v>
      </c>
      <c r="Z2040" s="282" t="e">
        <v>#N/A</v>
      </c>
      <c r="AA2040" s="284" t="e">
        <v>#N/A</v>
      </c>
    </row>
    <row r="2041" spans="23:27" x14ac:dyDescent="0.2">
      <c r="W2041" s="203" t="str">
        <f t="shared" si="41"/>
        <v>1w</v>
      </c>
      <c r="X2041" s="287">
        <f>_xll.qlCalendarAdvance(Calendar,X2040,W2041,"f",FALSE)</f>
        <v>53345</v>
      </c>
      <c r="Y2041" s="281">
        <f>_xll.qlCalendarAdvance(Calendar,X2041,NDays&amp;"D")</f>
        <v>53349</v>
      </c>
      <c r="Z2041" s="282" t="e">
        <v>#N/A</v>
      </c>
      <c r="AA2041" s="284" t="e">
        <v>#N/A</v>
      </c>
    </row>
    <row r="2042" spans="23:27" x14ac:dyDescent="0.2">
      <c r="W2042" s="203" t="str">
        <f t="shared" si="41"/>
        <v>1w</v>
      </c>
      <c r="X2042" s="287">
        <f>_xll.qlCalendarAdvance(Calendar,X2041,W2042,"f",FALSE)</f>
        <v>53352</v>
      </c>
      <c r="Y2042" s="281">
        <f>_xll.qlCalendarAdvance(Calendar,X2042,NDays&amp;"D")</f>
        <v>53356</v>
      </c>
      <c r="Z2042" s="282" t="e">
        <v>#N/A</v>
      </c>
      <c r="AA2042" s="284" t="e">
        <v>#N/A</v>
      </c>
    </row>
    <row r="2043" spans="23:27" x14ac:dyDescent="0.2">
      <c r="W2043" s="203" t="str">
        <f t="shared" si="41"/>
        <v>1w</v>
      </c>
      <c r="X2043" s="287">
        <f>_xll.qlCalendarAdvance(Calendar,X2042,W2043,"f",FALSE)</f>
        <v>53359</v>
      </c>
      <c r="Y2043" s="281">
        <f>_xll.qlCalendarAdvance(Calendar,X2043,NDays&amp;"D")</f>
        <v>53363</v>
      </c>
      <c r="Z2043" s="282" t="e">
        <v>#N/A</v>
      </c>
      <c r="AA2043" s="284" t="e">
        <v>#N/A</v>
      </c>
    </row>
    <row r="2044" spans="23:27" x14ac:dyDescent="0.2">
      <c r="W2044" s="203" t="str">
        <f t="shared" si="41"/>
        <v>1w</v>
      </c>
      <c r="X2044" s="287">
        <f>_xll.qlCalendarAdvance(Calendar,X2043,W2044,"f",FALSE)</f>
        <v>53366</v>
      </c>
      <c r="Y2044" s="281">
        <f>_xll.qlCalendarAdvance(Calendar,X2044,NDays&amp;"D")</f>
        <v>53371</v>
      </c>
      <c r="Z2044" s="282" t="e">
        <v>#N/A</v>
      </c>
      <c r="AA2044" s="284" t="e">
        <v>#N/A</v>
      </c>
    </row>
    <row r="2045" spans="23:27" x14ac:dyDescent="0.2">
      <c r="W2045" s="203" t="str">
        <f t="shared" si="41"/>
        <v>1w</v>
      </c>
      <c r="X2045" s="287">
        <f>_xll.qlCalendarAdvance(Calendar,X2044,W2045,"f",FALSE)</f>
        <v>53373</v>
      </c>
      <c r="Y2045" s="281">
        <f>_xll.qlCalendarAdvance(Calendar,X2045,NDays&amp;"D")</f>
        <v>53377</v>
      </c>
      <c r="Z2045" s="282" t="e">
        <v>#N/A</v>
      </c>
      <c r="AA2045" s="284" t="e">
        <v>#N/A</v>
      </c>
    </row>
    <row r="2046" spans="23:27" x14ac:dyDescent="0.2">
      <c r="W2046" s="203" t="str">
        <f t="shared" si="41"/>
        <v>1w</v>
      </c>
      <c r="X2046" s="287">
        <f>_xll.qlCalendarAdvance(Calendar,X2045,W2046,"f",FALSE)</f>
        <v>53380</v>
      </c>
      <c r="Y2046" s="281">
        <f>_xll.qlCalendarAdvance(Calendar,X2046,NDays&amp;"D")</f>
        <v>53384</v>
      </c>
      <c r="Z2046" s="282" t="e">
        <v>#N/A</v>
      </c>
      <c r="AA2046" s="284" t="e">
        <v>#N/A</v>
      </c>
    </row>
    <row r="2047" spans="23:27" x14ac:dyDescent="0.2">
      <c r="W2047" s="203" t="str">
        <f t="shared" si="41"/>
        <v>1w</v>
      </c>
      <c r="X2047" s="287">
        <f>_xll.qlCalendarAdvance(Calendar,X2046,W2047,"f",FALSE)</f>
        <v>53387</v>
      </c>
      <c r="Y2047" s="281">
        <f>_xll.qlCalendarAdvance(Calendar,X2047,NDays&amp;"D")</f>
        <v>53391</v>
      </c>
      <c r="Z2047" s="282" t="e">
        <v>#N/A</v>
      </c>
      <c r="AA2047" s="284" t="e">
        <v>#N/A</v>
      </c>
    </row>
    <row r="2048" spans="23:27" x14ac:dyDescent="0.2">
      <c r="W2048" s="203" t="str">
        <f t="shared" si="41"/>
        <v>1w</v>
      </c>
      <c r="X2048" s="287">
        <f>_xll.qlCalendarAdvance(Calendar,X2047,W2048,"f",FALSE)</f>
        <v>53394</v>
      </c>
      <c r="Y2048" s="281">
        <f>_xll.qlCalendarAdvance(Calendar,X2048,NDays&amp;"D")</f>
        <v>53398</v>
      </c>
      <c r="Z2048" s="282" t="e">
        <v>#N/A</v>
      </c>
      <c r="AA2048" s="284" t="e">
        <v>#N/A</v>
      </c>
    </row>
    <row r="2049" spans="23:27" x14ac:dyDescent="0.2">
      <c r="W2049" s="203" t="str">
        <f t="shared" si="41"/>
        <v>1w</v>
      </c>
      <c r="X2049" s="287">
        <f>_xll.qlCalendarAdvance(Calendar,X2048,W2049,"f",FALSE)</f>
        <v>53401</v>
      </c>
      <c r="Y2049" s="281">
        <f>_xll.qlCalendarAdvance(Calendar,X2049,NDays&amp;"D")</f>
        <v>53405</v>
      </c>
      <c r="Z2049" s="282" t="e">
        <v>#N/A</v>
      </c>
      <c r="AA2049" s="284" t="e">
        <v>#N/A</v>
      </c>
    </row>
    <row r="2050" spans="23:27" x14ac:dyDescent="0.2">
      <c r="W2050" s="203" t="str">
        <f t="shared" si="41"/>
        <v>1w</v>
      </c>
      <c r="X2050" s="287">
        <f>_xll.qlCalendarAdvance(Calendar,X2049,W2050,"f",FALSE)</f>
        <v>53408</v>
      </c>
      <c r="Y2050" s="281">
        <f>_xll.qlCalendarAdvance(Calendar,X2050,NDays&amp;"D")</f>
        <v>53414</v>
      </c>
      <c r="Z2050" s="282" t="e">
        <v>#N/A</v>
      </c>
      <c r="AA2050" s="284" t="e">
        <v>#N/A</v>
      </c>
    </row>
    <row r="2051" spans="23:27" x14ac:dyDescent="0.2">
      <c r="W2051" s="203" t="str">
        <f t="shared" si="41"/>
        <v>1w</v>
      </c>
      <c r="X2051" s="287">
        <f>_xll.qlCalendarAdvance(Calendar,X2050,W2051,"f",FALSE)</f>
        <v>53415</v>
      </c>
      <c r="Y2051" s="281">
        <f>_xll.qlCalendarAdvance(Calendar,X2051,NDays&amp;"D")</f>
        <v>53419</v>
      </c>
      <c r="Z2051" s="282" t="e">
        <v>#N/A</v>
      </c>
      <c r="AA2051" s="284" t="e">
        <v>#N/A</v>
      </c>
    </row>
    <row r="2052" spans="23:27" x14ac:dyDescent="0.2">
      <c r="W2052" s="203" t="str">
        <f t="shared" si="41"/>
        <v>1w</v>
      </c>
      <c r="X2052" s="287">
        <f>_xll.qlCalendarAdvance(Calendar,X2051,W2052,"f",FALSE)</f>
        <v>53422</v>
      </c>
      <c r="Y2052" s="281">
        <f>_xll.qlCalendarAdvance(Calendar,X2052,NDays&amp;"D")</f>
        <v>53426</v>
      </c>
      <c r="Z2052" s="282" t="e">
        <v>#N/A</v>
      </c>
      <c r="AA2052" s="284" t="e">
        <v>#N/A</v>
      </c>
    </row>
    <row r="2053" spans="23:27" x14ac:dyDescent="0.2">
      <c r="W2053" s="203" t="str">
        <f t="shared" si="41"/>
        <v>1w</v>
      </c>
      <c r="X2053" s="287">
        <f>_xll.qlCalendarAdvance(Calendar,X2052,W2053,"f",FALSE)</f>
        <v>53429</v>
      </c>
      <c r="Y2053" s="281">
        <f>_xll.qlCalendarAdvance(Calendar,X2053,NDays&amp;"D")</f>
        <v>53433</v>
      </c>
      <c r="Z2053" s="282" t="e">
        <v>#N/A</v>
      </c>
      <c r="AA2053" s="284" t="e">
        <v>#N/A</v>
      </c>
    </row>
    <row r="2054" spans="23:27" x14ac:dyDescent="0.2">
      <c r="W2054" s="203" t="str">
        <f t="shared" si="41"/>
        <v>1w</v>
      </c>
      <c r="X2054" s="287">
        <f>_xll.qlCalendarAdvance(Calendar,X2053,W2054,"f",FALSE)</f>
        <v>53436</v>
      </c>
      <c r="Y2054" s="281">
        <f>_xll.qlCalendarAdvance(Calendar,X2054,NDays&amp;"D")</f>
        <v>53440</v>
      </c>
      <c r="Z2054" s="282" t="e">
        <v>#N/A</v>
      </c>
      <c r="AA2054" s="284" t="e">
        <v>#N/A</v>
      </c>
    </row>
    <row r="2055" spans="23:27" x14ac:dyDescent="0.2">
      <c r="W2055" s="203" t="str">
        <f t="shared" si="41"/>
        <v>1w</v>
      </c>
      <c r="X2055" s="287">
        <f>_xll.qlCalendarAdvance(Calendar,X2054,W2055,"f",FALSE)</f>
        <v>53443</v>
      </c>
      <c r="Y2055" s="281">
        <f>_xll.qlCalendarAdvance(Calendar,X2055,NDays&amp;"D")</f>
        <v>53448</v>
      </c>
      <c r="Z2055" s="282" t="e">
        <v>#N/A</v>
      </c>
      <c r="AA2055" s="284" t="e">
        <v>#N/A</v>
      </c>
    </row>
    <row r="2056" spans="23:27" x14ac:dyDescent="0.2">
      <c r="W2056" s="203" t="str">
        <f t="shared" si="41"/>
        <v>1w</v>
      </c>
      <c r="X2056" s="287">
        <f>_xll.qlCalendarAdvance(Calendar,X2055,W2056,"f",FALSE)</f>
        <v>53455</v>
      </c>
      <c r="Y2056" s="281">
        <f>_xll.qlCalendarAdvance(Calendar,X2056,NDays&amp;"D")</f>
        <v>53457</v>
      </c>
      <c r="Z2056" s="282" t="e">
        <v>#N/A</v>
      </c>
      <c r="AA2056" s="284" t="e">
        <v>#N/A</v>
      </c>
    </row>
    <row r="2057" spans="23:27" x14ac:dyDescent="0.2">
      <c r="W2057" s="203" t="str">
        <f t="shared" si="41"/>
        <v>1w</v>
      </c>
      <c r="X2057" s="287">
        <f>_xll.qlCalendarAdvance(Calendar,X2056,W2057,"f",FALSE)</f>
        <v>53462</v>
      </c>
      <c r="Y2057" s="281">
        <f>_xll.qlCalendarAdvance(Calendar,X2057,NDays&amp;"D")</f>
        <v>53464</v>
      </c>
      <c r="Z2057" s="282" t="e">
        <v>#N/A</v>
      </c>
      <c r="AA2057" s="284" t="e">
        <v>#N/A</v>
      </c>
    </row>
    <row r="2058" spans="23:27" x14ac:dyDescent="0.2">
      <c r="W2058" s="203" t="str">
        <f t="shared" si="41"/>
        <v>1w</v>
      </c>
      <c r="X2058" s="287">
        <f>_xll.qlCalendarAdvance(Calendar,X2057,W2058,"f",FALSE)</f>
        <v>53469</v>
      </c>
      <c r="Y2058" s="281">
        <f>_xll.qlCalendarAdvance(Calendar,X2058,NDays&amp;"D")</f>
        <v>53471</v>
      </c>
      <c r="Z2058" s="282" t="e">
        <v>#N/A</v>
      </c>
      <c r="AA2058" s="284" t="e">
        <v>#N/A</v>
      </c>
    </row>
    <row r="2059" spans="23:27" x14ac:dyDescent="0.2">
      <c r="W2059" s="203" t="str">
        <f t="shared" si="41"/>
        <v>1w</v>
      </c>
      <c r="X2059" s="287">
        <f>_xll.qlCalendarAdvance(Calendar,X2058,W2059,"f",FALSE)</f>
        <v>53476</v>
      </c>
      <c r="Y2059" s="281">
        <f>_xll.qlCalendarAdvance(Calendar,X2059,NDays&amp;"D")</f>
        <v>53478</v>
      </c>
      <c r="Z2059" s="282" t="e">
        <v>#N/A</v>
      </c>
      <c r="AA2059" s="284" t="e">
        <v>#N/A</v>
      </c>
    </row>
    <row r="2060" spans="23:27" x14ac:dyDescent="0.2">
      <c r="W2060" s="203" t="str">
        <f t="shared" si="41"/>
        <v>1w</v>
      </c>
      <c r="X2060" s="287">
        <f>_xll.qlCalendarAdvance(Calendar,X2059,W2060,"f",FALSE)</f>
        <v>53483</v>
      </c>
      <c r="Y2060" s="281">
        <f>_xll.qlCalendarAdvance(Calendar,X2060,NDays&amp;"D")</f>
        <v>53485</v>
      </c>
      <c r="Z2060" s="282" t="e">
        <v>#N/A</v>
      </c>
      <c r="AA2060" s="284" t="e">
        <v>#N/A</v>
      </c>
    </row>
    <row r="2061" spans="23:27" x14ac:dyDescent="0.2">
      <c r="W2061" s="203" t="str">
        <f t="shared" si="41"/>
        <v>1w</v>
      </c>
      <c r="X2061" s="287">
        <f>_xll.qlCalendarAdvance(Calendar,X2060,W2061,"f",FALSE)</f>
        <v>53490</v>
      </c>
      <c r="Y2061" s="281">
        <f>_xll.qlCalendarAdvance(Calendar,X2061,NDays&amp;"D")</f>
        <v>53492</v>
      </c>
      <c r="Z2061" s="282" t="e">
        <v>#N/A</v>
      </c>
      <c r="AA2061" s="284" t="e">
        <v>#N/A</v>
      </c>
    </row>
    <row r="2062" spans="23:27" x14ac:dyDescent="0.2">
      <c r="W2062" s="203" t="str">
        <f t="shared" si="41"/>
        <v>1w</v>
      </c>
      <c r="X2062" s="287">
        <f>_xll.qlCalendarAdvance(Calendar,X2061,W2062,"f",FALSE)</f>
        <v>53497</v>
      </c>
      <c r="Y2062" s="281">
        <f>_xll.qlCalendarAdvance(Calendar,X2062,NDays&amp;"D")</f>
        <v>53499</v>
      </c>
      <c r="Z2062" s="282" t="e">
        <v>#N/A</v>
      </c>
      <c r="AA2062" s="284" t="e">
        <v>#N/A</v>
      </c>
    </row>
    <row r="2063" spans="23:27" x14ac:dyDescent="0.2">
      <c r="W2063" s="203" t="str">
        <f t="shared" si="41"/>
        <v>1w</v>
      </c>
      <c r="X2063" s="287">
        <f>_xll.qlCalendarAdvance(Calendar,X2062,W2063,"f",FALSE)</f>
        <v>53504</v>
      </c>
      <c r="Y2063" s="281">
        <f>_xll.qlCalendarAdvance(Calendar,X2063,NDays&amp;"D")</f>
        <v>53506</v>
      </c>
      <c r="Z2063" s="282" t="e">
        <v>#N/A</v>
      </c>
      <c r="AA2063" s="284" t="e">
        <v>#N/A</v>
      </c>
    </row>
    <row r="2064" spans="23:27" x14ac:dyDescent="0.2">
      <c r="W2064" s="203" t="str">
        <f t="shared" si="41"/>
        <v>1w</v>
      </c>
      <c r="X2064" s="287">
        <f>_xll.qlCalendarAdvance(Calendar,X2063,W2064,"f",FALSE)</f>
        <v>53511</v>
      </c>
      <c r="Y2064" s="281">
        <f>_xll.qlCalendarAdvance(Calendar,X2064,NDays&amp;"D")</f>
        <v>53513</v>
      </c>
      <c r="Z2064" s="282" t="e">
        <v>#N/A</v>
      </c>
      <c r="AA2064" s="284" t="e">
        <v>#N/A</v>
      </c>
    </row>
    <row r="2065" spans="23:27" x14ac:dyDescent="0.2">
      <c r="W2065" s="203" t="str">
        <f t="shared" si="41"/>
        <v>1w</v>
      </c>
      <c r="X2065" s="287">
        <f>_xll.qlCalendarAdvance(Calendar,X2064,W2065,"f",FALSE)</f>
        <v>53518</v>
      </c>
      <c r="Y2065" s="281">
        <f>_xll.qlCalendarAdvance(Calendar,X2065,NDays&amp;"D")</f>
        <v>53520</v>
      </c>
      <c r="Z2065" s="282" t="e">
        <v>#N/A</v>
      </c>
      <c r="AA2065" s="284" t="e">
        <v>#N/A</v>
      </c>
    </row>
    <row r="2066" spans="23:27" x14ac:dyDescent="0.2">
      <c r="W2066" s="203" t="str">
        <f t="shared" si="41"/>
        <v>1w</v>
      </c>
      <c r="X2066" s="287">
        <f>_xll.qlCalendarAdvance(Calendar,X2065,W2066,"f",FALSE)</f>
        <v>53525</v>
      </c>
      <c r="Y2066" s="281">
        <f>_xll.qlCalendarAdvance(Calendar,X2066,NDays&amp;"D")</f>
        <v>53527</v>
      </c>
      <c r="Z2066" s="282" t="e">
        <v>#N/A</v>
      </c>
      <c r="AA2066" s="284" t="e">
        <v>#N/A</v>
      </c>
    </row>
    <row r="2067" spans="23:27" x14ac:dyDescent="0.2">
      <c r="W2067" s="203" t="str">
        <f t="shared" si="41"/>
        <v>1w</v>
      </c>
      <c r="X2067" s="287">
        <f>_xll.qlCalendarAdvance(Calendar,X2066,W2067,"f",FALSE)</f>
        <v>53532</v>
      </c>
      <c r="Y2067" s="281">
        <f>_xll.qlCalendarAdvance(Calendar,X2067,NDays&amp;"D")</f>
        <v>53534</v>
      </c>
      <c r="Z2067" s="282" t="e">
        <v>#N/A</v>
      </c>
      <c r="AA2067" s="284" t="e">
        <v>#N/A</v>
      </c>
    </row>
    <row r="2068" spans="23:27" x14ac:dyDescent="0.2">
      <c r="W2068" s="203" t="str">
        <f t="shared" si="41"/>
        <v>1w</v>
      </c>
      <c r="X2068" s="287">
        <f>_xll.qlCalendarAdvance(Calendar,X2067,W2068,"f",FALSE)</f>
        <v>53539</v>
      </c>
      <c r="Y2068" s="281">
        <f>_xll.qlCalendarAdvance(Calendar,X2068,NDays&amp;"D")</f>
        <v>53541</v>
      </c>
      <c r="Z2068" s="282" t="e">
        <v>#N/A</v>
      </c>
      <c r="AA2068" s="284" t="e">
        <v>#N/A</v>
      </c>
    </row>
    <row r="2069" spans="23:27" x14ac:dyDescent="0.2">
      <c r="W2069" s="203" t="str">
        <f t="shared" ref="W2069:W2132" si="42">W2068</f>
        <v>1w</v>
      </c>
      <c r="X2069" s="287">
        <f>_xll.qlCalendarAdvance(Calendar,X2068,W2069,"f",FALSE)</f>
        <v>53546</v>
      </c>
      <c r="Y2069" s="281">
        <f>_xll.qlCalendarAdvance(Calendar,X2069,NDays&amp;"D")</f>
        <v>53548</v>
      </c>
      <c r="Z2069" s="282" t="e">
        <v>#N/A</v>
      </c>
      <c r="AA2069" s="284" t="e">
        <v>#N/A</v>
      </c>
    </row>
    <row r="2070" spans="23:27" x14ac:dyDescent="0.2">
      <c r="W2070" s="203" t="str">
        <f t="shared" si="42"/>
        <v>1w</v>
      </c>
      <c r="X2070" s="287">
        <f>_xll.qlCalendarAdvance(Calendar,X2069,W2070,"f",FALSE)</f>
        <v>53553</v>
      </c>
      <c r="Y2070" s="281">
        <f>_xll.qlCalendarAdvance(Calendar,X2070,NDays&amp;"D")</f>
        <v>53555</v>
      </c>
      <c r="Z2070" s="282" t="e">
        <v>#N/A</v>
      </c>
      <c r="AA2070" s="284" t="e">
        <v>#N/A</v>
      </c>
    </row>
    <row r="2071" spans="23:27" x14ac:dyDescent="0.2">
      <c r="W2071" s="203" t="str">
        <f t="shared" si="42"/>
        <v>1w</v>
      </c>
      <c r="X2071" s="287">
        <f>_xll.qlCalendarAdvance(Calendar,X2070,W2071,"f",FALSE)</f>
        <v>53560</v>
      </c>
      <c r="Y2071" s="281">
        <f>_xll.qlCalendarAdvance(Calendar,X2071,NDays&amp;"D")</f>
        <v>53562</v>
      </c>
      <c r="Z2071" s="282" t="e">
        <v>#N/A</v>
      </c>
      <c r="AA2071" s="284" t="e">
        <v>#N/A</v>
      </c>
    </row>
    <row r="2072" spans="23:27" x14ac:dyDescent="0.2">
      <c r="W2072" s="203" t="str">
        <f t="shared" si="42"/>
        <v>1w</v>
      </c>
      <c r="X2072" s="287">
        <f>_xll.qlCalendarAdvance(Calendar,X2071,W2072,"f",FALSE)</f>
        <v>53567</v>
      </c>
      <c r="Y2072" s="281">
        <f>_xll.qlCalendarAdvance(Calendar,X2072,NDays&amp;"D")</f>
        <v>53569</v>
      </c>
      <c r="Z2072" s="282" t="e">
        <v>#N/A</v>
      </c>
      <c r="AA2072" s="284" t="e">
        <v>#N/A</v>
      </c>
    </row>
    <row r="2073" spans="23:27" x14ac:dyDescent="0.2">
      <c r="W2073" s="203" t="str">
        <f t="shared" si="42"/>
        <v>1w</v>
      </c>
      <c r="X2073" s="287">
        <f>_xll.qlCalendarAdvance(Calendar,X2072,W2073,"f",FALSE)</f>
        <v>53574</v>
      </c>
      <c r="Y2073" s="281">
        <f>_xll.qlCalendarAdvance(Calendar,X2073,NDays&amp;"D")</f>
        <v>53576</v>
      </c>
      <c r="Z2073" s="282" t="e">
        <v>#N/A</v>
      </c>
      <c r="AA2073" s="284" t="e">
        <v>#N/A</v>
      </c>
    </row>
    <row r="2074" spans="23:27" x14ac:dyDescent="0.2">
      <c r="W2074" s="203" t="str">
        <f t="shared" si="42"/>
        <v>1w</v>
      </c>
      <c r="X2074" s="287">
        <f>_xll.qlCalendarAdvance(Calendar,X2073,W2074,"f",FALSE)</f>
        <v>53581</v>
      </c>
      <c r="Y2074" s="281">
        <f>_xll.qlCalendarAdvance(Calendar,X2074,NDays&amp;"D")</f>
        <v>53583</v>
      </c>
      <c r="Z2074" s="282" t="e">
        <v>#N/A</v>
      </c>
      <c r="AA2074" s="284" t="e">
        <v>#N/A</v>
      </c>
    </row>
    <row r="2075" spans="23:27" x14ac:dyDescent="0.2">
      <c r="W2075" s="203" t="str">
        <f t="shared" si="42"/>
        <v>1w</v>
      </c>
      <c r="X2075" s="287">
        <f>_xll.qlCalendarAdvance(Calendar,X2074,W2075,"f",FALSE)</f>
        <v>53588</v>
      </c>
      <c r="Y2075" s="281">
        <f>_xll.qlCalendarAdvance(Calendar,X2075,NDays&amp;"D")</f>
        <v>53590</v>
      </c>
      <c r="Z2075" s="282" t="e">
        <v>#N/A</v>
      </c>
      <c r="AA2075" s="284" t="e">
        <v>#N/A</v>
      </c>
    </row>
    <row r="2076" spans="23:27" x14ac:dyDescent="0.2">
      <c r="W2076" s="203" t="str">
        <f t="shared" si="42"/>
        <v>1w</v>
      </c>
      <c r="X2076" s="287">
        <f>_xll.qlCalendarAdvance(Calendar,X2075,W2076,"f",FALSE)</f>
        <v>53595</v>
      </c>
      <c r="Y2076" s="281">
        <f>_xll.qlCalendarAdvance(Calendar,X2076,NDays&amp;"D")</f>
        <v>53597</v>
      </c>
      <c r="Z2076" s="282" t="e">
        <v>#N/A</v>
      </c>
      <c r="AA2076" s="284" t="e">
        <v>#N/A</v>
      </c>
    </row>
    <row r="2077" spans="23:27" x14ac:dyDescent="0.2">
      <c r="W2077" s="203" t="str">
        <f t="shared" si="42"/>
        <v>1w</v>
      </c>
      <c r="X2077" s="287">
        <f>_xll.qlCalendarAdvance(Calendar,X2076,W2077,"f",FALSE)</f>
        <v>53602</v>
      </c>
      <c r="Y2077" s="281">
        <f>_xll.qlCalendarAdvance(Calendar,X2077,NDays&amp;"D")</f>
        <v>53604</v>
      </c>
      <c r="Z2077" s="282" t="e">
        <v>#N/A</v>
      </c>
      <c r="AA2077" s="284" t="e">
        <v>#N/A</v>
      </c>
    </row>
    <row r="2078" spans="23:27" x14ac:dyDescent="0.2">
      <c r="W2078" s="203" t="str">
        <f t="shared" si="42"/>
        <v>1w</v>
      </c>
      <c r="X2078" s="287">
        <f>_xll.qlCalendarAdvance(Calendar,X2077,W2078,"f",FALSE)</f>
        <v>53609</v>
      </c>
      <c r="Y2078" s="281">
        <f>_xll.qlCalendarAdvance(Calendar,X2078,NDays&amp;"D")</f>
        <v>53611</v>
      </c>
      <c r="Z2078" s="282" t="e">
        <v>#N/A</v>
      </c>
      <c r="AA2078" s="284" t="e">
        <v>#N/A</v>
      </c>
    </row>
    <row r="2079" spans="23:27" x14ac:dyDescent="0.2">
      <c r="W2079" s="203" t="str">
        <f t="shared" si="42"/>
        <v>1w</v>
      </c>
      <c r="X2079" s="287">
        <f>_xll.qlCalendarAdvance(Calendar,X2078,W2079,"f",FALSE)</f>
        <v>53616</v>
      </c>
      <c r="Y2079" s="281">
        <f>_xll.qlCalendarAdvance(Calendar,X2079,NDays&amp;"D")</f>
        <v>53618</v>
      </c>
      <c r="Z2079" s="282" t="e">
        <v>#N/A</v>
      </c>
      <c r="AA2079" s="284" t="e">
        <v>#N/A</v>
      </c>
    </row>
    <row r="2080" spans="23:27" x14ac:dyDescent="0.2">
      <c r="W2080" s="203" t="str">
        <f t="shared" si="42"/>
        <v>1w</v>
      </c>
      <c r="X2080" s="287">
        <f>_xll.qlCalendarAdvance(Calendar,X2079,W2080,"f",FALSE)</f>
        <v>53623</v>
      </c>
      <c r="Y2080" s="281">
        <f>_xll.qlCalendarAdvance(Calendar,X2080,NDays&amp;"D")</f>
        <v>53625</v>
      </c>
      <c r="Z2080" s="282" t="e">
        <v>#N/A</v>
      </c>
      <c r="AA2080" s="284" t="e">
        <v>#N/A</v>
      </c>
    </row>
    <row r="2081" spans="23:27" x14ac:dyDescent="0.2">
      <c r="W2081" s="203" t="str">
        <f t="shared" si="42"/>
        <v>1w</v>
      </c>
      <c r="X2081" s="287">
        <f>_xll.qlCalendarAdvance(Calendar,X2080,W2081,"f",FALSE)</f>
        <v>53630</v>
      </c>
      <c r="Y2081" s="281">
        <f>_xll.qlCalendarAdvance(Calendar,X2081,NDays&amp;"D")</f>
        <v>53632</v>
      </c>
      <c r="Z2081" s="282" t="e">
        <v>#N/A</v>
      </c>
      <c r="AA2081" s="284" t="e">
        <v>#N/A</v>
      </c>
    </row>
    <row r="2082" spans="23:27" x14ac:dyDescent="0.2">
      <c r="W2082" s="203" t="str">
        <f t="shared" si="42"/>
        <v>1w</v>
      </c>
      <c r="X2082" s="287">
        <f>_xll.qlCalendarAdvance(Calendar,X2081,W2082,"f",FALSE)</f>
        <v>53637</v>
      </c>
      <c r="Y2082" s="281">
        <f>_xll.qlCalendarAdvance(Calendar,X2082,NDays&amp;"D")</f>
        <v>53639</v>
      </c>
      <c r="Z2082" s="282" t="e">
        <v>#N/A</v>
      </c>
      <c r="AA2082" s="284" t="e">
        <v>#N/A</v>
      </c>
    </row>
    <row r="2083" spans="23:27" x14ac:dyDescent="0.2">
      <c r="W2083" s="203" t="str">
        <f t="shared" si="42"/>
        <v>1w</v>
      </c>
      <c r="X2083" s="287">
        <f>_xll.qlCalendarAdvance(Calendar,X2082,W2083,"f",FALSE)</f>
        <v>53644</v>
      </c>
      <c r="Y2083" s="281">
        <f>_xll.qlCalendarAdvance(Calendar,X2083,NDays&amp;"D")</f>
        <v>53646</v>
      </c>
      <c r="Z2083" s="282" t="e">
        <v>#N/A</v>
      </c>
      <c r="AA2083" s="284" t="e">
        <v>#N/A</v>
      </c>
    </row>
    <row r="2084" spans="23:27" x14ac:dyDescent="0.2">
      <c r="W2084" s="203" t="str">
        <f t="shared" si="42"/>
        <v>1w</v>
      </c>
      <c r="X2084" s="287">
        <f>_xll.qlCalendarAdvance(Calendar,X2083,W2084,"f",FALSE)</f>
        <v>53651</v>
      </c>
      <c r="Y2084" s="281">
        <f>_xll.qlCalendarAdvance(Calendar,X2084,NDays&amp;"D")</f>
        <v>53653</v>
      </c>
      <c r="Z2084" s="282" t="e">
        <v>#N/A</v>
      </c>
      <c r="AA2084" s="284" t="e">
        <v>#N/A</v>
      </c>
    </row>
    <row r="2085" spans="23:27" x14ac:dyDescent="0.2">
      <c r="W2085" s="203" t="str">
        <f t="shared" si="42"/>
        <v>1w</v>
      </c>
      <c r="X2085" s="287">
        <f>_xll.qlCalendarAdvance(Calendar,X2084,W2085,"f",FALSE)</f>
        <v>53658</v>
      </c>
      <c r="Y2085" s="281">
        <f>_xll.qlCalendarAdvance(Calendar,X2085,NDays&amp;"D")</f>
        <v>53660</v>
      </c>
      <c r="Z2085" s="282" t="e">
        <v>#N/A</v>
      </c>
      <c r="AA2085" s="284" t="e">
        <v>#N/A</v>
      </c>
    </row>
    <row r="2086" spans="23:27" x14ac:dyDescent="0.2">
      <c r="W2086" s="203" t="str">
        <f t="shared" si="42"/>
        <v>1w</v>
      </c>
      <c r="X2086" s="287">
        <f>_xll.qlCalendarAdvance(Calendar,X2085,W2086,"f",FALSE)</f>
        <v>53665</v>
      </c>
      <c r="Y2086" s="281">
        <f>_xll.qlCalendarAdvance(Calendar,X2086,NDays&amp;"D")</f>
        <v>53667</v>
      </c>
      <c r="Z2086" s="282" t="e">
        <v>#N/A</v>
      </c>
      <c r="AA2086" s="284" t="e">
        <v>#N/A</v>
      </c>
    </row>
    <row r="2087" spans="23:27" x14ac:dyDescent="0.2">
      <c r="W2087" s="203" t="str">
        <f t="shared" si="42"/>
        <v>1w</v>
      </c>
      <c r="X2087" s="287">
        <f>_xll.qlCalendarAdvance(Calendar,X2086,W2087,"f",FALSE)</f>
        <v>53672</v>
      </c>
      <c r="Y2087" s="281">
        <f>_xll.qlCalendarAdvance(Calendar,X2087,NDays&amp;"D")</f>
        <v>53674</v>
      </c>
      <c r="Z2087" s="282" t="e">
        <v>#N/A</v>
      </c>
      <c r="AA2087" s="284" t="e">
        <v>#N/A</v>
      </c>
    </row>
    <row r="2088" spans="23:27" x14ac:dyDescent="0.2">
      <c r="W2088" s="203" t="str">
        <f t="shared" si="42"/>
        <v>1w</v>
      </c>
      <c r="X2088" s="287">
        <f>_xll.qlCalendarAdvance(Calendar,X2087,W2088,"f",FALSE)</f>
        <v>53679</v>
      </c>
      <c r="Y2088" s="281">
        <f>_xll.qlCalendarAdvance(Calendar,X2088,NDays&amp;"D")</f>
        <v>53681</v>
      </c>
      <c r="Z2088" s="282" t="e">
        <v>#N/A</v>
      </c>
      <c r="AA2088" s="284" t="e">
        <v>#N/A</v>
      </c>
    </row>
    <row r="2089" spans="23:27" x14ac:dyDescent="0.2">
      <c r="W2089" s="203" t="str">
        <f t="shared" si="42"/>
        <v>1w</v>
      </c>
      <c r="X2089" s="287">
        <f>_xll.qlCalendarAdvance(Calendar,X2088,W2089,"f",FALSE)</f>
        <v>53688</v>
      </c>
      <c r="Y2089" s="281">
        <f>_xll.qlCalendarAdvance(Calendar,X2089,NDays&amp;"D")</f>
        <v>53696</v>
      </c>
      <c r="Z2089" s="282" t="e">
        <v>#N/A</v>
      </c>
      <c r="AA2089" s="284" t="e">
        <v>#N/A</v>
      </c>
    </row>
    <row r="2090" spans="23:27" x14ac:dyDescent="0.2">
      <c r="W2090" s="203" t="str">
        <f t="shared" si="42"/>
        <v>1w</v>
      </c>
      <c r="X2090" s="287">
        <f>_xll.qlCalendarAdvance(Calendar,X2089,W2090,"f",FALSE)</f>
        <v>53696</v>
      </c>
      <c r="Y2090" s="281">
        <f>_xll.qlCalendarAdvance(Calendar,X2090,NDays&amp;"D")</f>
        <v>53700</v>
      </c>
      <c r="Z2090" s="282" t="e">
        <v>#N/A</v>
      </c>
      <c r="AA2090" s="284" t="e">
        <v>#N/A</v>
      </c>
    </row>
    <row r="2091" spans="23:27" x14ac:dyDescent="0.2">
      <c r="W2091" s="203" t="str">
        <f t="shared" si="42"/>
        <v>1w</v>
      </c>
      <c r="X2091" s="287">
        <f>_xll.qlCalendarAdvance(Calendar,X2090,W2091,"f",FALSE)</f>
        <v>53703</v>
      </c>
      <c r="Y2091" s="281">
        <f>_xll.qlCalendarAdvance(Calendar,X2091,NDays&amp;"D")</f>
        <v>53708</v>
      </c>
      <c r="Z2091" s="282" t="e">
        <v>#N/A</v>
      </c>
      <c r="AA2091" s="284" t="e">
        <v>#N/A</v>
      </c>
    </row>
    <row r="2092" spans="23:27" x14ac:dyDescent="0.2">
      <c r="W2092" s="203" t="str">
        <f t="shared" si="42"/>
        <v>1w</v>
      </c>
      <c r="X2092" s="287">
        <f>_xll.qlCalendarAdvance(Calendar,X2091,W2092,"f",FALSE)</f>
        <v>53710</v>
      </c>
      <c r="Y2092" s="281">
        <f>_xll.qlCalendarAdvance(Calendar,X2092,NDays&amp;"D")</f>
        <v>53714</v>
      </c>
      <c r="Z2092" s="282" t="e">
        <v>#N/A</v>
      </c>
      <c r="AA2092" s="284" t="e">
        <v>#N/A</v>
      </c>
    </row>
    <row r="2093" spans="23:27" x14ac:dyDescent="0.2">
      <c r="W2093" s="203" t="str">
        <f t="shared" si="42"/>
        <v>1w</v>
      </c>
      <c r="X2093" s="287">
        <f>_xll.qlCalendarAdvance(Calendar,X2092,W2093,"f",FALSE)</f>
        <v>53717</v>
      </c>
      <c r="Y2093" s="281">
        <f>_xll.qlCalendarAdvance(Calendar,X2093,NDays&amp;"D")</f>
        <v>53721</v>
      </c>
      <c r="Z2093" s="282" t="e">
        <v>#N/A</v>
      </c>
      <c r="AA2093" s="284" t="e">
        <v>#N/A</v>
      </c>
    </row>
    <row r="2094" spans="23:27" x14ac:dyDescent="0.2">
      <c r="W2094" s="203" t="str">
        <f t="shared" si="42"/>
        <v>1w</v>
      </c>
      <c r="X2094" s="287">
        <f>_xll.qlCalendarAdvance(Calendar,X2093,W2094,"f",FALSE)</f>
        <v>53724</v>
      </c>
      <c r="Y2094" s="281">
        <f>_xll.qlCalendarAdvance(Calendar,X2094,NDays&amp;"D")</f>
        <v>53728</v>
      </c>
      <c r="Z2094" s="282" t="e">
        <v>#N/A</v>
      </c>
      <c r="AA2094" s="284" t="e">
        <v>#N/A</v>
      </c>
    </row>
    <row r="2095" spans="23:27" x14ac:dyDescent="0.2">
      <c r="W2095" s="203" t="str">
        <f t="shared" si="42"/>
        <v>1w</v>
      </c>
      <c r="X2095" s="287">
        <f>_xll.qlCalendarAdvance(Calendar,X2094,W2095,"f",FALSE)</f>
        <v>53731</v>
      </c>
      <c r="Y2095" s="281">
        <f>_xll.qlCalendarAdvance(Calendar,X2095,NDays&amp;"D")</f>
        <v>53736</v>
      </c>
      <c r="Z2095" s="282" t="e">
        <v>#N/A</v>
      </c>
      <c r="AA2095" s="284" t="e">
        <v>#N/A</v>
      </c>
    </row>
    <row r="2096" spans="23:27" x14ac:dyDescent="0.2">
      <c r="W2096" s="203" t="str">
        <f t="shared" si="42"/>
        <v>1w</v>
      </c>
      <c r="X2096" s="287">
        <f>_xll.qlCalendarAdvance(Calendar,X2095,W2096,"f",FALSE)</f>
        <v>53738</v>
      </c>
      <c r="Y2096" s="281">
        <f>_xll.qlCalendarAdvance(Calendar,X2096,NDays&amp;"D")</f>
        <v>53742</v>
      </c>
      <c r="Z2096" s="282" t="e">
        <v>#N/A</v>
      </c>
      <c r="AA2096" s="284" t="e">
        <v>#N/A</v>
      </c>
    </row>
    <row r="2097" spans="23:27" x14ac:dyDescent="0.2">
      <c r="W2097" s="203" t="str">
        <f t="shared" si="42"/>
        <v>1w</v>
      </c>
      <c r="X2097" s="287">
        <f>_xll.qlCalendarAdvance(Calendar,X2096,W2097,"f",FALSE)</f>
        <v>53745</v>
      </c>
      <c r="Y2097" s="281">
        <f>_xll.qlCalendarAdvance(Calendar,X2097,NDays&amp;"D")</f>
        <v>53749</v>
      </c>
      <c r="Z2097" s="282" t="e">
        <v>#N/A</v>
      </c>
      <c r="AA2097" s="284" t="e">
        <v>#N/A</v>
      </c>
    </row>
    <row r="2098" spans="23:27" x14ac:dyDescent="0.2">
      <c r="W2098" s="203" t="str">
        <f t="shared" si="42"/>
        <v>1w</v>
      </c>
      <c r="X2098" s="287">
        <f>_xll.qlCalendarAdvance(Calendar,X2097,W2098,"f",FALSE)</f>
        <v>53752</v>
      </c>
      <c r="Y2098" s="281">
        <f>_xll.qlCalendarAdvance(Calendar,X2098,NDays&amp;"D")</f>
        <v>53756</v>
      </c>
      <c r="Z2098" s="282" t="e">
        <v>#N/A</v>
      </c>
      <c r="AA2098" s="284" t="e">
        <v>#N/A</v>
      </c>
    </row>
    <row r="2099" spans="23:27" x14ac:dyDescent="0.2">
      <c r="W2099" s="203" t="str">
        <f t="shared" si="42"/>
        <v>1w</v>
      </c>
      <c r="X2099" s="287">
        <f>_xll.qlCalendarAdvance(Calendar,X2098,W2099,"f",FALSE)</f>
        <v>53759</v>
      </c>
      <c r="Y2099" s="281">
        <f>_xll.qlCalendarAdvance(Calendar,X2099,NDays&amp;"D")</f>
        <v>53763</v>
      </c>
      <c r="Z2099" s="282" t="e">
        <v>#N/A</v>
      </c>
      <c r="AA2099" s="284" t="e">
        <v>#N/A</v>
      </c>
    </row>
    <row r="2100" spans="23:27" x14ac:dyDescent="0.2">
      <c r="W2100" s="203" t="str">
        <f t="shared" si="42"/>
        <v>1w</v>
      </c>
      <c r="X2100" s="287">
        <f>_xll.qlCalendarAdvance(Calendar,X2099,W2100,"f",FALSE)</f>
        <v>53766</v>
      </c>
      <c r="Y2100" s="281">
        <f>_xll.qlCalendarAdvance(Calendar,X2100,NDays&amp;"D")</f>
        <v>53770</v>
      </c>
      <c r="Z2100" s="282" t="e">
        <v>#N/A</v>
      </c>
      <c r="AA2100" s="284" t="e">
        <v>#N/A</v>
      </c>
    </row>
    <row r="2101" spans="23:27" x14ac:dyDescent="0.2">
      <c r="W2101" s="203" t="str">
        <f t="shared" si="42"/>
        <v>1w</v>
      </c>
      <c r="X2101" s="287">
        <f>_xll.qlCalendarAdvance(Calendar,X2100,W2101,"f",FALSE)</f>
        <v>53773</v>
      </c>
      <c r="Y2101" s="281">
        <f>_xll.qlCalendarAdvance(Calendar,X2101,NDays&amp;"D")</f>
        <v>53777</v>
      </c>
      <c r="Z2101" s="282" t="e">
        <v>#N/A</v>
      </c>
      <c r="AA2101" s="284" t="e">
        <v>#N/A</v>
      </c>
    </row>
    <row r="2102" spans="23:27" x14ac:dyDescent="0.2">
      <c r="W2102" s="203" t="str">
        <f t="shared" si="42"/>
        <v>1w</v>
      </c>
      <c r="X2102" s="287">
        <f>_xll.qlCalendarAdvance(Calendar,X2101,W2102,"f",FALSE)</f>
        <v>53780</v>
      </c>
      <c r="Y2102" s="281">
        <f>_xll.qlCalendarAdvance(Calendar,X2102,NDays&amp;"D")</f>
        <v>53784</v>
      </c>
      <c r="Z2102" s="282" t="e">
        <v>#N/A</v>
      </c>
      <c r="AA2102" s="284" t="e">
        <v>#N/A</v>
      </c>
    </row>
    <row r="2103" spans="23:27" x14ac:dyDescent="0.2">
      <c r="W2103" s="203" t="str">
        <f t="shared" si="42"/>
        <v>1w</v>
      </c>
      <c r="X2103" s="287">
        <f>_xll.qlCalendarAdvance(Calendar,X2102,W2103,"f",FALSE)</f>
        <v>53787</v>
      </c>
      <c r="Y2103" s="281">
        <f>_xll.qlCalendarAdvance(Calendar,X2103,NDays&amp;"D")</f>
        <v>53791</v>
      </c>
      <c r="Z2103" s="282" t="e">
        <v>#N/A</v>
      </c>
      <c r="AA2103" s="284" t="e">
        <v>#N/A</v>
      </c>
    </row>
    <row r="2104" spans="23:27" x14ac:dyDescent="0.2">
      <c r="W2104" s="203" t="str">
        <f t="shared" si="42"/>
        <v>1w</v>
      </c>
      <c r="X2104" s="287">
        <f>_xll.qlCalendarAdvance(Calendar,X2103,W2104,"f",FALSE)</f>
        <v>53798</v>
      </c>
      <c r="Y2104" s="281">
        <f>_xll.qlCalendarAdvance(Calendar,X2104,NDays&amp;"D")</f>
        <v>53800</v>
      </c>
      <c r="Z2104" s="282" t="e">
        <v>#N/A</v>
      </c>
      <c r="AA2104" s="284" t="e">
        <v>#N/A</v>
      </c>
    </row>
    <row r="2105" spans="23:27" x14ac:dyDescent="0.2">
      <c r="W2105" s="203" t="str">
        <f t="shared" si="42"/>
        <v>1w</v>
      </c>
      <c r="X2105" s="287">
        <f>_xll.qlCalendarAdvance(Calendar,X2104,W2105,"f",FALSE)</f>
        <v>53805</v>
      </c>
      <c r="Y2105" s="281">
        <f>_xll.qlCalendarAdvance(Calendar,X2105,NDays&amp;"D")</f>
        <v>53807</v>
      </c>
      <c r="Z2105" s="282" t="e">
        <v>#N/A</v>
      </c>
      <c r="AA2105" s="284" t="e">
        <v>#N/A</v>
      </c>
    </row>
    <row r="2106" spans="23:27" x14ac:dyDescent="0.2">
      <c r="W2106" s="203" t="str">
        <f t="shared" si="42"/>
        <v>1w</v>
      </c>
      <c r="X2106" s="287">
        <f>_xll.qlCalendarAdvance(Calendar,X2105,W2106,"f",FALSE)</f>
        <v>53812</v>
      </c>
      <c r="Y2106" s="281">
        <f>_xll.qlCalendarAdvance(Calendar,X2106,NDays&amp;"D")</f>
        <v>53814</v>
      </c>
      <c r="Z2106" s="282" t="e">
        <v>#N/A</v>
      </c>
      <c r="AA2106" s="284" t="e">
        <v>#N/A</v>
      </c>
    </row>
    <row r="2107" spans="23:27" x14ac:dyDescent="0.2">
      <c r="W2107" s="203" t="str">
        <f t="shared" si="42"/>
        <v>1w</v>
      </c>
      <c r="X2107" s="287">
        <f>_xll.qlCalendarAdvance(Calendar,X2106,W2107,"f",FALSE)</f>
        <v>53819</v>
      </c>
      <c r="Y2107" s="281">
        <f>_xll.qlCalendarAdvance(Calendar,X2107,NDays&amp;"D")</f>
        <v>53821</v>
      </c>
      <c r="Z2107" s="282" t="e">
        <v>#N/A</v>
      </c>
      <c r="AA2107" s="284" t="e">
        <v>#N/A</v>
      </c>
    </row>
    <row r="2108" spans="23:27" x14ac:dyDescent="0.2">
      <c r="W2108" s="203" t="str">
        <f t="shared" si="42"/>
        <v>1w</v>
      </c>
      <c r="X2108" s="287">
        <f>_xll.qlCalendarAdvance(Calendar,X2107,W2108,"f",FALSE)</f>
        <v>53826</v>
      </c>
      <c r="Y2108" s="281">
        <f>_xll.qlCalendarAdvance(Calendar,X2108,NDays&amp;"D")</f>
        <v>53828</v>
      </c>
      <c r="Z2108" s="282" t="e">
        <v>#N/A</v>
      </c>
      <c r="AA2108" s="284" t="e">
        <v>#N/A</v>
      </c>
    </row>
    <row r="2109" spans="23:27" x14ac:dyDescent="0.2">
      <c r="W2109" s="203" t="str">
        <f t="shared" si="42"/>
        <v>1w</v>
      </c>
      <c r="X2109" s="287">
        <f>_xll.qlCalendarAdvance(Calendar,X2108,W2109,"f",FALSE)</f>
        <v>53833</v>
      </c>
      <c r="Y2109" s="281">
        <f>_xll.qlCalendarAdvance(Calendar,X2109,NDays&amp;"D")</f>
        <v>53835</v>
      </c>
      <c r="Z2109" s="282" t="e">
        <v>#N/A</v>
      </c>
      <c r="AA2109" s="284" t="e">
        <v>#N/A</v>
      </c>
    </row>
    <row r="2110" spans="23:27" x14ac:dyDescent="0.2">
      <c r="W2110" s="203" t="str">
        <f t="shared" si="42"/>
        <v>1w</v>
      </c>
      <c r="X2110" s="287">
        <f>_xll.qlCalendarAdvance(Calendar,X2109,W2110,"f",FALSE)</f>
        <v>53840</v>
      </c>
      <c r="Y2110" s="281">
        <f>_xll.qlCalendarAdvance(Calendar,X2110,NDays&amp;"D")</f>
        <v>53842</v>
      </c>
      <c r="Z2110" s="282" t="e">
        <v>#N/A</v>
      </c>
      <c r="AA2110" s="284" t="e">
        <v>#N/A</v>
      </c>
    </row>
    <row r="2111" spans="23:27" x14ac:dyDescent="0.2">
      <c r="W2111" s="203" t="str">
        <f t="shared" si="42"/>
        <v>1w</v>
      </c>
      <c r="X2111" s="287">
        <f>_xll.qlCalendarAdvance(Calendar,X2110,W2111,"f",FALSE)</f>
        <v>53847</v>
      </c>
      <c r="Y2111" s="281">
        <f>_xll.qlCalendarAdvance(Calendar,X2111,NDays&amp;"D")</f>
        <v>53849</v>
      </c>
      <c r="Z2111" s="282" t="e">
        <v>#N/A</v>
      </c>
      <c r="AA2111" s="284" t="e">
        <v>#N/A</v>
      </c>
    </row>
    <row r="2112" spans="23:27" x14ac:dyDescent="0.2">
      <c r="W2112" s="203" t="str">
        <f t="shared" si="42"/>
        <v>1w</v>
      </c>
      <c r="X2112" s="287">
        <f>_xll.qlCalendarAdvance(Calendar,X2111,W2112,"f",FALSE)</f>
        <v>53854</v>
      </c>
      <c r="Y2112" s="281">
        <f>_xll.qlCalendarAdvance(Calendar,X2112,NDays&amp;"D")</f>
        <v>53856</v>
      </c>
      <c r="Z2112" s="282" t="e">
        <v>#N/A</v>
      </c>
      <c r="AA2112" s="284" t="e">
        <v>#N/A</v>
      </c>
    </row>
    <row r="2113" spans="23:27" x14ac:dyDescent="0.2">
      <c r="W2113" s="203" t="str">
        <f t="shared" si="42"/>
        <v>1w</v>
      </c>
      <c r="X2113" s="287">
        <f>_xll.qlCalendarAdvance(Calendar,X2112,W2113,"f",FALSE)</f>
        <v>53861</v>
      </c>
      <c r="Y2113" s="281">
        <f>_xll.qlCalendarAdvance(Calendar,X2113,NDays&amp;"D")</f>
        <v>53863</v>
      </c>
      <c r="Z2113" s="282" t="e">
        <v>#N/A</v>
      </c>
      <c r="AA2113" s="284" t="e">
        <v>#N/A</v>
      </c>
    </row>
    <row r="2114" spans="23:27" x14ac:dyDescent="0.2">
      <c r="W2114" s="203" t="str">
        <f t="shared" si="42"/>
        <v>1w</v>
      </c>
      <c r="X2114" s="287">
        <f>_xll.qlCalendarAdvance(Calendar,X2113,W2114,"f",FALSE)</f>
        <v>53868</v>
      </c>
      <c r="Y2114" s="281">
        <f>_xll.qlCalendarAdvance(Calendar,X2114,NDays&amp;"D")</f>
        <v>53870</v>
      </c>
      <c r="Z2114" s="282" t="e">
        <v>#N/A</v>
      </c>
      <c r="AA2114" s="284" t="e">
        <v>#N/A</v>
      </c>
    </row>
    <row r="2115" spans="23:27" x14ac:dyDescent="0.2">
      <c r="W2115" s="203" t="str">
        <f t="shared" si="42"/>
        <v>1w</v>
      </c>
      <c r="X2115" s="287">
        <f>_xll.qlCalendarAdvance(Calendar,X2114,W2115,"f",FALSE)</f>
        <v>53875</v>
      </c>
      <c r="Y2115" s="281">
        <f>_xll.qlCalendarAdvance(Calendar,X2115,NDays&amp;"D")</f>
        <v>53877</v>
      </c>
      <c r="Z2115" s="282" t="e">
        <v>#N/A</v>
      </c>
      <c r="AA2115" s="284" t="e">
        <v>#N/A</v>
      </c>
    </row>
    <row r="2116" spans="23:27" x14ac:dyDescent="0.2">
      <c r="W2116" s="203" t="str">
        <f t="shared" si="42"/>
        <v>1w</v>
      </c>
      <c r="X2116" s="287">
        <f>_xll.qlCalendarAdvance(Calendar,X2115,W2116,"f",FALSE)</f>
        <v>53882</v>
      </c>
      <c r="Y2116" s="281">
        <f>_xll.qlCalendarAdvance(Calendar,X2116,NDays&amp;"D")</f>
        <v>53884</v>
      </c>
      <c r="Z2116" s="282" t="e">
        <v>#N/A</v>
      </c>
      <c r="AA2116" s="284" t="e">
        <v>#N/A</v>
      </c>
    </row>
    <row r="2117" spans="23:27" x14ac:dyDescent="0.2">
      <c r="W2117" s="203" t="str">
        <f t="shared" si="42"/>
        <v>1w</v>
      </c>
      <c r="X2117" s="287">
        <f>_xll.qlCalendarAdvance(Calendar,X2116,W2117,"f",FALSE)</f>
        <v>53889</v>
      </c>
      <c r="Y2117" s="281">
        <f>_xll.qlCalendarAdvance(Calendar,X2117,NDays&amp;"D")</f>
        <v>53891</v>
      </c>
      <c r="Z2117" s="282" t="e">
        <v>#N/A</v>
      </c>
      <c r="AA2117" s="284" t="e">
        <v>#N/A</v>
      </c>
    </row>
    <row r="2118" spans="23:27" x14ac:dyDescent="0.2">
      <c r="W2118" s="203" t="str">
        <f t="shared" si="42"/>
        <v>1w</v>
      </c>
      <c r="X2118" s="287">
        <f>_xll.qlCalendarAdvance(Calendar,X2117,W2118,"f",FALSE)</f>
        <v>53896</v>
      </c>
      <c r="Y2118" s="281">
        <f>_xll.qlCalendarAdvance(Calendar,X2118,NDays&amp;"D")</f>
        <v>53898</v>
      </c>
      <c r="Z2118" s="282" t="e">
        <v>#N/A</v>
      </c>
      <c r="AA2118" s="284" t="e">
        <v>#N/A</v>
      </c>
    </row>
    <row r="2119" spans="23:27" x14ac:dyDescent="0.2">
      <c r="W2119" s="203" t="str">
        <f t="shared" si="42"/>
        <v>1w</v>
      </c>
      <c r="X2119" s="287">
        <f>_xll.qlCalendarAdvance(Calendar,X2118,W2119,"f",FALSE)</f>
        <v>53903</v>
      </c>
      <c r="Y2119" s="281">
        <f>_xll.qlCalendarAdvance(Calendar,X2119,NDays&amp;"D")</f>
        <v>53905</v>
      </c>
      <c r="Z2119" s="282" t="e">
        <v>#N/A</v>
      </c>
      <c r="AA2119" s="284" t="e">
        <v>#N/A</v>
      </c>
    </row>
    <row r="2120" spans="23:27" x14ac:dyDescent="0.2">
      <c r="W2120" s="203" t="str">
        <f t="shared" si="42"/>
        <v>1w</v>
      </c>
      <c r="X2120" s="287">
        <f>_xll.qlCalendarAdvance(Calendar,X2119,W2120,"f",FALSE)</f>
        <v>53910</v>
      </c>
      <c r="Y2120" s="281">
        <f>_xll.qlCalendarAdvance(Calendar,X2120,NDays&amp;"D")</f>
        <v>53912</v>
      </c>
      <c r="Z2120" s="282" t="e">
        <v>#N/A</v>
      </c>
      <c r="AA2120" s="284" t="e">
        <v>#N/A</v>
      </c>
    </row>
    <row r="2121" spans="23:27" x14ac:dyDescent="0.2">
      <c r="W2121" s="203" t="str">
        <f t="shared" si="42"/>
        <v>1w</v>
      </c>
      <c r="X2121" s="287">
        <f>_xll.qlCalendarAdvance(Calendar,X2120,W2121,"f",FALSE)</f>
        <v>53917</v>
      </c>
      <c r="Y2121" s="281">
        <f>_xll.qlCalendarAdvance(Calendar,X2121,NDays&amp;"D")</f>
        <v>53919</v>
      </c>
      <c r="Z2121" s="282" t="e">
        <v>#N/A</v>
      </c>
      <c r="AA2121" s="284" t="e">
        <v>#N/A</v>
      </c>
    </row>
    <row r="2122" spans="23:27" x14ac:dyDescent="0.2">
      <c r="W2122" s="203" t="str">
        <f t="shared" si="42"/>
        <v>1w</v>
      </c>
      <c r="X2122" s="287">
        <f>_xll.qlCalendarAdvance(Calendar,X2121,W2122,"f",FALSE)</f>
        <v>53924</v>
      </c>
      <c r="Y2122" s="281">
        <f>_xll.qlCalendarAdvance(Calendar,X2122,NDays&amp;"D")</f>
        <v>53926</v>
      </c>
      <c r="Z2122" s="282" t="e">
        <v>#N/A</v>
      </c>
      <c r="AA2122" s="284" t="e">
        <v>#N/A</v>
      </c>
    </row>
    <row r="2123" spans="23:27" x14ac:dyDescent="0.2">
      <c r="W2123" s="203" t="str">
        <f t="shared" si="42"/>
        <v>1w</v>
      </c>
      <c r="X2123" s="287">
        <f>_xll.qlCalendarAdvance(Calendar,X2122,W2123,"f",FALSE)</f>
        <v>53931</v>
      </c>
      <c r="Y2123" s="281">
        <f>_xll.qlCalendarAdvance(Calendar,X2123,NDays&amp;"D")</f>
        <v>53933</v>
      </c>
      <c r="Z2123" s="282" t="e">
        <v>#N/A</v>
      </c>
      <c r="AA2123" s="284" t="e">
        <v>#N/A</v>
      </c>
    </row>
    <row r="2124" spans="23:27" x14ac:dyDescent="0.2">
      <c r="W2124" s="203" t="str">
        <f t="shared" si="42"/>
        <v>1w</v>
      </c>
      <c r="X2124" s="287">
        <f>_xll.qlCalendarAdvance(Calendar,X2123,W2124,"f",FALSE)</f>
        <v>53938</v>
      </c>
      <c r="Y2124" s="281">
        <f>_xll.qlCalendarAdvance(Calendar,X2124,NDays&amp;"D")</f>
        <v>53940</v>
      </c>
      <c r="Z2124" s="282" t="e">
        <v>#N/A</v>
      </c>
      <c r="AA2124" s="284" t="e">
        <v>#N/A</v>
      </c>
    </row>
    <row r="2125" spans="23:27" x14ac:dyDescent="0.2">
      <c r="W2125" s="203" t="str">
        <f t="shared" si="42"/>
        <v>1w</v>
      </c>
      <c r="X2125" s="287">
        <f>_xll.qlCalendarAdvance(Calendar,X2124,W2125,"f",FALSE)</f>
        <v>53945</v>
      </c>
      <c r="Y2125" s="281">
        <f>_xll.qlCalendarAdvance(Calendar,X2125,NDays&amp;"D")</f>
        <v>53947</v>
      </c>
      <c r="Z2125" s="282" t="e">
        <v>#N/A</v>
      </c>
      <c r="AA2125" s="284" t="e">
        <v>#N/A</v>
      </c>
    </row>
    <row r="2126" spans="23:27" x14ac:dyDescent="0.2">
      <c r="W2126" s="203" t="str">
        <f t="shared" si="42"/>
        <v>1w</v>
      </c>
      <c r="X2126" s="287">
        <f>_xll.qlCalendarAdvance(Calendar,X2125,W2126,"f",FALSE)</f>
        <v>53952</v>
      </c>
      <c r="Y2126" s="281">
        <f>_xll.qlCalendarAdvance(Calendar,X2126,NDays&amp;"D")</f>
        <v>53954</v>
      </c>
      <c r="Z2126" s="282" t="e">
        <v>#N/A</v>
      </c>
      <c r="AA2126" s="284" t="e">
        <v>#N/A</v>
      </c>
    </row>
    <row r="2127" spans="23:27" x14ac:dyDescent="0.2">
      <c r="W2127" s="203" t="str">
        <f t="shared" si="42"/>
        <v>1w</v>
      </c>
      <c r="X2127" s="287">
        <f>_xll.qlCalendarAdvance(Calendar,X2126,W2127,"f",FALSE)</f>
        <v>53959</v>
      </c>
      <c r="Y2127" s="281">
        <f>_xll.qlCalendarAdvance(Calendar,X2127,NDays&amp;"D")</f>
        <v>53961</v>
      </c>
      <c r="Z2127" s="282" t="e">
        <v>#N/A</v>
      </c>
      <c r="AA2127" s="284" t="e">
        <v>#N/A</v>
      </c>
    </row>
    <row r="2128" spans="23:27" x14ac:dyDescent="0.2">
      <c r="W2128" s="203" t="str">
        <f t="shared" si="42"/>
        <v>1w</v>
      </c>
      <c r="X2128" s="287">
        <f>_xll.qlCalendarAdvance(Calendar,X2127,W2128,"f",FALSE)</f>
        <v>53966</v>
      </c>
      <c r="Y2128" s="281">
        <f>_xll.qlCalendarAdvance(Calendar,X2128,NDays&amp;"D")</f>
        <v>53968</v>
      </c>
      <c r="Z2128" s="282" t="e">
        <v>#N/A</v>
      </c>
      <c r="AA2128" s="284" t="e">
        <v>#N/A</v>
      </c>
    </row>
    <row r="2129" spans="23:27" x14ac:dyDescent="0.2">
      <c r="W2129" s="203" t="str">
        <f t="shared" si="42"/>
        <v>1w</v>
      </c>
      <c r="X2129" s="287">
        <f>_xll.qlCalendarAdvance(Calendar,X2128,W2129,"f",FALSE)</f>
        <v>53973</v>
      </c>
      <c r="Y2129" s="281">
        <f>_xll.qlCalendarAdvance(Calendar,X2129,NDays&amp;"D")</f>
        <v>53975</v>
      </c>
      <c r="Z2129" s="282" t="e">
        <v>#N/A</v>
      </c>
      <c r="AA2129" s="284" t="e">
        <v>#N/A</v>
      </c>
    </row>
    <row r="2130" spans="23:27" x14ac:dyDescent="0.2">
      <c r="W2130" s="203" t="str">
        <f t="shared" si="42"/>
        <v>1w</v>
      </c>
      <c r="X2130" s="287">
        <f>_xll.qlCalendarAdvance(Calendar,X2129,W2130,"f",FALSE)</f>
        <v>53980</v>
      </c>
      <c r="Y2130" s="281">
        <f>_xll.qlCalendarAdvance(Calendar,X2130,NDays&amp;"D")</f>
        <v>53982</v>
      </c>
      <c r="Z2130" s="282" t="e">
        <v>#N/A</v>
      </c>
      <c r="AA2130" s="284" t="e">
        <v>#N/A</v>
      </c>
    </row>
    <row r="2131" spans="23:27" x14ac:dyDescent="0.2">
      <c r="W2131" s="203" t="str">
        <f t="shared" si="42"/>
        <v>1w</v>
      </c>
      <c r="X2131" s="287">
        <f>_xll.qlCalendarAdvance(Calendar,X2130,W2131,"f",FALSE)</f>
        <v>53987</v>
      </c>
      <c r="Y2131" s="281">
        <f>_xll.qlCalendarAdvance(Calendar,X2131,NDays&amp;"D")</f>
        <v>53989</v>
      </c>
      <c r="Z2131" s="282" t="e">
        <v>#N/A</v>
      </c>
      <c r="AA2131" s="284" t="e">
        <v>#N/A</v>
      </c>
    </row>
    <row r="2132" spans="23:27" x14ac:dyDescent="0.2">
      <c r="W2132" s="203" t="str">
        <f t="shared" si="42"/>
        <v>1w</v>
      </c>
      <c r="X2132" s="287">
        <f>_xll.qlCalendarAdvance(Calendar,X2131,W2132,"f",FALSE)</f>
        <v>53994</v>
      </c>
      <c r="Y2132" s="281">
        <f>_xll.qlCalendarAdvance(Calendar,X2132,NDays&amp;"D")</f>
        <v>53996</v>
      </c>
      <c r="Z2132" s="282" t="e">
        <v>#N/A</v>
      </c>
      <c r="AA2132" s="284" t="e">
        <v>#N/A</v>
      </c>
    </row>
    <row r="2133" spans="23:27" x14ac:dyDescent="0.2">
      <c r="W2133" s="203" t="str">
        <f t="shared" ref="W2133:W2196" si="43">W2132</f>
        <v>1w</v>
      </c>
      <c r="X2133" s="287">
        <f>_xll.qlCalendarAdvance(Calendar,X2132,W2133,"f",FALSE)</f>
        <v>54001</v>
      </c>
      <c r="Y2133" s="281">
        <f>_xll.qlCalendarAdvance(Calendar,X2133,NDays&amp;"D")</f>
        <v>54003</v>
      </c>
      <c r="Z2133" s="282" t="e">
        <v>#N/A</v>
      </c>
      <c r="AA2133" s="284" t="e">
        <v>#N/A</v>
      </c>
    </row>
    <row r="2134" spans="23:27" x14ac:dyDescent="0.2">
      <c r="W2134" s="203" t="str">
        <f t="shared" si="43"/>
        <v>1w</v>
      </c>
      <c r="X2134" s="287">
        <f>_xll.qlCalendarAdvance(Calendar,X2133,W2134,"f",FALSE)</f>
        <v>54008</v>
      </c>
      <c r="Y2134" s="281">
        <f>_xll.qlCalendarAdvance(Calendar,X2134,NDays&amp;"D")</f>
        <v>54010</v>
      </c>
      <c r="Z2134" s="282" t="e">
        <v>#N/A</v>
      </c>
      <c r="AA2134" s="284" t="e">
        <v>#N/A</v>
      </c>
    </row>
    <row r="2135" spans="23:27" x14ac:dyDescent="0.2">
      <c r="W2135" s="203" t="str">
        <f t="shared" si="43"/>
        <v>1w</v>
      </c>
      <c r="X2135" s="287">
        <f>_xll.qlCalendarAdvance(Calendar,X2134,W2135,"f",FALSE)</f>
        <v>54015</v>
      </c>
      <c r="Y2135" s="281">
        <f>_xll.qlCalendarAdvance(Calendar,X2135,NDays&amp;"D")</f>
        <v>54017</v>
      </c>
      <c r="Z2135" s="282" t="e">
        <v>#N/A</v>
      </c>
      <c r="AA2135" s="284" t="e">
        <v>#N/A</v>
      </c>
    </row>
    <row r="2136" spans="23:27" x14ac:dyDescent="0.2">
      <c r="W2136" s="203" t="str">
        <f t="shared" si="43"/>
        <v>1w</v>
      </c>
      <c r="X2136" s="287">
        <f>_xll.qlCalendarAdvance(Calendar,X2135,W2136,"f",FALSE)</f>
        <v>54022</v>
      </c>
      <c r="Y2136" s="281">
        <f>_xll.qlCalendarAdvance(Calendar,X2136,NDays&amp;"D")</f>
        <v>54024</v>
      </c>
      <c r="Z2136" s="282" t="e">
        <v>#N/A</v>
      </c>
      <c r="AA2136" s="284" t="e">
        <v>#N/A</v>
      </c>
    </row>
    <row r="2137" spans="23:27" x14ac:dyDescent="0.2">
      <c r="W2137" s="203" t="str">
        <f t="shared" si="43"/>
        <v>1w</v>
      </c>
      <c r="X2137" s="287">
        <f>_xll.qlCalendarAdvance(Calendar,X2136,W2137,"f",FALSE)</f>
        <v>54029</v>
      </c>
      <c r="Y2137" s="281">
        <f>_xll.qlCalendarAdvance(Calendar,X2137,NDays&amp;"D")</f>
        <v>54031</v>
      </c>
      <c r="Z2137" s="282" t="e">
        <v>#N/A</v>
      </c>
      <c r="AA2137" s="284" t="e">
        <v>#N/A</v>
      </c>
    </row>
    <row r="2138" spans="23:27" x14ac:dyDescent="0.2">
      <c r="W2138" s="203" t="str">
        <f t="shared" si="43"/>
        <v>1w</v>
      </c>
      <c r="X2138" s="287">
        <f>_xll.qlCalendarAdvance(Calendar,X2137,W2138,"f",FALSE)</f>
        <v>54036</v>
      </c>
      <c r="Y2138" s="281">
        <f>_xll.qlCalendarAdvance(Calendar,X2138,NDays&amp;"D")</f>
        <v>54038</v>
      </c>
      <c r="Z2138" s="282" t="e">
        <v>#N/A</v>
      </c>
      <c r="AA2138" s="284" t="e">
        <v>#N/A</v>
      </c>
    </row>
    <row r="2139" spans="23:27" x14ac:dyDescent="0.2">
      <c r="W2139" s="203" t="str">
        <f t="shared" si="43"/>
        <v>1w</v>
      </c>
      <c r="X2139" s="287">
        <f>_xll.qlCalendarAdvance(Calendar,X2138,W2139,"f",FALSE)</f>
        <v>54043</v>
      </c>
      <c r="Y2139" s="281">
        <f>_xll.qlCalendarAdvance(Calendar,X2139,NDays&amp;"D")</f>
        <v>54045</v>
      </c>
      <c r="Z2139" s="282" t="e">
        <v>#N/A</v>
      </c>
      <c r="AA2139" s="284" t="e">
        <v>#N/A</v>
      </c>
    </row>
    <row r="2140" spans="23:27" x14ac:dyDescent="0.2">
      <c r="W2140" s="203" t="str">
        <f t="shared" si="43"/>
        <v>1w</v>
      </c>
      <c r="X2140" s="287">
        <f>_xll.qlCalendarAdvance(Calendar,X2139,W2140,"f",FALSE)</f>
        <v>54050</v>
      </c>
      <c r="Y2140" s="281">
        <f>_xll.qlCalendarAdvance(Calendar,X2140,NDays&amp;"D")</f>
        <v>54056</v>
      </c>
      <c r="Z2140" s="282" t="e">
        <v>#N/A</v>
      </c>
      <c r="AA2140" s="284" t="e">
        <v>#N/A</v>
      </c>
    </row>
    <row r="2141" spans="23:27" x14ac:dyDescent="0.2">
      <c r="W2141" s="203" t="str">
        <f t="shared" si="43"/>
        <v>1w</v>
      </c>
      <c r="X2141" s="287">
        <f>_xll.qlCalendarAdvance(Calendar,X2140,W2141,"f",FALSE)</f>
        <v>54063</v>
      </c>
      <c r="Y2141" s="281">
        <f>_xll.qlCalendarAdvance(Calendar,X2141,NDays&amp;"D")</f>
        <v>54065</v>
      </c>
      <c r="Z2141" s="282" t="e">
        <v>#N/A</v>
      </c>
      <c r="AA2141" s="284" t="e">
        <v>#N/A</v>
      </c>
    </row>
    <row r="2142" spans="23:27" x14ac:dyDescent="0.2">
      <c r="W2142" s="203" t="str">
        <f t="shared" si="43"/>
        <v>1w</v>
      </c>
      <c r="X2142" s="287">
        <f>_xll.qlCalendarAdvance(Calendar,X2141,W2142,"f",FALSE)</f>
        <v>54071</v>
      </c>
      <c r="Y2142" s="281">
        <f>_xll.qlCalendarAdvance(Calendar,X2142,NDays&amp;"D")</f>
        <v>54073</v>
      </c>
      <c r="Z2142" s="282" t="e">
        <v>#N/A</v>
      </c>
      <c r="AA2142" s="284" t="e">
        <v>#N/A</v>
      </c>
    </row>
    <row r="2143" spans="23:27" x14ac:dyDescent="0.2">
      <c r="W2143" s="203" t="str">
        <f t="shared" si="43"/>
        <v>1w</v>
      </c>
      <c r="X2143" s="287">
        <f>_xll.qlCalendarAdvance(Calendar,X2142,W2143,"f",FALSE)</f>
        <v>54078</v>
      </c>
      <c r="Y2143" s="281">
        <f>_xll.qlCalendarAdvance(Calendar,X2143,NDays&amp;"D")</f>
        <v>54080</v>
      </c>
      <c r="Z2143" s="282" t="e">
        <v>#N/A</v>
      </c>
      <c r="AA2143" s="284" t="e">
        <v>#N/A</v>
      </c>
    </row>
    <row r="2144" spans="23:27" x14ac:dyDescent="0.2">
      <c r="W2144" s="203" t="str">
        <f t="shared" si="43"/>
        <v>1w</v>
      </c>
      <c r="X2144" s="287">
        <f>_xll.qlCalendarAdvance(Calendar,X2143,W2144,"f",FALSE)</f>
        <v>54085</v>
      </c>
      <c r="Y2144" s="281">
        <f>_xll.qlCalendarAdvance(Calendar,X2144,NDays&amp;"D")</f>
        <v>54087</v>
      </c>
      <c r="Z2144" s="282" t="e">
        <v>#N/A</v>
      </c>
      <c r="AA2144" s="284" t="e">
        <v>#N/A</v>
      </c>
    </row>
    <row r="2145" spans="23:27" x14ac:dyDescent="0.2">
      <c r="W2145" s="203" t="str">
        <f t="shared" si="43"/>
        <v>1w</v>
      </c>
      <c r="X2145" s="287">
        <f>_xll.qlCalendarAdvance(Calendar,X2144,W2145,"f",FALSE)</f>
        <v>54092</v>
      </c>
      <c r="Y2145" s="281">
        <f>_xll.qlCalendarAdvance(Calendar,X2145,NDays&amp;"D")</f>
        <v>54094</v>
      </c>
      <c r="Z2145" s="282" t="e">
        <v>#N/A</v>
      </c>
      <c r="AA2145" s="284" t="e">
        <v>#N/A</v>
      </c>
    </row>
    <row r="2146" spans="23:27" x14ac:dyDescent="0.2">
      <c r="W2146" s="203" t="str">
        <f t="shared" si="43"/>
        <v>1w</v>
      </c>
      <c r="X2146" s="287">
        <f>_xll.qlCalendarAdvance(Calendar,X2145,W2146,"f",FALSE)</f>
        <v>54100</v>
      </c>
      <c r="Y2146" s="281">
        <f>_xll.qlCalendarAdvance(Calendar,X2146,NDays&amp;"D")</f>
        <v>54102</v>
      </c>
      <c r="Z2146" s="282" t="e">
        <v>#N/A</v>
      </c>
      <c r="AA2146" s="284" t="e">
        <v>#N/A</v>
      </c>
    </row>
    <row r="2147" spans="23:27" x14ac:dyDescent="0.2">
      <c r="W2147" s="203" t="str">
        <f t="shared" si="43"/>
        <v>1w</v>
      </c>
      <c r="X2147" s="287">
        <f>_xll.qlCalendarAdvance(Calendar,X2146,W2147,"f",FALSE)</f>
        <v>54107</v>
      </c>
      <c r="Y2147" s="281">
        <f>_xll.qlCalendarAdvance(Calendar,X2147,NDays&amp;"D")</f>
        <v>54109</v>
      </c>
      <c r="Z2147" s="282" t="e">
        <v>#N/A</v>
      </c>
      <c r="AA2147" s="284" t="e">
        <v>#N/A</v>
      </c>
    </row>
    <row r="2148" spans="23:27" x14ac:dyDescent="0.2">
      <c r="W2148" s="203" t="str">
        <f t="shared" si="43"/>
        <v>1w</v>
      </c>
      <c r="X2148" s="287">
        <f>_xll.qlCalendarAdvance(Calendar,X2147,W2148,"f",FALSE)</f>
        <v>54114</v>
      </c>
      <c r="Y2148" s="281">
        <f>_xll.qlCalendarAdvance(Calendar,X2148,NDays&amp;"D")</f>
        <v>54116</v>
      </c>
      <c r="Z2148" s="282" t="e">
        <v>#N/A</v>
      </c>
      <c r="AA2148" s="284" t="e">
        <v>#N/A</v>
      </c>
    </row>
    <row r="2149" spans="23:27" x14ac:dyDescent="0.2">
      <c r="W2149" s="203" t="str">
        <f t="shared" si="43"/>
        <v>1w</v>
      </c>
      <c r="X2149" s="287">
        <f>_xll.qlCalendarAdvance(Calendar,X2148,W2149,"f",FALSE)</f>
        <v>54121</v>
      </c>
      <c r="Y2149" s="281">
        <f>_xll.qlCalendarAdvance(Calendar,X2149,NDays&amp;"D")</f>
        <v>54123</v>
      </c>
      <c r="Z2149" s="282" t="e">
        <v>#N/A</v>
      </c>
      <c r="AA2149" s="284" t="e">
        <v>#N/A</v>
      </c>
    </row>
    <row r="2150" spans="23:27" x14ac:dyDescent="0.2">
      <c r="W2150" s="203" t="str">
        <f t="shared" si="43"/>
        <v>1w</v>
      </c>
      <c r="X2150" s="287">
        <f>_xll.qlCalendarAdvance(Calendar,X2149,W2150,"f",FALSE)</f>
        <v>54128</v>
      </c>
      <c r="Y2150" s="281">
        <f>_xll.qlCalendarAdvance(Calendar,X2150,NDays&amp;"D")</f>
        <v>54130</v>
      </c>
      <c r="Z2150" s="282" t="e">
        <v>#N/A</v>
      </c>
      <c r="AA2150" s="284" t="e">
        <v>#N/A</v>
      </c>
    </row>
    <row r="2151" spans="23:27" x14ac:dyDescent="0.2">
      <c r="W2151" s="203" t="str">
        <f t="shared" si="43"/>
        <v>1w</v>
      </c>
      <c r="X2151" s="287">
        <f>_xll.qlCalendarAdvance(Calendar,X2150,W2151,"f",FALSE)</f>
        <v>54135</v>
      </c>
      <c r="Y2151" s="281">
        <f>_xll.qlCalendarAdvance(Calendar,X2151,NDays&amp;"D")</f>
        <v>54140</v>
      </c>
      <c r="Z2151" s="282" t="e">
        <v>#N/A</v>
      </c>
      <c r="AA2151" s="284" t="e">
        <v>#N/A</v>
      </c>
    </row>
    <row r="2152" spans="23:27" x14ac:dyDescent="0.2">
      <c r="W2152" s="203" t="str">
        <f t="shared" si="43"/>
        <v>1w</v>
      </c>
      <c r="X2152" s="287">
        <f>_xll.qlCalendarAdvance(Calendar,X2151,W2152,"f",FALSE)</f>
        <v>54142</v>
      </c>
      <c r="Y2152" s="281">
        <f>_xll.qlCalendarAdvance(Calendar,X2152,NDays&amp;"D")</f>
        <v>54144</v>
      </c>
      <c r="Z2152" s="282" t="e">
        <v>#N/A</v>
      </c>
      <c r="AA2152" s="284" t="e">
        <v>#N/A</v>
      </c>
    </row>
    <row r="2153" spans="23:27" x14ac:dyDescent="0.2">
      <c r="W2153" s="203" t="str">
        <f t="shared" si="43"/>
        <v>1w</v>
      </c>
      <c r="X2153" s="287">
        <f>_xll.qlCalendarAdvance(Calendar,X2152,W2153,"f",FALSE)</f>
        <v>54149</v>
      </c>
      <c r="Y2153" s="281">
        <f>_xll.qlCalendarAdvance(Calendar,X2153,NDays&amp;"D")</f>
        <v>54155</v>
      </c>
      <c r="Z2153" s="282" t="e">
        <v>#N/A</v>
      </c>
      <c r="AA2153" s="284" t="e">
        <v>#N/A</v>
      </c>
    </row>
    <row r="2154" spans="23:27" x14ac:dyDescent="0.2">
      <c r="W2154" s="203" t="str">
        <f t="shared" si="43"/>
        <v>1w</v>
      </c>
      <c r="X2154" s="287">
        <f>_xll.qlCalendarAdvance(Calendar,X2153,W2154,"f",FALSE)</f>
        <v>54156</v>
      </c>
      <c r="Y2154" s="281">
        <f>_xll.qlCalendarAdvance(Calendar,X2154,NDays&amp;"D")</f>
        <v>54158</v>
      </c>
      <c r="Z2154" s="282" t="e">
        <v>#N/A</v>
      </c>
      <c r="AA2154" s="284" t="e">
        <v>#N/A</v>
      </c>
    </row>
    <row r="2155" spans="23:27" x14ac:dyDescent="0.2">
      <c r="W2155" s="203" t="str">
        <f t="shared" si="43"/>
        <v>1w</v>
      </c>
      <c r="X2155" s="287">
        <f>_xll.qlCalendarAdvance(Calendar,X2154,W2155,"f",FALSE)</f>
        <v>54163</v>
      </c>
      <c r="Y2155" s="281">
        <f>_xll.qlCalendarAdvance(Calendar,X2155,NDays&amp;"D")</f>
        <v>54165</v>
      </c>
      <c r="Z2155" s="282" t="e">
        <v>#N/A</v>
      </c>
      <c r="AA2155" s="284" t="e">
        <v>#N/A</v>
      </c>
    </row>
    <row r="2156" spans="23:27" x14ac:dyDescent="0.2">
      <c r="W2156" s="203" t="str">
        <f t="shared" si="43"/>
        <v>1w</v>
      </c>
      <c r="X2156" s="287">
        <f>_xll.qlCalendarAdvance(Calendar,X2155,W2156,"f",FALSE)</f>
        <v>54170</v>
      </c>
      <c r="Y2156" s="281">
        <f>_xll.qlCalendarAdvance(Calendar,X2156,NDays&amp;"D")</f>
        <v>54172</v>
      </c>
      <c r="Z2156" s="282" t="e">
        <v>#N/A</v>
      </c>
      <c r="AA2156" s="284" t="e">
        <v>#N/A</v>
      </c>
    </row>
    <row r="2157" spans="23:27" x14ac:dyDescent="0.2">
      <c r="W2157" s="203" t="str">
        <f t="shared" si="43"/>
        <v>1w</v>
      </c>
      <c r="X2157" s="287">
        <f>_xll.qlCalendarAdvance(Calendar,X2156,W2157,"f",FALSE)</f>
        <v>54178</v>
      </c>
      <c r="Y2157" s="281">
        <f>_xll.qlCalendarAdvance(Calendar,X2157,NDays&amp;"D")</f>
        <v>54185</v>
      </c>
      <c r="Z2157" s="282" t="e">
        <v>#N/A</v>
      </c>
      <c r="AA2157" s="284" t="e">
        <v>#N/A</v>
      </c>
    </row>
    <row r="2158" spans="23:27" x14ac:dyDescent="0.2">
      <c r="W2158" s="203" t="str">
        <f t="shared" si="43"/>
        <v>1w</v>
      </c>
      <c r="X2158" s="287">
        <f>_xll.qlCalendarAdvance(Calendar,X2157,W2158,"f",FALSE)</f>
        <v>54185</v>
      </c>
      <c r="Y2158" s="281">
        <f>_xll.qlCalendarAdvance(Calendar,X2158,NDays&amp;"D")</f>
        <v>54189</v>
      </c>
      <c r="Z2158" s="282" t="e">
        <v>#N/A</v>
      </c>
      <c r="AA2158" s="284" t="e">
        <v>#N/A</v>
      </c>
    </row>
    <row r="2159" spans="23:27" x14ac:dyDescent="0.2">
      <c r="W2159" s="203" t="str">
        <f t="shared" si="43"/>
        <v>1w</v>
      </c>
      <c r="X2159" s="287">
        <f>_xll.qlCalendarAdvance(Calendar,X2158,W2159,"f",FALSE)</f>
        <v>54192</v>
      </c>
      <c r="Y2159" s="281">
        <f>_xll.qlCalendarAdvance(Calendar,X2159,NDays&amp;"D")</f>
        <v>54196</v>
      </c>
      <c r="Z2159" s="282" t="e">
        <v>#N/A</v>
      </c>
      <c r="AA2159" s="284" t="e">
        <v>#N/A</v>
      </c>
    </row>
    <row r="2160" spans="23:27" x14ac:dyDescent="0.2">
      <c r="W2160" s="203" t="str">
        <f t="shared" si="43"/>
        <v>1w</v>
      </c>
      <c r="X2160" s="287">
        <f>_xll.qlCalendarAdvance(Calendar,X2159,W2160,"f",FALSE)</f>
        <v>54199</v>
      </c>
      <c r="Y2160" s="281">
        <f>_xll.qlCalendarAdvance(Calendar,X2160,NDays&amp;"D")</f>
        <v>54204</v>
      </c>
      <c r="Z2160" s="282" t="e">
        <v>#N/A</v>
      </c>
      <c r="AA2160" s="284" t="e">
        <v>#N/A</v>
      </c>
    </row>
    <row r="2161" spans="23:27" x14ac:dyDescent="0.2">
      <c r="W2161" s="203" t="str">
        <f t="shared" si="43"/>
        <v>1w</v>
      </c>
      <c r="X2161" s="287">
        <f>_xll.qlCalendarAdvance(Calendar,X2160,W2161,"f",FALSE)</f>
        <v>54206</v>
      </c>
      <c r="Y2161" s="281">
        <f>_xll.qlCalendarAdvance(Calendar,X2161,NDays&amp;"D")</f>
        <v>54210</v>
      </c>
      <c r="Z2161" s="282" t="e">
        <v>#N/A</v>
      </c>
      <c r="AA2161" s="284" t="e">
        <v>#N/A</v>
      </c>
    </row>
    <row r="2162" spans="23:27" x14ac:dyDescent="0.2">
      <c r="W2162" s="203" t="str">
        <f t="shared" si="43"/>
        <v>1w</v>
      </c>
      <c r="X2162" s="287">
        <f>_xll.qlCalendarAdvance(Calendar,X2161,W2162,"f",FALSE)</f>
        <v>54213</v>
      </c>
      <c r="Y2162" s="281">
        <f>_xll.qlCalendarAdvance(Calendar,X2162,NDays&amp;"D")</f>
        <v>54217</v>
      </c>
      <c r="Z2162" s="282" t="e">
        <v>#N/A</v>
      </c>
      <c r="AA2162" s="284" t="e">
        <v>#N/A</v>
      </c>
    </row>
    <row r="2163" spans="23:27" x14ac:dyDescent="0.2">
      <c r="W2163" s="203" t="str">
        <f t="shared" si="43"/>
        <v>1w</v>
      </c>
      <c r="X2163" s="287">
        <f>_xll.qlCalendarAdvance(Calendar,X2162,W2163,"f",FALSE)</f>
        <v>54220</v>
      </c>
      <c r="Y2163" s="281">
        <f>_xll.qlCalendarAdvance(Calendar,X2163,NDays&amp;"D")</f>
        <v>54224</v>
      </c>
      <c r="Z2163" s="282" t="e">
        <v>#N/A</v>
      </c>
      <c r="AA2163" s="284" t="e">
        <v>#N/A</v>
      </c>
    </row>
    <row r="2164" spans="23:27" x14ac:dyDescent="0.2">
      <c r="W2164" s="203" t="str">
        <f t="shared" si="43"/>
        <v>1w</v>
      </c>
      <c r="X2164" s="287">
        <f>_xll.qlCalendarAdvance(Calendar,X2163,W2164,"f",FALSE)</f>
        <v>54227</v>
      </c>
      <c r="Y2164" s="281">
        <f>_xll.qlCalendarAdvance(Calendar,X2164,NDays&amp;"D")</f>
        <v>54231</v>
      </c>
      <c r="Z2164" s="282" t="e">
        <v>#N/A</v>
      </c>
      <c r="AA2164" s="284" t="e">
        <v>#N/A</v>
      </c>
    </row>
    <row r="2165" spans="23:27" x14ac:dyDescent="0.2">
      <c r="W2165" s="203" t="str">
        <f t="shared" si="43"/>
        <v>1w</v>
      </c>
      <c r="X2165" s="287">
        <f>_xll.qlCalendarAdvance(Calendar,X2164,W2165,"f",FALSE)</f>
        <v>54234</v>
      </c>
      <c r="Y2165" s="281">
        <f>_xll.qlCalendarAdvance(Calendar,X2165,NDays&amp;"D")</f>
        <v>54238</v>
      </c>
      <c r="Z2165" s="282" t="e">
        <v>#N/A</v>
      </c>
      <c r="AA2165" s="284" t="e">
        <v>#N/A</v>
      </c>
    </row>
    <row r="2166" spans="23:27" x14ac:dyDescent="0.2">
      <c r="W2166" s="203" t="str">
        <f t="shared" si="43"/>
        <v>1w</v>
      </c>
      <c r="X2166" s="287">
        <f>_xll.qlCalendarAdvance(Calendar,X2165,W2166,"f",FALSE)</f>
        <v>54241</v>
      </c>
      <c r="Y2166" s="281">
        <f>_xll.qlCalendarAdvance(Calendar,X2166,NDays&amp;"D")</f>
        <v>54245</v>
      </c>
      <c r="Z2166" s="282" t="e">
        <v>#N/A</v>
      </c>
      <c r="AA2166" s="284" t="e">
        <v>#N/A</v>
      </c>
    </row>
    <row r="2167" spans="23:27" x14ac:dyDescent="0.2">
      <c r="W2167" s="203" t="str">
        <f t="shared" si="43"/>
        <v>1w</v>
      </c>
      <c r="X2167" s="287">
        <f>_xll.qlCalendarAdvance(Calendar,X2166,W2167,"f",FALSE)</f>
        <v>54248</v>
      </c>
      <c r="Y2167" s="281">
        <f>_xll.qlCalendarAdvance(Calendar,X2167,NDays&amp;"D")</f>
        <v>54252</v>
      </c>
      <c r="Z2167" s="282" t="e">
        <v>#N/A</v>
      </c>
      <c r="AA2167" s="284" t="e">
        <v>#N/A</v>
      </c>
    </row>
    <row r="2168" spans="23:27" x14ac:dyDescent="0.2">
      <c r="W2168" s="203" t="str">
        <f t="shared" si="43"/>
        <v>1w</v>
      </c>
      <c r="X2168" s="287">
        <f>_xll.qlCalendarAdvance(Calendar,X2167,W2168,"f",FALSE)</f>
        <v>54255</v>
      </c>
      <c r="Y2168" s="281">
        <f>_xll.qlCalendarAdvance(Calendar,X2168,NDays&amp;"D")</f>
        <v>54260</v>
      </c>
      <c r="Z2168" s="282" t="e">
        <v>#N/A</v>
      </c>
      <c r="AA2168" s="284" t="e">
        <v>#N/A</v>
      </c>
    </row>
    <row r="2169" spans="23:27" x14ac:dyDescent="0.2">
      <c r="W2169" s="203" t="str">
        <f t="shared" si="43"/>
        <v>1w</v>
      </c>
      <c r="X2169" s="287">
        <f>_xll.qlCalendarAdvance(Calendar,X2168,W2169,"f",FALSE)</f>
        <v>54262</v>
      </c>
      <c r="Y2169" s="281">
        <f>_xll.qlCalendarAdvance(Calendar,X2169,NDays&amp;"D")</f>
        <v>54266</v>
      </c>
      <c r="Z2169" s="282" t="e">
        <v>#N/A</v>
      </c>
      <c r="AA2169" s="284" t="e">
        <v>#N/A</v>
      </c>
    </row>
    <row r="2170" spans="23:27" x14ac:dyDescent="0.2">
      <c r="W2170" s="203" t="str">
        <f t="shared" si="43"/>
        <v>1w</v>
      </c>
      <c r="X2170" s="287">
        <f>_xll.qlCalendarAdvance(Calendar,X2169,W2170,"f",FALSE)</f>
        <v>54269</v>
      </c>
      <c r="Y2170" s="281">
        <f>_xll.qlCalendarAdvance(Calendar,X2170,NDays&amp;"D")</f>
        <v>54273</v>
      </c>
      <c r="Z2170" s="282" t="e">
        <v>#N/A</v>
      </c>
      <c r="AA2170" s="284" t="e">
        <v>#N/A</v>
      </c>
    </row>
    <row r="2171" spans="23:27" x14ac:dyDescent="0.2">
      <c r="W2171" s="203" t="str">
        <f t="shared" si="43"/>
        <v>1w</v>
      </c>
      <c r="X2171" s="287">
        <f>_xll.qlCalendarAdvance(Calendar,X2170,W2171,"f",FALSE)</f>
        <v>54276</v>
      </c>
      <c r="Y2171" s="281">
        <f>_xll.qlCalendarAdvance(Calendar,X2171,NDays&amp;"D")</f>
        <v>54280</v>
      </c>
      <c r="Z2171" s="282" t="e">
        <v>#N/A</v>
      </c>
      <c r="AA2171" s="284" t="e">
        <v>#N/A</v>
      </c>
    </row>
    <row r="2172" spans="23:27" x14ac:dyDescent="0.2">
      <c r="W2172" s="203" t="str">
        <f t="shared" si="43"/>
        <v>1w</v>
      </c>
      <c r="X2172" s="287">
        <f>_xll.qlCalendarAdvance(Calendar,X2171,W2172,"f",FALSE)</f>
        <v>54283</v>
      </c>
      <c r="Y2172" s="281">
        <f>_xll.qlCalendarAdvance(Calendar,X2172,NDays&amp;"D")</f>
        <v>54287</v>
      </c>
      <c r="Z2172" s="282" t="e">
        <v>#N/A</v>
      </c>
      <c r="AA2172" s="284" t="e">
        <v>#N/A</v>
      </c>
    </row>
    <row r="2173" spans="23:27" x14ac:dyDescent="0.2">
      <c r="W2173" s="203" t="str">
        <f t="shared" si="43"/>
        <v>1w</v>
      </c>
      <c r="X2173" s="287">
        <f>_xll.qlCalendarAdvance(Calendar,X2172,W2173,"f",FALSE)</f>
        <v>54290</v>
      </c>
      <c r="Y2173" s="281">
        <f>_xll.qlCalendarAdvance(Calendar,X2173,NDays&amp;"D")</f>
        <v>54294</v>
      </c>
      <c r="Z2173" s="282" t="e">
        <v>#N/A</v>
      </c>
      <c r="AA2173" s="284" t="e">
        <v>#N/A</v>
      </c>
    </row>
    <row r="2174" spans="23:27" x14ac:dyDescent="0.2">
      <c r="W2174" s="203" t="str">
        <f t="shared" si="43"/>
        <v>1w</v>
      </c>
      <c r="X2174" s="287">
        <f>_xll.qlCalendarAdvance(Calendar,X2173,W2174,"f",FALSE)</f>
        <v>54297</v>
      </c>
      <c r="Y2174" s="281">
        <f>_xll.qlCalendarAdvance(Calendar,X2174,NDays&amp;"D")</f>
        <v>54302</v>
      </c>
      <c r="Z2174" s="282" t="e">
        <v>#N/A</v>
      </c>
      <c r="AA2174" s="284" t="e">
        <v>#N/A</v>
      </c>
    </row>
    <row r="2175" spans="23:27" x14ac:dyDescent="0.2">
      <c r="W2175" s="203" t="str">
        <f t="shared" si="43"/>
        <v>1w</v>
      </c>
      <c r="X2175" s="287">
        <f>_xll.qlCalendarAdvance(Calendar,X2174,W2175,"f",FALSE)</f>
        <v>54304</v>
      </c>
      <c r="Y2175" s="281">
        <f>_xll.qlCalendarAdvance(Calendar,X2175,NDays&amp;"D")</f>
        <v>54308</v>
      </c>
      <c r="Z2175" s="282" t="e">
        <v>#N/A</v>
      </c>
      <c r="AA2175" s="284" t="e">
        <v>#N/A</v>
      </c>
    </row>
    <row r="2176" spans="23:27" x14ac:dyDescent="0.2">
      <c r="W2176" s="203" t="str">
        <f t="shared" si="43"/>
        <v>1w</v>
      </c>
      <c r="X2176" s="287">
        <f>_xll.qlCalendarAdvance(Calendar,X2175,W2176,"f",FALSE)</f>
        <v>54311</v>
      </c>
      <c r="Y2176" s="281">
        <f>_xll.qlCalendarAdvance(Calendar,X2176,NDays&amp;"D")</f>
        <v>54315</v>
      </c>
      <c r="Z2176" s="282" t="e">
        <v>#N/A</v>
      </c>
      <c r="AA2176" s="284" t="e">
        <v>#N/A</v>
      </c>
    </row>
    <row r="2177" spans="23:27" x14ac:dyDescent="0.2">
      <c r="W2177" s="203" t="str">
        <f t="shared" si="43"/>
        <v>1w</v>
      </c>
      <c r="X2177" s="287">
        <f>_xll.qlCalendarAdvance(Calendar,X2176,W2177,"f",FALSE)</f>
        <v>54318</v>
      </c>
      <c r="Y2177" s="281">
        <f>_xll.qlCalendarAdvance(Calendar,X2177,NDays&amp;"D")</f>
        <v>54324</v>
      </c>
      <c r="Z2177" s="282" t="e">
        <v>#N/A</v>
      </c>
      <c r="AA2177" s="284" t="e">
        <v>#N/A</v>
      </c>
    </row>
    <row r="2178" spans="23:27" x14ac:dyDescent="0.2">
      <c r="W2178" s="203" t="str">
        <f t="shared" si="43"/>
        <v>1w</v>
      </c>
      <c r="X2178" s="287">
        <f>_xll.qlCalendarAdvance(Calendar,X2177,W2178,"f",FALSE)</f>
        <v>54325</v>
      </c>
      <c r="Y2178" s="281">
        <f>_xll.qlCalendarAdvance(Calendar,X2178,NDays&amp;"D")</f>
        <v>54329</v>
      </c>
      <c r="Z2178" s="282" t="e">
        <v>#N/A</v>
      </c>
      <c r="AA2178" s="284" t="e">
        <v>#N/A</v>
      </c>
    </row>
    <row r="2179" spans="23:27" x14ac:dyDescent="0.2">
      <c r="W2179" s="203" t="str">
        <f t="shared" si="43"/>
        <v>1w</v>
      </c>
      <c r="X2179" s="287">
        <f>_xll.qlCalendarAdvance(Calendar,X2178,W2179,"f",FALSE)</f>
        <v>54332</v>
      </c>
      <c r="Y2179" s="281">
        <f>_xll.qlCalendarAdvance(Calendar,X2179,NDays&amp;"D")</f>
        <v>54336</v>
      </c>
      <c r="Z2179" s="282" t="e">
        <v>#N/A</v>
      </c>
      <c r="AA2179" s="284" t="e">
        <v>#N/A</v>
      </c>
    </row>
    <row r="2180" spans="23:27" x14ac:dyDescent="0.2">
      <c r="W2180" s="203" t="str">
        <f t="shared" si="43"/>
        <v>1w</v>
      </c>
      <c r="X2180" s="287">
        <f>_xll.qlCalendarAdvance(Calendar,X2179,W2180,"f",FALSE)</f>
        <v>54339</v>
      </c>
      <c r="Y2180" s="281">
        <f>_xll.qlCalendarAdvance(Calendar,X2180,NDays&amp;"D")</f>
        <v>54344</v>
      </c>
      <c r="Z2180" s="282" t="e">
        <v>#N/A</v>
      </c>
      <c r="AA2180" s="284" t="e">
        <v>#N/A</v>
      </c>
    </row>
    <row r="2181" spans="23:27" x14ac:dyDescent="0.2">
      <c r="W2181" s="203" t="str">
        <f t="shared" si="43"/>
        <v>1w</v>
      </c>
      <c r="X2181" s="287">
        <f>_xll.qlCalendarAdvance(Calendar,X2180,W2181,"f",FALSE)</f>
        <v>54346</v>
      </c>
      <c r="Y2181" s="281">
        <f>_xll.qlCalendarAdvance(Calendar,X2181,NDays&amp;"D")</f>
        <v>54350</v>
      </c>
      <c r="Z2181" s="282" t="e">
        <v>#N/A</v>
      </c>
      <c r="AA2181" s="284" t="e">
        <v>#N/A</v>
      </c>
    </row>
    <row r="2182" spans="23:27" x14ac:dyDescent="0.2">
      <c r="W2182" s="203" t="str">
        <f t="shared" si="43"/>
        <v>1w</v>
      </c>
      <c r="X2182" s="287">
        <f>_xll.qlCalendarAdvance(Calendar,X2181,W2182,"f",FALSE)</f>
        <v>54353</v>
      </c>
      <c r="Y2182" s="281">
        <f>_xll.qlCalendarAdvance(Calendar,X2182,NDays&amp;"D")</f>
        <v>54357</v>
      </c>
      <c r="Z2182" s="282" t="e">
        <v>#N/A</v>
      </c>
      <c r="AA2182" s="284" t="e">
        <v>#N/A</v>
      </c>
    </row>
    <row r="2183" spans="23:27" x14ac:dyDescent="0.2">
      <c r="W2183" s="203" t="str">
        <f t="shared" si="43"/>
        <v>1w</v>
      </c>
      <c r="X2183" s="287">
        <f>_xll.qlCalendarAdvance(Calendar,X2182,W2183,"f",FALSE)</f>
        <v>54360</v>
      </c>
      <c r="Y2183" s="281">
        <f>_xll.qlCalendarAdvance(Calendar,X2183,NDays&amp;"D")</f>
        <v>54364</v>
      </c>
      <c r="Z2183" s="282" t="e">
        <v>#N/A</v>
      </c>
      <c r="AA2183" s="284" t="e">
        <v>#N/A</v>
      </c>
    </row>
    <row r="2184" spans="23:27" x14ac:dyDescent="0.2">
      <c r="W2184" s="203" t="str">
        <f t="shared" si="43"/>
        <v>1w</v>
      </c>
      <c r="X2184" s="287">
        <f>_xll.qlCalendarAdvance(Calendar,X2183,W2184,"f",FALSE)</f>
        <v>54367</v>
      </c>
      <c r="Y2184" s="281">
        <f>_xll.qlCalendarAdvance(Calendar,X2184,NDays&amp;"D")</f>
        <v>54371</v>
      </c>
      <c r="Z2184" s="282" t="e">
        <v>#N/A</v>
      </c>
      <c r="AA2184" s="284" t="e">
        <v>#N/A</v>
      </c>
    </row>
    <row r="2185" spans="23:27" x14ac:dyDescent="0.2">
      <c r="W2185" s="203" t="str">
        <f t="shared" si="43"/>
        <v>1w</v>
      </c>
      <c r="X2185" s="287">
        <f>_xll.qlCalendarAdvance(Calendar,X2184,W2185,"f",FALSE)</f>
        <v>54374</v>
      </c>
      <c r="Y2185" s="281">
        <f>_xll.qlCalendarAdvance(Calendar,X2185,NDays&amp;"D")</f>
        <v>54378</v>
      </c>
      <c r="Z2185" s="282" t="e">
        <v>#N/A</v>
      </c>
      <c r="AA2185" s="284" t="e">
        <v>#N/A</v>
      </c>
    </row>
    <row r="2186" spans="23:27" x14ac:dyDescent="0.2">
      <c r="W2186" s="203" t="str">
        <f t="shared" si="43"/>
        <v>1w</v>
      </c>
      <c r="X2186" s="287">
        <f>_xll.qlCalendarAdvance(Calendar,X2185,W2186,"f",FALSE)</f>
        <v>54381</v>
      </c>
      <c r="Y2186" s="281">
        <f>_xll.qlCalendarAdvance(Calendar,X2186,NDays&amp;"D")</f>
        <v>54386</v>
      </c>
      <c r="Z2186" s="282" t="e">
        <v>#N/A</v>
      </c>
      <c r="AA2186" s="284" t="e">
        <v>#N/A</v>
      </c>
    </row>
    <row r="2187" spans="23:27" x14ac:dyDescent="0.2">
      <c r="W2187" s="203" t="str">
        <f t="shared" si="43"/>
        <v>1w</v>
      </c>
      <c r="X2187" s="287">
        <f>_xll.qlCalendarAdvance(Calendar,X2186,W2187,"f",FALSE)</f>
        <v>54388</v>
      </c>
      <c r="Y2187" s="281">
        <f>_xll.qlCalendarAdvance(Calendar,X2187,NDays&amp;"D")</f>
        <v>54392</v>
      </c>
      <c r="Z2187" s="282" t="e">
        <v>#N/A</v>
      </c>
      <c r="AA2187" s="284" t="e">
        <v>#N/A</v>
      </c>
    </row>
    <row r="2188" spans="23:27" x14ac:dyDescent="0.2">
      <c r="W2188" s="203" t="str">
        <f t="shared" si="43"/>
        <v>1w</v>
      </c>
      <c r="X2188" s="287">
        <f>_xll.qlCalendarAdvance(Calendar,X2187,W2188,"f",FALSE)</f>
        <v>54395</v>
      </c>
      <c r="Y2188" s="281">
        <f>_xll.qlCalendarAdvance(Calendar,X2188,NDays&amp;"D")</f>
        <v>54399</v>
      </c>
      <c r="Z2188" s="282" t="e">
        <v>#N/A</v>
      </c>
      <c r="AA2188" s="284" t="e">
        <v>#N/A</v>
      </c>
    </row>
    <row r="2189" spans="23:27" x14ac:dyDescent="0.2">
      <c r="W2189" s="203" t="str">
        <f t="shared" si="43"/>
        <v>1w</v>
      </c>
      <c r="X2189" s="287">
        <f>_xll.qlCalendarAdvance(Calendar,X2188,W2189,"f",FALSE)</f>
        <v>54402</v>
      </c>
      <c r="Y2189" s="281">
        <f>_xll.qlCalendarAdvance(Calendar,X2189,NDays&amp;"D")</f>
        <v>54406</v>
      </c>
      <c r="Z2189" s="282" t="e">
        <v>#N/A</v>
      </c>
      <c r="AA2189" s="284" t="e">
        <v>#N/A</v>
      </c>
    </row>
    <row r="2190" spans="23:27" x14ac:dyDescent="0.2">
      <c r="W2190" s="203" t="str">
        <f t="shared" si="43"/>
        <v>1w</v>
      </c>
      <c r="X2190" s="287">
        <f>_xll.qlCalendarAdvance(Calendar,X2189,W2190,"f",FALSE)</f>
        <v>54409</v>
      </c>
      <c r="Y2190" s="281">
        <f>_xll.qlCalendarAdvance(Calendar,X2190,NDays&amp;"D")</f>
        <v>54413</v>
      </c>
      <c r="Z2190" s="282" t="e">
        <v>#N/A</v>
      </c>
      <c r="AA2190" s="284" t="e">
        <v>#N/A</v>
      </c>
    </row>
    <row r="2191" spans="23:27" x14ac:dyDescent="0.2">
      <c r="W2191" s="203" t="str">
        <f t="shared" si="43"/>
        <v>1w</v>
      </c>
      <c r="X2191" s="287">
        <f>_xll.qlCalendarAdvance(Calendar,X2190,W2191,"f",FALSE)</f>
        <v>54416</v>
      </c>
      <c r="Y2191" s="281">
        <f>_xll.qlCalendarAdvance(Calendar,X2191,NDays&amp;"D")</f>
        <v>54422</v>
      </c>
      <c r="Z2191" s="282" t="e">
        <v>#N/A</v>
      </c>
      <c r="AA2191" s="284" t="e">
        <v>#N/A</v>
      </c>
    </row>
    <row r="2192" spans="23:27" x14ac:dyDescent="0.2">
      <c r="W2192" s="203" t="str">
        <f t="shared" si="43"/>
        <v>1w</v>
      </c>
      <c r="X2192" s="287">
        <f>_xll.qlCalendarAdvance(Calendar,X2191,W2192,"f",FALSE)</f>
        <v>54427</v>
      </c>
      <c r="Y2192" s="281">
        <f>_xll.qlCalendarAdvance(Calendar,X2192,NDays&amp;"D")</f>
        <v>54429</v>
      </c>
      <c r="Z2192" s="282" t="e">
        <v>#N/A</v>
      </c>
      <c r="AA2192" s="284" t="e">
        <v>#N/A</v>
      </c>
    </row>
    <row r="2193" spans="23:27" x14ac:dyDescent="0.2">
      <c r="W2193" s="203" t="str">
        <f t="shared" si="43"/>
        <v>1w</v>
      </c>
      <c r="X2193" s="287">
        <f>_xll.qlCalendarAdvance(Calendar,X2192,W2193,"f",FALSE)</f>
        <v>54435</v>
      </c>
      <c r="Y2193" s="281">
        <f>_xll.qlCalendarAdvance(Calendar,X2193,NDays&amp;"D")</f>
        <v>54437</v>
      </c>
      <c r="Z2193" s="282" t="e">
        <v>#N/A</v>
      </c>
      <c r="AA2193" s="284" t="e">
        <v>#N/A</v>
      </c>
    </row>
    <row r="2194" spans="23:27" x14ac:dyDescent="0.2">
      <c r="W2194" s="203" t="str">
        <f t="shared" si="43"/>
        <v>1w</v>
      </c>
      <c r="X2194" s="287">
        <f>_xll.qlCalendarAdvance(Calendar,X2193,W2194,"f",FALSE)</f>
        <v>54442</v>
      </c>
      <c r="Y2194" s="281">
        <f>_xll.qlCalendarAdvance(Calendar,X2194,NDays&amp;"D")</f>
        <v>54444</v>
      </c>
      <c r="Z2194" s="282" t="e">
        <v>#N/A</v>
      </c>
      <c r="AA2194" s="284" t="e">
        <v>#N/A</v>
      </c>
    </row>
    <row r="2195" spans="23:27" x14ac:dyDescent="0.2">
      <c r="W2195" s="203" t="str">
        <f t="shared" si="43"/>
        <v>1w</v>
      </c>
      <c r="X2195" s="287">
        <f>_xll.qlCalendarAdvance(Calendar,X2194,W2195,"f",FALSE)</f>
        <v>54449</v>
      </c>
      <c r="Y2195" s="281">
        <f>_xll.qlCalendarAdvance(Calendar,X2195,NDays&amp;"D")</f>
        <v>54451</v>
      </c>
      <c r="Z2195" s="282" t="e">
        <v>#N/A</v>
      </c>
      <c r="AA2195" s="284" t="e">
        <v>#N/A</v>
      </c>
    </row>
    <row r="2196" spans="23:27" x14ac:dyDescent="0.2">
      <c r="W2196" s="203" t="str">
        <f t="shared" si="43"/>
        <v>1w</v>
      </c>
      <c r="X2196" s="287">
        <f>_xll.qlCalendarAdvance(Calendar,X2195,W2196,"f",FALSE)</f>
        <v>54456</v>
      </c>
      <c r="Y2196" s="281">
        <f>_xll.qlCalendarAdvance(Calendar,X2196,NDays&amp;"D")</f>
        <v>54458</v>
      </c>
      <c r="Z2196" s="282" t="e">
        <v>#N/A</v>
      </c>
      <c r="AA2196" s="284" t="e">
        <v>#N/A</v>
      </c>
    </row>
    <row r="2197" spans="23:27" x14ac:dyDescent="0.2">
      <c r="W2197" s="203" t="str">
        <f t="shared" ref="W2197:W2260" si="44">W2196</f>
        <v>1w</v>
      </c>
      <c r="X2197" s="287">
        <f>_xll.qlCalendarAdvance(Calendar,X2196,W2197,"f",FALSE)</f>
        <v>54463</v>
      </c>
      <c r="Y2197" s="281">
        <f>_xll.qlCalendarAdvance(Calendar,X2197,NDays&amp;"D")</f>
        <v>54466</v>
      </c>
      <c r="Z2197" s="282" t="e">
        <v>#N/A</v>
      </c>
      <c r="AA2197" s="284" t="e">
        <v>#N/A</v>
      </c>
    </row>
    <row r="2198" spans="23:27" x14ac:dyDescent="0.2">
      <c r="W2198" s="203" t="str">
        <f t="shared" si="44"/>
        <v>1w</v>
      </c>
      <c r="X2198" s="287">
        <f>_xll.qlCalendarAdvance(Calendar,X2197,W2198,"f",FALSE)</f>
        <v>54470</v>
      </c>
      <c r="Y2198" s="281">
        <f>_xll.qlCalendarAdvance(Calendar,X2198,NDays&amp;"D")</f>
        <v>54472</v>
      </c>
      <c r="Z2198" s="282" t="e">
        <v>#N/A</v>
      </c>
      <c r="AA2198" s="284" t="e">
        <v>#N/A</v>
      </c>
    </row>
    <row r="2199" spans="23:27" x14ac:dyDescent="0.2">
      <c r="W2199" s="203" t="str">
        <f t="shared" si="44"/>
        <v>1w</v>
      </c>
      <c r="X2199" s="287">
        <f>_xll.qlCalendarAdvance(Calendar,X2198,W2199,"f",FALSE)</f>
        <v>54477</v>
      </c>
      <c r="Y2199" s="281">
        <f>_xll.qlCalendarAdvance(Calendar,X2199,NDays&amp;"D")</f>
        <v>54479</v>
      </c>
      <c r="Z2199" s="282" t="e">
        <v>#N/A</v>
      </c>
      <c r="AA2199" s="284" t="e">
        <v>#N/A</v>
      </c>
    </row>
    <row r="2200" spans="23:27" x14ac:dyDescent="0.2">
      <c r="W2200" s="203" t="str">
        <f t="shared" si="44"/>
        <v>1w</v>
      </c>
      <c r="X2200" s="287">
        <f>_xll.qlCalendarAdvance(Calendar,X2199,W2200,"f",FALSE)</f>
        <v>54484</v>
      </c>
      <c r="Y2200" s="281">
        <f>_xll.qlCalendarAdvance(Calendar,X2200,NDays&amp;"D")</f>
        <v>54486</v>
      </c>
      <c r="Z2200" s="282" t="e">
        <v>#N/A</v>
      </c>
      <c r="AA2200" s="284" t="e">
        <v>#N/A</v>
      </c>
    </row>
    <row r="2201" spans="23:27" x14ac:dyDescent="0.2">
      <c r="W2201" s="203" t="str">
        <f t="shared" si="44"/>
        <v>1w</v>
      </c>
      <c r="X2201" s="287">
        <f>_xll.qlCalendarAdvance(Calendar,X2200,W2201,"f",FALSE)</f>
        <v>54491</v>
      </c>
      <c r="Y2201" s="281">
        <f>_xll.qlCalendarAdvance(Calendar,X2201,NDays&amp;"D")</f>
        <v>54493</v>
      </c>
      <c r="Z2201" s="282" t="e">
        <v>#N/A</v>
      </c>
      <c r="AA2201" s="284" t="e">
        <v>#N/A</v>
      </c>
    </row>
    <row r="2202" spans="23:27" x14ac:dyDescent="0.2">
      <c r="W2202" s="203" t="str">
        <f t="shared" si="44"/>
        <v>1w</v>
      </c>
      <c r="X2202" s="287">
        <f>_xll.qlCalendarAdvance(Calendar,X2201,W2202,"f",FALSE)</f>
        <v>54498</v>
      </c>
      <c r="Y2202" s="281">
        <f>_xll.qlCalendarAdvance(Calendar,X2202,NDays&amp;"D")</f>
        <v>54500</v>
      </c>
      <c r="Z2202" s="282" t="e">
        <v>#N/A</v>
      </c>
      <c r="AA2202" s="284" t="e">
        <v>#N/A</v>
      </c>
    </row>
    <row r="2203" spans="23:27" x14ac:dyDescent="0.2">
      <c r="W2203" s="203" t="str">
        <f t="shared" si="44"/>
        <v>1w</v>
      </c>
      <c r="X2203" s="287">
        <f>_xll.qlCalendarAdvance(Calendar,X2202,W2203,"f",FALSE)</f>
        <v>54505</v>
      </c>
      <c r="Y2203" s="281">
        <f>_xll.qlCalendarAdvance(Calendar,X2203,NDays&amp;"D")</f>
        <v>54507</v>
      </c>
      <c r="Z2203" s="282" t="e">
        <v>#N/A</v>
      </c>
      <c r="AA2203" s="284" t="e">
        <v>#N/A</v>
      </c>
    </row>
    <row r="2204" spans="23:27" x14ac:dyDescent="0.2">
      <c r="W2204" s="203" t="str">
        <f t="shared" si="44"/>
        <v>1w</v>
      </c>
      <c r="X2204" s="287">
        <f>_xll.qlCalendarAdvance(Calendar,X2203,W2204,"f",FALSE)</f>
        <v>54512</v>
      </c>
      <c r="Y2204" s="281">
        <f>_xll.qlCalendarAdvance(Calendar,X2204,NDays&amp;"D")</f>
        <v>54514</v>
      </c>
      <c r="Z2204" s="282" t="e">
        <v>#N/A</v>
      </c>
      <c r="AA2204" s="284" t="e">
        <v>#N/A</v>
      </c>
    </row>
    <row r="2205" spans="23:27" x14ac:dyDescent="0.2">
      <c r="W2205" s="203" t="str">
        <f t="shared" si="44"/>
        <v>1w</v>
      </c>
      <c r="X2205" s="287">
        <f>_xll.qlCalendarAdvance(Calendar,X2204,W2205,"f",FALSE)</f>
        <v>54519</v>
      </c>
      <c r="Y2205" s="281">
        <f>_xll.qlCalendarAdvance(Calendar,X2205,NDays&amp;"D")</f>
        <v>54521</v>
      </c>
      <c r="Z2205" s="282" t="e">
        <v>#N/A</v>
      </c>
      <c r="AA2205" s="284" t="e">
        <v>#N/A</v>
      </c>
    </row>
    <row r="2206" spans="23:27" x14ac:dyDescent="0.2">
      <c r="W2206" s="203" t="str">
        <f t="shared" si="44"/>
        <v>1w</v>
      </c>
      <c r="X2206" s="287">
        <f>_xll.qlCalendarAdvance(Calendar,X2205,W2206,"f",FALSE)</f>
        <v>54526</v>
      </c>
      <c r="Y2206" s="281">
        <f>_xll.qlCalendarAdvance(Calendar,X2206,NDays&amp;"D")</f>
        <v>54528</v>
      </c>
      <c r="Z2206" s="282" t="e">
        <v>#N/A</v>
      </c>
      <c r="AA2206" s="284" t="e">
        <v>#N/A</v>
      </c>
    </row>
    <row r="2207" spans="23:27" x14ac:dyDescent="0.2">
      <c r="W2207" s="203" t="str">
        <f t="shared" si="44"/>
        <v>1w</v>
      </c>
      <c r="X2207" s="287">
        <f>_xll.qlCalendarAdvance(Calendar,X2206,W2207,"f",FALSE)</f>
        <v>54533</v>
      </c>
      <c r="Y2207" s="281">
        <f>_xll.qlCalendarAdvance(Calendar,X2207,NDays&amp;"D")</f>
        <v>54535</v>
      </c>
      <c r="Z2207" s="282" t="e">
        <v>#N/A</v>
      </c>
      <c r="AA2207" s="284" t="e">
        <v>#N/A</v>
      </c>
    </row>
    <row r="2208" spans="23:27" x14ac:dyDescent="0.2">
      <c r="W2208" s="203" t="str">
        <f t="shared" si="44"/>
        <v>1w</v>
      </c>
      <c r="X2208" s="287">
        <f>_xll.qlCalendarAdvance(Calendar,X2207,W2208,"f",FALSE)</f>
        <v>54540</v>
      </c>
      <c r="Y2208" s="281">
        <f>_xll.qlCalendarAdvance(Calendar,X2208,NDays&amp;"D")</f>
        <v>54543</v>
      </c>
      <c r="Z2208" s="282" t="e">
        <v>#N/A</v>
      </c>
      <c r="AA2208" s="284" t="e">
        <v>#N/A</v>
      </c>
    </row>
    <row r="2209" spans="23:27" x14ac:dyDescent="0.2">
      <c r="W2209" s="203" t="str">
        <f t="shared" si="44"/>
        <v>1w</v>
      </c>
      <c r="X2209" s="287">
        <f>_xll.qlCalendarAdvance(Calendar,X2208,W2209,"f",FALSE)</f>
        <v>54549</v>
      </c>
      <c r="Y2209" s="281">
        <f>_xll.qlCalendarAdvance(Calendar,X2209,NDays&amp;"D")</f>
        <v>54553</v>
      </c>
      <c r="Z2209" s="282" t="e">
        <v>#N/A</v>
      </c>
      <c r="AA2209" s="284" t="e">
        <v>#N/A</v>
      </c>
    </row>
    <row r="2210" spans="23:27" x14ac:dyDescent="0.2">
      <c r="W2210" s="203" t="str">
        <f t="shared" si="44"/>
        <v>1w</v>
      </c>
      <c r="X2210" s="287">
        <f>_xll.qlCalendarAdvance(Calendar,X2209,W2210,"f",FALSE)</f>
        <v>54556</v>
      </c>
      <c r="Y2210" s="281">
        <f>_xll.qlCalendarAdvance(Calendar,X2210,NDays&amp;"D")</f>
        <v>54560</v>
      </c>
      <c r="Z2210" s="282" t="e">
        <v>#N/A</v>
      </c>
      <c r="AA2210" s="284" t="e">
        <v>#N/A</v>
      </c>
    </row>
    <row r="2211" spans="23:27" x14ac:dyDescent="0.2">
      <c r="W2211" s="203" t="str">
        <f t="shared" si="44"/>
        <v>1w</v>
      </c>
      <c r="X2211" s="287">
        <f>_xll.qlCalendarAdvance(Calendar,X2210,W2211,"f",FALSE)</f>
        <v>54563</v>
      </c>
      <c r="Y2211" s="281">
        <f>_xll.qlCalendarAdvance(Calendar,X2211,NDays&amp;"D")</f>
        <v>54567</v>
      </c>
      <c r="Z2211" s="282" t="e">
        <v>#N/A</v>
      </c>
      <c r="AA2211" s="284" t="e">
        <v>#N/A</v>
      </c>
    </row>
    <row r="2212" spans="23:27" x14ac:dyDescent="0.2">
      <c r="W2212" s="203" t="str">
        <f t="shared" si="44"/>
        <v>1w</v>
      </c>
      <c r="X2212" s="287">
        <f>_xll.qlCalendarAdvance(Calendar,X2211,W2212,"f",FALSE)</f>
        <v>54570</v>
      </c>
      <c r="Y2212" s="281">
        <f>_xll.qlCalendarAdvance(Calendar,X2212,NDays&amp;"D")</f>
        <v>54575</v>
      </c>
      <c r="Z2212" s="282" t="e">
        <v>#N/A</v>
      </c>
      <c r="AA2212" s="284" t="e">
        <v>#N/A</v>
      </c>
    </row>
    <row r="2213" spans="23:27" x14ac:dyDescent="0.2">
      <c r="W2213" s="203" t="str">
        <f t="shared" si="44"/>
        <v>1w</v>
      </c>
      <c r="X2213" s="287">
        <f>_xll.qlCalendarAdvance(Calendar,X2212,W2213,"f",FALSE)</f>
        <v>54577</v>
      </c>
      <c r="Y2213" s="281">
        <f>_xll.qlCalendarAdvance(Calendar,X2213,NDays&amp;"D")</f>
        <v>54581</v>
      </c>
      <c r="Z2213" s="282" t="e">
        <v>#N/A</v>
      </c>
      <c r="AA2213" s="284" t="e">
        <v>#N/A</v>
      </c>
    </row>
    <row r="2214" spans="23:27" x14ac:dyDescent="0.2">
      <c r="W2214" s="203" t="str">
        <f t="shared" si="44"/>
        <v>1w</v>
      </c>
      <c r="X2214" s="287">
        <f>_xll.qlCalendarAdvance(Calendar,X2213,W2214,"f",FALSE)</f>
        <v>54584</v>
      </c>
      <c r="Y2214" s="281">
        <f>_xll.qlCalendarAdvance(Calendar,X2214,NDays&amp;"D")</f>
        <v>54588</v>
      </c>
      <c r="Z2214" s="282" t="e">
        <v>#N/A</v>
      </c>
      <c r="AA2214" s="284" t="e">
        <v>#N/A</v>
      </c>
    </row>
    <row r="2215" spans="23:27" x14ac:dyDescent="0.2">
      <c r="W2215" s="203" t="str">
        <f t="shared" si="44"/>
        <v>1w</v>
      </c>
      <c r="X2215" s="287">
        <f>_xll.qlCalendarAdvance(Calendar,X2214,W2215,"f",FALSE)</f>
        <v>54591</v>
      </c>
      <c r="Y2215" s="281">
        <f>_xll.qlCalendarAdvance(Calendar,X2215,NDays&amp;"D")</f>
        <v>54595</v>
      </c>
      <c r="Z2215" s="282" t="e">
        <v>#N/A</v>
      </c>
      <c r="AA2215" s="284" t="e">
        <v>#N/A</v>
      </c>
    </row>
    <row r="2216" spans="23:27" x14ac:dyDescent="0.2">
      <c r="W2216" s="203" t="str">
        <f t="shared" si="44"/>
        <v>1w</v>
      </c>
      <c r="X2216" s="287">
        <f>_xll.qlCalendarAdvance(Calendar,X2215,W2216,"f",FALSE)</f>
        <v>54598</v>
      </c>
      <c r="Y2216" s="281">
        <f>_xll.qlCalendarAdvance(Calendar,X2216,NDays&amp;"D")</f>
        <v>54602</v>
      </c>
      <c r="Z2216" s="282" t="e">
        <v>#N/A</v>
      </c>
      <c r="AA2216" s="284" t="e">
        <v>#N/A</v>
      </c>
    </row>
    <row r="2217" spans="23:27" x14ac:dyDescent="0.2">
      <c r="W2217" s="203" t="str">
        <f t="shared" si="44"/>
        <v>1w</v>
      </c>
      <c r="X2217" s="287">
        <f>_xll.qlCalendarAdvance(Calendar,X2216,W2217,"f",FALSE)</f>
        <v>54605</v>
      </c>
      <c r="Y2217" s="281">
        <f>_xll.qlCalendarAdvance(Calendar,X2217,NDays&amp;"D")</f>
        <v>54609</v>
      </c>
      <c r="Z2217" s="282" t="e">
        <v>#N/A</v>
      </c>
      <c r="AA2217" s="284" t="e">
        <v>#N/A</v>
      </c>
    </row>
    <row r="2218" spans="23:27" x14ac:dyDescent="0.2">
      <c r="W2218" s="203" t="str">
        <f t="shared" si="44"/>
        <v>1w</v>
      </c>
      <c r="X2218" s="287">
        <f>_xll.qlCalendarAdvance(Calendar,X2217,W2218,"f",FALSE)</f>
        <v>54612</v>
      </c>
      <c r="Y2218" s="281">
        <f>_xll.qlCalendarAdvance(Calendar,X2218,NDays&amp;"D")</f>
        <v>54616</v>
      </c>
      <c r="Z2218" s="282" t="e">
        <v>#N/A</v>
      </c>
      <c r="AA2218" s="284" t="e">
        <v>#N/A</v>
      </c>
    </row>
    <row r="2219" spans="23:27" x14ac:dyDescent="0.2">
      <c r="W2219" s="203" t="str">
        <f t="shared" si="44"/>
        <v>1w</v>
      </c>
      <c r="X2219" s="287">
        <f>_xll.qlCalendarAdvance(Calendar,X2218,W2219,"f",FALSE)</f>
        <v>54619</v>
      </c>
      <c r="Y2219" s="281">
        <f>_xll.qlCalendarAdvance(Calendar,X2219,NDays&amp;"D")</f>
        <v>54624</v>
      </c>
      <c r="Z2219" s="282" t="e">
        <v>#N/A</v>
      </c>
      <c r="AA2219" s="284" t="e">
        <v>#N/A</v>
      </c>
    </row>
    <row r="2220" spans="23:27" x14ac:dyDescent="0.2">
      <c r="W2220" s="203" t="str">
        <f t="shared" si="44"/>
        <v>1w</v>
      </c>
      <c r="X2220" s="287">
        <f>_xll.qlCalendarAdvance(Calendar,X2219,W2220,"f",FALSE)</f>
        <v>54626</v>
      </c>
      <c r="Y2220" s="281">
        <f>_xll.qlCalendarAdvance(Calendar,X2220,NDays&amp;"D")</f>
        <v>54630</v>
      </c>
      <c r="Z2220" s="282" t="e">
        <v>#N/A</v>
      </c>
      <c r="AA2220" s="284" t="e">
        <v>#N/A</v>
      </c>
    </row>
    <row r="2221" spans="23:27" x14ac:dyDescent="0.2">
      <c r="W2221" s="203" t="str">
        <f t="shared" si="44"/>
        <v>1w</v>
      </c>
      <c r="X2221" s="287">
        <f>_xll.qlCalendarAdvance(Calendar,X2220,W2221,"f",FALSE)</f>
        <v>54633</v>
      </c>
      <c r="Y2221" s="281">
        <f>_xll.qlCalendarAdvance(Calendar,X2221,NDays&amp;"D")</f>
        <v>54637</v>
      </c>
      <c r="Z2221" s="282" t="e">
        <v>#N/A</v>
      </c>
      <c r="AA2221" s="284" t="e">
        <v>#N/A</v>
      </c>
    </row>
    <row r="2222" spans="23:27" x14ac:dyDescent="0.2">
      <c r="W2222" s="203" t="str">
        <f t="shared" si="44"/>
        <v>1w</v>
      </c>
      <c r="X2222" s="287">
        <f>_xll.qlCalendarAdvance(Calendar,X2221,W2222,"f",FALSE)</f>
        <v>54640</v>
      </c>
      <c r="Y2222" s="281">
        <f>_xll.qlCalendarAdvance(Calendar,X2222,NDays&amp;"D")</f>
        <v>54644</v>
      </c>
      <c r="Z2222" s="282" t="e">
        <v>#N/A</v>
      </c>
      <c r="AA2222" s="284" t="e">
        <v>#N/A</v>
      </c>
    </row>
    <row r="2223" spans="23:27" x14ac:dyDescent="0.2">
      <c r="W2223" s="203" t="str">
        <f t="shared" si="44"/>
        <v>1w</v>
      </c>
      <c r="X2223" s="287">
        <f>_xll.qlCalendarAdvance(Calendar,X2222,W2223,"f",FALSE)</f>
        <v>54647</v>
      </c>
      <c r="Y2223" s="281">
        <f>_xll.qlCalendarAdvance(Calendar,X2223,NDays&amp;"D")</f>
        <v>54651</v>
      </c>
      <c r="Z2223" s="282" t="e">
        <v>#N/A</v>
      </c>
      <c r="AA2223" s="284" t="e">
        <v>#N/A</v>
      </c>
    </row>
    <row r="2224" spans="23:27" x14ac:dyDescent="0.2">
      <c r="W2224" s="203" t="str">
        <f t="shared" si="44"/>
        <v>1w</v>
      </c>
      <c r="X2224" s="287">
        <f>_xll.qlCalendarAdvance(Calendar,X2223,W2224,"f",FALSE)</f>
        <v>54654</v>
      </c>
      <c r="Y2224" s="281">
        <f>_xll.qlCalendarAdvance(Calendar,X2224,NDays&amp;"D")</f>
        <v>54658</v>
      </c>
      <c r="Z2224" s="282" t="e">
        <v>#N/A</v>
      </c>
      <c r="AA2224" s="284" t="e">
        <v>#N/A</v>
      </c>
    </row>
    <row r="2225" spans="23:27" x14ac:dyDescent="0.2">
      <c r="W2225" s="203" t="str">
        <f t="shared" si="44"/>
        <v>1w</v>
      </c>
      <c r="X2225" s="287">
        <f>_xll.qlCalendarAdvance(Calendar,X2224,W2225,"f",FALSE)</f>
        <v>54661</v>
      </c>
      <c r="Y2225" s="281">
        <f>_xll.qlCalendarAdvance(Calendar,X2225,NDays&amp;"D")</f>
        <v>54666</v>
      </c>
      <c r="Z2225" s="282" t="e">
        <v>#N/A</v>
      </c>
      <c r="AA2225" s="284" t="e">
        <v>#N/A</v>
      </c>
    </row>
    <row r="2226" spans="23:27" x14ac:dyDescent="0.2">
      <c r="W2226" s="203" t="str">
        <f t="shared" si="44"/>
        <v>1w</v>
      </c>
      <c r="X2226" s="287">
        <f>_xll.qlCalendarAdvance(Calendar,X2225,W2226,"f",FALSE)</f>
        <v>54668</v>
      </c>
      <c r="Y2226" s="281">
        <f>_xll.qlCalendarAdvance(Calendar,X2226,NDays&amp;"D")</f>
        <v>54672</v>
      </c>
      <c r="Z2226" s="282" t="e">
        <v>#N/A</v>
      </c>
      <c r="AA2226" s="284" t="e">
        <v>#N/A</v>
      </c>
    </row>
    <row r="2227" spans="23:27" x14ac:dyDescent="0.2">
      <c r="W2227" s="203" t="str">
        <f t="shared" si="44"/>
        <v>1w</v>
      </c>
      <c r="X2227" s="287">
        <f>_xll.qlCalendarAdvance(Calendar,X2226,W2227,"f",FALSE)</f>
        <v>54675</v>
      </c>
      <c r="Y2227" s="281">
        <f>_xll.qlCalendarAdvance(Calendar,X2227,NDays&amp;"D")</f>
        <v>54679</v>
      </c>
      <c r="Z2227" s="282" t="e">
        <v>#N/A</v>
      </c>
      <c r="AA2227" s="284" t="e">
        <v>#N/A</v>
      </c>
    </row>
    <row r="2228" spans="23:27" x14ac:dyDescent="0.2">
      <c r="W2228" s="203" t="str">
        <f t="shared" si="44"/>
        <v>1w</v>
      </c>
      <c r="X2228" s="287">
        <f>_xll.qlCalendarAdvance(Calendar,X2227,W2228,"f",FALSE)</f>
        <v>54682</v>
      </c>
      <c r="Y2228" s="281">
        <f>_xll.qlCalendarAdvance(Calendar,X2228,NDays&amp;"D")</f>
        <v>54689</v>
      </c>
      <c r="Z2228" s="282" t="e">
        <v>#N/A</v>
      </c>
      <c r="AA2228" s="284" t="e">
        <v>#N/A</v>
      </c>
    </row>
    <row r="2229" spans="23:27" x14ac:dyDescent="0.2">
      <c r="W2229" s="203" t="str">
        <f t="shared" si="44"/>
        <v>1w</v>
      </c>
      <c r="X2229" s="287">
        <f>_xll.qlCalendarAdvance(Calendar,X2228,W2229,"f",FALSE)</f>
        <v>54689</v>
      </c>
      <c r="Y2229" s="281">
        <f>_xll.qlCalendarAdvance(Calendar,X2229,NDays&amp;"D")</f>
        <v>54693</v>
      </c>
      <c r="Z2229" s="282" t="e">
        <v>#N/A</v>
      </c>
      <c r="AA2229" s="284" t="e">
        <v>#N/A</v>
      </c>
    </row>
    <row r="2230" spans="23:27" x14ac:dyDescent="0.2">
      <c r="W2230" s="203" t="str">
        <f t="shared" si="44"/>
        <v>1w</v>
      </c>
      <c r="X2230" s="287">
        <f>_xll.qlCalendarAdvance(Calendar,X2229,W2230,"f",FALSE)</f>
        <v>54696</v>
      </c>
      <c r="Y2230" s="281">
        <f>_xll.qlCalendarAdvance(Calendar,X2230,NDays&amp;"D")</f>
        <v>54700</v>
      </c>
      <c r="Z2230" s="282" t="e">
        <v>#N/A</v>
      </c>
      <c r="AA2230" s="284" t="e">
        <v>#N/A</v>
      </c>
    </row>
    <row r="2231" spans="23:27" x14ac:dyDescent="0.2">
      <c r="W2231" s="203" t="str">
        <f t="shared" si="44"/>
        <v>1w</v>
      </c>
      <c r="X2231" s="287">
        <f>_xll.qlCalendarAdvance(Calendar,X2230,W2231,"f",FALSE)</f>
        <v>54703</v>
      </c>
      <c r="Y2231" s="281">
        <f>_xll.qlCalendarAdvance(Calendar,X2231,NDays&amp;"D")</f>
        <v>54708</v>
      </c>
      <c r="Z2231" s="282" t="e">
        <v>#N/A</v>
      </c>
      <c r="AA2231" s="284" t="e">
        <v>#N/A</v>
      </c>
    </row>
    <row r="2232" spans="23:27" x14ac:dyDescent="0.2">
      <c r="W2232" s="203" t="str">
        <f t="shared" si="44"/>
        <v>1w</v>
      </c>
      <c r="X2232" s="287">
        <f>_xll.qlCalendarAdvance(Calendar,X2231,W2232,"f",FALSE)</f>
        <v>54710</v>
      </c>
      <c r="Y2232" s="281">
        <f>_xll.qlCalendarAdvance(Calendar,X2232,NDays&amp;"D")</f>
        <v>54714</v>
      </c>
      <c r="Z2232" s="282" t="e">
        <v>#N/A</v>
      </c>
      <c r="AA2232" s="284" t="e">
        <v>#N/A</v>
      </c>
    </row>
    <row r="2233" spans="23:27" x14ac:dyDescent="0.2">
      <c r="W2233" s="203" t="str">
        <f t="shared" si="44"/>
        <v>1w</v>
      </c>
      <c r="X2233" s="287">
        <f>_xll.qlCalendarAdvance(Calendar,X2232,W2233,"f",FALSE)</f>
        <v>54717</v>
      </c>
      <c r="Y2233" s="281">
        <f>_xll.qlCalendarAdvance(Calendar,X2233,NDays&amp;"D")</f>
        <v>54721</v>
      </c>
      <c r="Z2233" s="282" t="e">
        <v>#N/A</v>
      </c>
      <c r="AA2233" s="284" t="e">
        <v>#N/A</v>
      </c>
    </row>
    <row r="2234" spans="23:27" x14ac:dyDescent="0.2">
      <c r="W2234" s="203" t="str">
        <f t="shared" si="44"/>
        <v>1w</v>
      </c>
      <c r="X2234" s="287">
        <f>_xll.qlCalendarAdvance(Calendar,X2233,W2234,"f",FALSE)</f>
        <v>54724</v>
      </c>
      <c r="Y2234" s="281">
        <f>_xll.qlCalendarAdvance(Calendar,X2234,NDays&amp;"D")</f>
        <v>54728</v>
      </c>
      <c r="Z2234" s="282" t="e">
        <v>#N/A</v>
      </c>
      <c r="AA2234" s="284" t="e">
        <v>#N/A</v>
      </c>
    </row>
    <row r="2235" spans="23:27" x14ac:dyDescent="0.2">
      <c r="W2235" s="203" t="str">
        <f t="shared" si="44"/>
        <v>1w</v>
      </c>
      <c r="X2235" s="287">
        <f>_xll.qlCalendarAdvance(Calendar,X2234,W2235,"f",FALSE)</f>
        <v>54731</v>
      </c>
      <c r="Y2235" s="281">
        <f>_xll.qlCalendarAdvance(Calendar,X2235,NDays&amp;"D")</f>
        <v>54735</v>
      </c>
      <c r="Z2235" s="282" t="e">
        <v>#N/A</v>
      </c>
      <c r="AA2235" s="284" t="e">
        <v>#N/A</v>
      </c>
    </row>
    <row r="2236" spans="23:27" x14ac:dyDescent="0.2">
      <c r="W2236" s="203" t="str">
        <f t="shared" si="44"/>
        <v>1w</v>
      </c>
      <c r="X2236" s="287">
        <f>_xll.qlCalendarAdvance(Calendar,X2235,W2236,"f",FALSE)</f>
        <v>54738</v>
      </c>
      <c r="Y2236" s="281">
        <f>_xll.qlCalendarAdvance(Calendar,X2236,NDays&amp;"D")</f>
        <v>54742</v>
      </c>
      <c r="Z2236" s="282" t="e">
        <v>#N/A</v>
      </c>
      <c r="AA2236" s="284" t="e">
        <v>#N/A</v>
      </c>
    </row>
    <row r="2237" spans="23:27" x14ac:dyDescent="0.2">
      <c r="W2237" s="203" t="str">
        <f t="shared" si="44"/>
        <v>1w</v>
      </c>
      <c r="X2237" s="287">
        <f>_xll.qlCalendarAdvance(Calendar,X2236,W2237,"f",FALSE)</f>
        <v>54745</v>
      </c>
      <c r="Y2237" s="281">
        <f>_xll.qlCalendarAdvance(Calendar,X2237,NDays&amp;"D")</f>
        <v>54749</v>
      </c>
      <c r="Z2237" s="282" t="e">
        <v>#N/A</v>
      </c>
      <c r="AA2237" s="284" t="e">
        <v>#N/A</v>
      </c>
    </row>
    <row r="2238" spans="23:27" x14ac:dyDescent="0.2">
      <c r="W2238" s="203" t="str">
        <f t="shared" si="44"/>
        <v>1w</v>
      </c>
      <c r="X2238" s="287">
        <f>_xll.qlCalendarAdvance(Calendar,X2237,W2238,"f",FALSE)</f>
        <v>54752</v>
      </c>
      <c r="Y2238" s="281">
        <f>_xll.qlCalendarAdvance(Calendar,X2238,NDays&amp;"D")</f>
        <v>54756</v>
      </c>
      <c r="Z2238" s="282" t="e">
        <v>#N/A</v>
      </c>
      <c r="AA2238" s="284" t="e">
        <v>#N/A</v>
      </c>
    </row>
    <row r="2239" spans="23:27" x14ac:dyDescent="0.2">
      <c r="W2239" s="203" t="str">
        <f t="shared" si="44"/>
        <v>1w</v>
      </c>
      <c r="X2239" s="287">
        <f>_xll.qlCalendarAdvance(Calendar,X2238,W2239,"f",FALSE)</f>
        <v>54759</v>
      </c>
      <c r="Y2239" s="281">
        <f>_xll.qlCalendarAdvance(Calendar,X2239,NDays&amp;"D")</f>
        <v>54763</v>
      </c>
      <c r="Z2239" s="282" t="e">
        <v>#N/A</v>
      </c>
      <c r="AA2239" s="284" t="e">
        <v>#N/A</v>
      </c>
    </row>
    <row r="2240" spans="23:27" x14ac:dyDescent="0.2">
      <c r="W2240" s="203" t="str">
        <f t="shared" si="44"/>
        <v>1w</v>
      </c>
      <c r="X2240" s="287">
        <f>_xll.qlCalendarAdvance(Calendar,X2239,W2240,"f",FALSE)</f>
        <v>54766</v>
      </c>
      <c r="Y2240" s="281">
        <f>_xll.qlCalendarAdvance(Calendar,X2240,NDays&amp;"D")</f>
        <v>54770</v>
      </c>
      <c r="Z2240" s="282" t="e">
        <v>#N/A</v>
      </c>
      <c r="AA2240" s="284" t="e">
        <v>#N/A</v>
      </c>
    </row>
    <row r="2241" spans="23:27" x14ac:dyDescent="0.2">
      <c r="W2241" s="203" t="str">
        <f t="shared" si="44"/>
        <v>1w</v>
      </c>
      <c r="X2241" s="287">
        <f>_xll.qlCalendarAdvance(Calendar,X2240,W2241,"f",FALSE)</f>
        <v>54773</v>
      </c>
      <c r="Y2241" s="281">
        <f>_xll.qlCalendarAdvance(Calendar,X2241,NDays&amp;"D")</f>
        <v>54777</v>
      </c>
      <c r="Z2241" s="282" t="e">
        <v>#N/A</v>
      </c>
      <c r="AA2241" s="284" t="e">
        <v>#N/A</v>
      </c>
    </row>
    <row r="2242" spans="23:27" x14ac:dyDescent="0.2">
      <c r="W2242" s="203" t="str">
        <f t="shared" si="44"/>
        <v>1w</v>
      </c>
      <c r="X2242" s="287">
        <f>_xll.qlCalendarAdvance(Calendar,X2241,W2242,"f",FALSE)</f>
        <v>54781</v>
      </c>
      <c r="Y2242" s="281">
        <f>_xll.qlCalendarAdvance(Calendar,X2242,NDays&amp;"D")</f>
        <v>54787</v>
      </c>
      <c r="Z2242" s="282" t="e">
        <v>#N/A</v>
      </c>
      <c r="AA2242" s="284" t="e">
        <v>#N/A</v>
      </c>
    </row>
    <row r="2243" spans="23:27" x14ac:dyDescent="0.2">
      <c r="W2243" s="203" t="str">
        <f t="shared" si="44"/>
        <v>1w</v>
      </c>
      <c r="X2243" s="287">
        <f>_xll.qlCalendarAdvance(Calendar,X2242,W2243,"f",FALSE)</f>
        <v>54792</v>
      </c>
      <c r="Y2243" s="281">
        <f>_xll.qlCalendarAdvance(Calendar,X2243,NDays&amp;"D")</f>
        <v>54794</v>
      </c>
      <c r="Z2243" s="282" t="e">
        <v>#N/A</v>
      </c>
      <c r="AA2243" s="284" t="e">
        <v>#N/A</v>
      </c>
    </row>
    <row r="2244" spans="23:27" x14ac:dyDescent="0.2">
      <c r="W2244" s="203" t="str">
        <f t="shared" si="44"/>
        <v>1w</v>
      </c>
      <c r="X2244" s="287">
        <f>_xll.qlCalendarAdvance(Calendar,X2243,W2244,"f",FALSE)</f>
        <v>54799</v>
      </c>
      <c r="Y2244" s="281">
        <f>_xll.qlCalendarAdvance(Calendar,X2244,NDays&amp;"D")</f>
        <v>54801</v>
      </c>
      <c r="Z2244" s="282" t="e">
        <v>#N/A</v>
      </c>
      <c r="AA2244" s="284" t="e">
        <v>#N/A</v>
      </c>
    </row>
    <row r="2245" spans="23:27" x14ac:dyDescent="0.2">
      <c r="W2245" s="203" t="str">
        <f t="shared" si="44"/>
        <v>1w</v>
      </c>
      <c r="X2245" s="287">
        <f>_xll.qlCalendarAdvance(Calendar,X2244,W2245,"f",FALSE)</f>
        <v>54806</v>
      </c>
      <c r="Y2245" s="281">
        <f>_xll.qlCalendarAdvance(Calendar,X2245,NDays&amp;"D")</f>
        <v>54808</v>
      </c>
      <c r="Z2245" s="282" t="e">
        <v>#N/A</v>
      </c>
      <c r="AA2245" s="284" t="e">
        <v>#N/A</v>
      </c>
    </row>
    <row r="2246" spans="23:27" x14ac:dyDescent="0.2">
      <c r="W2246" s="203" t="str">
        <f t="shared" si="44"/>
        <v>1w</v>
      </c>
      <c r="X2246" s="287">
        <f>_xll.qlCalendarAdvance(Calendar,X2245,W2246,"f",FALSE)</f>
        <v>54813</v>
      </c>
      <c r="Y2246" s="281">
        <f>_xll.qlCalendarAdvance(Calendar,X2246,NDays&amp;"D")</f>
        <v>54815</v>
      </c>
      <c r="Z2246" s="282" t="e">
        <v>#N/A</v>
      </c>
      <c r="AA2246" s="284" t="e">
        <v>#N/A</v>
      </c>
    </row>
    <row r="2247" spans="23:27" x14ac:dyDescent="0.2">
      <c r="W2247" s="203" t="str">
        <f t="shared" si="44"/>
        <v>1w</v>
      </c>
      <c r="X2247" s="287">
        <f>_xll.qlCalendarAdvance(Calendar,X2246,W2247,"f",FALSE)</f>
        <v>54820</v>
      </c>
      <c r="Y2247" s="281">
        <f>_xll.qlCalendarAdvance(Calendar,X2247,NDays&amp;"D")</f>
        <v>54822</v>
      </c>
      <c r="Z2247" s="282" t="e">
        <v>#N/A</v>
      </c>
      <c r="AA2247" s="284" t="e">
        <v>#N/A</v>
      </c>
    </row>
    <row r="2248" spans="23:27" x14ac:dyDescent="0.2">
      <c r="W2248" s="203" t="str">
        <f t="shared" si="44"/>
        <v>1w</v>
      </c>
      <c r="X2248" s="287">
        <f>_xll.qlCalendarAdvance(Calendar,X2247,W2248,"f",FALSE)</f>
        <v>54827</v>
      </c>
      <c r="Y2248" s="281">
        <f>_xll.qlCalendarAdvance(Calendar,X2248,NDays&amp;"D")</f>
        <v>54829</v>
      </c>
      <c r="Z2248" s="282" t="e">
        <v>#N/A</v>
      </c>
      <c r="AA2248" s="284" t="e">
        <v>#N/A</v>
      </c>
    </row>
    <row r="2249" spans="23:27" x14ac:dyDescent="0.2">
      <c r="W2249" s="203" t="str">
        <f t="shared" si="44"/>
        <v>1w</v>
      </c>
      <c r="X2249" s="287">
        <f>_xll.qlCalendarAdvance(Calendar,X2248,W2249,"f",FALSE)</f>
        <v>54834</v>
      </c>
      <c r="Y2249" s="281">
        <f>_xll.qlCalendarAdvance(Calendar,X2249,NDays&amp;"D")</f>
        <v>54836</v>
      </c>
      <c r="Z2249" s="282" t="e">
        <v>#N/A</v>
      </c>
      <c r="AA2249" s="284" t="e">
        <v>#N/A</v>
      </c>
    </row>
    <row r="2250" spans="23:27" x14ac:dyDescent="0.2">
      <c r="W2250" s="203" t="str">
        <f t="shared" si="44"/>
        <v>1w</v>
      </c>
      <c r="X2250" s="287">
        <f>_xll.qlCalendarAdvance(Calendar,X2249,W2250,"f",FALSE)</f>
        <v>54841</v>
      </c>
      <c r="Y2250" s="281">
        <f>_xll.qlCalendarAdvance(Calendar,X2250,NDays&amp;"D")</f>
        <v>54843</v>
      </c>
      <c r="Z2250" s="282" t="e">
        <v>#N/A</v>
      </c>
      <c r="AA2250" s="284" t="e">
        <v>#N/A</v>
      </c>
    </row>
    <row r="2251" spans="23:27" x14ac:dyDescent="0.2">
      <c r="W2251" s="203" t="str">
        <f t="shared" si="44"/>
        <v>1w</v>
      </c>
      <c r="X2251" s="287">
        <f>_xll.qlCalendarAdvance(Calendar,X2250,W2251,"f",FALSE)</f>
        <v>54848</v>
      </c>
      <c r="Y2251" s="281">
        <f>_xll.qlCalendarAdvance(Calendar,X2251,NDays&amp;"D")</f>
        <v>54850</v>
      </c>
      <c r="Z2251" s="282" t="e">
        <v>#N/A</v>
      </c>
      <c r="AA2251" s="284" t="e">
        <v>#N/A</v>
      </c>
    </row>
    <row r="2252" spans="23:27" x14ac:dyDescent="0.2">
      <c r="W2252" s="203" t="str">
        <f t="shared" si="44"/>
        <v>1w</v>
      </c>
      <c r="X2252" s="287">
        <f>_xll.qlCalendarAdvance(Calendar,X2251,W2252,"f",FALSE)</f>
        <v>54855</v>
      </c>
      <c r="Y2252" s="281">
        <f>_xll.qlCalendarAdvance(Calendar,X2252,NDays&amp;"D")</f>
        <v>54857</v>
      </c>
      <c r="Z2252" s="282" t="e">
        <v>#N/A</v>
      </c>
      <c r="AA2252" s="284" t="e">
        <v>#N/A</v>
      </c>
    </row>
    <row r="2253" spans="23:27" x14ac:dyDescent="0.2">
      <c r="W2253" s="203" t="str">
        <f t="shared" si="44"/>
        <v>1w</v>
      </c>
      <c r="X2253" s="287">
        <f>_xll.qlCalendarAdvance(Calendar,X2252,W2253,"f",FALSE)</f>
        <v>54862</v>
      </c>
      <c r="Y2253" s="281">
        <f>_xll.qlCalendarAdvance(Calendar,X2253,NDays&amp;"D")</f>
        <v>54864</v>
      </c>
      <c r="Z2253" s="282" t="e">
        <v>#N/A</v>
      </c>
      <c r="AA2253" s="284" t="e">
        <v>#N/A</v>
      </c>
    </row>
    <row r="2254" spans="23:27" x14ac:dyDescent="0.2">
      <c r="W2254" s="203" t="str">
        <f t="shared" si="44"/>
        <v>1w</v>
      </c>
      <c r="X2254" s="287">
        <f>_xll.qlCalendarAdvance(Calendar,X2253,W2254,"f",FALSE)</f>
        <v>54869</v>
      </c>
      <c r="Y2254" s="281">
        <f>_xll.qlCalendarAdvance(Calendar,X2254,NDays&amp;"D")</f>
        <v>54871</v>
      </c>
      <c r="Z2254" s="282" t="e">
        <v>#N/A</v>
      </c>
      <c r="AA2254" s="284" t="e">
        <v>#N/A</v>
      </c>
    </row>
    <row r="2255" spans="23:27" x14ac:dyDescent="0.2">
      <c r="W2255" s="203" t="str">
        <f t="shared" si="44"/>
        <v>1w</v>
      </c>
      <c r="X2255" s="287">
        <f>_xll.qlCalendarAdvance(Calendar,X2254,W2255,"f",FALSE)</f>
        <v>54876</v>
      </c>
      <c r="Y2255" s="281">
        <f>_xll.qlCalendarAdvance(Calendar,X2255,NDays&amp;"D")</f>
        <v>54878</v>
      </c>
      <c r="Z2255" s="282" t="e">
        <v>#N/A</v>
      </c>
      <c r="AA2255" s="284" t="e">
        <v>#N/A</v>
      </c>
    </row>
    <row r="2256" spans="23:27" x14ac:dyDescent="0.2">
      <c r="W2256" s="203" t="str">
        <f t="shared" si="44"/>
        <v>1w</v>
      </c>
      <c r="X2256" s="287">
        <f>_xll.qlCalendarAdvance(Calendar,X2255,W2256,"f",FALSE)</f>
        <v>54883</v>
      </c>
      <c r="Y2256" s="281">
        <f>_xll.qlCalendarAdvance(Calendar,X2256,NDays&amp;"D")</f>
        <v>54885</v>
      </c>
      <c r="Z2256" s="282" t="e">
        <v>#N/A</v>
      </c>
      <c r="AA2256" s="284" t="e">
        <v>#N/A</v>
      </c>
    </row>
    <row r="2257" spans="23:27" x14ac:dyDescent="0.2">
      <c r="W2257" s="203" t="str">
        <f t="shared" si="44"/>
        <v>1w</v>
      </c>
      <c r="X2257" s="287">
        <f>_xll.qlCalendarAdvance(Calendar,X2256,W2257,"f",FALSE)</f>
        <v>54890</v>
      </c>
      <c r="Y2257" s="281">
        <f>_xll.qlCalendarAdvance(Calendar,X2257,NDays&amp;"D")</f>
        <v>54892</v>
      </c>
      <c r="Z2257" s="282" t="e">
        <v>#N/A</v>
      </c>
      <c r="AA2257" s="284" t="e">
        <v>#N/A</v>
      </c>
    </row>
    <row r="2258" spans="23:27" x14ac:dyDescent="0.2">
      <c r="W2258" s="203" t="str">
        <f t="shared" si="44"/>
        <v>1w</v>
      </c>
      <c r="X2258" s="287">
        <f>_xll.qlCalendarAdvance(Calendar,X2257,W2258,"f",FALSE)</f>
        <v>54897</v>
      </c>
      <c r="Y2258" s="281">
        <f>_xll.qlCalendarAdvance(Calendar,X2258,NDays&amp;"D")</f>
        <v>54899</v>
      </c>
      <c r="Z2258" s="282" t="e">
        <v>#N/A</v>
      </c>
      <c r="AA2258" s="284" t="e">
        <v>#N/A</v>
      </c>
    </row>
    <row r="2259" spans="23:27" x14ac:dyDescent="0.2">
      <c r="W2259" s="203" t="str">
        <f t="shared" si="44"/>
        <v>1w</v>
      </c>
      <c r="X2259" s="287">
        <f>_xll.qlCalendarAdvance(Calendar,X2258,W2259,"f",FALSE)</f>
        <v>54904</v>
      </c>
      <c r="Y2259" s="281">
        <f>_xll.qlCalendarAdvance(Calendar,X2259,NDays&amp;"D")</f>
        <v>54906</v>
      </c>
      <c r="Z2259" s="282" t="e">
        <v>#N/A</v>
      </c>
      <c r="AA2259" s="284" t="e">
        <v>#N/A</v>
      </c>
    </row>
    <row r="2260" spans="23:27" x14ac:dyDescent="0.2">
      <c r="W2260" s="203" t="str">
        <f t="shared" si="44"/>
        <v>1w</v>
      </c>
      <c r="X2260" s="287">
        <f>_xll.qlCalendarAdvance(Calendar,X2259,W2260,"f",FALSE)</f>
        <v>54914</v>
      </c>
      <c r="Y2260" s="281">
        <f>_xll.qlCalendarAdvance(Calendar,X2260,NDays&amp;"D")</f>
        <v>54918</v>
      </c>
      <c r="Z2260" s="282" t="e">
        <v>#N/A</v>
      </c>
      <c r="AA2260" s="284" t="e">
        <v>#N/A</v>
      </c>
    </row>
    <row r="2261" spans="23:27" x14ac:dyDescent="0.2">
      <c r="W2261" s="203" t="str">
        <f t="shared" ref="W2261:W2324" si="45">W2260</f>
        <v>1w</v>
      </c>
      <c r="X2261" s="287">
        <f>_xll.qlCalendarAdvance(Calendar,X2260,W2261,"f",FALSE)</f>
        <v>54921</v>
      </c>
      <c r="Y2261" s="281">
        <f>_xll.qlCalendarAdvance(Calendar,X2261,NDays&amp;"D")</f>
        <v>54925</v>
      </c>
      <c r="Z2261" s="282" t="e">
        <v>#N/A</v>
      </c>
      <c r="AA2261" s="284" t="e">
        <v>#N/A</v>
      </c>
    </row>
    <row r="2262" spans="23:27" x14ac:dyDescent="0.2">
      <c r="W2262" s="203" t="str">
        <f t="shared" si="45"/>
        <v>1w</v>
      </c>
      <c r="X2262" s="287">
        <f>_xll.qlCalendarAdvance(Calendar,X2261,W2262,"f",FALSE)</f>
        <v>54928</v>
      </c>
      <c r="Y2262" s="281">
        <f>_xll.qlCalendarAdvance(Calendar,X2262,NDays&amp;"D")</f>
        <v>54932</v>
      </c>
      <c r="Z2262" s="282" t="e">
        <v>#N/A</v>
      </c>
      <c r="AA2262" s="284" t="e">
        <v>#N/A</v>
      </c>
    </row>
    <row r="2263" spans="23:27" x14ac:dyDescent="0.2">
      <c r="W2263" s="203" t="str">
        <f t="shared" si="45"/>
        <v>1w</v>
      </c>
      <c r="X2263" s="287">
        <f>_xll.qlCalendarAdvance(Calendar,X2262,W2263,"f",FALSE)</f>
        <v>54935</v>
      </c>
      <c r="Y2263" s="281">
        <f>_xll.qlCalendarAdvance(Calendar,X2263,NDays&amp;"D")</f>
        <v>54940</v>
      </c>
      <c r="Z2263" s="282" t="e">
        <v>#N/A</v>
      </c>
      <c r="AA2263" s="284" t="e">
        <v>#N/A</v>
      </c>
    </row>
    <row r="2264" spans="23:27" x14ac:dyDescent="0.2">
      <c r="W2264" s="203" t="str">
        <f t="shared" si="45"/>
        <v>1w</v>
      </c>
      <c r="X2264" s="287">
        <f>_xll.qlCalendarAdvance(Calendar,X2263,W2264,"f",FALSE)</f>
        <v>54942</v>
      </c>
      <c r="Y2264" s="281">
        <f>_xll.qlCalendarAdvance(Calendar,X2264,NDays&amp;"D")</f>
        <v>54946</v>
      </c>
      <c r="Z2264" s="282" t="e">
        <v>#N/A</v>
      </c>
      <c r="AA2264" s="284" t="e">
        <v>#N/A</v>
      </c>
    </row>
    <row r="2265" spans="23:27" x14ac:dyDescent="0.2">
      <c r="W2265" s="203" t="str">
        <f t="shared" si="45"/>
        <v>1w</v>
      </c>
      <c r="X2265" s="287">
        <f>_xll.qlCalendarAdvance(Calendar,X2264,W2265,"f",FALSE)</f>
        <v>54949</v>
      </c>
      <c r="Y2265" s="281">
        <f>_xll.qlCalendarAdvance(Calendar,X2265,NDays&amp;"D")</f>
        <v>54953</v>
      </c>
      <c r="Z2265" s="282" t="e">
        <v>#N/A</v>
      </c>
      <c r="AA2265" s="284" t="e">
        <v>#N/A</v>
      </c>
    </row>
    <row r="2266" spans="23:27" x14ac:dyDescent="0.2">
      <c r="W2266" s="203" t="str">
        <f t="shared" si="45"/>
        <v>1w</v>
      </c>
      <c r="X2266" s="287">
        <f>_xll.qlCalendarAdvance(Calendar,X2265,W2266,"f",FALSE)</f>
        <v>54956</v>
      </c>
      <c r="Y2266" s="281">
        <f>_xll.qlCalendarAdvance(Calendar,X2266,NDays&amp;"D")</f>
        <v>54960</v>
      </c>
      <c r="Z2266" s="282" t="e">
        <v>#N/A</v>
      </c>
      <c r="AA2266" s="284" t="e">
        <v>#N/A</v>
      </c>
    </row>
    <row r="2267" spans="23:27" x14ac:dyDescent="0.2">
      <c r="W2267" s="203" t="str">
        <f t="shared" si="45"/>
        <v>1w</v>
      </c>
      <c r="X2267" s="287">
        <f>_xll.qlCalendarAdvance(Calendar,X2266,W2267,"f",FALSE)</f>
        <v>54963</v>
      </c>
      <c r="Y2267" s="281">
        <f>_xll.qlCalendarAdvance(Calendar,X2267,NDays&amp;"D")</f>
        <v>54967</v>
      </c>
      <c r="Z2267" s="282" t="e">
        <v>#N/A</v>
      </c>
      <c r="AA2267" s="284" t="e">
        <v>#N/A</v>
      </c>
    </row>
    <row r="2268" spans="23:27" x14ac:dyDescent="0.2">
      <c r="W2268" s="203" t="str">
        <f t="shared" si="45"/>
        <v>1w</v>
      </c>
      <c r="X2268" s="287">
        <f>_xll.qlCalendarAdvance(Calendar,X2267,W2268,"f",FALSE)</f>
        <v>54970</v>
      </c>
      <c r="Y2268" s="281">
        <f>_xll.qlCalendarAdvance(Calendar,X2268,NDays&amp;"D")</f>
        <v>54974</v>
      </c>
      <c r="Z2268" s="282" t="e">
        <v>#N/A</v>
      </c>
      <c r="AA2268" s="284" t="e">
        <v>#N/A</v>
      </c>
    </row>
    <row r="2269" spans="23:27" x14ac:dyDescent="0.2">
      <c r="W2269" s="203" t="str">
        <f t="shared" si="45"/>
        <v>1w</v>
      </c>
      <c r="X2269" s="287">
        <f>_xll.qlCalendarAdvance(Calendar,X2268,W2269,"f",FALSE)</f>
        <v>54977</v>
      </c>
      <c r="Y2269" s="281">
        <f>_xll.qlCalendarAdvance(Calendar,X2269,NDays&amp;"D")</f>
        <v>54981</v>
      </c>
      <c r="Z2269" s="282" t="e">
        <v>#N/A</v>
      </c>
      <c r="AA2269" s="284" t="e">
        <v>#N/A</v>
      </c>
    </row>
    <row r="2270" spans="23:27" x14ac:dyDescent="0.2">
      <c r="W2270" s="203" t="str">
        <f t="shared" si="45"/>
        <v>1w</v>
      </c>
      <c r="X2270" s="287">
        <f>_xll.qlCalendarAdvance(Calendar,X2269,W2270,"f",FALSE)</f>
        <v>54984</v>
      </c>
      <c r="Y2270" s="281">
        <f>_xll.qlCalendarAdvance(Calendar,X2270,NDays&amp;"D")</f>
        <v>54989</v>
      </c>
      <c r="Z2270" s="282" t="e">
        <v>#N/A</v>
      </c>
      <c r="AA2270" s="284" t="e">
        <v>#N/A</v>
      </c>
    </row>
    <row r="2271" spans="23:27" x14ac:dyDescent="0.2">
      <c r="W2271" s="203" t="str">
        <f t="shared" si="45"/>
        <v>1w</v>
      </c>
      <c r="X2271" s="287">
        <f>_xll.qlCalendarAdvance(Calendar,X2270,W2271,"f",FALSE)</f>
        <v>54991</v>
      </c>
      <c r="Y2271" s="281">
        <f>_xll.qlCalendarAdvance(Calendar,X2271,NDays&amp;"D")</f>
        <v>54995</v>
      </c>
      <c r="Z2271" s="282" t="e">
        <v>#N/A</v>
      </c>
      <c r="AA2271" s="284" t="e">
        <v>#N/A</v>
      </c>
    </row>
    <row r="2272" spans="23:27" x14ac:dyDescent="0.2">
      <c r="W2272" s="203" t="str">
        <f t="shared" si="45"/>
        <v>1w</v>
      </c>
      <c r="X2272" s="287">
        <f>_xll.qlCalendarAdvance(Calendar,X2271,W2272,"f",FALSE)</f>
        <v>54998</v>
      </c>
      <c r="Y2272" s="281">
        <f>_xll.qlCalendarAdvance(Calendar,X2272,NDays&amp;"D")</f>
        <v>55002</v>
      </c>
      <c r="Z2272" s="282" t="e">
        <v>#N/A</v>
      </c>
      <c r="AA2272" s="284" t="e">
        <v>#N/A</v>
      </c>
    </row>
    <row r="2273" spans="23:27" x14ac:dyDescent="0.2">
      <c r="W2273" s="203" t="str">
        <f t="shared" si="45"/>
        <v>1w</v>
      </c>
      <c r="X2273" s="287">
        <f>_xll.qlCalendarAdvance(Calendar,X2272,W2273,"f",FALSE)</f>
        <v>55005</v>
      </c>
      <c r="Y2273" s="281">
        <f>_xll.qlCalendarAdvance(Calendar,X2273,NDays&amp;"D")</f>
        <v>55009</v>
      </c>
      <c r="Z2273" s="282" t="e">
        <v>#N/A</v>
      </c>
      <c r="AA2273" s="284" t="e">
        <v>#N/A</v>
      </c>
    </row>
    <row r="2274" spans="23:27" x14ac:dyDescent="0.2">
      <c r="W2274" s="203" t="str">
        <f t="shared" si="45"/>
        <v>1w</v>
      </c>
      <c r="X2274" s="287">
        <f>_xll.qlCalendarAdvance(Calendar,X2273,W2274,"f",FALSE)</f>
        <v>55012</v>
      </c>
      <c r="Y2274" s="281">
        <f>_xll.qlCalendarAdvance(Calendar,X2274,NDays&amp;"D")</f>
        <v>55016</v>
      </c>
      <c r="Z2274" s="282" t="e">
        <v>#N/A</v>
      </c>
      <c r="AA2274" s="284" t="e">
        <v>#N/A</v>
      </c>
    </row>
    <row r="2275" spans="23:27" x14ac:dyDescent="0.2">
      <c r="W2275" s="203" t="str">
        <f t="shared" si="45"/>
        <v>1w</v>
      </c>
      <c r="X2275" s="287">
        <f>_xll.qlCalendarAdvance(Calendar,X2274,W2275,"f",FALSE)</f>
        <v>55019</v>
      </c>
      <c r="Y2275" s="281">
        <f>_xll.qlCalendarAdvance(Calendar,X2275,NDays&amp;"D")</f>
        <v>55023</v>
      </c>
      <c r="Z2275" s="282" t="e">
        <v>#N/A</v>
      </c>
      <c r="AA2275" s="284" t="e">
        <v>#N/A</v>
      </c>
    </row>
    <row r="2276" spans="23:27" x14ac:dyDescent="0.2">
      <c r="W2276" s="203" t="str">
        <f t="shared" si="45"/>
        <v>1w</v>
      </c>
      <c r="X2276" s="287">
        <f>_xll.qlCalendarAdvance(Calendar,X2275,W2276,"f",FALSE)</f>
        <v>55026</v>
      </c>
      <c r="Y2276" s="281">
        <f>_xll.qlCalendarAdvance(Calendar,X2276,NDays&amp;"D")</f>
        <v>55031</v>
      </c>
      <c r="Z2276" s="282" t="e">
        <v>#N/A</v>
      </c>
      <c r="AA2276" s="284" t="e">
        <v>#N/A</v>
      </c>
    </row>
    <row r="2277" spans="23:27" x14ac:dyDescent="0.2">
      <c r="W2277" s="203" t="str">
        <f t="shared" si="45"/>
        <v>1w</v>
      </c>
      <c r="X2277" s="287">
        <f>_xll.qlCalendarAdvance(Calendar,X2276,W2277,"f",FALSE)</f>
        <v>55033</v>
      </c>
      <c r="Y2277" s="281">
        <f>_xll.qlCalendarAdvance(Calendar,X2277,NDays&amp;"D")</f>
        <v>55037</v>
      </c>
      <c r="Z2277" s="282" t="e">
        <v>#N/A</v>
      </c>
      <c r="AA2277" s="284" t="e">
        <v>#N/A</v>
      </c>
    </row>
    <row r="2278" spans="23:27" x14ac:dyDescent="0.2">
      <c r="W2278" s="203" t="str">
        <f t="shared" si="45"/>
        <v>1w</v>
      </c>
      <c r="X2278" s="287">
        <f>_xll.qlCalendarAdvance(Calendar,X2277,W2278,"f",FALSE)</f>
        <v>55040</v>
      </c>
      <c r="Y2278" s="281">
        <f>_xll.qlCalendarAdvance(Calendar,X2278,NDays&amp;"D")</f>
        <v>55044</v>
      </c>
      <c r="Z2278" s="282" t="e">
        <v>#N/A</v>
      </c>
      <c r="AA2278" s="284" t="e">
        <v>#N/A</v>
      </c>
    </row>
    <row r="2279" spans="23:27" x14ac:dyDescent="0.2">
      <c r="W2279" s="203" t="str">
        <f t="shared" si="45"/>
        <v>1w</v>
      </c>
      <c r="X2279" s="287">
        <f>_xll.qlCalendarAdvance(Calendar,X2278,W2279,"f",FALSE)</f>
        <v>55047</v>
      </c>
      <c r="Y2279" s="281">
        <f>_xll.qlCalendarAdvance(Calendar,X2279,NDays&amp;"D")</f>
        <v>55052</v>
      </c>
      <c r="Z2279" s="282" t="e">
        <v>#N/A</v>
      </c>
      <c r="AA2279" s="284" t="e">
        <v>#N/A</v>
      </c>
    </row>
    <row r="2280" spans="23:27" x14ac:dyDescent="0.2">
      <c r="W2280" s="203" t="str">
        <f t="shared" si="45"/>
        <v>1w</v>
      </c>
      <c r="X2280" s="287">
        <f>_xll.qlCalendarAdvance(Calendar,X2279,W2280,"f",FALSE)</f>
        <v>55057</v>
      </c>
      <c r="Y2280" s="281">
        <f>_xll.qlCalendarAdvance(Calendar,X2280,NDays&amp;"D")</f>
        <v>55059</v>
      </c>
      <c r="Z2280" s="282" t="e">
        <v>#N/A</v>
      </c>
      <c r="AA2280" s="284" t="e">
        <v>#N/A</v>
      </c>
    </row>
    <row r="2281" spans="23:27" x14ac:dyDescent="0.2">
      <c r="W2281" s="203" t="str">
        <f t="shared" si="45"/>
        <v>1w</v>
      </c>
      <c r="X2281" s="287">
        <f>_xll.qlCalendarAdvance(Calendar,X2280,W2281,"f",FALSE)</f>
        <v>55064</v>
      </c>
      <c r="Y2281" s="281">
        <f>_xll.qlCalendarAdvance(Calendar,X2281,NDays&amp;"D")</f>
        <v>55066</v>
      </c>
      <c r="Z2281" s="282" t="e">
        <v>#N/A</v>
      </c>
      <c r="AA2281" s="284" t="e">
        <v>#N/A</v>
      </c>
    </row>
    <row r="2282" spans="23:27" x14ac:dyDescent="0.2">
      <c r="W2282" s="203" t="str">
        <f t="shared" si="45"/>
        <v>1w</v>
      </c>
      <c r="X2282" s="287">
        <f>_xll.qlCalendarAdvance(Calendar,X2281,W2282,"f",FALSE)</f>
        <v>55072</v>
      </c>
      <c r="Y2282" s="281">
        <f>_xll.qlCalendarAdvance(Calendar,X2282,NDays&amp;"D")</f>
        <v>55074</v>
      </c>
      <c r="Z2282" s="282" t="e">
        <v>#N/A</v>
      </c>
      <c r="AA2282" s="284" t="e">
        <v>#N/A</v>
      </c>
    </row>
    <row r="2283" spans="23:27" x14ac:dyDescent="0.2">
      <c r="W2283" s="203" t="str">
        <f t="shared" si="45"/>
        <v>1w</v>
      </c>
      <c r="X2283" s="287">
        <f>_xll.qlCalendarAdvance(Calendar,X2282,W2283,"f",FALSE)</f>
        <v>55079</v>
      </c>
      <c r="Y2283" s="281">
        <f>_xll.qlCalendarAdvance(Calendar,X2283,NDays&amp;"D")</f>
        <v>55081</v>
      </c>
      <c r="Z2283" s="282" t="e">
        <v>#N/A</v>
      </c>
      <c r="AA2283" s="284" t="e">
        <v>#N/A</v>
      </c>
    </row>
    <row r="2284" spans="23:27" x14ac:dyDescent="0.2">
      <c r="W2284" s="203" t="str">
        <f t="shared" si="45"/>
        <v>1w</v>
      </c>
      <c r="X2284" s="287">
        <f>_xll.qlCalendarAdvance(Calendar,X2283,W2284,"f",FALSE)</f>
        <v>55086</v>
      </c>
      <c r="Y2284" s="281">
        <f>_xll.qlCalendarAdvance(Calendar,X2284,NDays&amp;"D")</f>
        <v>55088</v>
      </c>
      <c r="Z2284" s="282" t="e">
        <v>#N/A</v>
      </c>
      <c r="AA2284" s="284" t="e">
        <v>#N/A</v>
      </c>
    </row>
    <row r="2285" spans="23:27" x14ac:dyDescent="0.2">
      <c r="W2285" s="203" t="str">
        <f t="shared" si="45"/>
        <v>1w</v>
      </c>
      <c r="X2285" s="287">
        <f>_xll.qlCalendarAdvance(Calendar,X2284,W2285,"f",FALSE)</f>
        <v>55093</v>
      </c>
      <c r="Y2285" s="281">
        <f>_xll.qlCalendarAdvance(Calendar,X2285,NDays&amp;"D")</f>
        <v>55096</v>
      </c>
      <c r="Z2285" s="282" t="e">
        <v>#N/A</v>
      </c>
      <c r="AA2285" s="284" t="e">
        <v>#N/A</v>
      </c>
    </row>
    <row r="2286" spans="23:27" x14ac:dyDescent="0.2">
      <c r="W2286" s="203" t="str">
        <f t="shared" si="45"/>
        <v>1w</v>
      </c>
      <c r="X2286" s="287">
        <f>_xll.qlCalendarAdvance(Calendar,X2285,W2286,"f",FALSE)</f>
        <v>55100</v>
      </c>
      <c r="Y2286" s="281">
        <f>_xll.qlCalendarAdvance(Calendar,X2286,NDays&amp;"D")</f>
        <v>55102</v>
      </c>
      <c r="Z2286" s="282" t="e">
        <v>#N/A</v>
      </c>
      <c r="AA2286" s="284" t="e">
        <v>#N/A</v>
      </c>
    </row>
    <row r="2287" spans="23:27" x14ac:dyDescent="0.2">
      <c r="W2287" s="203" t="str">
        <f t="shared" si="45"/>
        <v>1w</v>
      </c>
      <c r="X2287" s="287">
        <f>_xll.qlCalendarAdvance(Calendar,X2286,W2287,"f",FALSE)</f>
        <v>55107</v>
      </c>
      <c r="Y2287" s="281">
        <f>_xll.qlCalendarAdvance(Calendar,X2287,NDays&amp;"D")</f>
        <v>55109</v>
      </c>
      <c r="Z2287" s="282" t="e">
        <v>#N/A</v>
      </c>
      <c r="AA2287" s="284" t="e">
        <v>#N/A</v>
      </c>
    </row>
    <row r="2288" spans="23:27" x14ac:dyDescent="0.2">
      <c r="W2288" s="203" t="str">
        <f t="shared" si="45"/>
        <v>1w</v>
      </c>
      <c r="X2288" s="287">
        <f>_xll.qlCalendarAdvance(Calendar,X2287,W2288,"f",FALSE)</f>
        <v>55114</v>
      </c>
      <c r="Y2288" s="281">
        <f>_xll.qlCalendarAdvance(Calendar,X2288,NDays&amp;"D")</f>
        <v>55117</v>
      </c>
      <c r="Z2288" s="282" t="e">
        <v>#N/A</v>
      </c>
      <c r="AA2288" s="284" t="e">
        <v>#N/A</v>
      </c>
    </row>
    <row r="2289" spans="23:27" x14ac:dyDescent="0.2">
      <c r="W2289" s="203" t="str">
        <f t="shared" si="45"/>
        <v>1w</v>
      </c>
      <c r="X2289" s="287">
        <f>_xll.qlCalendarAdvance(Calendar,X2288,W2289,"f",FALSE)</f>
        <v>55121</v>
      </c>
      <c r="Y2289" s="281">
        <f>_xll.qlCalendarAdvance(Calendar,X2289,NDays&amp;"D")</f>
        <v>55123</v>
      </c>
      <c r="Z2289" s="282" t="e">
        <v>#N/A</v>
      </c>
      <c r="AA2289" s="284" t="e">
        <v>#N/A</v>
      </c>
    </row>
    <row r="2290" spans="23:27" x14ac:dyDescent="0.2">
      <c r="W2290" s="203" t="str">
        <f t="shared" si="45"/>
        <v>1w</v>
      </c>
      <c r="X2290" s="287">
        <f>_xll.qlCalendarAdvance(Calendar,X2289,W2290,"f",FALSE)</f>
        <v>55128</v>
      </c>
      <c r="Y2290" s="281">
        <f>_xll.qlCalendarAdvance(Calendar,X2290,NDays&amp;"D")</f>
        <v>55130</v>
      </c>
      <c r="Z2290" s="282" t="e">
        <v>#N/A</v>
      </c>
      <c r="AA2290" s="284" t="e">
        <v>#N/A</v>
      </c>
    </row>
    <row r="2291" spans="23:27" x14ac:dyDescent="0.2">
      <c r="W2291" s="203" t="str">
        <f t="shared" si="45"/>
        <v>1w</v>
      </c>
      <c r="X2291" s="287">
        <f>_xll.qlCalendarAdvance(Calendar,X2290,W2291,"f",FALSE)</f>
        <v>55135</v>
      </c>
      <c r="Y2291" s="281">
        <f>_xll.qlCalendarAdvance(Calendar,X2291,NDays&amp;"D")</f>
        <v>55137</v>
      </c>
      <c r="Z2291" s="282" t="e">
        <v>#N/A</v>
      </c>
      <c r="AA2291" s="284" t="e">
        <v>#N/A</v>
      </c>
    </row>
    <row r="2292" spans="23:27" x14ac:dyDescent="0.2">
      <c r="W2292" s="203" t="str">
        <f t="shared" si="45"/>
        <v>1w</v>
      </c>
      <c r="X2292" s="287">
        <f>_xll.qlCalendarAdvance(Calendar,X2291,W2292,"f",FALSE)</f>
        <v>55142</v>
      </c>
      <c r="Y2292" s="281">
        <f>_xll.qlCalendarAdvance(Calendar,X2292,NDays&amp;"D")</f>
        <v>55144</v>
      </c>
      <c r="Z2292" s="282" t="e">
        <v>#N/A</v>
      </c>
      <c r="AA2292" s="284" t="e">
        <v>#N/A</v>
      </c>
    </row>
    <row r="2293" spans="23:27" x14ac:dyDescent="0.2">
      <c r="W2293" s="203" t="str">
        <f t="shared" si="45"/>
        <v>1w</v>
      </c>
      <c r="X2293" s="287">
        <f>_xll.qlCalendarAdvance(Calendar,X2292,W2293,"f",FALSE)</f>
        <v>55150</v>
      </c>
      <c r="Y2293" s="281">
        <f>_xll.qlCalendarAdvance(Calendar,X2293,NDays&amp;"D")</f>
        <v>55152</v>
      </c>
      <c r="Z2293" s="282" t="e">
        <v>#N/A</v>
      </c>
      <c r="AA2293" s="284" t="e">
        <v>#N/A</v>
      </c>
    </row>
    <row r="2294" spans="23:27" x14ac:dyDescent="0.2">
      <c r="W2294" s="203" t="str">
        <f t="shared" si="45"/>
        <v>1w</v>
      </c>
      <c r="X2294" s="287">
        <f>_xll.qlCalendarAdvance(Calendar,X2293,W2294,"f",FALSE)</f>
        <v>55157</v>
      </c>
      <c r="Y2294" s="281">
        <f>_xll.qlCalendarAdvance(Calendar,X2294,NDays&amp;"D")</f>
        <v>55159</v>
      </c>
      <c r="Z2294" s="282" t="e">
        <v>#N/A</v>
      </c>
      <c r="AA2294" s="284" t="e">
        <v>#N/A</v>
      </c>
    </row>
    <row r="2295" spans="23:27" x14ac:dyDescent="0.2">
      <c r="W2295" s="203" t="str">
        <f t="shared" si="45"/>
        <v>1w</v>
      </c>
      <c r="X2295" s="287">
        <f>_xll.qlCalendarAdvance(Calendar,X2294,W2295,"f",FALSE)</f>
        <v>55164</v>
      </c>
      <c r="Y2295" s="281">
        <f>_xll.qlCalendarAdvance(Calendar,X2295,NDays&amp;"D")</f>
        <v>55166</v>
      </c>
      <c r="Z2295" s="282" t="e">
        <v>#N/A</v>
      </c>
      <c r="AA2295" s="284" t="e">
        <v>#N/A</v>
      </c>
    </row>
    <row r="2296" spans="23:27" x14ac:dyDescent="0.2">
      <c r="W2296" s="203" t="str">
        <f t="shared" si="45"/>
        <v>1w</v>
      </c>
      <c r="X2296" s="287">
        <f>_xll.qlCalendarAdvance(Calendar,X2295,W2296,"f",FALSE)</f>
        <v>55171</v>
      </c>
      <c r="Y2296" s="281">
        <f>_xll.qlCalendarAdvance(Calendar,X2296,NDays&amp;"D")</f>
        <v>55173</v>
      </c>
      <c r="Z2296" s="282" t="e">
        <v>#N/A</v>
      </c>
      <c r="AA2296" s="284" t="e">
        <v>#N/A</v>
      </c>
    </row>
    <row r="2297" spans="23:27" x14ac:dyDescent="0.2">
      <c r="W2297" s="203" t="str">
        <f t="shared" si="45"/>
        <v>1w</v>
      </c>
      <c r="X2297" s="287">
        <f>_xll.qlCalendarAdvance(Calendar,X2296,W2297,"f",FALSE)</f>
        <v>55178</v>
      </c>
      <c r="Y2297" s="281">
        <f>_xll.qlCalendarAdvance(Calendar,X2297,NDays&amp;"D")</f>
        <v>55180</v>
      </c>
      <c r="Z2297" s="282" t="e">
        <v>#N/A</v>
      </c>
      <c r="AA2297" s="284" t="e">
        <v>#N/A</v>
      </c>
    </row>
    <row r="2298" spans="23:27" x14ac:dyDescent="0.2">
      <c r="W2298" s="203" t="str">
        <f t="shared" si="45"/>
        <v>1w</v>
      </c>
      <c r="X2298" s="287">
        <f>_xll.qlCalendarAdvance(Calendar,X2297,W2298,"f",FALSE)</f>
        <v>55185</v>
      </c>
      <c r="Y2298" s="281">
        <f>_xll.qlCalendarAdvance(Calendar,X2298,NDays&amp;"D")</f>
        <v>55187</v>
      </c>
      <c r="Z2298" s="282" t="e">
        <v>#N/A</v>
      </c>
      <c r="AA2298" s="284" t="e">
        <v>#N/A</v>
      </c>
    </row>
    <row r="2299" spans="23:27" x14ac:dyDescent="0.2">
      <c r="W2299" s="203" t="str">
        <f t="shared" si="45"/>
        <v>1w</v>
      </c>
      <c r="X2299" s="287">
        <f>_xll.qlCalendarAdvance(Calendar,X2298,W2299,"f",FALSE)</f>
        <v>55192</v>
      </c>
      <c r="Y2299" s="281">
        <f>_xll.qlCalendarAdvance(Calendar,X2299,NDays&amp;"D")</f>
        <v>55194</v>
      </c>
      <c r="Z2299" s="282" t="e">
        <v>#N/A</v>
      </c>
      <c r="AA2299" s="284" t="e">
        <v>#N/A</v>
      </c>
    </row>
    <row r="2300" spans="23:27" x14ac:dyDescent="0.2">
      <c r="W2300" s="203" t="str">
        <f t="shared" si="45"/>
        <v>1w</v>
      </c>
      <c r="X2300" s="287">
        <f>_xll.qlCalendarAdvance(Calendar,X2299,W2300,"f",FALSE)</f>
        <v>55199</v>
      </c>
      <c r="Y2300" s="281">
        <f>_xll.qlCalendarAdvance(Calendar,X2300,NDays&amp;"D")</f>
        <v>55201</v>
      </c>
      <c r="Z2300" s="282" t="e">
        <v>#N/A</v>
      </c>
      <c r="AA2300" s="284" t="e">
        <v>#N/A</v>
      </c>
    </row>
    <row r="2301" spans="23:27" x14ac:dyDescent="0.2">
      <c r="W2301" s="203" t="str">
        <f t="shared" si="45"/>
        <v>1w</v>
      </c>
      <c r="X2301" s="287">
        <f>_xll.qlCalendarAdvance(Calendar,X2300,W2301,"f",FALSE)</f>
        <v>55206</v>
      </c>
      <c r="Y2301" s="281">
        <f>_xll.qlCalendarAdvance(Calendar,X2301,NDays&amp;"D")</f>
        <v>55208</v>
      </c>
      <c r="Z2301" s="282" t="e">
        <v>#N/A</v>
      </c>
      <c r="AA2301" s="284" t="e">
        <v>#N/A</v>
      </c>
    </row>
    <row r="2302" spans="23:27" x14ac:dyDescent="0.2">
      <c r="W2302" s="203" t="str">
        <f t="shared" si="45"/>
        <v>1w</v>
      </c>
      <c r="X2302" s="287">
        <f>_xll.qlCalendarAdvance(Calendar,X2301,W2302,"f",FALSE)</f>
        <v>55213</v>
      </c>
      <c r="Y2302" s="281">
        <f>_xll.qlCalendarAdvance(Calendar,X2302,NDays&amp;"D")</f>
        <v>55215</v>
      </c>
      <c r="Z2302" s="282" t="e">
        <v>#N/A</v>
      </c>
      <c r="AA2302" s="284" t="e">
        <v>#N/A</v>
      </c>
    </row>
    <row r="2303" spans="23:27" x14ac:dyDescent="0.2">
      <c r="W2303" s="203" t="str">
        <f t="shared" si="45"/>
        <v>1w</v>
      </c>
      <c r="X2303" s="287">
        <f>_xll.qlCalendarAdvance(Calendar,X2302,W2303,"f",FALSE)</f>
        <v>55220</v>
      </c>
      <c r="Y2303" s="281">
        <f>_xll.qlCalendarAdvance(Calendar,X2303,NDays&amp;"D")</f>
        <v>55222</v>
      </c>
      <c r="Z2303" s="282" t="e">
        <v>#N/A</v>
      </c>
      <c r="AA2303" s="284" t="e">
        <v>#N/A</v>
      </c>
    </row>
    <row r="2304" spans="23:27" x14ac:dyDescent="0.2">
      <c r="W2304" s="203" t="str">
        <f t="shared" si="45"/>
        <v>1w</v>
      </c>
      <c r="X2304" s="287">
        <f>_xll.qlCalendarAdvance(Calendar,X2303,W2304,"f",FALSE)</f>
        <v>55227</v>
      </c>
      <c r="Y2304" s="281">
        <f>_xll.qlCalendarAdvance(Calendar,X2304,NDays&amp;"D")</f>
        <v>55229</v>
      </c>
      <c r="Z2304" s="282" t="e">
        <v>#N/A</v>
      </c>
      <c r="AA2304" s="284" t="e">
        <v>#N/A</v>
      </c>
    </row>
    <row r="2305" spans="23:27" x14ac:dyDescent="0.2">
      <c r="W2305" s="203" t="str">
        <f t="shared" si="45"/>
        <v>1w</v>
      </c>
      <c r="X2305" s="287">
        <f>_xll.qlCalendarAdvance(Calendar,X2304,W2305,"f",FALSE)</f>
        <v>55234</v>
      </c>
      <c r="Y2305" s="281">
        <f>_xll.qlCalendarAdvance(Calendar,X2305,NDays&amp;"D")</f>
        <v>55236</v>
      </c>
      <c r="Z2305" s="282" t="e">
        <v>#N/A</v>
      </c>
      <c r="AA2305" s="284" t="e">
        <v>#N/A</v>
      </c>
    </row>
    <row r="2306" spans="23:27" x14ac:dyDescent="0.2">
      <c r="W2306" s="203" t="str">
        <f t="shared" si="45"/>
        <v>1w</v>
      </c>
      <c r="X2306" s="287">
        <f>_xll.qlCalendarAdvance(Calendar,X2305,W2306,"f",FALSE)</f>
        <v>55241</v>
      </c>
      <c r="Y2306" s="281">
        <f>_xll.qlCalendarAdvance(Calendar,X2306,NDays&amp;"D")</f>
        <v>55247</v>
      </c>
      <c r="Z2306" s="282" t="e">
        <v>#N/A</v>
      </c>
      <c r="AA2306" s="284" t="e">
        <v>#N/A</v>
      </c>
    </row>
    <row r="2307" spans="23:27" x14ac:dyDescent="0.2">
      <c r="W2307" s="203" t="str">
        <f t="shared" si="45"/>
        <v>1w</v>
      </c>
      <c r="X2307" s="287">
        <f>_xll.qlCalendarAdvance(Calendar,X2306,W2307,"f",FALSE)</f>
        <v>55248</v>
      </c>
      <c r="Y2307" s="281">
        <f>_xll.qlCalendarAdvance(Calendar,X2307,NDays&amp;"D")</f>
        <v>55250</v>
      </c>
      <c r="Z2307" s="282" t="e">
        <v>#N/A</v>
      </c>
      <c r="AA2307" s="284" t="e">
        <v>#N/A</v>
      </c>
    </row>
    <row r="2308" spans="23:27" x14ac:dyDescent="0.2">
      <c r="W2308" s="203" t="str">
        <f t="shared" si="45"/>
        <v>1w</v>
      </c>
      <c r="X2308" s="287">
        <f>_xll.qlCalendarAdvance(Calendar,X2307,W2308,"f",FALSE)</f>
        <v>55255</v>
      </c>
      <c r="Y2308" s="281">
        <f>_xll.qlCalendarAdvance(Calendar,X2308,NDays&amp;"D")</f>
        <v>55257</v>
      </c>
      <c r="Z2308" s="282" t="e">
        <v>#N/A</v>
      </c>
      <c r="AA2308" s="284" t="e">
        <v>#N/A</v>
      </c>
    </row>
    <row r="2309" spans="23:27" x14ac:dyDescent="0.2">
      <c r="W2309" s="203" t="str">
        <f t="shared" si="45"/>
        <v>1w</v>
      </c>
      <c r="X2309" s="287">
        <f>_xll.qlCalendarAdvance(Calendar,X2308,W2309,"f",FALSE)</f>
        <v>55262</v>
      </c>
      <c r="Y2309" s="281">
        <f>_xll.qlCalendarAdvance(Calendar,X2309,NDays&amp;"D")</f>
        <v>55264</v>
      </c>
      <c r="Z2309" s="282" t="e">
        <v>#N/A</v>
      </c>
      <c r="AA2309" s="284" t="e">
        <v>#N/A</v>
      </c>
    </row>
    <row r="2310" spans="23:27" x14ac:dyDescent="0.2">
      <c r="W2310" s="203" t="str">
        <f t="shared" si="45"/>
        <v>1w</v>
      </c>
      <c r="X2310" s="287">
        <f>_xll.qlCalendarAdvance(Calendar,X2309,W2310,"f",FALSE)</f>
        <v>55269</v>
      </c>
      <c r="Y2310" s="281">
        <f>_xll.qlCalendarAdvance(Calendar,X2310,NDays&amp;"D")</f>
        <v>55271</v>
      </c>
      <c r="Z2310" s="282" t="e">
        <v>#N/A</v>
      </c>
      <c r="AA2310" s="284" t="e">
        <v>#N/A</v>
      </c>
    </row>
    <row r="2311" spans="23:27" x14ac:dyDescent="0.2">
      <c r="W2311" s="203" t="str">
        <f t="shared" si="45"/>
        <v>1w</v>
      </c>
      <c r="X2311" s="287">
        <f>_xll.qlCalendarAdvance(Calendar,X2310,W2311,"f",FALSE)</f>
        <v>55281</v>
      </c>
      <c r="Y2311" s="281">
        <f>_xll.qlCalendarAdvance(Calendar,X2311,NDays&amp;"D")</f>
        <v>55283</v>
      </c>
      <c r="Z2311" s="282" t="e">
        <v>#N/A</v>
      </c>
      <c r="AA2311" s="284" t="e">
        <v>#N/A</v>
      </c>
    </row>
    <row r="2312" spans="23:27" x14ac:dyDescent="0.2">
      <c r="W2312" s="203" t="str">
        <f t="shared" si="45"/>
        <v>1w</v>
      </c>
      <c r="X2312" s="287">
        <f>_xll.qlCalendarAdvance(Calendar,X2311,W2312,"f",FALSE)</f>
        <v>55288</v>
      </c>
      <c r="Y2312" s="281">
        <f>_xll.qlCalendarAdvance(Calendar,X2312,NDays&amp;"D")</f>
        <v>55290</v>
      </c>
      <c r="Z2312" s="282" t="e">
        <v>#N/A</v>
      </c>
      <c r="AA2312" s="284" t="e">
        <v>#N/A</v>
      </c>
    </row>
    <row r="2313" spans="23:27" x14ac:dyDescent="0.2">
      <c r="W2313" s="203" t="str">
        <f t="shared" si="45"/>
        <v>1w</v>
      </c>
      <c r="X2313" s="287">
        <f>_xll.qlCalendarAdvance(Calendar,X2312,W2313,"f",FALSE)</f>
        <v>55295</v>
      </c>
      <c r="Y2313" s="281">
        <f>_xll.qlCalendarAdvance(Calendar,X2313,NDays&amp;"D")</f>
        <v>55297</v>
      </c>
      <c r="Z2313" s="282" t="e">
        <v>#N/A</v>
      </c>
      <c r="AA2313" s="284" t="e">
        <v>#N/A</v>
      </c>
    </row>
    <row r="2314" spans="23:27" x14ac:dyDescent="0.2">
      <c r="W2314" s="203" t="str">
        <f t="shared" si="45"/>
        <v>1w</v>
      </c>
      <c r="X2314" s="287">
        <f>_xll.qlCalendarAdvance(Calendar,X2313,W2314,"f",FALSE)</f>
        <v>55303</v>
      </c>
      <c r="Y2314" s="281">
        <f>_xll.qlCalendarAdvance(Calendar,X2314,NDays&amp;"D")</f>
        <v>55305</v>
      </c>
      <c r="Z2314" s="282" t="e">
        <v>#N/A</v>
      </c>
      <c r="AA2314" s="284" t="e">
        <v>#N/A</v>
      </c>
    </row>
    <row r="2315" spans="23:27" x14ac:dyDescent="0.2">
      <c r="W2315" s="203" t="str">
        <f t="shared" si="45"/>
        <v>1w</v>
      </c>
      <c r="X2315" s="287">
        <f>_xll.qlCalendarAdvance(Calendar,X2314,W2315,"f",FALSE)</f>
        <v>55310</v>
      </c>
      <c r="Y2315" s="281">
        <f>_xll.qlCalendarAdvance(Calendar,X2315,NDays&amp;"D")</f>
        <v>55312</v>
      </c>
      <c r="Z2315" s="282" t="e">
        <v>#N/A</v>
      </c>
      <c r="AA2315" s="284" t="e">
        <v>#N/A</v>
      </c>
    </row>
    <row r="2316" spans="23:27" x14ac:dyDescent="0.2">
      <c r="W2316" s="203" t="str">
        <f t="shared" si="45"/>
        <v>1w</v>
      </c>
      <c r="X2316" s="287">
        <f>_xll.qlCalendarAdvance(Calendar,X2315,W2316,"f",FALSE)</f>
        <v>55317</v>
      </c>
      <c r="Y2316" s="281">
        <f>_xll.qlCalendarAdvance(Calendar,X2316,NDays&amp;"D")</f>
        <v>55319</v>
      </c>
      <c r="Z2316" s="282" t="e">
        <v>#N/A</v>
      </c>
      <c r="AA2316" s="284" t="e">
        <v>#N/A</v>
      </c>
    </row>
    <row r="2317" spans="23:27" x14ac:dyDescent="0.2">
      <c r="W2317" s="203" t="str">
        <f t="shared" si="45"/>
        <v>1w</v>
      </c>
      <c r="X2317" s="287">
        <f>_xll.qlCalendarAdvance(Calendar,X2316,W2317,"f",FALSE)</f>
        <v>55324</v>
      </c>
      <c r="Y2317" s="281">
        <f>_xll.qlCalendarAdvance(Calendar,X2317,NDays&amp;"D")</f>
        <v>55326</v>
      </c>
      <c r="Z2317" s="282" t="e">
        <v>#N/A</v>
      </c>
      <c r="AA2317" s="284" t="e">
        <v>#N/A</v>
      </c>
    </row>
    <row r="2318" spans="23:27" x14ac:dyDescent="0.2">
      <c r="W2318" s="203" t="str">
        <f t="shared" si="45"/>
        <v>1w</v>
      </c>
      <c r="X2318" s="287">
        <f>_xll.qlCalendarAdvance(Calendar,X2317,W2318,"f",FALSE)</f>
        <v>55331</v>
      </c>
      <c r="Y2318" s="281">
        <f>_xll.qlCalendarAdvance(Calendar,X2318,NDays&amp;"D")</f>
        <v>55333</v>
      </c>
      <c r="Z2318" s="282" t="e">
        <v>#N/A</v>
      </c>
      <c r="AA2318" s="284" t="e">
        <v>#N/A</v>
      </c>
    </row>
    <row r="2319" spans="23:27" x14ac:dyDescent="0.2">
      <c r="W2319" s="203" t="str">
        <f t="shared" si="45"/>
        <v>1w</v>
      </c>
      <c r="X2319" s="287">
        <f>_xll.qlCalendarAdvance(Calendar,X2318,W2319,"f",FALSE)</f>
        <v>55338</v>
      </c>
      <c r="Y2319" s="281">
        <f>_xll.qlCalendarAdvance(Calendar,X2319,NDays&amp;"D")</f>
        <v>55340</v>
      </c>
      <c r="Z2319" s="282" t="e">
        <v>#N/A</v>
      </c>
      <c r="AA2319" s="284" t="e">
        <v>#N/A</v>
      </c>
    </row>
    <row r="2320" spans="23:27" x14ac:dyDescent="0.2">
      <c r="W2320" s="203" t="str">
        <f t="shared" si="45"/>
        <v>1w</v>
      </c>
      <c r="X2320" s="287">
        <f>_xll.qlCalendarAdvance(Calendar,X2319,W2320,"f",FALSE)</f>
        <v>55345</v>
      </c>
      <c r="Y2320" s="281">
        <f>_xll.qlCalendarAdvance(Calendar,X2320,NDays&amp;"D")</f>
        <v>55347</v>
      </c>
      <c r="Z2320" s="282" t="e">
        <v>#N/A</v>
      </c>
      <c r="AA2320" s="284" t="e">
        <v>#N/A</v>
      </c>
    </row>
    <row r="2321" spans="23:27" x14ac:dyDescent="0.2">
      <c r="W2321" s="203" t="str">
        <f t="shared" si="45"/>
        <v>1w</v>
      </c>
      <c r="X2321" s="287">
        <f>_xll.qlCalendarAdvance(Calendar,X2320,W2321,"f",FALSE)</f>
        <v>55352</v>
      </c>
      <c r="Y2321" s="281">
        <f>_xll.qlCalendarAdvance(Calendar,X2321,NDays&amp;"D")</f>
        <v>55354</v>
      </c>
      <c r="Z2321" s="282" t="e">
        <v>#N/A</v>
      </c>
      <c r="AA2321" s="284" t="e">
        <v>#N/A</v>
      </c>
    </row>
    <row r="2322" spans="23:27" x14ac:dyDescent="0.2">
      <c r="W2322" s="203" t="str">
        <f t="shared" si="45"/>
        <v>1w</v>
      </c>
      <c r="X2322" s="287">
        <f>_xll.qlCalendarAdvance(Calendar,X2321,W2322,"f",FALSE)</f>
        <v>55359</v>
      </c>
      <c r="Y2322" s="281">
        <f>_xll.qlCalendarAdvance(Calendar,X2322,NDays&amp;"D")</f>
        <v>55361</v>
      </c>
      <c r="Z2322" s="282" t="e">
        <v>#N/A</v>
      </c>
      <c r="AA2322" s="284" t="e">
        <v>#N/A</v>
      </c>
    </row>
    <row r="2323" spans="23:27" x14ac:dyDescent="0.2">
      <c r="W2323" s="203" t="str">
        <f t="shared" si="45"/>
        <v>1w</v>
      </c>
      <c r="X2323" s="287">
        <f>_xll.qlCalendarAdvance(Calendar,X2322,W2323,"f",FALSE)</f>
        <v>55366</v>
      </c>
      <c r="Y2323" s="281">
        <f>_xll.qlCalendarAdvance(Calendar,X2323,NDays&amp;"D")</f>
        <v>55368</v>
      </c>
      <c r="Z2323" s="282" t="e">
        <v>#N/A</v>
      </c>
      <c r="AA2323" s="284" t="e">
        <v>#N/A</v>
      </c>
    </row>
    <row r="2324" spans="23:27" x14ac:dyDescent="0.2">
      <c r="W2324" s="203" t="str">
        <f t="shared" si="45"/>
        <v>1w</v>
      </c>
      <c r="X2324" s="287">
        <f>_xll.qlCalendarAdvance(Calendar,X2323,W2324,"f",FALSE)</f>
        <v>55373</v>
      </c>
      <c r="Y2324" s="281">
        <f>_xll.qlCalendarAdvance(Calendar,X2324,NDays&amp;"D")</f>
        <v>55375</v>
      </c>
      <c r="Z2324" s="282" t="e">
        <v>#N/A</v>
      </c>
      <c r="AA2324" s="284" t="e">
        <v>#N/A</v>
      </c>
    </row>
    <row r="2325" spans="23:27" x14ac:dyDescent="0.2">
      <c r="W2325" s="203" t="str">
        <f t="shared" ref="W2325:W2388" si="46">W2324</f>
        <v>1w</v>
      </c>
      <c r="X2325" s="287">
        <f>_xll.qlCalendarAdvance(Calendar,X2324,W2325,"f",FALSE)</f>
        <v>55380</v>
      </c>
      <c r="Y2325" s="281">
        <f>_xll.qlCalendarAdvance(Calendar,X2325,NDays&amp;"D")</f>
        <v>55382</v>
      </c>
      <c r="Z2325" s="282" t="e">
        <v>#N/A</v>
      </c>
      <c r="AA2325" s="284" t="e">
        <v>#N/A</v>
      </c>
    </row>
    <row r="2326" spans="23:27" x14ac:dyDescent="0.2">
      <c r="W2326" s="203" t="str">
        <f t="shared" si="46"/>
        <v>1w</v>
      </c>
      <c r="X2326" s="287">
        <f>_xll.qlCalendarAdvance(Calendar,X2325,W2326,"f",FALSE)</f>
        <v>55387</v>
      </c>
      <c r="Y2326" s="281">
        <f>_xll.qlCalendarAdvance(Calendar,X2326,NDays&amp;"D")</f>
        <v>55389</v>
      </c>
      <c r="Z2326" s="282" t="e">
        <v>#N/A</v>
      </c>
      <c r="AA2326" s="284" t="e">
        <v>#N/A</v>
      </c>
    </row>
    <row r="2327" spans="23:27" x14ac:dyDescent="0.2">
      <c r="W2327" s="203" t="str">
        <f t="shared" si="46"/>
        <v>1w</v>
      </c>
      <c r="X2327" s="287">
        <f>_xll.qlCalendarAdvance(Calendar,X2326,W2327,"f",FALSE)</f>
        <v>55394</v>
      </c>
      <c r="Y2327" s="281">
        <f>_xll.qlCalendarAdvance(Calendar,X2327,NDays&amp;"D")</f>
        <v>55396</v>
      </c>
      <c r="Z2327" s="282" t="e">
        <v>#N/A</v>
      </c>
      <c r="AA2327" s="284" t="e">
        <v>#N/A</v>
      </c>
    </row>
    <row r="2328" spans="23:27" x14ac:dyDescent="0.2">
      <c r="W2328" s="203" t="str">
        <f t="shared" si="46"/>
        <v>1w</v>
      </c>
      <c r="X2328" s="287">
        <f>_xll.qlCalendarAdvance(Calendar,X2327,W2328,"f",FALSE)</f>
        <v>55401</v>
      </c>
      <c r="Y2328" s="281">
        <f>_xll.qlCalendarAdvance(Calendar,X2328,NDays&amp;"D")</f>
        <v>55403</v>
      </c>
      <c r="Z2328" s="282" t="e">
        <v>#N/A</v>
      </c>
      <c r="AA2328" s="284" t="e">
        <v>#N/A</v>
      </c>
    </row>
    <row r="2329" spans="23:27" x14ac:dyDescent="0.2">
      <c r="W2329" s="203" t="str">
        <f t="shared" si="46"/>
        <v>1w</v>
      </c>
      <c r="X2329" s="287">
        <f>_xll.qlCalendarAdvance(Calendar,X2328,W2329,"f",FALSE)</f>
        <v>55408</v>
      </c>
      <c r="Y2329" s="281">
        <f>_xll.qlCalendarAdvance(Calendar,X2329,NDays&amp;"D")</f>
        <v>55410</v>
      </c>
      <c r="Z2329" s="282" t="e">
        <v>#N/A</v>
      </c>
      <c r="AA2329" s="284" t="e">
        <v>#N/A</v>
      </c>
    </row>
    <row r="2330" spans="23:27" x14ac:dyDescent="0.2">
      <c r="W2330" s="203" t="str">
        <f t="shared" si="46"/>
        <v>1w</v>
      </c>
      <c r="X2330" s="287">
        <f>_xll.qlCalendarAdvance(Calendar,X2329,W2330,"f",FALSE)</f>
        <v>55415</v>
      </c>
      <c r="Y2330" s="281">
        <f>_xll.qlCalendarAdvance(Calendar,X2330,NDays&amp;"D")</f>
        <v>55417</v>
      </c>
      <c r="Z2330" s="282" t="e">
        <v>#N/A</v>
      </c>
      <c r="AA2330" s="284" t="e">
        <v>#N/A</v>
      </c>
    </row>
    <row r="2331" spans="23:27" x14ac:dyDescent="0.2">
      <c r="W2331" s="203" t="str">
        <f t="shared" si="46"/>
        <v>1w</v>
      </c>
      <c r="X2331" s="287">
        <f>_xll.qlCalendarAdvance(Calendar,X2330,W2331,"f",FALSE)</f>
        <v>55422</v>
      </c>
      <c r="Y2331" s="281">
        <f>_xll.qlCalendarAdvance(Calendar,X2331,NDays&amp;"D")</f>
        <v>55424</v>
      </c>
      <c r="Z2331" s="282" t="e">
        <v>#N/A</v>
      </c>
      <c r="AA2331" s="284" t="e">
        <v>#N/A</v>
      </c>
    </row>
    <row r="2332" spans="23:27" x14ac:dyDescent="0.2">
      <c r="W2332" s="203" t="str">
        <f t="shared" si="46"/>
        <v>1w</v>
      </c>
      <c r="X2332" s="287">
        <f>_xll.qlCalendarAdvance(Calendar,X2331,W2332,"f",FALSE)</f>
        <v>55429</v>
      </c>
      <c r="Y2332" s="281">
        <f>_xll.qlCalendarAdvance(Calendar,X2332,NDays&amp;"D")</f>
        <v>55431</v>
      </c>
      <c r="Z2332" s="282" t="e">
        <v>#N/A</v>
      </c>
      <c r="AA2332" s="284" t="e">
        <v>#N/A</v>
      </c>
    </row>
    <row r="2333" spans="23:27" x14ac:dyDescent="0.2">
      <c r="W2333" s="203" t="str">
        <f t="shared" si="46"/>
        <v>1w</v>
      </c>
      <c r="X2333" s="287">
        <f>_xll.qlCalendarAdvance(Calendar,X2332,W2333,"f",FALSE)</f>
        <v>55436</v>
      </c>
      <c r="Y2333" s="281">
        <f>_xll.qlCalendarAdvance(Calendar,X2333,NDays&amp;"D")</f>
        <v>55438</v>
      </c>
      <c r="Z2333" s="282" t="e">
        <v>#N/A</v>
      </c>
      <c r="AA2333" s="284" t="e">
        <v>#N/A</v>
      </c>
    </row>
    <row r="2334" spans="23:27" x14ac:dyDescent="0.2">
      <c r="W2334" s="203" t="str">
        <f t="shared" si="46"/>
        <v>1w</v>
      </c>
      <c r="X2334" s="287">
        <f>_xll.qlCalendarAdvance(Calendar,X2333,W2334,"f",FALSE)</f>
        <v>55443</v>
      </c>
      <c r="Y2334" s="281">
        <f>_xll.qlCalendarAdvance(Calendar,X2334,NDays&amp;"D")</f>
        <v>55445</v>
      </c>
      <c r="Z2334" s="282" t="e">
        <v>#N/A</v>
      </c>
      <c r="AA2334" s="284" t="e">
        <v>#N/A</v>
      </c>
    </row>
    <row r="2335" spans="23:27" x14ac:dyDescent="0.2">
      <c r="W2335" s="203" t="str">
        <f t="shared" si="46"/>
        <v>1w</v>
      </c>
      <c r="X2335" s="287">
        <f>_xll.qlCalendarAdvance(Calendar,X2334,W2335,"f",FALSE)</f>
        <v>55450</v>
      </c>
      <c r="Y2335" s="281">
        <f>_xll.qlCalendarAdvance(Calendar,X2335,NDays&amp;"D")</f>
        <v>55452</v>
      </c>
      <c r="Z2335" s="282" t="e">
        <v>#N/A</v>
      </c>
      <c r="AA2335" s="284" t="e">
        <v>#N/A</v>
      </c>
    </row>
    <row r="2336" spans="23:27" x14ac:dyDescent="0.2">
      <c r="W2336" s="203" t="str">
        <f t="shared" si="46"/>
        <v>1w</v>
      </c>
      <c r="X2336" s="287">
        <f>_xll.qlCalendarAdvance(Calendar,X2335,W2336,"f",FALSE)</f>
        <v>55457</v>
      </c>
      <c r="Y2336" s="281">
        <f>_xll.qlCalendarAdvance(Calendar,X2336,NDays&amp;"D")</f>
        <v>55459</v>
      </c>
      <c r="Z2336" s="282" t="e">
        <v>#N/A</v>
      </c>
      <c r="AA2336" s="284" t="e">
        <v>#N/A</v>
      </c>
    </row>
    <row r="2337" spans="23:27" x14ac:dyDescent="0.2">
      <c r="W2337" s="203" t="str">
        <f t="shared" si="46"/>
        <v>1w</v>
      </c>
      <c r="X2337" s="287">
        <f>_xll.qlCalendarAdvance(Calendar,X2336,W2337,"f",FALSE)</f>
        <v>55464</v>
      </c>
      <c r="Y2337" s="281">
        <f>_xll.qlCalendarAdvance(Calendar,X2337,NDays&amp;"D")</f>
        <v>55466</v>
      </c>
      <c r="Z2337" s="282" t="e">
        <v>#N/A</v>
      </c>
      <c r="AA2337" s="284" t="e">
        <v>#N/A</v>
      </c>
    </row>
    <row r="2338" spans="23:27" x14ac:dyDescent="0.2">
      <c r="W2338" s="203" t="str">
        <f t="shared" si="46"/>
        <v>1w</v>
      </c>
      <c r="X2338" s="287">
        <f>_xll.qlCalendarAdvance(Calendar,X2337,W2338,"f",FALSE)</f>
        <v>55471</v>
      </c>
      <c r="Y2338" s="281">
        <f>_xll.qlCalendarAdvance(Calendar,X2338,NDays&amp;"D")</f>
        <v>55473</v>
      </c>
      <c r="Z2338" s="282" t="e">
        <v>#N/A</v>
      </c>
      <c r="AA2338" s="284" t="e">
        <v>#N/A</v>
      </c>
    </row>
    <row r="2339" spans="23:27" x14ac:dyDescent="0.2">
      <c r="W2339" s="203" t="str">
        <f t="shared" si="46"/>
        <v>1w</v>
      </c>
      <c r="X2339" s="287">
        <f>_xll.qlCalendarAdvance(Calendar,X2338,W2339,"f",FALSE)</f>
        <v>55478</v>
      </c>
      <c r="Y2339" s="281">
        <f>_xll.qlCalendarAdvance(Calendar,X2339,NDays&amp;"D")</f>
        <v>55481</v>
      </c>
      <c r="Z2339" s="282" t="e">
        <v>#N/A</v>
      </c>
      <c r="AA2339" s="284" t="e">
        <v>#N/A</v>
      </c>
    </row>
    <row r="2340" spans="23:27" x14ac:dyDescent="0.2">
      <c r="W2340" s="203" t="str">
        <f t="shared" si="46"/>
        <v>1w</v>
      </c>
      <c r="X2340" s="287">
        <f>_xll.qlCalendarAdvance(Calendar,X2339,W2340,"f",FALSE)</f>
        <v>55485</v>
      </c>
      <c r="Y2340" s="281">
        <f>_xll.qlCalendarAdvance(Calendar,X2340,NDays&amp;"D")</f>
        <v>55487</v>
      </c>
      <c r="Z2340" s="282" t="e">
        <v>#N/A</v>
      </c>
      <c r="AA2340" s="284" t="e">
        <v>#N/A</v>
      </c>
    </row>
    <row r="2341" spans="23:27" x14ac:dyDescent="0.2">
      <c r="W2341" s="203" t="str">
        <f t="shared" si="46"/>
        <v>1w</v>
      </c>
      <c r="X2341" s="287">
        <f>_xll.qlCalendarAdvance(Calendar,X2340,W2341,"f",FALSE)</f>
        <v>55492</v>
      </c>
      <c r="Y2341" s="281">
        <f>_xll.qlCalendarAdvance(Calendar,X2341,NDays&amp;"D")</f>
        <v>55494</v>
      </c>
      <c r="Z2341" s="282" t="e">
        <v>#N/A</v>
      </c>
      <c r="AA2341" s="284" t="e">
        <v>#N/A</v>
      </c>
    </row>
    <row r="2342" spans="23:27" x14ac:dyDescent="0.2">
      <c r="W2342" s="203" t="str">
        <f t="shared" si="46"/>
        <v>1w</v>
      </c>
      <c r="X2342" s="287">
        <f>_xll.qlCalendarAdvance(Calendar,X2341,W2342,"f",FALSE)</f>
        <v>55499</v>
      </c>
      <c r="Y2342" s="281">
        <f>_xll.qlCalendarAdvance(Calendar,X2342,NDays&amp;"D")</f>
        <v>55501</v>
      </c>
      <c r="Z2342" s="282" t="e">
        <v>#N/A</v>
      </c>
      <c r="AA2342" s="284" t="e">
        <v>#N/A</v>
      </c>
    </row>
    <row r="2343" spans="23:27" x14ac:dyDescent="0.2">
      <c r="W2343" s="203" t="str">
        <f t="shared" si="46"/>
        <v>1w</v>
      </c>
      <c r="X2343" s="287">
        <f>_xll.qlCalendarAdvance(Calendar,X2342,W2343,"f",FALSE)</f>
        <v>55506</v>
      </c>
      <c r="Y2343" s="281">
        <f>_xll.qlCalendarAdvance(Calendar,X2343,NDays&amp;"D")</f>
        <v>55508</v>
      </c>
      <c r="Z2343" s="282" t="e">
        <v>#N/A</v>
      </c>
      <c r="AA2343" s="284" t="e">
        <v>#N/A</v>
      </c>
    </row>
    <row r="2344" spans="23:27" x14ac:dyDescent="0.2">
      <c r="W2344" s="203" t="str">
        <f t="shared" si="46"/>
        <v>1w</v>
      </c>
      <c r="X2344" s="287">
        <f>_xll.qlCalendarAdvance(Calendar,X2343,W2344,"f",FALSE)</f>
        <v>55514</v>
      </c>
      <c r="Y2344" s="281">
        <f>_xll.qlCalendarAdvance(Calendar,X2344,NDays&amp;"D")</f>
        <v>55516</v>
      </c>
      <c r="Z2344" s="282" t="e">
        <v>#N/A</v>
      </c>
      <c r="AA2344" s="284" t="e">
        <v>#N/A</v>
      </c>
    </row>
    <row r="2345" spans="23:27" x14ac:dyDescent="0.2">
      <c r="W2345" s="203" t="str">
        <f t="shared" si="46"/>
        <v>1w</v>
      </c>
      <c r="X2345" s="287">
        <f>_xll.qlCalendarAdvance(Calendar,X2344,W2345,"f",FALSE)</f>
        <v>55522</v>
      </c>
      <c r="Y2345" s="281">
        <f>_xll.qlCalendarAdvance(Calendar,X2345,NDays&amp;"D")</f>
        <v>55527</v>
      </c>
      <c r="Z2345" s="282" t="e">
        <v>#N/A</v>
      </c>
      <c r="AA2345" s="284" t="e">
        <v>#N/A</v>
      </c>
    </row>
    <row r="2346" spans="23:27" x14ac:dyDescent="0.2">
      <c r="W2346" s="203" t="str">
        <f t="shared" si="46"/>
        <v>1w</v>
      </c>
      <c r="X2346" s="287">
        <f>_xll.qlCalendarAdvance(Calendar,X2345,W2346,"f",FALSE)</f>
        <v>55529</v>
      </c>
      <c r="Y2346" s="281">
        <f>_xll.qlCalendarAdvance(Calendar,X2346,NDays&amp;"D")</f>
        <v>55533</v>
      </c>
      <c r="Z2346" s="282" t="e">
        <v>#N/A</v>
      </c>
      <c r="AA2346" s="284" t="e">
        <v>#N/A</v>
      </c>
    </row>
    <row r="2347" spans="23:27" x14ac:dyDescent="0.2">
      <c r="W2347" s="203" t="str">
        <f t="shared" si="46"/>
        <v>1w</v>
      </c>
      <c r="X2347" s="287">
        <f>_xll.qlCalendarAdvance(Calendar,X2346,W2347,"f",FALSE)</f>
        <v>55536</v>
      </c>
      <c r="Y2347" s="281">
        <f>_xll.qlCalendarAdvance(Calendar,X2347,NDays&amp;"D")</f>
        <v>55540</v>
      </c>
      <c r="Z2347" s="282" t="e">
        <v>#N/A</v>
      </c>
      <c r="AA2347" s="284" t="e">
        <v>#N/A</v>
      </c>
    </row>
    <row r="2348" spans="23:27" x14ac:dyDescent="0.2">
      <c r="W2348" s="203" t="str">
        <f t="shared" si="46"/>
        <v>1w</v>
      </c>
      <c r="X2348" s="287">
        <f>_xll.qlCalendarAdvance(Calendar,X2347,W2348,"f",FALSE)</f>
        <v>55543</v>
      </c>
      <c r="Y2348" s="281">
        <f>_xll.qlCalendarAdvance(Calendar,X2348,NDays&amp;"D")</f>
        <v>55547</v>
      </c>
      <c r="Z2348" s="282" t="e">
        <v>#N/A</v>
      </c>
      <c r="AA2348" s="284" t="e">
        <v>#N/A</v>
      </c>
    </row>
    <row r="2349" spans="23:27" x14ac:dyDescent="0.2">
      <c r="W2349" s="203" t="str">
        <f t="shared" si="46"/>
        <v>1w</v>
      </c>
      <c r="X2349" s="287">
        <f>_xll.qlCalendarAdvance(Calendar,X2348,W2349,"f",FALSE)</f>
        <v>55550</v>
      </c>
      <c r="Y2349" s="281">
        <f>_xll.qlCalendarAdvance(Calendar,X2349,NDays&amp;"D")</f>
        <v>55554</v>
      </c>
      <c r="Z2349" s="282" t="e">
        <v>#N/A</v>
      </c>
      <c r="AA2349" s="284" t="e">
        <v>#N/A</v>
      </c>
    </row>
    <row r="2350" spans="23:27" x14ac:dyDescent="0.2">
      <c r="W2350" s="203" t="str">
        <f t="shared" si="46"/>
        <v>1w</v>
      </c>
      <c r="X2350" s="287">
        <f>_xll.qlCalendarAdvance(Calendar,X2349,W2350,"f",FALSE)</f>
        <v>55557</v>
      </c>
      <c r="Y2350" s="281">
        <f>_xll.qlCalendarAdvance(Calendar,X2350,NDays&amp;"D")</f>
        <v>55562</v>
      </c>
      <c r="Z2350" s="282" t="e">
        <v>#N/A</v>
      </c>
      <c r="AA2350" s="284" t="e">
        <v>#N/A</v>
      </c>
    </row>
    <row r="2351" spans="23:27" x14ac:dyDescent="0.2">
      <c r="W2351" s="203" t="str">
        <f t="shared" si="46"/>
        <v>1w</v>
      </c>
      <c r="X2351" s="287">
        <f>_xll.qlCalendarAdvance(Calendar,X2350,W2351,"f",FALSE)</f>
        <v>55564</v>
      </c>
      <c r="Y2351" s="281">
        <f>_xll.qlCalendarAdvance(Calendar,X2351,NDays&amp;"D")</f>
        <v>55568</v>
      </c>
      <c r="Z2351" s="282" t="e">
        <v>#N/A</v>
      </c>
      <c r="AA2351" s="284" t="e">
        <v>#N/A</v>
      </c>
    </row>
    <row r="2352" spans="23:27" x14ac:dyDescent="0.2">
      <c r="W2352" s="203" t="str">
        <f t="shared" si="46"/>
        <v>1w</v>
      </c>
      <c r="X2352" s="287">
        <f>_xll.qlCalendarAdvance(Calendar,X2351,W2352,"f",FALSE)</f>
        <v>55571</v>
      </c>
      <c r="Y2352" s="281">
        <f>_xll.qlCalendarAdvance(Calendar,X2352,NDays&amp;"D")</f>
        <v>55575</v>
      </c>
      <c r="Z2352" s="282" t="e">
        <v>#N/A</v>
      </c>
      <c r="AA2352" s="284" t="e">
        <v>#N/A</v>
      </c>
    </row>
    <row r="2353" spans="23:27" x14ac:dyDescent="0.2">
      <c r="W2353" s="203" t="str">
        <f t="shared" si="46"/>
        <v>1w</v>
      </c>
      <c r="X2353" s="287">
        <f>_xll.qlCalendarAdvance(Calendar,X2352,W2353,"f",FALSE)</f>
        <v>55578</v>
      </c>
      <c r="Y2353" s="281">
        <f>_xll.qlCalendarAdvance(Calendar,X2353,NDays&amp;"D")</f>
        <v>55582</v>
      </c>
      <c r="Z2353" s="282" t="e">
        <v>#N/A</v>
      </c>
      <c r="AA2353" s="284" t="e">
        <v>#N/A</v>
      </c>
    </row>
    <row r="2354" spans="23:27" x14ac:dyDescent="0.2">
      <c r="W2354" s="203" t="str">
        <f t="shared" si="46"/>
        <v>1w</v>
      </c>
      <c r="X2354" s="287">
        <f>_xll.qlCalendarAdvance(Calendar,X2353,W2354,"f",FALSE)</f>
        <v>55585</v>
      </c>
      <c r="Y2354" s="281">
        <f>_xll.qlCalendarAdvance(Calendar,X2354,NDays&amp;"D")</f>
        <v>55589</v>
      </c>
      <c r="Z2354" s="282" t="e">
        <v>#N/A</v>
      </c>
      <c r="AA2354" s="284" t="e">
        <v>#N/A</v>
      </c>
    </row>
    <row r="2355" spans="23:27" x14ac:dyDescent="0.2">
      <c r="W2355" s="203" t="str">
        <f t="shared" si="46"/>
        <v>1w</v>
      </c>
      <c r="X2355" s="287">
        <f>_xll.qlCalendarAdvance(Calendar,X2354,W2355,"f",FALSE)</f>
        <v>55592</v>
      </c>
      <c r="Y2355" s="281">
        <f>_xll.qlCalendarAdvance(Calendar,X2355,NDays&amp;"D")</f>
        <v>55596</v>
      </c>
      <c r="Z2355" s="282" t="e">
        <v>#N/A</v>
      </c>
      <c r="AA2355" s="284" t="e">
        <v>#N/A</v>
      </c>
    </row>
    <row r="2356" spans="23:27" x14ac:dyDescent="0.2">
      <c r="W2356" s="203" t="str">
        <f t="shared" si="46"/>
        <v>1w</v>
      </c>
      <c r="X2356" s="287">
        <f>_xll.qlCalendarAdvance(Calendar,X2355,W2356,"f",FALSE)</f>
        <v>55599</v>
      </c>
      <c r="Y2356" s="281">
        <f>_xll.qlCalendarAdvance(Calendar,X2356,NDays&amp;"D")</f>
        <v>55603</v>
      </c>
      <c r="Z2356" s="282" t="e">
        <v>#N/A</v>
      </c>
      <c r="AA2356" s="284" t="e">
        <v>#N/A</v>
      </c>
    </row>
    <row r="2357" spans="23:27" x14ac:dyDescent="0.2">
      <c r="W2357" s="203" t="str">
        <f t="shared" si="46"/>
        <v>1w</v>
      </c>
      <c r="X2357" s="287">
        <f>_xll.qlCalendarAdvance(Calendar,X2356,W2357,"f",FALSE)</f>
        <v>55606</v>
      </c>
      <c r="Y2357" s="281">
        <f>_xll.qlCalendarAdvance(Calendar,X2357,NDays&amp;"D")</f>
        <v>55610</v>
      </c>
      <c r="Z2357" s="282" t="e">
        <v>#N/A</v>
      </c>
      <c r="AA2357" s="284" t="e">
        <v>#N/A</v>
      </c>
    </row>
    <row r="2358" spans="23:27" x14ac:dyDescent="0.2">
      <c r="W2358" s="203" t="str">
        <f t="shared" si="46"/>
        <v>1w</v>
      </c>
      <c r="X2358" s="287">
        <f>_xll.qlCalendarAdvance(Calendar,X2357,W2358,"f",FALSE)</f>
        <v>55613</v>
      </c>
      <c r="Y2358" s="281">
        <f>_xll.qlCalendarAdvance(Calendar,X2358,NDays&amp;"D")</f>
        <v>55617</v>
      </c>
      <c r="Z2358" s="282" t="e">
        <v>#N/A</v>
      </c>
      <c r="AA2358" s="284" t="e">
        <v>#N/A</v>
      </c>
    </row>
    <row r="2359" spans="23:27" x14ac:dyDescent="0.2">
      <c r="W2359" s="203" t="str">
        <f t="shared" si="46"/>
        <v>1w</v>
      </c>
      <c r="X2359" s="287">
        <f>_xll.qlCalendarAdvance(Calendar,X2358,W2359,"f",FALSE)</f>
        <v>55620</v>
      </c>
      <c r="Y2359" s="281">
        <f>_xll.qlCalendarAdvance(Calendar,X2359,NDays&amp;"D")</f>
        <v>55624</v>
      </c>
      <c r="Z2359" s="282" t="e">
        <v>#N/A</v>
      </c>
      <c r="AA2359" s="284" t="e">
        <v>#N/A</v>
      </c>
    </row>
    <row r="2360" spans="23:27" x14ac:dyDescent="0.2">
      <c r="W2360" s="203" t="str">
        <f t="shared" si="46"/>
        <v>1w</v>
      </c>
      <c r="X2360" s="287">
        <f>_xll.qlCalendarAdvance(Calendar,X2359,W2360,"f",FALSE)</f>
        <v>55627</v>
      </c>
      <c r="Y2360" s="281">
        <f>_xll.qlCalendarAdvance(Calendar,X2360,NDays&amp;"D")</f>
        <v>55633</v>
      </c>
      <c r="Z2360" s="282" t="e">
        <v>#N/A</v>
      </c>
      <c r="AA2360" s="284" t="e">
        <v>#N/A</v>
      </c>
    </row>
    <row r="2361" spans="23:27" x14ac:dyDescent="0.2">
      <c r="W2361" s="203" t="str">
        <f t="shared" si="46"/>
        <v>1w</v>
      </c>
      <c r="X2361" s="287">
        <f>_xll.qlCalendarAdvance(Calendar,X2360,W2361,"f",FALSE)</f>
        <v>55634</v>
      </c>
      <c r="Y2361" s="281">
        <f>_xll.qlCalendarAdvance(Calendar,X2361,NDays&amp;"D")</f>
        <v>55639</v>
      </c>
      <c r="Z2361" s="282" t="e">
        <v>#N/A</v>
      </c>
      <c r="AA2361" s="284" t="e">
        <v>#N/A</v>
      </c>
    </row>
    <row r="2362" spans="23:27" x14ac:dyDescent="0.2">
      <c r="W2362" s="203" t="str">
        <f t="shared" si="46"/>
        <v>1w</v>
      </c>
      <c r="X2362" s="287">
        <f>_xll.qlCalendarAdvance(Calendar,X2361,W2362,"f",FALSE)</f>
        <v>55641</v>
      </c>
      <c r="Y2362" s="281">
        <f>_xll.qlCalendarAdvance(Calendar,X2362,NDays&amp;"D")</f>
        <v>55647</v>
      </c>
      <c r="Z2362" s="282" t="e">
        <v>#N/A</v>
      </c>
      <c r="AA2362" s="284" t="e">
        <v>#N/A</v>
      </c>
    </row>
    <row r="2363" spans="23:27" x14ac:dyDescent="0.2">
      <c r="W2363" s="203" t="str">
        <f t="shared" si="46"/>
        <v>1w</v>
      </c>
      <c r="X2363" s="287">
        <f>_xll.qlCalendarAdvance(Calendar,X2362,W2363,"f",FALSE)</f>
        <v>55648</v>
      </c>
      <c r="Y2363" s="281">
        <f>_xll.qlCalendarAdvance(Calendar,X2363,NDays&amp;"D")</f>
        <v>55652</v>
      </c>
      <c r="Z2363" s="282" t="e">
        <v>#N/A</v>
      </c>
      <c r="AA2363" s="284" t="e">
        <v>#N/A</v>
      </c>
    </row>
    <row r="2364" spans="23:27" x14ac:dyDescent="0.2">
      <c r="W2364" s="203" t="str">
        <f t="shared" si="46"/>
        <v>1w</v>
      </c>
      <c r="X2364" s="287">
        <f>_xll.qlCalendarAdvance(Calendar,X2363,W2364,"f",FALSE)</f>
        <v>55655</v>
      </c>
      <c r="Y2364" s="281">
        <f>_xll.qlCalendarAdvance(Calendar,X2364,NDays&amp;"D")</f>
        <v>55659</v>
      </c>
      <c r="Z2364" s="282" t="e">
        <v>#N/A</v>
      </c>
      <c r="AA2364" s="284" t="e">
        <v>#N/A</v>
      </c>
    </row>
    <row r="2365" spans="23:27" x14ac:dyDescent="0.2">
      <c r="W2365" s="203" t="str">
        <f t="shared" si="46"/>
        <v>1w</v>
      </c>
      <c r="X2365" s="287">
        <f>_xll.qlCalendarAdvance(Calendar,X2364,W2365,"f",FALSE)</f>
        <v>55662</v>
      </c>
      <c r="Y2365" s="281">
        <f>_xll.qlCalendarAdvance(Calendar,X2365,NDays&amp;"D")</f>
        <v>55667</v>
      </c>
      <c r="Z2365" s="282" t="e">
        <v>#N/A</v>
      </c>
      <c r="AA2365" s="284" t="e">
        <v>#N/A</v>
      </c>
    </row>
    <row r="2366" spans="23:27" x14ac:dyDescent="0.2">
      <c r="W2366" s="203" t="str">
        <f t="shared" si="46"/>
        <v>1w</v>
      </c>
      <c r="X2366" s="287">
        <f>_xll.qlCalendarAdvance(Calendar,X2365,W2366,"f",FALSE)</f>
        <v>55669</v>
      </c>
      <c r="Y2366" s="281">
        <f>_xll.qlCalendarAdvance(Calendar,X2366,NDays&amp;"D")</f>
        <v>55673</v>
      </c>
      <c r="Z2366" s="282" t="e">
        <v>#N/A</v>
      </c>
      <c r="AA2366" s="284" t="e">
        <v>#N/A</v>
      </c>
    </row>
    <row r="2367" spans="23:27" x14ac:dyDescent="0.2">
      <c r="W2367" s="203" t="str">
        <f t="shared" si="46"/>
        <v>1w</v>
      </c>
      <c r="X2367" s="287">
        <f>_xll.qlCalendarAdvance(Calendar,X2366,W2367,"f",FALSE)</f>
        <v>55676</v>
      </c>
      <c r="Y2367" s="281">
        <f>_xll.qlCalendarAdvance(Calendar,X2367,NDays&amp;"D")</f>
        <v>55680</v>
      </c>
      <c r="Z2367" s="282" t="e">
        <v>#N/A</v>
      </c>
      <c r="AA2367" s="284" t="e">
        <v>#N/A</v>
      </c>
    </row>
    <row r="2368" spans="23:27" x14ac:dyDescent="0.2">
      <c r="W2368" s="203" t="str">
        <f t="shared" si="46"/>
        <v>1w</v>
      </c>
      <c r="X2368" s="287">
        <f>_xll.qlCalendarAdvance(Calendar,X2367,W2368,"f",FALSE)</f>
        <v>55683</v>
      </c>
      <c r="Y2368" s="281">
        <f>_xll.qlCalendarAdvance(Calendar,X2368,NDays&amp;"D")</f>
        <v>55687</v>
      </c>
      <c r="Z2368" s="282" t="e">
        <v>#N/A</v>
      </c>
      <c r="AA2368" s="284" t="e">
        <v>#N/A</v>
      </c>
    </row>
    <row r="2369" spans="23:27" x14ac:dyDescent="0.2">
      <c r="W2369" s="203" t="str">
        <f t="shared" si="46"/>
        <v>1w</v>
      </c>
      <c r="X2369" s="287">
        <f>_xll.qlCalendarAdvance(Calendar,X2368,W2369,"f",FALSE)</f>
        <v>55690</v>
      </c>
      <c r="Y2369" s="281">
        <f>_xll.qlCalendarAdvance(Calendar,X2369,NDays&amp;"D")</f>
        <v>55694</v>
      </c>
      <c r="Z2369" s="282" t="e">
        <v>#N/A</v>
      </c>
      <c r="AA2369" s="284" t="e">
        <v>#N/A</v>
      </c>
    </row>
    <row r="2370" spans="23:27" x14ac:dyDescent="0.2">
      <c r="W2370" s="203" t="str">
        <f t="shared" si="46"/>
        <v>1w</v>
      </c>
      <c r="X2370" s="287">
        <f>_xll.qlCalendarAdvance(Calendar,X2369,W2370,"f",FALSE)</f>
        <v>55697</v>
      </c>
      <c r="Y2370" s="281">
        <f>_xll.qlCalendarAdvance(Calendar,X2370,NDays&amp;"D")</f>
        <v>55701</v>
      </c>
      <c r="Z2370" s="282" t="e">
        <v>#N/A</v>
      </c>
      <c r="AA2370" s="284" t="e">
        <v>#N/A</v>
      </c>
    </row>
    <row r="2371" spans="23:27" x14ac:dyDescent="0.2">
      <c r="W2371" s="203" t="str">
        <f t="shared" si="46"/>
        <v>1w</v>
      </c>
      <c r="X2371" s="287">
        <f>_xll.qlCalendarAdvance(Calendar,X2370,W2371,"f",FALSE)</f>
        <v>55704</v>
      </c>
      <c r="Y2371" s="281">
        <f>_xll.qlCalendarAdvance(Calendar,X2371,NDays&amp;"D")</f>
        <v>55708</v>
      </c>
      <c r="Z2371" s="282" t="e">
        <v>#N/A</v>
      </c>
      <c r="AA2371" s="284" t="e">
        <v>#N/A</v>
      </c>
    </row>
    <row r="2372" spans="23:27" x14ac:dyDescent="0.2">
      <c r="W2372" s="203" t="str">
        <f t="shared" si="46"/>
        <v>1w</v>
      </c>
      <c r="X2372" s="287">
        <f>_xll.qlCalendarAdvance(Calendar,X2371,W2372,"f",FALSE)</f>
        <v>55711</v>
      </c>
      <c r="Y2372" s="281">
        <f>_xll.qlCalendarAdvance(Calendar,X2372,NDays&amp;"D")</f>
        <v>55716</v>
      </c>
      <c r="Z2372" s="282" t="e">
        <v>#N/A</v>
      </c>
      <c r="AA2372" s="284" t="e">
        <v>#N/A</v>
      </c>
    </row>
    <row r="2373" spans="23:27" x14ac:dyDescent="0.2">
      <c r="W2373" s="203" t="str">
        <f t="shared" si="46"/>
        <v>1w</v>
      </c>
      <c r="X2373" s="287">
        <f>_xll.qlCalendarAdvance(Calendar,X2372,W2373,"f",FALSE)</f>
        <v>55718</v>
      </c>
      <c r="Y2373" s="281">
        <f>_xll.qlCalendarAdvance(Calendar,X2373,NDays&amp;"D")</f>
        <v>55722</v>
      </c>
      <c r="Z2373" s="282" t="e">
        <v>#N/A</v>
      </c>
      <c r="AA2373" s="284" t="e">
        <v>#N/A</v>
      </c>
    </row>
    <row r="2374" spans="23:27" x14ac:dyDescent="0.2">
      <c r="W2374" s="203" t="str">
        <f t="shared" si="46"/>
        <v>1w</v>
      </c>
      <c r="X2374" s="287">
        <f>_xll.qlCalendarAdvance(Calendar,X2373,W2374,"f",FALSE)</f>
        <v>55725</v>
      </c>
      <c r="Y2374" s="281">
        <f>_xll.qlCalendarAdvance(Calendar,X2374,NDays&amp;"D")</f>
        <v>55729</v>
      </c>
      <c r="Z2374" s="282" t="e">
        <v>#N/A</v>
      </c>
      <c r="AA2374" s="284" t="e">
        <v>#N/A</v>
      </c>
    </row>
    <row r="2375" spans="23:27" x14ac:dyDescent="0.2">
      <c r="W2375" s="203" t="str">
        <f t="shared" si="46"/>
        <v>1w</v>
      </c>
      <c r="X2375" s="287">
        <f>_xll.qlCalendarAdvance(Calendar,X2374,W2375,"f",FALSE)</f>
        <v>55732</v>
      </c>
      <c r="Y2375" s="281">
        <f>_xll.qlCalendarAdvance(Calendar,X2375,NDays&amp;"D")</f>
        <v>55736</v>
      </c>
      <c r="Z2375" s="282" t="e">
        <v>#N/A</v>
      </c>
      <c r="AA2375" s="284" t="e">
        <v>#N/A</v>
      </c>
    </row>
    <row r="2376" spans="23:27" x14ac:dyDescent="0.2">
      <c r="W2376" s="203" t="str">
        <f t="shared" si="46"/>
        <v>1w</v>
      </c>
      <c r="X2376" s="287">
        <f>_xll.qlCalendarAdvance(Calendar,X2375,W2376,"f",FALSE)</f>
        <v>55739</v>
      </c>
      <c r="Y2376" s="281">
        <f>_xll.qlCalendarAdvance(Calendar,X2376,NDays&amp;"D")</f>
        <v>55743</v>
      </c>
      <c r="Z2376" s="282" t="e">
        <v>#N/A</v>
      </c>
      <c r="AA2376" s="284" t="e">
        <v>#N/A</v>
      </c>
    </row>
    <row r="2377" spans="23:27" x14ac:dyDescent="0.2">
      <c r="W2377" s="203" t="str">
        <f t="shared" si="46"/>
        <v>1w</v>
      </c>
      <c r="X2377" s="287">
        <f>_xll.qlCalendarAdvance(Calendar,X2376,W2377,"f",FALSE)</f>
        <v>55746</v>
      </c>
      <c r="Y2377" s="281">
        <f>_xll.qlCalendarAdvance(Calendar,X2377,NDays&amp;"D")</f>
        <v>55750</v>
      </c>
      <c r="Z2377" s="282" t="e">
        <v>#N/A</v>
      </c>
      <c r="AA2377" s="284" t="e">
        <v>#N/A</v>
      </c>
    </row>
    <row r="2378" spans="23:27" x14ac:dyDescent="0.2">
      <c r="W2378" s="203" t="str">
        <f t="shared" si="46"/>
        <v>1w</v>
      </c>
      <c r="X2378" s="287">
        <f>_xll.qlCalendarAdvance(Calendar,X2377,W2378,"f",FALSE)</f>
        <v>55753</v>
      </c>
      <c r="Y2378" s="281">
        <f>_xll.qlCalendarAdvance(Calendar,X2378,NDays&amp;"D")</f>
        <v>55758</v>
      </c>
      <c r="Z2378" s="282" t="e">
        <v>#N/A</v>
      </c>
      <c r="AA2378" s="284" t="e">
        <v>#N/A</v>
      </c>
    </row>
    <row r="2379" spans="23:27" x14ac:dyDescent="0.2">
      <c r="W2379" s="203" t="str">
        <f t="shared" si="46"/>
        <v>1w</v>
      </c>
      <c r="X2379" s="287">
        <f>_xll.qlCalendarAdvance(Calendar,X2378,W2379,"f",FALSE)</f>
        <v>55760</v>
      </c>
      <c r="Y2379" s="281">
        <f>_xll.qlCalendarAdvance(Calendar,X2379,NDays&amp;"D")</f>
        <v>55764</v>
      </c>
      <c r="Z2379" s="282" t="e">
        <v>#N/A</v>
      </c>
      <c r="AA2379" s="284" t="e">
        <v>#N/A</v>
      </c>
    </row>
    <row r="2380" spans="23:27" x14ac:dyDescent="0.2">
      <c r="W2380" s="203" t="str">
        <f t="shared" si="46"/>
        <v>1w</v>
      </c>
      <c r="X2380" s="287">
        <f>_xll.qlCalendarAdvance(Calendar,X2379,W2380,"f",FALSE)</f>
        <v>55767</v>
      </c>
      <c r="Y2380" s="281">
        <f>_xll.qlCalendarAdvance(Calendar,X2380,NDays&amp;"D")</f>
        <v>55771</v>
      </c>
      <c r="Z2380" s="282" t="e">
        <v>#N/A</v>
      </c>
      <c r="AA2380" s="284" t="e">
        <v>#N/A</v>
      </c>
    </row>
    <row r="2381" spans="23:27" x14ac:dyDescent="0.2">
      <c r="W2381" s="203" t="str">
        <f t="shared" si="46"/>
        <v>1w</v>
      </c>
      <c r="X2381" s="287">
        <f>_xll.qlCalendarAdvance(Calendar,X2380,W2381,"f",FALSE)</f>
        <v>55774</v>
      </c>
      <c r="Y2381" s="281">
        <f>_xll.qlCalendarAdvance(Calendar,X2381,NDays&amp;"D")</f>
        <v>55779</v>
      </c>
      <c r="Z2381" s="282" t="e">
        <v>#N/A</v>
      </c>
      <c r="AA2381" s="284" t="e">
        <v>#N/A</v>
      </c>
    </row>
    <row r="2382" spans="23:27" x14ac:dyDescent="0.2">
      <c r="W2382" s="203" t="str">
        <f t="shared" si="46"/>
        <v>1w</v>
      </c>
      <c r="X2382" s="287">
        <f>_xll.qlCalendarAdvance(Calendar,X2381,W2382,"f",FALSE)</f>
        <v>55781</v>
      </c>
      <c r="Y2382" s="281">
        <f>_xll.qlCalendarAdvance(Calendar,X2382,NDays&amp;"D")</f>
        <v>55786</v>
      </c>
      <c r="Z2382" s="282" t="e">
        <v>#N/A</v>
      </c>
      <c r="AA2382" s="284" t="e">
        <v>#N/A</v>
      </c>
    </row>
    <row r="2383" spans="23:27" x14ac:dyDescent="0.2">
      <c r="W2383" s="203" t="str">
        <f t="shared" si="46"/>
        <v>1w</v>
      </c>
      <c r="X2383" s="287">
        <f>_xll.qlCalendarAdvance(Calendar,X2382,W2383,"f",FALSE)</f>
        <v>55788</v>
      </c>
      <c r="Y2383" s="281">
        <f>_xll.qlCalendarAdvance(Calendar,X2383,NDays&amp;"D")</f>
        <v>55792</v>
      </c>
      <c r="Z2383" s="282" t="e">
        <v>#N/A</v>
      </c>
      <c r="AA2383" s="284" t="e">
        <v>#N/A</v>
      </c>
    </row>
    <row r="2384" spans="23:27" x14ac:dyDescent="0.2">
      <c r="W2384" s="203" t="str">
        <f t="shared" si="46"/>
        <v>1w</v>
      </c>
      <c r="X2384" s="287">
        <f>_xll.qlCalendarAdvance(Calendar,X2383,W2384,"f",FALSE)</f>
        <v>55795</v>
      </c>
      <c r="Y2384" s="281">
        <f>_xll.qlCalendarAdvance(Calendar,X2384,NDays&amp;"D")</f>
        <v>55799</v>
      </c>
      <c r="Z2384" s="282" t="e">
        <v>#N/A</v>
      </c>
      <c r="AA2384" s="284" t="e">
        <v>#N/A</v>
      </c>
    </row>
    <row r="2385" spans="23:27" x14ac:dyDescent="0.2">
      <c r="W2385" s="203" t="str">
        <f t="shared" si="46"/>
        <v>1w</v>
      </c>
      <c r="X2385" s="287">
        <f>_xll.qlCalendarAdvance(Calendar,X2384,W2385,"f",FALSE)</f>
        <v>55802</v>
      </c>
      <c r="Y2385" s="281">
        <f>_xll.qlCalendarAdvance(Calendar,X2385,NDays&amp;"D")</f>
        <v>55807</v>
      </c>
      <c r="Z2385" s="282" t="e">
        <v>#N/A</v>
      </c>
      <c r="AA2385" s="284" t="e">
        <v>#N/A</v>
      </c>
    </row>
    <row r="2386" spans="23:27" x14ac:dyDescent="0.2">
      <c r="W2386" s="203" t="str">
        <f t="shared" si="46"/>
        <v>1w</v>
      </c>
      <c r="X2386" s="287">
        <f>_xll.qlCalendarAdvance(Calendar,X2385,W2386,"f",FALSE)</f>
        <v>55809</v>
      </c>
      <c r="Y2386" s="281">
        <f>_xll.qlCalendarAdvance(Calendar,X2386,NDays&amp;"D")</f>
        <v>55813</v>
      </c>
      <c r="Z2386" s="282" t="e">
        <v>#N/A</v>
      </c>
      <c r="AA2386" s="284" t="e">
        <v>#N/A</v>
      </c>
    </row>
    <row r="2387" spans="23:27" x14ac:dyDescent="0.2">
      <c r="W2387" s="203" t="str">
        <f t="shared" si="46"/>
        <v>1w</v>
      </c>
      <c r="X2387" s="287">
        <f>_xll.qlCalendarAdvance(Calendar,X2386,W2387,"f",FALSE)</f>
        <v>55816</v>
      </c>
      <c r="Y2387" s="281">
        <f>_xll.qlCalendarAdvance(Calendar,X2387,NDays&amp;"D")</f>
        <v>55820</v>
      </c>
      <c r="Z2387" s="282" t="e">
        <v>#N/A</v>
      </c>
      <c r="AA2387" s="284" t="e">
        <v>#N/A</v>
      </c>
    </row>
    <row r="2388" spans="23:27" x14ac:dyDescent="0.2">
      <c r="W2388" s="203" t="str">
        <f t="shared" si="46"/>
        <v>1w</v>
      </c>
      <c r="X2388" s="287">
        <f>_xll.qlCalendarAdvance(Calendar,X2387,W2388,"f",FALSE)</f>
        <v>55823</v>
      </c>
      <c r="Y2388" s="281">
        <f>_xll.qlCalendarAdvance(Calendar,X2388,NDays&amp;"D")</f>
        <v>55828</v>
      </c>
      <c r="Z2388" s="282" t="e">
        <v>#N/A</v>
      </c>
      <c r="AA2388" s="284" t="e">
        <v>#N/A</v>
      </c>
    </row>
    <row r="2389" spans="23:27" x14ac:dyDescent="0.2">
      <c r="W2389" s="203" t="str">
        <f t="shared" ref="W2389:W2452" si="47">W2388</f>
        <v>1w</v>
      </c>
      <c r="X2389" s="287">
        <f>_xll.qlCalendarAdvance(Calendar,X2388,W2389,"f",FALSE)</f>
        <v>55830</v>
      </c>
      <c r="Y2389" s="281">
        <f>_xll.qlCalendarAdvance(Calendar,X2389,NDays&amp;"D")</f>
        <v>55834</v>
      </c>
      <c r="Z2389" s="282" t="e">
        <v>#N/A</v>
      </c>
      <c r="AA2389" s="284" t="e">
        <v>#N/A</v>
      </c>
    </row>
    <row r="2390" spans="23:27" x14ac:dyDescent="0.2">
      <c r="W2390" s="203" t="str">
        <f t="shared" si="47"/>
        <v>1w</v>
      </c>
      <c r="X2390" s="287">
        <f>_xll.qlCalendarAdvance(Calendar,X2389,W2390,"f",FALSE)</f>
        <v>55837</v>
      </c>
      <c r="Y2390" s="281">
        <f>_xll.qlCalendarAdvance(Calendar,X2390,NDays&amp;"D")</f>
        <v>55841</v>
      </c>
      <c r="Z2390" s="282" t="e">
        <v>#N/A</v>
      </c>
      <c r="AA2390" s="284" t="e">
        <v>#N/A</v>
      </c>
    </row>
    <row r="2391" spans="23:27" x14ac:dyDescent="0.2">
      <c r="W2391" s="203" t="str">
        <f t="shared" si="47"/>
        <v>1w</v>
      </c>
      <c r="X2391" s="287">
        <f>_xll.qlCalendarAdvance(Calendar,X2390,W2391,"f",FALSE)</f>
        <v>55844</v>
      </c>
      <c r="Y2391" s="281">
        <f>_xll.qlCalendarAdvance(Calendar,X2391,NDays&amp;"D")</f>
        <v>55848</v>
      </c>
      <c r="Z2391" s="282" t="e">
        <v>#N/A</v>
      </c>
      <c r="AA2391" s="284" t="e">
        <v>#N/A</v>
      </c>
    </row>
    <row r="2392" spans="23:27" x14ac:dyDescent="0.2">
      <c r="W2392" s="203" t="str">
        <f t="shared" si="47"/>
        <v>1w</v>
      </c>
      <c r="X2392" s="287">
        <f>_xll.qlCalendarAdvance(Calendar,X2391,W2392,"f",FALSE)</f>
        <v>55851</v>
      </c>
      <c r="Y2392" s="281">
        <f>_xll.qlCalendarAdvance(Calendar,X2392,NDays&amp;"D")</f>
        <v>55855</v>
      </c>
      <c r="Z2392" s="282" t="e">
        <v>#N/A</v>
      </c>
      <c r="AA2392" s="284" t="e">
        <v>#N/A</v>
      </c>
    </row>
    <row r="2393" spans="23:27" x14ac:dyDescent="0.2">
      <c r="W2393" s="203" t="str">
        <f t="shared" si="47"/>
        <v>1w</v>
      </c>
      <c r="X2393" s="287">
        <f>_xll.qlCalendarAdvance(Calendar,X2392,W2393,"f",FALSE)</f>
        <v>55858</v>
      </c>
      <c r="Y2393" s="281">
        <f>_xll.qlCalendarAdvance(Calendar,X2393,NDays&amp;"D")</f>
        <v>55862</v>
      </c>
      <c r="Z2393" s="282" t="e">
        <v>#N/A</v>
      </c>
      <c r="AA2393" s="284" t="e">
        <v>#N/A</v>
      </c>
    </row>
    <row r="2394" spans="23:27" x14ac:dyDescent="0.2">
      <c r="W2394" s="203" t="str">
        <f t="shared" si="47"/>
        <v>1w</v>
      </c>
      <c r="X2394" s="287">
        <f>_xll.qlCalendarAdvance(Calendar,X2393,W2394,"f",FALSE)</f>
        <v>55865</v>
      </c>
      <c r="Y2394" s="281">
        <f>_xll.qlCalendarAdvance(Calendar,X2394,NDays&amp;"D")</f>
        <v>55869</v>
      </c>
      <c r="Z2394" s="282" t="e">
        <v>#N/A</v>
      </c>
      <c r="AA2394" s="284" t="e">
        <v>#N/A</v>
      </c>
    </row>
    <row r="2395" spans="23:27" x14ac:dyDescent="0.2">
      <c r="W2395" s="203" t="str">
        <f t="shared" si="47"/>
        <v>1w</v>
      </c>
      <c r="X2395" s="287">
        <f>_xll.qlCalendarAdvance(Calendar,X2394,W2395,"f",FALSE)</f>
        <v>55872</v>
      </c>
      <c r="Y2395" s="281">
        <f>_xll.qlCalendarAdvance(Calendar,X2395,NDays&amp;"D")</f>
        <v>55877</v>
      </c>
      <c r="Z2395" s="282" t="e">
        <v>#N/A</v>
      </c>
      <c r="AA2395" s="284" t="e">
        <v>#N/A</v>
      </c>
    </row>
    <row r="2396" spans="23:27" x14ac:dyDescent="0.2">
      <c r="W2396" s="203" t="str">
        <f t="shared" si="47"/>
        <v>1w</v>
      </c>
      <c r="X2396" s="287">
        <f>_xll.qlCalendarAdvance(Calendar,X2395,W2396,"f",FALSE)</f>
        <v>55880</v>
      </c>
      <c r="Y2396" s="281">
        <f>_xll.qlCalendarAdvance(Calendar,X2396,NDays&amp;"D")</f>
        <v>55890</v>
      </c>
      <c r="Z2396" s="282" t="e">
        <v>#N/A</v>
      </c>
      <c r="AA2396" s="284" t="e">
        <v>#N/A</v>
      </c>
    </row>
    <row r="2397" spans="23:27" x14ac:dyDescent="0.2">
      <c r="W2397" s="203" t="str">
        <f t="shared" si="47"/>
        <v>1w</v>
      </c>
      <c r="X2397" s="287">
        <f>_xll.qlCalendarAdvance(Calendar,X2396,W2397,"f",FALSE)</f>
        <v>55890</v>
      </c>
      <c r="Y2397" s="281">
        <f>_xll.qlCalendarAdvance(Calendar,X2397,NDays&amp;"D")</f>
        <v>55892</v>
      </c>
      <c r="Z2397" s="282" t="e">
        <v>#N/A</v>
      </c>
      <c r="AA2397" s="284" t="e">
        <v>#N/A</v>
      </c>
    </row>
    <row r="2398" spans="23:27" x14ac:dyDescent="0.2">
      <c r="W2398" s="203" t="str">
        <f t="shared" si="47"/>
        <v>1w</v>
      </c>
      <c r="X2398" s="287">
        <f>_xll.qlCalendarAdvance(Calendar,X2397,W2398,"f",FALSE)</f>
        <v>55898</v>
      </c>
      <c r="Y2398" s="281">
        <f>_xll.qlCalendarAdvance(Calendar,X2398,NDays&amp;"D")</f>
        <v>55900</v>
      </c>
      <c r="Z2398" s="282" t="e">
        <v>#N/A</v>
      </c>
      <c r="AA2398" s="284" t="e">
        <v>#N/A</v>
      </c>
    </row>
    <row r="2399" spans="23:27" x14ac:dyDescent="0.2">
      <c r="W2399" s="203" t="str">
        <f t="shared" si="47"/>
        <v>1w</v>
      </c>
      <c r="X2399" s="287">
        <f>_xll.qlCalendarAdvance(Calendar,X2398,W2399,"f",FALSE)</f>
        <v>55905</v>
      </c>
      <c r="Y2399" s="281">
        <f>_xll.qlCalendarAdvance(Calendar,X2399,NDays&amp;"D")</f>
        <v>55907</v>
      </c>
      <c r="Z2399" s="282" t="e">
        <v>#N/A</v>
      </c>
      <c r="AA2399" s="284" t="e">
        <v>#N/A</v>
      </c>
    </row>
    <row r="2400" spans="23:27" x14ac:dyDescent="0.2">
      <c r="W2400" s="203" t="str">
        <f t="shared" si="47"/>
        <v>1w</v>
      </c>
      <c r="X2400" s="287">
        <f>_xll.qlCalendarAdvance(Calendar,X2399,W2400,"f",FALSE)</f>
        <v>55912</v>
      </c>
      <c r="Y2400" s="281">
        <f>_xll.qlCalendarAdvance(Calendar,X2400,NDays&amp;"D")</f>
        <v>55914</v>
      </c>
      <c r="Z2400" s="282" t="e">
        <v>#N/A</v>
      </c>
      <c r="AA2400" s="284" t="e">
        <v>#N/A</v>
      </c>
    </row>
    <row r="2401" spans="23:27" x14ac:dyDescent="0.2">
      <c r="W2401" s="203" t="str">
        <f t="shared" si="47"/>
        <v>1w</v>
      </c>
      <c r="X2401" s="287">
        <f>_xll.qlCalendarAdvance(Calendar,X2400,W2401,"f",FALSE)</f>
        <v>55919</v>
      </c>
      <c r="Y2401" s="281">
        <f>_xll.qlCalendarAdvance(Calendar,X2401,NDays&amp;"D")</f>
        <v>55921</v>
      </c>
      <c r="Z2401" s="282" t="e">
        <v>#N/A</v>
      </c>
      <c r="AA2401" s="284" t="e">
        <v>#N/A</v>
      </c>
    </row>
    <row r="2402" spans="23:27" x14ac:dyDescent="0.2">
      <c r="W2402" s="203" t="str">
        <f t="shared" si="47"/>
        <v>1w</v>
      </c>
      <c r="X2402" s="287">
        <f>_xll.qlCalendarAdvance(Calendar,X2401,W2402,"f",FALSE)</f>
        <v>55927</v>
      </c>
      <c r="Y2402" s="281">
        <f>_xll.qlCalendarAdvance(Calendar,X2402,NDays&amp;"D")</f>
        <v>55929</v>
      </c>
      <c r="Z2402" s="282" t="e">
        <v>#N/A</v>
      </c>
      <c r="AA2402" s="284" t="e">
        <v>#N/A</v>
      </c>
    </row>
    <row r="2403" spans="23:27" x14ac:dyDescent="0.2">
      <c r="W2403" s="203" t="str">
        <f t="shared" si="47"/>
        <v>1w</v>
      </c>
      <c r="X2403" s="287">
        <f>_xll.qlCalendarAdvance(Calendar,X2402,W2403,"f",FALSE)</f>
        <v>55934</v>
      </c>
      <c r="Y2403" s="281">
        <f>_xll.qlCalendarAdvance(Calendar,X2403,NDays&amp;"D")</f>
        <v>55936</v>
      </c>
      <c r="Z2403" s="282" t="e">
        <v>#N/A</v>
      </c>
      <c r="AA2403" s="284" t="e">
        <v>#N/A</v>
      </c>
    </row>
    <row r="2404" spans="23:27" x14ac:dyDescent="0.2">
      <c r="W2404" s="203" t="str">
        <f t="shared" si="47"/>
        <v>1w</v>
      </c>
      <c r="X2404" s="287">
        <f>_xll.qlCalendarAdvance(Calendar,X2403,W2404,"f",FALSE)</f>
        <v>55941</v>
      </c>
      <c r="Y2404" s="281">
        <f>_xll.qlCalendarAdvance(Calendar,X2404,NDays&amp;"D")</f>
        <v>55943</v>
      </c>
      <c r="Z2404" s="282" t="e">
        <v>#N/A</v>
      </c>
      <c r="AA2404" s="284" t="e">
        <v>#N/A</v>
      </c>
    </row>
    <row r="2405" spans="23:27" x14ac:dyDescent="0.2">
      <c r="W2405" s="203" t="str">
        <f t="shared" si="47"/>
        <v>1w</v>
      </c>
      <c r="X2405" s="287">
        <f>_xll.qlCalendarAdvance(Calendar,X2404,W2405,"f",FALSE)</f>
        <v>55948</v>
      </c>
      <c r="Y2405" s="281">
        <f>_xll.qlCalendarAdvance(Calendar,X2405,NDays&amp;"D")</f>
        <v>55950</v>
      </c>
      <c r="Z2405" s="282" t="e">
        <v>#N/A</v>
      </c>
      <c r="AA2405" s="284" t="e">
        <v>#N/A</v>
      </c>
    </row>
    <row r="2406" spans="23:27" x14ac:dyDescent="0.2">
      <c r="W2406" s="203" t="str">
        <f t="shared" si="47"/>
        <v>1w</v>
      </c>
      <c r="X2406" s="287">
        <f>_xll.qlCalendarAdvance(Calendar,X2405,W2406,"f",FALSE)</f>
        <v>55955</v>
      </c>
      <c r="Y2406" s="281">
        <f>_xll.qlCalendarAdvance(Calendar,X2406,NDays&amp;"D")</f>
        <v>55957</v>
      </c>
      <c r="Z2406" s="282" t="e">
        <v>#N/A</v>
      </c>
      <c r="AA2406" s="284" t="e">
        <v>#N/A</v>
      </c>
    </row>
    <row r="2407" spans="23:27" x14ac:dyDescent="0.2">
      <c r="W2407" s="203" t="str">
        <f t="shared" si="47"/>
        <v>1w</v>
      </c>
      <c r="X2407" s="287">
        <f>_xll.qlCalendarAdvance(Calendar,X2406,W2407,"f",FALSE)</f>
        <v>55962</v>
      </c>
      <c r="Y2407" s="281">
        <f>_xll.qlCalendarAdvance(Calendar,X2407,NDays&amp;"D")</f>
        <v>55967</v>
      </c>
      <c r="Z2407" s="282" t="e">
        <v>#N/A</v>
      </c>
      <c r="AA2407" s="284" t="e">
        <v>#N/A</v>
      </c>
    </row>
    <row r="2408" spans="23:27" x14ac:dyDescent="0.2">
      <c r="W2408" s="203" t="str">
        <f t="shared" si="47"/>
        <v>1w</v>
      </c>
      <c r="X2408" s="287">
        <f>_xll.qlCalendarAdvance(Calendar,X2407,W2408,"f",FALSE)</f>
        <v>55969</v>
      </c>
      <c r="Y2408" s="281">
        <f>_xll.qlCalendarAdvance(Calendar,X2408,NDays&amp;"D")</f>
        <v>55971</v>
      </c>
      <c r="Z2408" s="282" t="e">
        <v>#N/A</v>
      </c>
      <c r="AA2408" s="284" t="e">
        <v>#N/A</v>
      </c>
    </row>
    <row r="2409" spans="23:27" x14ac:dyDescent="0.2">
      <c r="W2409" s="203" t="str">
        <f t="shared" si="47"/>
        <v>1w</v>
      </c>
      <c r="X2409" s="287">
        <f>_xll.qlCalendarAdvance(Calendar,X2408,W2409,"f",FALSE)</f>
        <v>55976</v>
      </c>
      <c r="Y2409" s="281">
        <f>_xll.qlCalendarAdvance(Calendar,X2409,NDays&amp;"D")</f>
        <v>55982</v>
      </c>
      <c r="Z2409" s="282" t="e">
        <v>#N/A</v>
      </c>
      <c r="AA2409" s="284" t="e">
        <v>#N/A</v>
      </c>
    </row>
    <row r="2410" spans="23:27" x14ac:dyDescent="0.2">
      <c r="W2410" s="203" t="str">
        <f t="shared" si="47"/>
        <v>1w</v>
      </c>
      <c r="X2410" s="287">
        <f>_xll.qlCalendarAdvance(Calendar,X2409,W2410,"f",FALSE)</f>
        <v>55983</v>
      </c>
      <c r="Y2410" s="281">
        <f>_xll.qlCalendarAdvance(Calendar,X2410,NDays&amp;"D")</f>
        <v>55985</v>
      </c>
      <c r="Z2410" s="282" t="e">
        <v>#N/A</v>
      </c>
      <c r="AA2410" s="284" t="e">
        <v>#N/A</v>
      </c>
    </row>
    <row r="2411" spans="23:27" x14ac:dyDescent="0.2">
      <c r="W2411" s="203" t="str">
        <f t="shared" si="47"/>
        <v>1w</v>
      </c>
      <c r="X2411" s="287">
        <f>_xll.qlCalendarAdvance(Calendar,X2410,W2411,"f",FALSE)</f>
        <v>55990</v>
      </c>
      <c r="Y2411" s="281">
        <f>_xll.qlCalendarAdvance(Calendar,X2411,NDays&amp;"D")</f>
        <v>55992</v>
      </c>
      <c r="Z2411" s="282" t="e">
        <v>#N/A</v>
      </c>
      <c r="AA2411" s="284" t="e">
        <v>#N/A</v>
      </c>
    </row>
    <row r="2412" spans="23:27" x14ac:dyDescent="0.2">
      <c r="W2412" s="203" t="str">
        <f t="shared" si="47"/>
        <v>1w</v>
      </c>
      <c r="X2412" s="287">
        <f>_xll.qlCalendarAdvance(Calendar,X2411,W2412,"f",FALSE)</f>
        <v>55997</v>
      </c>
      <c r="Y2412" s="281">
        <f>_xll.qlCalendarAdvance(Calendar,X2412,NDays&amp;"D")</f>
        <v>55999</v>
      </c>
      <c r="Z2412" s="282" t="e">
        <v>#N/A</v>
      </c>
      <c r="AA2412" s="284" t="e">
        <v>#N/A</v>
      </c>
    </row>
    <row r="2413" spans="23:27" x14ac:dyDescent="0.2">
      <c r="W2413" s="203" t="str">
        <f t="shared" si="47"/>
        <v>1w</v>
      </c>
      <c r="X2413" s="287">
        <f>_xll.qlCalendarAdvance(Calendar,X2412,W2413,"f",FALSE)</f>
        <v>56004</v>
      </c>
      <c r="Y2413" s="281">
        <f>_xll.qlCalendarAdvance(Calendar,X2413,NDays&amp;"D")</f>
        <v>56006</v>
      </c>
      <c r="Z2413" s="282" t="e">
        <v>#N/A</v>
      </c>
      <c r="AA2413" s="284" t="e">
        <v>#N/A</v>
      </c>
    </row>
    <row r="2414" spans="23:27" x14ac:dyDescent="0.2">
      <c r="W2414" s="203" t="str">
        <f t="shared" si="47"/>
        <v>1w</v>
      </c>
      <c r="X2414" s="287">
        <f>_xll.qlCalendarAdvance(Calendar,X2413,W2414,"f",FALSE)</f>
        <v>56011</v>
      </c>
      <c r="Y2414" s="281">
        <f>_xll.qlCalendarAdvance(Calendar,X2414,NDays&amp;"D")</f>
        <v>56013</v>
      </c>
      <c r="Z2414" s="282" t="e">
        <v>#N/A</v>
      </c>
      <c r="AA2414" s="284" t="e">
        <v>#N/A</v>
      </c>
    </row>
    <row r="2415" spans="23:27" x14ac:dyDescent="0.2">
      <c r="W2415" s="203" t="str">
        <f t="shared" si="47"/>
        <v>1w</v>
      </c>
      <c r="X2415" s="287">
        <f>_xll.qlCalendarAdvance(Calendar,X2414,W2415,"f",FALSE)</f>
        <v>56018</v>
      </c>
      <c r="Y2415" s="281">
        <f>_xll.qlCalendarAdvance(Calendar,X2415,NDays&amp;"D")</f>
        <v>56020</v>
      </c>
      <c r="Z2415" s="282" t="e">
        <v>#N/A</v>
      </c>
      <c r="AA2415" s="284" t="e">
        <v>#N/A</v>
      </c>
    </row>
    <row r="2416" spans="23:27" x14ac:dyDescent="0.2">
      <c r="W2416" s="203" t="str">
        <f t="shared" si="47"/>
        <v>1w</v>
      </c>
      <c r="X2416" s="287">
        <f>_xll.qlCalendarAdvance(Calendar,X2415,W2416,"f",FALSE)</f>
        <v>56025</v>
      </c>
      <c r="Y2416" s="281">
        <f>_xll.qlCalendarAdvance(Calendar,X2416,NDays&amp;"D")</f>
        <v>56027</v>
      </c>
      <c r="Z2416" s="282" t="e">
        <v>#N/A</v>
      </c>
      <c r="AA2416" s="284" t="e">
        <v>#N/A</v>
      </c>
    </row>
    <row r="2417" spans="23:27" x14ac:dyDescent="0.2">
      <c r="W2417" s="203" t="str">
        <f t="shared" si="47"/>
        <v>1w</v>
      </c>
      <c r="X2417" s="287">
        <f>_xll.qlCalendarAdvance(Calendar,X2416,W2417,"f",FALSE)</f>
        <v>56032</v>
      </c>
      <c r="Y2417" s="281">
        <f>_xll.qlCalendarAdvance(Calendar,X2417,NDays&amp;"D")</f>
        <v>56034</v>
      </c>
      <c r="Z2417" s="282" t="e">
        <v>#N/A</v>
      </c>
      <c r="AA2417" s="284" t="e">
        <v>#N/A</v>
      </c>
    </row>
    <row r="2418" spans="23:27" x14ac:dyDescent="0.2">
      <c r="W2418" s="203" t="str">
        <f t="shared" si="47"/>
        <v>1w</v>
      </c>
      <c r="X2418" s="287">
        <f>_xll.qlCalendarAdvance(Calendar,X2417,W2418,"f",FALSE)</f>
        <v>56039</v>
      </c>
      <c r="Y2418" s="281">
        <f>_xll.qlCalendarAdvance(Calendar,X2418,NDays&amp;"D")</f>
        <v>56041</v>
      </c>
      <c r="Z2418" s="282" t="e">
        <v>#N/A</v>
      </c>
      <c r="AA2418" s="284" t="e">
        <v>#N/A</v>
      </c>
    </row>
    <row r="2419" spans="23:27" x14ac:dyDescent="0.2">
      <c r="W2419" s="203" t="str">
        <f t="shared" si="47"/>
        <v>1w</v>
      </c>
      <c r="X2419" s="287">
        <f>_xll.qlCalendarAdvance(Calendar,X2418,W2419,"f",FALSE)</f>
        <v>56046</v>
      </c>
      <c r="Y2419" s="281">
        <f>_xll.qlCalendarAdvance(Calendar,X2419,NDays&amp;"D")</f>
        <v>56048</v>
      </c>
      <c r="Z2419" s="282" t="e">
        <v>#N/A</v>
      </c>
      <c r="AA2419" s="284" t="e">
        <v>#N/A</v>
      </c>
    </row>
    <row r="2420" spans="23:27" x14ac:dyDescent="0.2">
      <c r="W2420" s="203" t="str">
        <f t="shared" si="47"/>
        <v>1w</v>
      </c>
      <c r="X2420" s="287">
        <f>_xll.qlCalendarAdvance(Calendar,X2419,W2420,"f",FALSE)</f>
        <v>56053</v>
      </c>
      <c r="Y2420" s="281">
        <f>_xll.qlCalendarAdvance(Calendar,X2420,NDays&amp;"D")</f>
        <v>56055</v>
      </c>
      <c r="Z2420" s="282" t="e">
        <v>#N/A</v>
      </c>
      <c r="AA2420" s="284" t="e">
        <v>#N/A</v>
      </c>
    </row>
    <row r="2421" spans="23:27" x14ac:dyDescent="0.2">
      <c r="W2421" s="203" t="str">
        <f t="shared" si="47"/>
        <v>1w</v>
      </c>
      <c r="X2421" s="287">
        <f>_xll.qlCalendarAdvance(Calendar,X2420,W2421,"f",FALSE)</f>
        <v>56060</v>
      </c>
      <c r="Y2421" s="281">
        <f>_xll.qlCalendarAdvance(Calendar,X2421,NDays&amp;"D")</f>
        <v>56062</v>
      </c>
      <c r="Z2421" s="282" t="e">
        <v>#N/A</v>
      </c>
      <c r="AA2421" s="284" t="e">
        <v>#N/A</v>
      </c>
    </row>
    <row r="2422" spans="23:27" x14ac:dyDescent="0.2">
      <c r="W2422" s="203" t="str">
        <f t="shared" si="47"/>
        <v>1w</v>
      </c>
      <c r="X2422" s="287">
        <f>_xll.qlCalendarAdvance(Calendar,X2421,W2422,"f",FALSE)</f>
        <v>56067</v>
      </c>
      <c r="Y2422" s="281">
        <f>_xll.qlCalendarAdvance(Calendar,X2422,NDays&amp;"D")</f>
        <v>56069</v>
      </c>
      <c r="Z2422" s="282" t="e">
        <v>#N/A</v>
      </c>
      <c r="AA2422" s="284" t="e">
        <v>#N/A</v>
      </c>
    </row>
    <row r="2423" spans="23:27" x14ac:dyDescent="0.2">
      <c r="W2423" s="203" t="str">
        <f t="shared" si="47"/>
        <v>1w</v>
      </c>
      <c r="X2423" s="287">
        <f>_xll.qlCalendarAdvance(Calendar,X2422,W2423,"f",FALSE)</f>
        <v>56074</v>
      </c>
      <c r="Y2423" s="281">
        <f>_xll.qlCalendarAdvance(Calendar,X2423,NDays&amp;"D")</f>
        <v>56076</v>
      </c>
      <c r="Z2423" s="282" t="e">
        <v>#N/A</v>
      </c>
      <c r="AA2423" s="284" t="e">
        <v>#N/A</v>
      </c>
    </row>
    <row r="2424" spans="23:27" x14ac:dyDescent="0.2">
      <c r="W2424" s="203" t="str">
        <f t="shared" si="47"/>
        <v>1w</v>
      </c>
      <c r="X2424" s="287">
        <f>_xll.qlCalendarAdvance(Calendar,X2423,W2424,"f",FALSE)</f>
        <v>56081</v>
      </c>
      <c r="Y2424" s="281">
        <f>_xll.qlCalendarAdvance(Calendar,X2424,NDays&amp;"D")</f>
        <v>56083</v>
      </c>
      <c r="Z2424" s="282" t="e">
        <v>#N/A</v>
      </c>
      <c r="AA2424" s="284" t="e">
        <v>#N/A</v>
      </c>
    </row>
    <row r="2425" spans="23:27" x14ac:dyDescent="0.2">
      <c r="W2425" s="203" t="str">
        <f t="shared" si="47"/>
        <v>1w</v>
      </c>
      <c r="X2425" s="287">
        <f>_xll.qlCalendarAdvance(Calendar,X2424,W2425,"f",FALSE)</f>
        <v>56088</v>
      </c>
      <c r="Y2425" s="281">
        <f>_xll.qlCalendarAdvance(Calendar,X2425,NDays&amp;"D")</f>
        <v>56090</v>
      </c>
      <c r="Z2425" s="282" t="e">
        <v>#N/A</v>
      </c>
      <c r="AA2425" s="284" t="e">
        <v>#N/A</v>
      </c>
    </row>
    <row r="2426" spans="23:27" x14ac:dyDescent="0.2">
      <c r="W2426" s="203" t="str">
        <f t="shared" si="47"/>
        <v>1w</v>
      </c>
      <c r="X2426" s="287">
        <f>_xll.qlCalendarAdvance(Calendar,X2425,W2426,"f",FALSE)</f>
        <v>56095</v>
      </c>
      <c r="Y2426" s="281">
        <f>_xll.qlCalendarAdvance(Calendar,X2426,NDays&amp;"D")</f>
        <v>56097</v>
      </c>
      <c r="Z2426" s="282" t="e">
        <v>#N/A</v>
      </c>
      <c r="AA2426" s="284" t="e">
        <v>#N/A</v>
      </c>
    </row>
    <row r="2427" spans="23:27" x14ac:dyDescent="0.2">
      <c r="W2427" s="203" t="str">
        <f t="shared" si="47"/>
        <v>1w</v>
      </c>
      <c r="X2427" s="287">
        <f>_xll.qlCalendarAdvance(Calendar,X2426,W2427,"f",FALSE)</f>
        <v>56102</v>
      </c>
      <c r="Y2427" s="281">
        <f>_xll.qlCalendarAdvance(Calendar,X2427,NDays&amp;"D")</f>
        <v>56104</v>
      </c>
      <c r="Z2427" s="282" t="e">
        <v>#N/A</v>
      </c>
      <c r="AA2427" s="284" t="e">
        <v>#N/A</v>
      </c>
    </row>
    <row r="2428" spans="23:27" x14ac:dyDescent="0.2">
      <c r="W2428" s="203" t="str">
        <f t="shared" si="47"/>
        <v>1w</v>
      </c>
      <c r="X2428" s="287">
        <f>_xll.qlCalendarAdvance(Calendar,X2427,W2428,"f",FALSE)</f>
        <v>56109</v>
      </c>
      <c r="Y2428" s="281">
        <f>_xll.qlCalendarAdvance(Calendar,X2428,NDays&amp;"D")</f>
        <v>56111</v>
      </c>
      <c r="Z2428" s="282" t="e">
        <v>#N/A</v>
      </c>
      <c r="AA2428" s="284" t="e">
        <v>#N/A</v>
      </c>
    </row>
    <row r="2429" spans="23:27" x14ac:dyDescent="0.2">
      <c r="W2429" s="203" t="str">
        <f t="shared" si="47"/>
        <v>1w</v>
      </c>
      <c r="X2429" s="287">
        <f>_xll.qlCalendarAdvance(Calendar,X2428,W2429,"f",FALSE)</f>
        <v>56116</v>
      </c>
      <c r="Y2429" s="281">
        <f>_xll.qlCalendarAdvance(Calendar,X2429,NDays&amp;"D")</f>
        <v>56118</v>
      </c>
      <c r="Z2429" s="282" t="e">
        <v>#N/A</v>
      </c>
      <c r="AA2429" s="284" t="e">
        <v>#N/A</v>
      </c>
    </row>
    <row r="2430" spans="23:27" x14ac:dyDescent="0.2">
      <c r="W2430" s="203" t="str">
        <f t="shared" si="47"/>
        <v>1w</v>
      </c>
      <c r="X2430" s="287">
        <f>_xll.qlCalendarAdvance(Calendar,X2429,W2430,"f",FALSE)</f>
        <v>56123</v>
      </c>
      <c r="Y2430" s="281">
        <f>_xll.qlCalendarAdvance(Calendar,X2430,NDays&amp;"D")</f>
        <v>56125</v>
      </c>
      <c r="Z2430" s="282" t="e">
        <v>#N/A</v>
      </c>
      <c r="AA2430" s="284" t="e">
        <v>#N/A</v>
      </c>
    </row>
    <row r="2431" spans="23:27" x14ac:dyDescent="0.2">
      <c r="W2431" s="203" t="str">
        <f t="shared" si="47"/>
        <v>1w</v>
      </c>
      <c r="X2431" s="287">
        <f>_xll.qlCalendarAdvance(Calendar,X2430,W2431,"f",FALSE)</f>
        <v>56130</v>
      </c>
      <c r="Y2431" s="281">
        <f>_xll.qlCalendarAdvance(Calendar,X2431,NDays&amp;"D")</f>
        <v>56132</v>
      </c>
      <c r="Z2431" s="282" t="e">
        <v>#N/A</v>
      </c>
      <c r="AA2431" s="284" t="e">
        <v>#N/A</v>
      </c>
    </row>
    <row r="2432" spans="23:27" x14ac:dyDescent="0.2">
      <c r="W2432" s="203" t="str">
        <f t="shared" si="47"/>
        <v>1w</v>
      </c>
      <c r="X2432" s="287">
        <f>_xll.qlCalendarAdvance(Calendar,X2431,W2432,"f",FALSE)</f>
        <v>56137</v>
      </c>
      <c r="Y2432" s="281">
        <f>_xll.qlCalendarAdvance(Calendar,X2432,NDays&amp;"D")</f>
        <v>56139</v>
      </c>
      <c r="Z2432" s="282" t="e">
        <v>#N/A</v>
      </c>
      <c r="AA2432" s="284" t="e">
        <v>#N/A</v>
      </c>
    </row>
    <row r="2433" spans="23:27" x14ac:dyDescent="0.2">
      <c r="W2433" s="203" t="str">
        <f t="shared" si="47"/>
        <v>1w</v>
      </c>
      <c r="X2433" s="287">
        <f>_xll.qlCalendarAdvance(Calendar,X2432,W2433,"f",FALSE)</f>
        <v>56144</v>
      </c>
      <c r="Y2433" s="281">
        <f>_xll.qlCalendarAdvance(Calendar,X2433,NDays&amp;"D")</f>
        <v>56146</v>
      </c>
      <c r="Z2433" s="282" t="e">
        <v>#N/A</v>
      </c>
      <c r="AA2433" s="284" t="e">
        <v>#N/A</v>
      </c>
    </row>
    <row r="2434" spans="23:27" x14ac:dyDescent="0.2">
      <c r="W2434" s="203" t="str">
        <f t="shared" si="47"/>
        <v>1w</v>
      </c>
      <c r="X2434" s="287">
        <f>_xll.qlCalendarAdvance(Calendar,X2433,W2434,"f",FALSE)</f>
        <v>56151</v>
      </c>
      <c r="Y2434" s="281">
        <f>_xll.qlCalendarAdvance(Calendar,X2434,NDays&amp;"D")</f>
        <v>56153</v>
      </c>
      <c r="Z2434" s="282" t="e">
        <v>#N/A</v>
      </c>
      <c r="AA2434" s="284" t="e">
        <v>#N/A</v>
      </c>
    </row>
    <row r="2435" spans="23:27" x14ac:dyDescent="0.2">
      <c r="W2435" s="203" t="str">
        <f t="shared" si="47"/>
        <v>1w</v>
      </c>
      <c r="X2435" s="287">
        <f>_xll.qlCalendarAdvance(Calendar,X2434,W2435,"f",FALSE)</f>
        <v>56158</v>
      </c>
      <c r="Y2435" s="281">
        <f>_xll.qlCalendarAdvance(Calendar,X2435,NDays&amp;"D")</f>
        <v>56160</v>
      </c>
      <c r="Z2435" s="282" t="e">
        <v>#N/A</v>
      </c>
      <c r="AA2435" s="284" t="e">
        <v>#N/A</v>
      </c>
    </row>
    <row r="2436" spans="23:27" x14ac:dyDescent="0.2">
      <c r="W2436" s="203" t="str">
        <f t="shared" si="47"/>
        <v>1w</v>
      </c>
      <c r="X2436" s="287">
        <f>_xll.qlCalendarAdvance(Calendar,X2435,W2436,"f",FALSE)</f>
        <v>56165</v>
      </c>
      <c r="Y2436" s="281">
        <f>_xll.qlCalendarAdvance(Calendar,X2436,NDays&amp;"D")</f>
        <v>56167</v>
      </c>
      <c r="Z2436" s="282" t="e">
        <v>#N/A</v>
      </c>
      <c r="AA2436" s="284" t="e">
        <v>#N/A</v>
      </c>
    </row>
    <row r="2437" spans="23:27" x14ac:dyDescent="0.2">
      <c r="W2437" s="203" t="str">
        <f t="shared" si="47"/>
        <v>1w</v>
      </c>
      <c r="X2437" s="287">
        <f>_xll.qlCalendarAdvance(Calendar,X2436,W2437,"f",FALSE)</f>
        <v>56172</v>
      </c>
      <c r="Y2437" s="281">
        <f>_xll.qlCalendarAdvance(Calendar,X2437,NDays&amp;"D")</f>
        <v>56174</v>
      </c>
      <c r="Z2437" s="282" t="e">
        <v>#N/A</v>
      </c>
      <c r="AA2437" s="284" t="e">
        <v>#N/A</v>
      </c>
    </row>
    <row r="2438" spans="23:27" x14ac:dyDescent="0.2">
      <c r="W2438" s="203" t="str">
        <f t="shared" si="47"/>
        <v>1w</v>
      </c>
      <c r="X2438" s="287">
        <f>_xll.qlCalendarAdvance(Calendar,X2437,W2438,"f",FALSE)</f>
        <v>56179</v>
      </c>
      <c r="Y2438" s="281">
        <f>_xll.qlCalendarAdvance(Calendar,X2438,NDays&amp;"D")</f>
        <v>56181</v>
      </c>
      <c r="Z2438" s="282" t="e">
        <v>#N/A</v>
      </c>
      <c r="AA2438" s="284" t="e">
        <v>#N/A</v>
      </c>
    </row>
    <row r="2439" spans="23:27" x14ac:dyDescent="0.2">
      <c r="W2439" s="203" t="str">
        <f t="shared" si="47"/>
        <v>1w</v>
      </c>
      <c r="X2439" s="287">
        <f>_xll.qlCalendarAdvance(Calendar,X2438,W2439,"f",FALSE)</f>
        <v>56186</v>
      </c>
      <c r="Y2439" s="281">
        <f>_xll.qlCalendarAdvance(Calendar,X2439,NDays&amp;"D")</f>
        <v>56188</v>
      </c>
      <c r="Z2439" s="282" t="e">
        <v>#N/A</v>
      </c>
      <c r="AA2439" s="284" t="e">
        <v>#N/A</v>
      </c>
    </row>
    <row r="2440" spans="23:27" x14ac:dyDescent="0.2">
      <c r="W2440" s="203" t="str">
        <f t="shared" si="47"/>
        <v>1w</v>
      </c>
      <c r="X2440" s="287">
        <f>_xll.qlCalendarAdvance(Calendar,X2439,W2440,"f",FALSE)</f>
        <v>56193</v>
      </c>
      <c r="Y2440" s="281">
        <f>_xll.qlCalendarAdvance(Calendar,X2440,NDays&amp;"D")</f>
        <v>56195</v>
      </c>
      <c r="Z2440" s="282" t="e">
        <v>#N/A</v>
      </c>
      <c r="AA2440" s="284" t="e">
        <v>#N/A</v>
      </c>
    </row>
    <row r="2441" spans="23:27" x14ac:dyDescent="0.2">
      <c r="W2441" s="203" t="str">
        <f t="shared" si="47"/>
        <v>1w</v>
      </c>
      <c r="X2441" s="287">
        <f>_xll.qlCalendarAdvance(Calendar,X2440,W2441,"f",FALSE)</f>
        <v>56200</v>
      </c>
      <c r="Y2441" s="281">
        <f>_xll.qlCalendarAdvance(Calendar,X2441,NDays&amp;"D")</f>
        <v>56202</v>
      </c>
      <c r="Z2441" s="282" t="e">
        <v>#N/A</v>
      </c>
      <c r="AA2441" s="284" t="e">
        <v>#N/A</v>
      </c>
    </row>
    <row r="2442" spans="23:27" x14ac:dyDescent="0.2">
      <c r="W2442" s="203" t="str">
        <f t="shared" si="47"/>
        <v>1w</v>
      </c>
      <c r="X2442" s="287">
        <f>_xll.qlCalendarAdvance(Calendar,X2441,W2442,"f",FALSE)</f>
        <v>56207</v>
      </c>
      <c r="Y2442" s="281">
        <f>_xll.qlCalendarAdvance(Calendar,X2442,NDays&amp;"D")</f>
        <v>56209</v>
      </c>
      <c r="Z2442" s="282" t="e">
        <v>#N/A</v>
      </c>
      <c r="AA2442" s="284" t="e">
        <v>#N/A</v>
      </c>
    </row>
    <row r="2443" spans="23:27" x14ac:dyDescent="0.2">
      <c r="W2443" s="203" t="str">
        <f t="shared" si="47"/>
        <v>1w</v>
      </c>
      <c r="X2443" s="287">
        <f>_xll.qlCalendarAdvance(Calendar,X2442,W2443,"f",FALSE)</f>
        <v>56214</v>
      </c>
      <c r="Y2443" s="281">
        <f>_xll.qlCalendarAdvance(Calendar,X2443,NDays&amp;"D")</f>
        <v>56216</v>
      </c>
      <c r="Z2443" s="282" t="e">
        <v>#N/A</v>
      </c>
      <c r="AA2443" s="284" t="e">
        <v>#N/A</v>
      </c>
    </row>
    <row r="2444" spans="23:27" x14ac:dyDescent="0.2">
      <c r="W2444" s="203" t="str">
        <f t="shared" si="47"/>
        <v>1w</v>
      </c>
      <c r="X2444" s="287">
        <f>_xll.qlCalendarAdvance(Calendar,X2443,W2444,"f",FALSE)</f>
        <v>56221</v>
      </c>
      <c r="Y2444" s="281">
        <f>_xll.qlCalendarAdvance(Calendar,X2444,NDays&amp;"D")</f>
        <v>56223</v>
      </c>
      <c r="Z2444" s="282" t="e">
        <v>#N/A</v>
      </c>
      <c r="AA2444" s="284" t="e">
        <v>#N/A</v>
      </c>
    </row>
    <row r="2445" spans="23:27" x14ac:dyDescent="0.2">
      <c r="W2445" s="203" t="str">
        <f t="shared" si="47"/>
        <v>1w</v>
      </c>
      <c r="X2445" s="287">
        <f>_xll.qlCalendarAdvance(Calendar,X2444,W2445,"f",FALSE)</f>
        <v>56228</v>
      </c>
      <c r="Y2445" s="281">
        <f>_xll.qlCalendarAdvance(Calendar,X2445,NDays&amp;"D")</f>
        <v>56230</v>
      </c>
      <c r="Z2445" s="282" t="e">
        <v>#N/A</v>
      </c>
      <c r="AA2445" s="284" t="e">
        <v>#N/A</v>
      </c>
    </row>
    <row r="2446" spans="23:27" x14ac:dyDescent="0.2">
      <c r="W2446" s="203" t="str">
        <f t="shared" si="47"/>
        <v>1w</v>
      </c>
      <c r="X2446" s="287">
        <f>_xll.qlCalendarAdvance(Calendar,X2445,W2446,"f",FALSE)</f>
        <v>56235</v>
      </c>
      <c r="Y2446" s="281">
        <f>_xll.qlCalendarAdvance(Calendar,X2446,NDays&amp;"D")</f>
        <v>56237</v>
      </c>
      <c r="Z2446" s="282" t="e">
        <v>#N/A</v>
      </c>
      <c r="AA2446" s="284" t="e">
        <v>#N/A</v>
      </c>
    </row>
    <row r="2447" spans="23:27" x14ac:dyDescent="0.2">
      <c r="W2447" s="203" t="str">
        <f t="shared" si="47"/>
        <v>1w</v>
      </c>
      <c r="X2447" s="287">
        <f>_xll.qlCalendarAdvance(Calendar,X2446,W2447,"f",FALSE)</f>
        <v>56242</v>
      </c>
      <c r="Y2447" s="281">
        <f>_xll.qlCalendarAdvance(Calendar,X2447,NDays&amp;"D")</f>
        <v>56248</v>
      </c>
      <c r="Z2447" s="282" t="e">
        <v>#N/A</v>
      </c>
      <c r="AA2447" s="284" t="e">
        <v>#N/A</v>
      </c>
    </row>
    <row r="2448" spans="23:27" x14ac:dyDescent="0.2">
      <c r="W2448" s="203" t="str">
        <f t="shared" si="47"/>
        <v>1w</v>
      </c>
      <c r="X2448" s="287">
        <f>_xll.qlCalendarAdvance(Calendar,X2447,W2448,"f",FALSE)</f>
        <v>56254</v>
      </c>
      <c r="Y2448" s="281">
        <f>_xll.qlCalendarAdvance(Calendar,X2448,NDays&amp;"D")</f>
        <v>56256</v>
      </c>
      <c r="Z2448" s="282" t="e">
        <v>#N/A</v>
      </c>
      <c r="AA2448" s="284" t="e">
        <v>#N/A</v>
      </c>
    </row>
    <row r="2449" spans="23:27" x14ac:dyDescent="0.2">
      <c r="W2449" s="203" t="str">
        <f t="shared" si="47"/>
        <v>1w</v>
      </c>
      <c r="X2449" s="287">
        <f>_xll.qlCalendarAdvance(Calendar,X2448,W2449,"f",FALSE)</f>
        <v>56262</v>
      </c>
      <c r="Y2449" s="281">
        <f>_xll.qlCalendarAdvance(Calendar,X2449,NDays&amp;"D")</f>
        <v>56264</v>
      </c>
      <c r="Z2449" s="282" t="e">
        <v>#N/A</v>
      </c>
      <c r="AA2449" s="284" t="e">
        <v>#N/A</v>
      </c>
    </row>
    <row r="2450" spans="23:27" x14ac:dyDescent="0.2">
      <c r="W2450" s="203" t="str">
        <f t="shared" si="47"/>
        <v>1w</v>
      </c>
      <c r="X2450" s="287">
        <f>_xll.qlCalendarAdvance(Calendar,X2449,W2450,"f",FALSE)</f>
        <v>56269</v>
      </c>
      <c r="Y2450" s="281">
        <f>_xll.qlCalendarAdvance(Calendar,X2450,NDays&amp;"D")</f>
        <v>56271</v>
      </c>
      <c r="Z2450" s="282" t="e">
        <v>#N/A</v>
      </c>
      <c r="AA2450" s="284" t="e">
        <v>#N/A</v>
      </c>
    </row>
    <row r="2451" spans="23:27" x14ac:dyDescent="0.2">
      <c r="W2451" s="203" t="str">
        <f t="shared" si="47"/>
        <v>1w</v>
      </c>
      <c r="X2451" s="287">
        <f>_xll.qlCalendarAdvance(Calendar,X2450,W2451,"f",FALSE)</f>
        <v>56276</v>
      </c>
      <c r="Y2451" s="281">
        <f>_xll.qlCalendarAdvance(Calendar,X2451,NDays&amp;"D")</f>
        <v>56278</v>
      </c>
      <c r="Z2451" s="282" t="e">
        <v>#N/A</v>
      </c>
      <c r="AA2451" s="284" t="e">
        <v>#N/A</v>
      </c>
    </row>
    <row r="2452" spans="23:27" x14ac:dyDescent="0.2">
      <c r="W2452" s="203" t="str">
        <f t="shared" si="47"/>
        <v>1w</v>
      </c>
      <c r="X2452" s="287">
        <f>_xll.qlCalendarAdvance(Calendar,X2451,W2452,"f",FALSE)</f>
        <v>56283</v>
      </c>
      <c r="Y2452" s="281">
        <f>_xll.qlCalendarAdvance(Calendar,X2452,NDays&amp;"D")</f>
        <v>56285</v>
      </c>
      <c r="Z2452" s="282" t="e">
        <v>#N/A</v>
      </c>
      <c r="AA2452" s="284" t="e">
        <v>#N/A</v>
      </c>
    </row>
    <row r="2453" spans="23:27" x14ac:dyDescent="0.2">
      <c r="W2453" s="203" t="str">
        <f t="shared" ref="W2453:W2516" si="48">W2452</f>
        <v>1w</v>
      </c>
      <c r="X2453" s="287">
        <f>_xll.qlCalendarAdvance(Calendar,X2452,W2453,"f",FALSE)</f>
        <v>56290</v>
      </c>
      <c r="Y2453" s="281">
        <f>_xll.qlCalendarAdvance(Calendar,X2453,NDays&amp;"D")</f>
        <v>56293</v>
      </c>
      <c r="Z2453" s="282" t="e">
        <v>#N/A</v>
      </c>
      <c r="AA2453" s="284" t="e">
        <v>#N/A</v>
      </c>
    </row>
    <row r="2454" spans="23:27" x14ac:dyDescent="0.2">
      <c r="W2454" s="203" t="str">
        <f t="shared" si="48"/>
        <v>1w</v>
      </c>
      <c r="X2454" s="287">
        <f>_xll.qlCalendarAdvance(Calendar,X2453,W2454,"f",FALSE)</f>
        <v>56297</v>
      </c>
      <c r="Y2454" s="281">
        <f>_xll.qlCalendarAdvance(Calendar,X2454,NDays&amp;"D")</f>
        <v>56299</v>
      </c>
      <c r="Z2454" s="282" t="e">
        <v>#N/A</v>
      </c>
      <c r="AA2454" s="284" t="e">
        <v>#N/A</v>
      </c>
    </row>
    <row r="2455" spans="23:27" x14ac:dyDescent="0.2">
      <c r="W2455" s="203" t="str">
        <f t="shared" si="48"/>
        <v>1w</v>
      </c>
      <c r="X2455" s="287">
        <f>_xll.qlCalendarAdvance(Calendar,X2454,W2455,"f",FALSE)</f>
        <v>56304</v>
      </c>
      <c r="Y2455" s="281">
        <f>_xll.qlCalendarAdvance(Calendar,X2455,NDays&amp;"D")</f>
        <v>56306</v>
      </c>
      <c r="Z2455" s="282" t="e">
        <v>#N/A</v>
      </c>
      <c r="AA2455" s="284" t="e">
        <v>#N/A</v>
      </c>
    </row>
    <row r="2456" spans="23:27" x14ac:dyDescent="0.2">
      <c r="W2456" s="203" t="str">
        <f t="shared" si="48"/>
        <v>1w</v>
      </c>
      <c r="X2456" s="287">
        <f>_xll.qlCalendarAdvance(Calendar,X2455,W2456,"f",FALSE)</f>
        <v>56311</v>
      </c>
      <c r="Y2456" s="281">
        <f>_xll.qlCalendarAdvance(Calendar,X2456,NDays&amp;"D")</f>
        <v>56313</v>
      </c>
      <c r="Z2456" s="282" t="e">
        <v>#N/A</v>
      </c>
      <c r="AA2456" s="284" t="e">
        <v>#N/A</v>
      </c>
    </row>
    <row r="2457" spans="23:27" x14ac:dyDescent="0.2">
      <c r="W2457" s="203" t="str">
        <f t="shared" si="48"/>
        <v>1w</v>
      </c>
      <c r="X2457" s="287">
        <f>_xll.qlCalendarAdvance(Calendar,X2456,W2457,"f",FALSE)</f>
        <v>56318</v>
      </c>
      <c r="Y2457" s="281">
        <f>_xll.qlCalendarAdvance(Calendar,X2457,NDays&amp;"D")</f>
        <v>56320</v>
      </c>
      <c r="Z2457" s="282" t="e">
        <v>#N/A</v>
      </c>
      <c r="AA2457" s="284" t="e">
        <v>#N/A</v>
      </c>
    </row>
    <row r="2458" spans="23:27" x14ac:dyDescent="0.2">
      <c r="W2458" s="203" t="str">
        <f t="shared" si="48"/>
        <v>1w</v>
      </c>
      <c r="X2458" s="287">
        <f>_xll.qlCalendarAdvance(Calendar,X2457,W2458,"f",FALSE)</f>
        <v>56325</v>
      </c>
      <c r="Y2458" s="281">
        <f>_xll.qlCalendarAdvance(Calendar,X2458,NDays&amp;"D")</f>
        <v>56327</v>
      </c>
      <c r="Z2458" s="282" t="e">
        <v>#N/A</v>
      </c>
      <c r="AA2458" s="284" t="e">
        <v>#N/A</v>
      </c>
    </row>
    <row r="2459" spans="23:27" x14ac:dyDescent="0.2">
      <c r="W2459" s="203" t="str">
        <f t="shared" si="48"/>
        <v>1w</v>
      </c>
      <c r="X2459" s="287">
        <f>_xll.qlCalendarAdvance(Calendar,X2458,W2459,"f",FALSE)</f>
        <v>56332</v>
      </c>
      <c r="Y2459" s="281">
        <f>_xll.qlCalendarAdvance(Calendar,X2459,NDays&amp;"D")</f>
        <v>56334</v>
      </c>
      <c r="Z2459" s="282" t="e">
        <v>#N/A</v>
      </c>
      <c r="AA2459" s="284" t="e">
        <v>#N/A</v>
      </c>
    </row>
    <row r="2460" spans="23:27" x14ac:dyDescent="0.2">
      <c r="W2460" s="203" t="str">
        <f t="shared" si="48"/>
        <v>1w</v>
      </c>
      <c r="X2460" s="287">
        <f>_xll.qlCalendarAdvance(Calendar,X2459,W2460,"f",FALSE)</f>
        <v>56339</v>
      </c>
      <c r="Y2460" s="281">
        <f>_xll.qlCalendarAdvance(Calendar,X2460,NDays&amp;"D")</f>
        <v>56341</v>
      </c>
      <c r="Z2460" s="282" t="e">
        <v>#N/A</v>
      </c>
      <c r="AA2460" s="284" t="e">
        <v>#N/A</v>
      </c>
    </row>
    <row r="2461" spans="23:27" x14ac:dyDescent="0.2">
      <c r="W2461" s="203" t="str">
        <f t="shared" si="48"/>
        <v>1w</v>
      </c>
      <c r="X2461" s="287">
        <f>_xll.qlCalendarAdvance(Calendar,X2460,W2461,"f",FALSE)</f>
        <v>56346</v>
      </c>
      <c r="Y2461" s="281">
        <f>_xll.qlCalendarAdvance(Calendar,X2461,NDays&amp;"D")</f>
        <v>56348</v>
      </c>
      <c r="Z2461" s="282" t="e">
        <v>#N/A</v>
      </c>
      <c r="AA2461" s="284" t="e">
        <v>#N/A</v>
      </c>
    </row>
    <row r="2462" spans="23:27" x14ac:dyDescent="0.2">
      <c r="W2462" s="203" t="str">
        <f t="shared" si="48"/>
        <v>1w</v>
      </c>
      <c r="X2462" s="287">
        <f>_xll.qlCalendarAdvance(Calendar,X2461,W2462,"f",FALSE)</f>
        <v>56353</v>
      </c>
      <c r="Y2462" s="281">
        <f>_xll.qlCalendarAdvance(Calendar,X2462,NDays&amp;"D")</f>
        <v>56355</v>
      </c>
      <c r="Z2462" s="282" t="e">
        <v>#N/A</v>
      </c>
      <c r="AA2462" s="284" t="e">
        <v>#N/A</v>
      </c>
    </row>
    <row r="2463" spans="23:27" x14ac:dyDescent="0.2">
      <c r="W2463" s="203" t="str">
        <f t="shared" si="48"/>
        <v>1w</v>
      </c>
      <c r="X2463" s="287">
        <f>_xll.qlCalendarAdvance(Calendar,X2462,W2463,"f",FALSE)</f>
        <v>56360</v>
      </c>
      <c r="Y2463" s="281">
        <f>_xll.qlCalendarAdvance(Calendar,X2463,NDays&amp;"D")</f>
        <v>56362</v>
      </c>
      <c r="Z2463" s="282" t="e">
        <v>#N/A</v>
      </c>
      <c r="AA2463" s="284" t="e">
        <v>#N/A</v>
      </c>
    </row>
    <row r="2464" spans="23:27" x14ac:dyDescent="0.2">
      <c r="W2464" s="203" t="str">
        <f t="shared" si="48"/>
        <v>1w</v>
      </c>
      <c r="X2464" s="287">
        <f>_xll.qlCalendarAdvance(Calendar,X2463,W2464,"f",FALSE)</f>
        <v>56367</v>
      </c>
      <c r="Y2464" s="281">
        <f>_xll.qlCalendarAdvance(Calendar,X2464,NDays&amp;"D")</f>
        <v>56370</v>
      </c>
      <c r="Z2464" s="282" t="e">
        <v>#N/A</v>
      </c>
      <c r="AA2464" s="284" t="e">
        <v>#N/A</v>
      </c>
    </row>
    <row r="2465" spans="23:27" x14ac:dyDescent="0.2">
      <c r="W2465" s="203" t="str">
        <f t="shared" si="48"/>
        <v>1w</v>
      </c>
      <c r="X2465" s="287">
        <f>_xll.qlCalendarAdvance(Calendar,X2464,W2465,"f",FALSE)</f>
        <v>56376</v>
      </c>
      <c r="Y2465" s="281">
        <f>_xll.qlCalendarAdvance(Calendar,X2465,NDays&amp;"D")</f>
        <v>56380</v>
      </c>
      <c r="Z2465" s="282" t="e">
        <v>#N/A</v>
      </c>
      <c r="AA2465" s="284" t="e">
        <v>#N/A</v>
      </c>
    </row>
    <row r="2466" spans="23:27" x14ac:dyDescent="0.2">
      <c r="W2466" s="203" t="str">
        <f t="shared" si="48"/>
        <v>1w</v>
      </c>
      <c r="X2466" s="287">
        <f>_xll.qlCalendarAdvance(Calendar,X2465,W2466,"f",FALSE)</f>
        <v>56383</v>
      </c>
      <c r="Y2466" s="281">
        <f>_xll.qlCalendarAdvance(Calendar,X2466,NDays&amp;"D")</f>
        <v>56387</v>
      </c>
      <c r="Z2466" s="282" t="e">
        <v>#N/A</v>
      </c>
      <c r="AA2466" s="284" t="e">
        <v>#N/A</v>
      </c>
    </row>
    <row r="2467" spans="23:27" x14ac:dyDescent="0.2">
      <c r="W2467" s="203" t="str">
        <f t="shared" si="48"/>
        <v>1w</v>
      </c>
      <c r="X2467" s="287">
        <f>_xll.qlCalendarAdvance(Calendar,X2466,W2467,"f",FALSE)</f>
        <v>56390</v>
      </c>
      <c r="Y2467" s="281">
        <f>_xll.qlCalendarAdvance(Calendar,X2467,NDays&amp;"D")</f>
        <v>56395</v>
      </c>
      <c r="Z2467" s="282" t="e">
        <v>#N/A</v>
      </c>
      <c r="AA2467" s="284" t="e">
        <v>#N/A</v>
      </c>
    </row>
    <row r="2468" spans="23:27" x14ac:dyDescent="0.2">
      <c r="W2468" s="203" t="str">
        <f t="shared" si="48"/>
        <v>1w</v>
      </c>
      <c r="X2468" s="287">
        <f>_xll.qlCalendarAdvance(Calendar,X2467,W2468,"f",FALSE)</f>
        <v>56397</v>
      </c>
      <c r="Y2468" s="281">
        <f>_xll.qlCalendarAdvance(Calendar,X2468,NDays&amp;"D")</f>
        <v>56401</v>
      </c>
      <c r="Z2468" s="282" t="e">
        <v>#N/A</v>
      </c>
      <c r="AA2468" s="284" t="e">
        <v>#N/A</v>
      </c>
    </row>
    <row r="2469" spans="23:27" x14ac:dyDescent="0.2">
      <c r="W2469" s="203" t="str">
        <f t="shared" si="48"/>
        <v>1w</v>
      </c>
      <c r="X2469" s="287">
        <f>_xll.qlCalendarAdvance(Calendar,X2468,W2469,"f",FALSE)</f>
        <v>56404</v>
      </c>
      <c r="Y2469" s="281">
        <f>_xll.qlCalendarAdvance(Calendar,X2469,NDays&amp;"D")</f>
        <v>56408</v>
      </c>
      <c r="Z2469" s="282" t="e">
        <v>#N/A</v>
      </c>
      <c r="AA2469" s="284" t="e">
        <v>#N/A</v>
      </c>
    </row>
    <row r="2470" spans="23:27" x14ac:dyDescent="0.2">
      <c r="W2470" s="203" t="str">
        <f t="shared" si="48"/>
        <v>1w</v>
      </c>
      <c r="X2470" s="287">
        <f>_xll.qlCalendarAdvance(Calendar,X2469,W2470,"f",FALSE)</f>
        <v>56411</v>
      </c>
      <c r="Y2470" s="281">
        <f>_xll.qlCalendarAdvance(Calendar,X2470,NDays&amp;"D")</f>
        <v>56415</v>
      </c>
      <c r="Z2470" s="282" t="e">
        <v>#N/A</v>
      </c>
      <c r="AA2470" s="284" t="e">
        <v>#N/A</v>
      </c>
    </row>
    <row r="2471" spans="23:27" x14ac:dyDescent="0.2">
      <c r="W2471" s="203" t="str">
        <f t="shared" si="48"/>
        <v>1w</v>
      </c>
      <c r="X2471" s="287">
        <f>_xll.qlCalendarAdvance(Calendar,X2470,W2471,"f",FALSE)</f>
        <v>56418</v>
      </c>
      <c r="Y2471" s="281">
        <f>_xll.qlCalendarAdvance(Calendar,X2471,NDays&amp;"D")</f>
        <v>56422</v>
      </c>
      <c r="Z2471" s="282" t="e">
        <v>#N/A</v>
      </c>
      <c r="AA2471" s="284" t="e">
        <v>#N/A</v>
      </c>
    </row>
    <row r="2472" spans="23:27" x14ac:dyDescent="0.2">
      <c r="W2472" s="203" t="str">
        <f t="shared" si="48"/>
        <v>1w</v>
      </c>
      <c r="X2472" s="287">
        <f>_xll.qlCalendarAdvance(Calendar,X2471,W2472,"f",FALSE)</f>
        <v>56425</v>
      </c>
      <c r="Y2472" s="281">
        <f>_xll.qlCalendarAdvance(Calendar,X2472,NDays&amp;"D")</f>
        <v>56429</v>
      </c>
      <c r="Z2472" s="282" t="e">
        <v>#N/A</v>
      </c>
      <c r="AA2472" s="284" t="e">
        <v>#N/A</v>
      </c>
    </row>
    <row r="2473" spans="23:27" x14ac:dyDescent="0.2">
      <c r="W2473" s="203" t="str">
        <f t="shared" si="48"/>
        <v>1w</v>
      </c>
      <c r="X2473" s="287">
        <f>_xll.qlCalendarAdvance(Calendar,X2472,W2473,"f",FALSE)</f>
        <v>56432</v>
      </c>
      <c r="Y2473" s="281">
        <f>_xll.qlCalendarAdvance(Calendar,X2473,NDays&amp;"D")</f>
        <v>56436</v>
      </c>
      <c r="Z2473" s="282" t="e">
        <v>#N/A</v>
      </c>
      <c r="AA2473" s="284" t="e">
        <v>#N/A</v>
      </c>
    </row>
    <row r="2474" spans="23:27" x14ac:dyDescent="0.2">
      <c r="W2474" s="203" t="str">
        <f t="shared" si="48"/>
        <v>1w</v>
      </c>
      <c r="X2474" s="287">
        <f>_xll.qlCalendarAdvance(Calendar,X2473,W2474,"f",FALSE)</f>
        <v>56439</v>
      </c>
      <c r="Y2474" s="281">
        <f>_xll.qlCalendarAdvance(Calendar,X2474,NDays&amp;"D")</f>
        <v>56443</v>
      </c>
      <c r="Z2474" s="282" t="e">
        <v>#N/A</v>
      </c>
      <c r="AA2474" s="284" t="e">
        <v>#N/A</v>
      </c>
    </row>
    <row r="2475" spans="23:27" x14ac:dyDescent="0.2">
      <c r="W2475" s="203" t="str">
        <f t="shared" si="48"/>
        <v>1w</v>
      </c>
      <c r="X2475" s="287">
        <f>_xll.qlCalendarAdvance(Calendar,X2474,W2475,"f",FALSE)</f>
        <v>56446</v>
      </c>
      <c r="Y2475" s="281">
        <f>_xll.qlCalendarAdvance(Calendar,X2475,NDays&amp;"D")</f>
        <v>56451</v>
      </c>
      <c r="Z2475" s="282" t="e">
        <v>#N/A</v>
      </c>
      <c r="AA2475" s="284" t="e">
        <v>#N/A</v>
      </c>
    </row>
    <row r="2476" spans="23:27" x14ac:dyDescent="0.2">
      <c r="W2476" s="203" t="str">
        <f t="shared" si="48"/>
        <v>1w</v>
      </c>
      <c r="X2476" s="287">
        <f>_xll.qlCalendarAdvance(Calendar,X2475,W2476,"f",FALSE)</f>
        <v>56453</v>
      </c>
      <c r="Y2476" s="281">
        <f>_xll.qlCalendarAdvance(Calendar,X2476,NDays&amp;"D")</f>
        <v>56457</v>
      </c>
      <c r="Z2476" s="282" t="e">
        <v>#N/A</v>
      </c>
      <c r="AA2476" s="284" t="e">
        <v>#N/A</v>
      </c>
    </row>
    <row r="2477" spans="23:27" x14ac:dyDescent="0.2">
      <c r="W2477" s="203" t="str">
        <f t="shared" si="48"/>
        <v>1w</v>
      </c>
      <c r="X2477" s="287">
        <f>_xll.qlCalendarAdvance(Calendar,X2476,W2477,"f",FALSE)</f>
        <v>56460</v>
      </c>
      <c r="Y2477" s="281">
        <f>_xll.qlCalendarAdvance(Calendar,X2477,NDays&amp;"D")</f>
        <v>56464</v>
      </c>
      <c r="Z2477" s="282" t="e">
        <v>#N/A</v>
      </c>
      <c r="AA2477" s="284" t="e">
        <v>#N/A</v>
      </c>
    </row>
    <row r="2478" spans="23:27" x14ac:dyDescent="0.2">
      <c r="W2478" s="203" t="str">
        <f t="shared" si="48"/>
        <v>1w</v>
      </c>
      <c r="X2478" s="287">
        <f>_xll.qlCalendarAdvance(Calendar,X2477,W2478,"f",FALSE)</f>
        <v>56467</v>
      </c>
      <c r="Y2478" s="281">
        <f>_xll.qlCalendarAdvance(Calendar,X2478,NDays&amp;"D")</f>
        <v>56471</v>
      </c>
      <c r="Z2478" s="282" t="e">
        <v>#N/A</v>
      </c>
      <c r="AA2478" s="284" t="e">
        <v>#N/A</v>
      </c>
    </row>
    <row r="2479" spans="23:27" x14ac:dyDescent="0.2">
      <c r="W2479" s="203" t="str">
        <f t="shared" si="48"/>
        <v>1w</v>
      </c>
      <c r="X2479" s="287">
        <f>_xll.qlCalendarAdvance(Calendar,X2478,W2479,"f",FALSE)</f>
        <v>56474</v>
      </c>
      <c r="Y2479" s="281">
        <f>_xll.qlCalendarAdvance(Calendar,X2479,NDays&amp;"D")</f>
        <v>56478</v>
      </c>
      <c r="Z2479" s="282" t="e">
        <v>#N/A</v>
      </c>
      <c r="AA2479" s="284" t="e">
        <v>#N/A</v>
      </c>
    </row>
    <row r="2480" spans="23:27" x14ac:dyDescent="0.2">
      <c r="W2480" s="203" t="str">
        <f t="shared" si="48"/>
        <v>1w</v>
      </c>
      <c r="X2480" s="287">
        <f>_xll.qlCalendarAdvance(Calendar,X2479,W2480,"f",FALSE)</f>
        <v>56481</v>
      </c>
      <c r="Y2480" s="281">
        <f>_xll.qlCalendarAdvance(Calendar,X2480,NDays&amp;"D")</f>
        <v>56485</v>
      </c>
      <c r="Z2480" s="282" t="e">
        <v>#N/A</v>
      </c>
      <c r="AA2480" s="284" t="e">
        <v>#N/A</v>
      </c>
    </row>
    <row r="2481" spans="23:27" x14ac:dyDescent="0.2">
      <c r="W2481" s="203" t="str">
        <f t="shared" si="48"/>
        <v>1w</v>
      </c>
      <c r="X2481" s="287">
        <f>_xll.qlCalendarAdvance(Calendar,X2480,W2481,"f",FALSE)</f>
        <v>56488</v>
      </c>
      <c r="Y2481" s="281">
        <f>_xll.qlCalendarAdvance(Calendar,X2481,NDays&amp;"D")</f>
        <v>56493</v>
      </c>
      <c r="Z2481" s="282" t="e">
        <v>#N/A</v>
      </c>
      <c r="AA2481" s="284" t="e">
        <v>#N/A</v>
      </c>
    </row>
    <row r="2482" spans="23:27" x14ac:dyDescent="0.2">
      <c r="W2482" s="203" t="str">
        <f t="shared" si="48"/>
        <v>1w</v>
      </c>
      <c r="X2482" s="287">
        <f>_xll.qlCalendarAdvance(Calendar,X2481,W2482,"f",FALSE)</f>
        <v>56495</v>
      </c>
      <c r="Y2482" s="281">
        <f>_xll.qlCalendarAdvance(Calendar,X2482,NDays&amp;"D")</f>
        <v>56499</v>
      </c>
      <c r="Z2482" s="282" t="e">
        <v>#N/A</v>
      </c>
      <c r="AA2482" s="284" t="e">
        <v>#N/A</v>
      </c>
    </row>
    <row r="2483" spans="23:27" x14ac:dyDescent="0.2">
      <c r="W2483" s="203" t="str">
        <f t="shared" si="48"/>
        <v>1w</v>
      </c>
      <c r="X2483" s="287">
        <f>_xll.qlCalendarAdvance(Calendar,X2482,W2483,"f",FALSE)</f>
        <v>56502</v>
      </c>
      <c r="Y2483" s="281">
        <f>_xll.qlCalendarAdvance(Calendar,X2483,NDays&amp;"D")</f>
        <v>56506</v>
      </c>
      <c r="Z2483" s="282" t="e">
        <v>#N/A</v>
      </c>
      <c r="AA2483" s="284" t="e">
        <v>#N/A</v>
      </c>
    </row>
    <row r="2484" spans="23:27" x14ac:dyDescent="0.2">
      <c r="W2484" s="203" t="str">
        <f t="shared" si="48"/>
        <v>1w</v>
      </c>
      <c r="X2484" s="287">
        <f>_xll.qlCalendarAdvance(Calendar,X2483,W2484,"f",FALSE)</f>
        <v>56509</v>
      </c>
      <c r="Y2484" s="281">
        <f>_xll.qlCalendarAdvance(Calendar,X2484,NDays&amp;"D")</f>
        <v>56516</v>
      </c>
      <c r="Z2484" s="282" t="e">
        <v>#N/A</v>
      </c>
      <c r="AA2484" s="284" t="e">
        <v>#N/A</v>
      </c>
    </row>
    <row r="2485" spans="23:27" x14ac:dyDescent="0.2">
      <c r="W2485" s="203" t="str">
        <f t="shared" si="48"/>
        <v>1w</v>
      </c>
      <c r="X2485" s="287">
        <f>_xll.qlCalendarAdvance(Calendar,X2484,W2485,"f",FALSE)</f>
        <v>56516</v>
      </c>
      <c r="Y2485" s="281">
        <f>_xll.qlCalendarAdvance(Calendar,X2485,NDays&amp;"D")</f>
        <v>56520</v>
      </c>
      <c r="Z2485" s="282" t="e">
        <v>#N/A</v>
      </c>
      <c r="AA2485" s="284" t="e">
        <v>#N/A</v>
      </c>
    </row>
    <row r="2486" spans="23:27" x14ac:dyDescent="0.2">
      <c r="W2486" s="203" t="str">
        <f t="shared" si="48"/>
        <v>1w</v>
      </c>
      <c r="X2486" s="287">
        <f>_xll.qlCalendarAdvance(Calendar,X2485,W2486,"f",FALSE)</f>
        <v>56523</v>
      </c>
      <c r="Y2486" s="281">
        <f>_xll.qlCalendarAdvance(Calendar,X2486,NDays&amp;"D")</f>
        <v>56527</v>
      </c>
      <c r="Z2486" s="282" t="e">
        <v>#N/A</v>
      </c>
      <c r="AA2486" s="284" t="e">
        <v>#N/A</v>
      </c>
    </row>
    <row r="2487" spans="23:27" x14ac:dyDescent="0.2">
      <c r="W2487" s="203" t="str">
        <f t="shared" si="48"/>
        <v>1w</v>
      </c>
      <c r="X2487" s="287">
        <f>_xll.qlCalendarAdvance(Calendar,X2486,W2487,"f",FALSE)</f>
        <v>56530</v>
      </c>
      <c r="Y2487" s="281">
        <f>_xll.qlCalendarAdvance(Calendar,X2487,NDays&amp;"D")</f>
        <v>56535</v>
      </c>
      <c r="Z2487" s="282" t="e">
        <v>#N/A</v>
      </c>
      <c r="AA2487" s="284" t="e">
        <v>#N/A</v>
      </c>
    </row>
    <row r="2488" spans="23:27" x14ac:dyDescent="0.2">
      <c r="W2488" s="203" t="str">
        <f t="shared" si="48"/>
        <v>1w</v>
      </c>
      <c r="X2488" s="287">
        <f>_xll.qlCalendarAdvance(Calendar,X2487,W2488,"f",FALSE)</f>
        <v>56537</v>
      </c>
      <c r="Y2488" s="281">
        <f>_xll.qlCalendarAdvance(Calendar,X2488,NDays&amp;"D")</f>
        <v>56541</v>
      </c>
      <c r="Z2488" s="282" t="e">
        <v>#N/A</v>
      </c>
      <c r="AA2488" s="284" t="e">
        <v>#N/A</v>
      </c>
    </row>
    <row r="2489" spans="23:27" x14ac:dyDescent="0.2">
      <c r="W2489" s="203" t="str">
        <f t="shared" si="48"/>
        <v>1w</v>
      </c>
      <c r="X2489" s="287">
        <f>_xll.qlCalendarAdvance(Calendar,X2488,W2489,"f",FALSE)</f>
        <v>56544</v>
      </c>
      <c r="Y2489" s="281">
        <f>_xll.qlCalendarAdvance(Calendar,X2489,NDays&amp;"D")</f>
        <v>56548</v>
      </c>
      <c r="Z2489" s="282" t="e">
        <v>#N/A</v>
      </c>
      <c r="AA2489" s="284" t="e">
        <v>#N/A</v>
      </c>
    </row>
    <row r="2490" spans="23:27" x14ac:dyDescent="0.2">
      <c r="W2490" s="203" t="str">
        <f t="shared" si="48"/>
        <v>1w</v>
      </c>
      <c r="X2490" s="287">
        <f>_xll.qlCalendarAdvance(Calendar,X2489,W2490,"f",FALSE)</f>
        <v>56551</v>
      </c>
      <c r="Y2490" s="281">
        <f>_xll.qlCalendarAdvance(Calendar,X2490,NDays&amp;"D")</f>
        <v>56555</v>
      </c>
      <c r="Z2490" s="282" t="e">
        <v>#N/A</v>
      </c>
      <c r="AA2490" s="284" t="e">
        <v>#N/A</v>
      </c>
    </row>
    <row r="2491" spans="23:27" x14ac:dyDescent="0.2">
      <c r="W2491" s="203" t="str">
        <f t="shared" si="48"/>
        <v>1w</v>
      </c>
      <c r="X2491" s="287">
        <f>_xll.qlCalendarAdvance(Calendar,X2490,W2491,"f",FALSE)</f>
        <v>56558</v>
      </c>
      <c r="Y2491" s="281">
        <f>_xll.qlCalendarAdvance(Calendar,X2491,NDays&amp;"D")</f>
        <v>56562</v>
      </c>
      <c r="Z2491" s="282" t="e">
        <v>#N/A</v>
      </c>
      <c r="AA2491" s="284" t="e">
        <v>#N/A</v>
      </c>
    </row>
    <row r="2492" spans="23:27" x14ac:dyDescent="0.2">
      <c r="W2492" s="203" t="str">
        <f t="shared" si="48"/>
        <v>1w</v>
      </c>
      <c r="X2492" s="287">
        <f>_xll.qlCalendarAdvance(Calendar,X2491,W2492,"f",FALSE)</f>
        <v>56565</v>
      </c>
      <c r="Y2492" s="281">
        <f>_xll.qlCalendarAdvance(Calendar,X2492,NDays&amp;"D")</f>
        <v>56569</v>
      </c>
      <c r="Z2492" s="282" t="e">
        <v>#N/A</v>
      </c>
      <c r="AA2492" s="284" t="e">
        <v>#N/A</v>
      </c>
    </row>
    <row r="2493" spans="23:27" x14ac:dyDescent="0.2">
      <c r="W2493" s="203" t="str">
        <f t="shared" si="48"/>
        <v>1w</v>
      </c>
      <c r="X2493" s="287">
        <f>_xll.qlCalendarAdvance(Calendar,X2492,W2493,"f",FALSE)</f>
        <v>56572</v>
      </c>
      <c r="Y2493" s="281">
        <f>_xll.qlCalendarAdvance(Calendar,X2493,NDays&amp;"D")</f>
        <v>56577</v>
      </c>
      <c r="Z2493" s="282" t="e">
        <v>#N/A</v>
      </c>
      <c r="AA2493" s="284" t="e">
        <v>#N/A</v>
      </c>
    </row>
    <row r="2494" spans="23:27" x14ac:dyDescent="0.2">
      <c r="W2494" s="203" t="str">
        <f t="shared" si="48"/>
        <v>1w</v>
      </c>
      <c r="X2494" s="287">
        <f>_xll.qlCalendarAdvance(Calendar,X2493,W2494,"f",FALSE)</f>
        <v>56579</v>
      </c>
      <c r="Y2494" s="281">
        <f>_xll.qlCalendarAdvance(Calendar,X2494,NDays&amp;"D")</f>
        <v>56583</v>
      </c>
      <c r="Z2494" s="282" t="e">
        <v>#N/A</v>
      </c>
      <c r="AA2494" s="284" t="e">
        <v>#N/A</v>
      </c>
    </row>
    <row r="2495" spans="23:27" x14ac:dyDescent="0.2">
      <c r="W2495" s="203" t="str">
        <f t="shared" si="48"/>
        <v>1w</v>
      </c>
      <c r="X2495" s="287">
        <f>_xll.qlCalendarAdvance(Calendar,X2494,W2495,"f",FALSE)</f>
        <v>56586</v>
      </c>
      <c r="Y2495" s="281">
        <f>_xll.qlCalendarAdvance(Calendar,X2495,NDays&amp;"D")</f>
        <v>56590</v>
      </c>
      <c r="Z2495" s="282" t="e">
        <v>#N/A</v>
      </c>
      <c r="AA2495" s="284" t="e">
        <v>#N/A</v>
      </c>
    </row>
    <row r="2496" spans="23:27" x14ac:dyDescent="0.2">
      <c r="W2496" s="203" t="str">
        <f t="shared" si="48"/>
        <v>1w</v>
      </c>
      <c r="X2496" s="287">
        <f>_xll.qlCalendarAdvance(Calendar,X2495,W2496,"f",FALSE)</f>
        <v>56593</v>
      </c>
      <c r="Y2496" s="281">
        <f>_xll.qlCalendarAdvance(Calendar,X2496,NDays&amp;"D")</f>
        <v>56597</v>
      </c>
      <c r="Z2496" s="282" t="e">
        <v>#N/A</v>
      </c>
      <c r="AA2496" s="284" t="e">
        <v>#N/A</v>
      </c>
    </row>
    <row r="2497" spans="23:27" x14ac:dyDescent="0.2">
      <c r="W2497" s="203" t="str">
        <f t="shared" si="48"/>
        <v>1w</v>
      </c>
      <c r="X2497" s="287">
        <f>_xll.qlCalendarAdvance(Calendar,X2496,W2497,"f",FALSE)</f>
        <v>56600</v>
      </c>
      <c r="Y2497" s="281">
        <f>_xll.qlCalendarAdvance(Calendar,X2497,NDays&amp;"D")</f>
        <v>56604</v>
      </c>
      <c r="Z2497" s="282" t="e">
        <v>#N/A</v>
      </c>
      <c r="AA2497" s="284" t="e">
        <v>#N/A</v>
      </c>
    </row>
    <row r="2498" spans="23:27" x14ac:dyDescent="0.2">
      <c r="W2498" s="203" t="str">
        <f t="shared" si="48"/>
        <v>1w</v>
      </c>
      <c r="X2498" s="287">
        <f>_xll.qlCalendarAdvance(Calendar,X2497,W2498,"f",FALSE)</f>
        <v>56607</v>
      </c>
      <c r="Y2498" s="281">
        <f>_xll.qlCalendarAdvance(Calendar,X2498,NDays&amp;"D")</f>
        <v>56613</v>
      </c>
      <c r="Z2498" s="282" t="e">
        <v>#N/A</v>
      </c>
      <c r="AA2498" s="284" t="e">
        <v>#N/A</v>
      </c>
    </row>
    <row r="2499" spans="23:27" x14ac:dyDescent="0.2">
      <c r="W2499" s="203" t="str">
        <f t="shared" si="48"/>
        <v>1w</v>
      </c>
      <c r="X2499" s="287">
        <f>_xll.qlCalendarAdvance(Calendar,X2498,W2499,"f",FALSE)</f>
        <v>56618</v>
      </c>
      <c r="Y2499" s="281">
        <f>_xll.qlCalendarAdvance(Calendar,X2499,NDays&amp;"D")</f>
        <v>56620</v>
      </c>
      <c r="Z2499" s="282" t="e">
        <v>#N/A</v>
      </c>
      <c r="AA2499" s="284" t="e">
        <v>#N/A</v>
      </c>
    </row>
    <row r="2500" spans="23:27" x14ac:dyDescent="0.2">
      <c r="W2500" s="203" t="str">
        <f t="shared" si="48"/>
        <v>1w</v>
      </c>
      <c r="X2500" s="287">
        <f>_xll.qlCalendarAdvance(Calendar,X2499,W2500,"f",FALSE)</f>
        <v>56626</v>
      </c>
      <c r="Y2500" s="281">
        <f>_xll.qlCalendarAdvance(Calendar,X2500,NDays&amp;"D")</f>
        <v>56628</v>
      </c>
      <c r="Z2500" s="282" t="e">
        <v>#N/A</v>
      </c>
      <c r="AA2500" s="284" t="e">
        <v>#N/A</v>
      </c>
    </row>
    <row r="2501" spans="23:27" x14ac:dyDescent="0.2">
      <c r="W2501" s="203" t="str">
        <f t="shared" si="48"/>
        <v>1w</v>
      </c>
      <c r="X2501" s="287">
        <f>_xll.qlCalendarAdvance(Calendar,X2500,W2501,"f",FALSE)</f>
        <v>56633</v>
      </c>
      <c r="Y2501" s="281">
        <f>_xll.qlCalendarAdvance(Calendar,X2501,NDays&amp;"D")</f>
        <v>56635</v>
      </c>
      <c r="Z2501" s="282" t="e">
        <v>#N/A</v>
      </c>
      <c r="AA2501" s="284" t="e">
        <v>#N/A</v>
      </c>
    </row>
    <row r="2502" spans="23:27" x14ac:dyDescent="0.2">
      <c r="W2502" s="203" t="str">
        <f t="shared" si="48"/>
        <v>1w</v>
      </c>
      <c r="X2502" s="287">
        <f>_xll.qlCalendarAdvance(Calendar,X2501,W2502,"f",FALSE)</f>
        <v>56640</v>
      </c>
      <c r="Y2502" s="281">
        <f>_xll.qlCalendarAdvance(Calendar,X2502,NDays&amp;"D")</f>
        <v>56642</v>
      </c>
      <c r="Z2502" s="282" t="e">
        <v>#N/A</v>
      </c>
      <c r="AA2502" s="284" t="e">
        <v>#N/A</v>
      </c>
    </row>
    <row r="2503" spans="23:27" x14ac:dyDescent="0.2">
      <c r="W2503" s="203" t="str">
        <f t="shared" si="48"/>
        <v>1w</v>
      </c>
      <c r="X2503" s="287">
        <f>_xll.qlCalendarAdvance(Calendar,X2502,W2503,"f",FALSE)</f>
        <v>56647</v>
      </c>
      <c r="Y2503" s="281">
        <f>_xll.qlCalendarAdvance(Calendar,X2503,NDays&amp;"D")</f>
        <v>56649</v>
      </c>
      <c r="Z2503" s="282" t="e">
        <v>#N/A</v>
      </c>
      <c r="AA2503" s="284" t="e">
        <v>#N/A</v>
      </c>
    </row>
    <row r="2504" spans="23:27" x14ac:dyDescent="0.2">
      <c r="W2504" s="203" t="str">
        <f t="shared" si="48"/>
        <v>1w</v>
      </c>
      <c r="X2504" s="287">
        <f>_xll.qlCalendarAdvance(Calendar,X2503,W2504,"f",FALSE)</f>
        <v>56654</v>
      </c>
      <c r="Y2504" s="281">
        <f>_xll.qlCalendarAdvance(Calendar,X2504,NDays&amp;"D")</f>
        <v>56657</v>
      </c>
      <c r="Z2504" s="282" t="e">
        <v>#N/A</v>
      </c>
      <c r="AA2504" s="284" t="e">
        <v>#N/A</v>
      </c>
    </row>
    <row r="2505" spans="23:27" x14ac:dyDescent="0.2">
      <c r="W2505" s="203" t="str">
        <f t="shared" si="48"/>
        <v>1w</v>
      </c>
      <c r="X2505" s="287">
        <f>_xll.qlCalendarAdvance(Calendar,X2504,W2505,"f",FALSE)</f>
        <v>56661</v>
      </c>
      <c r="Y2505" s="281">
        <f>_xll.qlCalendarAdvance(Calendar,X2505,NDays&amp;"D")</f>
        <v>56663</v>
      </c>
      <c r="Z2505" s="282" t="e">
        <v>#N/A</v>
      </c>
      <c r="AA2505" s="284" t="e">
        <v>#N/A</v>
      </c>
    </row>
    <row r="2506" spans="23:27" x14ac:dyDescent="0.2">
      <c r="W2506" s="203" t="str">
        <f t="shared" si="48"/>
        <v>1w</v>
      </c>
      <c r="X2506" s="287">
        <f>_xll.qlCalendarAdvance(Calendar,X2505,W2506,"f",FALSE)</f>
        <v>56668</v>
      </c>
      <c r="Y2506" s="281">
        <f>_xll.qlCalendarAdvance(Calendar,X2506,NDays&amp;"D")</f>
        <v>56670</v>
      </c>
      <c r="Z2506" s="282" t="e">
        <v>#N/A</v>
      </c>
      <c r="AA2506" s="284" t="e">
        <v>#N/A</v>
      </c>
    </row>
    <row r="2507" spans="23:27" x14ac:dyDescent="0.2">
      <c r="W2507" s="203" t="str">
        <f t="shared" si="48"/>
        <v>1w</v>
      </c>
      <c r="X2507" s="287">
        <f>_xll.qlCalendarAdvance(Calendar,X2506,W2507,"f",FALSE)</f>
        <v>56675</v>
      </c>
      <c r="Y2507" s="281">
        <f>_xll.qlCalendarAdvance(Calendar,X2507,NDays&amp;"D")</f>
        <v>56677</v>
      </c>
      <c r="Z2507" s="282" t="e">
        <v>#N/A</v>
      </c>
      <c r="AA2507" s="284" t="e">
        <v>#N/A</v>
      </c>
    </row>
    <row r="2508" spans="23:27" x14ac:dyDescent="0.2">
      <c r="W2508" s="203" t="str">
        <f t="shared" si="48"/>
        <v>1w</v>
      </c>
      <c r="X2508" s="287">
        <f>_xll.qlCalendarAdvance(Calendar,X2507,W2508,"f",FALSE)</f>
        <v>56682</v>
      </c>
      <c r="Y2508" s="281">
        <f>_xll.qlCalendarAdvance(Calendar,X2508,NDays&amp;"D")</f>
        <v>56684</v>
      </c>
      <c r="Z2508" s="282" t="e">
        <v>#N/A</v>
      </c>
      <c r="AA2508" s="284" t="e">
        <v>#N/A</v>
      </c>
    </row>
    <row r="2509" spans="23:27" x14ac:dyDescent="0.2">
      <c r="W2509" s="203" t="str">
        <f t="shared" si="48"/>
        <v>1w</v>
      </c>
      <c r="X2509" s="287">
        <f>_xll.qlCalendarAdvance(Calendar,X2508,W2509,"f",FALSE)</f>
        <v>56689</v>
      </c>
      <c r="Y2509" s="281">
        <f>_xll.qlCalendarAdvance(Calendar,X2509,NDays&amp;"D")</f>
        <v>56691</v>
      </c>
      <c r="Z2509" s="282" t="e">
        <v>#N/A</v>
      </c>
      <c r="AA2509" s="284" t="e">
        <v>#N/A</v>
      </c>
    </row>
    <row r="2510" spans="23:27" x14ac:dyDescent="0.2">
      <c r="W2510" s="203" t="str">
        <f t="shared" si="48"/>
        <v>1w</v>
      </c>
      <c r="X2510" s="287">
        <f>_xll.qlCalendarAdvance(Calendar,X2509,W2510,"f",FALSE)</f>
        <v>56696</v>
      </c>
      <c r="Y2510" s="281">
        <f>_xll.qlCalendarAdvance(Calendar,X2510,NDays&amp;"D")</f>
        <v>56698</v>
      </c>
      <c r="Z2510" s="282" t="e">
        <v>#N/A</v>
      </c>
      <c r="AA2510" s="284" t="e">
        <v>#N/A</v>
      </c>
    </row>
    <row r="2511" spans="23:27" x14ac:dyDescent="0.2">
      <c r="W2511" s="203" t="str">
        <f t="shared" si="48"/>
        <v>1w</v>
      </c>
      <c r="X2511" s="287">
        <f>_xll.qlCalendarAdvance(Calendar,X2510,W2511,"f",FALSE)</f>
        <v>56703</v>
      </c>
      <c r="Y2511" s="281">
        <f>_xll.qlCalendarAdvance(Calendar,X2511,NDays&amp;"D")</f>
        <v>56705</v>
      </c>
      <c r="Z2511" s="282" t="e">
        <v>#N/A</v>
      </c>
      <c r="AA2511" s="284" t="e">
        <v>#N/A</v>
      </c>
    </row>
    <row r="2512" spans="23:27" x14ac:dyDescent="0.2">
      <c r="W2512" s="203" t="str">
        <f t="shared" si="48"/>
        <v>1w</v>
      </c>
      <c r="X2512" s="287">
        <f>_xll.qlCalendarAdvance(Calendar,X2511,W2512,"f",FALSE)</f>
        <v>56710</v>
      </c>
      <c r="Y2512" s="281">
        <f>_xll.qlCalendarAdvance(Calendar,X2512,NDays&amp;"D")</f>
        <v>56712</v>
      </c>
      <c r="Z2512" s="282" t="e">
        <v>#N/A</v>
      </c>
      <c r="AA2512" s="284" t="e">
        <v>#N/A</v>
      </c>
    </row>
    <row r="2513" spans="23:27" x14ac:dyDescent="0.2">
      <c r="W2513" s="203" t="str">
        <f t="shared" si="48"/>
        <v>1w</v>
      </c>
      <c r="X2513" s="287">
        <f>_xll.qlCalendarAdvance(Calendar,X2512,W2513,"f",FALSE)</f>
        <v>56717</v>
      </c>
      <c r="Y2513" s="281">
        <f>_xll.qlCalendarAdvance(Calendar,X2513,NDays&amp;"D")</f>
        <v>56719</v>
      </c>
      <c r="Z2513" s="282" t="e">
        <v>#N/A</v>
      </c>
      <c r="AA2513" s="284" t="e">
        <v>#N/A</v>
      </c>
    </row>
    <row r="2514" spans="23:27" x14ac:dyDescent="0.2">
      <c r="W2514" s="203" t="str">
        <f t="shared" si="48"/>
        <v>1w</v>
      </c>
      <c r="X2514" s="287">
        <f>_xll.qlCalendarAdvance(Calendar,X2513,W2514,"f",FALSE)</f>
        <v>56724</v>
      </c>
      <c r="Y2514" s="281">
        <f>_xll.qlCalendarAdvance(Calendar,X2514,NDays&amp;"D")</f>
        <v>56726</v>
      </c>
      <c r="Z2514" s="282" t="e">
        <v>#N/A</v>
      </c>
      <c r="AA2514" s="284" t="e">
        <v>#N/A</v>
      </c>
    </row>
    <row r="2515" spans="23:27" x14ac:dyDescent="0.2">
      <c r="W2515" s="203" t="str">
        <f t="shared" si="48"/>
        <v>1w</v>
      </c>
      <c r="X2515" s="287">
        <f>_xll.qlCalendarAdvance(Calendar,X2514,W2515,"f",FALSE)</f>
        <v>56731</v>
      </c>
      <c r="Y2515" s="281">
        <f>_xll.qlCalendarAdvance(Calendar,X2515,NDays&amp;"D")</f>
        <v>56734</v>
      </c>
      <c r="Z2515" s="282" t="e">
        <v>#N/A</v>
      </c>
      <c r="AA2515" s="284" t="e">
        <v>#N/A</v>
      </c>
    </row>
    <row r="2516" spans="23:27" x14ac:dyDescent="0.2">
      <c r="W2516" s="203" t="str">
        <f t="shared" si="48"/>
        <v>1w</v>
      </c>
      <c r="X2516" s="287">
        <f>_xll.qlCalendarAdvance(Calendar,X2515,W2516,"f",FALSE)</f>
        <v>56740</v>
      </c>
      <c r="Y2516" s="281">
        <f>_xll.qlCalendarAdvance(Calendar,X2516,NDays&amp;"D")</f>
        <v>56744</v>
      </c>
      <c r="Z2516" s="282" t="e">
        <v>#N/A</v>
      </c>
      <c r="AA2516" s="284" t="e">
        <v>#N/A</v>
      </c>
    </row>
    <row r="2517" spans="23:27" x14ac:dyDescent="0.2">
      <c r="W2517" s="203" t="str">
        <f t="shared" ref="W2517:W2580" si="49">W2516</f>
        <v>1w</v>
      </c>
      <c r="X2517" s="287">
        <f>_xll.qlCalendarAdvance(Calendar,X2516,W2517,"f",FALSE)</f>
        <v>56747</v>
      </c>
      <c r="Y2517" s="281">
        <f>_xll.qlCalendarAdvance(Calendar,X2517,NDays&amp;"D")</f>
        <v>56751</v>
      </c>
      <c r="Z2517" s="282" t="e">
        <v>#N/A</v>
      </c>
      <c r="AA2517" s="284" t="e">
        <v>#N/A</v>
      </c>
    </row>
    <row r="2518" spans="23:27" x14ac:dyDescent="0.2">
      <c r="W2518" s="203" t="str">
        <f t="shared" si="49"/>
        <v>1w</v>
      </c>
      <c r="X2518" s="287">
        <f>_xll.qlCalendarAdvance(Calendar,X2517,W2518,"f",FALSE)</f>
        <v>56754</v>
      </c>
      <c r="Y2518" s="281">
        <f>_xll.qlCalendarAdvance(Calendar,X2518,NDays&amp;"D")</f>
        <v>56758</v>
      </c>
      <c r="Z2518" s="282" t="e">
        <v>#N/A</v>
      </c>
      <c r="AA2518" s="284" t="e">
        <v>#N/A</v>
      </c>
    </row>
    <row r="2519" spans="23:27" x14ac:dyDescent="0.2">
      <c r="W2519" s="203" t="str">
        <f t="shared" si="49"/>
        <v>1w</v>
      </c>
      <c r="X2519" s="287">
        <f>_xll.qlCalendarAdvance(Calendar,X2518,W2519,"f",FALSE)</f>
        <v>56761</v>
      </c>
      <c r="Y2519" s="281">
        <f>_xll.qlCalendarAdvance(Calendar,X2519,NDays&amp;"D")</f>
        <v>56766</v>
      </c>
      <c r="Z2519" s="282" t="e">
        <v>#N/A</v>
      </c>
      <c r="AA2519" s="284" t="e">
        <v>#N/A</v>
      </c>
    </row>
    <row r="2520" spans="23:27" x14ac:dyDescent="0.2">
      <c r="W2520" s="203" t="str">
        <f t="shared" si="49"/>
        <v>1w</v>
      </c>
      <c r="X2520" s="287">
        <f>_xll.qlCalendarAdvance(Calendar,X2519,W2520,"f",FALSE)</f>
        <v>56768</v>
      </c>
      <c r="Y2520" s="281">
        <f>_xll.qlCalendarAdvance(Calendar,X2520,NDays&amp;"D")</f>
        <v>56772</v>
      </c>
      <c r="Z2520" s="282" t="e">
        <v>#N/A</v>
      </c>
      <c r="AA2520" s="284" t="e">
        <v>#N/A</v>
      </c>
    </row>
    <row r="2521" spans="23:27" x14ac:dyDescent="0.2">
      <c r="W2521" s="203" t="str">
        <f t="shared" si="49"/>
        <v>1w</v>
      </c>
      <c r="X2521" s="287">
        <f>_xll.qlCalendarAdvance(Calendar,X2520,W2521,"f",FALSE)</f>
        <v>56775</v>
      </c>
      <c r="Y2521" s="281">
        <f>_xll.qlCalendarAdvance(Calendar,X2521,NDays&amp;"D")</f>
        <v>56779</v>
      </c>
      <c r="Z2521" s="282" t="e">
        <v>#N/A</v>
      </c>
      <c r="AA2521" s="284" t="e">
        <v>#N/A</v>
      </c>
    </row>
    <row r="2522" spans="23:27" x14ac:dyDescent="0.2">
      <c r="W2522" s="203" t="str">
        <f t="shared" si="49"/>
        <v>1w</v>
      </c>
      <c r="X2522" s="287">
        <f>_xll.qlCalendarAdvance(Calendar,X2521,W2522,"f",FALSE)</f>
        <v>56782</v>
      </c>
      <c r="Y2522" s="281">
        <f>_xll.qlCalendarAdvance(Calendar,X2522,NDays&amp;"D")</f>
        <v>56786</v>
      </c>
      <c r="Z2522" s="282" t="e">
        <v>#N/A</v>
      </c>
      <c r="AA2522" s="284" t="e">
        <v>#N/A</v>
      </c>
    </row>
    <row r="2523" spans="23:27" x14ac:dyDescent="0.2">
      <c r="W2523" s="203" t="str">
        <f t="shared" si="49"/>
        <v>1w</v>
      </c>
      <c r="X2523" s="287">
        <f>_xll.qlCalendarAdvance(Calendar,X2522,W2523,"f",FALSE)</f>
        <v>56789</v>
      </c>
      <c r="Y2523" s="281">
        <f>_xll.qlCalendarAdvance(Calendar,X2523,NDays&amp;"D")</f>
        <v>56793</v>
      </c>
      <c r="Z2523" s="282" t="e">
        <v>#N/A</v>
      </c>
      <c r="AA2523" s="284" t="e">
        <v>#N/A</v>
      </c>
    </row>
    <row r="2524" spans="23:27" x14ac:dyDescent="0.2">
      <c r="W2524" s="203" t="str">
        <f t="shared" si="49"/>
        <v>1w</v>
      </c>
      <c r="X2524" s="287">
        <f>_xll.qlCalendarAdvance(Calendar,X2523,W2524,"f",FALSE)</f>
        <v>56796</v>
      </c>
      <c r="Y2524" s="281">
        <f>_xll.qlCalendarAdvance(Calendar,X2524,NDays&amp;"D")</f>
        <v>56800</v>
      </c>
      <c r="Z2524" s="282" t="e">
        <v>#N/A</v>
      </c>
      <c r="AA2524" s="284" t="e">
        <v>#N/A</v>
      </c>
    </row>
    <row r="2525" spans="23:27" x14ac:dyDescent="0.2">
      <c r="W2525" s="203" t="str">
        <f t="shared" si="49"/>
        <v>1w</v>
      </c>
      <c r="X2525" s="287">
        <f>_xll.qlCalendarAdvance(Calendar,X2524,W2525,"f",FALSE)</f>
        <v>56803</v>
      </c>
      <c r="Y2525" s="281">
        <f>_xll.qlCalendarAdvance(Calendar,X2525,NDays&amp;"D")</f>
        <v>56807</v>
      </c>
      <c r="Z2525" s="282" t="e">
        <v>#N/A</v>
      </c>
      <c r="AA2525" s="284" t="e">
        <v>#N/A</v>
      </c>
    </row>
    <row r="2526" spans="23:27" x14ac:dyDescent="0.2">
      <c r="W2526" s="203" t="str">
        <f t="shared" si="49"/>
        <v>1w</v>
      </c>
      <c r="X2526" s="287">
        <f>_xll.qlCalendarAdvance(Calendar,X2525,W2526,"f",FALSE)</f>
        <v>56810</v>
      </c>
      <c r="Y2526" s="281">
        <f>_xll.qlCalendarAdvance(Calendar,X2526,NDays&amp;"D")</f>
        <v>56815</v>
      </c>
      <c r="Z2526" s="282" t="e">
        <v>#N/A</v>
      </c>
      <c r="AA2526" s="284" t="e">
        <v>#N/A</v>
      </c>
    </row>
    <row r="2527" spans="23:27" x14ac:dyDescent="0.2">
      <c r="W2527" s="203" t="str">
        <f t="shared" si="49"/>
        <v>1w</v>
      </c>
      <c r="X2527" s="287">
        <f>_xll.qlCalendarAdvance(Calendar,X2526,W2527,"f",FALSE)</f>
        <v>56817</v>
      </c>
      <c r="Y2527" s="281">
        <f>_xll.qlCalendarAdvance(Calendar,X2527,NDays&amp;"D")</f>
        <v>56821</v>
      </c>
      <c r="Z2527" s="282" t="e">
        <v>#N/A</v>
      </c>
      <c r="AA2527" s="284" t="e">
        <v>#N/A</v>
      </c>
    </row>
    <row r="2528" spans="23:27" x14ac:dyDescent="0.2">
      <c r="W2528" s="203" t="str">
        <f t="shared" si="49"/>
        <v>1w</v>
      </c>
      <c r="X2528" s="287">
        <f>_xll.qlCalendarAdvance(Calendar,X2527,W2528,"f",FALSE)</f>
        <v>56824</v>
      </c>
      <c r="Y2528" s="281">
        <f>_xll.qlCalendarAdvance(Calendar,X2528,NDays&amp;"D")</f>
        <v>56828</v>
      </c>
      <c r="Z2528" s="282" t="e">
        <v>#N/A</v>
      </c>
      <c r="AA2528" s="284" t="e">
        <v>#N/A</v>
      </c>
    </row>
    <row r="2529" spans="23:27" x14ac:dyDescent="0.2">
      <c r="W2529" s="203" t="str">
        <f t="shared" si="49"/>
        <v>1w</v>
      </c>
      <c r="X2529" s="287">
        <f>_xll.qlCalendarAdvance(Calendar,X2528,W2529,"f",FALSE)</f>
        <v>56831</v>
      </c>
      <c r="Y2529" s="281">
        <f>_xll.qlCalendarAdvance(Calendar,X2529,NDays&amp;"D")</f>
        <v>56835</v>
      </c>
      <c r="Z2529" s="282" t="e">
        <v>#N/A</v>
      </c>
      <c r="AA2529" s="284" t="e">
        <v>#N/A</v>
      </c>
    </row>
    <row r="2530" spans="23:27" x14ac:dyDescent="0.2">
      <c r="W2530" s="203" t="str">
        <f t="shared" si="49"/>
        <v>1w</v>
      </c>
      <c r="X2530" s="287">
        <f>_xll.qlCalendarAdvance(Calendar,X2529,W2530,"f",FALSE)</f>
        <v>56838</v>
      </c>
      <c r="Y2530" s="281">
        <f>_xll.qlCalendarAdvance(Calendar,X2530,NDays&amp;"D")</f>
        <v>56842</v>
      </c>
      <c r="Z2530" s="282" t="e">
        <v>#N/A</v>
      </c>
      <c r="AA2530" s="284" t="e">
        <v>#N/A</v>
      </c>
    </row>
    <row r="2531" spans="23:27" x14ac:dyDescent="0.2">
      <c r="W2531" s="203" t="str">
        <f t="shared" si="49"/>
        <v>1w</v>
      </c>
      <c r="X2531" s="287">
        <f>_xll.qlCalendarAdvance(Calendar,X2530,W2531,"f",FALSE)</f>
        <v>56845</v>
      </c>
      <c r="Y2531" s="281">
        <f>_xll.qlCalendarAdvance(Calendar,X2531,NDays&amp;"D")</f>
        <v>56849</v>
      </c>
      <c r="Z2531" s="282" t="e">
        <v>#N/A</v>
      </c>
      <c r="AA2531" s="284" t="e">
        <v>#N/A</v>
      </c>
    </row>
    <row r="2532" spans="23:27" x14ac:dyDescent="0.2">
      <c r="W2532" s="203" t="str">
        <f t="shared" si="49"/>
        <v>1w</v>
      </c>
      <c r="X2532" s="287">
        <f>_xll.qlCalendarAdvance(Calendar,X2531,W2532,"f",FALSE)</f>
        <v>56852</v>
      </c>
      <c r="Y2532" s="281">
        <f>_xll.qlCalendarAdvance(Calendar,X2532,NDays&amp;"D")</f>
        <v>56857</v>
      </c>
      <c r="Z2532" s="282" t="e">
        <v>#N/A</v>
      </c>
      <c r="AA2532" s="284" t="e">
        <v>#N/A</v>
      </c>
    </row>
    <row r="2533" spans="23:27" x14ac:dyDescent="0.2">
      <c r="W2533" s="203" t="str">
        <f t="shared" si="49"/>
        <v>1w</v>
      </c>
      <c r="X2533" s="287">
        <f>_xll.qlCalendarAdvance(Calendar,X2532,W2533,"f",FALSE)</f>
        <v>56859</v>
      </c>
      <c r="Y2533" s="281">
        <f>_xll.qlCalendarAdvance(Calendar,X2533,NDays&amp;"D")</f>
        <v>56863</v>
      </c>
      <c r="Z2533" s="282" t="e">
        <v>#N/A</v>
      </c>
      <c r="AA2533" s="284" t="e">
        <v>#N/A</v>
      </c>
    </row>
    <row r="2534" spans="23:27" x14ac:dyDescent="0.2">
      <c r="W2534" s="203" t="str">
        <f t="shared" si="49"/>
        <v>1w</v>
      </c>
      <c r="X2534" s="287">
        <f>_xll.qlCalendarAdvance(Calendar,X2533,W2534,"f",FALSE)</f>
        <v>56866</v>
      </c>
      <c r="Y2534" s="281">
        <f>_xll.qlCalendarAdvance(Calendar,X2534,NDays&amp;"D")</f>
        <v>56870</v>
      </c>
      <c r="Z2534" s="282" t="e">
        <v>#N/A</v>
      </c>
      <c r="AA2534" s="284" t="e">
        <v>#N/A</v>
      </c>
    </row>
    <row r="2535" spans="23:27" x14ac:dyDescent="0.2">
      <c r="W2535" s="203" t="str">
        <f t="shared" si="49"/>
        <v>1w</v>
      </c>
      <c r="X2535" s="287">
        <f>_xll.qlCalendarAdvance(Calendar,X2534,W2535,"f",FALSE)</f>
        <v>56873</v>
      </c>
      <c r="Y2535" s="281">
        <f>_xll.qlCalendarAdvance(Calendar,X2535,NDays&amp;"D")</f>
        <v>56878</v>
      </c>
      <c r="Z2535" s="282" t="e">
        <v>#N/A</v>
      </c>
      <c r="AA2535" s="284" t="e">
        <v>#N/A</v>
      </c>
    </row>
    <row r="2536" spans="23:27" x14ac:dyDescent="0.2">
      <c r="W2536" s="203" t="str">
        <f t="shared" si="49"/>
        <v>1w</v>
      </c>
      <c r="X2536" s="287">
        <f>_xll.qlCalendarAdvance(Calendar,X2535,W2536,"f",FALSE)</f>
        <v>56881</v>
      </c>
      <c r="Y2536" s="281">
        <f>_xll.qlCalendarAdvance(Calendar,X2536,NDays&amp;"D")</f>
        <v>56885</v>
      </c>
      <c r="Z2536" s="282" t="e">
        <v>#N/A</v>
      </c>
      <c r="AA2536" s="284" t="e">
        <v>#N/A</v>
      </c>
    </row>
    <row r="2537" spans="23:27" x14ac:dyDescent="0.2">
      <c r="W2537" s="203" t="str">
        <f t="shared" si="49"/>
        <v>1w</v>
      </c>
      <c r="X2537" s="287">
        <f>_xll.qlCalendarAdvance(Calendar,X2536,W2537,"f",FALSE)</f>
        <v>56888</v>
      </c>
      <c r="Y2537" s="281">
        <f>_xll.qlCalendarAdvance(Calendar,X2537,NDays&amp;"D")</f>
        <v>56892</v>
      </c>
      <c r="Z2537" s="282" t="e">
        <v>#N/A</v>
      </c>
      <c r="AA2537" s="284" t="e">
        <v>#N/A</v>
      </c>
    </row>
    <row r="2538" spans="23:27" x14ac:dyDescent="0.2">
      <c r="W2538" s="203" t="str">
        <f t="shared" si="49"/>
        <v>1w</v>
      </c>
      <c r="X2538" s="287">
        <f>_xll.qlCalendarAdvance(Calendar,X2537,W2538,"f",FALSE)</f>
        <v>56895</v>
      </c>
      <c r="Y2538" s="281">
        <f>_xll.qlCalendarAdvance(Calendar,X2538,NDays&amp;"D")</f>
        <v>56900</v>
      </c>
      <c r="Z2538" s="282" t="e">
        <v>#N/A</v>
      </c>
      <c r="AA2538" s="284" t="e">
        <v>#N/A</v>
      </c>
    </row>
    <row r="2539" spans="23:27" x14ac:dyDescent="0.2">
      <c r="W2539" s="203" t="str">
        <f t="shared" si="49"/>
        <v>1w</v>
      </c>
      <c r="X2539" s="287">
        <f>_xll.qlCalendarAdvance(Calendar,X2538,W2539,"f",FALSE)</f>
        <v>56902</v>
      </c>
      <c r="Y2539" s="281">
        <f>_xll.qlCalendarAdvance(Calendar,X2539,NDays&amp;"D")</f>
        <v>56906</v>
      </c>
      <c r="Z2539" s="282" t="e">
        <v>#N/A</v>
      </c>
      <c r="AA2539" s="284" t="e">
        <v>#N/A</v>
      </c>
    </row>
    <row r="2540" spans="23:27" x14ac:dyDescent="0.2">
      <c r="W2540" s="203" t="str">
        <f t="shared" si="49"/>
        <v>1w</v>
      </c>
      <c r="X2540" s="287">
        <f>_xll.qlCalendarAdvance(Calendar,X2539,W2540,"f",FALSE)</f>
        <v>56909</v>
      </c>
      <c r="Y2540" s="281">
        <f>_xll.qlCalendarAdvance(Calendar,X2540,NDays&amp;"D")</f>
        <v>56913</v>
      </c>
      <c r="Z2540" s="282" t="e">
        <v>#N/A</v>
      </c>
      <c r="AA2540" s="284" t="e">
        <v>#N/A</v>
      </c>
    </row>
    <row r="2541" spans="23:27" x14ac:dyDescent="0.2">
      <c r="W2541" s="203" t="str">
        <f t="shared" si="49"/>
        <v>1w</v>
      </c>
      <c r="X2541" s="287">
        <f>_xll.qlCalendarAdvance(Calendar,X2540,W2541,"f",FALSE)</f>
        <v>56916</v>
      </c>
      <c r="Y2541" s="281">
        <f>_xll.qlCalendarAdvance(Calendar,X2541,NDays&amp;"D")</f>
        <v>56920</v>
      </c>
      <c r="Z2541" s="282" t="e">
        <v>#N/A</v>
      </c>
      <c r="AA2541" s="284" t="e">
        <v>#N/A</v>
      </c>
    </row>
    <row r="2542" spans="23:27" x14ac:dyDescent="0.2">
      <c r="W2542" s="203" t="str">
        <f t="shared" si="49"/>
        <v>1w</v>
      </c>
      <c r="X2542" s="287">
        <f>_xll.qlCalendarAdvance(Calendar,X2541,W2542,"f",FALSE)</f>
        <v>56923</v>
      </c>
      <c r="Y2542" s="281">
        <f>_xll.qlCalendarAdvance(Calendar,X2542,NDays&amp;"D")</f>
        <v>56927</v>
      </c>
      <c r="Z2542" s="282" t="e">
        <v>#N/A</v>
      </c>
      <c r="AA2542" s="284" t="e">
        <v>#N/A</v>
      </c>
    </row>
    <row r="2543" spans="23:27" x14ac:dyDescent="0.2">
      <c r="W2543" s="203" t="str">
        <f t="shared" si="49"/>
        <v>1w</v>
      </c>
      <c r="X2543" s="287">
        <f>_xll.qlCalendarAdvance(Calendar,X2542,W2543,"f",FALSE)</f>
        <v>56930</v>
      </c>
      <c r="Y2543" s="281">
        <f>_xll.qlCalendarAdvance(Calendar,X2543,NDays&amp;"D")</f>
        <v>56934</v>
      </c>
      <c r="Z2543" s="282" t="e">
        <v>#N/A</v>
      </c>
      <c r="AA2543" s="284" t="e">
        <v>#N/A</v>
      </c>
    </row>
    <row r="2544" spans="23:27" x14ac:dyDescent="0.2">
      <c r="W2544" s="203" t="str">
        <f t="shared" si="49"/>
        <v>1w</v>
      </c>
      <c r="X2544" s="287">
        <f>_xll.qlCalendarAdvance(Calendar,X2543,W2544,"f",FALSE)</f>
        <v>56937</v>
      </c>
      <c r="Y2544" s="281">
        <f>_xll.qlCalendarAdvance(Calendar,X2544,NDays&amp;"D")</f>
        <v>56942</v>
      </c>
      <c r="Z2544" s="282" t="e">
        <v>#N/A</v>
      </c>
      <c r="AA2544" s="284" t="e">
        <v>#N/A</v>
      </c>
    </row>
    <row r="2545" spans="23:27" x14ac:dyDescent="0.2">
      <c r="W2545" s="203" t="str">
        <f t="shared" si="49"/>
        <v>1w</v>
      </c>
      <c r="X2545" s="287">
        <f>_xll.qlCalendarAdvance(Calendar,X2544,W2545,"f",FALSE)</f>
        <v>56944</v>
      </c>
      <c r="Y2545" s="281">
        <f>_xll.qlCalendarAdvance(Calendar,X2545,NDays&amp;"D")</f>
        <v>56948</v>
      </c>
      <c r="Z2545" s="282" t="e">
        <v>#N/A</v>
      </c>
      <c r="AA2545" s="284" t="e">
        <v>#N/A</v>
      </c>
    </row>
    <row r="2546" spans="23:27" x14ac:dyDescent="0.2">
      <c r="W2546" s="203" t="str">
        <f t="shared" si="49"/>
        <v>1w</v>
      </c>
      <c r="X2546" s="287">
        <f>_xll.qlCalendarAdvance(Calendar,X2545,W2546,"f",FALSE)</f>
        <v>56951</v>
      </c>
      <c r="Y2546" s="281">
        <f>_xll.qlCalendarAdvance(Calendar,X2546,NDays&amp;"D")</f>
        <v>56955</v>
      </c>
      <c r="Z2546" s="282" t="e">
        <v>#N/A</v>
      </c>
      <c r="AA2546" s="284" t="e">
        <v>#N/A</v>
      </c>
    </row>
    <row r="2547" spans="23:27" x14ac:dyDescent="0.2">
      <c r="W2547" s="203" t="str">
        <f t="shared" si="49"/>
        <v>1w</v>
      </c>
      <c r="X2547" s="287">
        <f>_xll.qlCalendarAdvance(Calendar,X2546,W2547,"f",FALSE)</f>
        <v>56958</v>
      </c>
      <c r="Y2547" s="281">
        <f>_xll.qlCalendarAdvance(Calendar,X2547,NDays&amp;"D")</f>
        <v>56962</v>
      </c>
      <c r="Z2547" s="282" t="e">
        <v>#N/A</v>
      </c>
      <c r="AA2547" s="284" t="e">
        <v>#N/A</v>
      </c>
    </row>
    <row r="2548" spans="23:27" x14ac:dyDescent="0.2">
      <c r="W2548" s="203" t="str">
        <f t="shared" si="49"/>
        <v>1w</v>
      </c>
      <c r="X2548" s="287">
        <f>_xll.qlCalendarAdvance(Calendar,X2547,W2548,"f",FALSE)</f>
        <v>56965</v>
      </c>
      <c r="Y2548" s="281">
        <f>_xll.qlCalendarAdvance(Calendar,X2548,NDays&amp;"D")</f>
        <v>56969</v>
      </c>
      <c r="Z2548" s="282" t="e">
        <v>#N/A</v>
      </c>
      <c r="AA2548" s="284" t="e">
        <v>#N/A</v>
      </c>
    </row>
    <row r="2549" spans="23:27" x14ac:dyDescent="0.2">
      <c r="W2549" s="203" t="str">
        <f t="shared" si="49"/>
        <v>1w</v>
      </c>
      <c r="X2549" s="287">
        <f>_xll.qlCalendarAdvance(Calendar,X2548,W2549,"f",FALSE)</f>
        <v>56972</v>
      </c>
      <c r="Y2549" s="281">
        <f>_xll.qlCalendarAdvance(Calendar,X2549,NDays&amp;"D")</f>
        <v>56978</v>
      </c>
      <c r="Z2549" s="282" t="e">
        <v>#N/A</v>
      </c>
      <c r="AA2549" s="284" t="e">
        <v>#N/A</v>
      </c>
    </row>
    <row r="2550" spans="23:27" x14ac:dyDescent="0.2">
      <c r="W2550" s="203" t="str">
        <f t="shared" si="49"/>
        <v>1w</v>
      </c>
      <c r="X2550" s="287">
        <f>_xll.qlCalendarAdvance(Calendar,X2549,W2550,"f",FALSE)</f>
        <v>56983</v>
      </c>
      <c r="Y2550" s="281">
        <f>_xll.qlCalendarAdvance(Calendar,X2550,NDays&amp;"D")</f>
        <v>56985</v>
      </c>
      <c r="Z2550" s="282" t="e">
        <v>#N/A</v>
      </c>
      <c r="AA2550" s="284" t="e">
        <v>#N/A</v>
      </c>
    </row>
    <row r="2551" spans="23:27" x14ac:dyDescent="0.2">
      <c r="W2551" s="203" t="str">
        <f t="shared" si="49"/>
        <v>1w</v>
      </c>
      <c r="X2551" s="287">
        <f>_xll.qlCalendarAdvance(Calendar,X2550,W2551,"f",FALSE)</f>
        <v>56990</v>
      </c>
      <c r="Y2551" s="281">
        <f>_xll.qlCalendarAdvance(Calendar,X2551,NDays&amp;"D")</f>
        <v>56992</v>
      </c>
      <c r="Z2551" s="282" t="e">
        <v>#N/A</v>
      </c>
      <c r="AA2551" s="284" t="e">
        <v>#N/A</v>
      </c>
    </row>
    <row r="2552" spans="23:27" x14ac:dyDescent="0.2">
      <c r="W2552" s="203" t="str">
        <f t="shared" si="49"/>
        <v>1w</v>
      </c>
      <c r="X2552" s="287">
        <f>_xll.qlCalendarAdvance(Calendar,X2551,W2552,"f",FALSE)</f>
        <v>56997</v>
      </c>
      <c r="Y2552" s="281">
        <f>_xll.qlCalendarAdvance(Calendar,X2552,NDays&amp;"D")</f>
        <v>56999</v>
      </c>
      <c r="Z2552" s="282" t="e">
        <v>#N/A</v>
      </c>
      <c r="AA2552" s="284" t="e">
        <v>#N/A</v>
      </c>
    </row>
    <row r="2553" spans="23:27" x14ac:dyDescent="0.2">
      <c r="W2553" s="203" t="str">
        <f t="shared" si="49"/>
        <v>1w</v>
      </c>
      <c r="X2553" s="287">
        <f>_xll.qlCalendarAdvance(Calendar,X2552,W2553,"f",FALSE)</f>
        <v>57004</v>
      </c>
      <c r="Y2553" s="281">
        <f>_xll.qlCalendarAdvance(Calendar,X2553,NDays&amp;"D")</f>
        <v>57006</v>
      </c>
      <c r="Z2553" s="282" t="e">
        <v>#N/A</v>
      </c>
      <c r="AA2553" s="284" t="e">
        <v>#N/A</v>
      </c>
    </row>
    <row r="2554" spans="23:27" x14ac:dyDescent="0.2">
      <c r="W2554" s="203" t="str">
        <f t="shared" si="49"/>
        <v>1w</v>
      </c>
      <c r="X2554" s="287">
        <f>_xll.qlCalendarAdvance(Calendar,X2553,W2554,"f",FALSE)</f>
        <v>57011</v>
      </c>
      <c r="Y2554" s="281">
        <f>_xll.qlCalendarAdvance(Calendar,X2554,NDays&amp;"D")</f>
        <v>57013</v>
      </c>
      <c r="Z2554" s="282" t="e">
        <v>#N/A</v>
      </c>
      <c r="AA2554" s="284" t="e">
        <v>#N/A</v>
      </c>
    </row>
    <row r="2555" spans="23:27" x14ac:dyDescent="0.2">
      <c r="W2555" s="203" t="str">
        <f t="shared" si="49"/>
        <v>1w</v>
      </c>
      <c r="X2555" s="287">
        <f>_xll.qlCalendarAdvance(Calendar,X2554,W2555,"f",FALSE)</f>
        <v>57018</v>
      </c>
      <c r="Y2555" s="281">
        <f>_xll.qlCalendarAdvance(Calendar,X2555,NDays&amp;"D")</f>
        <v>57020</v>
      </c>
      <c r="Z2555" s="282" t="e">
        <v>#N/A</v>
      </c>
      <c r="AA2555" s="284" t="e">
        <v>#N/A</v>
      </c>
    </row>
    <row r="2556" spans="23:27" x14ac:dyDescent="0.2">
      <c r="W2556" s="203" t="str">
        <f t="shared" si="49"/>
        <v>1w</v>
      </c>
      <c r="X2556" s="287">
        <f>_xll.qlCalendarAdvance(Calendar,X2555,W2556,"f",FALSE)</f>
        <v>57025</v>
      </c>
      <c r="Y2556" s="281">
        <f>_xll.qlCalendarAdvance(Calendar,X2556,NDays&amp;"D")</f>
        <v>57027</v>
      </c>
      <c r="Z2556" s="282" t="e">
        <v>#N/A</v>
      </c>
      <c r="AA2556" s="284" t="e">
        <v>#N/A</v>
      </c>
    </row>
    <row r="2557" spans="23:27" x14ac:dyDescent="0.2">
      <c r="W2557" s="203" t="str">
        <f t="shared" si="49"/>
        <v>1w</v>
      </c>
      <c r="X2557" s="287">
        <f>_xll.qlCalendarAdvance(Calendar,X2556,W2557,"f",FALSE)</f>
        <v>57032</v>
      </c>
      <c r="Y2557" s="281">
        <f>_xll.qlCalendarAdvance(Calendar,X2557,NDays&amp;"D")</f>
        <v>57034</v>
      </c>
      <c r="Z2557" s="282" t="e">
        <v>#N/A</v>
      </c>
      <c r="AA2557" s="284" t="e">
        <v>#N/A</v>
      </c>
    </row>
    <row r="2558" spans="23:27" x14ac:dyDescent="0.2">
      <c r="W2558" s="203" t="str">
        <f t="shared" si="49"/>
        <v>1w</v>
      </c>
      <c r="X2558" s="287">
        <f>_xll.qlCalendarAdvance(Calendar,X2557,W2558,"f",FALSE)</f>
        <v>57039</v>
      </c>
      <c r="Y2558" s="281">
        <f>_xll.qlCalendarAdvance(Calendar,X2558,NDays&amp;"D")</f>
        <v>57041</v>
      </c>
      <c r="Z2558" s="282" t="e">
        <v>#N/A</v>
      </c>
      <c r="AA2558" s="284" t="e">
        <v>#N/A</v>
      </c>
    </row>
    <row r="2559" spans="23:27" x14ac:dyDescent="0.2">
      <c r="W2559" s="203" t="str">
        <f t="shared" si="49"/>
        <v>1w</v>
      </c>
      <c r="X2559" s="287">
        <f>_xll.qlCalendarAdvance(Calendar,X2558,W2559,"f",FALSE)</f>
        <v>57046</v>
      </c>
      <c r="Y2559" s="281">
        <f>_xll.qlCalendarAdvance(Calendar,X2559,NDays&amp;"D")</f>
        <v>57048</v>
      </c>
      <c r="Z2559" s="282" t="e">
        <v>#N/A</v>
      </c>
      <c r="AA2559" s="284" t="e">
        <v>#N/A</v>
      </c>
    </row>
    <row r="2560" spans="23:27" x14ac:dyDescent="0.2">
      <c r="W2560" s="203" t="str">
        <f t="shared" si="49"/>
        <v>1w</v>
      </c>
      <c r="X2560" s="287">
        <f>_xll.qlCalendarAdvance(Calendar,X2559,W2560,"f",FALSE)</f>
        <v>57053</v>
      </c>
      <c r="Y2560" s="281">
        <f>_xll.qlCalendarAdvance(Calendar,X2560,NDays&amp;"D")</f>
        <v>57055</v>
      </c>
      <c r="Z2560" s="282" t="e">
        <v>#N/A</v>
      </c>
      <c r="AA2560" s="284" t="e">
        <v>#N/A</v>
      </c>
    </row>
    <row r="2561" spans="23:27" x14ac:dyDescent="0.2">
      <c r="W2561" s="203" t="str">
        <f t="shared" si="49"/>
        <v>1w</v>
      </c>
      <c r="X2561" s="287">
        <f>_xll.qlCalendarAdvance(Calendar,X2560,W2561,"f",FALSE)</f>
        <v>57060</v>
      </c>
      <c r="Y2561" s="281">
        <f>_xll.qlCalendarAdvance(Calendar,X2561,NDays&amp;"D")</f>
        <v>57062</v>
      </c>
      <c r="Z2561" s="282" t="e">
        <v>#N/A</v>
      </c>
      <c r="AA2561" s="284" t="e">
        <v>#N/A</v>
      </c>
    </row>
    <row r="2562" spans="23:27" x14ac:dyDescent="0.2">
      <c r="W2562" s="203" t="str">
        <f t="shared" si="49"/>
        <v>1w</v>
      </c>
      <c r="X2562" s="287">
        <f>_xll.qlCalendarAdvance(Calendar,X2561,W2562,"f",FALSE)</f>
        <v>57067</v>
      </c>
      <c r="Y2562" s="281">
        <f>_xll.qlCalendarAdvance(Calendar,X2562,NDays&amp;"D")</f>
        <v>57069</v>
      </c>
      <c r="Z2562" s="282" t="e">
        <v>#N/A</v>
      </c>
      <c r="AA2562" s="284" t="e">
        <v>#N/A</v>
      </c>
    </row>
    <row r="2563" spans="23:27" x14ac:dyDescent="0.2">
      <c r="W2563" s="203" t="str">
        <f t="shared" si="49"/>
        <v>1w</v>
      </c>
      <c r="X2563" s="287">
        <f>_xll.qlCalendarAdvance(Calendar,X2562,W2563,"f",FALSE)</f>
        <v>57074</v>
      </c>
      <c r="Y2563" s="281">
        <f>_xll.qlCalendarAdvance(Calendar,X2563,NDays&amp;"D")</f>
        <v>57076</v>
      </c>
      <c r="Z2563" s="282" t="e">
        <v>#N/A</v>
      </c>
      <c r="AA2563" s="284" t="e">
        <v>#N/A</v>
      </c>
    </row>
    <row r="2564" spans="23:27" x14ac:dyDescent="0.2">
      <c r="W2564" s="203" t="str">
        <f t="shared" si="49"/>
        <v>1w</v>
      </c>
      <c r="X2564" s="287">
        <f>_xll.qlCalendarAdvance(Calendar,X2563,W2564,"f",FALSE)</f>
        <v>57081</v>
      </c>
      <c r="Y2564" s="281">
        <f>_xll.qlCalendarAdvance(Calendar,X2564,NDays&amp;"D")</f>
        <v>57083</v>
      </c>
      <c r="Z2564" s="282" t="e">
        <v>#N/A</v>
      </c>
      <c r="AA2564" s="284" t="e">
        <v>#N/A</v>
      </c>
    </row>
    <row r="2565" spans="23:27" x14ac:dyDescent="0.2">
      <c r="W2565" s="203" t="str">
        <f t="shared" si="49"/>
        <v>1w</v>
      </c>
      <c r="X2565" s="287">
        <f>_xll.qlCalendarAdvance(Calendar,X2564,W2565,"f",FALSE)</f>
        <v>57088</v>
      </c>
      <c r="Y2565" s="281">
        <f>_xll.qlCalendarAdvance(Calendar,X2565,NDays&amp;"D")</f>
        <v>57090</v>
      </c>
      <c r="Z2565" s="282" t="e">
        <v>#N/A</v>
      </c>
      <c r="AA2565" s="284" t="e">
        <v>#N/A</v>
      </c>
    </row>
    <row r="2566" spans="23:27" x14ac:dyDescent="0.2">
      <c r="W2566" s="203" t="str">
        <f t="shared" si="49"/>
        <v>1w</v>
      </c>
      <c r="X2566" s="287">
        <f>_xll.qlCalendarAdvance(Calendar,X2565,W2566,"f",FALSE)</f>
        <v>57095</v>
      </c>
      <c r="Y2566" s="281">
        <f>_xll.qlCalendarAdvance(Calendar,X2566,NDays&amp;"D")</f>
        <v>57097</v>
      </c>
      <c r="Z2566" s="282" t="e">
        <v>#N/A</v>
      </c>
      <c r="AA2566" s="284" t="e">
        <v>#N/A</v>
      </c>
    </row>
    <row r="2567" spans="23:27" x14ac:dyDescent="0.2">
      <c r="W2567" s="203" t="str">
        <f t="shared" si="49"/>
        <v>1w</v>
      </c>
      <c r="X2567" s="287">
        <f>_xll.qlCalendarAdvance(Calendar,X2566,W2567,"f",FALSE)</f>
        <v>57102</v>
      </c>
      <c r="Y2567" s="281">
        <f>_xll.qlCalendarAdvance(Calendar,X2567,NDays&amp;"D")</f>
        <v>57109</v>
      </c>
      <c r="Z2567" s="282" t="e">
        <v>#N/A</v>
      </c>
      <c r="AA2567" s="284" t="e">
        <v>#N/A</v>
      </c>
    </row>
    <row r="2568" spans="23:27" x14ac:dyDescent="0.2">
      <c r="W2568" s="203" t="str">
        <f t="shared" si="49"/>
        <v>1w</v>
      </c>
      <c r="X2568" s="287">
        <f>_xll.qlCalendarAdvance(Calendar,X2567,W2568,"f",FALSE)</f>
        <v>57109</v>
      </c>
      <c r="Y2568" s="281">
        <f>_xll.qlCalendarAdvance(Calendar,X2568,NDays&amp;"D")</f>
        <v>57111</v>
      </c>
      <c r="Z2568" s="282" t="e">
        <v>#N/A</v>
      </c>
      <c r="AA2568" s="284" t="e">
        <v>#N/A</v>
      </c>
    </row>
    <row r="2569" spans="23:27" x14ac:dyDescent="0.2">
      <c r="W2569" s="203" t="str">
        <f t="shared" si="49"/>
        <v>1w</v>
      </c>
      <c r="X2569" s="287">
        <f>_xll.qlCalendarAdvance(Calendar,X2568,W2569,"f",FALSE)</f>
        <v>57116</v>
      </c>
      <c r="Y2569" s="281">
        <f>_xll.qlCalendarAdvance(Calendar,X2569,NDays&amp;"D")</f>
        <v>57118</v>
      </c>
      <c r="Z2569" s="282" t="e">
        <v>#N/A</v>
      </c>
      <c r="AA2569" s="284" t="e">
        <v>#N/A</v>
      </c>
    </row>
    <row r="2570" spans="23:27" x14ac:dyDescent="0.2">
      <c r="W2570" s="203" t="str">
        <f t="shared" si="49"/>
        <v>1w</v>
      </c>
      <c r="X2570" s="287">
        <f>_xll.qlCalendarAdvance(Calendar,X2569,W2570,"f",FALSE)</f>
        <v>57123</v>
      </c>
      <c r="Y2570" s="281">
        <f>_xll.qlCalendarAdvance(Calendar,X2570,NDays&amp;"D")</f>
        <v>57125</v>
      </c>
      <c r="Z2570" s="282" t="e">
        <v>#N/A</v>
      </c>
      <c r="AA2570" s="284" t="e">
        <v>#N/A</v>
      </c>
    </row>
    <row r="2571" spans="23:27" x14ac:dyDescent="0.2">
      <c r="W2571" s="203" t="str">
        <f t="shared" si="49"/>
        <v>1w</v>
      </c>
      <c r="X2571" s="287">
        <f>_xll.qlCalendarAdvance(Calendar,X2570,W2571,"f",FALSE)</f>
        <v>57130</v>
      </c>
      <c r="Y2571" s="281">
        <f>_xll.qlCalendarAdvance(Calendar,X2571,NDays&amp;"D")</f>
        <v>57132</v>
      </c>
      <c r="Z2571" s="282" t="e">
        <v>#N/A</v>
      </c>
      <c r="AA2571" s="284" t="e">
        <v>#N/A</v>
      </c>
    </row>
    <row r="2572" spans="23:27" x14ac:dyDescent="0.2">
      <c r="W2572" s="203" t="str">
        <f t="shared" si="49"/>
        <v>1w</v>
      </c>
      <c r="X2572" s="287">
        <f>_xll.qlCalendarAdvance(Calendar,X2571,W2572,"f",FALSE)</f>
        <v>57137</v>
      </c>
      <c r="Y2572" s="281">
        <f>_xll.qlCalendarAdvance(Calendar,X2572,NDays&amp;"D")</f>
        <v>57139</v>
      </c>
      <c r="Z2572" s="282" t="e">
        <v>#N/A</v>
      </c>
      <c r="AA2572" s="284" t="e">
        <v>#N/A</v>
      </c>
    </row>
    <row r="2573" spans="23:27" x14ac:dyDescent="0.2">
      <c r="W2573" s="203" t="str">
        <f t="shared" si="49"/>
        <v>1w</v>
      </c>
      <c r="X2573" s="287">
        <f>_xll.qlCalendarAdvance(Calendar,X2572,W2573,"f",FALSE)</f>
        <v>57144</v>
      </c>
      <c r="Y2573" s="281">
        <f>_xll.qlCalendarAdvance(Calendar,X2573,NDays&amp;"D")</f>
        <v>57146</v>
      </c>
      <c r="Z2573" s="282" t="e">
        <v>#N/A</v>
      </c>
      <c r="AA2573" s="284" t="e">
        <v>#N/A</v>
      </c>
    </row>
    <row r="2574" spans="23:27" x14ac:dyDescent="0.2">
      <c r="W2574" s="203" t="str">
        <f t="shared" si="49"/>
        <v>1w</v>
      </c>
      <c r="X2574" s="287">
        <f>_xll.qlCalendarAdvance(Calendar,X2573,W2574,"f",FALSE)</f>
        <v>57151</v>
      </c>
      <c r="Y2574" s="281">
        <f>_xll.qlCalendarAdvance(Calendar,X2574,NDays&amp;"D")</f>
        <v>57153</v>
      </c>
      <c r="Z2574" s="282" t="e">
        <v>#N/A</v>
      </c>
      <c r="AA2574" s="284" t="e">
        <v>#N/A</v>
      </c>
    </row>
    <row r="2575" spans="23:27" x14ac:dyDescent="0.2">
      <c r="W2575" s="203" t="str">
        <f t="shared" si="49"/>
        <v>1w</v>
      </c>
      <c r="X2575" s="287">
        <f>_xll.qlCalendarAdvance(Calendar,X2574,W2575,"f",FALSE)</f>
        <v>57158</v>
      </c>
      <c r="Y2575" s="281">
        <f>_xll.qlCalendarAdvance(Calendar,X2575,NDays&amp;"D")</f>
        <v>57160</v>
      </c>
      <c r="Z2575" s="282" t="e">
        <v>#N/A</v>
      </c>
      <c r="AA2575" s="284" t="e">
        <v>#N/A</v>
      </c>
    </row>
    <row r="2576" spans="23:27" x14ac:dyDescent="0.2">
      <c r="W2576" s="203" t="str">
        <f t="shared" si="49"/>
        <v>1w</v>
      </c>
      <c r="X2576" s="287">
        <f>_xll.qlCalendarAdvance(Calendar,X2575,W2576,"f",FALSE)</f>
        <v>57165</v>
      </c>
      <c r="Y2576" s="281">
        <f>_xll.qlCalendarAdvance(Calendar,X2576,NDays&amp;"D")</f>
        <v>57167</v>
      </c>
      <c r="Z2576" s="282" t="e">
        <v>#N/A</v>
      </c>
      <c r="AA2576" s="284" t="e">
        <v>#N/A</v>
      </c>
    </row>
    <row r="2577" spans="23:27" x14ac:dyDescent="0.2">
      <c r="W2577" s="203" t="str">
        <f t="shared" si="49"/>
        <v>1w</v>
      </c>
      <c r="X2577" s="287">
        <f>_xll.qlCalendarAdvance(Calendar,X2576,W2577,"f",FALSE)</f>
        <v>57172</v>
      </c>
      <c r="Y2577" s="281">
        <f>_xll.qlCalendarAdvance(Calendar,X2577,NDays&amp;"D")</f>
        <v>57174</v>
      </c>
      <c r="Z2577" s="282" t="e">
        <v>#N/A</v>
      </c>
      <c r="AA2577" s="284" t="e">
        <v>#N/A</v>
      </c>
    </row>
    <row r="2578" spans="23:27" x14ac:dyDescent="0.2">
      <c r="W2578" s="203" t="str">
        <f t="shared" si="49"/>
        <v>1w</v>
      </c>
      <c r="X2578" s="287">
        <f>_xll.qlCalendarAdvance(Calendar,X2577,W2578,"f",FALSE)</f>
        <v>57179</v>
      </c>
      <c r="Y2578" s="281">
        <f>_xll.qlCalendarAdvance(Calendar,X2578,NDays&amp;"D")</f>
        <v>57181</v>
      </c>
      <c r="Z2578" s="282" t="e">
        <v>#N/A</v>
      </c>
      <c r="AA2578" s="284" t="e">
        <v>#N/A</v>
      </c>
    </row>
    <row r="2579" spans="23:27" x14ac:dyDescent="0.2">
      <c r="W2579" s="203" t="str">
        <f t="shared" si="49"/>
        <v>1w</v>
      </c>
      <c r="X2579" s="287">
        <f>_xll.qlCalendarAdvance(Calendar,X2578,W2579,"f",FALSE)</f>
        <v>57186</v>
      </c>
      <c r="Y2579" s="281">
        <f>_xll.qlCalendarAdvance(Calendar,X2579,NDays&amp;"D")</f>
        <v>57188</v>
      </c>
      <c r="Z2579" s="282" t="e">
        <v>#N/A</v>
      </c>
      <c r="AA2579" s="284" t="e">
        <v>#N/A</v>
      </c>
    </row>
    <row r="2580" spans="23:27" x14ac:dyDescent="0.2">
      <c r="W2580" s="203" t="str">
        <f t="shared" si="49"/>
        <v>1w</v>
      </c>
      <c r="X2580" s="287">
        <f>_xll.qlCalendarAdvance(Calendar,X2579,W2580,"f",FALSE)</f>
        <v>57193</v>
      </c>
      <c r="Y2580" s="281">
        <f>_xll.qlCalendarAdvance(Calendar,X2580,NDays&amp;"D")</f>
        <v>57195</v>
      </c>
      <c r="Z2580" s="282" t="e">
        <v>#N/A</v>
      </c>
      <c r="AA2580" s="284" t="e">
        <v>#N/A</v>
      </c>
    </row>
    <row r="2581" spans="23:27" x14ac:dyDescent="0.2">
      <c r="W2581" s="203" t="str">
        <f t="shared" ref="W2581:W2644" si="50">W2580</f>
        <v>1w</v>
      </c>
      <c r="X2581" s="287">
        <f>_xll.qlCalendarAdvance(Calendar,X2580,W2581,"f",FALSE)</f>
        <v>57200</v>
      </c>
      <c r="Y2581" s="281">
        <f>_xll.qlCalendarAdvance(Calendar,X2581,NDays&amp;"D")</f>
        <v>57202</v>
      </c>
      <c r="Z2581" s="282" t="e">
        <v>#N/A</v>
      </c>
      <c r="AA2581" s="284" t="e">
        <v>#N/A</v>
      </c>
    </row>
    <row r="2582" spans="23:27" x14ac:dyDescent="0.2">
      <c r="W2582" s="203" t="str">
        <f t="shared" si="50"/>
        <v>1w</v>
      </c>
      <c r="X2582" s="287">
        <f>_xll.qlCalendarAdvance(Calendar,X2581,W2582,"f",FALSE)</f>
        <v>57207</v>
      </c>
      <c r="Y2582" s="281">
        <f>_xll.qlCalendarAdvance(Calendar,X2582,NDays&amp;"D")</f>
        <v>57209</v>
      </c>
      <c r="Z2582" s="282" t="e">
        <v>#N/A</v>
      </c>
      <c r="AA2582" s="284" t="e">
        <v>#N/A</v>
      </c>
    </row>
    <row r="2583" spans="23:27" x14ac:dyDescent="0.2">
      <c r="W2583" s="203" t="str">
        <f t="shared" si="50"/>
        <v>1w</v>
      </c>
      <c r="X2583" s="287">
        <f>_xll.qlCalendarAdvance(Calendar,X2582,W2583,"f",FALSE)</f>
        <v>57214</v>
      </c>
      <c r="Y2583" s="281">
        <f>_xll.qlCalendarAdvance(Calendar,X2583,NDays&amp;"D")</f>
        <v>57216</v>
      </c>
      <c r="Z2583" s="282" t="e">
        <v>#N/A</v>
      </c>
      <c r="AA2583" s="284" t="e">
        <v>#N/A</v>
      </c>
    </row>
    <row r="2584" spans="23:27" x14ac:dyDescent="0.2">
      <c r="W2584" s="203" t="str">
        <f t="shared" si="50"/>
        <v>1w</v>
      </c>
      <c r="X2584" s="287">
        <f>_xll.qlCalendarAdvance(Calendar,X2583,W2584,"f",FALSE)</f>
        <v>57221</v>
      </c>
      <c r="Y2584" s="281">
        <f>_xll.qlCalendarAdvance(Calendar,X2584,NDays&amp;"D")</f>
        <v>57223</v>
      </c>
      <c r="Z2584" s="282" t="e">
        <v>#N/A</v>
      </c>
      <c r="AA2584" s="284" t="e">
        <v>#N/A</v>
      </c>
    </row>
    <row r="2585" spans="23:27" x14ac:dyDescent="0.2">
      <c r="W2585" s="203" t="str">
        <f t="shared" si="50"/>
        <v>1w</v>
      </c>
      <c r="X2585" s="287">
        <f>_xll.qlCalendarAdvance(Calendar,X2584,W2585,"f",FALSE)</f>
        <v>57228</v>
      </c>
      <c r="Y2585" s="281">
        <f>_xll.qlCalendarAdvance(Calendar,X2585,NDays&amp;"D")</f>
        <v>57230</v>
      </c>
      <c r="Z2585" s="282" t="e">
        <v>#N/A</v>
      </c>
      <c r="AA2585" s="284" t="e">
        <v>#N/A</v>
      </c>
    </row>
    <row r="2586" spans="23:27" x14ac:dyDescent="0.2">
      <c r="W2586" s="203" t="str">
        <f t="shared" si="50"/>
        <v>1w</v>
      </c>
      <c r="X2586" s="287">
        <f>_xll.qlCalendarAdvance(Calendar,X2585,W2586,"f",FALSE)</f>
        <v>57235</v>
      </c>
      <c r="Y2586" s="281">
        <f>_xll.qlCalendarAdvance(Calendar,X2586,NDays&amp;"D")</f>
        <v>57237</v>
      </c>
      <c r="Z2586" s="282" t="e">
        <v>#N/A</v>
      </c>
      <c r="AA2586" s="284" t="e">
        <v>#N/A</v>
      </c>
    </row>
    <row r="2587" spans="23:27" x14ac:dyDescent="0.2">
      <c r="W2587" s="203" t="str">
        <f t="shared" si="50"/>
        <v>1w</v>
      </c>
      <c r="X2587" s="287">
        <f>_xll.qlCalendarAdvance(Calendar,X2586,W2587,"f",FALSE)</f>
        <v>57242</v>
      </c>
      <c r="Y2587" s="281">
        <f>_xll.qlCalendarAdvance(Calendar,X2587,NDays&amp;"D")</f>
        <v>57244</v>
      </c>
      <c r="Z2587" s="282" t="e">
        <v>#N/A</v>
      </c>
      <c r="AA2587" s="284" t="e">
        <v>#N/A</v>
      </c>
    </row>
    <row r="2588" spans="23:27" x14ac:dyDescent="0.2">
      <c r="W2588" s="203" t="str">
        <f t="shared" si="50"/>
        <v>1w</v>
      </c>
      <c r="X2588" s="287">
        <f>_xll.qlCalendarAdvance(Calendar,X2587,W2588,"f",FALSE)</f>
        <v>57249</v>
      </c>
      <c r="Y2588" s="281">
        <f>_xll.qlCalendarAdvance(Calendar,X2588,NDays&amp;"D")</f>
        <v>57251</v>
      </c>
      <c r="Z2588" s="282" t="e">
        <v>#N/A</v>
      </c>
      <c r="AA2588" s="284" t="e">
        <v>#N/A</v>
      </c>
    </row>
    <row r="2589" spans="23:27" x14ac:dyDescent="0.2">
      <c r="W2589" s="203" t="str">
        <f t="shared" si="50"/>
        <v>1w</v>
      </c>
      <c r="X2589" s="287">
        <f>_xll.qlCalendarAdvance(Calendar,X2588,W2589,"f",FALSE)</f>
        <v>57256</v>
      </c>
      <c r="Y2589" s="281">
        <f>_xll.qlCalendarAdvance(Calendar,X2589,NDays&amp;"D")</f>
        <v>57258</v>
      </c>
      <c r="Z2589" s="282" t="e">
        <v>#N/A</v>
      </c>
      <c r="AA2589" s="284" t="e">
        <v>#N/A</v>
      </c>
    </row>
    <row r="2590" spans="23:27" x14ac:dyDescent="0.2">
      <c r="W2590" s="203" t="str">
        <f t="shared" si="50"/>
        <v>1w</v>
      </c>
      <c r="X2590" s="287">
        <f>_xll.qlCalendarAdvance(Calendar,X2589,W2590,"f",FALSE)</f>
        <v>57263</v>
      </c>
      <c r="Y2590" s="281">
        <f>_xll.qlCalendarAdvance(Calendar,X2590,NDays&amp;"D")</f>
        <v>57265</v>
      </c>
      <c r="Z2590" s="282" t="e">
        <v>#N/A</v>
      </c>
      <c r="AA2590" s="284" t="e">
        <v>#N/A</v>
      </c>
    </row>
    <row r="2591" spans="23:27" x14ac:dyDescent="0.2">
      <c r="W2591" s="203" t="str">
        <f t="shared" si="50"/>
        <v>1w</v>
      </c>
      <c r="X2591" s="287">
        <f>_xll.qlCalendarAdvance(Calendar,X2590,W2591,"f",FALSE)</f>
        <v>57270</v>
      </c>
      <c r="Y2591" s="281">
        <f>_xll.qlCalendarAdvance(Calendar,X2591,NDays&amp;"D")</f>
        <v>57272</v>
      </c>
      <c r="Z2591" s="282" t="e">
        <v>#N/A</v>
      </c>
      <c r="AA2591" s="284" t="e">
        <v>#N/A</v>
      </c>
    </row>
    <row r="2592" spans="23:27" x14ac:dyDescent="0.2">
      <c r="W2592" s="203" t="str">
        <f t="shared" si="50"/>
        <v>1w</v>
      </c>
      <c r="X2592" s="287">
        <f>_xll.qlCalendarAdvance(Calendar,X2591,W2592,"f",FALSE)</f>
        <v>57277</v>
      </c>
      <c r="Y2592" s="281">
        <f>_xll.qlCalendarAdvance(Calendar,X2592,NDays&amp;"D")</f>
        <v>57279</v>
      </c>
      <c r="Z2592" s="282" t="e">
        <v>#N/A</v>
      </c>
      <c r="AA2592" s="284" t="e">
        <v>#N/A</v>
      </c>
    </row>
    <row r="2593" spans="23:27" x14ac:dyDescent="0.2">
      <c r="W2593" s="203" t="str">
        <f t="shared" si="50"/>
        <v>1w</v>
      </c>
      <c r="X2593" s="287">
        <f>_xll.qlCalendarAdvance(Calendar,X2592,W2593,"f",FALSE)</f>
        <v>57284</v>
      </c>
      <c r="Y2593" s="281">
        <f>_xll.qlCalendarAdvance(Calendar,X2593,NDays&amp;"D")</f>
        <v>57286</v>
      </c>
      <c r="Z2593" s="282" t="e">
        <v>#N/A</v>
      </c>
      <c r="AA2593" s="284" t="e">
        <v>#N/A</v>
      </c>
    </row>
    <row r="2594" spans="23:27" x14ac:dyDescent="0.2">
      <c r="W2594" s="203" t="str">
        <f t="shared" si="50"/>
        <v>1w</v>
      </c>
      <c r="X2594" s="287">
        <f>_xll.qlCalendarAdvance(Calendar,X2593,W2594,"f",FALSE)</f>
        <v>57291</v>
      </c>
      <c r="Y2594" s="281">
        <f>_xll.qlCalendarAdvance(Calendar,X2594,NDays&amp;"D")</f>
        <v>57293</v>
      </c>
      <c r="Z2594" s="282" t="e">
        <v>#N/A</v>
      </c>
      <c r="AA2594" s="284" t="e">
        <v>#N/A</v>
      </c>
    </row>
    <row r="2595" spans="23:27" x14ac:dyDescent="0.2">
      <c r="W2595" s="203" t="str">
        <f t="shared" si="50"/>
        <v>1w</v>
      </c>
      <c r="X2595" s="287">
        <f>_xll.qlCalendarAdvance(Calendar,X2594,W2595,"f",FALSE)</f>
        <v>57298</v>
      </c>
      <c r="Y2595" s="281">
        <f>_xll.qlCalendarAdvance(Calendar,X2595,NDays&amp;"D")</f>
        <v>57300</v>
      </c>
      <c r="Z2595" s="282" t="e">
        <v>#N/A</v>
      </c>
      <c r="AA2595" s="284" t="e">
        <v>#N/A</v>
      </c>
    </row>
    <row r="2596" spans="23:27" x14ac:dyDescent="0.2">
      <c r="W2596" s="203" t="str">
        <f t="shared" si="50"/>
        <v>1w</v>
      </c>
      <c r="X2596" s="287">
        <f>_xll.qlCalendarAdvance(Calendar,X2595,W2596,"f",FALSE)</f>
        <v>57305</v>
      </c>
      <c r="Y2596" s="281">
        <f>_xll.qlCalendarAdvance(Calendar,X2596,NDays&amp;"D")</f>
        <v>57308</v>
      </c>
      <c r="Z2596" s="282" t="e">
        <v>#N/A</v>
      </c>
      <c r="AA2596" s="284" t="e">
        <v>#N/A</v>
      </c>
    </row>
    <row r="2597" spans="23:27" x14ac:dyDescent="0.2">
      <c r="W2597" s="203" t="str">
        <f t="shared" si="50"/>
        <v>1w</v>
      </c>
      <c r="X2597" s="287">
        <f>_xll.qlCalendarAdvance(Calendar,X2596,W2597,"f",FALSE)</f>
        <v>57312</v>
      </c>
      <c r="Y2597" s="281">
        <f>_xll.qlCalendarAdvance(Calendar,X2597,NDays&amp;"D")</f>
        <v>57314</v>
      </c>
      <c r="Z2597" s="282" t="e">
        <v>#N/A</v>
      </c>
      <c r="AA2597" s="284" t="e">
        <v>#N/A</v>
      </c>
    </row>
    <row r="2598" spans="23:27" x14ac:dyDescent="0.2">
      <c r="W2598" s="203" t="str">
        <f t="shared" si="50"/>
        <v>1w</v>
      </c>
      <c r="X2598" s="287">
        <f>_xll.qlCalendarAdvance(Calendar,X2597,W2598,"f",FALSE)</f>
        <v>57319</v>
      </c>
      <c r="Y2598" s="281">
        <f>_xll.qlCalendarAdvance(Calendar,X2598,NDays&amp;"D")</f>
        <v>57321</v>
      </c>
      <c r="Z2598" s="282" t="e">
        <v>#N/A</v>
      </c>
      <c r="AA2598" s="284" t="e">
        <v>#N/A</v>
      </c>
    </row>
    <row r="2599" spans="23:27" x14ac:dyDescent="0.2">
      <c r="W2599" s="203" t="str">
        <f t="shared" si="50"/>
        <v>1w</v>
      </c>
      <c r="X2599" s="287">
        <f>_xll.qlCalendarAdvance(Calendar,X2598,W2599,"f",FALSE)</f>
        <v>57326</v>
      </c>
      <c r="Y2599" s="281">
        <f>_xll.qlCalendarAdvance(Calendar,X2599,NDays&amp;"D")</f>
        <v>57328</v>
      </c>
      <c r="Z2599" s="282" t="e">
        <v>#N/A</v>
      </c>
      <c r="AA2599" s="284" t="e">
        <v>#N/A</v>
      </c>
    </row>
    <row r="2600" spans="23:27" x14ac:dyDescent="0.2">
      <c r="W2600" s="203" t="str">
        <f t="shared" si="50"/>
        <v>1w</v>
      </c>
      <c r="X2600" s="287">
        <f>_xll.qlCalendarAdvance(Calendar,X2599,W2600,"f",FALSE)</f>
        <v>57333</v>
      </c>
      <c r="Y2600" s="281">
        <f>_xll.qlCalendarAdvance(Calendar,X2600,NDays&amp;"D")</f>
        <v>57335</v>
      </c>
      <c r="Z2600" s="282" t="e">
        <v>#N/A</v>
      </c>
      <c r="AA2600" s="284" t="e">
        <v>#N/A</v>
      </c>
    </row>
    <row r="2601" spans="23:27" x14ac:dyDescent="0.2">
      <c r="W2601" s="203" t="str">
        <f t="shared" si="50"/>
        <v>1w</v>
      </c>
      <c r="X2601" s="287">
        <f>_xll.qlCalendarAdvance(Calendar,X2600,W2601,"f",FALSE)</f>
        <v>57341</v>
      </c>
      <c r="Y2601" s="281">
        <f>_xll.qlCalendarAdvance(Calendar,X2601,NDays&amp;"D")</f>
        <v>57343</v>
      </c>
      <c r="Z2601" s="282" t="e">
        <v>#N/A</v>
      </c>
      <c r="AA2601" s="284" t="e">
        <v>#N/A</v>
      </c>
    </row>
    <row r="2602" spans="23:27" x14ac:dyDescent="0.2">
      <c r="W2602" s="203" t="str">
        <f t="shared" si="50"/>
        <v>1w</v>
      </c>
      <c r="X2602" s="287">
        <f>_xll.qlCalendarAdvance(Calendar,X2601,W2602,"f",FALSE)</f>
        <v>57349</v>
      </c>
      <c r="Y2602" s="281">
        <f>_xll.qlCalendarAdvance(Calendar,X2602,NDays&amp;"D")</f>
        <v>57354</v>
      </c>
      <c r="Z2602" s="282" t="e">
        <v>#N/A</v>
      </c>
      <c r="AA2602" s="284" t="e">
        <v>#N/A</v>
      </c>
    </row>
    <row r="2603" spans="23:27" x14ac:dyDescent="0.2">
      <c r="W2603" s="203" t="str">
        <f t="shared" si="50"/>
        <v>1w</v>
      </c>
      <c r="X2603" s="287">
        <f>_xll.qlCalendarAdvance(Calendar,X2602,W2603,"f",FALSE)</f>
        <v>57356</v>
      </c>
      <c r="Y2603" s="281">
        <f>_xll.qlCalendarAdvance(Calendar,X2603,NDays&amp;"D")</f>
        <v>57360</v>
      </c>
      <c r="Z2603" s="282" t="e">
        <v>#N/A</v>
      </c>
      <c r="AA2603" s="284" t="e">
        <v>#N/A</v>
      </c>
    </row>
    <row r="2604" spans="23:27" x14ac:dyDescent="0.2">
      <c r="W2604" s="203" t="str">
        <f t="shared" si="50"/>
        <v>1w</v>
      </c>
      <c r="X2604" s="287">
        <f>_xll.qlCalendarAdvance(Calendar,X2603,W2604,"f",FALSE)</f>
        <v>57363</v>
      </c>
      <c r="Y2604" s="281">
        <f>_xll.qlCalendarAdvance(Calendar,X2604,NDays&amp;"D")</f>
        <v>57367</v>
      </c>
      <c r="Z2604" s="282" t="e">
        <v>#N/A</v>
      </c>
      <c r="AA2604" s="284" t="e">
        <v>#N/A</v>
      </c>
    </row>
    <row r="2605" spans="23:27" x14ac:dyDescent="0.2">
      <c r="W2605" s="203" t="str">
        <f t="shared" si="50"/>
        <v>1w</v>
      </c>
      <c r="X2605" s="287">
        <f>_xll.qlCalendarAdvance(Calendar,X2604,W2605,"f",FALSE)</f>
        <v>57370</v>
      </c>
      <c r="Y2605" s="281">
        <f>_xll.qlCalendarAdvance(Calendar,X2605,NDays&amp;"D")</f>
        <v>57374</v>
      </c>
      <c r="Z2605" s="282" t="e">
        <v>#N/A</v>
      </c>
      <c r="AA2605" s="284" t="e">
        <v>#N/A</v>
      </c>
    </row>
    <row r="2606" spans="23:27" x14ac:dyDescent="0.2">
      <c r="W2606" s="203" t="str">
        <f t="shared" si="50"/>
        <v>1w</v>
      </c>
      <c r="X2606" s="287">
        <f>_xll.qlCalendarAdvance(Calendar,X2605,W2606,"f",FALSE)</f>
        <v>57377</v>
      </c>
      <c r="Y2606" s="281">
        <f>_xll.qlCalendarAdvance(Calendar,X2606,NDays&amp;"D")</f>
        <v>57381</v>
      </c>
      <c r="Z2606" s="282" t="e">
        <v>#N/A</v>
      </c>
      <c r="AA2606" s="284" t="e">
        <v>#N/A</v>
      </c>
    </row>
    <row r="2607" spans="23:27" x14ac:dyDescent="0.2">
      <c r="W2607" s="203" t="str">
        <f t="shared" si="50"/>
        <v>1w</v>
      </c>
      <c r="X2607" s="287">
        <f>_xll.qlCalendarAdvance(Calendar,X2606,W2607,"f",FALSE)</f>
        <v>57384</v>
      </c>
      <c r="Y2607" s="281">
        <f>_xll.qlCalendarAdvance(Calendar,X2607,NDays&amp;"D")</f>
        <v>57389</v>
      </c>
      <c r="Z2607" s="282" t="e">
        <v>#N/A</v>
      </c>
      <c r="AA2607" s="284" t="e">
        <v>#N/A</v>
      </c>
    </row>
    <row r="2608" spans="23:27" x14ac:dyDescent="0.2">
      <c r="W2608" s="203" t="str">
        <f t="shared" si="50"/>
        <v>1w</v>
      </c>
      <c r="X2608" s="287">
        <f>_xll.qlCalendarAdvance(Calendar,X2607,W2608,"f",FALSE)</f>
        <v>57391</v>
      </c>
      <c r="Y2608" s="281">
        <f>_xll.qlCalendarAdvance(Calendar,X2608,NDays&amp;"D")</f>
        <v>57395</v>
      </c>
      <c r="Z2608" s="282" t="e">
        <v>#N/A</v>
      </c>
      <c r="AA2608" s="284" t="e">
        <v>#N/A</v>
      </c>
    </row>
    <row r="2609" spans="23:27" x14ac:dyDescent="0.2">
      <c r="W2609" s="203" t="str">
        <f t="shared" si="50"/>
        <v>1w</v>
      </c>
      <c r="X2609" s="287">
        <f>_xll.qlCalendarAdvance(Calendar,X2608,W2609,"f",FALSE)</f>
        <v>57398</v>
      </c>
      <c r="Y2609" s="281">
        <f>_xll.qlCalendarAdvance(Calendar,X2609,NDays&amp;"D")</f>
        <v>57402</v>
      </c>
      <c r="Z2609" s="282" t="e">
        <v>#N/A</v>
      </c>
      <c r="AA2609" s="284" t="e">
        <v>#N/A</v>
      </c>
    </row>
    <row r="2610" spans="23:27" x14ac:dyDescent="0.2">
      <c r="W2610" s="203" t="str">
        <f t="shared" si="50"/>
        <v>1w</v>
      </c>
      <c r="X2610" s="287">
        <f>_xll.qlCalendarAdvance(Calendar,X2609,W2610,"f",FALSE)</f>
        <v>57405</v>
      </c>
      <c r="Y2610" s="281">
        <f>_xll.qlCalendarAdvance(Calendar,X2610,NDays&amp;"D")</f>
        <v>57409</v>
      </c>
      <c r="Z2610" s="282" t="e">
        <v>#N/A</v>
      </c>
      <c r="AA2610" s="284" t="e">
        <v>#N/A</v>
      </c>
    </row>
    <row r="2611" spans="23:27" x14ac:dyDescent="0.2">
      <c r="W2611" s="203" t="str">
        <f t="shared" si="50"/>
        <v>1w</v>
      </c>
      <c r="X2611" s="287">
        <f>_xll.qlCalendarAdvance(Calendar,X2610,W2611,"f",FALSE)</f>
        <v>57412</v>
      </c>
      <c r="Y2611" s="281">
        <f>_xll.qlCalendarAdvance(Calendar,X2611,NDays&amp;"D")</f>
        <v>57416</v>
      </c>
      <c r="Z2611" s="282" t="e">
        <v>#N/A</v>
      </c>
      <c r="AA2611" s="284" t="e">
        <v>#N/A</v>
      </c>
    </row>
    <row r="2612" spans="23:27" x14ac:dyDescent="0.2">
      <c r="W2612" s="203" t="str">
        <f t="shared" si="50"/>
        <v>1w</v>
      </c>
      <c r="X2612" s="287">
        <f>_xll.qlCalendarAdvance(Calendar,X2611,W2612,"f",FALSE)</f>
        <v>57419</v>
      </c>
      <c r="Y2612" s="281">
        <f>_xll.qlCalendarAdvance(Calendar,X2612,NDays&amp;"D")</f>
        <v>57423</v>
      </c>
      <c r="Z2612" s="282" t="e">
        <v>#N/A</v>
      </c>
      <c r="AA2612" s="284" t="e">
        <v>#N/A</v>
      </c>
    </row>
    <row r="2613" spans="23:27" x14ac:dyDescent="0.2">
      <c r="W2613" s="203" t="str">
        <f t="shared" si="50"/>
        <v>1w</v>
      </c>
      <c r="X2613" s="287">
        <f>_xll.qlCalendarAdvance(Calendar,X2612,W2613,"f",FALSE)</f>
        <v>57426</v>
      </c>
      <c r="Y2613" s="281">
        <f>_xll.qlCalendarAdvance(Calendar,X2613,NDays&amp;"D")</f>
        <v>57430</v>
      </c>
      <c r="Z2613" s="282" t="e">
        <v>#N/A</v>
      </c>
      <c r="AA2613" s="284" t="e">
        <v>#N/A</v>
      </c>
    </row>
    <row r="2614" spans="23:27" x14ac:dyDescent="0.2">
      <c r="W2614" s="203" t="str">
        <f t="shared" si="50"/>
        <v>1w</v>
      </c>
      <c r="X2614" s="287">
        <f>_xll.qlCalendarAdvance(Calendar,X2613,W2614,"f",FALSE)</f>
        <v>57433</v>
      </c>
      <c r="Y2614" s="281">
        <f>_xll.qlCalendarAdvance(Calendar,X2614,NDays&amp;"D")</f>
        <v>57437</v>
      </c>
      <c r="Z2614" s="282" t="e">
        <v>#N/A</v>
      </c>
      <c r="AA2614" s="284" t="e">
        <v>#N/A</v>
      </c>
    </row>
    <row r="2615" spans="23:27" x14ac:dyDescent="0.2">
      <c r="W2615" s="203" t="str">
        <f t="shared" si="50"/>
        <v>1w</v>
      </c>
      <c r="X2615" s="287">
        <f>_xll.qlCalendarAdvance(Calendar,X2614,W2615,"f",FALSE)</f>
        <v>57440</v>
      </c>
      <c r="Y2615" s="281">
        <f>_xll.qlCalendarAdvance(Calendar,X2615,NDays&amp;"D")</f>
        <v>57444</v>
      </c>
      <c r="Z2615" s="282" t="e">
        <v>#N/A</v>
      </c>
      <c r="AA2615" s="284" t="e">
        <v>#N/A</v>
      </c>
    </row>
    <row r="2616" spans="23:27" x14ac:dyDescent="0.2">
      <c r="W2616" s="203" t="str">
        <f t="shared" si="50"/>
        <v>1w</v>
      </c>
      <c r="X2616" s="287">
        <f>_xll.qlCalendarAdvance(Calendar,X2615,W2616,"f",FALSE)</f>
        <v>57447</v>
      </c>
      <c r="Y2616" s="281">
        <f>_xll.qlCalendarAdvance(Calendar,X2616,NDays&amp;"D")</f>
        <v>57451</v>
      </c>
      <c r="Z2616" s="282" t="e">
        <v>#N/A</v>
      </c>
      <c r="AA2616" s="284" t="e">
        <v>#N/A</v>
      </c>
    </row>
    <row r="2617" spans="23:27" x14ac:dyDescent="0.2">
      <c r="W2617" s="203" t="str">
        <f t="shared" si="50"/>
        <v>1w</v>
      </c>
      <c r="X2617" s="287">
        <f>_xll.qlCalendarAdvance(Calendar,X2616,W2617,"f",FALSE)</f>
        <v>57454</v>
      </c>
      <c r="Y2617" s="281">
        <f>_xll.qlCalendarAdvance(Calendar,X2617,NDays&amp;"D")</f>
        <v>57460</v>
      </c>
      <c r="Z2617" s="282" t="e">
        <v>#N/A</v>
      </c>
      <c r="AA2617" s="284" t="e">
        <v>#N/A</v>
      </c>
    </row>
    <row r="2618" spans="23:27" x14ac:dyDescent="0.2">
      <c r="W2618" s="203" t="str">
        <f t="shared" si="50"/>
        <v>1w</v>
      </c>
      <c r="X2618" s="287">
        <f>_xll.qlCalendarAdvance(Calendar,X2617,W2618,"f",FALSE)</f>
        <v>57461</v>
      </c>
      <c r="Y2618" s="281">
        <f>_xll.qlCalendarAdvance(Calendar,X2618,NDays&amp;"D")</f>
        <v>57466</v>
      </c>
      <c r="Z2618" s="282" t="e">
        <v>#N/A</v>
      </c>
      <c r="AA2618" s="284" t="e">
        <v>#N/A</v>
      </c>
    </row>
    <row r="2619" spans="23:27" x14ac:dyDescent="0.2">
      <c r="W2619" s="203" t="str">
        <f t="shared" si="50"/>
        <v>1w</v>
      </c>
      <c r="X2619" s="287">
        <f>_xll.qlCalendarAdvance(Calendar,X2618,W2619,"f",FALSE)</f>
        <v>57473</v>
      </c>
      <c r="Y2619" s="281">
        <f>_xll.qlCalendarAdvance(Calendar,X2619,NDays&amp;"D")</f>
        <v>57475</v>
      </c>
      <c r="Z2619" s="282" t="e">
        <v>#N/A</v>
      </c>
      <c r="AA2619" s="284" t="e">
        <v>#N/A</v>
      </c>
    </row>
    <row r="2620" spans="23:27" x14ac:dyDescent="0.2">
      <c r="W2620" s="203" t="str">
        <f t="shared" si="50"/>
        <v>1w</v>
      </c>
      <c r="X2620" s="287">
        <f>_xll.qlCalendarAdvance(Calendar,X2619,W2620,"f",FALSE)</f>
        <v>57480</v>
      </c>
      <c r="Y2620" s="281">
        <f>_xll.qlCalendarAdvance(Calendar,X2620,NDays&amp;"D")</f>
        <v>57482</v>
      </c>
      <c r="Z2620" s="282" t="e">
        <v>#N/A</v>
      </c>
      <c r="AA2620" s="284" t="e">
        <v>#N/A</v>
      </c>
    </row>
    <row r="2621" spans="23:27" x14ac:dyDescent="0.2">
      <c r="W2621" s="203" t="str">
        <f t="shared" si="50"/>
        <v>1w</v>
      </c>
      <c r="X2621" s="287">
        <f>_xll.qlCalendarAdvance(Calendar,X2620,W2621,"f",FALSE)</f>
        <v>57487</v>
      </c>
      <c r="Y2621" s="281">
        <f>_xll.qlCalendarAdvance(Calendar,X2621,NDays&amp;"D")</f>
        <v>57489</v>
      </c>
      <c r="Z2621" s="282" t="e">
        <v>#N/A</v>
      </c>
      <c r="AA2621" s="284" t="e">
        <v>#N/A</v>
      </c>
    </row>
    <row r="2622" spans="23:27" x14ac:dyDescent="0.2">
      <c r="W2622" s="203" t="str">
        <f t="shared" si="50"/>
        <v>1w</v>
      </c>
      <c r="X2622" s="287">
        <f>_xll.qlCalendarAdvance(Calendar,X2621,W2622,"f",FALSE)</f>
        <v>57494</v>
      </c>
      <c r="Y2622" s="281">
        <f>_xll.qlCalendarAdvance(Calendar,X2622,NDays&amp;"D")</f>
        <v>57496</v>
      </c>
      <c r="Z2622" s="282" t="e">
        <v>#N/A</v>
      </c>
      <c r="AA2622" s="284" t="e">
        <v>#N/A</v>
      </c>
    </row>
    <row r="2623" spans="23:27" x14ac:dyDescent="0.2">
      <c r="W2623" s="203" t="str">
        <f t="shared" si="50"/>
        <v>1w</v>
      </c>
      <c r="X2623" s="287">
        <f>_xll.qlCalendarAdvance(Calendar,X2622,W2623,"f",FALSE)</f>
        <v>57501</v>
      </c>
      <c r="Y2623" s="281">
        <f>_xll.qlCalendarAdvance(Calendar,X2623,NDays&amp;"D")</f>
        <v>57503</v>
      </c>
      <c r="Z2623" s="282" t="e">
        <v>#N/A</v>
      </c>
      <c r="AA2623" s="284" t="e">
        <v>#N/A</v>
      </c>
    </row>
    <row r="2624" spans="23:27" x14ac:dyDescent="0.2">
      <c r="W2624" s="203" t="str">
        <f t="shared" si="50"/>
        <v>1w</v>
      </c>
      <c r="X2624" s="287">
        <f>_xll.qlCalendarAdvance(Calendar,X2623,W2624,"f",FALSE)</f>
        <v>57508</v>
      </c>
      <c r="Y2624" s="281">
        <f>_xll.qlCalendarAdvance(Calendar,X2624,NDays&amp;"D")</f>
        <v>57510</v>
      </c>
      <c r="Z2624" s="282" t="e">
        <v>#N/A</v>
      </c>
      <c r="AA2624" s="284" t="e">
        <v>#N/A</v>
      </c>
    </row>
    <row r="2625" spans="23:27" x14ac:dyDescent="0.2">
      <c r="W2625" s="203" t="str">
        <f t="shared" si="50"/>
        <v>1w</v>
      </c>
      <c r="X2625" s="287">
        <f>_xll.qlCalendarAdvance(Calendar,X2624,W2625,"f",FALSE)</f>
        <v>57515</v>
      </c>
      <c r="Y2625" s="281">
        <f>_xll.qlCalendarAdvance(Calendar,X2625,NDays&amp;"D")</f>
        <v>57517</v>
      </c>
      <c r="Z2625" s="282" t="e">
        <v>#N/A</v>
      </c>
      <c r="AA2625" s="284" t="e">
        <v>#N/A</v>
      </c>
    </row>
    <row r="2626" spans="23:27" x14ac:dyDescent="0.2">
      <c r="W2626" s="203" t="str">
        <f t="shared" si="50"/>
        <v>1w</v>
      </c>
      <c r="X2626" s="287">
        <f>_xll.qlCalendarAdvance(Calendar,X2625,W2626,"f",FALSE)</f>
        <v>57522</v>
      </c>
      <c r="Y2626" s="281">
        <f>_xll.qlCalendarAdvance(Calendar,X2626,NDays&amp;"D")</f>
        <v>57524</v>
      </c>
      <c r="Z2626" s="282" t="e">
        <v>#N/A</v>
      </c>
      <c r="AA2626" s="284" t="e">
        <v>#N/A</v>
      </c>
    </row>
    <row r="2627" spans="23:27" x14ac:dyDescent="0.2">
      <c r="W2627" s="203" t="str">
        <f t="shared" si="50"/>
        <v>1w</v>
      </c>
      <c r="X2627" s="287">
        <f>_xll.qlCalendarAdvance(Calendar,X2626,W2627,"f",FALSE)</f>
        <v>57529</v>
      </c>
      <c r="Y2627" s="281">
        <f>_xll.qlCalendarAdvance(Calendar,X2627,NDays&amp;"D")</f>
        <v>57531</v>
      </c>
      <c r="Z2627" s="282" t="e">
        <v>#N/A</v>
      </c>
      <c r="AA2627" s="284" t="e">
        <v>#N/A</v>
      </c>
    </row>
    <row r="2628" spans="23:27" x14ac:dyDescent="0.2">
      <c r="W2628" s="203" t="str">
        <f t="shared" si="50"/>
        <v>1w</v>
      </c>
      <c r="X2628" s="287">
        <f>_xll.qlCalendarAdvance(Calendar,X2627,W2628,"f",FALSE)</f>
        <v>57536</v>
      </c>
      <c r="Y2628" s="281">
        <f>_xll.qlCalendarAdvance(Calendar,X2628,NDays&amp;"D")</f>
        <v>57538</v>
      </c>
      <c r="Z2628" s="282" t="e">
        <v>#N/A</v>
      </c>
      <c r="AA2628" s="284" t="e">
        <v>#N/A</v>
      </c>
    </row>
    <row r="2629" spans="23:27" x14ac:dyDescent="0.2">
      <c r="W2629" s="203" t="str">
        <f t="shared" si="50"/>
        <v>1w</v>
      </c>
      <c r="X2629" s="287">
        <f>_xll.qlCalendarAdvance(Calendar,X2628,W2629,"f",FALSE)</f>
        <v>57543</v>
      </c>
      <c r="Y2629" s="281">
        <f>_xll.qlCalendarAdvance(Calendar,X2629,NDays&amp;"D")</f>
        <v>57545</v>
      </c>
      <c r="Z2629" s="282" t="e">
        <v>#N/A</v>
      </c>
      <c r="AA2629" s="284" t="e">
        <v>#N/A</v>
      </c>
    </row>
    <row r="2630" spans="23:27" x14ac:dyDescent="0.2">
      <c r="W2630" s="203" t="str">
        <f t="shared" si="50"/>
        <v>1w</v>
      </c>
      <c r="X2630" s="287">
        <f>_xll.qlCalendarAdvance(Calendar,X2629,W2630,"f",FALSE)</f>
        <v>57550</v>
      </c>
      <c r="Y2630" s="281">
        <f>_xll.qlCalendarAdvance(Calendar,X2630,NDays&amp;"D")</f>
        <v>57552</v>
      </c>
      <c r="Z2630" s="282" t="e">
        <v>#N/A</v>
      </c>
      <c r="AA2630" s="284" t="e">
        <v>#N/A</v>
      </c>
    </row>
    <row r="2631" spans="23:27" x14ac:dyDescent="0.2">
      <c r="W2631" s="203" t="str">
        <f t="shared" si="50"/>
        <v>1w</v>
      </c>
      <c r="X2631" s="287">
        <f>_xll.qlCalendarAdvance(Calendar,X2630,W2631,"f",FALSE)</f>
        <v>57557</v>
      </c>
      <c r="Y2631" s="281">
        <f>_xll.qlCalendarAdvance(Calendar,X2631,NDays&amp;"D")</f>
        <v>57559</v>
      </c>
      <c r="Z2631" s="282" t="e">
        <v>#N/A</v>
      </c>
      <c r="AA2631" s="284" t="e">
        <v>#N/A</v>
      </c>
    </row>
    <row r="2632" spans="23:27" x14ac:dyDescent="0.2">
      <c r="W2632" s="203" t="str">
        <f t="shared" si="50"/>
        <v>1w</v>
      </c>
      <c r="X2632" s="287">
        <f>_xll.qlCalendarAdvance(Calendar,X2631,W2632,"f",FALSE)</f>
        <v>57564</v>
      </c>
      <c r="Y2632" s="281">
        <f>_xll.qlCalendarAdvance(Calendar,X2632,NDays&amp;"D")</f>
        <v>57566</v>
      </c>
      <c r="Z2632" s="282" t="e">
        <v>#N/A</v>
      </c>
      <c r="AA2632" s="284" t="e">
        <v>#N/A</v>
      </c>
    </row>
    <row r="2633" spans="23:27" x14ac:dyDescent="0.2">
      <c r="W2633" s="203" t="str">
        <f t="shared" si="50"/>
        <v>1w</v>
      </c>
      <c r="X2633" s="287">
        <f>_xll.qlCalendarAdvance(Calendar,X2632,W2633,"f",FALSE)</f>
        <v>57571</v>
      </c>
      <c r="Y2633" s="281">
        <f>_xll.qlCalendarAdvance(Calendar,X2633,NDays&amp;"D")</f>
        <v>57573</v>
      </c>
      <c r="Z2633" s="282" t="e">
        <v>#N/A</v>
      </c>
      <c r="AA2633" s="284" t="e">
        <v>#N/A</v>
      </c>
    </row>
    <row r="2634" spans="23:27" x14ac:dyDescent="0.2">
      <c r="W2634" s="203" t="str">
        <f t="shared" si="50"/>
        <v>1w</v>
      </c>
      <c r="X2634" s="287">
        <f>_xll.qlCalendarAdvance(Calendar,X2633,W2634,"f",FALSE)</f>
        <v>57578</v>
      </c>
      <c r="Y2634" s="281">
        <f>_xll.qlCalendarAdvance(Calendar,X2634,NDays&amp;"D")</f>
        <v>57580</v>
      </c>
      <c r="Z2634" s="282" t="e">
        <v>#N/A</v>
      </c>
      <c r="AA2634" s="284" t="e">
        <v>#N/A</v>
      </c>
    </row>
    <row r="2635" spans="23:27" x14ac:dyDescent="0.2">
      <c r="W2635" s="203" t="str">
        <f t="shared" si="50"/>
        <v>1w</v>
      </c>
      <c r="X2635" s="287">
        <f>_xll.qlCalendarAdvance(Calendar,X2634,W2635,"f",FALSE)</f>
        <v>57585</v>
      </c>
      <c r="Y2635" s="281">
        <f>_xll.qlCalendarAdvance(Calendar,X2635,NDays&amp;"D")</f>
        <v>57587</v>
      </c>
      <c r="Z2635" s="282" t="e">
        <v>#N/A</v>
      </c>
      <c r="AA2635" s="284" t="e">
        <v>#N/A</v>
      </c>
    </row>
    <row r="2636" spans="23:27" x14ac:dyDescent="0.2">
      <c r="W2636" s="203" t="str">
        <f t="shared" si="50"/>
        <v>1w</v>
      </c>
      <c r="X2636" s="287">
        <f>_xll.qlCalendarAdvance(Calendar,X2635,W2636,"f",FALSE)</f>
        <v>57592</v>
      </c>
      <c r="Y2636" s="281">
        <f>_xll.qlCalendarAdvance(Calendar,X2636,NDays&amp;"D")</f>
        <v>57594</v>
      </c>
      <c r="Z2636" s="282" t="e">
        <v>#N/A</v>
      </c>
      <c r="AA2636" s="284" t="e">
        <v>#N/A</v>
      </c>
    </row>
    <row r="2637" spans="23:27" x14ac:dyDescent="0.2">
      <c r="W2637" s="203" t="str">
        <f t="shared" si="50"/>
        <v>1w</v>
      </c>
      <c r="X2637" s="287">
        <f>_xll.qlCalendarAdvance(Calendar,X2636,W2637,"f",FALSE)</f>
        <v>57599</v>
      </c>
      <c r="Y2637" s="281">
        <f>_xll.qlCalendarAdvance(Calendar,X2637,NDays&amp;"D")</f>
        <v>57601</v>
      </c>
      <c r="Z2637" s="282" t="e">
        <v>#N/A</v>
      </c>
      <c r="AA2637" s="284" t="e">
        <v>#N/A</v>
      </c>
    </row>
    <row r="2638" spans="23:27" x14ac:dyDescent="0.2">
      <c r="W2638" s="203" t="str">
        <f t="shared" si="50"/>
        <v>1w</v>
      </c>
      <c r="X2638" s="287">
        <f>_xll.qlCalendarAdvance(Calendar,X2637,W2638,"f",FALSE)</f>
        <v>57606</v>
      </c>
      <c r="Y2638" s="281">
        <f>_xll.qlCalendarAdvance(Calendar,X2638,NDays&amp;"D")</f>
        <v>57608</v>
      </c>
      <c r="Z2638" s="282" t="e">
        <v>#N/A</v>
      </c>
      <c r="AA2638" s="284" t="e">
        <v>#N/A</v>
      </c>
    </row>
    <row r="2639" spans="23:27" x14ac:dyDescent="0.2">
      <c r="W2639" s="203" t="str">
        <f t="shared" si="50"/>
        <v>1w</v>
      </c>
      <c r="X2639" s="287">
        <f>_xll.qlCalendarAdvance(Calendar,X2638,W2639,"f",FALSE)</f>
        <v>57613</v>
      </c>
      <c r="Y2639" s="281">
        <f>_xll.qlCalendarAdvance(Calendar,X2639,NDays&amp;"D")</f>
        <v>57615</v>
      </c>
      <c r="Z2639" s="282" t="e">
        <v>#N/A</v>
      </c>
      <c r="AA2639" s="284" t="e">
        <v>#N/A</v>
      </c>
    </row>
    <row r="2640" spans="23:27" x14ac:dyDescent="0.2">
      <c r="W2640" s="203" t="str">
        <f t="shared" si="50"/>
        <v>1w</v>
      </c>
      <c r="X2640" s="287">
        <f>_xll.qlCalendarAdvance(Calendar,X2639,W2640,"f",FALSE)</f>
        <v>57620</v>
      </c>
      <c r="Y2640" s="281">
        <f>_xll.qlCalendarAdvance(Calendar,X2640,NDays&amp;"D")</f>
        <v>57622</v>
      </c>
      <c r="Z2640" s="282" t="e">
        <v>#N/A</v>
      </c>
      <c r="AA2640" s="284" t="e">
        <v>#N/A</v>
      </c>
    </row>
    <row r="2641" spans="23:27" x14ac:dyDescent="0.2">
      <c r="W2641" s="203" t="str">
        <f t="shared" si="50"/>
        <v>1w</v>
      </c>
      <c r="X2641" s="287">
        <f>_xll.qlCalendarAdvance(Calendar,X2640,W2641,"f",FALSE)</f>
        <v>57627</v>
      </c>
      <c r="Y2641" s="281">
        <f>_xll.qlCalendarAdvance(Calendar,X2641,NDays&amp;"D")</f>
        <v>57629</v>
      </c>
      <c r="Z2641" s="282" t="e">
        <v>#N/A</v>
      </c>
      <c r="AA2641" s="284" t="e">
        <v>#N/A</v>
      </c>
    </row>
    <row r="2642" spans="23:27" x14ac:dyDescent="0.2">
      <c r="W2642" s="203" t="str">
        <f t="shared" si="50"/>
        <v>1w</v>
      </c>
      <c r="X2642" s="287">
        <f>_xll.qlCalendarAdvance(Calendar,X2641,W2642,"f",FALSE)</f>
        <v>57634</v>
      </c>
      <c r="Y2642" s="281">
        <f>_xll.qlCalendarAdvance(Calendar,X2642,NDays&amp;"D")</f>
        <v>57636</v>
      </c>
      <c r="Z2642" s="282" t="e">
        <v>#N/A</v>
      </c>
      <c r="AA2642" s="284" t="e">
        <v>#N/A</v>
      </c>
    </row>
    <row r="2643" spans="23:27" x14ac:dyDescent="0.2">
      <c r="W2643" s="203" t="str">
        <f t="shared" si="50"/>
        <v>1w</v>
      </c>
      <c r="X2643" s="287">
        <f>_xll.qlCalendarAdvance(Calendar,X2642,W2643,"f",FALSE)</f>
        <v>57641</v>
      </c>
      <c r="Y2643" s="281">
        <f>_xll.qlCalendarAdvance(Calendar,X2643,NDays&amp;"D")</f>
        <v>57643</v>
      </c>
      <c r="Z2643" s="282" t="e">
        <v>#N/A</v>
      </c>
      <c r="AA2643" s="284" t="e">
        <v>#N/A</v>
      </c>
    </row>
    <row r="2644" spans="23:27" x14ac:dyDescent="0.2">
      <c r="W2644" s="203" t="str">
        <f t="shared" si="50"/>
        <v>1w</v>
      </c>
      <c r="X2644" s="287">
        <f>_xll.qlCalendarAdvance(Calendar,X2643,W2644,"f",FALSE)</f>
        <v>57648</v>
      </c>
      <c r="Y2644" s="281">
        <f>_xll.qlCalendarAdvance(Calendar,X2644,NDays&amp;"D")</f>
        <v>57650</v>
      </c>
      <c r="Z2644" s="282" t="e">
        <v>#N/A</v>
      </c>
      <c r="AA2644" s="284" t="e">
        <v>#N/A</v>
      </c>
    </row>
    <row r="2645" spans="23:27" x14ac:dyDescent="0.2">
      <c r="W2645" s="203" t="str">
        <f t="shared" ref="W2645:W2708" si="51">W2644</f>
        <v>1w</v>
      </c>
      <c r="X2645" s="287">
        <f>_xll.qlCalendarAdvance(Calendar,X2644,W2645,"f",FALSE)</f>
        <v>57655</v>
      </c>
      <c r="Y2645" s="281">
        <f>_xll.qlCalendarAdvance(Calendar,X2645,NDays&amp;"D")</f>
        <v>57657</v>
      </c>
      <c r="Z2645" s="282" t="e">
        <v>#N/A</v>
      </c>
      <c r="AA2645" s="284" t="e">
        <v>#N/A</v>
      </c>
    </row>
    <row r="2646" spans="23:27" x14ac:dyDescent="0.2">
      <c r="W2646" s="203" t="str">
        <f t="shared" si="51"/>
        <v>1w</v>
      </c>
      <c r="X2646" s="287">
        <f>_xll.qlCalendarAdvance(Calendar,X2645,W2646,"f",FALSE)</f>
        <v>57662</v>
      </c>
      <c r="Y2646" s="281">
        <f>_xll.qlCalendarAdvance(Calendar,X2646,NDays&amp;"D")</f>
        <v>57664</v>
      </c>
      <c r="Z2646" s="282" t="e">
        <v>#N/A</v>
      </c>
      <c r="AA2646" s="284" t="e">
        <v>#N/A</v>
      </c>
    </row>
    <row r="2647" spans="23:27" x14ac:dyDescent="0.2">
      <c r="W2647" s="203" t="str">
        <f t="shared" si="51"/>
        <v>1w</v>
      </c>
      <c r="X2647" s="287">
        <f>_xll.qlCalendarAdvance(Calendar,X2646,W2647,"f",FALSE)</f>
        <v>57669</v>
      </c>
      <c r="Y2647" s="281">
        <f>_xll.qlCalendarAdvance(Calendar,X2647,NDays&amp;"D")</f>
        <v>57671</v>
      </c>
      <c r="Z2647" s="282" t="e">
        <v>#N/A</v>
      </c>
      <c r="AA2647" s="284" t="e">
        <v>#N/A</v>
      </c>
    </row>
    <row r="2648" spans="23:27" x14ac:dyDescent="0.2">
      <c r="W2648" s="203" t="str">
        <f t="shared" si="51"/>
        <v>1w</v>
      </c>
      <c r="X2648" s="287">
        <f>_xll.qlCalendarAdvance(Calendar,X2647,W2648,"f",FALSE)</f>
        <v>57676</v>
      </c>
      <c r="Y2648" s="281">
        <f>_xll.qlCalendarAdvance(Calendar,X2648,NDays&amp;"D")</f>
        <v>57678</v>
      </c>
      <c r="Z2648" s="282" t="e">
        <v>#N/A</v>
      </c>
      <c r="AA2648" s="284" t="e">
        <v>#N/A</v>
      </c>
    </row>
    <row r="2649" spans="23:27" x14ac:dyDescent="0.2">
      <c r="W2649" s="203" t="str">
        <f t="shared" si="51"/>
        <v>1w</v>
      </c>
      <c r="X2649" s="287">
        <f>_xll.qlCalendarAdvance(Calendar,X2648,W2649,"f",FALSE)</f>
        <v>57683</v>
      </c>
      <c r="Y2649" s="281">
        <f>_xll.qlCalendarAdvance(Calendar,X2649,NDays&amp;"D")</f>
        <v>57685</v>
      </c>
      <c r="Z2649" s="282" t="e">
        <v>#N/A</v>
      </c>
      <c r="AA2649" s="284" t="e">
        <v>#N/A</v>
      </c>
    </row>
    <row r="2650" spans="23:27" x14ac:dyDescent="0.2">
      <c r="W2650" s="203" t="str">
        <f t="shared" si="51"/>
        <v>1w</v>
      </c>
      <c r="X2650" s="287">
        <f>_xll.qlCalendarAdvance(Calendar,X2649,W2650,"f",FALSE)</f>
        <v>57690</v>
      </c>
      <c r="Y2650" s="281">
        <f>_xll.qlCalendarAdvance(Calendar,X2650,NDays&amp;"D")</f>
        <v>57692</v>
      </c>
      <c r="Z2650" s="282" t="e">
        <v>#N/A</v>
      </c>
      <c r="AA2650" s="284" t="e">
        <v>#N/A</v>
      </c>
    </row>
    <row r="2651" spans="23:27" x14ac:dyDescent="0.2">
      <c r="W2651" s="203" t="str">
        <f t="shared" si="51"/>
        <v>1w</v>
      </c>
      <c r="X2651" s="287">
        <f>_xll.qlCalendarAdvance(Calendar,X2650,W2651,"f",FALSE)</f>
        <v>57697</v>
      </c>
      <c r="Y2651" s="281">
        <f>_xll.qlCalendarAdvance(Calendar,X2651,NDays&amp;"D")</f>
        <v>57699</v>
      </c>
      <c r="Z2651" s="282" t="e">
        <v>#N/A</v>
      </c>
      <c r="AA2651" s="284" t="e">
        <v>#N/A</v>
      </c>
    </row>
    <row r="2652" spans="23:27" x14ac:dyDescent="0.2">
      <c r="W2652" s="203" t="str">
        <f t="shared" si="51"/>
        <v>1w</v>
      </c>
      <c r="X2652" s="287">
        <f>_xll.qlCalendarAdvance(Calendar,X2651,W2652,"f",FALSE)</f>
        <v>57706</v>
      </c>
      <c r="Y2652" s="281">
        <f>_xll.qlCalendarAdvance(Calendar,X2652,NDays&amp;"D")</f>
        <v>57714</v>
      </c>
      <c r="Z2652" s="282" t="e">
        <v>#N/A</v>
      </c>
      <c r="AA2652" s="284" t="e">
        <v>#N/A</v>
      </c>
    </row>
    <row r="2653" spans="23:27" x14ac:dyDescent="0.2">
      <c r="W2653" s="203" t="str">
        <f t="shared" si="51"/>
        <v>1w</v>
      </c>
      <c r="X2653" s="287">
        <f>_xll.qlCalendarAdvance(Calendar,X2652,W2653,"f",FALSE)</f>
        <v>57714</v>
      </c>
      <c r="Y2653" s="281">
        <f>_xll.qlCalendarAdvance(Calendar,X2653,NDays&amp;"D")</f>
        <v>57718</v>
      </c>
      <c r="Z2653" s="282" t="e">
        <v>#N/A</v>
      </c>
      <c r="AA2653" s="284" t="e">
        <v>#N/A</v>
      </c>
    </row>
    <row r="2654" spans="23:27" x14ac:dyDescent="0.2">
      <c r="W2654" s="203" t="str">
        <f t="shared" si="51"/>
        <v>1w</v>
      </c>
      <c r="X2654" s="287">
        <f>_xll.qlCalendarAdvance(Calendar,X2653,W2654,"f",FALSE)</f>
        <v>57721</v>
      </c>
      <c r="Y2654" s="281">
        <f>_xll.qlCalendarAdvance(Calendar,X2654,NDays&amp;"D")</f>
        <v>57726</v>
      </c>
      <c r="Z2654" s="282" t="e">
        <v>#N/A</v>
      </c>
      <c r="AA2654" s="284" t="e">
        <v>#N/A</v>
      </c>
    </row>
    <row r="2655" spans="23:27" x14ac:dyDescent="0.2">
      <c r="W2655" s="203" t="str">
        <f t="shared" si="51"/>
        <v>1w</v>
      </c>
      <c r="X2655" s="287">
        <f>_xll.qlCalendarAdvance(Calendar,X2654,W2655,"f",FALSE)</f>
        <v>57728</v>
      </c>
      <c r="Y2655" s="281">
        <f>_xll.qlCalendarAdvance(Calendar,X2655,NDays&amp;"D")</f>
        <v>57732</v>
      </c>
      <c r="Z2655" s="282" t="e">
        <v>#N/A</v>
      </c>
      <c r="AA2655" s="284" t="e">
        <v>#N/A</v>
      </c>
    </row>
    <row r="2656" spans="23:27" x14ac:dyDescent="0.2">
      <c r="W2656" s="203" t="str">
        <f t="shared" si="51"/>
        <v>1w</v>
      </c>
      <c r="X2656" s="287">
        <f>_xll.qlCalendarAdvance(Calendar,X2655,W2656,"f",FALSE)</f>
        <v>57735</v>
      </c>
      <c r="Y2656" s="281">
        <f>_xll.qlCalendarAdvance(Calendar,X2656,NDays&amp;"D")</f>
        <v>57739</v>
      </c>
      <c r="Z2656" s="282" t="e">
        <v>#N/A</v>
      </c>
      <c r="AA2656" s="284" t="e">
        <v>#N/A</v>
      </c>
    </row>
    <row r="2657" spans="23:27" x14ac:dyDescent="0.2">
      <c r="W2657" s="203" t="str">
        <f t="shared" si="51"/>
        <v>1w</v>
      </c>
      <c r="X2657" s="287">
        <f>_xll.qlCalendarAdvance(Calendar,X2656,W2657,"f",FALSE)</f>
        <v>57742</v>
      </c>
      <c r="Y2657" s="281">
        <f>_xll.qlCalendarAdvance(Calendar,X2657,NDays&amp;"D")</f>
        <v>57746</v>
      </c>
      <c r="Z2657" s="282" t="e">
        <v>#N/A</v>
      </c>
      <c r="AA2657" s="284" t="e">
        <v>#N/A</v>
      </c>
    </row>
    <row r="2658" spans="23:27" x14ac:dyDescent="0.2">
      <c r="W2658" s="203" t="str">
        <f t="shared" si="51"/>
        <v>1w</v>
      </c>
      <c r="X2658" s="287">
        <f>_xll.qlCalendarAdvance(Calendar,X2657,W2658,"f",FALSE)</f>
        <v>57749</v>
      </c>
      <c r="Y2658" s="281">
        <f>_xll.qlCalendarAdvance(Calendar,X2658,NDays&amp;"D")</f>
        <v>57754</v>
      </c>
      <c r="Z2658" s="282" t="e">
        <v>#N/A</v>
      </c>
      <c r="AA2658" s="284" t="e">
        <v>#N/A</v>
      </c>
    </row>
    <row r="2659" spans="23:27" x14ac:dyDescent="0.2">
      <c r="W2659" s="203" t="str">
        <f t="shared" si="51"/>
        <v>1w</v>
      </c>
      <c r="X2659" s="287">
        <f>_xll.qlCalendarAdvance(Calendar,X2658,W2659,"f",FALSE)</f>
        <v>57756</v>
      </c>
      <c r="Y2659" s="281">
        <f>_xll.qlCalendarAdvance(Calendar,X2659,NDays&amp;"D")</f>
        <v>57760</v>
      </c>
      <c r="Z2659" s="282" t="e">
        <v>#N/A</v>
      </c>
      <c r="AA2659" s="284" t="e">
        <v>#N/A</v>
      </c>
    </row>
    <row r="2660" spans="23:27" x14ac:dyDescent="0.2">
      <c r="W2660" s="203" t="str">
        <f t="shared" si="51"/>
        <v>1w</v>
      </c>
      <c r="X2660" s="287">
        <f>_xll.qlCalendarAdvance(Calendar,X2659,W2660,"f",FALSE)</f>
        <v>57763</v>
      </c>
      <c r="Y2660" s="281">
        <f>_xll.qlCalendarAdvance(Calendar,X2660,NDays&amp;"D")</f>
        <v>57767</v>
      </c>
      <c r="Z2660" s="282" t="e">
        <v>#N/A</v>
      </c>
      <c r="AA2660" s="284" t="e">
        <v>#N/A</v>
      </c>
    </row>
    <row r="2661" spans="23:27" x14ac:dyDescent="0.2">
      <c r="W2661" s="203" t="str">
        <f t="shared" si="51"/>
        <v>1w</v>
      </c>
      <c r="X2661" s="287">
        <f>_xll.qlCalendarAdvance(Calendar,X2660,W2661,"f",FALSE)</f>
        <v>57770</v>
      </c>
      <c r="Y2661" s="281">
        <f>_xll.qlCalendarAdvance(Calendar,X2661,NDays&amp;"D")</f>
        <v>57774</v>
      </c>
      <c r="Z2661" s="282" t="e">
        <v>#N/A</v>
      </c>
      <c r="AA2661" s="284" t="e">
        <v>#N/A</v>
      </c>
    </row>
    <row r="2662" spans="23:27" x14ac:dyDescent="0.2">
      <c r="W2662" s="203" t="str">
        <f t="shared" si="51"/>
        <v>1w</v>
      </c>
      <c r="X2662" s="287">
        <f>_xll.qlCalendarAdvance(Calendar,X2661,W2662,"f",FALSE)</f>
        <v>57777</v>
      </c>
      <c r="Y2662" s="281">
        <f>_xll.qlCalendarAdvance(Calendar,X2662,NDays&amp;"D")</f>
        <v>57781</v>
      </c>
      <c r="Z2662" s="282" t="e">
        <v>#N/A</v>
      </c>
      <c r="AA2662" s="284" t="e">
        <v>#N/A</v>
      </c>
    </row>
    <row r="2663" spans="23:27" x14ac:dyDescent="0.2">
      <c r="W2663" s="203" t="str">
        <f t="shared" si="51"/>
        <v>1w</v>
      </c>
      <c r="X2663" s="287">
        <f>_xll.qlCalendarAdvance(Calendar,X2662,W2663,"f",FALSE)</f>
        <v>57784</v>
      </c>
      <c r="Y2663" s="281">
        <f>_xll.qlCalendarAdvance(Calendar,X2663,NDays&amp;"D")</f>
        <v>57788</v>
      </c>
      <c r="Z2663" s="282" t="e">
        <v>#N/A</v>
      </c>
      <c r="AA2663" s="284" t="e">
        <v>#N/A</v>
      </c>
    </row>
    <row r="2664" spans="23:27" x14ac:dyDescent="0.2">
      <c r="W2664" s="203" t="str">
        <f t="shared" si="51"/>
        <v>1w</v>
      </c>
      <c r="X2664" s="287">
        <f>_xll.qlCalendarAdvance(Calendar,X2663,W2664,"f",FALSE)</f>
        <v>57791</v>
      </c>
      <c r="Y2664" s="281">
        <f>_xll.qlCalendarAdvance(Calendar,X2664,NDays&amp;"D")</f>
        <v>57795</v>
      </c>
      <c r="Z2664" s="282" t="e">
        <v>#N/A</v>
      </c>
      <c r="AA2664" s="284" t="e">
        <v>#N/A</v>
      </c>
    </row>
    <row r="2665" spans="23:27" x14ac:dyDescent="0.2">
      <c r="W2665" s="203" t="str">
        <f t="shared" si="51"/>
        <v>1w</v>
      </c>
      <c r="X2665" s="287">
        <f>_xll.qlCalendarAdvance(Calendar,X2664,W2665,"f",FALSE)</f>
        <v>57798</v>
      </c>
      <c r="Y2665" s="281">
        <f>_xll.qlCalendarAdvance(Calendar,X2665,NDays&amp;"D")</f>
        <v>57802</v>
      </c>
      <c r="Z2665" s="282" t="e">
        <v>#N/A</v>
      </c>
      <c r="AA2665" s="284" t="e">
        <v>#N/A</v>
      </c>
    </row>
    <row r="2666" spans="23:27" x14ac:dyDescent="0.2">
      <c r="W2666" s="203" t="str">
        <f t="shared" si="51"/>
        <v>1w</v>
      </c>
      <c r="X2666" s="287">
        <f>_xll.qlCalendarAdvance(Calendar,X2665,W2666,"f",FALSE)</f>
        <v>57805</v>
      </c>
      <c r="Y2666" s="281">
        <f>_xll.qlCalendarAdvance(Calendar,X2666,NDays&amp;"D")</f>
        <v>57809</v>
      </c>
      <c r="Z2666" s="282" t="e">
        <v>#N/A</v>
      </c>
      <c r="AA2666" s="284" t="e">
        <v>#N/A</v>
      </c>
    </row>
    <row r="2667" spans="23:27" x14ac:dyDescent="0.2">
      <c r="W2667" s="203" t="str">
        <f t="shared" si="51"/>
        <v>1w</v>
      </c>
      <c r="X2667" s="287">
        <f>_xll.qlCalendarAdvance(Calendar,X2666,W2667,"f",FALSE)</f>
        <v>57816</v>
      </c>
      <c r="Y2667" s="281">
        <f>_xll.qlCalendarAdvance(Calendar,X2667,NDays&amp;"D")</f>
        <v>57818</v>
      </c>
      <c r="Z2667" s="282" t="e">
        <v>#N/A</v>
      </c>
      <c r="AA2667" s="284" t="e">
        <v>#N/A</v>
      </c>
    </row>
    <row r="2668" spans="23:27" x14ac:dyDescent="0.2">
      <c r="W2668" s="203" t="str">
        <f t="shared" si="51"/>
        <v>1w</v>
      </c>
      <c r="X2668" s="287">
        <f>_xll.qlCalendarAdvance(Calendar,X2667,W2668,"f",FALSE)</f>
        <v>57823</v>
      </c>
      <c r="Y2668" s="281">
        <f>_xll.qlCalendarAdvance(Calendar,X2668,NDays&amp;"D")</f>
        <v>57825</v>
      </c>
      <c r="Z2668" s="282" t="e">
        <v>#N/A</v>
      </c>
      <c r="AA2668" s="284" t="e">
        <v>#N/A</v>
      </c>
    </row>
    <row r="2669" spans="23:27" x14ac:dyDescent="0.2">
      <c r="W2669" s="203" t="str">
        <f t="shared" si="51"/>
        <v>1w</v>
      </c>
      <c r="X2669" s="287">
        <f>_xll.qlCalendarAdvance(Calendar,X2668,W2669,"f",FALSE)</f>
        <v>57830</v>
      </c>
      <c r="Y2669" s="281">
        <f>_xll.qlCalendarAdvance(Calendar,X2669,NDays&amp;"D")</f>
        <v>57832</v>
      </c>
      <c r="Z2669" s="282" t="e">
        <v>#N/A</v>
      </c>
      <c r="AA2669" s="284" t="e">
        <v>#N/A</v>
      </c>
    </row>
    <row r="2670" spans="23:27" x14ac:dyDescent="0.2">
      <c r="W2670" s="203" t="str">
        <f t="shared" si="51"/>
        <v>1w</v>
      </c>
      <c r="X2670" s="287">
        <f>_xll.qlCalendarAdvance(Calendar,X2669,W2670,"f",FALSE)</f>
        <v>57837</v>
      </c>
      <c r="Y2670" s="281">
        <f>_xll.qlCalendarAdvance(Calendar,X2670,NDays&amp;"D")</f>
        <v>57839</v>
      </c>
      <c r="Z2670" s="282" t="e">
        <v>#N/A</v>
      </c>
      <c r="AA2670" s="284" t="e">
        <v>#N/A</v>
      </c>
    </row>
    <row r="2671" spans="23:27" x14ac:dyDescent="0.2">
      <c r="W2671" s="203" t="str">
        <f t="shared" si="51"/>
        <v>1w</v>
      </c>
      <c r="X2671" s="287">
        <f>_xll.qlCalendarAdvance(Calendar,X2670,W2671,"f",FALSE)</f>
        <v>57844</v>
      </c>
      <c r="Y2671" s="281">
        <f>_xll.qlCalendarAdvance(Calendar,X2671,NDays&amp;"D")</f>
        <v>57846</v>
      </c>
      <c r="Z2671" s="282" t="e">
        <v>#N/A</v>
      </c>
      <c r="AA2671" s="284" t="e">
        <v>#N/A</v>
      </c>
    </row>
    <row r="2672" spans="23:27" x14ac:dyDescent="0.2">
      <c r="W2672" s="203" t="str">
        <f t="shared" si="51"/>
        <v>1w</v>
      </c>
      <c r="X2672" s="287">
        <f>_xll.qlCalendarAdvance(Calendar,X2671,W2672,"f",FALSE)</f>
        <v>57851</v>
      </c>
      <c r="Y2672" s="281">
        <f>_xll.qlCalendarAdvance(Calendar,X2672,NDays&amp;"D")</f>
        <v>57853</v>
      </c>
      <c r="Z2672" s="282" t="e">
        <v>#N/A</v>
      </c>
      <c r="AA2672" s="284" t="e">
        <v>#N/A</v>
      </c>
    </row>
    <row r="2673" spans="23:27" x14ac:dyDescent="0.2">
      <c r="W2673" s="203" t="str">
        <f t="shared" si="51"/>
        <v>1w</v>
      </c>
      <c r="X2673" s="287">
        <f>_xll.qlCalendarAdvance(Calendar,X2672,W2673,"f",FALSE)</f>
        <v>57858</v>
      </c>
      <c r="Y2673" s="281">
        <f>_xll.qlCalendarAdvance(Calendar,X2673,NDays&amp;"D")</f>
        <v>57860</v>
      </c>
      <c r="Z2673" s="282" t="e">
        <v>#N/A</v>
      </c>
      <c r="AA2673" s="284" t="e">
        <v>#N/A</v>
      </c>
    </row>
    <row r="2674" spans="23:27" x14ac:dyDescent="0.2">
      <c r="W2674" s="203" t="str">
        <f t="shared" si="51"/>
        <v>1w</v>
      </c>
      <c r="X2674" s="287">
        <f>_xll.qlCalendarAdvance(Calendar,X2673,W2674,"f",FALSE)</f>
        <v>57865</v>
      </c>
      <c r="Y2674" s="281">
        <f>_xll.qlCalendarAdvance(Calendar,X2674,NDays&amp;"D")</f>
        <v>57867</v>
      </c>
      <c r="Z2674" s="282" t="e">
        <v>#N/A</v>
      </c>
      <c r="AA2674" s="284" t="e">
        <v>#N/A</v>
      </c>
    </row>
    <row r="2675" spans="23:27" x14ac:dyDescent="0.2">
      <c r="W2675" s="203" t="str">
        <f t="shared" si="51"/>
        <v>1w</v>
      </c>
      <c r="X2675" s="287">
        <f>_xll.qlCalendarAdvance(Calendar,X2674,W2675,"f",FALSE)</f>
        <v>57872</v>
      </c>
      <c r="Y2675" s="281">
        <f>_xll.qlCalendarAdvance(Calendar,X2675,NDays&amp;"D")</f>
        <v>57874</v>
      </c>
      <c r="Z2675" s="282" t="e">
        <v>#N/A</v>
      </c>
      <c r="AA2675" s="284" t="e">
        <v>#N/A</v>
      </c>
    </row>
    <row r="2676" spans="23:27" x14ac:dyDescent="0.2">
      <c r="W2676" s="203" t="str">
        <f t="shared" si="51"/>
        <v>1w</v>
      </c>
      <c r="X2676" s="287">
        <f>_xll.qlCalendarAdvance(Calendar,X2675,W2676,"f",FALSE)</f>
        <v>57879</v>
      </c>
      <c r="Y2676" s="281">
        <f>_xll.qlCalendarAdvance(Calendar,X2676,NDays&amp;"D")</f>
        <v>57881</v>
      </c>
      <c r="Z2676" s="282" t="e">
        <v>#N/A</v>
      </c>
      <c r="AA2676" s="284" t="e">
        <v>#N/A</v>
      </c>
    </row>
    <row r="2677" spans="23:27" x14ac:dyDescent="0.2">
      <c r="W2677" s="203" t="str">
        <f t="shared" si="51"/>
        <v>1w</v>
      </c>
      <c r="X2677" s="287">
        <f>_xll.qlCalendarAdvance(Calendar,X2676,W2677,"f",FALSE)</f>
        <v>57886</v>
      </c>
      <c r="Y2677" s="281">
        <f>_xll.qlCalendarAdvance(Calendar,X2677,NDays&amp;"D")</f>
        <v>57888</v>
      </c>
      <c r="Z2677" s="282" t="e">
        <v>#N/A</v>
      </c>
      <c r="AA2677" s="284" t="e">
        <v>#N/A</v>
      </c>
    </row>
    <row r="2678" spans="23:27" x14ac:dyDescent="0.2">
      <c r="W2678" s="203" t="str">
        <f t="shared" si="51"/>
        <v>1w</v>
      </c>
      <c r="X2678" s="287">
        <f>_xll.qlCalendarAdvance(Calendar,X2677,W2678,"f",FALSE)</f>
        <v>57893</v>
      </c>
      <c r="Y2678" s="281">
        <f>_xll.qlCalendarAdvance(Calendar,X2678,NDays&amp;"D")</f>
        <v>57895</v>
      </c>
      <c r="Z2678" s="282" t="e">
        <v>#N/A</v>
      </c>
      <c r="AA2678" s="284" t="e">
        <v>#N/A</v>
      </c>
    </row>
    <row r="2679" spans="23:27" x14ac:dyDescent="0.2">
      <c r="W2679" s="203" t="str">
        <f t="shared" si="51"/>
        <v>1w</v>
      </c>
      <c r="X2679" s="287">
        <f>_xll.qlCalendarAdvance(Calendar,X2678,W2679,"f",FALSE)</f>
        <v>57900</v>
      </c>
      <c r="Y2679" s="281">
        <f>_xll.qlCalendarAdvance(Calendar,X2679,NDays&amp;"D")</f>
        <v>57902</v>
      </c>
      <c r="Z2679" s="282" t="e">
        <v>#N/A</v>
      </c>
      <c r="AA2679" s="284" t="e">
        <v>#N/A</v>
      </c>
    </row>
    <row r="2680" spans="23:27" x14ac:dyDescent="0.2">
      <c r="W2680" s="203" t="str">
        <f t="shared" si="51"/>
        <v>1w</v>
      </c>
      <c r="X2680" s="287">
        <f>_xll.qlCalendarAdvance(Calendar,X2679,W2680,"f",FALSE)</f>
        <v>57907</v>
      </c>
      <c r="Y2680" s="281">
        <f>_xll.qlCalendarAdvance(Calendar,X2680,NDays&amp;"D")</f>
        <v>57909</v>
      </c>
      <c r="Z2680" s="282" t="e">
        <v>#N/A</v>
      </c>
      <c r="AA2680" s="284" t="e">
        <v>#N/A</v>
      </c>
    </row>
    <row r="2681" spans="23:27" x14ac:dyDescent="0.2">
      <c r="W2681" s="203" t="str">
        <f t="shared" si="51"/>
        <v>1w</v>
      </c>
      <c r="X2681" s="287">
        <f>_xll.qlCalendarAdvance(Calendar,X2680,W2681,"f",FALSE)</f>
        <v>57914</v>
      </c>
      <c r="Y2681" s="281">
        <f>_xll.qlCalendarAdvance(Calendar,X2681,NDays&amp;"D")</f>
        <v>57916</v>
      </c>
      <c r="Z2681" s="282" t="e">
        <v>#N/A</v>
      </c>
      <c r="AA2681" s="284" t="e">
        <v>#N/A</v>
      </c>
    </row>
    <row r="2682" spans="23:27" x14ac:dyDescent="0.2">
      <c r="W2682" s="203" t="str">
        <f t="shared" si="51"/>
        <v>1w</v>
      </c>
      <c r="X2682" s="287">
        <f>_xll.qlCalendarAdvance(Calendar,X2681,W2682,"f",FALSE)</f>
        <v>57921</v>
      </c>
      <c r="Y2682" s="281">
        <f>_xll.qlCalendarAdvance(Calendar,X2682,NDays&amp;"D")</f>
        <v>57923</v>
      </c>
      <c r="Z2682" s="282" t="e">
        <v>#N/A</v>
      </c>
      <c r="AA2682" s="284" t="e">
        <v>#N/A</v>
      </c>
    </row>
    <row r="2683" spans="23:27" x14ac:dyDescent="0.2">
      <c r="W2683" s="203" t="str">
        <f t="shared" si="51"/>
        <v>1w</v>
      </c>
      <c r="X2683" s="287">
        <f>_xll.qlCalendarAdvance(Calendar,X2682,W2683,"f",FALSE)</f>
        <v>57928</v>
      </c>
      <c r="Y2683" s="281">
        <f>_xll.qlCalendarAdvance(Calendar,X2683,NDays&amp;"D")</f>
        <v>57930</v>
      </c>
      <c r="Z2683" s="282" t="e">
        <v>#N/A</v>
      </c>
      <c r="AA2683" s="284" t="e">
        <v>#N/A</v>
      </c>
    </row>
    <row r="2684" spans="23:27" x14ac:dyDescent="0.2">
      <c r="W2684" s="203" t="str">
        <f t="shared" si="51"/>
        <v>1w</v>
      </c>
      <c r="X2684" s="287">
        <f>_xll.qlCalendarAdvance(Calendar,X2683,W2684,"f",FALSE)</f>
        <v>57935</v>
      </c>
      <c r="Y2684" s="281">
        <f>_xll.qlCalendarAdvance(Calendar,X2684,NDays&amp;"D")</f>
        <v>57937</v>
      </c>
      <c r="Z2684" s="282" t="e">
        <v>#N/A</v>
      </c>
      <c r="AA2684" s="284" t="e">
        <v>#N/A</v>
      </c>
    </row>
    <row r="2685" spans="23:27" x14ac:dyDescent="0.2">
      <c r="W2685" s="203" t="str">
        <f t="shared" si="51"/>
        <v>1w</v>
      </c>
      <c r="X2685" s="287">
        <f>_xll.qlCalendarAdvance(Calendar,X2684,W2685,"f",FALSE)</f>
        <v>57942</v>
      </c>
      <c r="Y2685" s="281">
        <f>_xll.qlCalendarAdvance(Calendar,X2685,NDays&amp;"D")</f>
        <v>57944</v>
      </c>
      <c r="Z2685" s="282" t="e">
        <v>#N/A</v>
      </c>
      <c r="AA2685" s="284" t="e">
        <v>#N/A</v>
      </c>
    </row>
    <row r="2686" spans="23:27" x14ac:dyDescent="0.2">
      <c r="W2686" s="203" t="str">
        <f t="shared" si="51"/>
        <v>1w</v>
      </c>
      <c r="X2686" s="287">
        <f>_xll.qlCalendarAdvance(Calendar,X2685,W2686,"f",FALSE)</f>
        <v>57949</v>
      </c>
      <c r="Y2686" s="281">
        <f>_xll.qlCalendarAdvance(Calendar,X2686,NDays&amp;"D")</f>
        <v>57951</v>
      </c>
      <c r="Z2686" s="282" t="e">
        <v>#N/A</v>
      </c>
      <c r="AA2686" s="284" t="e">
        <v>#N/A</v>
      </c>
    </row>
    <row r="2687" spans="23:27" x14ac:dyDescent="0.2">
      <c r="W2687" s="203" t="str">
        <f t="shared" si="51"/>
        <v>1w</v>
      </c>
      <c r="X2687" s="287">
        <f>_xll.qlCalendarAdvance(Calendar,X2686,W2687,"f",FALSE)</f>
        <v>57956</v>
      </c>
      <c r="Y2687" s="281">
        <f>_xll.qlCalendarAdvance(Calendar,X2687,NDays&amp;"D")</f>
        <v>57958</v>
      </c>
      <c r="Z2687" s="282" t="e">
        <v>#N/A</v>
      </c>
      <c r="AA2687" s="284" t="e">
        <v>#N/A</v>
      </c>
    </row>
    <row r="2688" spans="23:27" x14ac:dyDescent="0.2">
      <c r="W2688" s="203" t="str">
        <f t="shared" si="51"/>
        <v>1w</v>
      </c>
      <c r="X2688" s="287">
        <f>_xll.qlCalendarAdvance(Calendar,X2687,W2688,"f",FALSE)</f>
        <v>57963</v>
      </c>
      <c r="Y2688" s="281">
        <f>_xll.qlCalendarAdvance(Calendar,X2688,NDays&amp;"D")</f>
        <v>57965</v>
      </c>
      <c r="Z2688" s="282" t="e">
        <v>#N/A</v>
      </c>
      <c r="AA2688" s="284" t="e">
        <v>#N/A</v>
      </c>
    </row>
    <row r="2689" spans="23:27" x14ac:dyDescent="0.2">
      <c r="W2689" s="203" t="str">
        <f t="shared" si="51"/>
        <v>1w</v>
      </c>
      <c r="X2689" s="287">
        <f>_xll.qlCalendarAdvance(Calendar,X2688,W2689,"f",FALSE)</f>
        <v>57970</v>
      </c>
      <c r="Y2689" s="281">
        <f>_xll.qlCalendarAdvance(Calendar,X2689,NDays&amp;"D")</f>
        <v>57972</v>
      </c>
      <c r="Z2689" s="282" t="e">
        <v>#N/A</v>
      </c>
      <c r="AA2689" s="284" t="e">
        <v>#N/A</v>
      </c>
    </row>
    <row r="2690" spans="23:27" x14ac:dyDescent="0.2">
      <c r="W2690" s="203" t="str">
        <f t="shared" si="51"/>
        <v>1w</v>
      </c>
      <c r="X2690" s="287">
        <f>_xll.qlCalendarAdvance(Calendar,X2689,W2690,"f",FALSE)</f>
        <v>57977</v>
      </c>
      <c r="Y2690" s="281">
        <f>_xll.qlCalendarAdvance(Calendar,X2690,NDays&amp;"D")</f>
        <v>57979</v>
      </c>
      <c r="Z2690" s="282" t="e">
        <v>#N/A</v>
      </c>
      <c r="AA2690" s="284" t="e">
        <v>#N/A</v>
      </c>
    </row>
    <row r="2691" spans="23:27" x14ac:dyDescent="0.2">
      <c r="W2691" s="203" t="str">
        <f t="shared" si="51"/>
        <v>1w</v>
      </c>
      <c r="X2691" s="287">
        <f>_xll.qlCalendarAdvance(Calendar,X2690,W2691,"f",FALSE)</f>
        <v>57984</v>
      </c>
      <c r="Y2691" s="281">
        <f>_xll.qlCalendarAdvance(Calendar,X2691,NDays&amp;"D")</f>
        <v>57986</v>
      </c>
      <c r="Z2691" s="282" t="e">
        <v>#N/A</v>
      </c>
      <c r="AA2691" s="284" t="e">
        <v>#N/A</v>
      </c>
    </row>
    <row r="2692" spans="23:27" x14ac:dyDescent="0.2">
      <c r="W2692" s="203" t="str">
        <f t="shared" si="51"/>
        <v>1w</v>
      </c>
      <c r="X2692" s="287">
        <f>_xll.qlCalendarAdvance(Calendar,X2691,W2692,"f",FALSE)</f>
        <v>57991</v>
      </c>
      <c r="Y2692" s="281">
        <f>_xll.qlCalendarAdvance(Calendar,X2692,NDays&amp;"D")</f>
        <v>57993</v>
      </c>
      <c r="Z2692" s="282" t="e">
        <v>#N/A</v>
      </c>
      <c r="AA2692" s="284" t="e">
        <v>#N/A</v>
      </c>
    </row>
    <row r="2693" spans="23:27" x14ac:dyDescent="0.2">
      <c r="W2693" s="203" t="str">
        <f t="shared" si="51"/>
        <v>1w</v>
      </c>
      <c r="X2693" s="287">
        <f>_xll.qlCalendarAdvance(Calendar,X2692,W2693,"f",FALSE)</f>
        <v>57998</v>
      </c>
      <c r="Y2693" s="281">
        <f>_xll.qlCalendarAdvance(Calendar,X2693,NDays&amp;"D")</f>
        <v>58000</v>
      </c>
      <c r="Z2693" s="282" t="e">
        <v>#N/A</v>
      </c>
      <c r="AA2693" s="284" t="e">
        <v>#N/A</v>
      </c>
    </row>
    <row r="2694" spans="23:27" x14ac:dyDescent="0.2">
      <c r="W2694" s="203" t="str">
        <f t="shared" si="51"/>
        <v>1w</v>
      </c>
      <c r="X2694" s="287">
        <f>_xll.qlCalendarAdvance(Calendar,X2693,W2694,"f",FALSE)</f>
        <v>58005</v>
      </c>
      <c r="Y2694" s="281">
        <f>_xll.qlCalendarAdvance(Calendar,X2694,NDays&amp;"D")</f>
        <v>58007</v>
      </c>
      <c r="Z2694" s="282" t="e">
        <v>#N/A</v>
      </c>
      <c r="AA2694" s="284" t="e">
        <v>#N/A</v>
      </c>
    </row>
    <row r="2695" spans="23:27" x14ac:dyDescent="0.2">
      <c r="W2695" s="203" t="str">
        <f t="shared" si="51"/>
        <v>1w</v>
      </c>
      <c r="X2695" s="287">
        <f>_xll.qlCalendarAdvance(Calendar,X2694,W2695,"f",FALSE)</f>
        <v>58012</v>
      </c>
      <c r="Y2695" s="281">
        <f>_xll.qlCalendarAdvance(Calendar,X2695,NDays&amp;"D")</f>
        <v>58014</v>
      </c>
      <c r="Z2695" s="282" t="e">
        <v>#N/A</v>
      </c>
      <c r="AA2695" s="284" t="e">
        <v>#N/A</v>
      </c>
    </row>
    <row r="2696" spans="23:27" x14ac:dyDescent="0.2">
      <c r="W2696" s="203" t="str">
        <f t="shared" si="51"/>
        <v>1w</v>
      </c>
      <c r="X2696" s="287">
        <f>_xll.qlCalendarAdvance(Calendar,X2695,W2696,"f",FALSE)</f>
        <v>58019</v>
      </c>
      <c r="Y2696" s="281">
        <f>_xll.qlCalendarAdvance(Calendar,X2696,NDays&amp;"D")</f>
        <v>58021</v>
      </c>
      <c r="Z2696" s="282" t="e">
        <v>#N/A</v>
      </c>
      <c r="AA2696" s="284" t="e">
        <v>#N/A</v>
      </c>
    </row>
    <row r="2697" spans="23:27" x14ac:dyDescent="0.2">
      <c r="W2697" s="203" t="str">
        <f t="shared" si="51"/>
        <v>1w</v>
      </c>
      <c r="X2697" s="287">
        <f>_xll.qlCalendarAdvance(Calendar,X2696,W2697,"f",FALSE)</f>
        <v>58026</v>
      </c>
      <c r="Y2697" s="281">
        <f>_xll.qlCalendarAdvance(Calendar,X2697,NDays&amp;"D")</f>
        <v>58028</v>
      </c>
      <c r="Z2697" s="282" t="e">
        <v>#N/A</v>
      </c>
      <c r="AA2697" s="284" t="e">
        <v>#N/A</v>
      </c>
    </row>
    <row r="2698" spans="23:27" x14ac:dyDescent="0.2">
      <c r="W2698" s="203" t="str">
        <f t="shared" si="51"/>
        <v>1w</v>
      </c>
      <c r="X2698" s="287">
        <f>_xll.qlCalendarAdvance(Calendar,X2697,W2698,"f",FALSE)</f>
        <v>58033</v>
      </c>
      <c r="Y2698" s="281">
        <f>_xll.qlCalendarAdvance(Calendar,X2698,NDays&amp;"D")</f>
        <v>58035</v>
      </c>
      <c r="Z2698" s="282" t="e">
        <v>#N/A</v>
      </c>
      <c r="AA2698" s="284" t="e">
        <v>#N/A</v>
      </c>
    </row>
    <row r="2699" spans="23:27" x14ac:dyDescent="0.2">
      <c r="W2699" s="203" t="str">
        <f t="shared" si="51"/>
        <v>1w</v>
      </c>
      <c r="X2699" s="287">
        <f>_xll.qlCalendarAdvance(Calendar,X2698,W2699,"f",FALSE)</f>
        <v>58040</v>
      </c>
      <c r="Y2699" s="281">
        <f>_xll.qlCalendarAdvance(Calendar,X2699,NDays&amp;"D")</f>
        <v>58042</v>
      </c>
      <c r="Z2699" s="282" t="e">
        <v>#N/A</v>
      </c>
      <c r="AA2699" s="284" t="e">
        <v>#N/A</v>
      </c>
    </row>
    <row r="2700" spans="23:27" x14ac:dyDescent="0.2">
      <c r="W2700" s="203" t="str">
        <f t="shared" si="51"/>
        <v>1w</v>
      </c>
      <c r="X2700" s="287">
        <f>_xll.qlCalendarAdvance(Calendar,X2699,W2700,"f",FALSE)</f>
        <v>58047</v>
      </c>
      <c r="Y2700" s="281">
        <f>_xll.qlCalendarAdvance(Calendar,X2700,NDays&amp;"D")</f>
        <v>58049</v>
      </c>
      <c r="Z2700" s="282" t="e">
        <v>#N/A</v>
      </c>
      <c r="AA2700" s="284" t="e">
        <v>#N/A</v>
      </c>
    </row>
    <row r="2701" spans="23:27" x14ac:dyDescent="0.2">
      <c r="W2701" s="203" t="str">
        <f t="shared" si="51"/>
        <v>1w</v>
      </c>
      <c r="X2701" s="287">
        <f>_xll.qlCalendarAdvance(Calendar,X2700,W2701,"f",FALSE)</f>
        <v>58054</v>
      </c>
      <c r="Y2701" s="281">
        <f>_xll.qlCalendarAdvance(Calendar,X2701,NDays&amp;"D")</f>
        <v>58056</v>
      </c>
      <c r="Z2701" s="282" t="e">
        <v>#N/A</v>
      </c>
      <c r="AA2701" s="284" t="e">
        <v>#N/A</v>
      </c>
    </row>
    <row r="2702" spans="23:27" x14ac:dyDescent="0.2">
      <c r="W2702" s="203" t="str">
        <f t="shared" si="51"/>
        <v>1w</v>
      </c>
      <c r="X2702" s="287">
        <f>_xll.qlCalendarAdvance(Calendar,X2701,W2702,"f",FALSE)</f>
        <v>58061</v>
      </c>
      <c r="Y2702" s="281">
        <f>_xll.qlCalendarAdvance(Calendar,X2702,NDays&amp;"D")</f>
        <v>58063</v>
      </c>
      <c r="Z2702" s="282" t="e">
        <v>#N/A</v>
      </c>
      <c r="AA2702" s="284" t="e">
        <v>#N/A</v>
      </c>
    </row>
    <row r="2703" spans="23:27" x14ac:dyDescent="0.2">
      <c r="W2703" s="203" t="str">
        <f t="shared" si="51"/>
        <v>1w</v>
      </c>
      <c r="X2703" s="287">
        <f>_xll.qlCalendarAdvance(Calendar,X2702,W2703,"f",FALSE)</f>
        <v>58068</v>
      </c>
      <c r="Y2703" s="281">
        <f>_xll.qlCalendarAdvance(Calendar,X2703,NDays&amp;"D")</f>
        <v>58074</v>
      </c>
      <c r="Z2703" s="282" t="e">
        <v>#N/A</v>
      </c>
      <c r="AA2703" s="284" t="e">
        <v>#N/A</v>
      </c>
    </row>
    <row r="2704" spans="23:27" x14ac:dyDescent="0.2">
      <c r="W2704" s="203" t="str">
        <f t="shared" si="51"/>
        <v>1w</v>
      </c>
      <c r="X2704" s="287">
        <f>_xll.qlCalendarAdvance(Calendar,X2703,W2704,"f",FALSE)</f>
        <v>58081</v>
      </c>
      <c r="Y2704" s="281">
        <f>_xll.qlCalendarAdvance(Calendar,X2704,NDays&amp;"D")</f>
        <v>58083</v>
      </c>
      <c r="Z2704" s="282" t="e">
        <v>#N/A</v>
      </c>
      <c r="AA2704" s="284" t="e">
        <v>#N/A</v>
      </c>
    </row>
    <row r="2705" spans="23:27" x14ac:dyDescent="0.2">
      <c r="W2705" s="203" t="str">
        <f t="shared" si="51"/>
        <v>1w</v>
      </c>
      <c r="X2705" s="287">
        <f>_xll.qlCalendarAdvance(Calendar,X2704,W2705,"f",FALSE)</f>
        <v>58089</v>
      </c>
      <c r="Y2705" s="281">
        <f>_xll.qlCalendarAdvance(Calendar,X2705,NDays&amp;"D")</f>
        <v>58091</v>
      </c>
      <c r="Z2705" s="282" t="e">
        <v>#N/A</v>
      </c>
      <c r="AA2705" s="284" t="e">
        <v>#N/A</v>
      </c>
    </row>
    <row r="2706" spans="23:27" x14ac:dyDescent="0.2">
      <c r="W2706" s="203" t="str">
        <f t="shared" si="51"/>
        <v>1w</v>
      </c>
      <c r="X2706" s="287">
        <f>_xll.qlCalendarAdvance(Calendar,X2705,W2706,"f",FALSE)</f>
        <v>58096</v>
      </c>
      <c r="Y2706" s="281">
        <f>_xll.qlCalendarAdvance(Calendar,X2706,NDays&amp;"D")</f>
        <v>58098</v>
      </c>
      <c r="Z2706" s="282" t="e">
        <v>#N/A</v>
      </c>
      <c r="AA2706" s="284" t="e">
        <v>#N/A</v>
      </c>
    </row>
    <row r="2707" spans="23:27" x14ac:dyDescent="0.2">
      <c r="W2707" s="203" t="str">
        <f t="shared" si="51"/>
        <v>1w</v>
      </c>
      <c r="X2707" s="287">
        <f>_xll.qlCalendarAdvance(Calendar,X2706,W2707,"f",FALSE)</f>
        <v>58103</v>
      </c>
      <c r="Y2707" s="281">
        <f>_xll.qlCalendarAdvance(Calendar,X2707,NDays&amp;"D")</f>
        <v>58105</v>
      </c>
      <c r="Z2707" s="282" t="e">
        <v>#N/A</v>
      </c>
      <c r="AA2707" s="284" t="e">
        <v>#N/A</v>
      </c>
    </row>
    <row r="2708" spans="23:27" x14ac:dyDescent="0.2">
      <c r="W2708" s="203" t="str">
        <f t="shared" si="51"/>
        <v>1w</v>
      </c>
      <c r="X2708" s="287">
        <f>_xll.qlCalendarAdvance(Calendar,X2707,W2708,"f",FALSE)</f>
        <v>58110</v>
      </c>
      <c r="Y2708" s="281">
        <f>_xll.qlCalendarAdvance(Calendar,X2708,NDays&amp;"D")</f>
        <v>58112</v>
      </c>
      <c r="Z2708" s="282" t="e">
        <v>#N/A</v>
      </c>
      <c r="AA2708" s="284" t="e">
        <v>#N/A</v>
      </c>
    </row>
    <row r="2709" spans="23:27" x14ac:dyDescent="0.2">
      <c r="W2709" s="203" t="str">
        <f t="shared" ref="W2709:W2772" si="52">W2708</f>
        <v>1w</v>
      </c>
      <c r="X2709" s="287">
        <f>_xll.qlCalendarAdvance(Calendar,X2708,W2709,"f",FALSE)</f>
        <v>58118</v>
      </c>
      <c r="Y2709" s="281">
        <f>_xll.qlCalendarAdvance(Calendar,X2709,NDays&amp;"D")</f>
        <v>58120</v>
      </c>
      <c r="Z2709" s="282" t="e">
        <v>#N/A</v>
      </c>
      <c r="AA2709" s="284" t="e">
        <v>#N/A</v>
      </c>
    </row>
    <row r="2710" spans="23:27" x14ac:dyDescent="0.2">
      <c r="W2710" s="203" t="str">
        <f t="shared" si="52"/>
        <v>1w</v>
      </c>
      <c r="X2710" s="287">
        <f>_xll.qlCalendarAdvance(Calendar,X2709,W2710,"f",FALSE)</f>
        <v>58125</v>
      </c>
      <c r="Y2710" s="281">
        <f>_xll.qlCalendarAdvance(Calendar,X2710,NDays&amp;"D")</f>
        <v>58127</v>
      </c>
      <c r="Z2710" s="282" t="e">
        <v>#N/A</v>
      </c>
      <c r="AA2710" s="284" t="e">
        <v>#N/A</v>
      </c>
    </row>
    <row r="2711" spans="23:27" x14ac:dyDescent="0.2">
      <c r="W2711" s="203" t="str">
        <f t="shared" si="52"/>
        <v>1w</v>
      </c>
      <c r="X2711" s="287">
        <f>_xll.qlCalendarAdvance(Calendar,X2710,W2711,"f",FALSE)</f>
        <v>58132</v>
      </c>
      <c r="Y2711" s="281">
        <f>_xll.qlCalendarAdvance(Calendar,X2711,NDays&amp;"D")</f>
        <v>58134</v>
      </c>
      <c r="Z2711" s="282" t="e">
        <v>#N/A</v>
      </c>
      <c r="AA2711" s="284" t="e">
        <v>#N/A</v>
      </c>
    </row>
    <row r="2712" spans="23:27" x14ac:dyDescent="0.2">
      <c r="W2712" s="203" t="str">
        <f t="shared" si="52"/>
        <v>1w</v>
      </c>
      <c r="X2712" s="287">
        <f>_xll.qlCalendarAdvance(Calendar,X2711,W2712,"f",FALSE)</f>
        <v>58139</v>
      </c>
      <c r="Y2712" s="281">
        <f>_xll.qlCalendarAdvance(Calendar,X2712,NDays&amp;"D")</f>
        <v>58141</v>
      </c>
      <c r="Z2712" s="282" t="e">
        <v>#N/A</v>
      </c>
      <c r="AA2712" s="284" t="e">
        <v>#N/A</v>
      </c>
    </row>
    <row r="2713" spans="23:27" x14ac:dyDescent="0.2">
      <c r="W2713" s="203" t="str">
        <f t="shared" si="52"/>
        <v>1w</v>
      </c>
      <c r="X2713" s="287">
        <f>_xll.qlCalendarAdvance(Calendar,X2712,W2713,"f",FALSE)</f>
        <v>58146</v>
      </c>
      <c r="Y2713" s="281">
        <f>_xll.qlCalendarAdvance(Calendar,X2713,NDays&amp;"D")</f>
        <v>58148</v>
      </c>
      <c r="Z2713" s="282" t="e">
        <v>#N/A</v>
      </c>
      <c r="AA2713" s="284" t="e">
        <v>#N/A</v>
      </c>
    </row>
    <row r="2714" spans="23:27" x14ac:dyDescent="0.2">
      <c r="W2714" s="203" t="str">
        <f t="shared" si="52"/>
        <v>1w</v>
      </c>
      <c r="X2714" s="287">
        <f>_xll.qlCalendarAdvance(Calendar,X2713,W2714,"f",FALSE)</f>
        <v>58153</v>
      </c>
      <c r="Y2714" s="281">
        <f>_xll.qlCalendarAdvance(Calendar,X2714,NDays&amp;"D")</f>
        <v>58158</v>
      </c>
      <c r="Z2714" s="282" t="e">
        <v>#N/A</v>
      </c>
      <c r="AA2714" s="284" t="e">
        <v>#N/A</v>
      </c>
    </row>
    <row r="2715" spans="23:27" x14ac:dyDescent="0.2">
      <c r="W2715" s="203" t="str">
        <f t="shared" si="52"/>
        <v>1w</v>
      </c>
      <c r="X2715" s="287">
        <f>_xll.qlCalendarAdvance(Calendar,X2714,W2715,"f",FALSE)</f>
        <v>58160</v>
      </c>
      <c r="Y2715" s="281">
        <f>_xll.qlCalendarAdvance(Calendar,X2715,NDays&amp;"D")</f>
        <v>58166</v>
      </c>
      <c r="Z2715" s="282" t="e">
        <v>#N/A</v>
      </c>
      <c r="AA2715" s="284" t="e">
        <v>#N/A</v>
      </c>
    </row>
    <row r="2716" spans="23:27" x14ac:dyDescent="0.2">
      <c r="W2716" s="203" t="str">
        <f t="shared" si="52"/>
        <v>1w</v>
      </c>
      <c r="X2716" s="287">
        <f>_xll.qlCalendarAdvance(Calendar,X2715,W2716,"f",FALSE)</f>
        <v>58167</v>
      </c>
      <c r="Y2716" s="281">
        <f>_xll.qlCalendarAdvance(Calendar,X2716,NDays&amp;"D")</f>
        <v>58169</v>
      </c>
      <c r="Z2716" s="282" t="e">
        <v>#N/A</v>
      </c>
      <c r="AA2716" s="284" t="e">
        <v>#N/A</v>
      </c>
    </row>
    <row r="2717" spans="23:27" x14ac:dyDescent="0.2">
      <c r="W2717" s="203" t="str">
        <f t="shared" si="52"/>
        <v>1w</v>
      </c>
      <c r="X2717" s="287">
        <f>_xll.qlCalendarAdvance(Calendar,X2716,W2717,"f",FALSE)</f>
        <v>58174</v>
      </c>
      <c r="Y2717" s="281">
        <f>_xll.qlCalendarAdvance(Calendar,X2717,NDays&amp;"D")</f>
        <v>58176</v>
      </c>
      <c r="Z2717" s="282" t="e">
        <v>#N/A</v>
      </c>
      <c r="AA2717" s="284" t="e">
        <v>#N/A</v>
      </c>
    </row>
    <row r="2718" spans="23:27" x14ac:dyDescent="0.2">
      <c r="W2718" s="203" t="str">
        <f t="shared" si="52"/>
        <v>1w</v>
      </c>
      <c r="X2718" s="287">
        <f>_xll.qlCalendarAdvance(Calendar,X2717,W2718,"f",FALSE)</f>
        <v>58181</v>
      </c>
      <c r="Y2718" s="281">
        <f>_xll.qlCalendarAdvance(Calendar,X2718,NDays&amp;"D")</f>
        <v>58183</v>
      </c>
      <c r="Z2718" s="282" t="e">
        <v>#N/A</v>
      </c>
      <c r="AA2718" s="284" t="e">
        <v>#N/A</v>
      </c>
    </row>
    <row r="2719" spans="23:27" x14ac:dyDescent="0.2">
      <c r="W2719" s="203" t="str">
        <f t="shared" si="52"/>
        <v>1w</v>
      </c>
      <c r="X2719" s="287">
        <f>_xll.qlCalendarAdvance(Calendar,X2718,W2719,"f",FALSE)</f>
        <v>58188</v>
      </c>
      <c r="Y2719" s="281">
        <f>_xll.qlCalendarAdvance(Calendar,X2719,NDays&amp;"D")</f>
        <v>58190</v>
      </c>
      <c r="Z2719" s="282" t="e">
        <v>#N/A</v>
      </c>
      <c r="AA2719" s="284" t="e">
        <v>#N/A</v>
      </c>
    </row>
    <row r="2720" spans="23:27" x14ac:dyDescent="0.2">
      <c r="W2720" s="203" t="str">
        <f t="shared" si="52"/>
        <v>1w</v>
      </c>
      <c r="X2720" s="287">
        <f>_xll.qlCalendarAdvance(Calendar,X2719,W2720,"f",FALSE)</f>
        <v>58195</v>
      </c>
      <c r="Y2720" s="281">
        <f>_xll.qlCalendarAdvance(Calendar,X2720,NDays&amp;"D")</f>
        <v>58197</v>
      </c>
      <c r="Z2720" s="282" t="e">
        <v>#N/A</v>
      </c>
      <c r="AA2720" s="284" t="e">
        <v>#N/A</v>
      </c>
    </row>
    <row r="2721" spans="23:27" x14ac:dyDescent="0.2">
      <c r="W2721" s="203" t="str">
        <f t="shared" si="52"/>
        <v>1w</v>
      </c>
      <c r="X2721" s="287">
        <f>_xll.qlCalendarAdvance(Calendar,X2720,W2721,"f",FALSE)</f>
        <v>58202</v>
      </c>
      <c r="Y2721" s="281">
        <f>_xll.qlCalendarAdvance(Calendar,X2721,NDays&amp;"D")</f>
        <v>58204</v>
      </c>
      <c r="Z2721" s="282" t="e">
        <v>#N/A</v>
      </c>
      <c r="AA2721" s="284" t="e">
        <v>#N/A</v>
      </c>
    </row>
    <row r="2722" spans="23:27" x14ac:dyDescent="0.2">
      <c r="W2722" s="203" t="str">
        <f t="shared" si="52"/>
        <v>1w</v>
      </c>
      <c r="X2722" s="287">
        <f>_xll.qlCalendarAdvance(Calendar,X2721,W2722,"f",FALSE)</f>
        <v>58209</v>
      </c>
      <c r="Y2722" s="281">
        <f>_xll.qlCalendarAdvance(Calendar,X2722,NDays&amp;"D")</f>
        <v>58211</v>
      </c>
      <c r="Z2722" s="282" t="e">
        <v>#N/A</v>
      </c>
      <c r="AA2722" s="284" t="e">
        <v>#N/A</v>
      </c>
    </row>
    <row r="2723" spans="23:27" x14ac:dyDescent="0.2">
      <c r="W2723" s="203" t="str">
        <f t="shared" si="52"/>
        <v>1w</v>
      </c>
      <c r="X2723" s="287">
        <f>_xll.qlCalendarAdvance(Calendar,X2722,W2723,"f",FALSE)</f>
        <v>58216</v>
      </c>
      <c r="Y2723" s="281">
        <f>_xll.qlCalendarAdvance(Calendar,X2723,NDays&amp;"D")</f>
        <v>58218</v>
      </c>
      <c r="Z2723" s="282" t="e">
        <v>#N/A</v>
      </c>
      <c r="AA2723" s="284" t="e">
        <v>#N/A</v>
      </c>
    </row>
    <row r="2724" spans="23:27" x14ac:dyDescent="0.2">
      <c r="W2724" s="203" t="str">
        <f t="shared" si="52"/>
        <v>1w</v>
      </c>
      <c r="X2724" s="287">
        <f>_xll.qlCalendarAdvance(Calendar,X2723,W2724,"f",FALSE)</f>
        <v>58223</v>
      </c>
      <c r="Y2724" s="281">
        <f>_xll.qlCalendarAdvance(Calendar,X2724,NDays&amp;"D")</f>
        <v>58225</v>
      </c>
      <c r="Z2724" s="282" t="e">
        <v>#N/A</v>
      </c>
      <c r="AA2724" s="284" t="e">
        <v>#N/A</v>
      </c>
    </row>
    <row r="2725" spans="23:27" x14ac:dyDescent="0.2">
      <c r="W2725" s="203" t="str">
        <f t="shared" si="52"/>
        <v>1w</v>
      </c>
      <c r="X2725" s="287">
        <f>_xll.qlCalendarAdvance(Calendar,X2724,W2725,"f",FALSE)</f>
        <v>58230</v>
      </c>
      <c r="Y2725" s="281">
        <f>_xll.qlCalendarAdvance(Calendar,X2725,NDays&amp;"D")</f>
        <v>58232</v>
      </c>
      <c r="Z2725" s="282" t="e">
        <v>#N/A</v>
      </c>
      <c r="AA2725" s="284" t="e">
        <v>#N/A</v>
      </c>
    </row>
    <row r="2726" spans="23:27" x14ac:dyDescent="0.2">
      <c r="W2726" s="203" t="str">
        <f t="shared" si="52"/>
        <v>1w</v>
      </c>
      <c r="X2726" s="287">
        <f>_xll.qlCalendarAdvance(Calendar,X2725,W2726,"f",FALSE)</f>
        <v>58237</v>
      </c>
      <c r="Y2726" s="281">
        <f>_xll.qlCalendarAdvance(Calendar,X2726,NDays&amp;"D")</f>
        <v>58239</v>
      </c>
      <c r="Z2726" s="282" t="e">
        <v>#N/A</v>
      </c>
      <c r="AA2726" s="284" t="e">
        <v>#N/A</v>
      </c>
    </row>
    <row r="2727" spans="23:27" x14ac:dyDescent="0.2">
      <c r="W2727" s="203" t="str">
        <f t="shared" si="52"/>
        <v>1w</v>
      </c>
      <c r="X2727" s="287">
        <f>_xll.qlCalendarAdvance(Calendar,X2726,W2727,"f",FALSE)</f>
        <v>58244</v>
      </c>
      <c r="Y2727" s="281">
        <f>_xll.qlCalendarAdvance(Calendar,X2727,NDays&amp;"D")</f>
        <v>58246</v>
      </c>
      <c r="Z2727" s="282" t="e">
        <v>#N/A</v>
      </c>
      <c r="AA2727" s="284" t="e">
        <v>#N/A</v>
      </c>
    </row>
    <row r="2728" spans="23:27" x14ac:dyDescent="0.2">
      <c r="W2728" s="203" t="str">
        <f t="shared" si="52"/>
        <v>1w</v>
      </c>
      <c r="X2728" s="287">
        <f>_xll.qlCalendarAdvance(Calendar,X2727,W2728,"f",FALSE)</f>
        <v>58251</v>
      </c>
      <c r="Y2728" s="281">
        <f>_xll.qlCalendarAdvance(Calendar,X2728,NDays&amp;"D")</f>
        <v>58253</v>
      </c>
      <c r="Z2728" s="282" t="e">
        <v>#N/A</v>
      </c>
      <c r="AA2728" s="284" t="e">
        <v>#N/A</v>
      </c>
    </row>
    <row r="2729" spans="23:27" x14ac:dyDescent="0.2">
      <c r="W2729" s="203" t="str">
        <f t="shared" si="52"/>
        <v>1w</v>
      </c>
      <c r="X2729" s="287">
        <f>_xll.qlCalendarAdvance(Calendar,X2728,W2729,"f",FALSE)</f>
        <v>58258</v>
      </c>
      <c r="Y2729" s="281">
        <f>_xll.qlCalendarAdvance(Calendar,X2729,NDays&amp;"D")</f>
        <v>58260</v>
      </c>
      <c r="Z2729" s="282" t="e">
        <v>#N/A</v>
      </c>
      <c r="AA2729" s="284" t="e">
        <v>#N/A</v>
      </c>
    </row>
    <row r="2730" spans="23:27" x14ac:dyDescent="0.2">
      <c r="W2730" s="203" t="str">
        <f t="shared" si="52"/>
        <v>1w</v>
      </c>
      <c r="X2730" s="287">
        <f>_xll.qlCalendarAdvance(Calendar,X2729,W2730,"f",FALSE)</f>
        <v>58265</v>
      </c>
      <c r="Y2730" s="281">
        <f>_xll.qlCalendarAdvance(Calendar,X2730,NDays&amp;"D")</f>
        <v>58267</v>
      </c>
      <c r="Z2730" s="282" t="e">
        <v>#N/A</v>
      </c>
      <c r="AA2730" s="284" t="e">
        <v>#N/A</v>
      </c>
    </row>
    <row r="2731" spans="23:27" x14ac:dyDescent="0.2">
      <c r="W2731" s="203" t="str">
        <f t="shared" si="52"/>
        <v>1w</v>
      </c>
      <c r="X2731" s="287">
        <f>_xll.qlCalendarAdvance(Calendar,X2730,W2731,"f",FALSE)</f>
        <v>58272</v>
      </c>
      <c r="Y2731" s="281">
        <f>_xll.qlCalendarAdvance(Calendar,X2731,NDays&amp;"D")</f>
        <v>58274</v>
      </c>
      <c r="Z2731" s="282" t="e">
        <v>#N/A</v>
      </c>
      <c r="AA2731" s="284" t="e">
        <v>#N/A</v>
      </c>
    </row>
    <row r="2732" spans="23:27" x14ac:dyDescent="0.2">
      <c r="W2732" s="203" t="str">
        <f t="shared" si="52"/>
        <v>1w</v>
      </c>
      <c r="X2732" s="287">
        <f>_xll.qlCalendarAdvance(Calendar,X2731,W2732,"f",FALSE)</f>
        <v>58279</v>
      </c>
      <c r="Y2732" s="281">
        <f>_xll.qlCalendarAdvance(Calendar,X2732,NDays&amp;"D")</f>
        <v>58281</v>
      </c>
      <c r="Z2732" s="282" t="e">
        <v>#N/A</v>
      </c>
      <c r="AA2732" s="284" t="e">
        <v>#N/A</v>
      </c>
    </row>
    <row r="2733" spans="23:27" x14ac:dyDescent="0.2">
      <c r="W2733" s="203" t="str">
        <f t="shared" si="52"/>
        <v>1w</v>
      </c>
      <c r="X2733" s="287">
        <f>_xll.qlCalendarAdvance(Calendar,X2732,W2733,"f",FALSE)</f>
        <v>58286</v>
      </c>
      <c r="Y2733" s="281">
        <f>_xll.qlCalendarAdvance(Calendar,X2733,NDays&amp;"D")</f>
        <v>58288</v>
      </c>
      <c r="Z2733" s="282" t="e">
        <v>#N/A</v>
      </c>
      <c r="AA2733" s="284" t="e">
        <v>#N/A</v>
      </c>
    </row>
    <row r="2734" spans="23:27" x14ac:dyDescent="0.2">
      <c r="W2734" s="203" t="str">
        <f t="shared" si="52"/>
        <v>1w</v>
      </c>
      <c r="X2734" s="287">
        <f>_xll.qlCalendarAdvance(Calendar,X2733,W2734,"f",FALSE)</f>
        <v>58293</v>
      </c>
      <c r="Y2734" s="281">
        <f>_xll.qlCalendarAdvance(Calendar,X2734,NDays&amp;"D")</f>
        <v>58295</v>
      </c>
      <c r="Z2734" s="282" t="e">
        <v>#N/A</v>
      </c>
      <c r="AA2734" s="284" t="e">
        <v>#N/A</v>
      </c>
    </row>
    <row r="2735" spans="23:27" x14ac:dyDescent="0.2">
      <c r="W2735" s="203" t="str">
        <f t="shared" si="52"/>
        <v>1w</v>
      </c>
      <c r="X2735" s="287">
        <f>_xll.qlCalendarAdvance(Calendar,X2734,W2735,"f",FALSE)</f>
        <v>58300</v>
      </c>
      <c r="Y2735" s="281">
        <f>_xll.qlCalendarAdvance(Calendar,X2735,NDays&amp;"D")</f>
        <v>58302</v>
      </c>
      <c r="Z2735" s="282" t="e">
        <v>#N/A</v>
      </c>
      <c r="AA2735" s="284" t="e">
        <v>#N/A</v>
      </c>
    </row>
    <row r="2736" spans="23:27" x14ac:dyDescent="0.2">
      <c r="W2736" s="203" t="str">
        <f t="shared" si="52"/>
        <v>1w</v>
      </c>
      <c r="X2736" s="287">
        <f>_xll.qlCalendarAdvance(Calendar,X2735,W2736,"f",FALSE)</f>
        <v>58307</v>
      </c>
      <c r="Y2736" s="281">
        <f>_xll.qlCalendarAdvance(Calendar,X2736,NDays&amp;"D")</f>
        <v>58309</v>
      </c>
      <c r="Z2736" s="282" t="e">
        <v>#N/A</v>
      </c>
      <c r="AA2736" s="284" t="e">
        <v>#N/A</v>
      </c>
    </row>
    <row r="2737" spans="23:27" x14ac:dyDescent="0.2">
      <c r="W2737" s="203" t="str">
        <f t="shared" si="52"/>
        <v>1w</v>
      </c>
      <c r="X2737" s="287">
        <f>_xll.qlCalendarAdvance(Calendar,X2736,W2737,"f",FALSE)</f>
        <v>58314</v>
      </c>
      <c r="Y2737" s="281">
        <f>_xll.qlCalendarAdvance(Calendar,X2737,NDays&amp;"D")</f>
        <v>58316</v>
      </c>
      <c r="Z2737" s="282" t="e">
        <v>#N/A</v>
      </c>
      <c r="AA2737" s="284" t="e">
        <v>#N/A</v>
      </c>
    </row>
    <row r="2738" spans="23:27" x14ac:dyDescent="0.2">
      <c r="W2738" s="203" t="str">
        <f t="shared" si="52"/>
        <v>1w</v>
      </c>
      <c r="X2738" s="287">
        <f>_xll.qlCalendarAdvance(Calendar,X2737,W2738,"f",FALSE)</f>
        <v>58321</v>
      </c>
      <c r="Y2738" s="281">
        <f>_xll.qlCalendarAdvance(Calendar,X2738,NDays&amp;"D")</f>
        <v>58323</v>
      </c>
      <c r="Z2738" s="282" t="e">
        <v>#N/A</v>
      </c>
      <c r="AA2738" s="284" t="e">
        <v>#N/A</v>
      </c>
    </row>
    <row r="2739" spans="23:27" x14ac:dyDescent="0.2">
      <c r="W2739" s="203" t="str">
        <f t="shared" si="52"/>
        <v>1w</v>
      </c>
      <c r="X2739" s="287">
        <f>_xll.qlCalendarAdvance(Calendar,X2738,W2739,"f",FALSE)</f>
        <v>58328</v>
      </c>
      <c r="Y2739" s="281">
        <f>_xll.qlCalendarAdvance(Calendar,X2739,NDays&amp;"D")</f>
        <v>58330</v>
      </c>
      <c r="Z2739" s="282" t="e">
        <v>#N/A</v>
      </c>
      <c r="AA2739" s="284" t="e">
        <v>#N/A</v>
      </c>
    </row>
    <row r="2740" spans="23:27" x14ac:dyDescent="0.2">
      <c r="W2740" s="203" t="str">
        <f t="shared" si="52"/>
        <v>1w</v>
      </c>
      <c r="X2740" s="287">
        <f>_xll.qlCalendarAdvance(Calendar,X2739,W2740,"f",FALSE)</f>
        <v>58335</v>
      </c>
      <c r="Y2740" s="281">
        <f>_xll.qlCalendarAdvance(Calendar,X2740,NDays&amp;"D")</f>
        <v>58337</v>
      </c>
      <c r="Z2740" s="282" t="e">
        <v>#N/A</v>
      </c>
      <c r="AA2740" s="284" t="e">
        <v>#N/A</v>
      </c>
    </row>
    <row r="2741" spans="23:27" x14ac:dyDescent="0.2">
      <c r="W2741" s="203" t="str">
        <f t="shared" si="52"/>
        <v>1w</v>
      </c>
      <c r="X2741" s="287">
        <f>_xll.qlCalendarAdvance(Calendar,X2740,W2741,"f",FALSE)</f>
        <v>58342</v>
      </c>
      <c r="Y2741" s="281">
        <f>_xll.qlCalendarAdvance(Calendar,X2741,NDays&amp;"D")</f>
        <v>58344</v>
      </c>
      <c r="Z2741" s="282" t="e">
        <v>#N/A</v>
      </c>
      <c r="AA2741" s="284" t="e">
        <v>#N/A</v>
      </c>
    </row>
    <row r="2742" spans="23:27" x14ac:dyDescent="0.2">
      <c r="W2742" s="203" t="str">
        <f t="shared" si="52"/>
        <v>1w</v>
      </c>
      <c r="X2742" s="287">
        <f>_xll.qlCalendarAdvance(Calendar,X2741,W2742,"f",FALSE)</f>
        <v>58349</v>
      </c>
      <c r="Y2742" s="281">
        <f>_xll.qlCalendarAdvance(Calendar,X2742,NDays&amp;"D")</f>
        <v>58351</v>
      </c>
      <c r="Z2742" s="282" t="e">
        <v>#N/A</v>
      </c>
      <c r="AA2742" s="284" t="e">
        <v>#N/A</v>
      </c>
    </row>
    <row r="2743" spans="23:27" x14ac:dyDescent="0.2">
      <c r="W2743" s="203" t="str">
        <f t="shared" si="52"/>
        <v>1w</v>
      </c>
      <c r="X2743" s="287">
        <f>_xll.qlCalendarAdvance(Calendar,X2742,W2743,"f",FALSE)</f>
        <v>58356</v>
      </c>
      <c r="Y2743" s="281">
        <f>_xll.qlCalendarAdvance(Calendar,X2743,NDays&amp;"D")</f>
        <v>58358</v>
      </c>
      <c r="Z2743" s="282" t="e">
        <v>#N/A</v>
      </c>
      <c r="AA2743" s="284" t="e">
        <v>#N/A</v>
      </c>
    </row>
    <row r="2744" spans="23:27" x14ac:dyDescent="0.2">
      <c r="W2744" s="203" t="str">
        <f t="shared" si="52"/>
        <v>1w</v>
      </c>
      <c r="X2744" s="287">
        <f>_xll.qlCalendarAdvance(Calendar,X2743,W2744,"f",FALSE)</f>
        <v>58363</v>
      </c>
      <c r="Y2744" s="281">
        <f>_xll.qlCalendarAdvance(Calendar,X2744,NDays&amp;"D")</f>
        <v>58365</v>
      </c>
      <c r="Z2744" s="282" t="e">
        <v>#N/A</v>
      </c>
      <c r="AA2744" s="284" t="e">
        <v>#N/A</v>
      </c>
    </row>
    <row r="2745" spans="23:27" x14ac:dyDescent="0.2">
      <c r="W2745" s="203" t="str">
        <f t="shared" si="52"/>
        <v>1w</v>
      </c>
      <c r="X2745" s="287">
        <f>_xll.qlCalendarAdvance(Calendar,X2744,W2745,"f",FALSE)</f>
        <v>58370</v>
      </c>
      <c r="Y2745" s="281">
        <f>_xll.qlCalendarAdvance(Calendar,X2745,NDays&amp;"D")</f>
        <v>58372</v>
      </c>
      <c r="Z2745" s="282" t="e">
        <v>#N/A</v>
      </c>
      <c r="AA2745" s="284" t="e">
        <v>#N/A</v>
      </c>
    </row>
    <row r="2746" spans="23:27" x14ac:dyDescent="0.2">
      <c r="W2746" s="203" t="str">
        <f t="shared" si="52"/>
        <v>1w</v>
      </c>
      <c r="X2746" s="287">
        <f>_xll.qlCalendarAdvance(Calendar,X2745,W2746,"f",FALSE)</f>
        <v>58377</v>
      </c>
      <c r="Y2746" s="281">
        <f>_xll.qlCalendarAdvance(Calendar,X2746,NDays&amp;"D")</f>
        <v>58379</v>
      </c>
      <c r="Z2746" s="282" t="e">
        <v>#N/A</v>
      </c>
      <c r="AA2746" s="284" t="e">
        <v>#N/A</v>
      </c>
    </row>
    <row r="2747" spans="23:27" x14ac:dyDescent="0.2">
      <c r="W2747" s="203" t="str">
        <f t="shared" si="52"/>
        <v>1w</v>
      </c>
      <c r="X2747" s="287">
        <f>_xll.qlCalendarAdvance(Calendar,X2746,W2747,"f",FALSE)</f>
        <v>58384</v>
      </c>
      <c r="Y2747" s="281">
        <f>_xll.qlCalendarAdvance(Calendar,X2747,NDays&amp;"D")</f>
        <v>58386</v>
      </c>
      <c r="Z2747" s="282" t="e">
        <v>#N/A</v>
      </c>
      <c r="AA2747" s="284" t="e">
        <v>#N/A</v>
      </c>
    </row>
    <row r="2748" spans="23:27" x14ac:dyDescent="0.2">
      <c r="W2748" s="203" t="str">
        <f t="shared" si="52"/>
        <v>1w</v>
      </c>
      <c r="X2748" s="287">
        <f>_xll.qlCalendarAdvance(Calendar,X2747,W2748,"f",FALSE)</f>
        <v>58391</v>
      </c>
      <c r="Y2748" s="281">
        <f>_xll.qlCalendarAdvance(Calendar,X2748,NDays&amp;"D")</f>
        <v>58393</v>
      </c>
      <c r="Z2748" s="282" t="e">
        <v>#N/A</v>
      </c>
      <c r="AA2748" s="284" t="e">
        <v>#N/A</v>
      </c>
    </row>
    <row r="2749" spans="23:27" x14ac:dyDescent="0.2">
      <c r="W2749" s="203" t="str">
        <f t="shared" si="52"/>
        <v>1w</v>
      </c>
      <c r="X2749" s="287">
        <f>_xll.qlCalendarAdvance(Calendar,X2748,W2749,"f",FALSE)</f>
        <v>58398</v>
      </c>
      <c r="Y2749" s="281">
        <f>_xll.qlCalendarAdvance(Calendar,X2749,NDays&amp;"D")</f>
        <v>58400</v>
      </c>
      <c r="Z2749" s="282" t="e">
        <v>#N/A</v>
      </c>
      <c r="AA2749" s="284" t="e">
        <v>#N/A</v>
      </c>
    </row>
    <row r="2750" spans="23:27" x14ac:dyDescent="0.2">
      <c r="W2750" s="203" t="str">
        <f t="shared" si="52"/>
        <v>1w</v>
      </c>
      <c r="X2750" s="287">
        <f>_xll.qlCalendarAdvance(Calendar,X2749,W2750,"f",FALSE)</f>
        <v>58405</v>
      </c>
      <c r="Y2750" s="281">
        <f>_xll.qlCalendarAdvance(Calendar,X2750,NDays&amp;"D")</f>
        <v>58407</v>
      </c>
      <c r="Z2750" s="282" t="e">
        <v>#N/A</v>
      </c>
      <c r="AA2750" s="284" t="e">
        <v>#N/A</v>
      </c>
    </row>
    <row r="2751" spans="23:27" x14ac:dyDescent="0.2">
      <c r="W2751" s="203" t="str">
        <f t="shared" si="52"/>
        <v>1w</v>
      </c>
      <c r="X2751" s="287">
        <f>_xll.qlCalendarAdvance(Calendar,X2750,W2751,"f",FALSE)</f>
        <v>58412</v>
      </c>
      <c r="Y2751" s="281">
        <f>_xll.qlCalendarAdvance(Calendar,X2751,NDays&amp;"D")</f>
        <v>58414</v>
      </c>
      <c r="Z2751" s="282" t="e">
        <v>#N/A</v>
      </c>
      <c r="AA2751" s="284" t="e">
        <v>#N/A</v>
      </c>
    </row>
    <row r="2752" spans="23:27" x14ac:dyDescent="0.2">
      <c r="W2752" s="203" t="str">
        <f t="shared" si="52"/>
        <v>1w</v>
      </c>
      <c r="X2752" s="287">
        <f>_xll.qlCalendarAdvance(Calendar,X2751,W2752,"f",FALSE)</f>
        <v>58419</v>
      </c>
      <c r="Y2752" s="281">
        <f>_xll.qlCalendarAdvance(Calendar,X2752,NDays&amp;"D")</f>
        <v>58421</v>
      </c>
      <c r="Z2752" s="282" t="e">
        <v>#N/A</v>
      </c>
      <c r="AA2752" s="284" t="e">
        <v>#N/A</v>
      </c>
    </row>
    <row r="2753" spans="23:27" x14ac:dyDescent="0.2">
      <c r="W2753" s="203" t="str">
        <f t="shared" si="52"/>
        <v>1w</v>
      </c>
      <c r="X2753" s="287">
        <f>_xll.qlCalendarAdvance(Calendar,X2752,W2753,"f",FALSE)</f>
        <v>58426</v>
      </c>
      <c r="Y2753" s="281">
        <f>_xll.qlCalendarAdvance(Calendar,X2753,NDays&amp;"D")</f>
        <v>58428</v>
      </c>
      <c r="Z2753" s="282" t="e">
        <v>#N/A</v>
      </c>
      <c r="AA2753" s="284" t="e">
        <v>#N/A</v>
      </c>
    </row>
    <row r="2754" spans="23:27" x14ac:dyDescent="0.2">
      <c r="W2754" s="203" t="str">
        <f t="shared" si="52"/>
        <v>1w</v>
      </c>
      <c r="X2754" s="287">
        <f>_xll.qlCalendarAdvance(Calendar,X2753,W2754,"f",FALSE)</f>
        <v>58433</v>
      </c>
      <c r="Y2754" s="281">
        <f>_xll.qlCalendarAdvance(Calendar,X2754,NDays&amp;"D")</f>
        <v>58439</v>
      </c>
      <c r="Z2754" s="282" t="e">
        <v>#N/A</v>
      </c>
      <c r="AA2754" s="284" t="e">
        <v>#N/A</v>
      </c>
    </row>
    <row r="2755" spans="23:27" x14ac:dyDescent="0.2">
      <c r="W2755" s="203" t="str">
        <f t="shared" si="52"/>
        <v>1w</v>
      </c>
      <c r="X2755" s="287">
        <f>_xll.qlCalendarAdvance(Calendar,X2754,W2755,"f",FALSE)</f>
        <v>58445</v>
      </c>
      <c r="Y2755" s="281">
        <f>_xll.qlCalendarAdvance(Calendar,X2755,NDays&amp;"D")</f>
        <v>58447</v>
      </c>
      <c r="Z2755" s="282" t="e">
        <v>#N/A</v>
      </c>
      <c r="AA2755" s="284" t="e">
        <v>#N/A</v>
      </c>
    </row>
    <row r="2756" spans="23:27" x14ac:dyDescent="0.2">
      <c r="W2756" s="203" t="str">
        <f t="shared" si="52"/>
        <v>1w</v>
      </c>
      <c r="X2756" s="287">
        <f>_xll.qlCalendarAdvance(Calendar,X2755,W2756,"f",FALSE)</f>
        <v>58453</v>
      </c>
      <c r="Y2756" s="281">
        <f>_xll.qlCalendarAdvance(Calendar,X2756,NDays&amp;"D")</f>
        <v>58455</v>
      </c>
      <c r="Z2756" s="282" t="e">
        <v>#N/A</v>
      </c>
      <c r="AA2756" s="284" t="e">
        <v>#N/A</v>
      </c>
    </row>
    <row r="2757" spans="23:27" x14ac:dyDescent="0.2">
      <c r="W2757" s="203" t="str">
        <f t="shared" si="52"/>
        <v>1w</v>
      </c>
      <c r="X2757" s="287">
        <f>_xll.qlCalendarAdvance(Calendar,X2756,W2757,"f",FALSE)</f>
        <v>58460</v>
      </c>
      <c r="Y2757" s="281">
        <f>_xll.qlCalendarAdvance(Calendar,X2757,NDays&amp;"D")</f>
        <v>58462</v>
      </c>
      <c r="Z2757" s="282" t="e">
        <v>#N/A</v>
      </c>
      <c r="AA2757" s="284" t="e">
        <v>#N/A</v>
      </c>
    </row>
    <row r="2758" spans="23:27" x14ac:dyDescent="0.2">
      <c r="W2758" s="203" t="str">
        <f t="shared" si="52"/>
        <v>1w</v>
      </c>
      <c r="X2758" s="287">
        <f>_xll.qlCalendarAdvance(Calendar,X2757,W2758,"f",FALSE)</f>
        <v>58467</v>
      </c>
      <c r="Y2758" s="281">
        <f>_xll.qlCalendarAdvance(Calendar,X2758,NDays&amp;"D")</f>
        <v>58469</v>
      </c>
      <c r="Z2758" s="282" t="e">
        <v>#N/A</v>
      </c>
      <c r="AA2758" s="284" t="e">
        <v>#N/A</v>
      </c>
    </row>
    <row r="2759" spans="23:27" x14ac:dyDescent="0.2">
      <c r="W2759" s="203" t="str">
        <f t="shared" si="52"/>
        <v>1w</v>
      </c>
      <c r="X2759" s="287">
        <f>_xll.qlCalendarAdvance(Calendar,X2758,W2759,"f",FALSE)</f>
        <v>58474</v>
      </c>
      <c r="Y2759" s="281">
        <f>_xll.qlCalendarAdvance(Calendar,X2759,NDays&amp;"D")</f>
        <v>58476</v>
      </c>
      <c r="Z2759" s="282" t="e">
        <v>#N/A</v>
      </c>
      <c r="AA2759" s="284" t="e">
        <v>#N/A</v>
      </c>
    </row>
    <row r="2760" spans="23:27" x14ac:dyDescent="0.2">
      <c r="W2760" s="203" t="str">
        <f t="shared" si="52"/>
        <v>1w</v>
      </c>
      <c r="X2760" s="287">
        <f>_xll.qlCalendarAdvance(Calendar,X2759,W2760,"f",FALSE)</f>
        <v>58481</v>
      </c>
      <c r="Y2760" s="281">
        <f>_xll.qlCalendarAdvance(Calendar,X2760,NDays&amp;"D")</f>
        <v>58484</v>
      </c>
      <c r="Z2760" s="282" t="e">
        <v>#N/A</v>
      </c>
      <c r="AA2760" s="284" t="e">
        <v>#N/A</v>
      </c>
    </row>
    <row r="2761" spans="23:27" x14ac:dyDescent="0.2">
      <c r="W2761" s="203" t="str">
        <f t="shared" si="52"/>
        <v>1w</v>
      </c>
      <c r="X2761" s="287">
        <f>_xll.qlCalendarAdvance(Calendar,X2760,W2761,"f",FALSE)</f>
        <v>58488</v>
      </c>
      <c r="Y2761" s="281">
        <f>_xll.qlCalendarAdvance(Calendar,X2761,NDays&amp;"D")</f>
        <v>58490</v>
      </c>
      <c r="Z2761" s="282" t="e">
        <v>#N/A</v>
      </c>
      <c r="AA2761" s="284" t="e">
        <v>#N/A</v>
      </c>
    </row>
    <row r="2762" spans="23:27" x14ac:dyDescent="0.2">
      <c r="W2762" s="203" t="str">
        <f t="shared" si="52"/>
        <v>1w</v>
      </c>
      <c r="X2762" s="287">
        <f>_xll.qlCalendarAdvance(Calendar,X2761,W2762,"f",FALSE)</f>
        <v>58495</v>
      </c>
      <c r="Y2762" s="281">
        <f>_xll.qlCalendarAdvance(Calendar,X2762,NDays&amp;"D")</f>
        <v>58497</v>
      </c>
      <c r="Z2762" s="282" t="e">
        <v>#N/A</v>
      </c>
      <c r="AA2762" s="284" t="e">
        <v>#N/A</v>
      </c>
    </row>
    <row r="2763" spans="23:27" x14ac:dyDescent="0.2">
      <c r="W2763" s="203" t="str">
        <f t="shared" si="52"/>
        <v>1w</v>
      </c>
      <c r="X2763" s="287">
        <f>_xll.qlCalendarAdvance(Calendar,X2762,W2763,"f",FALSE)</f>
        <v>58502</v>
      </c>
      <c r="Y2763" s="281">
        <f>_xll.qlCalendarAdvance(Calendar,X2763,NDays&amp;"D")</f>
        <v>58504</v>
      </c>
      <c r="Z2763" s="282" t="e">
        <v>#N/A</v>
      </c>
      <c r="AA2763" s="284" t="e">
        <v>#N/A</v>
      </c>
    </row>
    <row r="2764" spans="23:27" x14ac:dyDescent="0.2">
      <c r="W2764" s="203" t="str">
        <f t="shared" si="52"/>
        <v>1w</v>
      </c>
      <c r="X2764" s="287">
        <f>_xll.qlCalendarAdvance(Calendar,X2763,W2764,"f",FALSE)</f>
        <v>58509</v>
      </c>
      <c r="Y2764" s="281">
        <f>_xll.qlCalendarAdvance(Calendar,X2764,NDays&amp;"D")</f>
        <v>58511</v>
      </c>
      <c r="Z2764" s="282" t="e">
        <v>#N/A</v>
      </c>
      <c r="AA2764" s="284" t="e">
        <v>#N/A</v>
      </c>
    </row>
    <row r="2765" spans="23:27" x14ac:dyDescent="0.2">
      <c r="W2765" s="203" t="str">
        <f t="shared" si="52"/>
        <v>1w</v>
      </c>
      <c r="X2765" s="287">
        <f>_xll.qlCalendarAdvance(Calendar,X2764,W2765,"f",FALSE)</f>
        <v>58516</v>
      </c>
      <c r="Y2765" s="281">
        <f>_xll.qlCalendarAdvance(Calendar,X2765,NDays&amp;"D")</f>
        <v>58518</v>
      </c>
      <c r="Z2765" s="282" t="e">
        <v>#N/A</v>
      </c>
      <c r="AA2765" s="284" t="e">
        <v>#N/A</v>
      </c>
    </row>
    <row r="2766" spans="23:27" x14ac:dyDescent="0.2">
      <c r="W2766" s="203" t="str">
        <f t="shared" si="52"/>
        <v>1w</v>
      </c>
      <c r="X2766" s="287">
        <f>_xll.qlCalendarAdvance(Calendar,X2765,W2766,"f",FALSE)</f>
        <v>58523</v>
      </c>
      <c r="Y2766" s="281">
        <f>_xll.qlCalendarAdvance(Calendar,X2766,NDays&amp;"D")</f>
        <v>58525</v>
      </c>
      <c r="Z2766" s="282" t="e">
        <v>#N/A</v>
      </c>
      <c r="AA2766" s="284" t="e">
        <v>#N/A</v>
      </c>
    </row>
    <row r="2767" spans="23:27" x14ac:dyDescent="0.2">
      <c r="W2767" s="203" t="str">
        <f t="shared" si="52"/>
        <v>1w</v>
      </c>
      <c r="X2767" s="287">
        <f>_xll.qlCalendarAdvance(Calendar,X2766,W2767,"f",FALSE)</f>
        <v>58530</v>
      </c>
      <c r="Y2767" s="281">
        <f>_xll.qlCalendarAdvance(Calendar,X2767,NDays&amp;"D")</f>
        <v>58532</v>
      </c>
      <c r="Z2767" s="282" t="e">
        <v>#N/A</v>
      </c>
      <c r="AA2767" s="284" t="e">
        <v>#N/A</v>
      </c>
    </row>
    <row r="2768" spans="23:27" x14ac:dyDescent="0.2">
      <c r="W2768" s="203" t="str">
        <f t="shared" si="52"/>
        <v>1w</v>
      </c>
      <c r="X2768" s="287">
        <f>_xll.qlCalendarAdvance(Calendar,X2767,W2768,"f",FALSE)</f>
        <v>58537</v>
      </c>
      <c r="Y2768" s="281">
        <f>_xll.qlCalendarAdvance(Calendar,X2768,NDays&amp;"D")</f>
        <v>58539</v>
      </c>
      <c r="Z2768" s="282" t="e">
        <v>#N/A</v>
      </c>
      <c r="AA2768" s="284" t="e">
        <v>#N/A</v>
      </c>
    </row>
    <row r="2769" spans="23:27" x14ac:dyDescent="0.2">
      <c r="W2769" s="203" t="str">
        <f t="shared" si="52"/>
        <v>1w</v>
      </c>
      <c r="X2769" s="287">
        <f>_xll.qlCalendarAdvance(Calendar,X2768,W2769,"f",FALSE)</f>
        <v>58544</v>
      </c>
      <c r="Y2769" s="281">
        <f>_xll.qlCalendarAdvance(Calendar,X2769,NDays&amp;"D")</f>
        <v>58546</v>
      </c>
      <c r="Z2769" s="282" t="e">
        <v>#N/A</v>
      </c>
      <c r="AA2769" s="284" t="e">
        <v>#N/A</v>
      </c>
    </row>
    <row r="2770" spans="23:27" x14ac:dyDescent="0.2">
      <c r="W2770" s="203" t="str">
        <f t="shared" si="52"/>
        <v>1w</v>
      </c>
      <c r="X2770" s="287">
        <f>_xll.qlCalendarAdvance(Calendar,X2769,W2770,"f",FALSE)</f>
        <v>58551</v>
      </c>
      <c r="Y2770" s="281">
        <f>_xll.qlCalendarAdvance(Calendar,X2770,NDays&amp;"D")</f>
        <v>58553</v>
      </c>
      <c r="Z2770" s="282" t="e">
        <v>#N/A</v>
      </c>
      <c r="AA2770" s="284" t="e">
        <v>#N/A</v>
      </c>
    </row>
    <row r="2771" spans="23:27" x14ac:dyDescent="0.2">
      <c r="W2771" s="203" t="str">
        <f t="shared" si="52"/>
        <v>1w</v>
      </c>
      <c r="X2771" s="287">
        <f>_xll.qlCalendarAdvance(Calendar,X2770,W2771,"f",FALSE)</f>
        <v>58558</v>
      </c>
      <c r="Y2771" s="281">
        <f>_xll.qlCalendarAdvance(Calendar,X2771,NDays&amp;"D")</f>
        <v>58561</v>
      </c>
      <c r="Z2771" s="282" t="e">
        <v>#N/A</v>
      </c>
      <c r="AA2771" s="284" t="e">
        <v>#N/A</v>
      </c>
    </row>
    <row r="2772" spans="23:27" x14ac:dyDescent="0.2">
      <c r="W2772" s="203" t="str">
        <f t="shared" si="52"/>
        <v>1w</v>
      </c>
      <c r="X2772" s="287">
        <f>_xll.qlCalendarAdvance(Calendar,X2771,W2772,"f",FALSE)</f>
        <v>58567</v>
      </c>
      <c r="Y2772" s="281">
        <f>_xll.qlCalendarAdvance(Calendar,X2772,NDays&amp;"D")</f>
        <v>58571</v>
      </c>
      <c r="Z2772" s="282" t="e">
        <v>#N/A</v>
      </c>
      <c r="AA2772" s="284" t="e">
        <v>#N/A</v>
      </c>
    </row>
    <row r="2773" spans="23:27" x14ac:dyDescent="0.2">
      <c r="W2773" s="203" t="str">
        <f t="shared" ref="W2773:W2836" si="53">W2772</f>
        <v>1w</v>
      </c>
      <c r="X2773" s="287">
        <f>_xll.qlCalendarAdvance(Calendar,X2772,W2773,"f",FALSE)</f>
        <v>58574</v>
      </c>
      <c r="Y2773" s="281">
        <f>_xll.qlCalendarAdvance(Calendar,X2773,NDays&amp;"D")</f>
        <v>58578</v>
      </c>
      <c r="Z2773" s="282" t="e">
        <v>#N/A</v>
      </c>
      <c r="AA2773" s="284" t="e">
        <v>#N/A</v>
      </c>
    </row>
    <row r="2774" spans="23:27" x14ac:dyDescent="0.2">
      <c r="W2774" s="203" t="str">
        <f t="shared" si="53"/>
        <v>1w</v>
      </c>
      <c r="X2774" s="287">
        <f>_xll.qlCalendarAdvance(Calendar,X2773,W2774,"f",FALSE)</f>
        <v>58581</v>
      </c>
      <c r="Y2774" s="281">
        <f>_xll.qlCalendarAdvance(Calendar,X2774,NDays&amp;"D")</f>
        <v>58585</v>
      </c>
      <c r="Z2774" s="282" t="e">
        <v>#N/A</v>
      </c>
      <c r="AA2774" s="284" t="e">
        <v>#N/A</v>
      </c>
    </row>
    <row r="2775" spans="23:27" x14ac:dyDescent="0.2">
      <c r="W2775" s="203" t="str">
        <f t="shared" si="53"/>
        <v>1w</v>
      </c>
      <c r="X2775" s="287">
        <f>_xll.qlCalendarAdvance(Calendar,X2774,W2775,"f",FALSE)</f>
        <v>58588</v>
      </c>
      <c r="Y2775" s="281">
        <f>_xll.qlCalendarAdvance(Calendar,X2775,NDays&amp;"D")</f>
        <v>58593</v>
      </c>
      <c r="Z2775" s="282" t="e">
        <v>#N/A</v>
      </c>
      <c r="AA2775" s="284" t="e">
        <v>#N/A</v>
      </c>
    </row>
    <row r="2776" spans="23:27" x14ac:dyDescent="0.2">
      <c r="W2776" s="203" t="str">
        <f t="shared" si="53"/>
        <v>1w</v>
      </c>
      <c r="X2776" s="287">
        <f>_xll.qlCalendarAdvance(Calendar,X2775,W2776,"f",FALSE)</f>
        <v>58595</v>
      </c>
      <c r="Y2776" s="281">
        <f>_xll.qlCalendarAdvance(Calendar,X2776,NDays&amp;"D")</f>
        <v>58599</v>
      </c>
      <c r="Z2776" s="282" t="e">
        <v>#N/A</v>
      </c>
      <c r="AA2776" s="284" t="e">
        <v>#N/A</v>
      </c>
    </row>
    <row r="2777" spans="23:27" x14ac:dyDescent="0.2">
      <c r="W2777" s="203" t="str">
        <f t="shared" si="53"/>
        <v>1w</v>
      </c>
      <c r="X2777" s="287">
        <f>_xll.qlCalendarAdvance(Calendar,X2776,W2777,"f",FALSE)</f>
        <v>58602</v>
      </c>
      <c r="Y2777" s="281">
        <f>_xll.qlCalendarAdvance(Calendar,X2777,NDays&amp;"D")</f>
        <v>58606</v>
      </c>
      <c r="Z2777" s="282" t="e">
        <v>#N/A</v>
      </c>
      <c r="AA2777" s="284" t="e">
        <v>#N/A</v>
      </c>
    </row>
    <row r="2778" spans="23:27" x14ac:dyDescent="0.2">
      <c r="W2778" s="203" t="str">
        <f t="shared" si="53"/>
        <v>1w</v>
      </c>
      <c r="X2778" s="287">
        <f>_xll.qlCalendarAdvance(Calendar,X2777,W2778,"f",FALSE)</f>
        <v>58609</v>
      </c>
      <c r="Y2778" s="281">
        <f>_xll.qlCalendarAdvance(Calendar,X2778,NDays&amp;"D")</f>
        <v>58613</v>
      </c>
      <c r="Z2778" s="282" t="e">
        <v>#N/A</v>
      </c>
      <c r="AA2778" s="284" t="e">
        <v>#N/A</v>
      </c>
    </row>
    <row r="2779" spans="23:27" x14ac:dyDescent="0.2">
      <c r="W2779" s="203" t="str">
        <f t="shared" si="53"/>
        <v>1w</v>
      </c>
      <c r="X2779" s="287">
        <f>_xll.qlCalendarAdvance(Calendar,X2778,W2779,"f",FALSE)</f>
        <v>58616</v>
      </c>
      <c r="Y2779" s="281">
        <f>_xll.qlCalendarAdvance(Calendar,X2779,NDays&amp;"D")</f>
        <v>58620</v>
      </c>
      <c r="Z2779" s="282" t="e">
        <v>#N/A</v>
      </c>
      <c r="AA2779" s="284" t="e">
        <v>#N/A</v>
      </c>
    </row>
    <row r="2780" spans="23:27" x14ac:dyDescent="0.2">
      <c r="W2780" s="203" t="str">
        <f t="shared" si="53"/>
        <v>1w</v>
      </c>
      <c r="X2780" s="287">
        <f>_xll.qlCalendarAdvance(Calendar,X2779,W2780,"f",FALSE)</f>
        <v>58623</v>
      </c>
      <c r="Y2780" s="281">
        <f>_xll.qlCalendarAdvance(Calendar,X2780,NDays&amp;"D")</f>
        <v>58627</v>
      </c>
      <c r="Z2780" s="282" t="e">
        <v>#N/A</v>
      </c>
      <c r="AA2780" s="284" t="e">
        <v>#N/A</v>
      </c>
    </row>
    <row r="2781" spans="23:27" x14ac:dyDescent="0.2">
      <c r="W2781" s="203" t="str">
        <f t="shared" si="53"/>
        <v>1w</v>
      </c>
      <c r="X2781" s="287">
        <f>_xll.qlCalendarAdvance(Calendar,X2780,W2781,"f",FALSE)</f>
        <v>58630</v>
      </c>
      <c r="Y2781" s="281">
        <f>_xll.qlCalendarAdvance(Calendar,X2781,NDays&amp;"D")</f>
        <v>58634</v>
      </c>
      <c r="Z2781" s="282" t="e">
        <v>#N/A</v>
      </c>
      <c r="AA2781" s="284" t="e">
        <v>#N/A</v>
      </c>
    </row>
    <row r="2782" spans="23:27" x14ac:dyDescent="0.2">
      <c r="W2782" s="203" t="str">
        <f t="shared" si="53"/>
        <v>1w</v>
      </c>
      <c r="X2782" s="287">
        <f>_xll.qlCalendarAdvance(Calendar,X2781,W2782,"f",FALSE)</f>
        <v>58637</v>
      </c>
      <c r="Y2782" s="281">
        <f>_xll.qlCalendarAdvance(Calendar,X2782,NDays&amp;"D")</f>
        <v>58642</v>
      </c>
      <c r="Z2782" s="282" t="e">
        <v>#N/A</v>
      </c>
      <c r="AA2782" s="284" t="e">
        <v>#N/A</v>
      </c>
    </row>
    <row r="2783" spans="23:27" x14ac:dyDescent="0.2">
      <c r="W2783" s="203" t="str">
        <f t="shared" si="53"/>
        <v>1w</v>
      </c>
      <c r="X2783" s="287">
        <f>_xll.qlCalendarAdvance(Calendar,X2782,W2783,"f",FALSE)</f>
        <v>58644</v>
      </c>
      <c r="Y2783" s="281">
        <f>_xll.qlCalendarAdvance(Calendar,X2783,NDays&amp;"D")</f>
        <v>58648</v>
      </c>
      <c r="Z2783" s="282" t="e">
        <v>#N/A</v>
      </c>
      <c r="AA2783" s="284" t="e">
        <v>#N/A</v>
      </c>
    </row>
    <row r="2784" spans="23:27" x14ac:dyDescent="0.2">
      <c r="W2784" s="203" t="str">
        <f t="shared" si="53"/>
        <v>1w</v>
      </c>
      <c r="X2784" s="287">
        <f>_xll.qlCalendarAdvance(Calendar,X2783,W2784,"f",FALSE)</f>
        <v>58651</v>
      </c>
      <c r="Y2784" s="281">
        <f>_xll.qlCalendarAdvance(Calendar,X2784,NDays&amp;"D")</f>
        <v>58655</v>
      </c>
      <c r="Z2784" s="282" t="e">
        <v>#N/A</v>
      </c>
      <c r="AA2784" s="284" t="e">
        <v>#N/A</v>
      </c>
    </row>
    <row r="2785" spans="23:27" x14ac:dyDescent="0.2">
      <c r="W2785" s="203" t="str">
        <f t="shared" si="53"/>
        <v>1w</v>
      </c>
      <c r="X2785" s="287">
        <f>_xll.qlCalendarAdvance(Calendar,X2784,W2785,"f",FALSE)</f>
        <v>58658</v>
      </c>
      <c r="Y2785" s="281">
        <f>_xll.qlCalendarAdvance(Calendar,X2785,NDays&amp;"D")</f>
        <v>58662</v>
      </c>
      <c r="Z2785" s="282" t="e">
        <v>#N/A</v>
      </c>
      <c r="AA2785" s="284" t="e">
        <v>#N/A</v>
      </c>
    </row>
    <row r="2786" spans="23:27" x14ac:dyDescent="0.2">
      <c r="W2786" s="203" t="str">
        <f t="shared" si="53"/>
        <v>1w</v>
      </c>
      <c r="X2786" s="287">
        <f>_xll.qlCalendarAdvance(Calendar,X2785,W2786,"f",FALSE)</f>
        <v>58665</v>
      </c>
      <c r="Y2786" s="281">
        <f>_xll.qlCalendarAdvance(Calendar,X2786,NDays&amp;"D")</f>
        <v>58669</v>
      </c>
      <c r="Z2786" s="282" t="e">
        <v>#N/A</v>
      </c>
      <c r="AA2786" s="284" t="e">
        <v>#N/A</v>
      </c>
    </row>
    <row r="2787" spans="23:27" x14ac:dyDescent="0.2">
      <c r="W2787" s="203" t="str">
        <f t="shared" si="53"/>
        <v>1w</v>
      </c>
      <c r="X2787" s="287">
        <f>_xll.qlCalendarAdvance(Calendar,X2786,W2787,"f",FALSE)</f>
        <v>58672</v>
      </c>
      <c r="Y2787" s="281">
        <f>_xll.qlCalendarAdvance(Calendar,X2787,NDays&amp;"D")</f>
        <v>58676</v>
      </c>
      <c r="Z2787" s="282" t="e">
        <v>#N/A</v>
      </c>
      <c r="AA2787" s="284" t="e">
        <v>#N/A</v>
      </c>
    </row>
    <row r="2788" spans="23:27" x14ac:dyDescent="0.2">
      <c r="W2788" s="203" t="str">
        <f t="shared" si="53"/>
        <v>1w</v>
      </c>
      <c r="X2788" s="287">
        <f>_xll.qlCalendarAdvance(Calendar,X2787,W2788,"f",FALSE)</f>
        <v>58679</v>
      </c>
      <c r="Y2788" s="281">
        <f>_xll.qlCalendarAdvance(Calendar,X2788,NDays&amp;"D")</f>
        <v>58684</v>
      </c>
      <c r="Z2788" s="282" t="e">
        <v>#N/A</v>
      </c>
      <c r="AA2788" s="284" t="e">
        <v>#N/A</v>
      </c>
    </row>
    <row r="2789" spans="23:27" x14ac:dyDescent="0.2">
      <c r="W2789" s="203" t="str">
        <f t="shared" si="53"/>
        <v>1w</v>
      </c>
      <c r="X2789" s="287">
        <f>_xll.qlCalendarAdvance(Calendar,X2788,W2789,"f",FALSE)</f>
        <v>58686</v>
      </c>
      <c r="Y2789" s="281">
        <f>_xll.qlCalendarAdvance(Calendar,X2789,NDays&amp;"D")</f>
        <v>58690</v>
      </c>
      <c r="Z2789" s="282" t="e">
        <v>#N/A</v>
      </c>
      <c r="AA2789" s="284" t="e">
        <v>#N/A</v>
      </c>
    </row>
    <row r="2790" spans="23:27" x14ac:dyDescent="0.2">
      <c r="W2790" s="203" t="str">
        <f t="shared" si="53"/>
        <v>1w</v>
      </c>
      <c r="X2790" s="287">
        <f>_xll.qlCalendarAdvance(Calendar,X2789,W2790,"f",FALSE)</f>
        <v>58693</v>
      </c>
      <c r="Y2790" s="281">
        <f>_xll.qlCalendarAdvance(Calendar,X2790,NDays&amp;"D")</f>
        <v>58697</v>
      </c>
      <c r="Z2790" s="282" t="e">
        <v>#N/A</v>
      </c>
      <c r="AA2790" s="284" t="e">
        <v>#N/A</v>
      </c>
    </row>
    <row r="2791" spans="23:27" x14ac:dyDescent="0.2">
      <c r="W2791" s="203" t="str">
        <f t="shared" si="53"/>
        <v>1w</v>
      </c>
      <c r="X2791" s="287">
        <f>_xll.qlCalendarAdvance(Calendar,X2790,W2791,"f",FALSE)</f>
        <v>58700</v>
      </c>
      <c r="Y2791" s="281">
        <f>_xll.qlCalendarAdvance(Calendar,X2791,NDays&amp;"D")</f>
        <v>58707</v>
      </c>
      <c r="Z2791" s="282" t="e">
        <v>#N/A</v>
      </c>
      <c r="AA2791" s="284" t="e">
        <v>#N/A</v>
      </c>
    </row>
    <row r="2792" spans="23:27" x14ac:dyDescent="0.2">
      <c r="W2792" s="203" t="str">
        <f t="shared" si="53"/>
        <v>1w</v>
      </c>
      <c r="X2792" s="287">
        <f>_xll.qlCalendarAdvance(Calendar,X2791,W2792,"f",FALSE)</f>
        <v>58707</v>
      </c>
      <c r="Y2792" s="281">
        <f>_xll.qlCalendarAdvance(Calendar,X2792,NDays&amp;"D")</f>
        <v>58711</v>
      </c>
      <c r="Z2792" s="282" t="e">
        <v>#N/A</v>
      </c>
      <c r="AA2792" s="284" t="e">
        <v>#N/A</v>
      </c>
    </row>
    <row r="2793" spans="23:27" x14ac:dyDescent="0.2">
      <c r="W2793" s="203" t="str">
        <f t="shared" si="53"/>
        <v>1w</v>
      </c>
      <c r="X2793" s="287">
        <f>_xll.qlCalendarAdvance(Calendar,X2792,W2793,"f",FALSE)</f>
        <v>58714</v>
      </c>
      <c r="Y2793" s="281">
        <f>_xll.qlCalendarAdvance(Calendar,X2793,NDays&amp;"D")</f>
        <v>58718</v>
      </c>
      <c r="Z2793" s="282" t="e">
        <v>#N/A</v>
      </c>
      <c r="AA2793" s="284" t="e">
        <v>#N/A</v>
      </c>
    </row>
    <row r="2794" spans="23:27" x14ac:dyDescent="0.2">
      <c r="W2794" s="203" t="str">
        <f t="shared" si="53"/>
        <v>1w</v>
      </c>
      <c r="X2794" s="287">
        <f>_xll.qlCalendarAdvance(Calendar,X2793,W2794,"f",FALSE)</f>
        <v>58721</v>
      </c>
      <c r="Y2794" s="281">
        <f>_xll.qlCalendarAdvance(Calendar,X2794,NDays&amp;"D")</f>
        <v>58726</v>
      </c>
      <c r="Z2794" s="282" t="e">
        <v>#N/A</v>
      </c>
      <c r="AA2794" s="284" t="e">
        <v>#N/A</v>
      </c>
    </row>
    <row r="2795" spans="23:27" x14ac:dyDescent="0.2">
      <c r="W2795" s="203" t="str">
        <f t="shared" si="53"/>
        <v>1w</v>
      </c>
      <c r="X2795" s="287">
        <f>_xll.qlCalendarAdvance(Calendar,X2794,W2795,"f",FALSE)</f>
        <v>58728</v>
      </c>
      <c r="Y2795" s="281">
        <f>_xll.qlCalendarAdvance(Calendar,X2795,NDays&amp;"D")</f>
        <v>58732</v>
      </c>
      <c r="Z2795" s="282" t="e">
        <v>#N/A</v>
      </c>
      <c r="AA2795" s="284" t="e">
        <v>#N/A</v>
      </c>
    </row>
    <row r="2796" spans="23:27" x14ac:dyDescent="0.2">
      <c r="W2796" s="203" t="str">
        <f t="shared" si="53"/>
        <v>1w</v>
      </c>
      <c r="X2796" s="287">
        <f>_xll.qlCalendarAdvance(Calendar,X2795,W2796,"f",FALSE)</f>
        <v>58735</v>
      </c>
      <c r="Y2796" s="281">
        <f>_xll.qlCalendarAdvance(Calendar,X2796,NDays&amp;"D")</f>
        <v>58739</v>
      </c>
      <c r="Z2796" s="282" t="e">
        <v>#N/A</v>
      </c>
      <c r="AA2796" s="284" t="e">
        <v>#N/A</v>
      </c>
    </row>
    <row r="2797" spans="23:27" x14ac:dyDescent="0.2">
      <c r="W2797" s="203" t="str">
        <f t="shared" si="53"/>
        <v>1w</v>
      </c>
      <c r="X2797" s="287">
        <f>_xll.qlCalendarAdvance(Calendar,X2796,W2797,"f",FALSE)</f>
        <v>58742</v>
      </c>
      <c r="Y2797" s="281">
        <f>_xll.qlCalendarAdvance(Calendar,X2797,NDays&amp;"D")</f>
        <v>58746</v>
      </c>
      <c r="Z2797" s="282" t="e">
        <v>#N/A</v>
      </c>
      <c r="AA2797" s="284" t="e">
        <v>#N/A</v>
      </c>
    </row>
    <row r="2798" spans="23:27" x14ac:dyDescent="0.2">
      <c r="W2798" s="203" t="str">
        <f t="shared" si="53"/>
        <v>1w</v>
      </c>
      <c r="X2798" s="287">
        <f>_xll.qlCalendarAdvance(Calendar,X2797,W2798,"f",FALSE)</f>
        <v>58749</v>
      </c>
      <c r="Y2798" s="281">
        <f>_xll.qlCalendarAdvance(Calendar,X2798,NDays&amp;"D")</f>
        <v>58753</v>
      </c>
      <c r="Z2798" s="282" t="e">
        <v>#N/A</v>
      </c>
      <c r="AA2798" s="284" t="e">
        <v>#N/A</v>
      </c>
    </row>
    <row r="2799" spans="23:27" x14ac:dyDescent="0.2">
      <c r="W2799" s="203" t="str">
        <f t="shared" si="53"/>
        <v>1w</v>
      </c>
      <c r="X2799" s="287">
        <f>_xll.qlCalendarAdvance(Calendar,X2798,W2799,"f",FALSE)</f>
        <v>58756</v>
      </c>
      <c r="Y2799" s="281">
        <f>_xll.qlCalendarAdvance(Calendar,X2799,NDays&amp;"D")</f>
        <v>58760</v>
      </c>
      <c r="Z2799" s="282" t="e">
        <v>#N/A</v>
      </c>
      <c r="AA2799" s="284" t="e">
        <v>#N/A</v>
      </c>
    </row>
    <row r="2800" spans="23:27" x14ac:dyDescent="0.2">
      <c r="W2800" s="203" t="str">
        <f t="shared" si="53"/>
        <v>1w</v>
      </c>
      <c r="X2800" s="287">
        <f>_xll.qlCalendarAdvance(Calendar,X2799,W2800,"f",FALSE)</f>
        <v>58763</v>
      </c>
      <c r="Y2800" s="281">
        <f>_xll.qlCalendarAdvance(Calendar,X2800,NDays&amp;"D")</f>
        <v>58767</v>
      </c>
      <c r="Z2800" s="282" t="e">
        <v>#N/A</v>
      </c>
      <c r="AA2800" s="284" t="e">
        <v>#N/A</v>
      </c>
    </row>
    <row r="2801" spans="23:27" x14ac:dyDescent="0.2">
      <c r="W2801" s="203" t="str">
        <f t="shared" si="53"/>
        <v>1w</v>
      </c>
      <c r="X2801" s="287">
        <f>_xll.qlCalendarAdvance(Calendar,X2800,W2801,"f",FALSE)</f>
        <v>58770</v>
      </c>
      <c r="Y2801" s="281">
        <f>_xll.qlCalendarAdvance(Calendar,X2801,NDays&amp;"D")</f>
        <v>58774</v>
      </c>
      <c r="Z2801" s="282" t="e">
        <v>#N/A</v>
      </c>
      <c r="AA2801" s="284" t="e">
        <v>#N/A</v>
      </c>
    </row>
    <row r="2802" spans="23:27" x14ac:dyDescent="0.2">
      <c r="W2802" s="203" t="str">
        <f t="shared" si="53"/>
        <v>1w</v>
      </c>
      <c r="X2802" s="287">
        <f>_xll.qlCalendarAdvance(Calendar,X2801,W2802,"f",FALSE)</f>
        <v>58777</v>
      </c>
      <c r="Y2802" s="281">
        <f>_xll.qlCalendarAdvance(Calendar,X2802,NDays&amp;"D")</f>
        <v>58781</v>
      </c>
      <c r="Z2802" s="282" t="e">
        <v>#N/A</v>
      </c>
      <c r="AA2802" s="284" t="e">
        <v>#N/A</v>
      </c>
    </row>
    <row r="2803" spans="23:27" x14ac:dyDescent="0.2">
      <c r="W2803" s="203" t="str">
        <f t="shared" si="53"/>
        <v>1w</v>
      </c>
      <c r="X2803" s="287">
        <f>_xll.qlCalendarAdvance(Calendar,X2802,W2803,"f",FALSE)</f>
        <v>58784</v>
      </c>
      <c r="Y2803" s="281">
        <f>_xll.qlCalendarAdvance(Calendar,X2803,NDays&amp;"D")</f>
        <v>58788</v>
      </c>
      <c r="Z2803" s="282" t="e">
        <v>#N/A</v>
      </c>
      <c r="AA2803" s="284" t="e">
        <v>#N/A</v>
      </c>
    </row>
    <row r="2804" spans="23:27" x14ac:dyDescent="0.2">
      <c r="W2804" s="203" t="str">
        <f t="shared" si="53"/>
        <v>1w</v>
      </c>
      <c r="X2804" s="287">
        <f>_xll.qlCalendarAdvance(Calendar,X2803,W2804,"f",FALSE)</f>
        <v>58791</v>
      </c>
      <c r="Y2804" s="281">
        <f>_xll.qlCalendarAdvance(Calendar,X2804,NDays&amp;"D")</f>
        <v>58795</v>
      </c>
      <c r="Z2804" s="282" t="e">
        <v>#N/A</v>
      </c>
      <c r="AA2804" s="284" t="e">
        <v>#N/A</v>
      </c>
    </row>
    <row r="2805" spans="23:27" x14ac:dyDescent="0.2">
      <c r="W2805" s="203" t="str">
        <f t="shared" si="53"/>
        <v>1w</v>
      </c>
      <c r="X2805" s="287">
        <f>_xll.qlCalendarAdvance(Calendar,X2804,W2805,"f",FALSE)</f>
        <v>58799</v>
      </c>
      <c r="Y2805" s="281">
        <f>_xll.qlCalendarAdvance(Calendar,X2805,NDays&amp;"D")</f>
        <v>58805</v>
      </c>
      <c r="Z2805" s="282" t="e">
        <v>#N/A</v>
      </c>
      <c r="AA2805" s="284" t="e">
        <v>#N/A</v>
      </c>
    </row>
    <row r="2806" spans="23:27" x14ac:dyDescent="0.2">
      <c r="W2806" s="203" t="str">
        <f t="shared" si="53"/>
        <v>1w</v>
      </c>
      <c r="X2806" s="287">
        <f>_xll.qlCalendarAdvance(Calendar,X2805,W2806,"f",FALSE)</f>
        <v>58810</v>
      </c>
      <c r="Y2806" s="281">
        <f>_xll.qlCalendarAdvance(Calendar,X2806,NDays&amp;"D")</f>
        <v>58812</v>
      </c>
      <c r="Z2806" s="282" t="e">
        <v>#N/A</v>
      </c>
      <c r="AA2806" s="284" t="e">
        <v>#N/A</v>
      </c>
    </row>
    <row r="2807" spans="23:27" x14ac:dyDescent="0.2">
      <c r="W2807" s="203" t="str">
        <f t="shared" si="53"/>
        <v>1w</v>
      </c>
      <c r="X2807" s="287">
        <f>_xll.qlCalendarAdvance(Calendar,X2806,W2807,"f",FALSE)</f>
        <v>58817</v>
      </c>
      <c r="Y2807" s="281">
        <f>_xll.qlCalendarAdvance(Calendar,X2807,NDays&amp;"D")</f>
        <v>58819</v>
      </c>
      <c r="Z2807" s="282" t="e">
        <v>#N/A</v>
      </c>
      <c r="AA2807" s="284" t="e">
        <v>#N/A</v>
      </c>
    </row>
    <row r="2808" spans="23:27" x14ac:dyDescent="0.2">
      <c r="W2808" s="203" t="str">
        <f t="shared" si="53"/>
        <v>1w</v>
      </c>
      <c r="X2808" s="287">
        <f>_xll.qlCalendarAdvance(Calendar,X2807,W2808,"f",FALSE)</f>
        <v>58824</v>
      </c>
      <c r="Y2808" s="281">
        <f>_xll.qlCalendarAdvance(Calendar,X2808,NDays&amp;"D")</f>
        <v>58826</v>
      </c>
      <c r="Z2808" s="282" t="e">
        <v>#N/A</v>
      </c>
      <c r="AA2808" s="284" t="e">
        <v>#N/A</v>
      </c>
    </row>
    <row r="2809" spans="23:27" x14ac:dyDescent="0.2">
      <c r="W2809" s="203" t="str">
        <f t="shared" si="53"/>
        <v>1w</v>
      </c>
      <c r="X2809" s="287">
        <f>_xll.qlCalendarAdvance(Calendar,X2808,W2809,"f",FALSE)</f>
        <v>58831</v>
      </c>
      <c r="Y2809" s="281">
        <f>_xll.qlCalendarAdvance(Calendar,X2809,NDays&amp;"D")</f>
        <v>58833</v>
      </c>
      <c r="Z2809" s="282" t="e">
        <v>#N/A</v>
      </c>
      <c r="AA2809" s="284" t="e">
        <v>#N/A</v>
      </c>
    </row>
    <row r="2810" spans="23:27" x14ac:dyDescent="0.2">
      <c r="W2810" s="203" t="str">
        <f t="shared" si="53"/>
        <v>1w</v>
      </c>
      <c r="X2810" s="287">
        <f>_xll.qlCalendarAdvance(Calendar,X2809,W2810,"f",FALSE)</f>
        <v>58838</v>
      </c>
      <c r="Y2810" s="281">
        <f>_xll.qlCalendarAdvance(Calendar,X2810,NDays&amp;"D")</f>
        <v>58840</v>
      </c>
      <c r="Z2810" s="282" t="e">
        <v>#N/A</v>
      </c>
      <c r="AA2810" s="284" t="e">
        <v>#N/A</v>
      </c>
    </row>
    <row r="2811" spans="23:27" x14ac:dyDescent="0.2">
      <c r="W2811" s="203" t="str">
        <f t="shared" si="53"/>
        <v>1w</v>
      </c>
      <c r="X2811" s="287">
        <f>_xll.qlCalendarAdvance(Calendar,X2810,W2811,"f",FALSE)</f>
        <v>58845</v>
      </c>
      <c r="Y2811" s="281">
        <f>_xll.qlCalendarAdvance(Calendar,X2811,NDays&amp;"D")</f>
        <v>58847</v>
      </c>
      <c r="Z2811" s="282" t="e">
        <v>#N/A</v>
      </c>
      <c r="AA2811" s="284" t="e">
        <v>#N/A</v>
      </c>
    </row>
    <row r="2812" spans="23:27" x14ac:dyDescent="0.2">
      <c r="W2812" s="203" t="str">
        <f t="shared" si="53"/>
        <v>1w</v>
      </c>
      <c r="X2812" s="287">
        <f>_xll.qlCalendarAdvance(Calendar,X2811,W2812,"f",FALSE)</f>
        <v>58852</v>
      </c>
      <c r="Y2812" s="281">
        <f>_xll.qlCalendarAdvance(Calendar,X2812,NDays&amp;"D")</f>
        <v>58854</v>
      </c>
      <c r="Z2812" s="282" t="e">
        <v>#N/A</v>
      </c>
      <c r="AA2812" s="284" t="e">
        <v>#N/A</v>
      </c>
    </row>
    <row r="2813" spans="23:27" x14ac:dyDescent="0.2">
      <c r="W2813" s="203" t="str">
        <f t="shared" si="53"/>
        <v>1w</v>
      </c>
      <c r="X2813" s="287">
        <f>_xll.qlCalendarAdvance(Calendar,X2812,W2813,"f",FALSE)</f>
        <v>58859</v>
      </c>
      <c r="Y2813" s="281">
        <f>_xll.qlCalendarAdvance(Calendar,X2813,NDays&amp;"D")</f>
        <v>58861</v>
      </c>
      <c r="Z2813" s="282" t="e">
        <v>#N/A</v>
      </c>
      <c r="AA2813" s="284" t="e">
        <v>#N/A</v>
      </c>
    </row>
    <row r="2814" spans="23:27" x14ac:dyDescent="0.2">
      <c r="W2814" s="203" t="str">
        <f t="shared" si="53"/>
        <v>1w</v>
      </c>
      <c r="X2814" s="287">
        <f>_xll.qlCalendarAdvance(Calendar,X2813,W2814,"f",FALSE)</f>
        <v>58866</v>
      </c>
      <c r="Y2814" s="281">
        <f>_xll.qlCalendarAdvance(Calendar,X2814,NDays&amp;"D")</f>
        <v>58868</v>
      </c>
      <c r="Z2814" s="282" t="e">
        <v>#N/A</v>
      </c>
      <c r="AA2814" s="284" t="e">
        <v>#N/A</v>
      </c>
    </row>
    <row r="2815" spans="23:27" x14ac:dyDescent="0.2">
      <c r="W2815" s="203" t="str">
        <f t="shared" si="53"/>
        <v>1w</v>
      </c>
      <c r="X2815" s="287">
        <f>_xll.qlCalendarAdvance(Calendar,X2814,W2815,"f",FALSE)</f>
        <v>58873</v>
      </c>
      <c r="Y2815" s="281">
        <f>_xll.qlCalendarAdvance(Calendar,X2815,NDays&amp;"D")</f>
        <v>58875</v>
      </c>
      <c r="Z2815" s="282" t="e">
        <v>#N/A</v>
      </c>
      <c r="AA2815" s="284" t="e">
        <v>#N/A</v>
      </c>
    </row>
    <row r="2816" spans="23:27" x14ac:dyDescent="0.2">
      <c r="W2816" s="203" t="str">
        <f t="shared" si="53"/>
        <v>1w</v>
      </c>
      <c r="X2816" s="287">
        <f>_xll.qlCalendarAdvance(Calendar,X2815,W2816,"f",FALSE)</f>
        <v>58880</v>
      </c>
      <c r="Y2816" s="281">
        <f>_xll.qlCalendarAdvance(Calendar,X2816,NDays&amp;"D")</f>
        <v>58882</v>
      </c>
      <c r="Z2816" s="282" t="e">
        <v>#N/A</v>
      </c>
      <c r="AA2816" s="284" t="e">
        <v>#N/A</v>
      </c>
    </row>
    <row r="2817" spans="23:27" x14ac:dyDescent="0.2">
      <c r="W2817" s="203" t="str">
        <f t="shared" si="53"/>
        <v>1w</v>
      </c>
      <c r="X2817" s="287">
        <f>_xll.qlCalendarAdvance(Calendar,X2816,W2817,"f",FALSE)</f>
        <v>58887</v>
      </c>
      <c r="Y2817" s="281">
        <f>_xll.qlCalendarAdvance(Calendar,X2817,NDays&amp;"D")</f>
        <v>58889</v>
      </c>
      <c r="Z2817" s="282" t="e">
        <v>#N/A</v>
      </c>
      <c r="AA2817" s="284" t="e">
        <v>#N/A</v>
      </c>
    </row>
    <row r="2818" spans="23:27" x14ac:dyDescent="0.2">
      <c r="W2818" s="203" t="str">
        <f t="shared" si="53"/>
        <v>1w</v>
      </c>
      <c r="X2818" s="287">
        <f>_xll.qlCalendarAdvance(Calendar,X2817,W2818,"f",FALSE)</f>
        <v>58894</v>
      </c>
      <c r="Y2818" s="281">
        <f>_xll.qlCalendarAdvance(Calendar,X2818,NDays&amp;"D")</f>
        <v>58896</v>
      </c>
      <c r="Z2818" s="282" t="e">
        <v>#N/A</v>
      </c>
      <c r="AA2818" s="284" t="e">
        <v>#N/A</v>
      </c>
    </row>
    <row r="2819" spans="23:27" x14ac:dyDescent="0.2">
      <c r="W2819" s="203" t="str">
        <f t="shared" si="53"/>
        <v>1w</v>
      </c>
      <c r="X2819" s="287">
        <f>_xll.qlCalendarAdvance(Calendar,X2818,W2819,"f",FALSE)</f>
        <v>58901</v>
      </c>
      <c r="Y2819" s="281">
        <f>_xll.qlCalendarAdvance(Calendar,X2819,NDays&amp;"D")</f>
        <v>58903</v>
      </c>
      <c r="Z2819" s="282" t="e">
        <v>#N/A</v>
      </c>
      <c r="AA2819" s="284" t="e">
        <v>#N/A</v>
      </c>
    </row>
    <row r="2820" spans="23:27" x14ac:dyDescent="0.2">
      <c r="W2820" s="203" t="str">
        <f t="shared" si="53"/>
        <v>1w</v>
      </c>
      <c r="X2820" s="287">
        <f>_xll.qlCalendarAdvance(Calendar,X2819,W2820,"f",FALSE)</f>
        <v>58908</v>
      </c>
      <c r="Y2820" s="281">
        <f>_xll.qlCalendarAdvance(Calendar,X2820,NDays&amp;"D")</f>
        <v>58910</v>
      </c>
      <c r="Z2820" s="282" t="e">
        <v>#N/A</v>
      </c>
      <c r="AA2820" s="284" t="e">
        <v>#N/A</v>
      </c>
    </row>
    <row r="2821" spans="23:27" x14ac:dyDescent="0.2">
      <c r="W2821" s="203" t="str">
        <f t="shared" si="53"/>
        <v>1w</v>
      </c>
      <c r="X2821" s="287">
        <f>_xll.qlCalendarAdvance(Calendar,X2820,W2821,"f",FALSE)</f>
        <v>58915</v>
      </c>
      <c r="Y2821" s="281">
        <f>_xll.qlCalendarAdvance(Calendar,X2821,NDays&amp;"D")</f>
        <v>58917</v>
      </c>
      <c r="Z2821" s="282" t="e">
        <v>#N/A</v>
      </c>
      <c r="AA2821" s="284" t="e">
        <v>#N/A</v>
      </c>
    </row>
    <row r="2822" spans="23:27" x14ac:dyDescent="0.2">
      <c r="W2822" s="203" t="str">
        <f t="shared" si="53"/>
        <v>1w</v>
      </c>
      <c r="X2822" s="287">
        <f>_xll.qlCalendarAdvance(Calendar,X2821,W2822,"f",FALSE)</f>
        <v>58922</v>
      </c>
      <c r="Y2822" s="281">
        <f>_xll.qlCalendarAdvance(Calendar,X2822,NDays&amp;"D")</f>
        <v>58924</v>
      </c>
      <c r="Z2822" s="282" t="e">
        <v>#N/A</v>
      </c>
      <c r="AA2822" s="284" t="e">
        <v>#N/A</v>
      </c>
    </row>
    <row r="2823" spans="23:27" x14ac:dyDescent="0.2">
      <c r="W2823" s="203" t="str">
        <f t="shared" si="53"/>
        <v>1w</v>
      </c>
      <c r="X2823" s="287">
        <f>_xll.qlCalendarAdvance(Calendar,X2822,W2823,"f",FALSE)</f>
        <v>58932</v>
      </c>
      <c r="Y2823" s="281">
        <f>_xll.qlCalendarAdvance(Calendar,X2823,NDays&amp;"D")</f>
        <v>58936</v>
      </c>
      <c r="Z2823" s="282" t="e">
        <v>#N/A</v>
      </c>
      <c r="AA2823" s="284" t="e">
        <v>#N/A</v>
      </c>
    </row>
    <row r="2824" spans="23:27" x14ac:dyDescent="0.2">
      <c r="W2824" s="203" t="str">
        <f t="shared" si="53"/>
        <v>1w</v>
      </c>
      <c r="X2824" s="287">
        <f>_xll.qlCalendarAdvance(Calendar,X2823,W2824,"f",FALSE)</f>
        <v>58939</v>
      </c>
      <c r="Y2824" s="281">
        <f>_xll.qlCalendarAdvance(Calendar,X2824,NDays&amp;"D")</f>
        <v>58943</v>
      </c>
      <c r="Z2824" s="282" t="e">
        <v>#N/A</v>
      </c>
      <c r="AA2824" s="284" t="e">
        <v>#N/A</v>
      </c>
    </row>
    <row r="2825" spans="23:27" x14ac:dyDescent="0.2">
      <c r="W2825" s="203" t="str">
        <f t="shared" si="53"/>
        <v>1w</v>
      </c>
      <c r="X2825" s="287">
        <f>_xll.qlCalendarAdvance(Calendar,X2824,W2825,"f",FALSE)</f>
        <v>58946</v>
      </c>
      <c r="Y2825" s="281">
        <f>_xll.qlCalendarAdvance(Calendar,X2825,NDays&amp;"D")</f>
        <v>58950</v>
      </c>
      <c r="Z2825" s="282" t="e">
        <v>#N/A</v>
      </c>
      <c r="AA2825" s="284" t="e">
        <v>#N/A</v>
      </c>
    </row>
    <row r="2826" spans="23:27" x14ac:dyDescent="0.2">
      <c r="W2826" s="203" t="str">
        <f t="shared" si="53"/>
        <v>1w</v>
      </c>
      <c r="X2826" s="287">
        <f>_xll.qlCalendarAdvance(Calendar,X2825,W2826,"f",FALSE)</f>
        <v>58953</v>
      </c>
      <c r="Y2826" s="281">
        <f>_xll.qlCalendarAdvance(Calendar,X2826,NDays&amp;"D")</f>
        <v>58958</v>
      </c>
      <c r="Z2826" s="282" t="e">
        <v>#N/A</v>
      </c>
      <c r="AA2826" s="284" t="e">
        <v>#N/A</v>
      </c>
    </row>
    <row r="2827" spans="23:27" x14ac:dyDescent="0.2">
      <c r="W2827" s="203" t="str">
        <f t="shared" si="53"/>
        <v>1w</v>
      </c>
      <c r="X2827" s="287">
        <f>_xll.qlCalendarAdvance(Calendar,X2826,W2827,"f",FALSE)</f>
        <v>58960</v>
      </c>
      <c r="Y2827" s="281">
        <f>_xll.qlCalendarAdvance(Calendar,X2827,NDays&amp;"D")</f>
        <v>58964</v>
      </c>
      <c r="Z2827" s="282" t="e">
        <v>#N/A</v>
      </c>
      <c r="AA2827" s="284" t="e">
        <v>#N/A</v>
      </c>
    </row>
    <row r="2828" spans="23:27" x14ac:dyDescent="0.2">
      <c r="W2828" s="203" t="str">
        <f t="shared" si="53"/>
        <v>1w</v>
      </c>
      <c r="X2828" s="287">
        <f>_xll.qlCalendarAdvance(Calendar,X2827,W2828,"f",FALSE)</f>
        <v>58967</v>
      </c>
      <c r="Y2828" s="281">
        <f>_xll.qlCalendarAdvance(Calendar,X2828,NDays&amp;"D")</f>
        <v>58971</v>
      </c>
      <c r="Z2828" s="282" t="e">
        <v>#N/A</v>
      </c>
      <c r="AA2828" s="284" t="e">
        <v>#N/A</v>
      </c>
    </row>
    <row r="2829" spans="23:27" x14ac:dyDescent="0.2">
      <c r="W2829" s="203" t="str">
        <f t="shared" si="53"/>
        <v>1w</v>
      </c>
      <c r="X2829" s="287">
        <f>_xll.qlCalendarAdvance(Calendar,X2828,W2829,"f",FALSE)</f>
        <v>58974</v>
      </c>
      <c r="Y2829" s="281">
        <f>_xll.qlCalendarAdvance(Calendar,X2829,NDays&amp;"D")</f>
        <v>58978</v>
      </c>
      <c r="Z2829" s="282" t="e">
        <v>#N/A</v>
      </c>
      <c r="AA2829" s="284" t="e">
        <v>#N/A</v>
      </c>
    </row>
    <row r="2830" spans="23:27" x14ac:dyDescent="0.2">
      <c r="W2830" s="203" t="str">
        <f t="shared" si="53"/>
        <v>1w</v>
      </c>
      <c r="X2830" s="287">
        <f>_xll.qlCalendarAdvance(Calendar,X2829,W2830,"f",FALSE)</f>
        <v>58981</v>
      </c>
      <c r="Y2830" s="281">
        <f>_xll.qlCalendarAdvance(Calendar,X2830,NDays&amp;"D")</f>
        <v>58985</v>
      </c>
      <c r="Z2830" s="282" t="e">
        <v>#N/A</v>
      </c>
      <c r="AA2830" s="284" t="e">
        <v>#N/A</v>
      </c>
    </row>
    <row r="2831" spans="23:27" x14ac:dyDescent="0.2">
      <c r="W2831" s="203" t="str">
        <f t="shared" si="53"/>
        <v>1w</v>
      </c>
      <c r="X2831" s="287">
        <f>_xll.qlCalendarAdvance(Calendar,X2830,W2831,"f",FALSE)</f>
        <v>58988</v>
      </c>
      <c r="Y2831" s="281">
        <f>_xll.qlCalendarAdvance(Calendar,X2831,NDays&amp;"D")</f>
        <v>58992</v>
      </c>
      <c r="Z2831" s="282" t="e">
        <v>#N/A</v>
      </c>
      <c r="AA2831" s="284" t="e">
        <v>#N/A</v>
      </c>
    </row>
    <row r="2832" spans="23:27" x14ac:dyDescent="0.2">
      <c r="W2832" s="203" t="str">
        <f t="shared" si="53"/>
        <v>1w</v>
      </c>
      <c r="X2832" s="287">
        <f>_xll.qlCalendarAdvance(Calendar,X2831,W2832,"f",FALSE)</f>
        <v>58995</v>
      </c>
      <c r="Y2832" s="281">
        <f>_xll.qlCalendarAdvance(Calendar,X2832,NDays&amp;"D")</f>
        <v>58999</v>
      </c>
      <c r="Z2832" s="282" t="e">
        <v>#N/A</v>
      </c>
      <c r="AA2832" s="284" t="e">
        <v>#N/A</v>
      </c>
    </row>
    <row r="2833" spans="23:27" x14ac:dyDescent="0.2">
      <c r="W2833" s="203" t="str">
        <f t="shared" si="53"/>
        <v>1w</v>
      </c>
      <c r="X2833" s="287">
        <f>_xll.qlCalendarAdvance(Calendar,X2832,W2833,"f",FALSE)</f>
        <v>59002</v>
      </c>
      <c r="Y2833" s="281">
        <f>_xll.qlCalendarAdvance(Calendar,X2833,NDays&amp;"D")</f>
        <v>59007</v>
      </c>
      <c r="Z2833" s="282" t="e">
        <v>#N/A</v>
      </c>
      <c r="AA2833" s="284" t="e">
        <v>#N/A</v>
      </c>
    </row>
    <row r="2834" spans="23:27" x14ac:dyDescent="0.2">
      <c r="W2834" s="203" t="str">
        <f t="shared" si="53"/>
        <v>1w</v>
      </c>
      <c r="X2834" s="287">
        <f>_xll.qlCalendarAdvance(Calendar,X2833,W2834,"f",FALSE)</f>
        <v>59009</v>
      </c>
      <c r="Y2834" s="281">
        <f>_xll.qlCalendarAdvance(Calendar,X2834,NDays&amp;"D")</f>
        <v>59013</v>
      </c>
      <c r="Z2834" s="282" t="e">
        <v>#N/A</v>
      </c>
      <c r="AA2834" s="284" t="e">
        <v>#N/A</v>
      </c>
    </row>
    <row r="2835" spans="23:27" x14ac:dyDescent="0.2">
      <c r="W2835" s="203" t="str">
        <f t="shared" si="53"/>
        <v>1w</v>
      </c>
      <c r="X2835" s="287">
        <f>_xll.qlCalendarAdvance(Calendar,X2834,W2835,"f",FALSE)</f>
        <v>59016</v>
      </c>
      <c r="Y2835" s="281">
        <f>_xll.qlCalendarAdvance(Calendar,X2835,NDays&amp;"D")</f>
        <v>59020</v>
      </c>
      <c r="Z2835" s="282" t="e">
        <v>#N/A</v>
      </c>
      <c r="AA2835" s="284" t="e">
        <v>#N/A</v>
      </c>
    </row>
    <row r="2836" spans="23:27" x14ac:dyDescent="0.2">
      <c r="W2836" s="203" t="str">
        <f t="shared" si="53"/>
        <v>1w</v>
      </c>
      <c r="X2836" s="287">
        <f>_xll.qlCalendarAdvance(Calendar,X2835,W2836,"f",FALSE)</f>
        <v>59023</v>
      </c>
      <c r="Y2836" s="281">
        <f>_xll.qlCalendarAdvance(Calendar,X2836,NDays&amp;"D")</f>
        <v>59027</v>
      </c>
      <c r="Z2836" s="282" t="e">
        <v>#N/A</v>
      </c>
      <c r="AA2836" s="284" t="e">
        <v>#N/A</v>
      </c>
    </row>
    <row r="2837" spans="23:27" x14ac:dyDescent="0.2">
      <c r="W2837" s="203" t="str">
        <f t="shared" ref="W2837:W2900" si="54">W2836</f>
        <v>1w</v>
      </c>
      <c r="X2837" s="287">
        <f>_xll.qlCalendarAdvance(Calendar,X2836,W2837,"f",FALSE)</f>
        <v>59030</v>
      </c>
      <c r="Y2837" s="281">
        <f>_xll.qlCalendarAdvance(Calendar,X2837,NDays&amp;"D")</f>
        <v>59034</v>
      </c>
      <c r="Z2837" s="282" t="e">
        <v>#N/A</v>
      </c>
      <c r="AA2837" s="284" t="e">
        <v>#N/A</v>
      </c>
    </row>
    <row r="2838" spans="23:27" x14ac:dyDescent="0.2">
      <c r="W2838" s="203" t="str">
        <f t="shared" si="54"/>
        <v>1w</v>
      </c>
      <c r="X2838" s="287">
        <f>_xll.qlCalendarAdvance(Calendar,X2837,W2838,"f",FALSE)</f>
        <v>59037</v>
      </c>
      <c r="Y2838" s="281">
        <f>_xll.qlCalendarAdvance(Calendar,X2838,NDays&amp;"D")</f>
        <v>59041</v>
      </c>
      <c r="Z2838" s="282" t="e">
        <v>#N/A</v>
      </c>
      <c r="AA2838" s="284" t="e">
        <v>#N/A</v>
      </c>
    </row>
    <row r="2839" spans="23:27" x14ac:dyDescent="0.2">
      <c r="W2839" s="203" t="str">
        <f t="shared" si="54"/>
        <v>1w</v>
      </c>
      <c r="X2839" s="287">
        <f>_xll.qlCalendarAdvance(Calendar,X2838,W2839,"f",FALSE)</f>
        <v>59044</v>
      </c>
      <c r="Y2839" s="281">
        <f>_xll.qlCalendarAdvance(Calendar,X2839,NDays&amp;"D")</f>
        <v>59049</v>
      </c>
      <c r="Z2839" s="282" t="e">
        <v>#N/A</v>
      </c>
      <c r="AA2839" s="284" t="e">
        <v>#N/A</v>
      </c>
    </row>
    <row r="2840" spans="23:27" x14ac:dyDescent="0.2">
      <c r="W2840" s="203" t="str">
        <f t="shared" si="54"/>
        <v>1w</v>
      </c>
      <c r="X2840" s="287">
        <f>_xll.qlCalendarAdvance(Calendar,X2839,W2840,"f",FALSE)</f>
        <v>59051</v>
      </c>
      <c r="Y2840" s="281">
        <f>_xll.qlCalendarAdvance(Calendar,X2840,NDays&amp;"D")</f>
        <v>59055</v>
      </c>
      <c r="Z2840" s="282" t="e">
        <v>#N/A</v>
      </c>
      <c r="AA2840" s="284" t="e">
        <v>#N/A</v>
      </c>
    </row>
    <row r="2841" spans="23:27" x14ac:dyDescent="0.2">
      <c r="W2841" s="203" t="str">
        <f t="shared" si="54"/>
        <v>1w</v>
      </c>
      <c r="X2841" s="287">
        <f>_xll.qlCalendarAdvance(Calendar,X2840,W2841,"f",FALSE)</f>
        <v>59058</v>
      </c>
      <c r="Y2841" s="281">
        <f>_xll.qlCalendarAdvance(Calendar,X2841,NDays&amp;"D")</f>
        <v>59062</v>
      </c>
      <c r="Z2841" s="282" t="e">
        <v>#N/A</v>
      </c>
      <c r="AA2841" s="284" t="e">
        <v>#N/A</v>
      </c>
    </row>
    <row r="2842" spans="23:27" x14ac:dyDescent="0.2">
      <c r="W2842" s="203" t="str">
        <f t="shared" si="54"/>
        <v>1w</v>
      </c>
      <c r="X2842" s="287">
        <f>_xll.qlCalendarAdvance(Calendar,X2841,W2842,"f",FALSE)</f>
        <v>59065</v>
      </c>
      <c r="Y2842" s="281">
        <f>_xll.qlCalendarAdvance(Calendar,X2842,NDays&amp;"D")</f>
        <v>59070</v>
      </c>
      <c r="Z2842" s="282" t="e">
        <v>#N/A</v>
      </c>
      <c r="AA2842" s="284" t="e">
        <v>#N/A</v>
      </c>
    </row>
    <row r="2843" spans="23:27" x14ac:dyDescent="0.2">
      <c r="W2843" s="203" t="str">
        <f t="shared" si="54"/>
        <v>1w</v>
      </c>
      <c r="X2843" s="287">
        <f>_xll.qlCalendarAdvance(Calendar,X2842,W2843,"f",FALSE)</f>
        <v>59072</v>
      </c>
      <c r="Y2843" s="281">
        <f>_xll.qlCalendarAdvance(Calendar,X2843,NDays&amp;"D")</f>
        <v>59076</v>
      </c>
      <c r="Z2843" s="282" t="e">
        <v>#N/A</v>
      </c>
      <c r="AA2843" s="284" t="e">
        <v>#N/A</v>
      </c>
    </row>
    <row r="2844" spans="23:27" x14ac:dyDescent="0.2">
      <c r="W2844" s="203" t="str">
        <f t="shared" si="54"/>
        <v>1w</v>
      </c>
      <c r="X2844" s="287">
        <f>_xll.qlCalendarAdvance(Calendar,X2843,W2844,"f",FALSE)</f>
        <v>59079</v>
      </c>
      <c r="Y2844" s="281">
        <f>_xll.qlCalendarAdvance(Calendar,X2844,NDays&amp;"D")</f>
        <v>59083</v>
      </c>
      <c r="Z2844" s="282" t="e">
        <v>#N/A</v>
      </c>
      <c r="AA2844" s="284" t="e">
        <v>#N/A</v>
      </c>
    </row>
    <row r="2845" spans="23:27" x14ac:dyDescent="0.2">
      <c r="W2845" s="203" t="str">
        <f t="shared" si="54"/>
        <v>1w</v>
      </c>
      <c r="X2845" s="287">
        <f>_xll.qlCalendarAdvance(Calendar,X2844,W2845,"f",FALSE)</f>
        <v>59086</v>
      </c>
      <c r="Y2845" s="281">
        <f>_xll.qlCalendarAdvance(Calendar,X2845,NDays&amp;"D")</f>
        <v>59091</v>
      </c>
      <c r="Z2845" s="282" t="e">
        <v>#N/A</v>
      </c>
      <c r="AA2845" s="284" t="e">
        <v>#N/A</v>
      </c>
    </row>
    <row r="2846" spans="23:27" x14ac:dyDescent="0.2">
      <c r="W2846" s="203" t="str">
        <f t="shared" si="54"/>
        <v>1w</v>
      </c>
      <c r="X2846" s="287">
        <f>_xll.qlCalendarAdvance(Calendar,X2845,W2846,"f",FALSE)</f>
        <v>59093</v>
      </c>
      <c r="Y2846" s="281">
        <f>_xll.qlCalendarAdvance(Calendar,X2846,NDays&amp;"D")</f>
        <v>59097</v>
      </c>
      <c r="Z2846" s="282" t="e">
        <v>#N/A</v>
      </c>
      <c r="AA2846" s="284" t="e">
        <v>#N/A</v>
      </c>
    </row>
    <row r="2847" spans="23:27" x14ac:dyDescent="0.2">
      <c r="W2847" s="203" t="str">
        <f t="shared" si="54"/>
        <v>1w</v>
      </c>
      <c r="X2847" s="287">
        <f>_xll.qlCalendarAdvance(Calendar,X2846,W2847,"f",FALSE)</f>
        <v>59100</v>
      </c>
      <c r="Y2847" s="281">
        <f>_xll.qlCalendarAdvance(Calendar,X2847,NDays&amp;"D")</f>
        <v>59104</v>
      </c>
      <c r="Z2847" s="282" t="e">
        <v>#N/A</v>
      </c>
      <c r="AA2847" s="284" t="e">
        <v>#N/A</v>
      </c>
    </row>
    <row r="2848" spans="23:27" x14ac:dyDescent="0.2">
      <c r="W2848" s="203" t="str">
        <f t="shared" si="54"/>
        <v>1w</v>
      </c>
      <c r="X2848" s="287">
        <f>_xll.qlCalendarAdvance(Calendar,X2847,W2848,"f",FALSE)</f>
        <v>59107</v>
      </c>
      <c r="Y2848" s="281">
        <f>_xll.qlCalendarAdvance(Calendar,X2848,NDays&amp;"D")</f>
        <v>59111</v>
      </c>
      <c r="Z2848" s="282" t="e">
        <v>#N/A</v>
      </c>
      <c r="AA2848" s="284" t="e">
        <v>#N/A</v>
      </c>
    </row>
    <row r="2849" spans="23:27" x14ac:dyDescent="0.2">
      <c r="W2849" s="203" t="str">
        <f t="shared" si="54"/>
        <v>1w</v>
      </c>
      <c r="X2849" s="287">
        <f>_xll.qlCalendarAdvance(Calendar,X2848,W2849,"f",FALSE)</f>
        <v>59114</v>
      </c>
      <c r="Y2849" s="281">
        <f>_xll.qlCalendarAdvance(Calendar,X2849,NDays&amp;"D")</f>
        <v>59118</v>
      </c>
      <c r="Z2849" s="282" t="e">
        <v>#N/A</v>
      </c>
      <c r="AA2849" s="284" t="e">
        <v>#N/A</v>
      </c>
    </row>
    <row r="2850" spans="23:27" x14ac:dyDescent="0.2">
      <c r="W2850" s="203" t="str">
        <f t="shared" si="54"/>
        <v>1w</v>
      </c>
      <c r="X2850" s="287">
        <f>_xll.qlCalendarAdvance(Calendar,X2849,W2850,"f",FALSE)</f>
        <v>59121</v>
      </c>
      <c r="Y2850" s="281">
        <f>_xll.qlCalendarAdvance(Calendar,X2850,NDays&amp;"D")</f>
        <v>59125</v>
      </c>
      <c r="Z2850" s="282" t="e">
        <v>#N/A</v>
      </c>
      <c r="AA2850" s="284" t="e">
        <v>#N/A</v>
      </c>
    </row>
    <row r="2851" spans="23:27" x14ac:dyDescent="0.2">
      <c r="W2851" s="203" t="str">
        <f t="shared" si="54"/>
        <v>1w</v>
      </c>
      <c r="X2851" s="287">
        <f>_xll.qlCalendarAdvance(Calendar,X2850,W2851,"f",FALSE)</f>
        <v>59128</v>
      </c>
      <c r="Y2851" s="281">
        <f>_xll.qlCalendarAdvance(Calendar,X2851,NDays&amp;"D")</f>
        <v>59132</v>
      </c>
      <c r="Z2851" s="282" t="e">
        <v>#N/A</v>
      </c>
      <c r="AA2851" s="284" t="e">
        <v>#N/A</v>
      </c>
    </row>
    <row r="2852" spans="23:27" x14ac:dyDescent="0.2">
      <c r="W2852" s="203" t="str">
        <f t="shared" si="54"/>
        <v>1w</v>
      </c>
      <c r="X2852" s="287">
        <f>_xll.qlCalendarAdvance(Calendar,X2851,W2852,"f",FALSE)</f>
        <v>59135</v>
      </c>
      <c r="Y2852" s="281">
        <f>_xll.qlCalendarAdvance(Calendar,X2852,NDays&amp;"D")</f>
        <v>59139</v>
      </c>
      <c r="Z2852" s="282" t="e">
        <v>#N/A</v>
      </c>
      <c r="AA2852" s="284" t="e">
        <v>#N/A</v>
      </c>
    </row>
    <row r="2853" spans="23:27" x14ac:dyDescent="0.2">
      <c r="W2853" s="203" t="str">
        <f t="shared" si="54"/>
        <v>1w</v>
      </c>
      <c r="X2853" s="287">
        <f>_xll.qlCalendarAdvance(Calendar,X2852,W2853,"f",FALSE)</f>
        <v>59142</v>
      </c>
      <c r="Y2853" s="281">
        <f>_xll.qlCalendarAdvance(Calendar,X2853,NDays&amp;"D")</f>
        <v>59146</v>
      </c>
      <c r="Z2853" s="282" t="e">
        <v>#N/A</v>
      </c>
      <c r="AA2853" s="284" t="e">
        <v>#N/A</v>
      </c>
    </row>
    <row r="2854" spans="23:27" x14ac:dyDescent="0.2">
      <c r="W2854" s="203" t="str">
        <f t="shared" si="54"/>
        <v>1w</v>
      </c>
      <c r="X2854" s="287">
        <f>_xll.qlCalendarAdvance(Calendar,X2853,W2854,"f",FALSE)</f>
        <v>59149</v>
      </c>
      <c r="Y2854" s="281">
        <f>_xll.qlCalendarAdvance(Calendar,X2854,NDays&amp;"D")</f>
        <v>59153</v>
      </c>
      <c r="Z2854" s="282" t="e">
        <v>#N/A</v>
      </c>
      <c r="AA2854" s="284" t="e">
        <v>#N/A</v>
      </c>
    </row>
    <row r="2855" spans="23:27" x14ac:dyDescent="0.2">
      <c r="W2855" s="203" t="str">
        <f t="shared" si="54"/>
        <v>1w</v>
      </c>
      <c r="X2855" s="287">
        <f>_xll.qlCalendarAdvance(Calendar,X2854,W2855,"f",FALSE)</f>
        <v>59156</v>
      </c>
      <c r="Y2855" s="281">
        <f>_xll.qlCalendarAdvance(Calendar,X2855,NDays&amp;"D")</f>
        <v>59160</v>
      </c>
      <c r="Z2855" s="282" t="e">
        <v>#N/A</v>
      </c>
      <c r="AA2855" s="284" t="e">
        <v>#N/A</v>
      </c>
    </row>
    <row r="2856" spans="23:27" x14ac:dyDescent="0.2">
      <c r="W2856" s="203" t="str">
        <f t="shared" si="54"/>
        <v>1w</v>
      </c>
      <c r="X2856" s="287">
        <f>_xll.qlCalendarAdvance(Calendar,X2855,W2856,"f",FALSE)</f>
        <v>59168</v>
      </c>
      <c r="Y2856" s="281">
        <f>_xll.qlCalendarAdvance(Calendar,X2856,NDays&amp;"D")</f>
        <v>59170</v>
      </c>
      <c r="Z2856" s="282" t="e">
        <v>#N/A</v>
      </c>
      <c r="AA2856" s="284" t="e">
        <v>#N/A</v>
      </c>
    </row>
    <row r="2857" spans="23:27" x14ac:dyDescent="0.2">
      <c r="W2857" s="203" t="str">
        <f t="shared" si="54"/>
        <v>1w</v>
      </c>
      <c r="X2857" s="287">
        <f>_xll.qlCalendarAdvance(Calendar,X2856,W2857,"f",FALSE)</f>
        <v>59175</v>
      </c>
      <c r="Y2857" s="281">
        <f>_xll.qlCalendarAdvance(Calendar,X2857,NDays&amp;"D")</f>
        <v>59177</v>
      </c>
      <c r="Z2857" s="282" t="e">
        <v>#N/A</v>
      </c>
      <c r="AA2857" s="284" t="e">
        <v>#N/A</v>
      </c>
    </row>
    <row r="2858" spans="23:27" x14ac:dyDescent="0.2">
      <c r="W2858" s="203" t="str">
        <f t="shared" si="54"/>
        <v>1w</v>
      </c>
      <c r="X2858" s="287">
        <f>_xll.qlCalendarAdvance(Calendar,X2857,W2858,"f",FALSE)</f>
        <v>59182</v>
      </c>
      <c r="Y2858" s="281">
        <f>_xll.qlCalendarAdvance(Calendar,X2858,NDays&amp;"D")</f>
        <v>59184</v>
      </c>
      <c r="Z2858" s="282" t="e">
        <v>#N/A</v>
      </c>
      <c r="AA2858" s="284" t="e">
        <v>#N/A</v>
      </c>
    </row>
    <row r="2859" spans="23:27" x14ac:dyDescent="0.2">
      <c r="W2859" s="203" t="str">
        <f t="shared" si="54"/>
        <v>1w</v>
      </c>
      <c r="X2859" s="287">
        <f>_xll.qlCalendarAdvance(Calendar,X2858,W2859,"f",FALSE)</f>
        <v>59189</v>
      </c>
      <c r="Y2859" s="281">
        <f>_xll.qlCalendarAdvance(Calendar,X2859,NDays&amp;"D")</f>
        <v>59191</v>
      </c>
      <c r="Z2859" s="282" t="e">
        <v>#N/A</v>
      </c>
      <c r="AA2859" s="284" t="e">
        <v>#N/A</v>
      </c>
    </row>
    <row r="2860" spans="23:27" x14ac:dyDescent="0.2">
      <c r="W2860" s="203" t="str">
        <f t="shared" si="54"/>
        <v>1w</v>
      </c>
      <c r="X2860" s="287">
        <f>_xll.qlCalendarAdvance(Calendar,X2859,W2860,"f",FALSE)</f>
        <v>59196</v>
      </c>
      <c r="Y2860" s="281">
        <f>_xll.qlCalendarAdvance(Calendar,X2860,NDays&amp;"D")</f>
        <v>59198</v>
      </c>
      <c r="Z2860" s="282" t="e">
        <v>#N/A</v>
      </c>
      <c r="AA2860" s="284" t="e">
        <v>#N/A</v>
      </c>
    </row>
    <row r="2861" spans="23:27" x14ac:dyDescent="0.2">
      <c r="W2861" s="203" t="str">
        <f t="shared" si="54"/>
        <v>1w</v>
      </c>
      <c r="X2861" s="287">
        <f>_xll.qlCalendarAdvance(Calendar,X2860,W2861,"f",FALSE)</f>
        <v>59203</v>
      </c>
      <c r="Y2861" s="281">
        <f>_xll.qlCalendarAdvance(Calendar,X2861,NDays&amp;"D")</f>
        <v>59205</v>
      </c>
      <c r="Z2861" s="282" t="e">
        <v>#N/A</v>
      </c>
      <c r="AA2861" s="284" t="e">
        <v>#N/A</v>
      </c>
    </row>
    <row r="2862" spans="23:27" x14ac:dyDescent="0.2">
      <c r="W2862" s="203" t="str">
        <f t="shared" si="54"/>
        <v>1w</v>
      </c>
      <c r="X2862" s="287">
        <f>_xll.qlCalendarAdvance(Calendar,X2861,W2862,"f",FALSE)</f>
        <v>59210</v>
      </c>
      <c r="Y2862" s="281">
        <f>_xll.qlCalendarAdvance(Calendar,X2862,NDays&amp;"D")</f>
        <v>59212</v>
      </c>
      <c r="Z2862" s="282" t="e">
        <v>#N/A</v>
      </c>
      <c r="AA2862" s="284" t="e">
        <v>#N/A</v>
      </c>
    </row>
    <row r="2863" spans="23:27" x14ac:dyDescent="0.2">
      <c r="W2863" s="203" t="str">
        <f t="shared" si="54"/>
        <v>1w</v>
      </c>
      <c r="X2863" s="287">
        <f>_xll.qlCalendarAdvance(Calendar,X2862,W2863,"f",FALSE)</f>
        <v>59217</v>
      </c>
      <c r="Y2863" s="281">
        <f>_xll.qlCalendarAdvance(Calendar,X2863,NDays&amp;"D")</f>
        <v>59219</v>
      </c>
      <c r="Z2863" s="282" t="e">
        <v>#N/A</v>
      </c>
      <c r="AA2863" s="284" t="e">
        <v>#N/A</v>
      </c>
    </row>
    <row r="2864" spans="23:27" x14ac:dyDescent="0.2">
      <c r="W2864" s="203" t="str">
        <f t="shared" si="54"/>
        <v>1w</v>
      </c>
      <c r="X2864" s="287">
        <f>_xll.qlCalendarAdvance(Calendar,X2863,W2864,"f",FALSE)</f>
        <v>59224</v>
      </c>
      <c r="Y2864" s="281">
        <f>_xll.qlCalendarAdvance(Calendar,X2864,NDays&amp;"D")</f>
        <v>59226</v>
      </c>
      <c r="Z2864" s="282" t="e">
        <v>#N/A</v>
      </c>
      <c r="AA2864" s="284" t="e">
        <v>#N/A</v>
      </c>
    </row>
    <row r="2865" spans="23:27" x14ac:dyDescent="0.2">
      <c r="W2865" s="203" t="str">
        <f t="shared" si="54"/>
        <v>1w</v>
      </c>
      <c r="X2865" s="287">
        <f>_xll.qlCalendarAdvance(Calendar,X2864,W2865,"f",FALSE)</f>
        <v>59231</v>
      </c>
      <c r="Y2865" s="281">
        <f>_xll.qlCalendarAdvance(Calendar,X2865,NDays&amp;"D")</f>
        <v>59233</v>
      </c>
      <c r="Z2865" s="282" t="e">
        <v>#N/A</v>
      </c>
      <c r="AA2865" s="284" t="e">
        <v>#N/A</v>
      </c>
    </row>
    <row r="2866" spans="23:27" x14ac:dyDescent="0.2">
      <c r="W2866" s="203" t="str">
        <f t="shared" si="54"/>
        <v>1w</v>
      </c>
      <c r="X2866" s="287">
        <f>_xll.qlCalendarAdvance(Calendar,X2865,W2866,"f",FALSE)</f>
        <v>59238</v>
      </c>
      <c r="Y2866" s="281">
        <f>_xll.qlCalendarAdvance(Calendar,X2866,NDays&amp;"D")</f>
        <v>59240</v>
      </c>
      <c r="Z2866" s="282" t="e">
        <v>#N/A</v>
      </c>
      <c r="AA2866" s="284" t="e">
        <v>#N/A</v>
      </c>
    </row>
    <row r="2867" spans="23:27" x14ac:dyDescent="0.2">
      <c r="W2867" s="203" t="str">
        <f t="shared" si="54"/>
        <v>1w</v>
      </c>
      <c r="X2867" s="287">
        <f>_xll.qlCalendarAdvance(Calendar,X2866,W2867,"f",FALSE)</f>
        <v>59245</v>
      </c>
      <c r="Y2867" s="281">
        <f>_xll.qlCalendarAdvance(Calendar,X2867,NDays&amp;"D")</f>
        <v>59247</v>
      </c>
      <c r="Z2867" s="282" t="e">
        <v>#N/A</v>
      </c>
      <c r="AA2867" s="284" t="e">
        <v>#N/A</v>
      </c>
    </row>
    <row r="2868" spans="23:27" x14ac:dyDescent="0.2">
      <c r="W2868" s="203" t="str">
        <f t="shared" si="54"/>
        <v>1w</v>
      </c>
      <c r="X2868" s="287">
        <f>_xll.qlCalendarAdvance(Calendar,X2867,W2868,"f",FALSE)</f>
        <v>59252</v>
      </c>
      <c r="Y2868" s="281">
        <f>_xll.qlCalendarAdvance(Calendar,X2868,NDays&amp;"D")</f>
        <v>59258</v>
      </c>
      <c r="Z2868" s="282" t="e">
        <v>#N/A</v>
      </c>
      <c r="AA2868" s="284" t="e">
        <v>#N/A</v>
      </c>
    </row>
    <row r="2869" spans="23:27" x14ac:dyDescent="0.2">
      <c r="W2869" s="203" t="str">
        <f t="shared" si="54"/>
        <v>1w</v>
      </c>
      <c r="X2869" s="287">
        <f>_xll.qlCalendarAdvance(Calendar,X2868,W2869,"f",FALSE)</f>
        <v>59259</v>
      </c>
      <c r="Y2869" s="281">
        <f>_xll.qlCalendarAdvance(Calendar,X2869,NDays&amp;"D")</f>
        <v>59261</v>
      </c>
      <c r="Z2869" s="282" t="e">
        <v>#N/A</v>
      </c>
      <c r="AA2869" s="284" t="e">
        <v>#N/A</v>
      </c>
    </row>
    <row r="2870" spans="23:27" x14ac:dyDescent="0.2">
      <c r="W2870" s="203" t="str">
        <f t="shared" si="54"/>
        <v>1w</v>
      </c>
      <c r="X2870" s="287">
        <f>_xll.qlCalendarAdvance(Calendar,X2869,W2870,"f",FALSE)</f>
        <v>59266</v>
      </c>
      <c r="Y2870" s="281">
        <f>_xll.qlCalendarAdvance(Calendar,X2870,NDays&amp;"D")</f>
        <v>59268</v>
      </c>
      <c r="Z2870" s="282" t="e">
        <v>#N/A</v>
      </c>
      <c r="AA2870" s="284" t="e">
        <v>#N/A</v>
      </c>
    </row>
    <row r="2871" spans="23:27" x14ac:dyDescent="0.2">
      <c r="W2871" s="203" t="str">
        <f t="shared" si="54"/>
        <v>1w</v>
      </c>
      <c r="X2871" s="287">
        <f>_xll.qlCalendarAdvance(Calendar,X2870,W2871,"f",FALSE)</f>
        <v>59273</v>
      </c>
      <c r="Y2871" s="281">
        <f>_xll.qlCalendarAdvance(Calendar,X2871,NDays&amp;"D")</f>
        <v>59275</v>
      </c>
      <c r="Z2871" s="282" t="e">
        <v>#N/A</v>
      </c>
      <c r="AA2871" s="284" t="e">
        <v>#N/A</v>
      </c>
    </row>
    <row r="2872" spans="23:27" x14ac:dyDescent="0.2">
      <c r="W2872" s="203" t="str">
        <f t="shared" si="54"/>
        <v>1w</v>
      </c>
      <c r="X2872" s="287">
        <f>_xll.qlCalendarAdvance(Calendar,X2871,W2872,"f",FALSE)</f>
        <v>59280</v>
      </c>
      <c r="Y2872" s="281">
        <f>_xll.qlCalendarAdvance(Calendar,X2872,NDays&amp;"D")</f>
        <v>59282</v>
      </c>
      <c r="Z2872" s="282" t="e">
        <v>#N/A</v>
      </c>
      <c r="AA2872" s="284" t="e">
        <v>#N/A</v>
      </c>
    </row>
    <row r="2873" spans="23:27" x14ac:dyDescent="0.2">
      <c r="W2873" s="203" t="str">
        <f t="shared" si="54"/>
        <v>1w</v>
      </c>
      <c r="X2873" s="287">
        <f>_xll.qlCalendarAdvance(Calendar,X2872,W2873,"f",FALSE)</f>
        <v>59287</v>
      </c>
      <c r="Y2873" s="281">
        <f>_xll.qlCalendarAdvance(Calendar,X2873,NDays&amp;"D")</f>
        <v>59289</v>
      </c>
      <c r="Z2873" s="282" t="e">
        <v>#N/A</v>
      </c>
      <c r="AA2873" s="284" t="e">
        <v>#N/A</v>
      </c>
    </row>
    <row r="2874" spans="23:27" x14ac:dyDescent="0.2">
      <c r="W2874" s="203" t="str">
        <f t="shared" si="54"/>
        <v>1w</v>
      </c>
      <c r="X2874" s="287">
        <f>_xll.qlCalendarAdvance(Calendar,X2873,W2874,"f",FALSE)</f>
        <v>59299</v>
      </c>
      <c r="Y2874" s="281">
        <f>_xll.qlCalendarAdvance(Calendar,X2874,NDays&amp;"D")</f>
        <v>59301</v>
      </c>
      <c r="Z2874" s="282" t="e">
        <v>#N/A</v>
      </c>
      <c r="AA2874" s="284" t="e">
        <v>#N/A</v>
      </c>
    </row>
    <row r="2875" spans="23:27" x14ac:dyDescent="0.2">
      <c r="W2875" s="203" t="str">
        <f t="shared" si="54"/>
        <v>1w</v>
      </c>
      <c r="X2875" s="287">
        <f>_xll.qlCalendarAdvance(Calendar,X2874,W2875,"f",FALSE)</f>
        <v>59306</v>
      </c>
      <c r="Y2875" s="281">
        <f>_xll.qlCalendarAdvance(Calendar,X2875,NDays&amp;"D")</f>
        <v>59308</v>
      </c>
      <c r="Z2875" s="282" t="e">
        <v>#N/A</v>
      </c>
      <c r="AA2875" s="284" t="e">
        <v>#N/A</v>
      </c>
    </row>
    <row r="2876" spans="23:27" x14ac:dyDescent="0.2">
      <c r="W2876" s="203" t="str">
        <f t="shared" si="54"/>
        <v>1w</v>
      </c>
      <c r="X2876" s="287">
        <f>_xll.qlCalendarAdvance(Calendar,X2875,W2876,"f",FALSE)</f>
        <v>59313</v>
      </c>
      <c r="Y2876" s="281">
        <f>_xll.qlCalendarAdvance(Calendar,X2876,NDays&amp;"D")</f>
        <v>59315</v>
      </c>
      <c r="Z2876" s="282" t="e">
        <v>#N/A</v>
      </c>
      <c r="AA2876" s="284" t="e">
        <v>#N/A</v>
      </c>
    </row>
    <row r="2877" spans="23:27" x14ac:dyDescent="0.2">
      <c r="W2877" s="203" t="str">
        <f t="shared" si="54"/>
        <v>1w</v>
      </c>
      <c r="X2877" s="287">
        <f>_xll.qlCalendarAdvance(Calendar,X2876,W2877,"f",FALSE)</f>
        <v>59321</v>
      </c>
      <c r="Y2877" s="281">
        <f>_xll.qlCalendarAdvance(Calendar,X2877,NDays&amp;"D")</f>
        <v>59323</v>
      </c>
      <c r="Z2877" s="282" t="e">
        <v>#N/A</v>
      </c>
      <c r="AA2877" s="284" t="e">
        <v>#N/A</v>
      </c>
    </row>
    <row r="2878" spans="23:27" x14ac:dyDescent="0.2">
      <c r="W2878" s="203" t="str">
        <f t="shared" si="54"/>
        <v>1w</v>
      </c>
      <c r="X2878" s="287">
        <f>_xll.qlCalendarAdvance(Calendar,X2877,W2878,"f",FALSE)</f>
        <v>59328</v>
      </c>
      <c r="Y2878" s="281">
        <f>_xll.qlCalendarAdvance(Calendar,X2878,NDays&amp;"D")</f>
        <v>59330</v>
      </c>
      <c r="Z2878" s="282" t="e">
        <v>#N/A</v>
      </c>
      <c r="AA2878" s="284" t="e">
        <v>#N/A</v>
      </c>
    </row>
    <row r="2879" spans="23:27" x14ac:dyDescent="0.2">
      <c r="W2879" s="203" t="str">
        <f t="shared" si="54"/>
        <v>1w</v>
      </c>
      <c r="X2879" s="287">
        <f>_xll.qlCalendarAdvance(Calendar,X2878,W2879,"f",FALSE)</f>
        <v>59335</v>
      </c>
      <c r="Y2879" s="281">
        <f>_xll.qlCalendarAdvance(Calendar,X2879,NDays&amp;"D")</f>
        <v>59337</v>
      </c>
      <c r="Z2879" s="282" t="e">
        <v>#N/A</v>
      </c>
      <c r="AA2879" s="284" t="e">
        <v>#N/A</v>
      </c>
    </row>
    <row r="2880" spans="23:27" x14ac:dyDescent="0.2">
      <c r="W2880" s="203" t="str">
        <f t="shared" si="54"/>
        <v>1w</v>
      </c>
      <c r="X2880" s="287">
        <f>_xll.qlCalendarAdvance(Calendar,X2879,W2880,"f",FALSE)</f>
        <v>59342</v>
      </c>
      <c r="Y2880" s="281">
        <f>_xll.qlCalendarAdvance(Calendar,X2880,NDays&amp;"D")</f>
        <v>59344</v>
      </c>
      <c r="Z2880" s="282" t="e">
        <v>#N/A</v>
      </c>
      <c r="AA2880" s="284" t="e">
        <v>#N/A</v>
      </c>
    </row>
    <row r="2881" spans="23:27" x14ac:dyDescent="0.2">
      <c r="W2881" s="203" t="str">
        <f t="shared" si="54"/>
        <v>1w</v>
      </c>
      <c r="X2881" s="287">
        <f>_xll.qlCalendarAdvance(Calendar,X2880,W2881,"f",FALSE)</f>
        <v>59349</v>
      </c>
      <c r="Y2881" s="281">
        <f>_xll.qlCalendarAdvance(Calendar,X2881,NDays&amp;"D")</f>
        <v>59351</v>
      </c>
      <c r="Z2881" s="282" t="e">
        <v>#N/A</v>
      </c>
      <c r="AA2881" s="284" t="e">
        <v>#N/A</v>
      </c>
    </row>
    <row r="2882" spans="23:27" x14ac:dyDescent="0.2">
      <c r="W2882" s="203" t="str">
        <f t="shared" si="54"/>
        <v>1w</v>
      </c>
      <c r="X2882" s="287">
        <f>_xll.qlCalendarAdvance(Calendar,X2881,W2882,"f",FALSE)</f>
        <v>59356</v>
      </c>
      <c r="Y2882" s="281">
        <f>_xll.qlCalendarAdvance(Calendar,X2882,NDays&amp;"D")</f>
        <v>59358</v>
      </c>
      <c r="Z2882" s="282" t="e">
        <v>#N/A</v>
      </c>
      <c r="AA2882" s="284" t="e">
        <v>#N/A</v>
      </c>
    </row>
    <row r="2883" spans="23:27" x14ac:dyDescent="0.2">
      <c r="W2883" s="203" t="str">
        <f t="shared" si="54"/>
        <v>1w</v>
      </c>
      <c r="X2883" s="287">
        <f>_xll.qlCalendarAdvance(Calendar,X2882,W2883,"f",FALSE)</f>
        <v>59363</v>
      </c>
      <c r="Y2883" s="281">
        <f>_xll.qlCalendarAdvance(Calendar,X2883,NDays&amp;"D")</f>
        <v>59365</v>
      </c>
      <c r="Z2883" s="282" t="e">
        <v>#N/A</v>
      </c>
      <c r="AA2883" s="284" t="e">
        <v>#N/A</v>
      </c>
    </row>
    <row r="2884" spans="23:27" x14ac:dyDescent="0.2">
      <c r="W2884" s="203" t="str">
        <f t="shared" si="54"/>
        <v>1w</v>
      </c>
      <c r="X2884" s="287">
        <f>_xll.qlCalendarAdvance(Calendar,X2883,W2884,"f",FALSE)</f>
        <v>59370</v>
      </c>
      <c r="Y2884" s="281">
        <f>_xll.qlCalendarAdvance(Calendar,X2884,NDays&amp;"D")</f>
        <v>59372</v>
      </c>
      <c r="Z2884" s="282" t="e">
        <v>#N/A</v>
      </c>
      <c r="AA2884" s="284" t="e">
        <v>#N/A</v>
      </c>
    </row>
    <row r="2885" spans="23:27" x14ac:dyDescent="0.2">
      <c r="W2885" s="203" t="str">
        <f t="shared" si="54"/>
        <v>1w</v>
      </c>
      <c r="X2885" s="287">
        <f>_xll.qlCalendarAdvance(Calendar,X2884,W2885,"f",FALSE)</f>
        <v>59377</v>
      </c>
      <c r="Y2885" s="281">
        <f>_xll.qlCalendarAdvance(Calendar,X2885,NDays&amp;"D")</f>
        <v>59379</v>
      </c>
      <c r="Z2885" s="282" t="e">
        <v>#N/A</v>
      </c>
      <c r="AA2885" s="284" t="e">
        <v>#N/A</v>
      </c>
    </row>
    <row r="2886" spans="23:27" x14ac:dyDescent="0.2">
      <c r="W2886" s="203" t="str">
        <f t="shared" si="54"/>
        <v>1w</v>
      </c>
      <c r="X2886" s="287">
        <f>_xll.qlCalendarAdvance(Calendar,X2885,W2886,"f",FALSE)</f>
        <v>59384</v>
      </c>
      <c r="Y2886" s="281">
        <f>_xll.qlCalendarAdvance(Calendar,X2886,NDays&amp;"D")</f>
        <v>59386</v>
      </c>
      <c r="Z2886" s="282" t="e">
        <v>#N/A</v>
      </c>
      <c r="AA2886" s="284" t="e">
        <v>#N/A</v>
      </c>
    </row>
    <row r="2887" spans="23:27" x14ac:dyDescent="0.2">
      <c r="W2887" s="203" t="str">
        <f t="shared" si="54"/>
        <v>1w</v>
      </c>
      <c r="X2887" s="287">
        <f>_xll.qlCalendarAdvance(Calendar,X2886,W2887,"f",FALSE)</f>
        <v>59391</v>
      </c>
      <c r="Y2887" s="281">
        <f>_xll.qlCalendarAdvance(Calendar,X2887,NDays&amp;"D")</f>
        <v>59393</v>
      </c>
      <c r="Z2887" s="282" t="e">
        <v>#N/A</v>
      </c>
      <c r="AA2887" s="284" t="e">
        <v>#N/A</v>
      </c>
    </row>
    <row r="2888" spans="23:27" x14ac:dyDescent="0.2">
      <c r="W2888" s="203" t="str">
        <f t="shared" si="54"/>
        <v>1w</v>
      </c>
      <c r="X2888" s="287">
        <f>_xll.qlCalendarAdvance(Calendar,X2887,W2888,"f",FALSE)</f>
        <v>59398</v>
      </c>
      <c r="Y2888" s="281">
        <f>_xll.qlCalendarAdvance(Calendar,X2888,NDays&amp;"D")</f>
        <v>59400</v>
      </c>
      <c r="Z2888" s="282" t="e">
        <v>#N/A</v>
      </c>
      <c r="AA2888" s="284" t="e">
        <v>#N/A</v>
      </c>
    </row>
    <row r="2889" spans="23:27" x14ac:dyDescent="0.2">
      <c r="W2889" s="203" t="str">
        <f t="shared" si="54"/>
        <v>1w</v>
      </c>
      <c r="X2889" s="287">
        <f>_xll.qlCalendarAdvance(Calendar,X2888,W2889,"f",FALSE)</f>
        <v>59405</v>
      </c>
      <c r="Y2889" s="281">
        <f>_xll.qlCalendarAdvance(Calendar,X2889,NDays&amp;"D")</f>
        <v>59407</v>
      </c>
      <c r="Z2889" s="282" t="e">
        <v>#N/A</v>
      </c>
      <c r="AA2889" s="284" t="e">
        <v>#N/A</v>
      </c>
    </row>
    <row r="2890" spans="23:27" x14ac:dyDescent="0.2">
      <c r="W2890" s="203" t="str">
        <f t="shared" si="54"/>
        <v>1w</v>
      </c>
      <c r="X2890" s="287">
        <f>_xll.qlCalendarAdvance(Calendar,X2889,W2890,"f",FALSE)</f>
        <v>59412</v>
      </c>
      <c r="Y2890" s="281">
        <f>_xll.qlCalendarAdvance(Calendar,X2890,NDays&amp;"D")</f>
        <v>59414</v>
      </c>
      <c r="Z2890" s="282" t="e">
        <v>#N/A</v>
      </c>
      <c r="AA2890" s="284" t="e">
        <v>#N/A</v>
      </c>
    </row>
    <row r="2891" spans="23:27" x14ac:dyDescent="0.2">
      <c r="W2891" s="203" t="str">
        <f t="shared" si="54"/>
        <v>1w</v>
      </c>
      <c r="X2891" s="287">
        <f>_xll.qlCalendarAdvance(Calendar,X2890,W2891,"f",FALSE)</f>
        <v>59419</v>
      </c>
      <c r="Y2891" s="281">
        <f>_xll.qlCalendarAdvance(Calendar,X2891,NDays&amp;"D")</f>
        <v>59421</v>
      </c>
      <c r="Z2891" s="282" t="e">
        <v>#N/A</v>
      </c>
      <c r="AA2891" s="284" t="e">
        <v>#N/A</v>
      </c>
    </row>
    <row r="2892" spans="23:27" x14ac:dyDescent="0.2">
      <c r="W2892" s="203" t="str">
        <f t="shared" si="54"/>
        <v>1w</v>
      </c>
      <c r="X2892" s="287">
        <f>_xll.qlCalendarAdvance(Calendar,X2891,W2892,"f",FALSE)</f>
        <v>59426</v>
      </c>
      <c r="Y2892" s="281">
        <f>_xll.qlCalendarAdvance(Calendar,X2892,NDays&amp;"D")</f>
        <v>59428</v>
      </c>
      <c r="Z2892" s="282" t="e">
        <v>#N/A</v>
      </c>
      <c r="AA2892" s="284" t="e">
        <v>#N/A</v>
      </c>
    </row>
    <row r="2893" spans="23:27" x14ac:dyDescent="0.2">
      <c r="W2893" s="203" t="str">
        <f t="shared" si="54"/>
        <v>1w</v>
      </c>
      <c r="X2893" s="287">
        <f>_xll.qlCalendarAdvance(Calendar,X2892,W2893,"f",FALSE)</f>
        <v>59433</v>
      </c>
      <c r="Y2893" s="281">
        <f>_xll.qlCalendarAdvance(Calendar,X2893,NDays&amp;"D")</f>
        <v>59435</v>
      </c>
      <c r="Z2893" s="282" t="e">
        <v>#N/A</v>
      </c>
      <c r="AA2893" s="284" t="e">
        <v>#N/A</v>
      </c>
    </row>
    <row r="2894" spans="23:27" x14ac:dyDescent="0.2">
      <c r="W2894" s="203" t="str">
        <f t="shared" si="54"/>
        <v>1w</v>
      </c>
      <c r="X2894" s="287">
        <f>_xll.qlCalendarAdvance(Calendar,X2893,W2894,"f",FALSE)</f>
        <v>59440</v>
      </c>
      <c r="Y2894" s="281">
        <f>_xll.qlCalendarAdvance(Calendar,X2894,NDays&amp;"D")</f>
        <v>59442</v>
      </c>
      <c r="Z2894" s="282" t="e">
        <v>#N/A</v>
      </c>
      <c r="AA2894" s="284" t="e">
        <v>#N/A</v>
      </c>
    </row>
    <row r="2895" spans="23:27" x14ac:dyDescent="0.2">
      <c r="W2895" s="203" t="str">
        <f t="shared" si="54"/>
        <v>1w</v>
      </c>
      <c r="X2895" s="287">
        <f>_xll.qlCalendarAdvance(Calendar,X2894,W2895,"f",FALSE)</f>
        <v>59447</v>
      </c>
      <c r="Y2895" s="281">
        <f>_xll.qlCalendarAdvance(Calendar,X2895,NDays&amp;"D")</f>
        <v>59449</v>
      </c>
      <c r="Z2895" s="282" t="e">
        <v>#N/A</v>
      </c>
      <c r="AA2895" s="284" t="e">
        <v>#N/A</v>
      </c>
    </row>
    <row r="2896" spans="23:27" x14ac:dyDescent="0.2">
      <c r="W2896" s="203" t="str">
        <f t="shared" si="54"/>
        <v>1w</v>
      </c>
      <c r="X2896" s="287">
        <f>_xll.qlCalendarAdvance(Calendar,X2895,W2896,"f",FALSE)</f>
        <v>59454</v>
      </c>
      <c r="Y2896" s="281">
        <f>_xll.qlCalendarAdvance(Calendar,X2896,NDays&amp;"D")</f>
        <v>59456</v>
      </c>
      <c r="Z2896" s="282" t="e">
        <v>#N/A</v>
      </c>
      <c r="AA2896" s="284" t="e">
        <v>#N/A</v>
      </c>
    </row>
    <row r="2897" spans="23:27" x14ac:dyDescent="0.2">
      <c r="W2897" s="203" t="str">
        <f t="shared" si="54"/>
        <v>1w</v>
      </c>
      <c r="X2897" s="287">
        <f>_xll.qlCalendarAdvance(Calendar,X2896,W2897,"f",FALSE)</f>
        <v>59461</v>
      </c>
      <c r="Y2897" s="281">
        <f>_xll.qlCalendarAdvance(Calendar,X2897,NDays&amp;"D")</f>
        <v>59463</v>
      </c>
      <c r="Z2897" s="282" t="e">
        <v>#N/A</v>
      </c>
      <c r="AA2897" s="284" t="e">
        <v>#N/A</v>
      </c>
    </row>
    <row r="2898" spans="23:27" x14ac:dyDescent="0.2">
      <c r="W2898" s="203" t="str">
        <f t="shared" si="54"/>
        <v>1w</v>
      </c>
      <c r="X2898" s="287">
        <f>_xll.qlCalendarAdvance(Calendar,X2897,W2898,"f",FALSE)</f>
        <v>59468</v>
      </c>
      <c r="Y2898" s="281">
        <f>_xll.qlCalendarAdvance(Calendar,X2898,NDays&amp;"D")</f>
        <v>59470</v>
      </c>
      <c r="Z2898" s="282" t="e">
        <v>#N/A</v>
      </c>
      <c r="AA2898" s="284" t="e">
        <v>#N/A</v>
      </c>
    </row>
    <row r="2899" spans="23:27" x14ac:dyDescent="0.2">
      <c r="W2899" s="203" t="str">
        <f t="shared" si="54"/>
        <v>1w</v>
      </c>
      <c r="X2899" s="287">
        <f>_xll.qlCalendarAdvance(Calendar,X2898,W2899,"f",FALSE)</f>
        <v>59475</v>
      </c>
      <c r="Y2899" s="281">
        <f>_xll.qlCalendarAdvance(Calendar,X2899,NDays&amp;"D")</f>
        <v>59477</v>
      </c>
      <c r="Z2899" s="282" t="e">
        <v>#N/A</v>
      </c>
      <c r="AA2899" s="284" t="e">
        <v>#N/A</v>
      </c>
    </row>
    <row r="2900" spans="23:27" x14ac:dyDescent="0.2">
      <c r="W2900" s="203" t="str">
        <f t="shared" si="54"/>
        <v>1w</v>
      </c>
      <c r="X2900" s="287">
        <f>_xll.qlCalendarAdvance(Calendar,X2899,W2900,"f",FALSE)</f>
        <v>59482</v>
      </c>
      <c r="Y2900" s="281">
        <f>_xll.qlCalendarAdvance(Calendar,X2900,NDays&amp;"D")</f>
        <v>59484</v>
      </c>
      <c r="Z2900" s="282" t="e">
        <v>#N/A</v>
      </c>
      <c r="AA2900" s="284" t="e">
        <v>#N/A</v>
      </c>
    </row>
    <row r="2901" spans="23:27" x14ac:dyDescent="0.2">
      <c r="W2901" s="203" t="str">
        <f t="shared" ref="W2901:W2964" si="55">W2900</f>
        <v>1w</v>
      </c>
      <c r="X2901" s="287">
        <f>_xll.qlCalendarAdvance(Calendar,X2900,W2901,"f",FALSE)</f>
        <v>59489</v>
      </c>
      <c r="Y2901" s="281">
        <f>_xll.qlCalendarAdvance(Calendar,X2901,NDays&amp;"D")</f>
        <v>59491</v>
      </c>
      <c r="Z2901" s="282" t="e">
        <v>#N/A</v>
      </c>
      <c r="AA2901" s="284" t="e">
        <v>#N/A</v>
      </c>
    </row>
    <row r="2902" spans="23:27" x14ac:dyDescent="0.2">
      <c r="W2902" s="203" t="str">
        <f t="shared" si="55"/>
        <v>1w</v>
      </c>
      <c r="X2902" s="287">
        <f>_xll.qlCalendarAdvance(Calendar,X2901,W2902,"f",FALSE)</f>
        <v>59496</v>
      </c>
      <c r="Y2902" s="281">
        <f>_xll.qlCalendarAdvance(Calendar,X2902,NDays&amp;"D")</f>
        <v>59499</v>
      </c>
      <c r="Z2902" s="282" t="e">
        <v>#N/A</v>
      </c>
      <c r="AA2902" s="284" t="e">
        <v>#N/A</v>
      </c>
    </row>
    <row r="2903" spans="23:27" x14ac:dyDescent="0.2">
      <c r="W2903" s="203" t="str">
        <f t="shared" si="55"/>
        <v>1w</v>
      </c>
      <c r="X2903" s="287">
        <f>_xll.qlCalendarAdvance(Calendar,X2902,W2903,"f",FALSE)</f>
        <v>59503</v>
      </c>
      <c r="Y2903" s="281">
        <f>_xll.qlCalendarAdvance(Calendar,X2903,NDays&amp;"D")</f>
        <v>59505</v>
      </c>
      <c r="Z2903" s="282" t="e">
        <v>#N/A</v>
      </c>
      <c r="AA2903" s="284" t="e">
        <v>#N/A</v>
      </c>
    </row>
    <row r="2904" spans="23:27" x14ac:dyDescent="0.2">
      <c r="W2904" s="203" t="str">
        <f t="shared" si="55"/>
        <v>1w</v>
      </c>
      <c r="X2904" s="287">
        <f>_xll.qlCalendarAdvance(Calendar,X2903,W2904,"f",FALSE)</f>
        <v>59510</v>
      </c>
      <c r="Y2904" s="281">
        <f>_xll.qlCalendarAdvance(Calendar,X2904,NDays&amp;"D")</f>
        <v>59512</v>
      </c>
      <c r="Z2904" s="282" t="e">
        <v>#N/A</v>
      </c>
      <c r="AA2904" s="284" t="e">
        <v>#N/A</v>
      </c>
    </row>
    <row r="2905" spans="23:27" x14ac:dyDescent="0.2">
      <c r="W2905" s="203" t="str">
        <f t="shared" si="55"/>
        <v>1w</v>
      </c>
      <c r="X2905" s="287">
        <f>_xll.qlCalendarAdvance(Calendar,X2904,W2905,"f",FALSE)</f>
        <v>59517</v>
      </c>
      <c r="Y2905" s="281">
        <f>_xll.qlCalendarAdvance(Calendar,X2905,NDays&amp;"D")</f>
        <v>59519</v>
      </c>
      <c r="Z2905" s="282" t="e">
        <v>#N/A</v>
      </c>
      <c r="AA2905" s="284" t="e">
        <v>#N/A</v>
      </c>
    </row>
    <row r="2906" spans="23:27" x14ac:dyDescent="0.2">
      <c r="W2906" s="203" t="str">
        <f t="shared" si="55"/>
        <v>1w</v>
      </c>
      <c r="X2906" s="287">
        <f>_xll.qlCalendarAdvance(Calendar,X2905,W2906,"f",FALSE)</f>
        <v>59524</v>
      </c>
      <c r="Y2906" s="281">
        <f>_xll.qlCalendarAdvance(Calendar,X2906,NDays&amp;"D")</f>
        <v>59526</v>
      </c>
      <c r="Z2906" s="282" t="e">
        <v>#N/A</v>
      </c>
      <c r="AA2906" s="284" t="e">
        <v>#N/A</v>
      </c>
    </row>
    <row r="2907" spans="23:27" x14ac:dyDescent="0.2">
      <c r="W2907" s="203" t="str">
        <f t="shared" si="55"/>
        <v>1w</v>
      </c>
      <c r="X2907" s="287">
        <f>_xll.qlCalendarAdvance(Calendar,X2906,W2907,"f",FALSE)</f>
        <v>59532</v>
      </c>
      <c r="Y2907" s="281">
        <f>_xll.qlCalendarAdvance(Calendar,X2907,NDays&amp;"D")</f>
        <v>59534</v>
      </c>
      <c r="Z2907" s="282" t="e">
        <v>#N/A</v>
      </c>
      <c r="AA2907" s="284" t="e">
        <v>#N/A</v>
      </c>
    </row>
    <row r="2908" spans="23:27" x14ac:dyDescent="0.2">
      <c r="W2908" s="203" t="str">
        <f t="shared" si="55"/>
        <v>1w</v>
      </c>
      <c r="X2908" s="287">
        <f>_xll.qlCalendarAdvance(Calendar,X2907,W2908,"f",FALSE)</f>
        <v>59540</v>
      </c>
      <c r="Y2908" s="281">
        <f>_xll.qlCalendarAdvance(Calendar,X2908,NDays&amp;"D")</f>
        <v>59545</v>
      </c>
      <c r="Z2908" s="282" t="e">
        <v>#N/A</v>
      </c>
      <c r="AA2908" s="284" t="e">
        <v>#N/A</v>
      </c>
    </row>
    <row r="2909" spans="23:27" x14ac:dyDescent="0.2">
      <c r="W2909" s="203" t="str">
        <f t="shared" si="55"/>
        <v>1w</v>
      </c>
      <c r="X2909" s="287">
        <f>_xll.qlCalendarAdvance(Calendar,X2908,W2909,"f",FALSE)</f>
        <v>59547</v>
      </c>
      <c r="Y2909" s="281">
        <f>_xll.qlCalendarAdvance(Calendar,X2909,NDays&amp;"D")</f>
        <v>59551</v>
      </c>
      <c r="Z2909" s="282" t="e">
        <v>#N/A</v>
      </c>
      <c r="AA2909" s="284" t="e">
        <v>#N/A</v>
      </c>
    </row>
    <row r="2910" spans="23:27" x14ac:dyDescent="0.2">
      <c r="W2910" s="203" t="str">
        <f t="shared" si="55"/>
        <v>1w</v>
      </c>
      <c r="X2910" s="287">
        <f>_xll.qlCalendarAdvance(Calendar,X2909,W2910,"f",FALSE)</f>
        <v>59554</v>
      </c>
      <c r="Y2910" s="281">
        <f>_xll.qlCalendarAdvance(Calendar,X2910,NDays&amp;"D")</f>
        <v>59558</v>
      </c>
      <c r="Z2910" s="282" t="e">
        <v>#N/A</v>
      </c>
      <c r="AA2910" s="284" t="e">
        <v>#N/A</v>
      </c>
    </row>
    <row r="2911" spans="23:27" x14ac:dyDescent="0.2">
      <c r="W2911" s="203" t="str">
        <f t="shared" si="55"/>
        <v>1w</v>
      </c>
      <c r="X2911" s="287">
        <f>_xll.qlCalendarAdvance(Calendar,X2910,W2911,"f",FALSE)</f>
        <v>59561</v>
      </c>
      <c r="Y2911" s="281">
        <f>_xll.qlCalendarAdvance(Calendar,X2911,NDays&amp;"D")</f>
        <v>59565</v>
      </c>
      <c r="Z2911" s="282" t="e">
        <v>#N/A</v>
      </c>
      <c r="AA2911" s="284" t="e">
        <v>#N/A</v>
      </c>
    </row>
    <row r="2912" spans="23:27" x14ac:dyDescent="0.2">
      <c r="W2912" s="203" t="str">
        <f t="shared" si="55"/>
        <v>1w</v>
      </c>
      <c r="X2912" s="287">
        <f>_xll.qlCalendarAdvance(Calendar,X2911,W2912,"f",FALSE)</f>
        <v>59568</v>
      </c>
      <c r="Y2912" s="281">
        <f>_xll.qlCalendarAdvance(Calendar,X2912,NDays&amp;"D")</f>
        <v>59572</v>
      </c>
      <c r="Z2912" s="282" t="e">
        <v>#N/A</v>
      </c>
      <c r="AA2912" s="284" t="e">
        <v>#N/A</v>
      </c>
    </row>
    <row r="2913" spans="23:27" x14ac:dyDescent="0.2">
      <c r="W2913" s="203" t="str">
        <f t="shared" si="55"/>
        <v>1w</v>
      </c>
      <c r="X2913" s="287">
        <f>_xll.qlCalendarAdvance(Calendar,X2912,W2913,"f",FALSE)</f>
        <v>59575</v>
      </c>
      <c r="Y2913" s="281">
        <f>_xll.qlCalendarAdvance(Calendar,X2913,NDays&amp;"D")</f>
        <v>59580</v>
      </c>
      <c r="Z2913" s="282" t="e">
        <v>#N/A</v>
      </c>
      <c r="AA2913" s="284" t="e">
        <v>#N/A</v>
      </c>
    </row>
    <row r="2914" spans="23:27" x14ac:dyDescent="0.2">
      <c r="W2914" s="203" t="str">
        <f t="shared" si="55"/>
        <v>1w</v>
      </c>
      <c r="X2914" s="287">
        <f>_xll.qlCalendarAdvance(Calendar,X2913,W2914,"f",FALSE)</f>
        <v>59582</v>
      </c>
      <c r="Y2914" s="281">
        <f>_xll.qlCalendarAdvance(Calendar,X2914,NDays&amp;"D")</f>
        <v>59586</v>
      </c>
      <c r="Z2914" s="282" t="e">
        <v>#N/A</v>
      </c>
      <c r="AA2914" s="284" t="e">
        <v>#N/A</v>
      </c>
    </row>
    <row r="2915" spans="23:27" x14ac:dyDescent="0.2">
      <c r="W2915" s="203" t="str">
        <f t="shared" si="55"/>
        <v>1w</v>
      </c>
      <c r="X2915" s="287">
        <f>_xll.qlCalendarAdvance(Calendar,X2914,W2915,"f",FALSE)</f>
        <v>59589</v>
      </c>
      <c r="Y2915" s="281">
        <f>_xll.qlCalendarAdvance(Calendar,X2915,NDays&amp;"D")</f>
        <v>59593</v>
      </c>
      <c r="Z2915" s="282" t="e">
        <v>#N/A</v>
      </c>
      <c r="AA2915" s="284" t="e">
        <v>#N/A</v>
      </c>
    </row>
    <row r="2916" spans="23:27" x14ac:dyDescent="0.2">
      <c r="W2916" s="203" t="str">
        <f t="shared" si="55"/>
        <v>1w</v>
      </c>
      <c r="X2916" s="287">
        <f>_xll.qlCalendarAdvance(Calendar,X2915,W2916,"f",FALSE)</f>
        <v>59596</v>
      </c>
      <c r="Y2916" s="281">
        <f>_xll.qlCalendarAdvance(Calendar,X2916,NDays&amp;"D")</f>
        <v>59600</v>
      </c>
      <c r="Z2916" s="282" t="e">
        <v>#N/A</v>
      </c>
      <c r="AA2916" s="284" t="e">
        <v>#N/A</v>
      </c>
    </row>
    <row r="2917" spans="23:27" x14ac:dyDescent="0.2">
      <c r="W2917" s="203" t="str">
        <f t="shared" si="55"/>
        <v>1w</v>
      </c>
      <c r="X2917" s="287">
        <f>_xll.qlCalendarAdvance(Calendar,X2916,W2917,"f",FALSE)</f>
        <v>59603</v>
      </c>
      <c r="Y2917" s="281">
        <f>_xll.qlCalendarAdvance(Calendar,X2917,NDays&amp;"D")</f>
        <v>59607</v>
      </c>
      <c r="Z2917" s="282" t="e">
        <v>#N/A</v>
      </c>
      <c r="AA2917" s="284" t="e">
        <v>#N/A</v>
      </c>
    </row>
    <row r="2918" spans="23:27" x14ac:dyDescent="0.2">
      <c r="W2918" s="203" t="str">
        <f t="shared" si="55"/>
        <v>1w</v>
      </c>
      <c r="X2918" s="287">
        <f>_xll.qlCalendarAdvance(Calendar,X2917,W2918,"f",FALSE)</f>
        <v>59610</v>
      </c>
      <c r="Y2918" s="281">
        <f>_xll.qlCalendarAdvance(Calendar,X2918,NDays&amp;"D")</f>
        <v>59614</v>
      </c>
      <c r="Z2918" s="282" t="e">
        <v>#N/A</v>
      </c>
      <c r="AA2918" s="284" t="e">
        <v>#N/A</v>
      </c>
    </row>
    <row r="2919" spans="23:27" x14ac:dyDescent="0.2">
      <c r="W2919" s="203" t="str">
        <f t="shared" si="55"/>
        <v>1w</v>
      </c>
      <c r="X2919" s="287">
        <f>_xll.qlCalendarAdvance(Calendar,X2918,W2919,"f",FALSE)</f>
        <v>59617</v>
      </c>
      <c r="Y2919" s="281">
        <f>_xll.qlCalendarAdvance(Calendar,X2919,NDays&amp;"D")</f>
        <v>59621</v>
      </c>
      <c r="Z2919" s="282" t="e">
        <v>#N/A</v>
      </c>
      <c r="AA2919" s="284" t="e">
        <v>#N/A</v>
      </c>
    </row>
    <row r="2920" spans="23:27" x14ac:dyDescent="0.2">
      <c r="W2920" s="203" t="str">
        <f t="shared" si="55"/>
        <v>1w</v>
      </c>
      <c r="X2920" s="287">
        <f>_xll.qlCalendarAdvance(Calendar,X2919,W2920,"f",FALSE)</f>
        <v>59624</v>
      </c>
      <c r="Y2920" s="281">
        <f>_xll.qlCalendarAdvance(Calendar,X2920,NDays&amp;"D")</f>
        <v>59628</v>
      </c>
      <c r="Z2920" s="282" t="e">
        <v>#N/A</v>
      </c>
      <c r="AA2920" s="284" t="e">
        <v>#N/A</v>
      </c>
    </row>
    <row r="2921" spans="23:27" x14ac:dyDescent="0.2">
      <c r="W2921" s="203" t="str">
        <f t="shared" si="55"/>
        <v>1w</v>
      </c>
      <c r="X2921" s="287">
        <f>_xll.qlCalendarAdvance(Calendar,X2920,W2921,"f",FALSE)</f>
        <v>59631</v>
      </c>
      <c r="Y2921" s="281">
        <f>_xll.qlCalendarAdvance(Calendar,X2921,NDays&amp;"D")</f>
        <v>59635</v>
      </c>
      <c r="Z2921" s="282" t="e">
        <v>#N/A</v>
      </c>
      <c r="AA2921" s="284" t="e">
        <v>#N/A</v>
      </c>
    </row>
    <row r="2922" spans="23:27" x14ac:dyDescent="0.2">
      <c r="W2922" s="203" t="str">
        <f t="shared" si="55"/>
        <v>1w</v>
      </c>
      <c r="X2922" s="287">
        <f>_xll.qlCalendarAdvance(Calendar,X2921,W2922,"f",FALSE)</f>
        <v>59638</v>
      </c>
      <c r="Y2922" s="281">
        <f>_xll.qlCalendarAdvance(Calendar,X2922,NDays&amp;"D")</f>
        <v>59644</v>
      </c>
      <c r="Z2922" s="282" t="e">
        <v>#N/A</v>
      </c>
      <c r="AA2922" s="284" t="e">
        <v>#N/A</v>
      </c>
    </row>
    <row r="2923" spans="23:27" x14ac:dyDescent="0.2">
      <c r="W2923" s="203" t="str">
        <f t="shared" si="55"/>
        <v>1w</v>
      </c>
      <c r="X2923" s="287">
        <f>_xll.qlCalendarAdvance(Calendar,X2922,W2923,"f",FALSE)</f>
        <v>59645</v>
      </c>
      <c r="Y2923" s="281">
        <f>_xll.qlCalendarAdvance(Calendar,X2923,NDays&amp;"D")</f>
        <v>59649</v>
      </c>
      <c r="Z2923" s="282" t="e">
        <v>#N/A</v>
      </c>
      <c r="AA2923" s="284" t="e">
        <v>#N/A</v>
      </c>
    </row>
    <row r="2924" spans="23:27" x14ac:dyDescent="0.2">
      <c r="W2924" s="203" t="str">
        <f t="shared" si="55"/>
        <v>1w</v>
      </c>
      <c r="X2924" s="287">
        <f>_xll.qlCalendarAdvance(Calendar,X2923,W2924,"f",FALSE)</f>
        <v>59652</v>
      </c>
      <c r="Y2924" s="281">
        <f>_xll.qlCalendarAdvance(Calendar,X2924,NDays&amp;"D")</f>
        <v>59657</v>
      </c>
      <c r="Z2924" s="282" t="e">
        <v>#N/A</v>
      </c>
      <c r="AA2924" s="284" t="e">
        <v>#N/A</v>
      </c>
    </row>
    <row r="2925" spans="23:27" x14ac:dyDescent="0.2">
      <c r="W2925" s="203" t="str">
        <f t="shared" si="55"/>
        <v>1w</v>
      </c>
      <c r="X2925" s="287">
        <f>_xll.qlCalendarAdvance(Calendar,X2924,W2925,"f",FALSE)</f>
        <v>59664</v>
      </c>
      <c r="Y2925" s="281">
        <f>_xll.qlCalendarAdvance(Calendar,X2925,NDays&amp;"D")</f>
        <v>59666</v>
      </c>
      <c r="Z2925" s="282" t="e">
        <v>#N/A</v>
      </c>
      <c r="AA2925" s="284" t="e">
        <v>#N/A</v>
      </c>
    </row>
    <row r="2926" spans="23:27" x14ac:dyDescent="0.2">
      <c r="W2926" s="203" t="str">
        <f t="shared" si="55"/>
        <v>1w</v>
      </c>
      <c r="X2926" s="287">
        <f>_xll.qlCalendarAdvance(Calendar,X2925,W2926,"f",FALSE)</f>
        <v>59671</v>
      </c>
      <c r="Y2926" s="281">
        <f>_xll.qlCalendarAdvance(Calendar,X2926,NDays&amp;"D")</f>
        <v>59673</v>
      </c>
      <c r="Z2926" s="282" t="e">
        <v>#N/A</v>
      </c>
      <c r="AA2926" s="284" t="e">
        <v>#N/A</v>
      </c>
    </row>
    <row r="2927" spans="23:27" x14ac:dyDescent="0.2">
      <c r="W2927" s="203" t="str">
        <f t="shared" si="55"/>
        <v>1w</v>
      </c>
      <c r="X2927" s="287">
        <f>_xll.qlCalendarAdvance(Calendar,X2926,W2927,"f",FALSE)</f>
        <v>59678</v>
      </c>
      <c r="Y2927" s="281">
        <f>_xll.qlCalendarAdvance(Calendar,X2927,NDays&amp;"D")</f>
        <v>59680</v>
      </c>
      <c r="Z2927" s="282" t="e">
        <v>#N/A</v>
      </c>
      <c r="AA2927" s="284" t="e">
        <v>#N/A</v>
      </c>
    </row>
    <row r="2928" spans="23:27" x14ac:dyDescent="0.2">
      <c r="W2928" s="203" t="str">
        <f t="shared" si="55"/>
        <v>1w</v>
      </c>
      <c r="X2928" s="287">
        <f>_xll.qlCalendarAdvance(Calendar,X2927,W2928,"f",FALSE)</f>
        <v>59685</v>
      </c>
      <c r="Y2928" s="281">
        <f>_xll.qlCalendarAdvance(Calendar,X2928,NDays&amp;"D")</f>
        <v>59687</v>
      </c>
      <c r="Z2928" s="282" t="e">
        <v>#N/A</v>
      </c>
      <c r="AA2928" s="284" t="e">
        <v>#N/A</v>
      </c>
    </row>
    <row r="2929" spans="23:27" x14ac:dyDescent="0.2">
      <c r="W2929" s="203" t="str">
        <f t="shared" si="55"/>
        <v>1w</v>
      </c>
      <c r="X2929" s="287">
        <f>_xll.qlCalendarAdvance(Calendar,X2928,W2929,"f",FALSE)</f>
        <v>59692</v>
      </c>
      <c r="Y2929" s="281">
        <f>_xll.qlCalendarAdvance(Calendar,X2929,NDays&amp;"D")</f>
        <v>59694</v>
      </c>
      <c r="Z2929" s="282" t="e">
        <v>#N/A</v>
      </c>
      <c r="AA2929" s="284" t="e">
        <v>#N/A</v>
      </c>
    </row>
    <row r="2930" spans="23:27" x14ac:dyDescent="0.2">
      <c r="W2930" s="203" t="str">
        <f t="shared" si="55"/>
        <v>1w</v>
      </c>
      <c r="X2930" s="287">
        <f>_xll.qlCalendarAdvance(Calendar,X2929,W2930,"f",FALSE)</f>
        <v>59699</v>
      </c>
      <c r="Y2930" s="281">
        <f>_xll.qlCalendarAdvance(Calendar,X2930,NDays&amp;"D")</f>
        <v>59701</v>
      </c>
      <c r="Z2930" s="282" t="e">
        <v>#N/A</v>
      </c>
      <c r="AA2930" s="284" t="e">
        <v>#N/A</v>
      </c>
    </row>
    <row r="2931" spans="23:27" x14ac:dyDescent="0.2">
      <c r="W2931" s="203" t="str">
        <f t="shared" si="55"/>
        <v>1w</v>
      </c>
      <c r="X2931" s="287">
        <f>_xll.qlCalendarAdvance(Calendar,X2930,W2931,"f",FALSE)</f>
        <v>59706</v>
      </c>
      <c r="Y2931" s="281">
        <f>_xll.qlCalendarAdvance(Calendar,X2931,NDays&amp;"D")</f>
        <v>59708</v>
      </c>
      <c r="Z2931" s="282" t="e">
        <v>#N/A</v>
      </c>
      <c r="AA2931" s="284" t="e">
        <v>#N/A</v>
      </c>
    </row>
    <row r="2932" spans="23:27" x14ac:dyDescent="0.2">
      <c r="W2932" s="203" t="str">
        <f t="shared" si="55"/>
        <v>1w</v>
      </c>
      <c r="X2932" s="287">
        <f>_xll.qlCalendarAdvance(Calendar,X2931,W2932,"f",FALSE)</f>
        <v>59713</v>
      </c>
      <c r="Y2932" s="281">
        <f>_xll.qlCalendarAdvance(Calendar,X2932,NDays&amp;"D")</f>
        <v>59715</v>
      </c>
      <c r="Z2932" s="282" t="e">
        <v>#N/A</v>
      </c>
      <c r="AA2932" s="284" t="e">
        <v>#N/A</v>
      </c>
    </row>
    <row r="2933" spans="23:27" x14ac:dyDescent="0.2">
      <c r="W2933" s="203" t="str">
        <f t="shared" si="55"/>
        <v>1w</v>
      </c>
      <c r="X2933" s="287">
        <f>_xll.qlCalendarAdvance(Calendar,X2932,W2933,"f",FALSE)</f>
        <v>59720</v>
      </c>
      <c r="Y2933" s="281">
        <f>_xll.qlCalendarAdvance(Calendar,X2933,NDays&amp;"D")</f>
        <v>59722</v>
      </c>
      <c r="Z2933" s="282" t="e">
        <v>#N/A</v>
      </c>
      <c r="AA2933" s="284" t="e">
        <v>#N/A</v>
      </c>
    </row>
    <row r="2934" spans="23:27" x14ac:dyDescent="0.2">
      <c r="W2934" s="203" t="str">
        <f t="shared" si="55"/>
        <v>1w</v>
      </c>
      <c r="X2934" s="287">
        <f>_xll.qlCalendarAdvance(Calendar,X2933,W2934,"f",FALSE)</f>
        <v>59727</v>
      </c>
      <c r="Y2934" s="281">
        <f>_xll.qlCalendarAdvance(Calendar,X2934,NDays&amp;"D")</f>
        <v>59729</v>
      </c>
      <c r="Z2934" s="282" t="e">
        <v>#N/A</v>
      </c>
      <c r="AA2934" s="284" t="e">
        <v>#N/A</v>
      </c>
    </row>
    <row r="2935" spans="23:27" x14ac:dyDescent="0.2">
      <c r="W2935" s="203" t="str">
        <f t="shared" si="55"/>
        <v>1w</v>
      </c>
      <c r="X2935" s="287">
        <f>_xll.qlCalendarAdvance(Calendar,X2934,W2935,"f",FALSE)</f>
        <v>59734</v>
      </c>
      <c r="Y2935" s="281">
        <f>_xll.qlCalendarAdvance(Calendar,X2935,NDays&amp;"D")</f>
        <v>59736</v>
      </c>
      <c r="Z2935" s="282" t="e">
        <v>#N/A</v>
      </c>
      <c r="AA2935" s="284" t="e">
        <v>#N/A</v>
      </c>
    </row>
    <row r="2936" spans="23:27" x14ac:dyDescent="0.2">
      <c r="W2936" s="203" t="str">
        <f t="shared" si="55"/>
        <v>1w</v>
      </c>
      <c r="X2936" s="287">
        <f>_xll.qlCalendarAdvance(Calendar,X2935,W2936,"f",FALSE)</f>
        <v>59741</v>
      </c>
      <c r="Y2936" s="281">
        <f>_xll.qlCalendarAdvance(Calendar,X2936,NDays&amp;"D")</f>
        <v>59743</v>
      </c>
      <c r="Z2936" s="282" t="e">
        <v>#N/A</v>
      </c>
      <c r="AA2936" s="284" t="e">
        <v>#N/A</v>
      </c>
    </row>
    <row r="2937" spans="23:27" x14ac:dyDescent="0.2">
      <c r="W2937" s="203" t="str">
        <f t="shared" si="55"/>
        <v>1w</v>
      </c>
      <c r="X2937" s="287">
        <f>_xll.qlCalendarAdvance(Calendar,X2936,W2937,"f",FALSE)</f>
        <v>59748</v>
      </c>
      <c r="Y2937" s="281">
        <f>_xll.qlCalendarAdvance(Calendar,X2937,NDays&amp;"D")</f>
        <v>59750</v>
      </c>
      <c r="Z2937" s="282" t="e">
        <v>#N/A</v>
      </c>
      <c r="AA2937" s="284" t="e">
        <v>#N/A</v>
      </c>
    </row>
    <row r="2938" spans="23:27" x14ac:dyDescent="0.2">
      <c r="W2938" s="203" t="str">
        <f t="shared" si="55"/>
        <v>1w</v>
      </c>
      <c r="X2938" s="287">
        <f>_xll.qlCalendarAdvance(Calendar,X2937,W2938,"f",FALSE)</f>
        <v>59755</v>
      </c>
      <c r="Y2938" s="281">
        <f>_xll.qlCalendarAdvance(Calendar,X2938,NDays&amp;"D")</f>
        <v>59757</v>
      </c>
      <c r="Z2938" s="282" t="e">
        <v>#N/A</v>
      </c>
      <c r="AA2938" s="284" t="e">
        <v>#N/A</v>
      </c>
    </row>
    <row r="2939" spans="23:27" x14ac:dyDescent="0.2">
      <c r="W2939" s="203" t="str">
        <f t="shared" si="55"/>
        <v>1w</v>
      </c>
      <c r="X2939" s="287">
        <f>_xll.qlCalendarAdvance(Calendar,X2938,W2939,"f",FALSE)</f>
        <v>59762</v>
      </c>
      <c r="Y2939" s="281">
        <f>_xll.qlCalendarAdvance(Calendar,X2939,NDays&amp;"D")</f>
        <v>59764</v>
      </c>
      <c r="Z2939" s="282" t="e">
        <v>#N/A</v>
      </c>
      <c r="AA2939" s="284" t="e">
        <v>#N/A</v>
      </c>
    </row>
    <row r="2940" spans="23:27" x14ac:dyDescent="0.2">
      <c r="W2940" s="203" t="str">
        <f t="shared" si="55"/>
        <v>1w</v>
      </c>
      <c r="X2940" s="287">
        <f>_xll.qlCalendarAdvance(Calendar,X2939,W2940,"f",FALSE)</f>
        <v>59769</v>
      </c>
      <c r="Y2940" s="281">
        <f>_xll.qlCalendarAdvance(Calendar,X2940,NDays&amp;"D")</f>
        <v>59771</v>
      </c>
      <c r="Z2940" s="282" t="e">
        <v>#N/A</v>
      </c>
      <c r="AA2940" s="284" t="e">
        <v>#N/A</v>
      </c>
    </row>
    <row r="2941" spans="23:27" x14ac:dyDescent="0.2">
      <c r="W2941" s="203" t="str">
        <f t="shared" si="55"/>
        <v>1w</v>
      </c>
      <c r="X2941" s="287">
        <f>_xll.qlCalendarAdvance(Calendar,X2940,W2941,"f",FALSE)</f>
        <v>59776</v>
      </c>
      <c r="Y2941" s="281">
        <f>_xll.qlCalendarAdvance(Calendar,X2941,NDays&amp;"D")</f>
        <v>59778</v>
      </c>
      <c r="Z2941" s="282" t="e">
        <v>#N/A</v>
      </c>
      <c r="AA2941" s="284" t="e">
        <v>#N/A</v>
      </c>
    </row>
    <row r="2942" spans="23:27" x14ac:dyDescent="0.2">
      <c r="W2942" s="203" t="str">
        <f t="shared" si="55"/>
        <v>1w</v>
      </c>
      <c r="X2942" s="287">
        <f>_xll.qlCalendarAdvance(Calendar,X2941,W2942,"f",FALSE)</f>
        <v>59783</v>
      </c>
      <c r="Y2942" s="281">
        <f>_xll.qlCalendarAdvance(Calendar,X2942,NDays&amp;"D")</f>
        <v>59785</v>
      </c>
      <c r="Z2942" s="282" t="e">
        <v>#N/A</v>
      </c>
      <c r="AA2942" s="284" t="e">
        <v>#N/A</v>
      </c>
    </row>
    <row r="2943" spans="23:27" x14ac:dyDescent="0.2">
      <c r="W2943" s="203" t="str">
        <f t="shared" si="55"/>
        <v>1w</v>
      </c>
      <c r="X2943" s="287">
        <f>_xll.qlCalendarAdvance(Calendar,X2942,W2943,"f",FALSE)</f>
        <v>59790</v>
      </c>
      <c r="Y2943" s="281">
        <f>_xll.qlCalendarAdvance(Calendar,X2943,NDays&amp;"D")</f>
        <v>59792</v>
      </c>
      <c r="Z2943" s="282" t="e">
        <v>#N/A</v>
      </c>
      <c r="AA2943" s="284" t="e">
        <v>#N/A</v>
      </c>
    </row>
    <row r="2944" spans="23:27" x14ac:dyDescent="0.2">
      <c r="W2944" s="203" t="str">
        <f t="shared" si="55"/>
        <v>1w</v>
      </c>
      <c r="X2944" s="287">
        <f>_xll.qlCalendarAdvance(Calendar,X2943,W2944,"f",FALSE)</f>
        <v>59797</v>
      </c>
      <c r="Y2944" s="281">
        <f>_xll.qlCalendarAdvance(Calendar,X2944,NDays&amp;"D")</f>
        <v>59799</v>
      </c>
      <c r="Z2944" s="282" t="e">
        <v>#N/A</v>
      </c>
      <c r="AA2944" s="284" t="e">
        <v>#N/A</v>
      </c>
    </row>
    <row r="2945" spans="23:27" x14ac:dyDescent="0.2">
      <c r="W2945" s="203" t="str">
        <f t="shared" si="55"/>
        <v>1w</v>
      </c>
      <c r="X2945" s="287">
        <f>_xll.qlCalendarAdvance(Calendar,X2944,W2945,"f",FALSE)</f>
        <v>59804</v>
      </c>
      <c r="Y2945" s="281">
        <f>_xll.qlCalendarAdvance(Calendar,X2945,NDays&amp;"D")</f>
        <v>59806</v>
      </c>
      <c r="Z2945" s="282" t="e">
        <v>#N/A</v>
      </c>
      <c r="AA2945" s="284" t="e">
        <v>#N/A</v>
      </c>
    </row>
    <row r="2946" spans="23:27" x14ac:dyDescent="0.2">
      <c r="W2946" s="203" t="str">
        <f t="shared" si="55"/>
        <v>1w</v>
      </c>
      <c r="X2946" s="287">
        <f>_xll.qlCalendarAdvance(Calendar,X2945,W2946,"f",FALSE)</f>
        <v>59811</v>
      </c>
      <c r="Y2946" s="281">
        <f>_xll.qlCalendarAdvance(Calendar,X2946,NDays&amp;"D")</f>
        <v>59813</v>
      </c>
      <c r="Z2946" s="282" t="e">
        <v>#N/A</v>
      </c>
      <c r="AA2946" s="284" t="e">
        <v>#N/A</v>
      </c>
    </row>
    <row r="2947" spans="23:27" x14ac:dyDescent="0.2">
      <c r="W2947" s="203" t="str">
        <f t="shared" si="55"/>
        <v>1w</v>
      </c>
      <c r="X2947" s="287">
        <f>_xll.qlCalendarAdvance(Calendar,X2946,W2947,"f",FALSE)</f>
        <v>59818</v>
      </c>
      <c r="Y2947" s="281">
        <f>_xll.qlCalendarAdvance(Calendar,X2947,NDays&amp;"D")</f>
        <v>59820</v>
      </c>
      <c r="Z2947" s="282" t="e">
        <v>#N/A</v>
      </c>
      <c r="AA2947" s="284" t="e">
        <v>#N/A</v>
      </c>
    </row>
    <row r="2948" spans="23:27" x14ac:dyDescent="0.2">
      <c r="W2948" s="203" t="str">
        <f t="shared" si="55"/>
        <v>1w</v>
      </c>
      <c r="X2948" s="287">
        <f>_xll.qlCalendarAdvance(Calendar,X2947,W2948,"f",FALSE)</f>
        <v>59825</v>
      </c>
      <c r="Y2948" s="281">
        <f>_xll.qlCalendarAdvance(Calendar,X2948,NDays&amp;"D")</f>
        <v>59827</v>
      </c>
      <c r="Z2948" s="282" t="e">
        <v>#N/A</v>
      </c>
      <c r="AA2948" s="284" t="e">
        <v>#N/A</v>
      </c>
    </row>
    <row r="2949" spans="23:27" x14ac:dyDescent="0.2">
      <c r="W2949" s="203" t="str">
        <f t="shared" si="55"/>
        <v>1w</v>
      </c>
      <c r="X2949" s="287">
        <f>_xll.qlCalendarAdvance(Calendar,X2948,W2949,"f",FALSE)</f>
        <v>59832</v>
      </c>
      <c r="Y2949" s="281">
        <f>_xll.qlCalendarAdvance(Calendar,X2949,NDays&amp;"D")</f>
        <v>59834</v>
      </c>
      <c r="Z2949" s="282" t="e">
        <v>#N/A</v>
      </c>
      <c r="AA2949" s="284" t="e">
        <v>#N/A</v>
      </c>
    </row>
    <row r="2950" spans="23:27" x14ac:dyDescent="0.2">
      <c r="W2950" s="203" t="str">
        <f t="shared" si="55"/>
        <v>1w</v>
      </c>
      <c r="X2950" s="287">
        <f>_xll.qlCalendarAdvance(Calendar,X2949,W2950,"f",FALSE)</f>
        <v>59839</v>
      </c>
      <c r="Y2950" s="281">
        <f>_xll.qlCalendarAdvance(Calendar,X2950,NDays&amp;"D")</f>
        <v>59841</v>
      </c>
      <c r="Z2950" s="282" t="e">
        <v>#N/A</v>
      </c>
      <c r="AA2950" s="284" t="e">
        <v>#N/A</v>
      </c>
    </row>
    <row r="2951" spans="23:27" x14ac:dyDescent="0.2">
      <c r="W2951" s="203" t="str">
        <f t="shared" si="55"/>
        <v>1w</v>
      </c>
      <c r="X2951" s="287">
        <f>_xll.qlCalendarAdvance(Calendar,X2950,W2951,"f",FALSE)</f>
        <v>59846</v>
      </c>
      <c r="Y2951" s="281">
        <f>_xll.qlCalendarAdvance(Calendar,X2951,NDays&amp;"D")</f>
        <v>59848</v>
      </c>
      <c r="Z2951" s="282" t="e">
        <v>#N/A</v>
      </c>
      <c r="AA2951" s="284" t="e">
        <v>#N/A</v>
      </c>
    </row>
    <row r="2952" spans="23:27" x14ac:dyDescent="0.2">
      <c r="W2952" s="203" t="str">
        <f t="shared" si="55"/>
        <v>1w</v>
      </c>
      <c r="X2952" s="287">
        <f>_xll.qlCalendarAdvance(Calendar,X2951,W2952,"f",FALSE)</f>
        <v>59853</v>
      </c>
      <c r="Y2952" s="281">
        <f>_xll.qlCalendarAdvance(Calendar,X2952,NDays&amp;"D")</f>
        <v>59855</v>
      </c>
      <c r="Z2952" s="282" t="e">
        <v>#N/A</v>
      </c>
      <c r="AA2952" s="284" t="e">
        <v>#N/A</v>
      </c>
    </row>
    <row r="2953" spans="23:27" x14ac:dyDescent="0.2">
      <c r="W2953" s="203" t="str">
        <f t="shared" si="55"/>
        <v>1w</v>
      </c>
      <c r="X2953" s="287">
        <f>_xll.qlCalendarAdvance(Calendar,X2952,W2953,"f",FALSE)</f>
        <v>59860</v>
      </c>
      <c r="Y2953" s="281">
        <f>_xll.qlCalendarAdvance(Calendar,X2953,NDays&amp;"D")</f>
        <v>59862</v>
      </c>
      <c r="Z2953" s="282" t="e">
        <v>#N/A</v>
      </c>
      <c r="AA2953" s="284" t="e">
        <v>#N/A</v>
      </c>
    </row>
    <row r="2954" spans="23:27" x14ac:dyDescent="0.2">
      <c r="W2954" s="203" t="str">
        <f t="shared" si="55"/>
        <v>1w</v>
      </c>
      <c r="X2954" s="287">
        <f>_xll.qlCalendarAdvance(Calendar,X2953,W2954,"f",FALSE)</f>
        <v>59867</v>
      </c>
      <c r="Y2954" s="281">
        <f>_xll.qlCalendarAdvance(Calendar,X2954,NDays&amp;"D")</f>
        <v>59869</v>
      </c>
      <c r="Z2954" s="282" t="e">
        <v>#N/A</v>
      </c>
      <c r="AA2954" s="284" t="e">
        <v>#N/A</v>
      </c>
    </row>
    <row r="2955" spans="23:27" x14ac:dyDescent="0.2">
      <c r="W2955" s="203" t="str">
        <f t="shared" si="55"/>
        <v>1w</v>
      </c>
      <c r="X2955" s="287">
        <f>_xll.qlCalendarAdvance(Calendar,X2954,W2955,"f",FALSE)</f>
        <v>59874</v>
      </c>
      <c r="Y2955" s="281">
        <f>_xll.qlCalendarAdvance(Calendar,X2955,NDays&amp;"D")</f>
        <v>59876</v>
      </c>
      <c r="Z2955" s="282" t="e">
        <v>#N/A</v>
      </c>
      <c r="AA2955" s="284" t="e">
        <v>#N/A</v>
      </c>
    </row>
    <row r="2956" spans="23:27" x14ac:dyDescent="0.2">
      <c r="W2956" s="203" t="str">
        <f t="shared" si="55"/>
        <v>1w</v>
      </c>
      <c r="X2956" s="287">
        <f>_xll.qlCalendarAdvance(Calendar,X2955,W2956,"f",FALSE)</f>
        <v>59881</v>
      </c>
      <c r="Y2956" s="281">
        <f>_xll.qlCalendarAdvance(Calendar,X2956,NDays&amp;"D")</f>
        <v>59883</v>
      </c>
      <c r="Z2956" s="282" t="e">
        <v>#N/A</v>
      </c>
      <c r="AA2956" s="284" t="e">
        <v>#N/A</v>
      </c>
    </row>
    <row r="2957" spans="23:27" x14ac:dyDescent="0.2">
      <c r="W2957" s="203" t="str">
        <f t="shared" si="55"/>
        <v>1w</v>
      </c>
      <c r="X2957" s="287">
        <f>_xll.qlCalendarAdvance(Calendar,X2956,W2957,"f",FALSE)</f>
        <v>59888</v>
      </c>
      <c r="Y2957" s="281">
        <f>_xll.qlCalendarAdvance(Calendar,X2957,NDays&amp;"D")</f>
        <v>59890</v>
      </c>
      <c r="Z2957" s="282" t="e">
        <v>#N/A</v>
      </c>
      <c r="AA2957" s="284" t="e">
        <v>#N/A</v>
      </c>
    </row>
    <row r="2958" spans="23:27" x14ac:dyDescent="0.2">
      <c r="W2958" s="203" t="str">
        <f t="shared" si="55"/>
        <v>1w</v>
      </c>
      <c r="X2958" s="287">
        <f>_xll.qlCalendarAdvance(Calendar,X2957,W2958,"f",FALSE)</f>
        <v>59897</v>
      </c>
      <c r="Y2958" s="281">
        <f>_xll.qlCalendarAdvance(Calendar,X2958,NDays&amp;"D")</f>
        <v>59905</v>
      </c>
      <c r="Z2958" s="282" t="e">
        <v>#N/A</v>
      </c>
      <c r="AA2958" s="284" t="e">
        <v>#N/A</v>
      </c>
    </row>
    <row r="2959" spans="23:27" x14ac:dyDescent="0.2">
      <c r="W2959" s="203" t="str">
        <f t="shared" si="55"/>
        <v>1w</v>
      </c>
      <c r="X2959" s="287">
        <f>_xll.qlCalendarAdvance(Calendar,X2958,W2959,"f",FALSE)</f>
        <v>59905</v>
      </c>
      <c r="Y2959" s="281">
        <f>_xll.qlCalendarAdvance(Calendar,X2959,NDays&amp;"D")</f>
        <v>59909</v>
      </c>
      <c r="Z2959" s="282" t="e">
        <v>#N/A</v>
      </c>
      <c r="AA2959" s="284" t="e">
        <v>#N/A</v>
      </c>
    </row>
    <row r="2960" spans="23:27" x14ac:dyDescent="0.2">
      <c r="W2960" s="203" t="str">
        <f t="shared" si="55"/>
        <v>1w</v>
      </c>
      <c r="X2960" s="287">
        <f>_xll.qlCalendarAdvance(Calendar,X2959,W2960,"f",FALSE)</f>
        <v>59912</v>
      </c>
      <c r="Y2960" s="281">
        <f>_xll.qlCalendarAdvance(Calendar,X2960,NDays&amp;"D")</f>
        <v>59917</v>
      </c>
      <c r="Z2960" s="282" t="e">
        <v>#N/A</v>
      </c>
      <c r="AA2960" s="284" t="e">
        <v>#N/A</v>
      </c>
    </row>
    <row r="2961" spans="23:27" x14ac:dyDescent="0.2">
      <c r="W2961" s="203" t="str">
        <f t="shared" si="55"/>
        <v>1w</v>
      </c>
      <c r="X2961" s="287">
        <f>_xll.qlCalendarAdvance(Calendar,X2960,W2961,"f",FALSE)</f>
        <v>59919</v>
      </c>
      <c r="Y2961" s="281">
        <f>_xll.qlCalendarAdvance(Calendar,X2961,NDays&amp;"D")</f>
        <v>59923</v>
      </c>
      <c r="Z2961" s="282" t="e">
        <v>#N/A</v>
      </c>
      <c r="AA2961" s="284" t="e">
        <v>#N/A</v>
      </c>
    </row>
    <row r="2962" spans="23:27" x14ac:dyDescent="0.2">
      <c r="W2962" s="203" t="str">
        <f t="shared" si="55"/>
        <v>1w</v>
      </c>
      <c r="X2962" s="287">
        <f>_xll.qlCalendarAdvance(Calendar,X2961,W2962,"f",FALSE)</f>
        <v>59926</v>
      </c>
      <c r="Y2962" s="281">
        <f>_xll.qlCalendarAdvance(Calendar,X2962,NDays&amp;"D")</f>
        <v>59930</v>
      </c>
      <c r="Z2962" s="282" t="e">
        <v>#N/A</v>
      </c>
      <c r="AA2962" s="284" t="e">
        <v>#N/A</v>
      </c>
    </row>
    <row r="2963" spans="23:27" x14ac:dyDescent="0.2">
      <c r="W2963" s="203" t="str">
        <f t="shared" si="55"/>
        <v>1w</v>
      </c>
      <c r="X2963" s="287">
        <f>_xll.qlCalendarAdvance(Calendar,X2962,W2963,"f",FALSE)</f>
        <v>59933</v>
      </c>
      <c r="Y2963" s="281">
        <f>_xll.qlCalendarAdvance(Calendar,X2963,NDays&amp;"D")</f>
        <v>59937</v>
      </c>
      <c r="Z2963" s="282" t="e">
        <v>#N/A</v>
      </c>
      <c r="AA2963" s="284" t="e">
        <v>#N/A</v>
      </c>
    </row>
    <row r="2964" spans="23:27" x14ac:dyDescent="0.2">
      <c r="W2964" s="203" t="str">
        <f t="shared" si="55"/>
        <v>1w</v>
      </c>
      <c r="X2964" s="287">
        <f>_xll.qlCalendarAdvance(Calendar,X2963,W2964,"f",FALSE)</f>
        <v>59940</v>
      </c>
      <c r="Y2964" s="281">
        <f>_xll.qlCalendarAdvance(Calendar,X2964,NDays&amp;"D")</f>
        <v>59945</v>
      </c>
      <c r="Z2964" s="282" t="e">
        <v>#N/A</v>
      </c>
      <c r="AA2964" s="284" t="e">
        <v>#N/A</v>
      </c>
    </row>
    <row r="2965" spans="23:27" x14ac:dyDescent="0.2">
      <c r="W2965" s="203" t="str">
        <f t="shared" ref="W2965:W3028" si="56">W2964</f>
        <v>1w</v>
      </c>
      <c r="X2965" s="287">
        <f>_xll.qlCalendarAdvance(Calendar,X2964,W2965,"f",FALSE)</f>
        <v>59947</v>
      </c>
      <c r="Y2965" s="281">
        <f>_xll.qlCalendarAdvance(Calendar,X2965,NDays&amp;"D")</f>
        <v>59951</v>
      </c>
      <c r="Z2965" s="282" t="e">
        <v>#N/A</v>
      </c>
      <c r="AA2965" s="284" t="e">
        <v>#N/A</v>
      </c>
    </row>
    <row r="2966" spans="23:27" x14ac:dyDescent="0.2">
      <c r="W2966" s="203" t="str">
        <f t="shared" si="56"/>
        <v>1w</v>
      </c>
      <c r="X2966" s="287">
        <f>_xll.qlCalendarAdvance(Calendar,X2965,W2966,"f",FALSE)</f>
        <v>59954</v>
      </c>
      <c r="Y2966" s="281">
        <f>_xll.qlCalendarAdvance(Calendar,X2966,NDays&amp;"D")</f>
        <v>59958</v>
      </c>
      <c r="Z2966" s="282" t="e">
        <v>#N/A</v>
      </c>
      <c r="AA2966" s="284" t="e">
        <v>#N/A</v>
      </c>
    </row>
    <row r="2967" spans="23:27" x14ac:dyDescent="0.2">
      <c r="W2967" s="203" t="str">
        <f t="shared" si="56"/>
        <v>1w</v>
      </c>
      <c r="X2967" s="287">
        <f>_xll.qlCalendarAdvance(Calendar,X2966,W2967,"f",FALSE)</f>
        <v>59961</v>
      </c>
      <c r="Y2967" s="281">
        <f>_xll.qlCalendarAdvance(Calendar,X2967,NDays&amp;"D")</f>
        <v>59965</v>
      </c>
      <c r="Z2967" s="282" t="e">
        <v>#N/A</v>
      </c>
      <c r="AA2967" s="284" t="e">
        <v>#N/A</v>
      </c>
    </row>
    <row r="2968" spans="23:27" x14ac:dyDescent="0.2">
      <c r="W2968" s="203" t="str">
        <f t="shared" si="56"/>
        <v>1w</v>
      </c>
      <c r="X2968" s="287">
        <f>_xll.qlCalendarAdvance(Calendar,X2967,W2968,"f",FALSE)</f>
        <v>59968</v>
      </c>
      <c r="Y2968" s="281">
        <f>_xll.qlCalendarAdvance(Calendar,X2968,NDays&amp;"D")</f>
        <v>59972</v>
      </c>
      <c r="Z2968" s="282" t="e">
        <v>#N/A</v>
      </c>
      <c r="AA2968" s="284" t="e">
        <v>#N/A</v>
      </c>
    </row>
    <row r="2969" spans="23:27" x14ac:dyDescent="0.2">
      <c r="W2969" s="203" t="str">
        <f t="shared" si="56"/>
        <v>1w</v>
      </c>
      <c r="X2969" s="287">
        <f>_xll.qlCalendarAdvance(Calendar,X2968,W2969,"f",FALSE)</f>
        <v>59975</v>
      </c>
      <c r="Y2969" s="281">
        <f>_xll.qlCalendarAdvance(Calendar,X2969,NDays&amp;"D")</f>
        <v>59979</v>
      </c>
      <c r="Z2969" s="282" t="e">
        <v>#N/A</v>
      </c>
      <c r="AA2969" s="284" t="e">
        <v>#N/A</v>
      </c>
    </row>
    <row r="2970" spans="23:27" x14ac:dyDescent="0.2">
      <c r="W2970" s="203" t="str">
        <f t="shared" si="56"/>
        <v>1w</v>
      </c>
      <c r="X2970" s="287">
        <f>_xll.qlCalendarAdvance(Calendar,X2969,W2970,"f",FALSE)</f>
        <v>59982</v>
      </c>
      <c r="Y2970" s="281">
        <f>_xll.qlCalendarAdvance(Calendar,X2970,NDays&amp;"D")</f>
        <v>59986</v>
      </c>
      <c r="Z2970" s="282" t="e">
        <v>#N/A</v>
      </c>
      <c r="AA2970" s="284" t="e">
        <v>#N/A</v>
      </c>
    </row>
    <row r="2971" spans="23:27" x14ac:dyDescent="0.2">
      <c r="W2971" s="203" t="str">
        <f t="shared" si="56"/>
        <v>1w</v>
      </c>
      <c r="X2971" s="287">
        <f>_xll.qlCalendarAdvance(Calendar,X2970,W2971,"f",FALSE)</f>
        <v>59989</v>
      </c>
      <c r="Y2971" s="281">
        <f>_xll.qlCalendarAdvance(Calendar,X2971,NDays&amp;"D")</f>
        <v>59993</v>
      </c>
      <c r="Z2971" s="282" t="e">
        <v>#N/A</v>
      </c>
      <c r="AA2971" s="284" t="e">
        <v>#N/A</v>
      </c>
    </row>
    <row r="2972" spans="23:27" x14ac:dyDescent="0.2">
      <c r="W2972" s="203" t="str">
        <f t="shared" si="56"/>
        <v>1w</v>
      </c>
      <c r="X2972" s="287">
        <f>_xll.qlCalendarAdvance(Calendar,X2971,W2972,"f",FALSE)</f>
        <v>60000</v>
      </c>
      <c r="Y2972" s="281">
        <f>_xll.qlCalendarAdvance(Calendar,X2972,NDays&amp;"D")</f>
        <v>60002</v>
      </c>
      <c r="Z2972" s="282" t="e">
        <v>#N/A</v>
      </c>
      <c r="AA2972" s="284" t="e">
        <v>#N/A</v>
      </c>
    </row>
    <row r="2973" spans="23:27" x14ac:dyDescent="0.2">
      <c r="W2973" s="203" t="str">
        <f t="shared" si="56"/>
        <v>1w</v>
      </c>
      <c r="X2973" s="287">
        <f>_xll.qlCalendarAdvance(Calendar,X2972,W2973,"f",FALSE)</f>
        <v>60007</v>
      </c>
      <c r="Y2973" s="281">
        <f>_xll.qlCalendarAdvance(Calendar,X2973,NDays&amp;"D")</f>
        <v>60009</v>
      </c>
      <c r="Z2973" s="282" t="e">
        <v>#N/A</v>
      </c>
      <c r="AA2973" s="284" t="e">
        <v>#N/A</v>
      </c>
    </row>
    <row r="2974" spans="23:27" x14ac:dyDescent="0.2">
      <c r="W2974" s="203" t="str">
        <f t="shared" si="56"/>
        <v>1w</v>
      </c>
      <c r="X2974" s="287">
        <f>_xll.qlCalendarAdvance(Calendar,X2973,W2974,"f",FALSE)</f>
        <v>60014</v>
      </c>
      <c r="Y2974" s="281">
        <f>_xll.qlCalendarAdvance(Calendar,X2974,NDays&amp;"D")</f>
        <v>60016</v>
      </c>
      <c r="Z2974" s="282" t="e">
        <v>#N/A</v>
      </c>
      <c r="AA2974" s="284" t="e">
        <v>#N/A</v>
      </c>
    </row>
    <row r="2975" spans="23:27" x14ac:dyDescent="0.2">
      <c r="W2975" s="203" t="str">
        <f t="shared" si="56"/>
        <v>1w</v>
      </c>
      <c r="X2975" s="287">
        <f>_xll.qlCalendarAdvance(Calendar,X2974,W2975,"f",FALSE)</f>
        <v>60022</v>
      </c>
      <c r="Y2975" s="281">
        <f>_xll.qlCalendarAdvance(Calendar,X2975,NDays&amp;"D")</f>
        <v>60024</v>
      </c>
      <c r="Z2975" s="282" t="e">
        <v>#N/A</v>
      </c>
      <c r="AA2975" s="284" t="e">
        <v>#N/A</v>
      </c>
    </row>
    <row r="2976" spans="23:27" x14ac:dyDescent="0.2">
      <c r="W2976" s="203" t="str">
        <f t="shared" si="56"/>
        <v>1w</v>
      </c>
      <c r="X2976" s="287">
        <f>_xll.qlCalendarAdvance(Calendar,X2975,W2976,"f",FALSE)</f>
        <v>60029</v>
      </c>
      <c r="Y2976" s="281">
        <f>_xll.qlCalendarAdvance(Calendar,X2976,NDays&amp;"D")</f>
        <v>60031</v>
      </c>
      <c r="Z2976" s="282" t="e">
        <v>#N/A</v>
      </c>
      <c r="AA2976" s="284" t="e">
        <v>#N/A</v>
      </c>
    </row>
    <row r="2977" spans="23:27" x14ac:dyDescent="0.2">
      <c r="W2977" s="203" t="str">
        <f t="shared" si="56"/>
        <v>1w</v>
      </c>
      <c r="X2977" s="287">
        <f>_xll.qlCalendarAdvance(Calendar,X2976,W2977,"f",FALSE)</f>
        <v>60036</v>
      </c>
      <c r="Y2977" s="281">
        <f>_xll.qlCalendarAdvance(Calendar,X2977,NDays&amp;"D")</f>
        <v>60038</v>
      </c>
      <c r="Z2977" s="282" t="e">
        <v>#N/A</v>
      </c>
      <c r="AA2977" s="284" t="e">
        <v>#N/A</v>
      </c>
    </row>
    <row r="2978" spans="23:27" x14ac:dyDescent="0.2">
      <c r="W2978" s="203" t="str">
        <f t="shared" si="56"/>
        <v>1w</v>
      </c>
      <c r="X2978" s="287">
        <f>_xll.qlCalendarAdvance(Calendar,X2977,W2978,"f",FALSE)</f>
        <v>60043</v>
      </c>
      <c r="Y2978" s="281">
        <f>_xll.qlCalendarAdvance(Calendar,X2978,NDays&amp;"D")</f>
        <v>60045</v>
      </c>
      <c r="Z2978" s="282" t="e">
        <v>#N/A</v>
      </c>
      <c r="AA2978" s="284" t="e">
        <v>#N/A</v>
      </c>
    </row>
    <row r="2979" spans="23:27" x14ac:dyDescent="0.2">
      <c r="W2979" s="203" t="str">
        <f t="shared" si="56"/>
        <v>1w</v>
      </c>
      <c r="X2979" s="287">
        <f>_xll.qlCalendarAdvance(Calendar,X2978,W2979,"f",FALSE)</f>
        <v>60050</v>
      </c>
      <c r="Y2979" s="281">
        <f>_xll.qlCalendarAdvance(Calendar,X2979,NDays&amp;"D")</f>
        <v>60052</v>
      </c>
      <c r="Z2979" s="282" t="e">
        <v>#N/A</v>
      </c>
      <c r="AA2979" s="284" t="e">
        <v>#N/A</v>
      </c>
    </row>
    <row r="2980" spans="23:27" x14ac:dyDescent="0.2">
      <c r="W2980" s="203" t="str">
        <f t="shared" si="56"/>
        <v>1w</v>
      </c>
      <c r="X2980" s="287">
        <f>_xll.qlCalendarAdvance(Calendar,X2979,W2980,"f",FALSE)</f>
        <v>60057</v>
      </c>
      <c r="Y2980" s="281">
        <f>_xll.qlCalendarAdvance(Calendar,X2980,NDays&amp;"D")</f>
        <v>60059</v>
      </c>
      <c r="Z2980" s="282" t="e">
        <v>#N/A</v>
      </c>
      <c r="AA2980" s="284" t="e">
        <v>#N/A</v>
      </c>
    </row>
    <row r="2981" spans="23:27" x14ac:dyDescent="0.2">
      <c r="W2981" s="203" t="str">
        <f t="shared" si="56"/>
        <v>1w</v>
      </c>
      <c r="X2981" s="287">
        <f>_xll.qlCalendarAdvance(Calendar,X2980,W2981,"f",FALSE)</f>
        <v>60064</v>
      </c>
      <c r="Y2981" s="281">
        <f>_xll.qlCalendarAdvance(Calendar,X2981,NDays&amp;"D")</f>
        <v>60066</v>
      </c>
      <c r="Z2981" s="282" t="e">
        <v>#N/A</v>
      </c>
      <c r="AA2981" s="284" t="e">
        <v>#N/A</v>
      </c>
    </row>
    <row r="2982" spans="23:27" x14ac:dyDescent="0.2">
      <c r="W2982" s="203" t="str">
        <f t="shared" si="56"/>
        <v>1w</v>
      </c>
      <c r="X2982" s="287">
        <f>_xll.qlCalendarAdvance(Calendar,X2981,W2982,"f",FALSE)</f>
        <v>60071</v>
      </c>
      <c r="Y2982" s="281">
        <f>_xll.qlCalendarAdvance(Calendar,X2982,NDays&amp;"D")</f>
        <v>60073</v>
      </c>
      <c r="Z2982" s="282" t="e">
        <v>#N/A</v>
      </c>
      <c r="AA2982" s="284" t="e">
        <v>#N/A</v>
      </c>
    </row>
    <row r="2983" spans="23:27" x14ac:dyDescent="0.2">
      <c r="W2983" s="203" t="str">
        <f t="shared" si="56"/>
        <v>1w</v>
      </c>
      <c r="X2983" s="287">
        <f>_xll.qlCalendarAdvance(Calendar,X2982,W2983,"f",FALSE)</f>
        <v>60078</v>
      </c>
      <c r="Y2983" s="281">
        <f>_xll.qlCalendarAdvance(Calendar,X2983,NDays&amp;"D")</f>
        <v>60080</v>
      </c>
      <c r="Z2983" s="282" t="e">
        <v>#N/A</v>
      </c>
      <c r="AA2983" s="284" t="e">
        <v>#N/A</v>
      </c>
    </row>
    <row r="2984" spans="23:27" x14ac:dyDescent="0.2">
      <c r="W2984" s="203" t="str">
        <f t="shared" si="56"/>
        <v>1w</v>
      </c>
      <c r="X2984" s="287">
        <f>_xll.qlCalendarAdvance(Calendar,X2983,W2984,"f",FALSE)</f>
        <v>60085</v>
      </c>
      <c r="Y2984" s="281">
        <f>_xll.qlCalendarAdvance(Calendar,X2984,NDays&amp;"D")</f>
        <v>60087</v>
      </c>
      <c r="Z2984" s="282" t="e">
        <v>#N/A</v>
      </c>
      <c r="AA2984" s="284" t="e">
        <v>#N/A</v>
      </c>
    </row>
    <row r="2985" spans="23:27" x14ac:dyDescent="0.2">
      <c r="W2985" s="203" t="str">
        <f t="shared" si="56"/>
        <v>1w</v>
      </c>
      <c r="X2985" s="287">
        <f>_xll.qlCalendarAdvance(Calendar,X2984,W2985,"f",FALSE)</f>
        <v>60092</v>
      </c>
      <c r="Y2985" s="281">
        <f>_xll.qlCalendarAdvance(Calendar,X2985,NDays&amp;"D")</f>
        <v>60094</v>
      </c>
      <c r="Z2985" s="282" t="e">
        <v>#N/A</v>
      </c>
      <c r="AA2985" s="284" t="e">
        <v>#N/A</v>
      </c>
    </row>
    <row r="2986" spans="23:27" x14ac:dyDescent="0.2">
      <c r="W2986" s="203" t="str">
        <f t="shared" si="56"/>
        <v>1w</v>
      </c>
      <c r="X2986" s="287">
        <f>_xll.qlCalendarAdvance(Calendar,X2985,W2986,"f",FALSE)</f>
        <v>60099</v>
      </c>
      <c r="Y2986" s="281">
        <f>_xll.qlCalendarAdvance(Calendar,X2986,NDays&amp;"D")</f>
        <v>60101</v>
      </c>
      <c r="Z2986" s="282" t="e">
        <v>#N/A</v>
      </c>
      <c r="AA2986" s="284" t="e">
        <v>#N/A</v>
      </c>
    </row>
    <row r="2987" spans="23:27" x14ac:dyDescent="0.2">
      <c r="W2987" s="203" t="str">
        <f t="shared" si="56"/>
        <v>1w</v>
      </c>
      <c r="X2987" s="287">
        <f>_xll.qlCalendarAdvance(Calendar,X2986,W2987,"f",FALSE)</f>
        <v>60106</v>
      </c>
      <c r="Y2987" s="281">
        <f>_xll.qlCalendarAdvance(Calendar,X2987,NDays&amp;"D")</f>
        <v>60108</v>
      </c>
      <c r="Z2987" s="282" t="e">
        <v>#N/A</v>
      </c>
      <c r="AA2987" s="284" t="e">
        <v>#N/A</v>
      </c>
    </row>
    <row r="2988" spans="23:27" x14ac:dyDescent="0.2">
      <c r="W2988" s="203" t="str">
        <f t="shared" si="56"/>
        <v>1w</v>
      </c>
      <c r="X2988" s="287">
        <f>_xll.qlCalendarAdvance(Calendar,X2987,W2988,"f",FALSE)</f>
        <v>60113</v>
      </c>
      <c r="Y2988" s="281">
        <f>_xll.qlCalendarAdvance(Calendar,X2988,NDays&amp;"D")</f>
        <v>60115</v>
      </c>
      <c r="Z2988" s="282" t="e">
        <v>#N/A</v>
      </c>
      <c r="AA2988" s="284" t="e">
        <v>#N/A</v>
      </c>
    </row>
    <row r="2989" spans="23:27" x14ac:dyDescent="0.2">
      <c r="W2989" s="203" t="str">
        <f t="shared" si="56"/>
        <v>1w</v>
      </c>
      <c r="X2989" s="287">
        <f>_xll.qlCalendarAdvance(Calendar,X2988,W2989,"f",FALSE)</f>
        <v>60120</v>
      </c>
      <c r="Y2989" s="281">
        <f>_xll.qlCalendarAdvance(Calendar,X2989,NDays&amp;"D")</f>
        <v>60122</v>
      </c>
      <c r="Z2989" s="282" t="e">
        <v>#N/A</v>
      </c>
      <c r="AA2989" s="284" t="e">
        <v>#N/A</v>
      </c>
    </row>
    <row r="2990" spans="23:27" x14ac:dyDescent="0.2">
      <c r="W2990" s="203" t="str">
        <f t="shared" si="56"/>
        <v>1w</v>
      </c>
      <c r="X2990" s="287">
        <f>_xll.qlCalendarAdvance(Calendar,X2989,W2990,"f",FALSE)</f>
        <v>60127</v>
      </c>
      <c r="Y2990" s="281">
        <f>_xll.qlCalendarAdvance(Calendar,X2990,NDays&amp;"D")</f>
        <v>60129</v>
      </c>
      <c r="Z2990" s="282" t="e">
        <v>#N/A</v>
      </c>
      <c r="AA2990" s="284" t="e">
        <v>#N/A</v>
      </c>
    </row>
    <row r="2991" spans="23:27" x14ac:dyDescent="0.2">
      <c r="W2991" s="203" t="str">
        <f t="shared" si="56"/>
        <v>1w</v>
      </c>
      <c r="X2991" s="287">
        <f>_xll.qlCalendarAdvance(Calendar,X2990,W2991,"f",FALSE)</f>
        <v>60134</v>
      </c>
      <c r="Y2991" s="281">
        <f>_xll.qlCalendarAdvance(Calendar,X2991,NDays&amp;"D")</f>
        <v>60136</v>
      </c>
      <c r="Z2991" s="282" t="e">
        <v>#N/A</v>
      </c>
      <c r="AA2991" s="284" t="e">
        <v>#N/A</v>
      </c>
    </row>
    <row r="2992" spans="23:27" x14ac:dyDescent="0.2">
      <c r="W2992" s="203" t="str">
        <f t="shared" si="56"/>
        <v>1w</v>
      </c>
      <c r="X2992" s="287">
        <f>_xll.qlCalendarAdvance(Calendar,X2991,W2992,"f",FALSE)</f>
        <v>60141</v>
      </c>
      <c r="Y2992" s="281">
        <f>_xll.qlCalendarAdvance(Calendar,X2992,NDays&amp;"D")</f>
        <v>60143</v>
      </c>
      <c r="Z2992" s="282" t="e">
        <v>#N/A</v>
      </c>
      <c r="AA2992" s="284" t="e">
        <v>#N/A</v>
      </c>
    </row>
    <row r="2993" spans="23:27" x14ac:dyDescent="0.2">
      <c r="W2993" s="203" t="str">
        <f t="shared" si="56"/>
        <v>1w</v>
      </c>
      <c r="X2993" s="287">
        <f>_xll.qlCalendarAdvance(Calendar,X2992,W2993,"f",FALSE)</f>
        <v>60148</v>
      </c>
      <c r="Y2993" s="281">
        <f>_xll.qlCalendarAdvance(Calendar,X2993,NDays&amp;"D")</f>
        <v>60150</v>
      </c>
      <c r="Z2993" s="282" t="e">
        <v>#N/A</v>
      </c>
      <c r="AA2993" s="284" t="e">
        <v>#N/A</v>
      </c>
    </row>
    <row r="2994" spans="23:27" x14ac:dyDescent="0.2">
      <c r="W2994" s="203" t="str">
        <f t="shared" si="56"/>
        <v>1w</v>
      </c>
      <c r="X2994" s="287">
        <f>_xll.qlCalendarAdvance(Calendar,X2993,W2994,"f",FALSE)</f>
        <v>60155</v>
      </c>
      <c r="Y2994" s="281">
        <f>_xll.qlCalendarAdvance(Calendar,X2994,NDays&amp;"D")</f>
        <v>60157</v>
      </c>
      <c r="Z2994" s="282" t="e">
        <v>#N/A</v>
      </c>
      <c r="AA2994" s="284" t="e">
        <v>#N/A</v>
      </c>
    </row>
    <row r="2995" spans="23:27" x14ac:dyDescent="0.2">
      <c r="W2995" s="203" t="str">
        <f t="shared" si="56"/>
        <v>1w</v>
      </c>
      <c r="X2995" s="287">
        <f>_xll.qlCalendarAdvance(Calendar,X2994,W2995,"f",FALSE)</f>
        <v>60162</v>
      </c>
      <c r="Y2995" s="281">
        <f>_xll.qlCalendarAdvance(Calendar,X2995,NDays&amp;"D")</f>
        <v>60164</v>
      </c>
      <c r="Z2995" s="282" t="e">
        <v>#N/A</v>
      </c>
      <c r="AA2995" s="284" t="e">
        <v>#N/A</v>
      </c>
    </row>
    <row r="2996" spans="23:27" x14ac:dyDescent="0.2">
      <c r="W2996" s="203" t="str">
        <f t="shared" si="56"/>
        <v>1w</v>
      </c>
      <c r="X2996" s="287">
        <f>_xll.qlCalendarAdvance(Calendar,X2995,W2996,"f",FALSE)</f>
        <v>60169</v>
      </c>
      <c r="Y2996" s="281">
        <f>_xll.qlCalendarAdvance(Calendar,X2996,NDays&amp;"D")</f>
        <v>60171</v>
      </c>
      <c r="Z2996" s="282" t="e">
        <v>#N/A</v>
      </c>
      <c r="AA2996" s="284" t="e">
        <v>#N/A</v>
      </c>
    </row>
    <row r="2997" spans="23:27" x14ac:dyDescent="0.2">
      <c r="W2997" s="203" t="str">
        <f t="shared" si="56"/>
        <v>1w</v>
      </c>
      <c r="X2997" s="287">
        <f>_xll.qlCalendarAdvance(Calendar,X2996,W2997,"f",FALSE)</f>
        <v>60176</v>
      </c>
      <c r="Y2997" s="281">
        <f>_xll.qlCalendarAdvance(Calendar,X2997,NDays&amp;"D")</f>
        <v>60178</v>
      </c>
      <c r="Z2997" s="282" t="e">
        <v>#N/A</v>
      </c>
      <c r="AA2997" s="284" t="e">
        <v>#N/A</v>
      </c>
    </row>
    <row r="2998" spans="23:27" x14ac:dyDescent="0.2">
      <c r="W2998" s="203" t="str">
        <f t="shared" si="56"/>
        <v>1w</v>
      </c>
      <c r="X2998" s="287">
        <f>_xll.qlCalendarAdvance(Calendar,X2997,W2998,"f",FALSE)</f>
        <v>60183</v>
      </c>
      <c r="Y2998" s="281">
        <f>_xll.qlCalendarAdvance(Calendar,X2998,NDays&amp;"D")</f>
        <v>60185</v>
      </c>
      <c r="Z2998" s="282" t="e">
        <v>#N/A</v>
      </c>
      <c r="AA2998" s="284" t="e">
        <v>#N/A</v>
      </c>
    </row>
    <row r="2999" spans="23:27" x14ac:dyDescent="0.2">
      <c r="W2999" s="203" t="str">
        <f t="shared" si="56"/>
        <v>1w</v>
      </c>
      <c r="X2999" s="287">
        <f>_xll.qlCalendarAdvance(Calendar,X2998,W2999,"f",FALSE)</f>
        <v>60190</v>
      </c>
      <c r="Y2999" s="281">
        <f>_xll.qlCalendarAdvance(Calendar,X2999,NDays&amp;"D")</f>
        <v>60192</v>
      </c>
      <c r="Z2999" s="282" t="e">
        <v>#N/A</v>
      </c>
      <c r="AA2999" s="284" t="e">
        <v>#N/A</v>
      </c>
    </row>
    <row r="3000" spans="23:27" x14ac:dyDescent="0.2">
      <c r="W3000" s="203" t="str">
        <f t="shared" si="56"/>
        <v>1w</v>
      </c>
      <c r="X3000" s="287">
        <f>_xll.qlCalendarAdvance(Calendar,X2999,W3000,"f",FALSE)</f>
        <v>60197</v>
      </c>
      <c r="Y3000" s="281">
        <f>_xll.qlCalendarAdvance(Calendar,X3000,NDays&amp;"D")</f>
        <v>60199</v>
      </c>
      <c r="Z3000" s="282" t="e">
        <v>#N/A</v>
      </c>
      <c r="AA3000" s="284" t="e">
        <v>#N/A</v>
      </c>
    </row>
    <row r="3001" spans="23:27" x14ac:dyDescent="0.2">
      <c r="W3001" s="203" t="str">
        <f t="shared" si="56"/>
        <v>1w</v>
      </c>
      <c r="X3001" s="287">
        <f>_xll.qlCalendarAdvance(Calendar,X3000,W3001,"f",FALSE)</f>
        <v>60204</v>
      </c>
      <c r="Y3001" s="281">
        <f>_xll.qlCalendarAdvance(Calendar,X3001,NDays&amp;"D")</f>
        <v>60206</v>
      </c>
      <c r="Z3001" s="282" t="e">
        <v>#N/A</v>
      </c>
      <c r="AA3001" s="284" t="e">
        <v>#N/A</v>
      </c>
    </row>
    <row r="3002" spans="23:27" x14ac:dyDescent="0.2">
      <c r="W3002" s="203" t="str">
        <f t="shared" si="56"/>
        <v>1w</v>
      </c>
      <c r="X3002" s="287">
        <f>_xll.qlCalendarAdvance(Calendar,X3001,W3002,"f",FALSE)</f>
        <v>60211</v>
      </c>
      <c r="Y3002" s="281">
        <f>_xll.qlCalendarAdvance(Calendar,X3002,NDays&amp;"D")</f>
        <v>60213</v>
      </c>
      <c r="Z3002" s="282" t="e">
        <v>#N/A</v>
      </c>
      <c r="AA3002" s="284" t="e">
        <v>#N/A</v>
      </c>
    </row>
    <row r="3003" spans="23:27" x14ac:dyDescent="0.2">
      <c r="W3003" s="203" t="str">
        <f t="shared" si="56"/>
        <v>1w</v>
      </c>
      <c r="X3003" s="287">
        <f>_xll.qlCalendarAdvance(Calendar,X3002,W3003,"f",FALSE)</f>
        <v>60218</v>
      </c>
      <c r="Y3003" s="281">
        <f>_xll.qlCalendarAdvance(Calendar,X3003,NDays&amp;"D")</f>
        <v>60220</v>
      </c>
      <c r="Z3003" s="282" t="e">
        <v>#N/A</v>
      </c>
      <c r="AA3003" s="284" t="e">
        <v>#N/A</v>
      </c>
    </row>
    <row r="3004" spans="23:27" x14ac:dyDescent="0.2">
      <c r="W3004" s="203" t="str">
        <f t="shared" si="56"/>
        <v>1w</v>
      </c>
      <c r="X3004" s="287">
        <f>_xll.qlCalendarAdvance(Calendar,X3003,W3004,"f",FALSE)</f>
        <v>60225</v>
      </c>
      <c r="Y3004" s="281">
        <f>_xll.qlCalendarAdvance(Calendar,X3004,NDays&amp;"D")</f>
        <v>60227</v>
      </c>
      <c r="Z3004" s="282" t="e">
        <v>#N/A</v>
      </c>
      <c r="AA3004" s="284" t="e">
        <v>#N/A</v>
      </c>
    </row>
    <row r="3005" spans="23:27" x14ac:dyDescent="0.2">
      <c r="W3005" s="203" t="str">
        <f t="shared" si="56"/>
        <v>1w</v>
      </c>
      <c r="X3005" s="287">
        <f>_xll.qlCalendarAdvance(Calendar,X3004,W3005,"f",FALSE)</f>
        <v>60232</v>
      </c>
      <c r="Y3005" s="281">
        <f>_xll.qlCalendarAdvance(Calendar,X3005,NDays&amp;"D")</f>
        <v>60234</v>
      </c>
      <c r="Z3005" s="282" t="e">
        <v>#N/A</v>
      </c>
      <c r="AA3005" s="284" t="e">
        <v>#N/A</v>
      </c>
    </row>
    <row r="3006" spans="23:27" x14ac:dyDescent="0.2">
      <c r="W3006" s="203" t="str">
        <f t="shared" si="56"/>
        <v>1w</v>
      </c>
      <c r="X3006" s="287">
        <f>_xll.qlCalendarAdvance(Calendar,X3005,W3006,"f",FALSE)</f>
        <v>60239</v>
      </c>
      <c r="Y3006" s="281">
        <f>_xll.qlCalendarAdvance(Calendar,X3006,NDays&amp;"D")</f>
        <v>60241</v>
      </c>
      <c r="Z3006" s="282" t="e">
        <v>#N/A</v>
      </c>
      <c r="AA3006" s="284" t="e">
        <v>#N/A</v>
      </c>
    </row>
    <row r="3007" spans="23:27" x14ac:dyDescent="0.2">
      <c r="W3007" s="203" t="str">
        <f t="shared" si="56"/>
        <v>1w</v>
      </c>
      <c r="X3007" s="287">
        <f>_xll.qlCalendarAdvance(Calendar,X3006,W3007,"f",FALSE)</f>
        <v>60246</v>
      </c>
      <c r="Y3007" s="281">
        <f>_xll.qlCalendarAdvance(Calendar,X3007,NDays&amp;"D")</f>
        <v>60248</v>
      </c>
      <c r="Z3007" s="282" t="e">
        <v>#N/A</v>
      </c>
      <c r="AA3007" s="284" t="e">
        <v>#N/A</v>
      </c>
    </row>
    <row r="3008" spans="23:27" x14ac:dyDescent="0.2">
      <c r="W3008" s="203" t="str">
        <f t="shared" si="56"/>
        <v>1w</v>
      </c>
      <c r="X3008" s="287">
        <f>_xll.qlCalendarAdvance(Calendar,X3007,W3008,"f",FALSE)</f>
        <v>60253</v>
      </c>
      <c r="Y3008" s="281">
        <f>_xll.qlCalendarAdvance(Calendar,X3008,NDays&amp;"D")</f>
        <v>60255</v>
      </c>
      <c r="Z3008" s="282" t="e">
        <v>#N/A</v>
      </c>
      <c r="AA3008" s="284" t="e">
        <v>#N/A</v>
      </c>
    </row>
    <row r="3009" spans="23:27" x14ac:dyDescent="0.2">
      <c r="W3009" s="203" t="str">
        <f t="shared" si="56"/>
        <v>1w</v>
      </c>
      <c r="X3009" s="287">
        <f>_xll.qlCalendarAdvance(Calendar,X3008,W3009,"f",FALSE)</f>
        <v>60260</v>
      </c>
      <c r="Y3009" s="281">
        <f>_xll.qlCalendarAdvance(Calendar,X3009,NDays&amp;"D")</f>
        <v>60266</v>
      </c>
      <c r="Z3009" s="282" t="e">
        <v>#N/A</v>
      </c>
      <c r="AA3009" s="284" t="e">
        <v>#N/A</v>
      </c>
    </row>
    <row r="3010" spans="23:27" x14ac:dyDescent="0.2">
      <c r="W3010" s="203" t="str">
        <f t="shared" si="56"/>
        <v>1w</v>
      </c>
      <c r="X3010" s="287">
        <f>_xll.qlCalendarAdvance(Calendar,X3009,W3010,"f",FALSE)</f>
        <v>60272</v>
      </c>
      <c r="Y3010" s="281">
        <f>_xll.qlCalendarAdvance(Calendar,X3010,NDays&amp;"D")</f>
        <v>60274</v>
      </c>
      <c r="Z3010" s="282" t="e">
        <v>#N/A</v>
      </c>
      <c r="AA3010" s="284" t="e">
        <v>#N/A</v>
      </c>
    </row>
    <row r="3011" spans="23:27" x14ac:dyDescent="0.2">
      <c r="W3011" s="203" t="str">
        <f t="shared" si="56"/>
        <v>1w</v>
      </c>
      <c r="X3011" s="287">
        <f>_xll.qlCalendarAdvance(Calendar,X3010,W3011,"f",FALSE)</f>
        <v>60280</v>
      </c>
      <c r="Y3011" s="281">
        <f>_xll.qlCalendarAdvance(Calendar,X3011,NDays&amp;"D")</f>
        <v>60282</v>
      </c>
      <c r="Z3011" s="282" t="e">
        <v>#N/A</v>
      </c>
      <c r="AA3011" s="284" t="e">
        <v>#N/A</v>
      </c>
    </row>
    <row r="3012" spans="23:27" x14ac:dyDescent="0.2">
      <c r="W3012" s="203" t="str">
        <f t="shared" si="56"/>
        <v>1w</v>
      </c>
      <c r="X3012" s="287">
        <f>_xll.qlCalendarAdvance(Calendar,X3011,W3012,"f",FALSE)</f>
        <v>60287</v>
      </c>
      <c r="Y3012" s="281">
        <f>_xll.qlCalendarAdvance(Calendar,X3012,NDays&amp;"D")</f>
        <v>60289</v>
      </c>
      <c r="Z3012" s="282" t="e">
        <v>#N/A</v>
      </c>
      <c r="AA3012" s="284" t="e">
        <v>#N/A</v>
      </c>
    </row>
    <row r="3013" spans="23:27" x14ac:dyDescent="0.2">
      <c r="W3013" s="203" t="str">
        <f t="shared" si="56"/>
        <v>1w</v>
      </c>
      <c r="X3013" s="287">
        <f>_xll.qlCalendarAdvance(Calendar,X3012,W3013,"f",FALSE)</f>
        <v>60294</v>
      </c>
      <c r="Y3013" s="281">
        <f>_xll.qlCalendarAdvance(Calendar,X3013,NDays&amp;"D")</f>
        <v>60296</v>
      </c>
      <c r="Z3013" s="282" t="e">
        <v>#N/A</v>
      </c>
      <c r="AA3013" s="284" t="e">
        <v>#N/A</v>
      </c>
    </row>
    <row r="3014" spans="23:27" x14ac:dyDescent="0.2">
      <c r="W3014" s="203" t="str">
        <f t="shared" si="56"/>
        <v>1w</v>
      </c>
      <c r="X3014" s="287">
        <f>_xll.qlCalendarAdvance(Calendar,X3013,W3014,"f",FALSE)</f>
        <v>60301</v>
      </c>
      <c r="Y3014" s="281">
        <f>_xll.qlCalendarAdvance(Calendar,X3014,NDays&amp;"D")</f>
        <v>60303</v>
      </c>
      <c r="Z3014" s="282" t="e">
        <v>#N/A</v>
      </c>
      <c r="AA3014" s="284" t="e">
        <v>#N/A</v>
      </c>
    </row>
    <row r="3015" spans="23:27" x14ac:dyDescent="0.2">
      <c r="W3015" s="203" t="str">
        <f t="shared" si="56"/>
        <v>1w</v>
      </c>
      <c r="X3015" s="287">
        <f>_xll.qlCalendarAdvance(Calendar,X3014,W3015,"f",FALSE)</f>
        <v>60308</v>
      </c>
      <c r="Y3015" s="281">
        <f>_xll.qlCalendarAdvance(Calendar,X3015,NDays&amp;"D")</f>
        <v>60311</v>
      </c>
      <c r="Z3015" s="282" t="e">
        <v>#N/A</v>
      </c>
      <c r="AA3015" s="284" t="e">
        <v>#N/A</v>
      </c>
    </row>
    <row r="3016" spans="23:27" x14ac:dyDescent="0.2">
      <c r="W3016" s="203" t="str">
        <f t="shared" si="56"/>
        <v>1w</v>
      </c>
      <c r="X3016" s="287">
        <f>_xll.qlCalendarAdvance(Calendar,X3015,W3016,"f",FALSE)</f>
        <v>60315</v>
      </c>
      <c r="Y3016" s="281">
        <f>_xll.qlCalendarAdvance(Calendar,X3016,NDays&amp;"D")</f>
        <v>60317</v>
      </c>
      <c r="Z3016" s="282" t="e">
        <v>#N/A</v>
      </c>
      <c r="AA3016" s="284" t="e">
        <v>#N/A</v>
      </c>
    </row>
    <row r="3017" spans="23:27" x14ac:dyDescent="0.2">
      <c r="W3017" s="203" t="str">
        <f t="shared" si="56"/>
        <v>1w</v>
      </c>
      <c r="X3017" s="287">
        <f>_xll.qlCalendarAdvance(Calendar,X3016,W3017,"f",FALSE)</f>
        <v>60322</v>
      </c>
      <c r="Y3017" s="281">
        <f>_xll.qlCalendarAdvance(Calendar,X3017,NDays&amp;"D")</f>
        <v>60324</v>
      </c>
      <c r="Z3017" s="282" t="e">
        <v>#N/A</v>
      </c>
      <c r="AA3017" s="284" t="e">
        <v>#N/A</v>
      </c>
    </row>
    <row r="3018" spans="23:27" x14ac:dyDescent="0.2">
      <c r="W3018" s="203" t="str">
        <f t="shared" si="56"/>
        <v>1w</v>
      </c>
      <c r="X3018" s="287">
        <f>_xll.qlCalendarAdvance(Calendar,X3017,W3018,"f",FALSE)</f>
        <v>60329</v>
      </c>
      <c r="Y3018" s="281">
        <f>_xll.qlCalendarAdvance(Calendar,X3018,NDays&amp;"D")</f>
        <v>60331</v>
      </c>
      <c r="Z3018" s="282" t="e">
        <v>#N/A</v>
      </c>
      <c r="AA3018" s="284" t="e">
        <v>#N/A</v>
      </c>
    </row>
    <row r="3019" spans="23:27" x14ac:dyDescent="0.2">
      <c r="W3019" s="203" t="str">
        <f t="shared" si="56"/>
        <v>1w</v>
      </c>
      <c r="X3019" s="287">
        <f>_xll.qlCalendarAdvance(Calendar,X3018,W3019,"f",FALSE)</f>
        <v>60336</v>
      </c>
      <c r="Y3019" s="281">
        <f>_xll.qlCalendarAdvance(Calendar,X3019,NDays&amp;"D")</f>
        <v>60338</v>
      </c>
      <c r="Z3019" s="282" t="e">
        <v>#N/A</v>
      </c>
      <c r="AA3019" s="284" t="e">
        <v>#N/A</v>
      </c>
    </row>
    <row r="3020" spans="23:27" x14ac:dyDescent="0.2">
      <c r="W3020" s="203" t="str">
        <f t="shared" si="56"/>
        <v>1w</v>
      </c>
      <c r="X3020" s="287">
        <f>_xll.qlCalendarAdvance(Calendar,X3019,W3020,"f",FALSE)</f>
        <v>60343</v>
      </c>
      <c r="Y3020" s="281">
        <f>_xll.qlCalendarAdvance(Calendar,X3020,NDays&amp;"D")</f>
        <v>60345</v>
      </c>
      <c r="Z3020" s="282" t="e">
        <v>#N/A</v>
      </c>
      <c r="AA3020" s="284" t="e">
        <v>#N/A</v>
      </c>
    </row>
    <row r="3021" spans="23:27" x14ac:dyDescent="0.2">
      <c r="W3021" s="203" t="str">
        <f t="shared" si="56"/>
        <v>1w</v>
      </c>
      <c r="X3021" s="287">
        <f>_xll.qlCalendarAdvance(Calendar,X3020,W3021,"f",FALSE)</f>
        <v>60350</v>
      </c>
      <c r="Y3021" s="281">
        <f>_xll.qlCalendarAdvance(Calendar,X3021,NDays&amp;"D")</f>
        <v>60352</v>
      </c>
      <c r="Z3021" s="282" t="e">
        <v>#N/A</v>
      </c>
      <c r="AA3021" s="284" t="e">
        <v>#N/A</v>
      </c>
    </row>
    <row r="3022" spans="23:27" x14ac:dyDescent="0.2">
      <c r="W3022" s="203" t="str">
        <f t="shared" si="56"/>
        <v>1w</v>
      </c>
      <c r="X3022" s="287">
        <f>_xll.qlCalendarAdvance(Calendar,X3021,W3022,"f",FALSE)</f>
        <v>60357</v>
      </c>
      <c r="Y3022" s="281">
        <f>_xll.qlCalendarAdvance(Calendar,X3022,NDays&amp;"D")</f>
        <v>60359</v>
      </c>
      <c r="Z3022" s="282" t="e">
        <v>#N/A</v>
      </c>
      <c r="AA3022" s="284" t="e">
        <v>#N/A</v>
      </c>
    </row>
    <row r="3023" spans="23:27" x14ac:dyDescent="0.2">
      <c r="W3023" s="203" t="str">
        <f t="shared" si="56"/>
        <v>1w</v>
      </c>
      <c r="X3023" s="287">
        <f>_xll.qlCalendarAdvance(Calendar,X3022,W3023,"f",FALSE)</f>
        <v>60364</v>
      </c>
      <c r="Y3023" s="281">
        <f>_xll.qlCalendarAdvance(Calendar,X3023,NDays&amp;"D")</f>
        <v>60366</v>
      </c>
      <c r="Z3023" s="282" t="e">
        <v>#N/A</v>
      </c>
      <c r="AA3023" s="284" t="e">
        <v>#N/A</v>
      </c>
    </row>
    <row r="3024" spans="23:27" x14ac:dyDescent="0.2">
      <c r="W3024" s="203" t="str">
        <f t="shared" si="56"/>
        <v>1w</v>
      </c>
      <c r="X3024" s="287">
        <f>_xll.qlCalendarAdvance(Calendar,X3023,W3024,"f",FALSE)</f>
        <v>60371</v>
      </c>
      <c r="Y3024" s="281">
        <f>_xll.qlCalendarAdvance(Calendar,X3024,NDays&amp;"D")</f>
        <v>60373</v>
      </c>
      <c r="Z3024" s="282" t="e">
        <v>#N/A</v>
      </c>
      <c r="AA3024" s="284" t="e">
        <v>#N/A</v>
      </c>
    </row>
    <row r="3025" spans="23:27" x14ac:dyDescent="0.2">
      <c r="W3025" s="203" t="str">
        <f t="shared" si="56"/>
        <v>1w</v>
      </c>
      <c r="X3025" s="287">
        <f>_xll.qlCalendarAdvance(Calendar,X3024,W3025,"f",FALSE)</f>
        <v>60378</v>
      </c>
      <c r="Y3025" s="281">
        <f>_xll.qlCalendarAdvance(Calendar,X3025,NDays&amp;"D")</f>
        <v>60380</v>
      </c>
      <c r="Z3025" s="282" t="e">
        <v>#N/A</v>
      </c>
      <c r="AA3025" s="284" t="e">
        <v>#N/A</v>
      </c>
    </row>
    <row r="3026" spans="23:27" x14ac:dyDescent="0.2">
      <c r="W3026" s="203" t="str">
        <f t="shared" si="56"/>
        <v>1w</v>
      </c>
      <c r="X3026" s="287">
        <f>_xll.qlCalendarAdvance(Calendar,X3025,W3026,"f",FALSE)</f>
        <v>60385</v>
      </c>
      <c r="Y3026" s="281">
        <f>_xll.qlCalendarAdvance(Calendar,X3026,NDays&amp;"D")</f>
        <v>60388</v>
      </c>
      <c r="Z3026" s="282" t="e">
        <v>#N/A</v>
      </c>
      <c r="AA3026" s="284" t="e">
        <v>#N/A</v>
      </c>
    </row>
    <row r="3027" spans="23:27" x14ac:dyDescent="0.2">
      <c r="W3027" s="203" t="str">
        <f t="shared" si="56"/>
        <v>1w</v>
      </c>
      <c r="X3027" s="287">
        <f>_xll.qlCalendarAdvance(Calendar,X3026,W3027,"f",FALSE)</f>
        <v>60394</v>
      </c>
      <c r="Y3027" s="281">
        <f>_xll.qlCalendarAdvance(Calendar,X3027,NDays&amp;"D")</f>
        <v>60398</v>
      </c>
      <c r="Z3027" s="282" t="e">
        <v>#N/A</v>
      </c>
      <c r="AA3027" s="284" t="e">
        <v>#N/A</v>
      </c>
    </row>
    <row r="3028" spans="23:27" x14ac:dyDescent="0.2">
      <c r="W3028" s="203" t="str">
        <f t="shared" si="56"/>
        <v>1w</v>
      </c>
      <c r="X3028" s="287">
        <f>_xll.qlCalendarAdvance(Calendar,X3027,W3028,"f",FALSE)</f>
        <v>60401</v>
      </c>
      <c r="Y3028" s="281">
        <f>_xll.qlCalendarAdvance(Calendar,X3028,NDays&amp;"D")</f>
        <v>60405</v>
      </c>
      <c r="Z3028" s="282" t="e">
        <v>#N/A</v>
      </c>
      <c r="AA3028" s="284" t="e">
        <v>#N/A</v>
      </c>
    </row>
    <row r="3029" spans="23:27" x14ac:dyDescent="0.2">
      <c r="W3029" s="203" t="str">
        <f t="shared" ref="W3029:W3092" si="57">W3028</f>
        <v>1w</v>
      </c>
      <c r="X3029" s="287">
        <f>_xll.qlCalendarAdvance(Calendar,X3028,W3029,"f",FALSE)</f>
        <v>60408</v>
      </c>
      <c r="Y3029" s="281">
        <f>_xll.qlCalendarAdvance(Calendar,X3029,NDays&amp;"D")</f>
        <v>60413</v>
      </c>
      <c r="Z3029" s="282" t="e">
        <v>#N/A</v>
      </c>
      <c r="AA3029" s="284" t="e">
        <v>#N/A</v>
      </c>
    </row>
    <row r="3030" spans="23:27" x14ac:dyDescent="0.2">
      <c r="W3030" s="203" t="str">
        <f t="shared" si="57"/>
        <v>1w</v>
      </c>
      <c r="X3030" s="287">
        <f>_xll.qlCalendarAdvance(Calendar,X3029,W3030,"f",FALSE)</f>
        <v>60415</v>
      </c>
      <c r="Y3030" s="281">
        <f>_xll.qlCalendarAdvance(Calendar,X3030,NDays&amp;"D")</f>
        <v>60419</v>
      </c>
      <c r="Z3030" s="282" t="e">
        <v>#N/A</v>
      </c>
      <c r="AA3030" s="284" t="e">
        <v>#N/A</v>
      </c>
    </row>
    <row r="3031" spans="23:27" x14ac:dyDescent="0.2">
      <c r="W3031" s="203" t="str">
        <f t="shared" si="57"/>
        <v>1w</v>
      </c>
      <c r="X3031" s="287">
        <f>_xll.qlCalendarAdvance(Calendar,X3030,W3031,"f",FALSE)</f>
        <v>60422</v>
      </c>
      <c r="Y3031" s="281">
        <f>_xll.qlCalendarAdvance(Calendar,X3031,NDays&amp;"D")</f>
        <v>60426</v>
      </c>
      <c r="Z3031" s="282" t="e">
        <v>#N/A</v>
      </c>
      <c r="AA3031" s="284" t="e">
        <v>#N/A</v>
      </c>
    </row>
    <row r="3032" spans="23:27" x14ac:dyDescent="0.2">
      <c r="W3032" s="203" t="str">
        <f t="shared" si="57"/>
        <v>1w</v>
      </c>
      <c r="X3032" s="287">
        <f>_xll.qlCalendarAdvance(Calendar,X3031,W3032,"f",FALSE)</f>
        <v>60429</v>
      </c>
      <c r="Y3032" s="281">
        <f>_xll.qlCalendarAdvance(Calendar,X3032,NDays&amp;"D")</f>
        <v>60433</v>
      </c>
      <c r="Z3032" s="282" t="e">
        <v>#N/A</v>
      </c>
      <c r="AA3032" s="284" t="e">
        <v>#N/A</v>
      </c>
    </row>
    <row r="3033" spans="23:27" x14ac:dyDescent="0.2">
      <c r="W3033" s="203" t="str">
        <f t="shared" si="57"/>
        <v>1w</v>
      </c>
      <c r="X3033" s="287">
        <f>_xll.qlCalendarAdvance(Calendar,X3032,W3033,"f",FALSE)</f>
        <v>60436</v>
      </c>
      <c r="Y3033" s="281">
        <f>_xll.qlCalendarAdvance(Calendar,X3033,NDays&amp;"D")</f>
        <v>60440</v>
      </c>
      <c r="Z3033" s="282" t="e">
        <v>#N/A</v>
      </c>
      <c r="AA3033" s="284" t="e">
        <v>#N/A</v>
      </c>
    </row>
    <row r="3034" spans="23:27" x14ac:dyDescent="0.2">
      <c r="W3034" s="203" t="str">
        <f t="shared" si="57"/>
        <v>1w</v>
      </c>
      <c r="X3034" s="287">
        <f>_xll.qlCalendarAdvance(Calendar,X3033,W3034,"f",FALSE)</f>
        <v>60443</v>
      </c>
      <c r="Y3034" s="281">
        <f>_xll.qlCalendarAdvance(Calendar,X3034,NDays&amp;"D")</f>
        <v>60447</v>
      </c>
      <c r="Z3034" s="282" t="e">
        <v>#N/A</v>
      </c>
      <c r="AA3034" s="284" t="e">
        <v>#N/A</v>
      </c>
    </row>
    <row r="3035" spans="23:27" x14ac:dyDescent="0.2">
      <c r="W3035" s="203" t="str">
        <f t="shared" si="57"/>
        <v>1w</v>
      </c>
      <c r="X3035" s="287">
        <f>_xll.qlCalendarAdvance(Calendar,X3034,W3035,"f",FALSE)</f>
        <v>60450</v>
      </c>
      <c r="Y3035" s="281">
        <f>_xll.qlCalendarAdvance(Calendar,X3035,NDays&amp;"D")</f>
        <v>60454</v>
      </c>
      <c r="Z3035" s="282" t="e">
        <v>#N/A</v>
      </c>
      <c r="AA3035" s="284" t="e">
        <v>#N/A</v>
      </c>
    </row>
    <row r="3036" spans="23:27" x14ac:dyDescent="0.2">
      <c r="W3036" s="203" t="str">
        <f t="shared" si="57"/>
        <v>1w</v>
      </c>
      <c r="X3036" s="287">
        <f>_xll.qlCalendarAdvance(Calendar,X3035,W3036,"f",FALSE)</f>
        <v>60457</v>
      </c>
      <c r="Y3036" s="281">
        <f>_xll.qlCalendarAdvance(Calendar,X3036,NDays&amp;"D")</f>
        <v>60461</v>
      </c>
      <c r="Z3036" s="282" t="e">
        <v>#N/A</v>
      </c>
      <c r="AA3036" s="284" t="e">
        <v>#N/A</v>
      </c>
    </row>
    <row r="3037" spans="23:27" x14ac:dyDescent="0.2">
      <c r="W3037" s="203" t="str">
        <f t="shared" si="57"/>
        <v>1w</v>
      </c>
      <c r="X3037" s="287">
        <f>_xll.qlCalendarAdvance(Calendar,X3036,W3037,"f",FALSE)</f>
        <v>60464</v>
      </c>
      <c r="Y3037" s="281">
        <f>_xll.qlCalendarAdvance(Calendar,X3037,NDays&amp;"D")</f>
        <v>60469</v>
      </c>
      <c r="Z3037" s="282" t="e">
        <v>#N/A</v>
      </c>
      <c r="AA3037" s="284" t="e">
        <v>#N/A</v>
      </c>
    </row>
    <row r="3038" spans="23:27" x14ac:dyDescent="0.2">
      <c r="W3038" s="203" t="str">
        <f t="shared" si="57"/>
        <v>1w</v>
      </c>
      <c r="X3038" s="287">
        <f>_xll.qlCalendarAdvance(Calendar,X3037,W3038,"f",FALSE)</f>
        <v>60471</v>
      </c>
      <c r="Y3038" s="281">
        <f>_xll.qlCalendarAdvance(Calendar,X3038,NDays&amp;"D")</f>
        <v>60475</v>
      </c>
      <c r="Z3038" s="282" t="e">
        <v>#N/A</v>
      </c>
      <c r="AA3038" s="284" t="e">
        <v>#N/A</v>
      </c>
    </row>
    <row r="3039" spans="23:27" x14ac:dyDescent="0.2">
      <c r="W3039" s="203" t="str">
        <f t="shared" si="57"/>
        <v>1w</v>
      </c>
      <c r="X3039" s="287">
        <f>_xll.qlCalendarAdvance(Calendar,X3038,W3039,"f",FALSE)</f>
        <v>60478</v>
      </c>
      <c r="Y3039" s="281">
        <f>_xll.qlCalendarAdvance(Calendar,X3039,NDays&amp;"D")</f>
        <v>60482</v>
      </c>
      <c r="Z3039" s="282" t="e">
        <v>#N/A</v>
      </c>
      <c r="AA3039" s="284" t="e">
        <v>#N/A</v>
      </c>
    </row>
    <row r="3040" spans="23:27" x14ac:dyDescent="0.2">
      <c r="W3040" s="203" t="str">
        <f t="shared" si="57"/>
        <v>1w</v>
      </c>
      <c r="X3040" s="287">
        <f>_xll.qlCalendarAdvance(Calendar,X3039,W3040,"f",FALSE)</f>
        <v>60485</v>
      </c>
      <c r="Y3040" s="281">
        <f>_xll.qlCalendarAdvance(Calendar,X3040,NDays&amp;"D")</f>
        <v>60489</v>
      </c>
      <c r="Z3040" s="282" t="e">
        <v>#N/A</v>
      </c>
      <c r="AA3040" s="284" t="e">
        <v>#N/A</v>
      </c>
    </row>
    <row r="3041" spans="23:27" x14ac:dyDescent="0.2">
      <c r="W3041" s="203" t="str">
        <f t="shared" si="57"/>
        <v>1w</v>
      </c>
      <c r="X3041" s="287">
        <f>_xll.qlCalendarAdvance(Calendar,X3040,W3041,"f",FALSE)</f>
        <v>60492</v>
      </c>
      <c r="Y3041" s="281">
        <f>_xll.qlCalendarAdvance(Calendar,X3041,NDays&amp;"D")</f>
        <v>60496</v>
      </c>
      <c r="Z3041" s="282" t="e">
        <v>#N/A</v>
      </c>
      <c r="AA3041" s="284" t="e">
        <v>#N/A</v>
      </c>
    </row>
    <row r="3042" spans="23:27" x14ac:dyDescent="0.2">
      <c r="W3042" s="203" t="str">
        <f t="shared" si="57"/>
        <v>1w</v>
      </c>
      <c r="X3042" s="287">
        <f>_xll.qlCalendarAdvance(Calendar,X3041,W3042,"f",FALSE)</f>
        <v>60499</v>
      </c>
      <c r="Y3042" s="281">
        <f>_xll.qlCalendarAdvance(Calendar,X3042,NDays&amp;"D")</f>
        <v>60503</v>
      </c>
      <c r="Z3042" s="282" t="e">
        <v>#N/A</v>
      </c>
      <c r="AA3042" s="284" t="e">
        <v>#N/A</v>
      </c>
    </row>
    <row r="3043" spans="23:27" x14ac:dyDescent="0.2">
      <c r="W3043" s="203" t="str">
        <f t="shared" si="57"/>
        <v>1w</v>
      </c>
      <c r="X3043" s="287">
        <f>_xll.qlCalendarAdvance(Calendar,X3042,W3043,"f",FALSE)</f>
        <v>60506</v>
      </c>
      <c r="Y3043" s="281">
        <f>_xll.qlCalendarAdvance(Calendar,X3043,NDays&amp;"D")</f>
        <v>60511</v>
      </c>
      <c r="Z3043" s="282" t="e">
        <v>#N/A</v>
      </c>
      <c r="AA3043" s="284" t="e">
        <v>#N/A</v>
      </c>
    </row>
    <row r="3044" spans="23:27" x14ac:dyDescent="0.2">
      <c r="W3044" s="203" t="str">
        <f t="shared" si="57"/>
        <v>1w</v>
      </c>
      <c r="X3044" s="287">
        <f>_xll.qlCalendarAdvance(Calendar,X3043,W3044,"f",FALSE)</f>
        <v>60513</v>
      </c>
      <c r="Y3044" s="281">
        <f>_xll.qlCalendarAdvance(Calendar,X3044,NDays&amp;"D")</f>
        <v>60517</v>
      </c>
      <c r="Z3044" s="282" t="e">
        <v>#N/A</v>
      </c>
      <c r="AA3044" s="284" t="e">
        <v>#N/A</v>
      </c>
    </row>
    <row r="3045" spans="23:27" x14ac:dyDescent="0.2">
      <c r="W3045" s="203" t="str">
        <f t="shared" si="57"/>
        <v>1w</v>
      </c>
      <c r="X3045" s="287">
        <f>_xll.qlCalendarAdvance(Calendar,X3044,W3045,"f",FALSE)</f>
        <v>60520</v>
      </c>
      <c r="Y3045" s="281">
        <f>_xll.qlCalendarAdvance(Calendar,X3045,NDays&amp;"D")</f>
        <v>60524</v>
      </c>
      <c r="Z3045" s="282" t="e">
        <v>#N/A</v>
      </c>
      <c r="AA3045" s="284" t="e">
        <v>#N/A</v>
      </c>
    </row>
    <row r="3046" spans="23:27" x14ac:dyDescent="0.2">
      <c r="W3046" s="203" t="str">
        <f t="shared" si="57"/>
        <v>1w</v>
      </c>
      <c r="X3046" s="287">
        <f>_xll.qlCalendarAdvance(Calendar,X3045,W3046,"f",FALSE)</f>
        <v>60527</v>
      </c>
      <c r="Y3046" s="281">
        <f>_xll.qlCalendarAdvance(Calendar,X3046,NDays&amp;"D")</f>
        <v>60533</v>
      </c>
      <c r="Z3046" s="282" t="e">
        <v>#N/A</v>
      </c>
      <c r="AA3046" s="284" t="e">
        <v>#N/A</v>
      </c>
    </row>
    <row r="3047" spans="23:27" x14ac:dyDescent="0.2">
      <c r="W3047" s="203" t="str">
        <f t="shared" si="57"/>
        <v>1w</v>
      </c>
      <c r="X3047" s="287">
        <f>_xll.qlCalendarAdvance(Calendar,X3046,W3047,"f",FALSE)</f>
        <v>60534</v>
      </c>
      <c r="Y3047" s="281">
        <f>_xll.qlCalendarAdvance(Calendar,X3047,NDays&amp;"D")</f>
        <v>60538</v>
      </c>
      <c r="Z3047" s="282" t="e">
        <v>#N/A</v>
      </c>
      <c r="AA3047" s="284" t="e">
        <v>#N/A</v>
      </c>
    </row>
    <row r="3048" spans="23:27" x14ac:dyDescent="0.2">
      <c r="W3048" s="203" t="str">
        <f t="shared" si="57"/>
        <v>1w</v>
      </c>
      <c r="X3048" s="287">
        <f>_xll.qlCalendarAdvance(Calendar,X3047,W3048,"f",FALSE)</f>
        <v>60541</v>
      </c>
      <c r="Y3048" s="281">
        <f>_xll.qlCalendarAdvance(Calendar,X3048,NDays&amp;"D")</f>
        <v>60545</v>
      </c>
      <c r="Z3048" s="282" t="e">
        <v>#N/A</v>
      </c>
      <c r="AA3048" s="284" t="e">
        <v>#N/A</v>
      </c>
    </row>
    <row r="3049" spans="23:27" x14ac:dyDescent="0.2">
      <c r="W3049" s="203" t="str">
        <f t="shared" si="57"/>
        <v>1w</v>
      </c>
      <c r="X3049" s="287">
        <f>_xll.qlCalendarAdvance(Calendar,X3048,W3049,"f",FALSE)</f>
        <v>60548</v>
      </c>
      <c r="Y3049" s="281">
        <f>_xll.qlCalendarAdvance(Calendar,X3049,NDays&amp;"D")</f>
        <v>60553</v>
      </c>
      <c r="Z3049" s="282" t="e">
        <v>#N/A</v>
      </c>
      <c r="AA3049" s="284" t="e">
        <v>#N/A</v>
      </c>
    </row>
    <row r="3050" spans="23:27" x14ac:dyDescent="0.2">
      <c r="W3050" s="203" t="str">
        <f t="shared" si="57"/>
        <v>1w</v>
      </c>
      <c r="X3050" s="287">
        <f>_xll.qlCalendarAdvance(Calendar,X3049,W3050,"f",FALSE)</f>
        <v>60555</v>
      </c>
      <c r="Y3050" s="281">
        <f>_xll.qlCalendarAdvance(Calendar,X3050,NDays&amp;"D")</f>
        <v>60559</v>
      </c>
      <c r="Z3050" s="282" t="e">
        <v>#N/A</v>
      </c>
      <c r="AA3050" s="284" t="e">
        <v>#N/A</v>
      </c>
    </row>
    <row r="3051" spans="23:27" x14ac:dyDescent="0.2">
      <c r="W3051" s="203" t="str">
        <f t="shared" si="57"/>
        <v>1w</v>
      </c>
      <c r="X3051" s="287">
        <f>_xll.qlCalendarAdvance(Calendar,X3050,W3051,"f",FALSE)</f>
        <v>60562</v>
      </c>
      <c r="Y3051" s="281">
        <f>_xll.qlCalendarAdvance(Calendar,X3051,NDays&amp;"D")</f>
        <v>60566</v>
      </c>
      <c r="Z3051" s="282" t="e">
        <v>#N/A</v>
      </c>
      <c r="AA3051" s="284" t="e">
        <v>#N/A</v>
      </c>
    </row>
    <row r="3052" spans="23:27" x14ac:dyDescent="0.2">
      <c r="W3052" s="203" t="str">
        <f t="shared" si="57"/>
        <v>1w</v>
      </c>
      <c r="X3052" s="287">
        <f>_xll.qlCalendarAdvance(Calendar,X3051,W3052,"f",FALSE)</f>
        <v>60569</v>
      </c>
      <c r="Y3052" s="281">
        <f>_xll.qlCalendarAdvance(Calendar,X3052,NDays&amp;"D")</f>
        <v>60573</v>
      </c>
      <c r="Z3052" s="282" t="e">
        <v>#N/A</v>
      </c>
      <c r="AA3052" s="284" t="e">
        <v>#N/A</v>
      </c>
    </row>
    <row r="3053" spans="23:27" x14ac:dyDescent="0.2">
      <c r="W3053" s="203" t="str">
        <f t="shared" si="57"/>
        <v>1w</v>
      </c>
      <c r="X3053" s="287">
        <f>_xll.qlCalendarAdvance(Calendar,X3052,W3053,"f",FALSE)</f>
        <v>60576</v>
      </c>
      <c r="Y3053" s="281">
        <f>_xll.qlCalendarAdvance(Calendar,X3053,NDays&amp;"D")</f>
        <v>60580</v>
      </c>
      <c r="Z3053" s="282" t="e">
        <v>#N/A</v>
      </c>
      <c r="AA3053" s="284" t="e">
        <v>#N/A</v>
      </c>
    </row>
    <row r="3054" spans="23:27" x14ac:dyDescent="0.2">
      <c r="W3054" s="203" t="str">
        <f t="shared" si="57"/>
        <v>1w</v>
      </c>
      <c r="X3054" s="287">
        <f>_xll.qlCalendarAdvance(Calendar,X3053,W3054,"f",FALSE)</f>
        <v>60583</v>
      </c>
      <c r="Y3054" s="281">
        <f>_xll.qlCalendarAdvance(Calendar,X3054,NDays&amp;"D")</f>
        <v>60587</v>
      </c>
      <c r="Z3054" s="282" t="e">
        <v>#N/A</v>
      </c>
      <c r="AA3054" s="284" t="e">
        <v>#N/A</v>
      </c>
    </row>
    <row r="3055" spans="23:27" x14ac:dyDescent="0.2">
      <c r="W3055" s="203" t="str">
        <f t="shared" si="57"/>
        <v>1w</v>
      </c>
      <c r="X3055" s="287">
        <f>_xll.qlCalendarAdvance(Calendar,X3054,W3055,"f",FALSE)</f>
        <v>60590</v>
      </c>
      <c r="Y3055" s="281">
        <f>_xll.qlCalendarAdvance(Calendar,X3055,NDays&amp;"D")</f>
        <v>60595</v>
      </c>
      <c r="Z3055" s="282" t="e">
        <v>#N/A</v>
      </c>
      <c r="AA3055" s="284" t="e">
        <v>#N/A</v>
      </c>
    </row>
    <row r="3056" spans="23:27" x14ac:dyDescent="0.2">
      <c r="W3056" s="203" t="str">
        <f t="shared" si="57"/>
        <v>1w</v>
      </c>
      <c r="X3056" s="287">
        <f>_xll.qlCalendarAdvance(Calendar,X3055,W3056,"f",FALSE)</f>
        <v>60597</v>
      </c>
      <c r="Y3056" s="281">
        <f>_xll.qlCalendarAdvance(Calendar,X3056,NDays&amp;"D")</f>
        <v>60601</v>
      </c>
      <c r="Z3056" s="282" t="e">
        <v>#N/A</v>
      </c>
      <c r="AA3056" s="284" t="e">
        <v>#N/A</v>
      </c>
    </row>
    <row r="3057" spans="23:27" x14ac:dyDescent="0.2">
      <c r="W3057" s="203" t="str">
        <f t="shared" si="57"/>
        <v>1w</v>
      </c>
      <c r="X3057" s="287">
        <f>_xll.qlCalendarAdvance(Calendar,X3056,W3057,"f",FALSE)</f>
        <v>60604</v>
      </c>
      <c r="Y3057" s="281">
        <f>_xll.qlCalendarAdvance(Calendar,X3057,NDays&amp;"D")</f>
        <v>60608</v>
      </c>
      <c r="Z3057" s="282" t="e">
        <v>#N/A</v>
      </c>
      <c r="AA3057" s="284" t="e">
        <v>#N/A</v>
      </c>
    </row>
    <row r="3058" spans="23:27" x14ac:dyDescent="0.2">
      <c r="W3058" s="203" t="str">
        <f t="shared" si="57"/>
        <v>1w</v>
      </c>
      <c r="X3058" s="287">
        <f>_xll.qlCalendarAdvance(Calendar,X3057,W3058,"f",FALSE)</f>
        <v>60611</v>
      </c>
      <c r="Y3058" s="281">
        <f>_xll.qlCalendarAdvance(Calendar,X3058,NDays&amp;"D")</f>
        <v>60615</v>
      </c>
      <c r="Z3058" s="282" t="e">
        <v>#N/A</v>
      </c>
      <c r="AA3058" s="284" t="e">
        <v>#N/A</v>
      </c>
    </row>
    <row r="3059" spans="23:27" x14ac:dyDescent="0.2">
      <c r="W3059" s="203" t="str">
        <f t="shared" si="57"/>
        <v>1w</v>
      </c>
      <c r="X3059" s="287">
        <f>_xll.qlCalendarAdvance(Calendar,X3058,W3059,"f",FALSE)</f>
        <v>60618</v>
      </c>
      <c r="Y3059" s="281">
        <f>_xll.qlCalendarAdvance(Calendar,X3059,NDays&amp;"D")</f>
        <v>60622</v>
      </c>
      <c r="Z3059" s="282" t="e">
        <v>#N/A</v>
      </c>
      <c r="AA3059" s="284" t="e">
        <v>#N/A</v>
      </c>
    </row>
    <row r="3060" spans="23:27" x14ac:dyDescent="0.2">
      <c r="W3060" s="203" t="str">
        <f t="shared" si="57"/>
        <v>1w</v>
      </c>
      <c r="X3060" s="287">
        <f>_xll.qlCalendarAdvance(Calendar,X3059,W3060,"f",FALSE)</f>
        <v>60625</v>
      </c>
      <c r="Y3060" s="281">
        <f>_xll.qlCalendarAdvance(Calendar,X3060,NDays&amp;"D")</f>
        <v>60631</v>
      </c>
      <c r="Z3060" s="282" t="e">
        <v>#N/A</v>
      </c>
      <c r="AA3060" s="284" t="e">
        <v>#N/A</v>
      </c>
    </row>
    <row r="3061" spans="23:27" x14ac:dyDescent="0.2">
      <c r="W3061" s="203" t="str">
        <f t="shared" si="57"/>
        <v>1w</v>
      </c>
      <c r="X3061" s="287">
        <f>_xll.qlCalendarAdvance(Calendar,X3060,W3061,"f",FALSE)</f>
        <v>60636</v>
      </c>
      <c r="Y3061" s="281">
        <f>_xll.qlCalendarAdvance(Calendar,X3061,NDays&amp;"D")</f>
        <v>60638</v>
      </c>
      <c r="Z3061" s="282" t="e">
        <v>#N/A</v>
      </c>
      <c r="AA3061" s="284" t="e">
        <v>#N/A</v>
      </c>
    </row>
    <row r="3062" spans="23:27" x14ac:dyDescent="0.2">
      <c r="W3062" s="203" t="str">
        <f t="shared" si="57"/>
        <v>1w</v>
      </c>
      <c r="X3062" s="287">
        <f>_xll.qlCalendarAdvance(Calendar,X3061,W3062,"f",FALSE)</f>
        <v>60644</v>
      </c>
      <c r="Y3062" s="281">
        <f>_xll.qlCalendarAdvance(Calendar,X3062,NDays&amp;"D")</f>
        <v>60646</v>
      </c>
      <c r="Z3062" s="282" t="e">
        <v>#N/A</v>
      </c>
      <c r="AA3062" s="284" t="e">
        <v>#N/A</v>
      </c>
    </row>
    <row r="3063" spans="23:27" x14ac:dyDescent="0.2">
      <c r="W3063" s="203" t="str">
        <f t="shared" si="57"/>
        <v>1w</v>
      </c>
      <c r="X3063" s="287">
        <f>_xll.qlCalendarAdvance(Calendar,X3062,W3063,"f",FALSE)</f>
        <v>60651</v>
      </c>
      <c r="Y3063" s="281">
        <f>_xll.qlCalendarAdvance(Calendar,X3063,NDays&amp;"D")</f>
        <v>60653</v>
      </c>
      <c r="Z3063" s="282" t="e">
        <v>#N/A</v>
      </c>
      <c r="AA3063" s="284" t="e">
        <v>#N/A</v>
      </c>
    </row>
    <row r="3064" spans="23:27" x14ac:dyDescent="0.2">
      <c r="W3064" s="203" t="str">
        <f t="shared" si="57"/>
        <v>1w</v>
      </c>
      <c r="X3064" s="287">
        <f>_xll.qlCalendarAdvance(Calendar,X3063,W3064,"f",FALSE)</f>
        <v>60658</v>
      </c>
      <c r="Y3064" s="281">
        <f>_xll.qlCalendarAdvance(Calendar,X3064,NDays&amp;"D")</f>
        <v>60660</v>
      </c>
      <c r="Z3064" s="282" t="e">
        <v>#N/A</v>
      </c>
      <c r="AA3064" s="284" t="e">
        <v>#N/A</v>
      </c>
    </row>
    <row r="3065" spans="23:27" x14ac:dyDescent="0.2">
      <c r="W3065" s="203" t="str">
        <f t="shared" si="57"/>
        <v>1w</v>
      </c>
      <c r="X3065" s="287">
        <f>_xll.qlCalendarAdvance(Calendar,X3064,W3065,"f",FALSE)</f>
        <v>60665</v>
      </c>
      <c r="Y3065" s="281">
        <f>_xll.qlCalendarAdvance(Calendar,X3065,NDays&amp;"D")</f>
        <v>60667</v>
      </c>
      <c r="Z3065" s="282" t="e">
        <v>#N/A</v>
      </c>
      <c r="AA3065" s="284" t="e">
        <v>#N/A</v>
      </c>
    </row>
    <row r="3066" spans="23:27" x14ac:dyDescent="0.2">
      <c r="W3066" s="203" t="str">
        <f t="shared" si="57"/>
        <v>1w</v>
      </c>
      <c r="X3066" s="287">
        <f>_xll.qlCalendarAdvance(Calendar,X3065,W3066,"f",FALSE)</f>
        <v>60672</v>
      </c>
      <c r="Y3066" s="281">
        <f>_xll.qlCalendarAdvance(Calendar,X3066,NDays&amp;"D")</f>
        <v>60675</v>
      </c>
      <c r="Z3066" s="282" t="e">
        <v>#N/A</v>
      </c>
      <c r="AA3066" s="284" t="e">
        <v>#N/A</v>
      </c>
    </row>
    <row r="3067" spans="23:27" x14ac:dyDescent="0.2">
      <c r="W3067" s="203" t="str">
        <f t="shared" si="57"/>
        <v>1w</v>
      </c>
      <c r="X3067" s="287">
        <f>_xll.qlCalendarAdvance(Calendar,X3066,W3067,"f",FALSE)</f>
        <v>60679</v>
      </c>
      <c r="Y3067" s="281">
        <f>_xll.qlCalendarAdvance(Calendar,X3067,NDays&amp;"D")</f>
        <v>60681</v>
      </c>
      <c r="Z3067" s="282" t="e">
        <v>#N/A</v>
      </c>
      <c r="AA3067" s="284" t="e">
        <v>#N/A</v>
      </c>
    </row>
    <row r="3068" spans="23:27" x14ac:dyDescent="0.2">
      <c r="W3068" s="203" t="str">
        <f t="shared" si="57"/>
        <v>1w</v>
      </c>
      <c r="X3068" s="287">
        <f>_xll.qlCalendarAdvance(Calendar,X3067,W3068,"f",FALSE)</f>
        <v>60686</v>
      </c>
      <c r="Y3068" s="281">
        <f>_xll.qlCalendarAdvance(Calendar,X3068,NDays&amp;"D")</f>
        <v>60688</v>
      </c>
      <c r="Z3068" s="282" t="e">
        <v>#N/A</v>
      </c>
      <c r="AA3068" s="284" t="e">
        <v>#N/A</v>
      </c>
    </row>
    <row r="3069" spans="23:27" x14ac:dyDescent="0.2">
      <c r="W3069" s="203" t="str">
        <f t="shared" si="57"/>
        <v>1w</v>
      </c>
      <c r="X3069" s="287">
        <f>_xll.qlCalendarAdvance(Calendar,X3068,W3069,"f",FALSE)</f>
        <v>60693</v>
      </c>
      <c r="Y3069" s="281">
        <f>_xll.qlCalendarAdvance(Calendar,X3069,NDays&amp;"D")</f>
        <v>60695</v>
      </c>
      <c r="Z3069" s="282" t="e">
        <v>#N/A</v>
      </c>
      <c r="AA3069" s="284" t="e">
        <v>#N/A</v>
      </c>
    </row>
    <row r="3070" spans="23:27" x14ac:dyDescent="0.2">
      <c r="W3070" s="203" t="str">
        <f t="shared" si="57"/>
        <v>1w</v>
      </c>
      <c r="X3070" s="287">
        <f>_xll.qlCalendarAdvance(Calendar,X3069,W3070,"f",FALSE)</f>
        <v>60700</v>
      </c>
      <c r="Y3070" s="281">
        <f>_xll.qlCalendarAdvance(Calendar,X3070,NDays&amp;"D")</f>
        <v>60702</v>
      </c>
      <c r="Z3070" s="282" t="e">
        <v>#N/A</v>
      </c>
      <c r="AA3070" s="284" t="e">
        <v>#N/A</v>
      </c>
    </row>
    <row r="3071" spans="23:27" x14ac:dyDescent="0.2">
      <c r="W3071" s="203" t="str">
        <f t="shared" si="57"/>
        <v>1w</v>
      </c>
      <c r="X3071" s="287">
        <f>_xll.qlCalendarAdvance(Calendar,X3070,W3071,"f",FALSE)</f>
        <v>60707</v>
      </c>
      <c r="Y3071" s="281">
        <f>_xll.qlCalendarAdvance(Calendar,X3071,NDays&amp;"D")</f>
        <v>60709</v>
      </c>
      <c r="Z3071" s="282" t="e">
        <v>#N/A</v>
      </c>
      <c r="AA3071" s="284" t="e">
        <v>#N/A</v>
      </c>
    </row>
    <row r="3072" spans="23:27" x14ac:dyDescent="0.2">
      <c r="W3072" s="203" t="str">
        <f t="shared" si="57"/>
        <v>1w</v>
      </c>
      <c r="X3072" s="287">
        <f>_xll.qlCalendarAdvance(Calendar,X3071,W3072,"f",FALSE)</f>
        <v>60714</v>
      </c>
      <c r="Y3072" s="281">
        <f>_xll.qlCalendarAdvance(Calendar,X3072,NDays&amp;"D")</f>
        <v>60716</v>
      </c>
      <c r="Z3072" s="282" t="e">
        <v>#N/A</v>
      </c>
      <c r="AA3072" s="284" t="e">
        <v>#N/A</v>
      </c>
    </row>
    <row r="3073" spans="23:27" x14ac:dyDescent="0.2">
      <c r="W3073" s="203" t="str">
        <f t="shared" si="57"/>
        <v>1w</v>
      </c>
      <c r="X3073" s="287">
        <f>_xll.qlCalendarAdvance(Calendar,X3072,W3073,"f",FALSE)</f>
        <v>60721</v>
      </c>
      <c r="Y3073" s="281">
        <f>_xll.qlCalendarAdvance(Calendar,X3073,NDays&amp;"D")</f>
        <v>60723</v>
      </c>
      <c r="Z3073" s="282" t="e">
        <v>#N/A</v>
      </c>
      <c r="AA3073" s="284" t="e">
        <v>#N/A</v>
      </c>
    </row>
    <row r="3074" spans="23:27" x14ac:dyDescent="0.2">
      <c r="W3074" s="203" t="str">
        <f t="shared" si="57"/>
        <v>1w</v>
      </c>
      <c r="X3074" s="287">
        <f>_xll.qlCalendarAdvance(Calendar,X3073,W3074,"f",FALSE)</f>
        <v>60728</v>
      </c>
      <c r="Y3074" s="281">
        <f>_xll.qlCalendarAdvance(Calendar,X3074,NDays&amp;"D")</f>
        <v>60730</v>
      </c>
      <c r="Z3074" s="282" t="e">
        <v>#N/A</v>
      </c>
      <c r="AA3074" s="284" t="e">
        <v>#N/A</v>
      </c>
    </row>
    <row r="3075" spans="23:27" x14ac:dyDescent="0.2">
      <c r="W3075" s="203" t="str">
        <f t="shared" si="57"/>
        <v>1w</v>
      </c>
      <c r="X3075" s="287">
        <f>_xll.qlCalendarAdvance(Calendar,X3074,W3075,"f",FALSE)</f>
        <v>60735</v>
      </c>
      <c r="Y3075" s="281">
        <f>_xll.qlCalendarAdvance(Calendar,X3075,NDays&amp;"D")</f>
        <v>60737</v>
      </c>
      <c r="Z3075" s="282" t="e">
        <v>#N/A</v>
      </c>
      <c r="AA3075" s="284" t="e">
        <v>#N/A</v>
      </c>
    </row>
    <row r="3076" spans="23:27" x14ac:dyDescent="0.2">
      <c r="W3076" s="203" t="str">
        <f t="shared" si="57"/>
        <v>1w</v>
      </c>
      <c r="X3076" s="287">
        <f>_xll.qlCalendarAdvance(Calendar,X3075,W3076,"f",FALSE)</f>
        <v>60742</v>
      </c>
      <c r="Y3076" s="281">
        <f>_xll.qlCalendarAdvance(Calendar,X3076,NDays&amp;"D")</f>
        <v>60744</v>
      </c>
      <c r="Z3076" s="282" t="e">
        <v>#N/A</v>
      </c>
      <c r="AA3076" s="284" t="e">
        <v>#N/A</v>
      </c>
    </row>
    <row r="3077" spans="23:27" x14ac:dyDescent="0.2">
      <c r="W3077" s="203" t="str">
        <f t="shared" si="57"/>
        <v>1w</v>
      </c>
      <c r="X3077" s="287">
        <f>_xll.qlCalendarAdvance(Calendar,X3076,W3077,"f",FALSE)</f>
        <v>60749</v>
      </c>
      <c r="Y3077" s="281">
        <f>_xll.qlCalendarAdvance(Calendar,X3077,NDays&amp;"D")</f>
        <v>60752</v>
      </c>
      <c r="Z3077" s="282" t="e">
        <v>#N/A</v>
      </c>
      <c r="AA3077" s="284" t="e">
        <v>#N/A</v>
      </c>
    </row>
    <row r="3078" spans="23:27" x14ac:dyDescent="0.2">
      <c r="W3078" s="203" t="str">
        <f t="shared" si="57"/>
        <v>1w</v>
      </c>
      <c r="X3078" s="287">
        <f>_xll.qlCalendarAdvance(Calendar,X3077,W3078,"f",FALSE)</f>
        <v>60758</v>
      </c>
      <c r="Y3078" s="281">
        <f>_xll.qlCalendarAdvance(Calendar,X3078,NDays&amp;"D")</f>
        <v>60762</v>
      </c>
      <c r="Z3078" s="282" t="e">
        <v>#N/A</v>
      </c>
      <c r="AA3078" s="284" t="e">
        <v>#N/A</v>
      </c>
    </row>
    <row r="3079" spans="23:27" x14ac:dyDescent="0.2">
      <c r="W3079" s="203" t="str">
        <f t="shared" si="57"/>
        <v>1w</v>
      </c>
      <c r="X3079" s="287">
        <f>_xll.qlCalendarAdvance(Calendar,X3078,W3079,"f",FALSE)</f>
        <v>60765</v>
      </c>
      <c r="Y3079" s="281">
        <f>_xll.qlCalendarAdvance(Calendar,X3079,NDays&amp;"D")</f>
        <v>60769</v>
      </c>
      <c r="Z3079" s="282" t="e">
        <v>#N/A</v>
      </c>
      <c r="AA3079" s="284" t="e">
        <v>#N/A</v>
      </c>
    </row>
    <row r="3080" spans="23:27" x14ac:dyDescent="0.2">
      <c r="W3080" s="203" t="str">
        <f t="shared" si="57"/>
        <v>1w</v>
      </c>
      <c r="X3080" s="287">
        <f>_xll.qlCalendarAdvance(Calendar,X3079,W3080,"f",FALSE)</f>
        <v>60772</v>
      </c>
      <c r="Y3080" s="281">
        <f>_xll.qlCalendarAdvance(Calendar,X3080,NDays&amp;"D")</f>
        <v>60776</v>
      </c>
      <c r="Z3080" s="282" t="e">
        <v>#N/A</v>
      </c>
      <c r="AA3080" s="284" t="e">
        <v>#N/A</v>
      </c>
    </row>
    <row r="3081" spans="23:27" x14ac:dyDescent="0.2">
      <c r="W3081" s="203" t="str">
        <f t="shared" si="57"/>
        <v>1w</v>
      </c>
      <c r="X3081" s="287">
        <f>_xll.qlCalendarAdvance(Calendar,X3080,W3081,"f",FALSE)</f>
        <v>60779</v>
      </c>
      <c r="Y3081" s="281">
        <f>_xll.qlCalendarAdvance(Calendar,X3081,NDays&amp;"D")</f>
        <v>60784</v>
      </c>
      <c r="Z3081" s="282" t="e">
        <v>#N/A</v>
      </c>
      <c r="AA3081" s="284" t="e">
        <v>#N/A</v>
      </c>
    </row>
    <row r="3082" spans="23:27" x14ac:dyDescent="0.2">
      <c r="W3082" s="203" t="str">
        <f t="shared" si="57"/>
        <v>1w</v>
      </c>
      <c r="X3082" s="287">
        <f>_xll.qlCalendarAdvance(Calendar,X3081,W3082,"f",FALSE)</f>
        <v>60786</v>
      </c>
      <c r="Y3082" s="281">
        <f>_xll.qlCalendarAdvance(Calendar,X3082,NDays&amp;"D")</f>
        <v>60790</v>
      </c>
      <c r="Z3082" s="282" t="e">
        <v>#N/A</v>
      </c>
      <c r="AA3082" s="284" t="e">
        <v>#N/A</v>
      </c>
    </row>
    <row r="3083" spans="23:27" x14ac:dyDescent="0.2">
      <c r="W3083" s="203" t="str">
        <f t="shared" si="57"/>
        <v>1w</v>
      </c>
      <c r="X3083" s="287">
        <f>_xll.qlCalendarAdvance(Calendar,X3082,W3083,"f",FALSE)</f>
        <v>60793</v>
      </c>
      <c r="Y3083" s="281">
        <f>_xll.qlCalendarAdvance(Calendar,X3083,NDays&amp;"D")</f>
        <v>60797</v>
      </c>
      <c r="Z3083" s="282" t="e">
        <v>#N/A</v>
      </c>
      <c r="AA3083" s="284" t="e">
        <v>#N/A</v>
      </c>
    </row>
    <row r="3084" spans="23:27" x14ac:dyDescent="0.2">
      <c r="W3084" s="203" t="str">
        <f t="shared" si="57"/>
        <v>1w</v>
      </c>
      <c r="X3084" s="287">
        <f>_xll.qlCalendarAdvance(Calendar,X3083,W3084,"f",FALSE)</f>
        <v>60800</v>
      </c>
      <c r="Y3084" s="281">
        <f>_xll.qlCalendarAdvance(Calendar,X3084,NDays&amp;"D")</f>
        <v>60804</v>
      </c>
      <c r="Z3084" s="282" t="e">
        <v>#N/A</v>
      </c>
      <c r="AA3084" s="284" t="e">
        <v>#N/A</v>
      </c>
    </row>
    <row r="3085" spans="23:27" x14ac:dyDescent="0.2">
      <c r="W3085" s="203" t="str">
        <f t="shared" si="57"/>
        <v>1w</v>
      </c>
      <c r="X3085" s="287">
        <f>_xll.qlCalendarAdvance(Calendar,X3084,W3085,"f",FALSE)</f>
        <v>60807</v>
      </c>
      <c r="Y3085" s="281">
        <f>_xll.qlCalendarAdvance(Calendar,X3085,NDays&amp;"D")</f>
        <v>60811</v>
      </c>
      <c r="Z3085" s="282" t="e">
        <v>#N/A</v>
      </c>
      <c r="AA3085" s="284" t="e">
        <v>#N/A</v>
      </c>
    </row>
    <row r="3086" spans="23:27" x14ac:dyDescent="0.2">
      <c r="W3086" s="203" t="str">
        <f t="shared" si="57"/>
        <v>1w</v>
      </c>
      <c r="X3086" s="287">
        <f>_xll.qlCalendarAdvance(Calendar,X3085,W3086,"f",FALSE)</f>
        <v>60814</v>
      </c>
      <c r="Y3086" s="281">
        <f>_xll.qlCalendarAdvance(Calendar,X3086,NDays&amp;"D")</f>
        <v>60818</v>
      </c>
      <c r="Z3086" s="282" t="e">
        <v>#N/A</v>
      </c>
      <c r="AA3086" s="284" t="e">
        <v>#N/A</v>
      </c>
    </row>
    <row r="3087" spans="23:27" x14ac:dyDescent="0.2">
      <c r="W3087" s="203" t="str">
        <f t="shared" si="57"/>
        <v>1w</v>
      </c>
      <c r="X3087" s="287">
        <f>_xll.qlCalendarAdvance(Calendar,X3086,W3087,"f",FALSE)</f>
        <v>60821</v>
      </c>
      <c r="Y3087" s="281">
        <f>_xll.qlCalendarAdvance(Calendar,X3087,NDays&amp;"D")</f>
        <v>60825</v>
      </c>
      <c r="Z3087" s="282" t="e">
        <v>#N/A</v>
      </c>
      <c r="AA3087" s="284" t="e">
        <v>#N/A</v>
      </c>
    </row>
    <row r="3088" spans="23:27" x14ac:dyDescent="0.2">
      <c r="W3088" s="203" t="str">
        <f t="shared" si="57"/>
        <v>1w</v>
      </c>
      <c r="X3088" s="287">
        <f>_xll.qlCalendarAdvance(Calendar,X3087,W3088,"f",FALSE)</f>
        <v>60828</v>
      </c>
      <c r="Y3088" s="281">
        <f>_xll.qlCalendarAdvance(Calendar,X3088,NDays&amp;"D")</f>
        <v>60833</v>
      </c>
      <c r="Z3088" s="282" t="e">
        <v>#N/A</v>
      </c>
      <c r="AA3088" s="284" t="e">
        <v>#N/A</v>
      </c>
    </row>
    <row r="3089" spans="23:27" x14ac:dyDescent="0.2">
      <c r="W3089" s="203" t="str">
        <f t="shared" si="57"/>
        <v>1w</v>
      </c>
      <c r="X3089" s="287">
        <f>_xll.qlCalendarAdvance(Calendar,X3088,W3089,"f",FALSE)</f>
        <v>60835</v>
      </c>
      <c r="Y3089" s="281">
        <f>_xll.qlCalendarAdvance(Calendar,X3089,NDays&amp;"D")</f>
        <v>60839</v>
      </c>
      <c r="Z3089" s="282" t="e">
        <v>#N/A</v>
      </c>
      <c r="AA3089" s="284" t="e">
        <v>#N/A</v>
      </c>
    </row>
    <row r="3090" spans="23:27" x14ac:dyDescent="0.2">
      <c r="W3090" s="203" t="str">
        <f t="shared" si="57"/>
        <v>1w</v>
      </c>
      <c r="X3090" s="287">
        <f>_xll.qlCalendarAdvance(Calendar,X3089,W3090,"f",FALSE)</f>
        <v>60842</v>
      </c>
      <c r="Y3090" s="281">
        <f>_xll.qlCalendarAdvance(Calendar,X3090,NDays&amp;"D")</f>
        <v>60846</v>
      </c>
      <c r="Z3090" s="282" t="e">
        <v>#N/A</v>
      </c>
      <c r="AA3090" s="284" t="e">
        <v>#N/A</v>
      </c>
    </row>
    <row r="3091" spans="23:27" x14ac:dyDescent="0.2">
      <c r="W3091" s="203" t="str">
        <f t="shared" si="57"/>
        <v>1w</v>
      </c>
      <c r="X3091" s="287">
        <f>_xll.qlCalendarAdvance(Calendar,X3090,W3091,"f",FALSE)</f>
        <v>60849</v>
      </c>
      <c r="Y3091" s="281">
        <f>_xll.qlCalendarAdvance(Calendar,X3091,NDays&amp;"D")</f>
        <v>60853</v>
      </c>
      <c r="Z3091" s="282" t="e">
        <v>#N/A</v>
      </c>
      <c r="AA3091" s="284" t="e">
        <v>#N/A</v>
      </c>
    </row>
    <row r="3092" spans="23:27" x14ac:dyDescent="0.2">
      <c r="W3092" s="203" t="str">
        <f t="shared" si="57"/>
        <v>1w</v>
      </c>
      <c r="X3092" s="287">
        <f>_xll.qlCalendarAdvance(Calendar,X3091,W3092,"f",FALSE)</f>
        <v>60856</v>
      </c>
      <c r="Y3092" s="281">
        <f>_xll.qlCalendarAdvance(Calendar,X3092,NDays&amp;"D")</f>
        <v>60860</v>
      </c>
      <c r="Z3092" s="282" t="e">
        <v>#N/A</v>
      </c>
      <c r="AA3092" s="284" t="e">
        <v>#N/A</v>
      </c>
    </row>
    <row r="3093" spans="23:27" x14ac:dyDescent="0.2">
      <c r="W3093" s="203" t="str">
        <f t="shared" ref="W3093:W3156" si="58">W3092</f>
        <v>1w</v>
      </c>
      <c r="X3093" s="287">
        <f>_xll.qlCalendarAdvance(Calendar,X3092,W3093,"f",FALSE)</f>
        <v>60863</v>
      </c>
      <c r="Y3093" s="281">
        <f>_xll.qlCalendarAdvance(Calendar,X3093,NDays&amp;"D")</f>
        <v>60867</v>
      </c>
      <c r="Z3093" s="282" t="e">
        <v>#N/A</v>
      </c>
      <c r="AA3093" s="284" t="e">
        <v>#N/A</v>
      </c>
    </row>
    <row r="3094" spans="23:27" x14ac:dyDescent="0.2">
      <c r="W3094" s="203" t="str">
        <f t="shared" si="58"/>
        <v>1w</v>
      </c>
      <c r="X3094" s="287">
        <f>_xll.qlCalendarAdvance(Calendar,X3093,W3094,"f",FALSE)</f>
        <v>60870</v>
      </c>
      <c r="Y3094" s="281">
        <f>_xll.qlCalendarAdvance(Calendar,X3094,NDays&amp;"D")</f>
        <v>60875</v>
      </c>
      <c r="Z3094" s="282" t="e">
        <v>#N/A</v>
      </c>
      <c r="AA3094" s="284" t="e">
        <v>#N/A</v>
      </c>
    </row>
    <row r="3095" spans="23:27" x14ac:dyDescent="0.2">
      <c r="W3095" s="203" t="str">
        <f t="shared" si="58"/>
        <v>1w</v>
      </c>
      <c r="X3095" s="287">
        <f>_xll.qlCalendarAdvance(Calendar,X3094,W3095,"f",FALSE)</f>
        <v>60877</v>
      </c>
      <c r="Y3095" s="281">
        <f>_xll.qlCalendarAdvance(Calendar,X3095,NDays&amp;"D")</f>
        <v>60881</v>
      </c>
      <c r="Z3095" s="282" t="e">
        <v>#N/A</v>
      </c>
      <c r="AA3095" s="284" t="e">
        <v>#N/A</v>
      </c>
    </row>
    <row r="3096" spans="23:27" x14ac:dyDescent="0.2">
      <c r="W3096" s="203" t="str">
        <f t="shared" si="58"/>
        <v>1w</v>
      </c>
      <c r="X3096" s="287">
        <f>_xll.qlCalendarAdvance(Calendar,X3095,W3096,"f",FALSE)</f>
        <v>60884</v>
      </c>
      <c r="Y3096" s="281">
        <f>_xll.qlCalendarAdvance(Calendar,X3096,NDays&amp;"D")</f>
        <v>60888</v>
      </c>
      <c r="Z3096" s="282" t="e">
        <v>#N/A</v>
      </c>
      <c r="AA3096" s="284" t="e">
        <v>#N/A</v>
      </c>
    </row>
    <row r="3097" spans="23:27" x14ac:dyDescent="0.2">
      <c r="W3097" s="203" t="str">
        <f t="shared" si="58"/>
        <v>1w</v>
      </c>
      <c r="X3097" s="287">
        <f>_xll.qlCalendarAdvance(Calendar,X3096,W3097,"f",FALSE)</f>
        <v>60891</v>
      </c>
      <c r="Y3097" s="281">
        <f>_xll.qlCalendarAdvance(Calendar,X3097,NDays&amp;"D")</f>
        <v>60896</v>
      </c>
      <c r="Z3097" s="282" t="e">
        <v>#N/A</v>
      </c>
      <c r="AA3097" s="284" t="e">
        <v>#N/A</v>
      </c>
    </row>
    <row r="3098" spans="23:27" x14ac:dyDescent="0.2">
      <c r="W3098" s="203" t="str">
        <f t="shared" si="58"/>
        <v>1w</v>
      </c>
      <c r="X3098" s="287">
        <f>_xll.qlCalendarAdvance(Calendar,X3097,W3098,"f",FALSE)</f>
        <v>60899</v>
      </c>
      <c r="Y3098" s="281">
        <f>_xll.qlCalendarAdvance(Calendar,X3098,NDays&amp;"D")</f>
        <v>60903</v>
      </c>
      <c r="Z3098" s="282" t="e">
        <v>#N/A</v>
      </c>
      <c r="AA3098" s="284" t="e">
        <v>#N/A</v>
      </c>
    </row>
    <row r="3099" spans="23:27" x14ac:dyDescent="0.2">
      <c r="W3099" s="203" t="str">
        <f t="shared" si="58"/>
        <v>1w</v>
      </c>
      <c r="X3099" s="287">
        <f>_xll.qlCalendarAdvance(Calendar,X3098,W3099,"f",FALSE)</f>
        <v>60906</v>
      </c>
      <c r="Y3099" s="281">
        <f>_xll.qlCalendarAdvance(Calendar,X3099,NDays&amp;"D")</f>
        <v>60910</v>
      </c>
      <c r="Z3099" s="282" t="e">
        <v>#N/A</v>
      </c>
      <c r="AA3099" s="284" t="e">
        <v>#N/A</v>
      </c>
    </row>
    <row r="3100" spans="23:27" x14ac:dyDescent="0.2">
      <c r="W3100" s="203" t="str">
        <f t="shared" si="58"/>
        <v>1w</v>
      </c>
      <c r="X3100" s="287">
        <f>_xll.qlCalendarAdvance(Calendar,X3099,W3100,"f",FALSE)</f>
        <v>60913</v>
      </c>
      <c r="Y3100" s="281">
        <f>_xll.qlCalendarAdvance(Calendar,X3100,NDays&amp;"D")</f>
        <v>60918</v>
      </c>
      <c r="Z3100" s="282" t="e">
        <v>#N/A</v>
      </c>
      <c r="AA3100" s="284" t="e">
        <v>#N/A</v>
      </c>
    </row>
    <row r="3101" spans="23:27" x14ac:dyDescent="0.2">
      <c r="W3101" s="203" t="str">
        <f t="shared" si="58"/>
        <v>1w</v>
      </c>
      <c r="X3101" s="287">
        <f>_xll.qlCalendarAdvance(Calendar,X3100,W3101,"f",FALSE)</f>
        <v>60920</v>
      </c>
      <c r="Y3101" s="281">
        <f>_xll.qlCalendarAdvance(Calendar,X3101,NDays&amp;"D")</f>
        <v>60924</v>
      </c>
      <c r="Z3101" s="282" t="e">
        <v>#N/A</v>
      </c>
      <c r="AA3101" s="284" t="e">
        <v>#N/A</v>
      </c>
    </row>
    <row r="3102" spans="23:27" x14ac:dyDescent="0.2">
      <c r="W3102" s="203" t="str">
        <f t="shared" si="58"/>
        <v>1w</v>
      </c>
      <c r="X3102" s="287">
        <f>_xll.qlCalendarAdvance(Calendar,X3101,W3102,"f",FALSE)</f>
        <v>60927</v>
      </c>
      <c r="Y3102" s="281">
        <f>_xll.qlCalendarAdvance(Calendar,X3102,NDays&amp;"D")</f>
        <v>60931</v>
      </c>
      <c r="Z3102" s="282" t="e">
        <v>#N/A</v>
      </c>
      <c r="AA3102" s="284" t="e">
        <v>#N/A</v>
      </c>
    </row>
    <row r="3103" spans="23:27" x14ac:dyDescent="0.2">
      <c r="W3103" s="203" t="str">
        <f t="shared" si="58"/>
        <v>1w</v>
      </c>
      <c r="X3103" s="287">
        <f>_xll.qlCalendarAdvance(Calendar,X3102,W3103,"f",FALSE)</f>
        <v>60934</v>
      </c>
      <c r="Y3103" s="281">
        <f>_xll.qlCalendarAdvance(Calendar,X3103,NDays&amp;"D")</f>
        <v>60938</v>
      </c>
      <c r="Z3103" s="282" t="e">
        <v>#N/A</v>
      </c>
      <c r="AA3103" s="284" t="e">
        <v>#N/A</v>
      </c>
    </row>
    <row r="3104" spans="23:27" x14ac:dyDescent="0.2">
      <c r="W3104" s="203" t="str">
        <f t="shared" si="58"/>
        <v>1w</v>
      </c>
      <c r="X3104" s="287">
        <f>_xll.qlCalendarAdvance(Calendar,X3103,W3104,"f",FALSE)</f>
        <v>60941</v>
      </c>
      <c r="Y3104" s="281">
        <f>_xll.qlCalendarAdvance(Calendar,X3104,NDays&amp;"D")</f>
        <v>60945</v>
      </c>
      <c r="Z3104" s="282" t="e">
        <v>#N/A</v>
      </c>
      <c r="AA3104" s="284" t="e">
        <v>#N/A</v>
      </c>
    </row>
    <row r="3105" spans="23:27" x14ac:dyDescent="0.2">
      <c r="W3105" s="203" t="str">
        <f t="shared" si="58"/>
        <v>1w</v>
      </c>
      <c r="X3105" s="287">
        <f>_xll.qlCalendarAdvance(Calendar,X3104,W3105,"f",FALSE)</f>
        <v>60948</v>
      </c>
      <c r="Y3105" s="281">
        <f>_xll.qlCalendarAdvance(Calendar,X3105,NDays&amp;"D")</f>
        <v>60952</v>
      </c>
      <c r="Z3105" s="282" t="e">
        <v>#N/A</v>
      </c>
      <c r="AA3105" s="284" t="e">
        <v>#N/A</v>
      </c>
    </row>
    <row r="3106" spans="23:27" x14ac:dyDescent="0.2">
      <c r="W3106" s="203" t="str">
        <f t="shared" si="58"/>
        <v>1w</v>
      </c>
      <c r="X3106" s="287">
        <f>_xll.qlCalendarAdvance(Calendar,X3105,W3106,"f",FALSE)</f>
        <v>60955</v>
      </c>
      <c r="Y3106" s="281">
        <f>_xll.qlCalendarAdvance(Calendar,X3106,NDays&amp;"D")</f>
        <v>60960</v>
      </c>
      <c r="Z3106" s="282" t="e">
        <v>#N/A</v>
      </c>
      <c r="AA3106" s="284" t="e">
        <v>#N/A</v>
      </c>
    </row>
    <row r="3107" spans="23:27" x14ac:dyDescent="0.2">
      <c r="W3107" s="203" t="str">
        <f t="shared" si="58"/>
        <v>1w</v>
      </c>
      <c r="X3107" s="287">
        <f>_xll.qlCalendarAdvance(Calendar,X3106,W3107,"f",FALSE)</f>
        <v>60962</v>
      </c>
      <c r="Y3107" s="281">
        <f>_xll.qlCalendarAdvance(Calendar,X3107,NDays&amp;"D")</f>
        <v>60966</v>
      </c>
      <c r="Z3107" s="282" t="e">
        <v>#N/A</v>
      </c>
      <c r="AA3107" s="284" t="e">
        <v>#N/A</v>
      </c>
    </row>
    <row r="3108" spans="23:27" x14ac:dyDescent="0.2">
      <c r="W3108" s="203" t="str">
        <f t="shared" si="58"/>
        <v>1w</v>
      </c>
      <c r="X3108" s="287">
        <f>_xll.qlCalendarAdvance(Calendar,X3107,W3108,"f",FALSE)</f>
        <v>60969</v>
      </c>
      <c r="Y3108" s="281">
        <f>_xll.qlCalendarAdvance(Calendar,X3108,NDays&amp;"D")</f>
        <v>60973</v>
      </c>
      <c r="Z3108" s="282" t="e">
        <v>#N/A</v>
      </c>
      <c r="AA3108" s="284" t="e">
        <v>#N/A</v>
      </c>
    </row>
    <row r="3109" spans="23:27" x14ac:dyDescent="0.2">
      <c r="W3109" s="203" t="str">
        <f t="shared" si="58"/>
        <v>1w</v>
      </c>
      <c r="X3109" s="287">
        <f>_xll.qlCalendarAdvance(Calendar,X3108,W3109,"f",FALSE)</f>
        <v>60976</v>
      </c>
      <c r="Y3109" s="281">
        <f>_xll.qlCalendarAdvance(Calendar,X3109,NDays&amp;"D")</f>
        <v>60980</v>
      </c>
      <c r="Z3109" s="282" t="e">
        <v>#N/A</v>
      </c>
      <c r="AA3109" s="284" t="e">
        <v>#N/A</v>
      </c>
    </row>
    <row r="3110" spans="23:27" x14ac:dyDescent="0.2">
      <c r="W3110" s="203" t="str">
        <f t="shared" si="58"/>
        <v>1w</v>
      </c>
      <c r="X3110" s="287">
        <f>_xll.qlCalendarAdvance(Calendar,X3109,W3110,"f",FALSE)</f>
        <v>60983</v>
      </c>
      <c r="Y3110" s="281">
        <f>_xll.qlCalendarAdvance(Calendar,X3110,NDays&amp;"D")</f>
        <v>60987</v>
      </c>
      <c r="Z3110" s="282" t="e">
        <v>#N/A</v>
      </c>
      <c r="AA3110" s="284" t="e">
        <v>#N/A</v>
      </c>
    </row>
    <row r="3111" spans="23:27" x14ac:dyDescent="0.2">
      <c r="W3111" s="203" t="str">
        <f t="shared" si="58"/>
        <v>1w</v>
      </c>
      <c r="X3111" s="287">
        <f>_xll.qlCalendarAdvance(Calendar,X3110,W3111,"f",FALSE)</f>
        <v>60990</v>
      </c>
      <c r="Y3111" s="281">
        <f>_xll.qlCalendarAdvance(Calendar,X3111,NDays&amp;"D")</f>
        <v>60996</v>
      </c>
      <c r="Z3111" s="282" t="e">
        <v>#N/A</v>
      </c>
      <c r="AA3111" s="284" t="e">
        <v>#N/A</v>
      </c>
    </row>
    <row r="3112" spans="23:27" x14ac:dyDescent="0.2">
      <c r="W3112" s="203" t="str">
        <f t="shared" si="58"/>
        <v>1w</v>
      </c>
      <c r="X3112" s="287">
        <f>_xll.qlCalendarAdvance(Calendar,X3111,W3112,"f",FALSE)</f>
        <v>61001</v>
      </c>
      <c r="Y3112" s="281">
        <f>_xll.qlCalendarAdvance(Calendar,X3112,NDays&amp;"D")</f>
        <v>61003</v>
      </c>
      <c r="Z3112" s="282" t="e">
        <v>#N/A</v>
      </c>
      <c r="AA3112" s="284" t="e">
        <v>#N/A</v>
      </c>
    </row>
    <row r="3113" spans="23:27" x14ac:dyDescent="0.2">
      <c r="W3113" s="203" t="str">
        <f t="shared" si="58"/>
        <v>1w</v>
      </c>
      <c r="X3113" s="287">
        <f>_xll.qlCalendarAdvance(Calendar,X3112,W3113,"f",FALSE)</f>
        <v>61008</v>
      </c>
      <c r="Y3113" s="281">
        <f>_xll.qlCalendarAdvance(Calendar,X3113,NDays&amp;"D")</f>
        <v>61010</v>
      </c>
      <c r="Z3113" s="282" t="e">
        <v>#N/A</v>
      </c>
      <c r="AA3113" s="284" t="e">
        <v>#N/A</v>
      </c>
    </row>
    <row r="3114" spans="23:27" x14ac:dyDescent="0.2">
      <c r="W3114" s="203" t="str">
        <f t="shared" si="58"/>
        <v>1w</v>
      </c>
      <c r="X3114" s="287">
        <f>_xll.qlCalendarAdvance(Calendar,X3113,W3114,"f",FALSE)</f>
        <v>61015</v>
      </c>
      <c r="Y3114" s="281">
        <f>_xll.qlCalendarAdvance(Calendar,X3114,NDays&amp;"D")</f>
        <v>61017</v>
      </c>
      <c r="Z3114" s="282" t="e">
        <v>#N/A</v>
      </c>
      <c r="AA3114" s="284" t="e">
        <v>#N/A</v>
      </c>
    </row>
    <row r="3115" spans="23:27" x14ac:dyDescent="0.2">
      <c r="W3115" s="203" t="str">
        <f t="shared" si="58"/>
        <v>1w</v>
      </c>
      <c r="X3115" s="287">
        <f>_xll.qlCalendarAdvance(Calendar,X3114,W3115,"f",FALSE)</f>
        <v>61022</v>
      </c>
      <c r="Y3115" s="281">
        <f>_xll.qlCalendarAdvance(Calendar,X3115,NDays&amp;"D")</f>
        <v>61024</v>
      </c>
      <c r="Z3115" s="282" t="e">
        <v>#N/A</v>
      </c>
      <c r="AA3115" s="284" t="e">
        <v>#N/A</v>
      </c>
    </row>
    <row r="3116" spans="23:27" x14ac:dyDescent="0.2">
      <c r="W3116" s="203" t="str">
        <f t="shared" si="58"/>
        <v>1w</v>
      </c>
      <c r="X3116" s="287">
        <f>_xll.qlCalendarAdvance(Calendar,X3115,W3116,"f",FALSE)</f>
        <v>61029</v>
      </c>
      <c r="Y3116" s="281">
        <f>_xll.qlCalendarAdvance(Calendar,X3116,NDays&amp;"D")</f>
        <v>61031</v>
      </c>
      <c r="Z3116" s="282" t="e">
        <v>#N/A</v>
      </c>
      <c r="AA3116" s="284" t="e">
        <v>#N/A</v>
      </c>
    </row>
    <row r="3117" spans="23:27" x14ac:dyDescent="0.2">
      <c r="W3117" s="203" t="str">
        <f t="shared" si="58"/>
        <v>1w</v>
      </c>
      <c r="X3117" s="287">
        <f>_xll.qlCalendarAdvance(Calendar,X3116,W3117,"f",FALSE)</f>
        <v>61036</v>
      </c>
      <c r="Y3117" s="281">
        <f>_xll.qlCalendarAdvance(Calendar,X3117,NDays&amp;"D")</f>
        <v>61038</v>
      </c>
      <c r="Z3117" s="282" t="e">
        <v>#N/A</v>
      </c>
      <c r="AA3117" s="284" t="e">
        <v>#N/A</v>
      </c>
    </row>
    <row r="3118" spans="23:27" x14ac:dyDescent="0.2">
      <c r="W3118" s="203" t="str">
        <f t="shared" si="58"/>
        <v>1w</v>
      </c>
      <c r="X3118" s="287">
        <f>_xll.qlCalendarAdvance(Calendar,X3117,W3118,"f",FALSE)</f>
        <v>61043</v>
      </c>
      <c r="Y3118" s="281">
        <f>_xll.qlCalendarAdvance(Calendar,X3118,NDays&amp;"D")</f>
        <v>61045</v>
      </c>
      <c r="Z3118" s="282" t="e">
        <v>#N/A</v>
      </c>
      <c r="AA3118" s="284" t="e">
        <v>#N/A</v>
      </c>
    </row>
    <row r="3119" spans="23:27" x14ac:dyDescent="0.2">
      <c r="W3119" s="203" t="str">
        <f t="shared" si="58"/>
        <v>1w</v>
      </c>
      <c r="X3119" s="287">
        <f>_xll.qlCalendarAdvance(Calendar,X3118,W3119,"f",FALSE)</f>
        <v>61050</v>
      </c>
      <c r="Y3119" s="281">
        <f>_xll.qlCalendarAdvance(Calendar,X3119,NDays&amp;"D")</f>
        <v>61052</v>
      </c>
      <c r="Z3119" s="282" t="e">
        <v>#N/A</v>
      </c>
      <c r="AA3119" s="284" t="e">
        <v>#N/A</v>
      </c>
    </row>
    <row r="3120" spans="23:27" x14ac:dyDescent="0.2">
      <c r="W3120" s="203" t="str">
        <f t="shared" si="58"/>
        <v>1w</v>
      </c>
      <c r="X3120" s="287">
        <f>_xll.qlCalendarAdvance(Calendar,X3119,W3120,"f",FALSE)</f>
        <v>61057</v>
      </c>
      <c r="Y3120" s="281">
        <f>_xll.qlCalendarAdvance(Calendar,X3120,NDays&amp;"D")</f>
        <v>61059</v>
      </c>
      <c r="Z3120" s="282" t="e">
        <v>#N/A</v>
      </c>
      <c r="AA3120" s="284" t="e">
        <v>#N/A</v>
      </c>
    </row>
    <row r="3121" spans="23:27" x14ac:dyDescent="0.2">
      <c r="W3121" s="203" t="str">
        <f t="shared" si="58"/>
        <v>1w</v>
      </c>
      <c r="X3121" s="287">
        <f>_xll.qlCalendarAdvance(Calendar,X3120,W3121,"f",FALSE)</f>
        <v>61064</v>
      </c>
      <c r="Y3121" s="281">
        <f>_xll.qlCalendarAdvance(Calendar,X3121,NDays&amp;"D")</f>
        <v>61066</v>
      </c>
      <c r="Z3121" s="282" t="e">
        <v>#N/A</v>
      </c>
      <c r="AA3121" s="284" t="e">
        <v>#N/A</v>
      </c>
    </row>
    <row r="3122" spans="23:27" x14ac:dyDescent="0.2">
      <c r="W3122" s="203" t="str">
        <f t="shared" si="58"/>
        <v>1w</v>
      </c>
      <c r="X3122" s="287">
        <f>_xll.qlCalendarAdvance(Calendar,X3121,W3122,"f",FALSE)</f>
        <v>61071</v>
      </c>
      <c r="Y3122" s="281">
        <f>_xll.qlCalendarAdvance(Calendar,X3122,NDays&amp;"D")</f>
        <v>61073</v>
      </c>
      <c r="Z3122" s="282" t="e">
        <v>#N/A</v>
      </c>
      <c r="AA3122" s="284" t="e">
        <v>#N/A</v>
      </c>
    </row>
    <row r="3123" spans="23:27" x14ac:dyDescent="0.2">
      <c r="W3123" s="203" t="str">
        <f t="shared" si="58"/>
        <v>1w</v>
      </c>
      <c r="X3123" s="287">
        <f>_xll.qlCalendarAdvance(Calendar,X3122,W3123,"f",FALSE)</f>
        <v>61078</v>
      </c>
      <c r="Y3123" s="281">
        <f>_xll.qlCalendarAdvance(Calendar,X3123,NDays&amp;"D")</f>
        <v>61080</v>
      </c>
      <c r="Z3123" s="282" t="e">
        <v>#N/A</v>
      </c>
      <c r="AA3123" s="284" t="e">
        <v>#N/A</v>
      </c>
    </row>
    <row r="3124" spans="23:27" x14ac:dyDescent="0.2">
      <c r="W3124" s="203" t="str">
        <f t="shared" si="58"/>
        <v>1w</v>
      </c>
      <c r="X3124" s="287">
        <f>_xll.qlCalendarAdvance(Calendar,X3123,W3124,"f",FALSE)</f>
        <v>61085</v>
      </c>
      <c r="Y3124" s="281">
        <f>_xll.qlCalendarAdvance(Calendar,X3124,NDays&amp;"D")</f>
        <v>61087</v>
      </c>
      <c r="Z3124" s="282" t="e">
        <v>#N/A</v>
      </c>
      <c r="AA3124" s="284" t="e">
        <v>#N/A</v>
      </c>
    </row>
    <row r="3125" spans="23:27" x14ac:dyDescent="0.2">
      <c r="W3125" s="203" t="str">
        <f t="shared" si="58"/>
        <v>1w</v>
      </c>
      <c r="X3125" s="287">
        <f>_xll.qlCalendarAdvance(Calendar,X3124,W3125,"f",FALSE)</f>
        <v>61092</v>
      </c>
      <c r="Y3125" s="281">
        <f>_xll.qlCalendarAdvance(Calendar,X3125,NDays&amp;"D")</f>
        <v>61094</v>
      </c>
      <c r="Z3125" s="282" t="e">
        <v>#N/A</v>
      </c>
      <c r="AA3125" s="284" t="e">
        <v>#N/A</v>
      </c>
    </row>
    <row r="3126" spans="23:27" x14ac:dyDescent="0.2">
      <c r="W3126" s="203" t="str">
        <f t="shared" si="58"/>
        <v>1w</v>
      </c>
      <c r="X3126" s="287">
        <f>_xll.qlCalendarAdvance(Calendar,X3125,W3126,"f",FALSE)</f>
        <v>61099</v>
      </c>
      <c r="Y3126" s="281">
        <f>_xll.qlCalendarAdvance(Calendar,X3126,NDays&amp;"D")</f>
        <v>61101</v>
      </c>
      <c r="Z3126" s="282" t="e">
        <v>#N/A</v>
      </c>
      <c r="AA3126" s="284" t="e">
        <v>#N/A</v>
      </c>
    </row>
    <row r="3127" spans="23:27" x14ac:dyDescent="0.2">
      <c r="W3127" s="203" t="str">
        <f t="shared" si="58"/>
        <v>1w</v>
      </c>
      <c r="X3127" s="287">
        <f>_xll.qlCalendarAdvance(Calendar,X3126,W3127,"f",FALSE)</f>
        <v>61106</v>
      </c>
      <c r="Y3127" s="281">
        <f>_xll.qlCalendarAdvance(Calendar,X3127,NDays&amp;"D")</f>
        <v>61108</v>
      </c>
      <c r="Z3127" s="282" t="e">
        <v>#N/A</v>
      </c>
      <c r="AA3127" s="284" t="e">
        <v>#N/A</v>
      </c>
    </row>
    <row r="3128" spans="23:27" x14ac:dyDescent="0.2">
      <c r="W3128" s="203" t="str">
        <f t="shared" si="58"/>
        <v>1w</v>
      </c>
      <c r="X3128" s="287">
        <f>_xll.qlCalendarAdvance(Calendar,X3127,W3128,"f",FALSE)</f>
        <v>61113</v>
      </c>
      <c r="Y3128" s="281">
        <f>_xll.qlCalendarAdvance(Calendar,X3128,NDays&amp;"D")</f>
        <v>61115</v>
      </c>
      <c r="Z3128" s="282" t="e">
        <v>#N/A</v>
      </c>
      <c r="AA3128" s="284" t="e">
        <v>#N/A</v>
      </c>
    </row>
    <row r="3129" spans="23:27" x14ac:dyDescent="0.2">
      <c r="W3129" s="203" t="str">
        <f t="shared" si="58"/>
        <v>1w</v>
      </c>
      <c r="X3129" s="287">
        <f>_xll.qlCalendarAdvance(Calendar,X3128,W3129,"f",FALSE)</f>
        <v>61123</v>
      </c>
      <c r="Y3129" s="281">
        <f>_xll.qlCalendarAdvance(Calendar,X3129,NDays&amp;"D")</f>
        <v>61127</v>
      </c>
      <c r="Z3129" s="282" t="e">
        <v>#N/A</v>
      </c>
      <c r="AA3129" s="284" t="e">
        <v>#N/A</v>
      </c>
    </row>
    <row r="3130" spans="23:27" x14ac:dyDescent="0.2">
      <c r="W3130" s="203" t="str">
        <f t="shared" si="58"/>
        <v>1w</v>
      </c>
      <c r="X3130" s="287">
        <f>_xll.qlCalendarAdvance(Calendar,X3129,W3130,"f",FALSE)</f>
        <v>61130</v>
      </c>
      <c r="Y3130" s="281">
        <f>_xll.qlCalendarAdvance(Calendar,X3130,NDays&amp;"D")</f>
        <v>61134</v>
      </c>
      <c r="Z3130" s="282" t="e">
        <v>#N/A</v>
      </c>
      <c r="AA3130" s="284" t="e">
        <v>#N/A</v>
      </c>
    </row>
    <row r="3131" spans="23:27" x14ac:dyDescent="0.2">
      <c r="W3131" s="203" t="str">
        <f t="shared" si="58"/>
        <v>1w</v>
      </c>
      <c r="X3131" s="287">
        <f>_xll.qlCalendarAdvance(Calendar,X3130,W3131,"f",FALSE)</f>
        <v>61137</v>
      </c>
      <c r="Y3131" s="281">
        <f>_xll.qlCalendarAdvance(Calendar,X3131,NDays&amp;"D")</f>
        <v>61141</v>
      </c>
      <c r="Z3131" s="282" t="e">
        <v>#N/A</v>
      </c>
      <c r="AA3131" s="284" t="e">
        <v>#N/A</v>
      </c>
    </row>
    <row r="3132" spans="23:27" x14ac:dyDescent="0.2">
      <c r="W3132" s="203" t="str">
        <f t="shared" si="58"/>
        <v>1w</v>
      </c>
      <c r="X3132" s="287">
        <f>_xll.qlCalendarAdvance(Calendar,X3131,W3132,"f",FALSE)</f>
        <v>61144</v>
      </c>
      <c r="Y3132" s="281">
        <f>_xll.qlCalendarAdvance(Calendar,X3132,NDays&amp;"D")</f>
        <v>61149</v>
      </c>
      <c r="Z3132" s="282" t="e">
        <v>#N/A</v>
      </c>
      <c r="AA3132" s="284" t="e">
        <v>#N/A</v>
      </c>
    </row>
    <row r="3133" spans="23:27" x14ac:dyDescent="0.2">
      <c r="W3133" s="203" t="str">
        <f t="shared" si="58"/>
        <v>1w</v>
      </c>
      <c r="X3133" s="287">
        <f>_xll.qlCalendarAdvance(Calendar,X3132,W3133,"f",FALSE)</f>
        <v>61151</v>
      </c>
      <c r="Y3133" s="281">
        <f>_xll.qlCalendarAdvance(Calendar,X3133,NDays&amp;"D")</f>
        <v>61155</v>
      </c>
      <c r="Z3133" s="282" t="e">
        <v>#N/A</v>
      </c>
      <c r="AA3133" s="284" t="e">
        <v>#N/A</v>
      </c>
    </row>
    <row r="3134" spans="23:27" x14ac:dyDescent="0.2">
      <c r="W3134" s="203" t="str">
        <f t="shared" si="58"/>
        <v>1w</v>
      </c>
      <c r="X3134" s="287">
        <f>_xll.qlCalendarAdvance(Calendar,X3133,W3134,"f",FALSE)</f>
        <v>61158</v>
      </c>
      <c r="Y3134" s="281">
        <f>_xll.qlCalendarAdvance(Calendar,X3134,NDays&amp;"D")</f>
        <v>61162</v>
      </c>
      <c r="Z3134" s="282" t="e">
        <v>#N/A</v>
      </c>
      <c r="AA3134" s="284" t="e">
        <v>#N/A</v>
      </c>
    </row>
    <row r="3135" spans="23:27" x14ac:dyDescent="0.2">
      <c r="W3135" s="203" t="str">
        <f t="shared" si="58"/>
        <v>1w</v>
      </c>
      <c r="X3135" s="287">
        <f>_xll.qlCalendarAdvance(Calendar,X3134,W3135,"f",FALSE)</f>
        <v>61165</v>
      </c>
      <c r="Y3135" s="281">
        <f>_xll.qlCalendarAdvance(Calendar,X3135,NDays&amp;"D")</f>
        <v>61169</v>
      </c>
      <c r="Z3135" s="282" t="e">
        <v>#N/A</v>
      </c>
      <c r="AA3135" s="284" t="e">
        <v>#N/A</v>
      </c>
    </row>
    <row r="3136" spans="23:27" x14ac:dyDescent="0.2">
      <c r="W3136" s="203" t="str">
        <f t="shared" si="58"/>
        <v>1w</v>
      </c>
      <c r="X3136" s="287">
        <f>_xll.qlCalendarAdvance(Calendar,X3135,W3136,"f",FALSE)</f>
        <v>61172</v>
      </c>
      <c r="Y3136" s="281">
        <f>_xll.qlCalendarAdvance(Calendar,X3136,NDays&amp;"D")</f>
        <v>61176</v>
      </c>
      <c r="Z3136" s="282" t="e">
        <v>#N/A</v>
      </c>
      <c r="AA3136" s="284" t="e">
        <v>#N/A</v>
      </c>
    </row>
    <row r="3137" spans="23:27" x14ac:dyDescent="0.2">
      <c r="W3137" s="203" t="str">
        <f t="shared" si="58"/>
        <v>1w</v>
      </c>
      <c r="X3137" s="287">
        <f>_xll.qlCalendarAdvance(Calendar,X3136,W3137,"f",FALSE)</f>
        <v>61179</v>
      </c>
      <c r="Y3137" s="281">
        <f>_xll.qlCalendarAdvance(Calendar,X3137,NDays&amp;"D")</f>
        <v>61183</v>
      </c>
      <c r="Z3137" s="282" t="e">
        <v>#N/A</v>
      </c>
      <c r="AA3137" s="284" t="e">
        <v>#N/A</v>
      </c>
    </row>
    <row r="3138" spans="23:27" x14ac:dyDescent="0.2">
      <c r="W3138" s="203" t="str">
        <f t="shared" si="58"/>
        <v>1w</v>
      </c>
      <c r="X3138" s="287">
        <f>_xll.qlCalendarAdvance(Calendar,X3137,W3138,"f",FALSE)</f>
        <v>61186</v>
      </c>
      <c r="Y3138" s="281">
        <f>_xll.qlCalendarAdvance(Calendar,X3138,NDays&amp;"D")</f>
        <v>61190</v>
      </c>
      <c r="Z3138" s="282" t="e">
        <v>#N/A</v>
      </c>
      <c r="AA3138" s="284" t="e">
        <v>#N/A</v>
      </c>
    </row>
    <row r="3139" spans="23:27" x14ac:dyDescent="0.2">
      <c r="W3139" s="203" t="str">
        <f t="shared" si="58"/>
        <v>1w</v>
      </c>
      <c r="X3139" s="287">
        <f>_xll.qlCalendarAdvance(Calendar,X3138,W3139,"f",FALSE)</f>
        <v>61193</v>
      </c>
      <c r="Y3139" s="281">
        <f>_xll.qlCalendarAdvance(Calendar,X3139,NDays&amp;"D")</f>
        <v>61198</v>
      </c>
      <c r="Z3139" s="282" t="e">
        <v>#N/A</v>
      </c>
      <c r="AA3139" s="284" t="e">
        <v>#N/A</v>
      </c>
    </row>
    <row r="3140" spans="23:27" x14ac:dyDescent="0.2">
      <c r="W3140" s="203" t="str">
        <f t="shared" si="58"/>
        <v>1w</v>
      </c>
      <c r="X3140" s="287">
        <f>_xll.qlCalendarAdvance(Calendar,X3139,W3140,"f",FALSE)</f>
        <v>61200</v>
      </c>
      <c r="Y3140" s="281">
        <f>_xll.qlCalendarAdvance(Calendar,X3140,NDays&amp;"D")</f>
        <v>61204</v>
      </c>
      <c r="Z3140" s="282" t="e">
        <v>#N/A</v>
      </c>
      <c r="AA3140" s="284" t="e">
        <v>#N/A</v>
      </c>
    </row>
    <row r="3141" spans="23:27" x14ac:dyDescent="0.2">
      <c r="W3141" s="203" t="str">
        <f t="shared" si="58"/>
        <v>1w</v>
      </c>
      <c r="X3141" s="287">
        <f>_xll.qlCalendarAdvance(Calendar,X3140,W3141,"f",FALSE)</f>
        <v>61207</v>
      </c>
      <c r="Y3141" s="281">
        <f>_xll.qlCalendarAdvance(Calendar,X3141,NDays&amp;"D")</f>
        <v>61211</v>
      </c>
      <c r="Z3141" s="282" t="e">
        <v>#N/A</v>
      </c>
      <c r="AA3141" s="284" t="e">
        <v>#N/A</v>
      </c>
    </row>
    <row r="3142" spans="23:27" x14ac:dyDescent="0.2">
      <c r="W3142" s="203" t="str">
        <f t="shared" si="58"/>
        <v>1w</v>
      </c>
      <c r="X3142" s="287">
        <f>_xll.qlCalendarAdvance(Calendar,X3141,W3142,"f",FALSE)</f>
        <v>61214</v>
      </c>
      <c r="Y3142" s="281">
        <f>_xll.qlCalendarAdvance(Calendar,X3142,NDays&amp;"D")</f>
        <v>61218</v>
      </c>
      <c r="Z3142" s="282" t="e">
        <v>#N/A</v>
      </c>
      <c r="AA3142" s="284" t="e">
        <v>#N/A</v>
      </c>
    </row>
    <row r="3143" spans="23:27" x14ac:dyDescent="0.2">
      <c r="W3143" s="203" t="str">
        <f t="shared" si="58"/>
        <v>1w</v>
      </c>
      <c r="X3143" s="287">
        <f>_xll.qlCalendarAdvance(Calendar,X3142,W3143,"f",FALSE)</f>
        <v>61221</v>
      </c>
      <c r="Y3143" s="281">
        <f>_xll.qlCalendarAdvance(Calendar,X3143,NDays&amp;"D")</f>
        <v>61225</v>
      </c>
      <c r="Z3143" s="282" t="e">
        <v>#N/A</v>
      </c>
      <c r="AA3143" s="284" t="e">
        <v>#N/A</v>
      </c>
    </row>
    <row r="3144" spans="23:27" x14ac:dyDescent="0.2">
      <c r="W3144" s="203" t="str">
        <f t="shared" si="58"/>
        <v>1w</v>
      </c>
      <c r="X3144" s="287">
        <f>_xll.qlCalendarAdvance(Calendar,X3143,W3144,"f",FALSE)</f>
        <v>61228</v>
      </c>
      <c r="Y3144" s="281">
        <f>_xll.qlCalendarAdvance(Calendar,X3144,NDays&amp;"D")</f>
        <v>61232</v>
      </c>
      <c r="Z3144" s="282" t="e">
        <v>#N/A</v>
      </c>
      <c r="AA3144" s="284" t="e">
        <v>#N/A</v>
      </c>
    </row>
    <row r="3145" spans="23:27" x14ac:dyDescent="0.2">
      <c r="W3145" s="203" t="str">
        <f t="shared" si="58"/>
        <v>1w</v>
      </c>
      <c r="X3145" s="287">
        <f>_xll.qlCalendarAdvance(Calendar,X3144,W3145,"f",FALSE)</f>
        <v>61235</v>
      </c>
      <c r="Y3145" s="281">
        <f>_xll.qlCalendarAdvance(Calendar,X3145,NDays&amp;"D")</f>
        <v>61240</v>
      </c>
      <c r="Z3145" s="282" t="e">
        <v>#N/A</v>
      </c>
      <c r="AA3145" s="284" t="e">
        <v>#N/A</v>
      </c>
    </row>
    <row r="3146" spans="23:27" x14ac:dyDescent="0.2">
      <c r="W3146" s="203" t="str">
        <f t="shared" si="58"/>
        <v>1w</v>
      </c>
      <c r="X3146" s="287">
        <f>_xll.qlCalendarAdvance(Calendar,X3145,W3146,"f",FALSE)</f>
        <v>61242</v>
      </c>
      <c r="Y3146" s="281">
        <f>_xll.qlCalendarAdvance(Calendar,X3146,NDays&amp;"D")</f>
        <v>61246</v>
      </c>
      <c r="Z3146" s="282" t="e">
        <v>#N/A</v>
      </c>
      <c r="AA3146" s="284" t="e">
        <v>#N/A</v>
      </c>
    </row>
    <row r="3147" spans="23:27" x14ac:dyDescent="0.2">
      <c r="W3147" s="203" t="str">
        <f t="shared" si="58"/>
        <v>1w</v>
      </c>
      <c r="X3147" s="287">
        <f>_xll.qlCalendarAdvance(Calendar,X3146,W3147,"f",FALSE)</f>
        <v>61249</v>
      </c>
      <c r="Y3147" s="281">
        <f>_xll.qlCalendarAdvance(Calendar,X3147,NDays&amp;"D")</f>
        <v>61253</v>
      </c>
      <c r="Z3147" s="282" t="e">
        <v>#N/A</v>
      </c>
      <c r="AA3147" s="284" t="e">
        <v>#N/A</v>
      </c>
    </row>
    <row r="3148" spans="23:27" x14ac:dyDescent="0.2">
      <c r="W3148" s="203" t="str">
        <f t="shared" si="58"/>
        <v>1w</v>
      </c>
      <c r="X3148" s="287">
        <f>_xll.qlCalendarAdvance(Calendar,X3147,W3148,"f",FALSE)</f>
        <v>61256</v>
      </c>
      <c r="Y3148" s="281">
        <f>_xll.qlCalendarAdvance(Calendar,X3148,NDays&amp;"D")</f>
        <v>61261</v>
      </c>
      <c r="Z3148" s="282" t="e">
        <v>#N/A</v>
      </c>
      <c r="AA3148" s="284" t="e">
        <v>#N/A</v>
      </c>
    </row>
    <row r="3149" spans="23:27" x14ac:dyDescent="0.2">
      <c r="W3149" s="203" t="str">
        <f t="shared" si="58"/>
        <v>1w</v>
      </c>
      <c r="X3149" s="287">
        <f>_xll.qlCalendarAdvance(Calendar,X3148,W3149,"f",FALSE)</f>
        <v>61266</v>
      </c>
      <c r="Y3149" s="281">
        <f>_xll.qlCalendarAdvance(Calendar,X3149,NDays&amp;"D")</f>
        <v>61268</v>
      </c>
      <c r="Z3149" s="282" t="e">
        <v>#N/A</v>
      </c>
      <c r="AA3149" s="284" t="e">
        <v>#N/A</v>
      </c>
    </row>
    <row r="3150" spans="23:27" x14ac:dyDescent="0.2">
      <c r="W3150" s="203" t="str">
        <f t="shared" si="58"/>
        <v>1w</v>
      </c>
      <c r="X3150" s="287">
        <f>_xll.qlCalendarAdvance(Calendar,X3149,W3150,"f",FALSE)</f>
        <v>61273</v>
      </c>
      <c r="Y3150" s="281">
        <f>_xll.qlCalendarAdvance(Calendar,X3150,NDays&amp;"D")</f>
        <v>61275</v>
      </c>
      <c r="Z3150" s="282" t="e">
        <v>#N/A</v>
      </c>
      <c r="AA3150" s="284" t="e">
        <v>#N/A</v>
      </c>
    </row>
    <row r="3151" spans="23:27" x14ac:dyDescent="0.2">
      <c r="W3151" s="203" t="str">
        <f t="shared" si="58"/>
        <v>1w</v>
      </c>
      <c r="X3151" s="287">
        <f>_xll.qlCalendarAdvance(Calendar,X3150,W3151,"f",FALSE)</f>
        <v>61281</v>
      </c>
      <c r="Y3151" s="281">
        <f>_xll.qlCalendarAdvance(Calendar,X3151,NDays&amp;"D")</f>
        <v>61283</v>
      </c>
      <c r="Z3151" s="282" t="e">
        <v>#N/A</v>
      </c>
      <c r="AA3151" s="284" t="e">
        <v>#N/A</v>
      </c>
    </row>
    <row r="3152" spans="23:27" x14ac:dyDescent="0.2">
      <c r="W3152" s="203" t="str">
        <f t="shared" si="58"/>
        <v>1w</v>
      </c>
      <c r="X3152" s="287">
        <f>_xll.qlCalendarAdvance(Calendar,X3151,W3152,"f",FALSE)</f>
        <v>61288</v>
      </c>
      <c r="Y3152" s="281">
        <f>_xll.qlCalendarAdvance(Calendar,X3152,NDays&amp;"D")</f>
        <v>61290</v>
      </c>
      <c r="Z3152" s="282" t="e">
        <v>#N/A</v>
      </c>
      <c r="AA3152" s="284" t="e">
        <v>#N/A</v>
      </c>
    </row>
    <row r="3153" spans="23:27" x14ac:dyDescent="0.2">
      <c r="W3153" s="203" t="str">
        <f t="shared" si="58"/>
        <v>1w</v>
      </c>
      <c r="X3153" s="287">
        <f>_xll.qlCalendarAdvance(Calendar,X3152,W3153,"f",FALSE)</f>
        <v>61295</v>
      </c>
      <c r="Y3153" s="281">
        <f>_xll.qlCalendarAdvance(Calendar,X3153,NDays&amp;"D")</f>
        <v>61297</v>
      </c>
      <c r="Z3153" s="282" t="e">
        <v>#N/A</v>
      </c>
      <c r="AA3153" s="284" t="e">
        <v>#N/A</v>
      </c>
    </row>
    <row r="3154" spans="23:27" x14ac:dyDescent="0.2">
      <c r="W3154" s="203" t="str">
        <f t="shared" si="58"/>
        <v>1w</v>
      </c>
      <c r="X3154" s="287">
        <f>_xll.qlCalendarAdvance(Calendar,X3153,W3154,"f",FALSE)</f>
        <v>61302</v>
      </c>
      <c r="Y3154" s="281">
        <f>_xll.qlCalendarAdvance(Calendar,X3154,NDays&amp;"D")</f>
        <v>61305</v>
      </c>
      <c r="Z3154" s="282" t="e">
        <v>#N/A</v>
      </c>
      <c r="AA3154" s="284" t="e">
        <v>#N/A</v>
      </c>
    </row>
    <row r="3155" spans="23:27" x14ac:dyDescent="0.2">
      <c r="W3155" s="203" t="str">
        <f t="shared" si="58"/>
        <v>1w</v>
      </c>
      <c r="X3155" s="287">
        <f>_xll.qlCalendarAdvance(Calendar,X3154,W3155,"f",FALSE)</f>
        <v>61309</v>
      </c>
      <c r="Y3155" s="281">
        <f>_xll.qlCalendarAdvance(Calendar,X3155,NDays&amp;"D")</f>
        <v>61311</v>
      </c>
      <c r="Z3155" s="282" t="e">
        <v>#N/A</v>
      </c>
      <c r="AA3155" s="284" t="e">
        <v>#N/A</v>
      </c>
    </row>
    <row r="3156" spans="23:27" x14ac:dyDescent="0.2">
      <c r="W3156" s="203" t="str">
        <f t="shared" si="58"/>
        <v>1w</v>
      </c>
      <c r="X3156" s="287">
        <f>_xll.qlCalendarAdvance(Calendar,X3155,W3156,"f",FALSE)</f>
        <v>61316</v>
      </c>
      <c r="Y3156" s="281">
        <f>_xll.qlCalendarAdvance(Calendar,X3156,NDays&amp;"D")</f>
        <v>61318</v>
      </c>
      <c r="Z3156" s="282" t="e">
        <v>#N/A</v>
      </c>
      <c r="AA3156" s="284" t="e">
        <v>#N/A</v>
      </c>
    </row>
    <row r="3157" spans="23:27" x14ac:dyDescent="0.2">
      <c r="W3157" s="203" t="str">
        <f t="shared" ref="W3157:W3220" si="59">W3156</f>
        <v>1w</v>
      </c>
      <c r="X3157" s="287">
        <f>_xll.qlCalendarAdvance(Calendar,X3156,W3157,"f",FALSE)</f>
        <v>61323</v>
      </c>
      <c r="Y3157" s="281">
        <f>_xll.qlCalendarAdvance(Calendar,X3157,NDays&amp;"D")</f>
        <v>61326</v>
      </c>
      <c r="Z3157" s="282" t="e">
        <v>#N/A</v>
      </c>
      <c r="AA3157" s="284" t="e">
        <v>#N/A</v>
      </c>
    </row>
    <row r="3158" spans="23:27" x14ac:dyDescent="0.2">
      <c r="W3158" s="203" t="str">
        <f t="shared" si="59"/>
        <v>1w</v>
      </c>
      <c r="X3158" s="287">
        <f>_xll.qlCalendarAdvance(Calendar,X3157,W3158,"f",FALSE)</f>
        <v>61330</v>
      </c>
      <c r="Y3158" s="281">
        <f>_xll.qlCalendarAdvance(Calendar,X3158,NDays&amp;"D")</f>
        <v>61332</v>
      </c>
      <c r="Z3158" s="282" t="e">
        <v>#N/A</v>
      </c>
      <c r="AA3158" s="284" t="e">
        <v>#N/A</v>
      </c>
    </row>
    <row r="3159" spans="23:27" x14ac:dyDescent="0.2">
      <c r="W3159" s="203" t="str">
        <f t="shared" si="59"/>
        <v>1w</v>
      </c>
      <c r="X3159" s="287">
        <f>_xll.qlCalendarAdvance(Calendar,X3158,W3159,"f",FALSE)</f>
        <v>61337</v>
      </c>
      <c r="Y3159" s="281">
        <f>_xll.qlCalendarAdvance(Calendar,X3159,NDays&amp;"D")</f>
        <v>61339</v>
      </c>
      <c r="Z3159" s="282" t="e">
        <v>#N/A</v>
      </c>
      <c r="AA3159" s="284" t="e">
        <v>#N/A</v>
      </c>
    </row>
    <row r="3160" spans="23:27" x14ac:dyDescent="0.2">
      <c r="W3160" s="203" t="str">
        <f t="shared" si="59"/>
        <v>1w</v>
      </c>
      <c r="X3160" s="287">
        <f>_xll.qlCalendarAdvance(Calendar,X3159,W3160,"f",FALSE)</f>
        <v>61344</v>
      </c>
      <c r="Y3160" s="281">
        <f>_xll.qlCalendarAdvance(Calendar,X3160,NDays&amp;"D")</f>
        <v>61346</v>
      </c>
      <c r="Z3160" s="282" t="e">
        <v>#N/A</v>
      </c>
      <c r="AA3160" s="284" t="e">
        <v>#N/A</v>
      </c>
    </row>
    <row r="3161" spans="23:27" x14ac:dyDescent="0.2">
      <c r="W3161" s="203" t="str">
        <f t="shared" si="59"/>
        <v>1w</v>
      </c>
      <c r="X3161" s="287">
        <f>_xll.qlCalendarAdvance(Calendar,X3160,W3161,"f",FALSE)</f>
        <v>61351</v>
      </c>
      <c r="Y3161" s="281">
        <f>_xll.qlCalendarAdvance(Calendar,X3161,NDays&amp;"D")</f>
        <v>61353</v>
      </c>
      <c r="Z3161" s="282" t="e">
        <v>#N/A</v>
      </c>
      <c r="AA3161" s="284" t="e">
        <v>#N/A</v>
      </c>
    </row>
    <row r="3162" spans="23:27" x14ac:dyDescent="0.2">
      <c r="W3162" s="203" t="str">
        <f t="shared" si="59"/>
        <v>1w</v>
      </c>
      <c r="X3162" s="287">
        <f>_xll.qlCalendarAdvance(Calendar,X3161,W3162,"f",FALSE)</f>
        <v>61359</v>
      </c>
      <c r="Y3162" s="281">
        <f>_xll.qlCalendarAdvance(Calendar,X3162,NDays&amp;"D")</f>
        <v>61361</v>
      </c>
      <c r="Z3162" s="282" t="e">
        <v>#N/A</v>
      </c>
      <c r="AA3162" s="284" t="e">
        <v>#N/A</v>
      </c>
    </row>
    <row r="3163" spans="23:27" x14ac:dyDescent="0.2">
      <c r="W3163" s="203" t="str">
        <f t="shared" si="59"/>
        <v>1w</v>
      </c>
      <c r="X3163" s="287">
        <f>_xll.qlCalendarAdvance(Calendar,X3162,W3163,"f",FALSE)</f>
        <v>61366</v>
      </c>
      <c r="Y3163" s="281">
        <f>_xll.qlCalendarAdvance(Calendar,X3163,NDays&amp;"D")</f>
        <v>61368</v>
      </c>
      <c r="Z3163" s="282" t="e">
        <v>#N/A</v>
      </c>
      <c r="AA3163" s="284" t="e">
        <v>#N/A</v>
      </c>
    </row>
    <row r="3164" spans="23:27" x14ac:dyDescent="0.2">
      <c r="W3164" s="203" t="str">
        <f t="shared" si="59"/>
        <v>1w</v>
      </c>
      <c r="X3164" s="287">
        <f>_xll.qlCalendarAdvance(Calendar,X3163,W3164,"f",FALSE)</f>
        <v>61373</v>
      </c>
      <c r="Y3164" s="281">
        <f>_xll.qlCalendarAdvance(Calendar,X3164,NDays&amp;"D")</f>
        <v>61375</v>
      </c>
      <c r="Z3164" s="282" t="e">
        <v>#N/A</v>
      </c>
      <c r="AA3164" s="284" t="e">
        <v>#N/A</v>
      </c>
    </row>
    <row r="3165" spans="23:27" x14ac:dyDescent="0.2">
      <c r="W3165" s="203" t="str">
        <f t="shared" si="59"/>
        <v>1w</v>
      </c>
      <c r="X3165" s="287">
        <f>_xll.qlCalendarAdvance(Calendar,X3164,W3165,"f",FALSE)</f>
        <v>61380</v>
      </c>
      <c r="Y3165" s="281">
        <f>_xll.qlCalendarAdvance(Calendar,X3165,NDays&amp;"D")</f>
        <v>61382</v>
      </c>
      <c r="Z3165" s="282" t="e">
        <v>#N/A</v>
      </c>
      <c r="AA3165" s="284" t="e">
        <v>#N/A</v>
      </c>
    </row>
    <row r="3166" spans="23:27" x14ac:dyDescent="0.2">
      <c r="W3166" s="203" t="str">
        <f t="shared" si="59"/>
        <v>1w</v>
      </c>
      <c r="X3166" s="287">
        <f>_xll.qlCalendarAdvance(Calendar,X3165,W3166,"f",FALSE)</f>
        <v>61387</v>
      </c>
      <c r="Y3166" s="281">
        <f>_xll.qlCalendarAdvance(Calendar,X3166,NDays&amp;"D")</f>
        <v>61389</v>
      </c>
      <c r="Z3166" s="282" t="e">
        <v>#N/A</v>
      </c>
      <c r="AA3166" s="284" t="e">
        <v>#N/A</v>
      </c>
    </row>
    <row r="3167" spans="23:27" x14ac:dyDescent="0.2">
      <c r="W3167" s="203" t="str">
        <f t="shared" si="59"/>
        <v>1w</v>
      </c>
      <c r="X3167" s="287">
        <f>_xll.qlCalendarAdvance(Calendar,X3166,W3167,"f",FALSE)</f>
        <v>61394</v>
      </c>
      <c r="Y3167" s="281">
        <f>_xll.qlCalendarAdvance(Calendar,X3167,NDays&amp;"D")</f>
        <v>61396</v>
      </c>
      <c r="Z3167" s="282" t="e">
        <v>#N/A</v>
      </c>
      <c r="AA3167" s="284" t="e">
        <v>#N/A</v>
      </c>
    </row>
    <row r="3168" spans="23:27" x14ac:dyDescent="0.2">
      <c r="W3168" s="203" t="str">
        <f t="shared" si="59"/>
        <v>1w</v>
      </c>
      <c r="X3168" s="287">
        <f>_xll.qlCalendarAdvance(Calendar,X3167,W3168,"f",FALSE)</f>
        <v>61401</v>
      </c>
      <c r="Y3168" s="281">
        <f>_xll.qlCalendarAdvance(Calendar,X3168,NDays&amp;"D")</f>
        <v>61403</v>
      </c>
      <c r="Z3168" s="282" t="e">
        <v>#N/A</v>
      </c>
      <c r="AA3168" s="284" t="e">
        <v>#N/A</v>
      </c>
    </row>
    <row r="3169" spans="23:27" x14ac:dyDescent="0.2">
      <c r="W3169" s="203" t="str">
        <f t="shared" si="59"/>
        <v>1w</v>
      </c>
      <c r="X3169" s="287">
        <f>_xll.qlCalendarAdvance(Calendar,X3168,W3169,"f",FALSE)</f>
        <v>61408</v>
      </c>
      <c r="Y3169" s="281">
        <f>_xll.qlCalendarAdvance(Calendar,X3169,NDays&amp;"D")</f>
        <v>61410</v>
      </c>
      <c r="Z3169" s="282" t="e">
        <v>#N/A</v>
      </c>
      <c r="AA3169" s="284" t="e">
        <v>#N/A</v>
      </c>
    </row>
    <row r="3170" spans="23:27" x14ac:dyDescent="0.2">
      <c r="W3170" s="203" t="str">
        <f t="shared" si="59"/>
        <v>1w</v>
      </c>
      <c r="X3170" s="287">
        <f>_xll.qlCalendarAdvance(Calendar,X3169,W3170,"f",FALSE)</f>
        <v>61415</v>
      </c>
      <c r="Y3170" s="281">
        <f>_xll.qlCalendarAdvance(Calendar,X3170,NDays&amp;"D")</f>
        <v>61417</v>
      </c>
      <c r="Z3170" s="282" t="e">
        <v>#N/A</v>
      </c>
      <c r="AA3170" s="284" t="e">
        <v>#N/A</v>
      </c>
    </row>
    <row r="3171" spans="23:27" x14ac:dyDescent="0.2">
      <c r="W3171" s="203" t="str">
        <f t="shared" si="59"/>
        <v>1w</v>
      </c>
      <c r="X3171" s="287">
        <f>_xll.qlCalendarAdvance(Calendar,X3170,W3171,"f",FALSE)</f>
        <v>61422</v>
      </c>
      <c r="Y3171" s="281">
        <f>_xll.qlCalendarAdvance(Calendar,X3171,NDays&amp;"D")</f>
        <v>61424</v>
      </c>
      <c r="Z3171" s="282" t="e">
        <v>#N/A</v>
      </c>
      <c r="AA3171" s="284" t="e">
        <v>#N/A</v>
      </c>
    </row>
    <row r="3172" spans="23:27" x14ac:dyDescent="0.2">
      <c r="W3172" s="203" t="str">
        <f t="shared" si="59"/>
        <v>1w</v>
      </c>
      <c r="X3172" s="287">
        <f>_xll.qlCalendarAdvance(Calendar,X3171,W3172,"f",FALSE)</f>
        <v>61429</v>
      </c>
      <c r="Y3172" s="281">
        <f>_xll.qlCalendarAdvance(Calendar,X3172,NDays&amp;"D")</f>
        <v>61431</v>
      </c>
      <c r="Z3172" s="282" t="e">
        <v>#N/A</v>
      </c>
      <c r="AA3172" s="284" t="e">
        <v>#N/A</v>
      </c>
    </row>
    <row r="3173" spans="23:27" x14ac:dyDescent="0.2">
      <c r="W3173" s="203" t="str">
        <f t="shared" si="59"/>
        <v>1w</v>
      </c>
      <c r="X3173" s="287">
        <f>_xll.qlCalendarAdvance(Calendar,X3172,W3173,"f",FALSE)</f>
        <v>61436</v>
      </c>
      <c r="Y3173" s="281">
        <f>_xll.qlCalendarAdvance(Calendar,X3173,NDays&amp;"D")</f>
        <v>61438</v>
      </c>
      <c r="Z3173" s="282" t="e">
        <v>#N/A</v>
      </c>
      <c r="AA3173" s="284" t="e">
        <v>#N/A</v>
      </c>
    </row>
    <row r="3174" spans="23:27" x14ac:dyDescent="0.2">
      <c r="W3174" s="203" t="str">
        <f t="shared" si="59"/>
        <v>1w</v>
      </c>
      <c r="X3174" s="287">
        <f>_xll.qlCalendarAdvance(Calendar,X3173,W3174,"f",FALSE)</f>
        <v>61443</v>
      </c>
      <c r="Y3174" s="281">
        <f>_xll.qlCalendarAdvance(Calendar,X3174,NDays&amp;"D")</f>
        <v>61445</v>
      </c>
      <c r="Z3174" s="282" t="e">
        <v>#N/A</v>
      </c>
      <c r="AA3174" s="284" t="e">
        <v>#N/A</v>
      </c>
    </row>
    <row r="3175" spans="23:27" x14ac:dyDescent="0.2">
      <c r="W3175" s="203" t="str">
        <f t="shared" si="59"/>
        <v>1w</v>
      </c>
      <c r="X3175" s="287">
        <f>_xll.qlCalendarAdvance(Calendar,X3174,W3175,"f",FALSE)</f>
        <v>61450</v>
      </c>
      <c r="Y3175" s="281">
        <f>_xll.qlCalendarAdvance(Calendar,X3175,NDays&amp;"D")</f>
        <v>61452</v>
      </c>
      <c r="Z3175" s="282" t="e">
        <v>#N/A</v>
      </c>
      <c r="AA3175" s="284" t="e">
        <v>#N/A</v>
      </c>
    </row>
    <row r="3176" spans="23:27" x14ac:dyDescent="0.2">
      <c r="W3176" s="203" t="str">
        <f t="shared" si="59"/>
        <v>1w</v>
      </c>
      <c r="X3176" s="287">
        <f>_xll.qlCalendarAdvance(Calendar,X3175,W3176,"f",FALSE)</f>
        <v>61457</v>
      </c>
      <c r="Y3176" s="281">
        <f>_xll.qlCalendarAdvance(Calendar,X3176,NDays&amp;"D")</f>
        <v>61459</v>
      </c>
      <c r="Z3176" s="282" t="e">
        <v>#N/A</v>
      </c>
      <c r="AA3176" s="284" t="e">
        <v>#N/A</v>
      </c>
    </row>
    <row r="3177" spans="23:27" x14ac:dyDescent="0.2">
      <c r="W3177" s="203" t="str">
        <f t="shared" si="59"/>
        <v>1w</v>
      </c>
      <c r="X3177" s="287">
        <f>_xll.qlCalendarAdvance(Calendar,X3176,W3177,"f",FALSE)</f>
        <v>61464</v>
      </c>
      <c r="Y3177" s="281">
        <f>_xll.qlCalendarAdvance(Calendar,X3177,NDays&amp;"D")</f>
        <v>61466</v>
      </c>
      <c r="Z3177" s="282" t="e">
        <v>#N/A</v>
      </c>
      <c r="AA3177" s="284" t="e">
        <v>#N/A</v>
      </c>
    </row>
    <row r="3178" spans="23:27" x14ac:dyDescent="0.2">
      <c r="W3178" s="203" t="str">
        <f t="shared" si="59"/>
        <v>1w</v>
      </c>
      <c r="X3178" s="287">
        <f>_xll.qlCalendarAdvance(Calendar,X3177,W3178,"f",FALSE)</f>
        <v>61471</v>
      </c>
      <c r="Y3178" s="281">
        <f>_xll.qlCalendarAdvance(Calendar,X3178,NDays&amp;"D")</f>
        <v>61477</v>
      </c>
      <c r="Z3178" s="282" t="e">
        <v>#N/A</v>
      </c>
      <c r="AA3178" s="284" t="e">
        <v>#N/A</v>
      </c>
    </row>
    <row r="3179" spans="23:27" x14ac:dyDescent="0.2">
      <c r="W3179" s="203" t="str">
        <f t="shared" si="59"/>
        <v>1w</v>
      </c>
      <c r="X3179" s="287">
        <f>_xll.qlCalendarAdvance(Calendar,X3178,W3179,"f",FALSE)</f>
        <v>61478</v>
      </c>
      <c r="Y3179" s="281">
        <f>_xll.qlCalendarAdvance(Calendar,X3179,NDays&amp;"D")</f>
        <v>61480</v>
      </c>
      <c r="Z3179" s="282" t="e">
        <v>#N/A</v>
      </c>
      <c r="AA3179" s="284" t="e">
        <v>#N/A</v>
      </c>
    </row>
    <row r="3180" spans="23:27" x14ac:dyDescent="0.2">
      <c r="W3180" s="203" t="str">
        <f t="shared" si="59"/>
        <v>1w</v>
      </c>
      <c r="X3180" s="287">
        <f>_xll.qlCalendarAdvance(Calendar,X3179,W3180,"f",FALSE)</f>
        <v>61485</v>
      </c>
      <c r="Y3180" s="281">
        <f>_xll.qlCalendarAdvance(Calendar,X3180,NDays&amp;"D")</f>
        <v>61492</v>
      </c>
      <c r="Z3180" s="282" t="e">
        <v>#N/A</v>
      </c>
      <c r="AA3180" s="284" t="e">
        <v>#N/A</v>
      </c>
    </row>
    <row r="3181" spans="23:27" x14ac:dyDescent="0.2">
      <c r="W3181" s="203" t="str">
        <f t="shared" si="59"/>
        <v>1w</v>
      </c>
      <c r="X3181" s="287">
        <f>_xll.qlCalendarAdvance(Calendar,X3180,W3181,"f",FALSE)</f>
        <v>61492</v>
      </c>
      <c r="Y3181" s="281">
        <f>_xll.qlCalendarAdvance(Calendar,X3181,NDays&amp;"D")</f>
        <v>61494</v>
      </c>
      <c r="Z3181" s="282" t="e">
        <v>#N/A</v>
      </c>
      <c r="AA3181" s="284" t="e">
        <v>#N/A</v>
      </c>
    </row>
    <row r="3182" spans="23:27" x14ac:dyDescent="0.2">
      <c r="W3182" s="203" t="str">
        <f t="shared" si="59"/>
        <v>1w</v>
      </c>
      <c r="X3182" s="287">
        <f>_xll.qlCalendarAdvance(Calendar,X3181,W3182,"f",FALSE)</f>
        <v>61499</v>
      </c>
      <c r="Y3182" s="281">
        <f>_xll.qlCalendarAdvance(Calendar,X3182,NDays&amp;"D")</f>
        <v>61501</v>
      </c>
      <c r="Z3182" s="282" t="e">
        <v>#N/A</v>
      </c>
      <c r="AA3182" s="284" t="e">
        <v>#N/A</v>
      </c>
    </row>
    <row r="3183" spans="23:27" x14ac:dyDescent="0.2">
      <c r="W3183" s="203" t="str">
        <f t="shared" si="59"/>
        <v>1w</v>
      </c>
      <c r="X3183" s="287">
        <f>_xll.qlCalendarAdvance(Calendar,X3182,W3183,"f",FALSE)</f>
        <v>61506</v>
      </c>
      <c r="Y3183" s="281">
        <f>_xll.qlCalendarAdvance(Calendar,X3183,NDays&amp;"D")</f>
        <v>61508</v>
      </c>
      <c r="Z3183" s="282" t="e">
        <v>#N/A</v>
      </c>
      <c r="AA3183" s="284" t="e">
        <v>#N/A</v>
      </c>
    </row>
    <row r="3184" spans="23:27" x14ac:dyDescent="0.2">
      <c r="W3184" s="203" t="str">
        <f t="shared" si="59"/>
        <v>1w</v>
      </c>
      <c r="X3184" s="287">
        <f>_xll.qlCalendarAdvance(Calendar,X3183,W3184,"f",FALSE)</f>
        <v>61513</v>
      </c>
      <c r="Y3184" s="281">
        <f>_xll.qlCalendarAdvance(Calendar,X3184,NDays&amp;"D")</f>
        <v>61515</v>
      </c>
      <c r="Z3184" s="282" t="e">
        <v>#N/A</v>
      </c>
      <c r="AA3184" s="284" t="e">
        <v>#N/A</v>
      </c>
    </row>
    <row r="3185" spans="23:27" x14ac:dyDescent="0.2">
      <c r="W3185" s="203" t="str">
        <f t="shared" si="59"/>
        <v>1w</v>
      </c>
      <c r="X3185" s="287">
        <f>_xll.qlCalendarAdvance(Calendar,X3184,W3185,"f",FALSE)</f>
        <v>61520</v>
      </c>
      <c r="Y3185" s="281">
        <f>_xll.qlCalendarAdvance(Calendar,X3185,NDays&amp;"D")</f>
        <v>61522</v>
      </c>
      <c r="Z3185" s="282" t="e">
        <v>#N/A</v>
      </c>
      <c r="AA3185" s="284" t="e">
        <v>#N/A</v>
      </c>
    </row>
    <row r="3186" spans="23:27" x14ac:dyDescent="0.2">
      <c r="W3186" s="203" t="str">
        <f t="shared" si="59"/>
        <v>1w</v>
      </c>
      <c r="X3186" s="287">
        <f>_xll.qlCalendarAdvance(Calendar,X3185,W3186,"f",FALSE)</f>
        <v>61527</v>
      </c>
      <c r="Y3186" s="281">
        <f>_xll.qlCalendarAdvance(Calendar,X3186,NDays&amp;"D")</f>
        <v>61529</v>
      </c>
      <c r="Z3186" s="282" t="e">
        <v>#N/A</v>
      </c>
      <c r="AA3186" s="284" t="e">
        <v>#N/A</v>
      </c>
    </row>
    <row r="3187" spans="23:27" x14ac:dyDescent="0.2">
      <c r="W3187" s="203" t="str">
        <f t="shared" si="59"/>
        <v>1w</v>
      </c>
      <c r="X3187" s="287">
        <f>_xll.qlCalendarAdvance(Calendar,X3186,W3187,"f",FALSE)</f>
        <v>61534</v>
      </c>
      <c r="Y3187" s="281">
        <f>_xll.qlCalendarAdvance(Calendar,X3187,NDays&amp;"D")</f>
        <v>61536</v>
      </c>
      <c r="Z3187" s="282" t="e">
        <v>#N/A</v>
      </c>
      <c r="AA3187" s="284" t="e">
        <v>#N/A</v>
      </c>
    </row>
    <row r="3188" spans="23:27" x14ac:dyDescent="0.2">
      <c r="W3188" s="203" t="str">
        <f t="shared" si="59"/>
        <v>1w</v>
      </c>
      <c r="X3188" s="287">
        <f>_xll.qlCalendarAdvance(Calendar,X3187,W3188,"f",FALSE)</f>
        <v>61541</v>
      </c>
      <c r="Y3188" s="281">
        <f>_xll.qlCalendarAdvance(Calendar,X3188,NDays&amp;"D")</f>
        <v>61543</v>
      </c>
      <c r="Z3188" s="282" t="e">
        <v>#N/A</v>
      </c>
      <c r="AA3188" s="284" t="e">
        <v>#N/A</v>
      </c>
    </row>
    <row r="3189" spans="23:27" x14ac:dyDescent="0.2">
      <c r="W3189" s="203" t="str">
        <f t="shared" si="59"/>
        <v>1w</v>
      </c>
      <c r="X3189" s="287">
        <f>_xll.qlCalendarAdvance(Calendar,X3188,W3189,"f",FALSE)</f>
        <v>61548</v>
      </c>
      <c r="Y3189" s="281">
        <f>_xll.qlCalendarAdvance(Calendar,X3189,NDays&amp;"D")</f>
        <v>61550</v>
      </c>
      <c r="Z3189" s="282" t="e">
        <v>#N/A</v>
      </c>
      <c r="AA3189" s="284" t="e">
        <v>#N/A</v>
      </c>
    </row>
    <row r="3190" spans="23:27" x14ac:dyDescent="0.2">
      <c r="W3190" s="203" t="str">
        <f t="shared" si="59"/>
        <v>1w</v>
      </c>
      <c r="X3190" s="287">
        <f>_xll.qlCalendarAdvance(Calendar,X3189,W3190,"f",FALSE)</f>
        <v>61555</v>
      </c>
      <c r="Y3190" s="281">
        <f>_xll.qlCalendarAdvance(Calendar,X3190,NDays&amp;"D")</f>
        <v>61557</v>
      </c>
      <c r="Z3190" s="282" t="e">
        <v>#N/A</v>
      </c>
      <c r="AA3190" s="284" t="e">
        <v>#N/A</v>
      </c>
    </row>
    <row r="3191" spans="23:27" x14ac:dyDescent="0.2">
      <c r="W3191" s="203" t="str">
        <f t="shared" si="59"/>
        <v>1w</v>
      </c>
      <c r="X3191" s="287">
        <f>_xll.qlCalendarAdvance(Calendar,X3190,W3191,"f",FALSE)</f>
        <v>61562</v>
      </c>
      <c r="Y3191" s="281">
        <f>_xll.qlCalendarAdvance(Calendar,X3191,NDays&amp;"D")</f>
        <v>61564</v>
      </c>
      <c r="Z3191" s="282" t="e">
        <v>#N/A</v>
      </c>
      <c r="AA3191" s="284" t="e">
        <v>#N/A</v>
      </c>
    </row>
    <row r="3192" spans="23:27" x14ac:dyDescent="0.2">
      <c r="W3192" s="203" t="str">
        <f t="shared" si="59"/>
        <v>1w</v>
      </c>
      <c r="X3192" s="287">
        <f>_xll.qlCalendarAdvance(Calendar,X3191,W3192,"f",FALSE)</f>
        <v>61569</v>
      </c>
      <c r="Y3192" s="281">
        <f>_xll.qlCalendarAdvance(Calendar,X3192,NDays&amp;"D")</f>
        <v>61571</v>
      </c>
      <c r="Z3192" s="282" t="e">
        <v>#N/A</v>
      </c>
      <c r="AA3192" s="284" t="e">
        <v>#N/A</v>
      </c>
    </row>
    <row r="3193" spans="23:27" x14ac:dyDescent="0.2">
      <c r="W3193" s="203" t="str">
        <f t="shared" si="59"/>
        <v>1w</v>
      </c>
      <c r="X3193" s="287">
        <f>_xll.qlCalendarAdvance(Calendar,X3192,W3193,"f",FALSE)</f>
        <v>61576</v>
      </c>
      <c r="Y3193" s="281">
        <f>_xll.qlCalendarAdvance(Calendar,X3193,NDays&amp;"D")</f>
        <v>61578</v>
      </c>
      <c r="Z3193" s="282" t="e">
        <v>#N/A</v>
      </c>
      <c r="AA3193" s="284" t="e">
        <v>#N/A</v>
      </c>
    </row>
    <row r="3194" spans="23:27" x14ac:dyDescent="0.2">
      <c r="W3194" s="203" t="str">
        <f t="shared" si="59"/>
        <v>1w</v>
      </c>
      <c r="X3194" s="287">
        <f>_xll.qlCalendarAdvance(Calendar,X3193,W3194,"f",FALSE)</f>
        <v>61583</v>
      </c>
      <c r="Y3194" s="281">
        <f>_xll.qlCalendarAdvance(Calendar,X3194,NDays&amp;"D")</f>
        <v>61585</v>
      </c>
      <c r="Z3194" s="282" t="e">
        <v>#N/A</v>
      </c>
      <c r="AA3194" s="284" t="e">
        <v>#N/A</v>
      </c>
    </row>
    <row r="3195" spans="23:27" x14ac:dyDescent="0.2">
      <c r="W3195" s="203" t="str">
        <f t="shared" si="59"/>
        <v>1w</v>
      </c>
      <c r="X3195" s="287">
        <f>_xll.qlCalendarAdvance(Calendar,X3194,W3195,"f",FALSE)</f>
        <v>61590</v>
      </c>
      <c r="Y3195" s="281">
        <f>_xll.qlCalendarAdvance(Calendar,X3195,NDays&amp;"D")</f>
        <v>61592</v>
      </c>
      <c r="Z3195" s="282" t="e">
        <v>#N/A</v>
      </c>
      <c r="AA3195" s="284" t="e">
        <v>#N/A</v>
      </c>
    </row>
    <row r="3196" spans="23:27" x14ac:dyDescent="0.2">
      <c r="W3196" s="203" t="str">
        <f t="shared" si="59"/>
        <v>1w</v>
      </c>
      <c r="X3196" s="287">
        <f>_xll.qlCalendarAdvance(Calendar,X3195,W3196,"f",FALSE)</f>
        <v>61597</v>
      </c>
      <c r="Y3196" s="281">
        <f>_xll.qlCalendarAdvance(Calendar,X3196,NDays&amp;"D")</f>
        <v>61599</v>
      </c>
      <c r="Z3196" s="282" t="e">
        <v>#N/A</v>
      </c>
      <c r="AA3196" s="284" t="e">
        <v>#N/A</v>
      </c>
    </row>
    <row r="3197" spans="23:27" x14ac:dyDescent="0.2">
      <c r="W3197" s="203" t="str">
        <f t="shared" si="59"/>
        <v>1w</v>
      </c>
      <c r="X3197" s="287">
        <f>_xll.qlCalendarAdvance(Calendar,X3196,W3197,"f",FALSE)</f>
        <v>61604</v>
      </c>
      <c r="Y3197" s="281">
        <f>_xll.qlCalendarAdvance(Calendar,X3197,NDays&amp;"D")</f>
        <v>61606</v>
      </c>
      <c r="Z3197" s="282" t="e">
        <v>#N/A</v>
      </c>
      <c r="AA3197" s="284" t="e">
        <v>#N/A</v>
      </c>
    </row>
    <row r="3198" spans="23:27" x14ac:dyDescent="0.2">
      <c r="W3198" s="203" t="str">
        <f t="shared" si="59"/>
        <v>1w</v>
      </c>
      <c r="X3198" s="287">
        <f>_xll.qlCalendarAdvance(Calendar,X3197,W3198,"f",FALSE)</f>
        <v>61611</v>
      </c>
      <c r="Y3198" s="281">
        <f>_xll.qlCalendarAdvance(Calendar,X3198,NDays&amp;"D")</f>
        <v>61613</v>
      </c>
      <c r="Z3198" s="282" t="e">
        <v>#N/A</v>
      </c>
      <c r="AA3198" s="284" t="e">
        <v>#N/A</v>
      </c>
    </row>
    <row r="3199" spans="23:27" x14ac:dyDescent="0.2">
      <c r="W3199" s="203" t="str">
        <f t="shared" si="59"/>
        <v>1w</v>
      </c>
      <c r="X3199" s="287">
        <f>_xll.qlCalendarAdvance(Calendar,X3198,W3199,"f",FALSE)</f>
        <v>61618</v>
      </c>
      <c r="Y3199" s="281">
        <f>_xll.qlCalendarAdvance(Calendar,X3199,NDays&amp;"D")</f>
        <v>61620</v>
      </c>
      <c r="Z3199" s="282" t="e">
        <v>#N/A</v>
      </c>
      <c r="AA3199" s="284" t="e">
        <v>#N/A</v>
      </c>
    </row>
    <row r="3200" spans="23:27" x14ac:dyDescent="0.2">
      <c r="W3200" s="203" t="str">
        <f t="shared" si="59"/>
        <v>1w</v>
      </c>
      <c r="X3200" s="287">
        <f>_xll.qlCalendarAdvance(Calendar,X3199,W3200,"f",FALSE)</f>
        <v>61625</v>
      </c>
      <c r="Y3200" s="281">
        <f>_xll.qlCalendarAdvance(Calendar,X3200,NDays&amp;"D")</f>
        <v>61627</v>
      </c>
      <c r="Z3200" s="282" t="e">
        <v>#N/A</v>
      </c>
      <c r="AA3200" s="284" t="e">
        <v>#N/A</v>
      </c>
    </row>
    <row r="3201" spans="23:27" x14ac:dyDescent="0.2">
      <c r="W3201" s="203" t="str">
        <f t="shared" si="59"/>
        <v>1w</v>
      </c>
      <c r="X3201" s="287">
        <f>_xll.qlCalendarAdvance(Calendar,X3200,W3201,"f",FALSE)</f>
        <v>61632</v>
      </c>
      <c r="Y3201" s="281">
        <f>_xll.qlCalendarAdvance(Calendar,X3201,NDays&amp;"D")</f>
        <v>61634</v>
      </c>
      <c r="Z3201" s="282" t="e">
        <v>#N/A</v>
      </c>
      <c r="AA3201" s="284" t="e">
        <v>#N/A</v>
      </c>
    </row>
    <row r="3202" spans="23:27" x14ac:dyDescent="0.2">
      <c r="W3202" s="203" t="str">
        <f t="shared" si="59"/>
        <v>1w</v>
      </c>
      <c r="X3202" s="287">
        <f>_xll.qlCalendarAdvance(Calendar,X3201,W3202,"f",FALSE)</f>
        <v>61639</v>
      </c>
      <c r="Y3202" s="281">
        <f>_xll.qlCalendarAdvance(Calendar,X3202,NDays&amp;"D")</f>
        <v>61641</v>
      </c>
      <c r="Z3202" s="282" t="e">
        <v>#N/A</v>
      </c>
      <c r="AA3202" s="284" t="e">
        <v>#N/A</v>
      </c>
    </row>
    <row r="3203" spans="23:27" x14ac:dyDescent="0.2">
      <c r="W3203" s="203" t="str">
        <f t="shared" si="59"/>
        <v>1w</v>
      </c>
      <c r="X3203" s="287">
        <f>_xll.qlCalendarAdvance(Calendar,X3202,W3203,"f",FALSE)</f>
        <v>61646</v>
      </c>
      <c r="Y3203" s="281">
        <f>_xll.qlCalendarAdvance(Calendar,X3203,NDays&amp;"D")</f>
        <v>61648</v>
      </c>
      <c r="Z3203" s="282" t="e">
        <v>#N/A</v>
      </c>
      <c r="AA3203" s="284" t="e">
        <v>#N/A</v>
      </c>
    </row>
    <row r="3204" spans="23:27" x14ac:dyDescent="0.2">
      <c r="W3204" s="203" t="str">
        <f t="shared" si="59"/>
        <v>1w</v>
      </c>
      <c r="X3204" s="287">
        <f>_xll.qlCalendarAdvance(Calendar,X3203,W3204,"f",FALSE)</f>
        <v>61653</v>
      </c>
      <c r="Y3204" s="281">
        <f>_xll.qlCalendarAdvance(Calendar,X3204,NDays&amp;"D")</f>
        <v>61655</v>
      </c>
      <c r="Z3204" s="282" t="e">
        <v>#N/A</v>
      </c>
      <c r="AA3204" s="284" t="e">
        <v>#N/A</v>
      </c>
    </row>
    <row r="3205" spans="23:27" x14ac:dyDescent="0.2">
      <c r="W3205" s="203" t="str">
        <f t="shared" si="59"/>
        <v>1w</v>
      </c>
      <c r="X3205" s="287">
        <f>_xll.qlCalendarAdvance(Calendar,X3204,W3205,"f",FALSE)</f>
        <v>61660</v>
      </c>
      <c r="Y3205" s="281">
        <f>_xll.qlCalendarAdvance(Calendar,X3205,NDays&amp;"D")</f>
        <v>61662</v>
      </c>
      <c r="Z3205" s="282" t="e">
        <v>#N/A</v>
      </c>
      <c r="AA3205" s="284" t="e">
        <v>#N/A</v>
      </c>
    </row>
    <row r="3206" spans="23:27" x14ac:dyDescent="0.2">
      <c r="W3206" s="203" t="str">
        <f t="shared" si="59"/>
        <v>1w</v>
      </c>
      <c r="X3206" s="287">
        <f>_xll.qlCalendarAdvance(Calendar,X3205,W3206,"f",FALSE)</f>
        <v>61667</v>
      </c>
      <c r="Y3206" s="281">
        <f>_xll.qlCalendarAdvance(Calendar,X3206,NDays&amp;"D")</f>
        <v>61669</v>
      </c>
      <c r="Z3206" s="282" t="e">
        <v>#N/A</v>
      </c>
      <c r="AA3206" s="284" t="e">
        <v>#N/A</v>
      </c>
    </row>
    <row r="3207" spans="23:27" x14ac:dyDescent="0.2">
      <c r="W3207" s="203" t="str">
        <f t="shared" si="59"/>
        <v>1w</v>
      </c>
      <c r="X3207" s="287">
        <f>_xll.qlCalendarAdvance(Calendar,X3206,W3207,"f",FALSE)</f>
        <v>61674</v>
      </c>
      <c r="Y3207" s="281">
        <f>_xll.qlCalendarAdvance(Calendar,X3207,NDays&amp;"D")</f>
        <v>61676</v>
      </c>
      <c r="Z3207" s="282" t="e">
        <v>#N/A</v>
      </c>
      <c r="AA3207" s="284" t="e">
        <v>#N/A</v>
      </c>
    </row>
    <row r="3208" spans="23:27" x14ac:dyDescent="0.2">
      <c r="W3208" s="203" t="str">
        <f t="shared" si="59"/>
        <v>1w</v>
      </c>
      <c r="X3208" s="287">
        <f>_xll.qlCalendarAdvance(Calendar,X3207,W3208,"f",FALSE)</f>
        <v>61681</v>
      </c>
      <c r="Y3208" s="281">
        <f>_xll.qlCalendarAdvance(Calendar,X3208,NDays&amp;"D")</f>
        <v>61683</v>
      </c>
      <c r="Z3208" s="282" t="e">
        <v>#N/A</v>
      </c>
      <c r="AA3208" s="284" t="e">
        <v>#N/A</v>
      </c>
    </row>
    <row r="3209" spans="23:27" x14ac:dyDescent="0.2">
      <c r="W3209" s="203" t="str">
        <f t="shared" si="59"/>
        <v>1w</v>
      </c>
      <c r="X3209" s="287">
        <f>_xll.qlCalendarAdvance(Calendar,X3208,W3209,"f",FALSE)</f>
        <v>61688</v>
      </c>
      <c r="Y3209" s="281">
        <f>_xll.qlCalendarAdvance(Calendar,X3209,NDays&amp;"D")</f>
        <v>61693</v>
      </c>
      <c r="Z3209" s="282" t="e">
        <v>#N/A</v>
      </c>
      <c r="AA3209" s="284" t="e">
        <v>#N/A</v>
      </c>
    </row>
    <row r="3210" spans="23:27" x14ac:dyDescent="0.2">
      <c r="W3210" s="203" t="str">
        <f t="shared" si="59"/>
        <v>1w</v>
      </c>
      <c r="X3210" s="287">
        <f>_xll.qlCalendarAdvance(Calendar,X3209,W3210,"f",FALSE)</f>
        <v>61695</v>
      </c>
      <c r="Y3210" s="281">
        <f>_xll.qlCalendarAdvance(Calendar,X3210,NDays&amp;"D")</f>
        <v>61697</v>
      </c>
      <c r="Z3210" s="282" t="e">
        <v>#N/A</v>
      </c>
      <c r="AA3210" s="284" t="e">
        <v>#N/A</v>
      </c>
    </row>
    <row r="3211" spans="23:27" x14ac:dyDescent="0.2">
      <c r="W3211" s="203" t="str">
        <f t="shared" si="59"/>
        <v>1w</v>
      </c>
      <c r="X3211" s="287">
        <f>_xll.qlCalendarAdvance(Calendar,X3210,W3211,"f",FALSE)</f>
        <v>61702</v>
      </c>
      <c r="Y3211" s="281">
        <f>_xll.qlCalendarAdvance(Calendar,X3211,NDays&amp;"D")</f>
        <v>61704</v>
      </c>
      <c r="Z3211" s="282" t="e">
        <v>#N/A</v>
      </c>
      <c r="AA3211" s="284" t="e">
        <v>#N/A</v>
      </c>
    </row>
    <row r="3212" spans="23:27" x14ac:dyDescent="0.2">
      <c r="W3212" s="203" t="str">
        <f t="shared" si="59"/>
        <v>1w</v>
      </c>
      <c r="X3212" s="287">
        <f>_xll.qlCalendarAdvance(Calendar,X3211,W3212,"f",FALSE)</f>
        <v>61709</v>
      </c>
      <c r="Y3212" s="281">
        <f>_xll.qlCalendarAdvance(Calendar,X3212,NDays&amp;"D")</f>
        <v>61711</v>
      </c>
      <c r="Z3212" s="282" t="e">
        <v>#N/A</v>
      </c>
      <c r="AA3212" s="284" t="e">
        <v>#N/A</v>
      </c>
    </row>
    <row r="3213" spans="23:27" x14ac:dyDescent="0.2">
      <c r="W3213" s="203" t="str">
        <f t="shared" si="59"/>
        <v>1w</v>
      </c>
      <c r="X3213" s="287">
        <f>_xll.qlCalendarAdvance(Calendar,X3212,W3213,"f",FALSE)</f>
        <v>61716</v>
      </c>
      <c r="Y3213" s="281">
        <f>_xll.qlCalendarAdvance(Calendar,X3213,NDays&amp;"D")</f>
        <v>61718</v>
      </c>
      <c r="Z3213" s="282" t="e">
        <v>#N/A</v>
      </c>
      <c r="AA3213" s="284" t="e">
        <v>#N/A</v>
      </c>
    </row>
    <row r="3214" spans="23:27" x14ac:dyDescent="0.2">
      <c r="W3214" s="203" t="str">
        <f t="shared" si="59"/>
        <v>1w</v>
      </c>
      <c r="X3214" s="287">
        <f>_xll.qlCalendarAdvance(Calendar,X3213,W3214,"f",FALSE)</f>
        <v>61724</v>
      </c>
      <c r="Y3214" s="281">
        <f>_xll.qlCalendarAdvance(Calendar,X3214,NDays&amp;"D")</f>
        <v>61732</v>
      </c>
      <c r="Z3214" s="282" t="e">
        <v>#N/A</v>
      </c>
      <c r="AA3214" s="284" t="e">
        <v>#N/A</v>
      </c>
    </row>
    <row r="3215" spans="23:27" x14ac:dyDescent="0.2">
      <c r="W3215" s="203" t="str">
        <f t="shared" si="59"/>
        <v>1w</v>
      </c>
      <c r="X3215" s="287">
        <f>_xll.qlCalendarAdvance(Calendar,X3214,W3215,"f",FALSE)</f>
        <v>61732</v>
      </c>
      <c r="Y3215" s="281">
        <f>_xll.qlCalendarAdvance(Calendar,X3215,NDays&amp;"D")</f>
        <v>61736</v>
      </c>
      <c r="Z3215" s="282" t="e">
        <v>#N/A</v>
      </c>
      <c r="AA3215" s="284" t="e">
        <v>#N/A</v>
      </c>
    </row>
    <row r="3216" spans="23:27" x14ac:dyDescent="0.2">
      <c r="W3216" s="203" t="str">
        <f t="shared" si="59"/>
        <v>1w</v>
      </c>
      <c r="X3216" s="287">
        <f>_xll.qlCalendarAdvance(Calendar,X3215,W3216,"f",FALSE)</f>
        <v>61739</v>
      </c>
      <c r="Y3216" s="281">
        <f>_xll.qlCalendarAdvance(Calendar,X3216,NDays&amp;"D")</f>
        <v>61744</v>
      </c>
      <c r="Z3216" s="282" t="e">
        <v>#N/A</v>
      </c>
      <c r="AA3216" s="284" t="e">
        <v>#N/A</v>
      </c>
    </row>
    <row r="3217" spans="23:27" x14ac:dyDescent="0.2">
      <c r="W3217" s="203" t="str">
        <f t="shared" si="59"/>
        <v>1w</v>
      </c>
      <c r="X3217" s="287">
        <f>_xll.qlCalendarAdvance(Calendar,X3216,W3217,"f",FALSE)</f>
        <v>61746</v>
      </c>
      <c r="Y3217" s="281">
        <f>_xll.qlCalendarAdvance(Calendar,X3217,NDays&amp;"D")</f>
        <v>61750</v>
      </c>
      <c r="Z3217" s="282" t="e">
        <v>#N/A</v>
      </c>
      <c r="AA3217" s="284" t="e">
        <v>#N/A</v>
      </c>
    </row>
    <row r="3218" spans="23:27" x14ac:dyDescent="0.2">
      <c r="W3218" s="203" t="str">
        <f t="shared" si="59"/>
        <v>1w</v>
      </c>
      <c r="X3218" s="287">
        <f>_xll.qlCalendarAdvance(Calendar,X3217,W3218,"f",FALSE)</f>
        <v>61753</v>
      </c>
      <c r="Y3218" s="281">
        <f>_xll.qlCalendarAdvance(Calendar,X3218,NDays&amp;"D")</f>
        <v>61757</v>
      </c>
      <c r="Z3218" s="282" t="e">
        <v>#N/A</v>
      </c>
      <c r="AA3218" s="284" t="e">
        <v>#N/A</v>
      </c>
    </row>
    <row r="3219" spans="23:27" x14ac:dyDescent="0.2">
      <c r="W3219" s="203" t="str">
        <f t="shared" si="59"/>
        <v>1w</v>
      </c>
      <c r="X3219" s="287">
        <f>_xll.qlCalendarAdvance(Calendar,X3218,W3219,"f",FALSE)</f>
        <v>61760</v>
      </c>
      <c r="Y3219" s="281">
        <f>_xll.qlCalendarAdvance(Calendar,X3219,NDays&amp;"D")</f>
        <v>61764</v>
      </c>
      <c r="Z3219" s="282" t="e">
        <v>#N/A</v>
      </c>
      <c r="AA3219" s="284" t="e">
        <v>#N/A</v>
      </c>
    </row>
    <row r="3220" spans="23:27" x14ac:dyDescent="0.2">
      <c r="W3220" s="203" t="str">
        <f t="shared" si="59"/>
        <v>1w</v>
      </c>
      <c r="X3220" s="287">
        <f>_xll.qlCalendarAdvance(Calendar,X3219,W3220,"f",FALSE)</f>
        <v>61767</v>
      </c>
      <c r="Y3220" s="281">
        <f>_xll.qlCalendarAdvance(Calendar,X3220,NDays&amp;"D")</f>
        <v>61772</v>
      </c>
      <c r="Z3220" s="282" t="e">
        <v>#N/A</v>
      </c>
      <c r="AA3220" s="284" t="e">
        <v>#N/A</v>
      </c>
    </row>
    <row r="3221" spans="23:27" x14ac:dyDescent="0.2">
      <c r="W3221" s="203" t="str">
        <f t="shared" ref="W3221:W3284" si="60">W3220</f>
        <v>1w</v>
      </c>
      <c r="X3221" s="287">
        <f>_xll.qlCalendarAdvance(Calendar,X3220,W3221,"f",FALSE)</f>
        <v>61774</v>
      </c>
      <c r="Y3221" s="281">
        <f>_xll.qlCalendarAdvance(Calendar,X3221,NDays&amp;"D")</f>
        <v>61778</v>
      </c>
      <c r="Z3221" s="282" t="e">
        <v>#N/A</v>
      </c>
      <c r="AA3221" s="284" t="e">
        <v>#N/A</v>
      </c>
    </row>
    <row r="3222" spans="23:27" x14ac:dyDescent="0.2">
      <c r="W3222" s="203" t="str">
        <f t="shared" si="60"/>
        <v>1w</v>
      </c>
      <c r="X3222" s="287">
        <f>_xll.qlCalendarAdvance(Calendar,X3221,W3222,"f",FALSE)</f>
        <v>61781</v>
      </c>
      <c r="Y3222" s="281">
        <f>_xll.qlCalendarAdvance(Calendar,X3222,NDays&amp;"D")</f>
        <v>61785</v>
      </c>
      <c r="Z3222" s="282" t="e">
        <v>#N/A</v>
      </c>
      <c r="AA3222" s="284" t="e">
        <v>#N/A</v>
      </c>
    </row>
    <row r="3223" spans="23:27" x14ac:dyDescent="0.2">
      <c r="W3223" s="203" t="str">
        <f t="shared" si="60"/>
        <v>1w</v>
      </c>
      <c r="X3223" s="287">
        <f>_xll.qlCalendarAdvance(Calendar,X3222,W3223,"f",FALSE)</f>
        <v>61788</v>
      </c>
      <c r="Y3223" s="281">
        <f>_xll.qlCalendarAdvance(Calendar,X3223,NDays&amp;"D")</f>
        <v>61792</v>
      </c>
      <c r="Z3223" s="282" t="e">
        <v>#N/A</v>
      </c>
      <c r="AA3223" s="284" t="e">
        <v>#N/A</v>
      </c>
    </row>
    <row r="3224" spans="23:27" x14ac:dyDescent="0.2">
      <c r="W3224" s="203" t="str">
        <f t="shared" si="60"/>
        <v>1w</v>
      </c>
      <c r="X3224" s="287">
        <f>_xll.qlCalendarAdvance(Calendar,X3223,W3224,"f",FALSE)</f>
        <v>61795</v>
      </c>
      <c r="Y3224" s="281">
        <f>_xll.qlCalendarAdvance(Calendar,X3224,NDays&amp;"D")</f>
        <v>61799</v>
      </c>
      <c r="Z3224" s="282" t="e">
        <v>#N/A</v>
      </c>
      <c r="AA3224" s="284" t="e">
        <v>#N/A</v>
      </c>
    </row>
    <row r="3225" spans="23:27" x14ac:dyDescent="0.2">
      <c r="W3225" s="203" t="str">
        <f t="shared" si="60"/>
        <v>1w</v>
      </c>
      <c r="X3225" s="287">
        <f>_xll.qlCalendarAdvance(Calendar,X3224,W3225,"f",FALSE)</f>
        <v>61802</v>
      </c>
      <c r="Y3225" s="281">
        <f>_xll.qlCalendarAdvance(Calendar,X3225,NDays&amp;"D")</f>
        <v>61806</v>
      </c>
      <c r="Z3225" s="282" t="e">
        <v>#N/A</v>
      </c>
      <c r="AA3225" s="284" t="e">
        <v>#N/A</v>
      </c>
    </row>
    <row r="3226" spans="23:27" x14ac:dyDescent="0.2">
      <c r="W3226" s="203" t="str">
        <f t="shared" si="60"/>
        <v>1w</v>
      </c>
      <c r="X3226" s="287">
        <f>_xll.qlCalendarAdvance(Calendar,X3225,W3226,"f",FALSE)</f>
        <v>61809</v>
      </c>
      <c r="Y3226" s="281">
        <f>_xll.qlCalendarAdvance(Calendar,X3226,NDays&amp;"D")</f>
        <v>61813</v>
      </c>
      <c r="Z3226" s="282" t="e">
        <v>#N/A</v>
      </c>
      <c r="AA3226" s="284" t="e">
        <v>#N/A</v>
      </c>
    </row>
    <row r="3227" spans="23:27" x14ac:dyDescent="0.2">
      <c r="W3227" s="203" t="str">
        <f t="shared" si="60"/>
        <v>1w</v>
      </c>
      <c r="X3227" s="287">
        <f>_xll.qlCalendarAdvance(Calendar,X3226,W3227,"f",FALSE)</f>
        <v>61816</v>
      </c>
      <c r="Y3227" s="281">
        <f>_xll.qlCalendarAdvance(Calendar,X3227,NDays&amp;"D")</f>
        <v>61820</v>
      </c>
      <c r="Z3227" s="282" t="e">
        <v>#N/A</v>
      </c>
      <c r="AA3227" s="284" t="e">
        <v>#N/A</v>
      </c>
    </row>
    <row r="3228" spans="23:27" x14ac:dyDescent="0.2">
      <c r="W3228" s="203" t="str">
        <f t="shared" si="60"/>
        <v>1w</v>
      </c>
      <c r="X3228" s="287">
        <f>_xll.qlCalendarAdvance(Calendar,X3227,W3228,"f",FALSE)</f>
        <v>61823</v>
      </c>
      <c r="Y3228" s="281">
        <f>_xll.qlCalendarAdvance(Calendar,X3228,NDays&amp;"D")</f>
        <v>61827</v>
      </c>
      <c r="Z3228" s="282" t="e">
        <v>#N/A</v>
      </c>
      <c r="AA3228" s="284" t="e">
        <v>#N/A</v>
      </c>
    </row>
    <row r="3229" spans="23:27" x14ac:dyDescent="0.2">
      <c r="W3229" s="203" t="str">
        <f t="shared" si="60"/>
        <v>1w</v>
      </c>
      <c r="X3229" s="287">
        <f>_xll.qlCalendarAdvance(Calendar,X3228,W3229,"f",FALSE)</f>
        <v>61834</v>
      </c>
      <c r="Y3229" s="281">
        <f>_xll.qlCalendarAdvance(Calendar,X3229,NDays&amp;"D")</f>
        <v>61836</v>
      </c>
      <c r="Z3229" s="282" t="e">
        <v>#N/A</v>
      </c>
      <c r="AA3229" s="284" t="e">
        <v>#N/A</v>
      </c>
    </row>
    <row r="3230" spans="23:27" x14ac:dyDescent="0.2">
      <c r="W3230" s="203" t="str">
        <f t="shared" si="60"/>
        <v>1w</v>
      </c>
      <c r="X3230" s="287">
        <f>_xll.qlCalendarAdvance(Calendar,X3229,W3230,"f",FALSE)</f>
        <v>61841</v>
      </c>
      <c r="Y3230" s="281">
        <f>_xll.qlCalendarAdvance(Calendar,X3230,NDays&amp;"D")</f>
        <v>61843</v>
      </c>
      <c r="Z3230" s="282" t="e">
        <v>#N/A</v>
      </c>
      <c r="AA3230" s="284" t="e">
        <v>#N/A</v>
      </c>
    </row>
    <row r="3231" spans="23:27" x14ac:dyDescent="0.2">
      <c r="W3231" s="203" t="str">
        <f t="shared" si="60"/>
        <v>1w</v>
      </c>
      <c r="X3231" s="287">
        <f>_xll.qlCalendarAdvance(Calendar,X3230,W3231,"f",FALSE)</f>
        <v>61848</v>
      </c>
      <c r="Y3231" s="281">
        <f>_xll.qlCalendarAdvance(Calendar,X3231,NDays&amp;"D")</f>
        <v>61850</v>
      </c>
      <c r="Z3231" s="282" t="e">
        <v>#N/A</v>
      </c>
      <c r="AA3231" s="284" t="e">
        <v>#N/A</v>
      </c>
    </row>
    <row r="3232" spans="23:27" x14ac:dyDescent="0.2">
      <c r="W3232" s="203" t="str">
        <f t="shared" si="60"/>
        <v>1w</v>
      </c>
      <c r="X3232" s="287">
        <f>_xll.qlCalendarAdvance(Calendar,X3231,W3232,"f",FALSE)</f>
        <v>61855</v>
      </c>
      <c r="Y3232" s="281">
        <f>_xll.qlCalendarAdvance(Calendar,X3232,NDays&amp;"D")</f>
        <v>61857</v>
      </c>
      <c r="Z3232" s="282" t="e">
        <v>#N/A</v>
      </c>
      <c r="AA3232" s="284" t="e">
        <v>#N/A</v>
      </c>
    </row>
    <row r="3233" spans="23:27" x14ac:dyDescent="0.2">
      <c r="W3233" s="203" t="str">
        <f t="shared" si="60"/>
        <v>1w</v>
      </c>
      <c r="X3233" s="287">
        <f>_xll.qlCalendarAdvance(Calendar,X3232,W3233,"f",FALSE)</f>
        <v>61862</v>
      </c>
      <c r="Y3233" s="281">
        <f>_xll.qlCalendarAdvance(Calendar,X3233,NDays&amp;"D")</f>
        <v>61864</v>
      </c>
      <c r="Z3233" s="282" t="e">
        <v>#N/A</v>
      </c>
      <c r="AA3233" s="284" t="e">
        <v>#N/A</v>
      </c>
    </row>
    <row r="3234" spans="23:27" x14ac:dyDescent="0.2">
      <c r="W3234" s="203" t="str">
        <f t="shared" si="60"/>
        <v>1w</v>
      </c>
      <c r="X3234" s="287">
        <f>_xll.qlCalendarAdvance(Calendar,X3233,W3234,"f",FALSE)</f>
        <v>61869</v>
      </c>
      <c r="Y3234" s="281">
        <f>_xll.qlCalendarAdvance(Calendar,X3234,NDays&amp;"D")</f>
        <v>61871</v>
      </c>
      <c r="Z3234" s="282" t="e">
        <v>#N/A</v>
      </c>
      <c r="AA3234" s="284" t="e">
        <v>#N/A</v>
      </c>
    </row>
    <row r="3235" spans="23:27" x14ac:dyDescent="0.2">
      <c r="W3235" s="203" t="str">
        <f t="shared" si="60"/>
        <v>1w</v>
      </c>
      <c r="X3235" s="287">
        <f>_xll.qlCalendarAdvance(Calendar,X3234,W3235,"f",FALSE)</f>
        <v>61876</v>
      </c>
      <c r="Y3235" s="281">
        <f>_xll.qlCalendarAdvance(Calendar,X3235,NDays&amp;"D")</f>
        <v>61878</v>
      </c>
      <c r="Z3235" s="282" t="e">
        <v>#N/A</v>
      </c>
      <c r="AA3235" s="284" t="e">
        <v>#N/A</v>
      </c>
    </row>
    <row r="3236" spans="23:27" x14ac:dyDescent="0.2">
      <c r="W3236" s="203" t="str">
        <f t="shared" si="60"/>
        <v>1w</v>
      </c>
      <c r="X3236" s="287">
        <f>_xll.qlCalendarAdvance(Calendar,X3235,W3236,"f",FALSE)</f>
        <v>61883</v>
      </c>
      <c r="Y3236" s="281">
        <f>_xll.qlCalendarAdvance(Calendar,X3236,NDays&amp;"D")</f>
        <v>61885</v>
      </c>
      <c r="Z3236" s="282" t="e">
        <v>#N/A</v>
      </c>
      <c r="AA3236" s="284" t="e">
        <v>#N/A</v>
      </c>
    </row>
    <row r="3237" spans="23:27" x14ac:dyDescent="0.2">
      <c r="W3237" s="203" t="str">
        <f t="shared" si="60"/>
        <v>1w</v>
      </c>
      <c r="X3237" s="287">
        <f>_xll.qlCalendarAdvance(Calendar,X3236,W3237,"f",FALSE)</f>
        <v>61890</v>
      </c>
      <c r="Y3237" s="281">
        <f>_xll.qlCalendarAdvance(Calendar,X3237,NDays&amp;"D")</f>
        <v>61892</v>
      </c>
      <c r="Z3237" s="282" t="e">
        <v>#N/A</v>
      </c>
      <c r="AA3237" s="284" t="e">
        <v>#N/A</v>
      </c>
    </row>
    <row r="3238" spans="23:27" x14ac:dyDescent="0.2">
      <c r="W3238" s="203" t="str">
        <f t="shared" si="60"/>
        <v>1w</v>
      </c>
      <c r="X3238" s="287">
        <f>_xll.qlCalendarAdvance(Calendar,X3237,W3238,"f",FALSE)</f>
        <v>61897</v>
      </c>
      <c r="Y3238" s="281">
        <f>_xll.qlCalendarAdvance(Calendar,X3238,NDays&amp;"D")</f>
        <v>61899</v>
      </c>
      <c r="Z3238" s="282" t="e">
        <v>#N/A</v>
      </c>
      <c r="AA3238" s="284" t="e">
        <v>#N/A</v>
      </c>
    </row>
    <row r="3239" spans="23:27" x14ac:dyDescent="0.2">
      <c r="W3239" s="203" t="str">
        <f t="shared" si="60"/>
        <v>1w</v>
      </c>
      <c r="X3239" s="287">
        <f>_xll.qlCalendarAdvance(Calendar,X3238,W3239,"f",FALSE)</f>
        <v>61904</v>
      </c>
      <c r="Y3239" s="281">
        <f>_xll.qlCalendarAdvance(Calendar,X3239,NDays&amp;"D")</f>
        <v>61906</v>
      </c>
      <c r="Z3239" s="282" t="e">
        <v>#N/A</v>
      </c>
      <c r="AA3239" s="284" t="e">
        <v>#N/A</v>
      </c>
    </row>
    <row r="3240" spans="23:27" x14ac:dyDescent="0.2">
      <c r="W3240" s="203" t="str">
        <f t="shared" si="60"/>
        <v>1w</v>
      </c>
      <c r="X3240" s="287">
        <f>_xll.qlCalendarAdvance(Calendar,X3239,W3240,"f",FALSE)</f>
        <v>61911</v>
      </c>
      <c r="Y3240" s="281">
        <f>_xll.qlCalendarAdvance(Calendar,X3240,NDays&amp;"D")</f>
        <v>61913</v>
      </c>
      <c r="Z3240" s="282" t="e">
        <v>#N/A</v>
      </c>
      <c r="AA3240" s="284" t="e">
        <v>#N/A</v>
      </c>
    </row>
    <row r="3241" spans="23:27" x14ac:dyDescent="0.2">
      <c r="W3241" s="203" t="str">
        <f t="shared" si="60"/>
        <v>1w</v>
      </c>
      <c r="X3241" s="287">
        <f>_xll.qlCalendarAdvance(Calendar,X3240,W3241,"f",FALSE)</f>
        <v>61918</v>
      </c>
      <c r="Y3241" s="281">
        <f>_xll.qlCalendarAdvance(Calendar,X3241,NDays&amp;"D")</f>
        <v>61920</v>
      </c>
      <c r="Z3241" s="282" t="e">
        <v>#N/A</v>
      </c>
      <c r="AA3241" s="284" t="e">
        <v>#N/A</v>
      </c>
    </row>
    <row r="3242" spans="23:27" x14ac:dyDescent="0.2">
      <c r="W3242" s="203" t="str">
        <f t="shared" si="60"/>
        <v>1w</v>
      </c>
      <c r="X3242" s="287">
        <f>_xll.qlCalendarAdvance(Calendar,X3241,W3242,"f",FALSE)</f>
        <v>61925</v>
      </c>
      <c r="Y3242" s="281">
        <f>_xll.qlCalendarAdvance(Calendar,X3242,NDays&amp;"D")</f>
        <v>61927</v>
      </c>
      <c r="Z3242" s="282" t="e">
        <v>#N/A</v>
      </c>
      <c r="AA3242" s="284" t="e">
        <v>#N/A</v>
      </c>
    </row>
    <row r="3243" spans="23:27" x14ac:dyDescent="0.2">
      <c r="W3243" s="203" t="str">
        <f t="shared" si="60"/>
        <v>1w</v>
      </c>
      <c r="X3243" s="287">
        <f>_xll.qlCalendarAdvance(Calendar,X3242,W3243,"f",FALSE)</f>
        <v>61932</v>
      </c>
      <c r="Y3243" s="281">
        <f>_xll.qlCalendarAdvance(Calendar,X3243,NDays&amp;"D")</f>
        <v>61934</v>
      </c>
      <c r="Z3243" s="282" t="e">
        <v>#N/A</v>
      </c>
      <c r="AA3243" s="284" t="e">
        <v>#N/A</v>
      </c>
    </row>
    <row r="3244" spans="23:27" x14ac:dyDescent="0.2">
      <c r="W3244" s="203" t="str">
        <f t="shared" si="60"/>
        <v>1w</v>
      </c>
      <c r="X3244" s="287">
        <f>_xll.qlCalendarAdvance(Calendar,X3243,W3244,"f",FALSE)</f>
        <v>61939</v>
      </c>
      <c r="Y3244" s="281">
        <f>_xll.qlCalendarAdvance(Calendar,X3244,NDays&amp;"D")</f>
        <v>61941</v>
      </c>
      <c r="Z3244" s="282" t="e">
        <v>#N/A</v>
      </c>
      <c r="AA3244" s="284" t="e">
        <v>#N/A</v>
      </c>
    </row>
    <row r="3245" spans="23:27" x14ac:dyDescent="0.2">
      <c r="W3245" s="203" t="str">
        <f t="shared" si="60"/>
        <v>1w</v>
      </c>
      <c r="X3245" s="287">
        <f>_xll.qlCalendarAdvance(Calendar,X3244,W3245,"f",FALSE)</f>
        <v>61946</v>
      </c>
      <c r="Y3245" s="281">
        <f>_xll.qlCalendarAdvance(Calendar,X3245,NDays&amp;"D")</f>
        <v>61948</v>
      </c>
      <c r="Z3245" s="282" t="e">
        <v>#N/A</v>
      </c>
      <c r="AA3245" s="284" t="e">
        <v>#N/A</v>
      </c>
    </row>
    <row r="3246" spans="23:27" x14ac:dyDescent="0.2">
      <c r="W3246" s="203" t="str">
        <f t="shared" si="60"/>
        <v>1w</v>
      </c>
      <c r="X3246" s="287">
        <f>_xll.qlCalendarAdvance(Calendar,X3245,W3246,"f",FALSE)</f>
        <v>61953</v>
      </c>
      <c r="Y3246" s="281">
        <f>_xll.qlCalendarAdvance(Calendar,X3246,NDays&amp;"D")</f>
        <v>61955</v>
      </c>
      <c r="Z3246" s="282" t="e">
        <v>#N/A</v>
      </c>
      <c r="AA3246" s="284" t="e">
        <v>#N/A</v>
      </c>
    </row>
    <row r="3247" spans="23:27" x14ac:dyDescent="0.2">
      <c r="W3247" s="203" t="str">
        <f t="shared" si="60"/>
        <v>1w</v>
      </c>
      <c r="X3247" s="287">
        <f>_xll.qlCalendarAdvance(Calendar,X3246,W3247,"f",FALSE)</f>
        <v>61960</v>
      </c>
      <c r="Y3247" s="281">
        <f>_xll.qlCalendarAdvance(Calendar,X3247,NDays&amp;"D")</f>
        <v>61962</v>
      </c>
      <c r="Z3247" s="282" t="e">
        <v>#N/A</v>
      </c>
      <c r="AA3247" s="284" t="e">
        <v>#N/A</v>
      </c>
    </row>
    <row r="3248" spans="23:27" x14ac:dyDescent="0.2">
      <c r="W3248" s="203" t="str">
        <f t="shared" si="60"/>
        <v>1w</v>
      </c>
      <c r="X3248" s="287">
        <f>_xll.qlCalendarAdvance(Calendar,X3247,W3248,"f",FALSE)</f>
        <v>61967</v>
      </c>
      <c r="Y3248" s="281">
        <f>_xll.qlCalendarAdvance(Calendar,X3248,NDays&amp;"D")</f>
        <v>61969</v>
      </c>
      <c r="Z3248" s="282" t="e">
        <v>#N/A</v>
      </c>
      <c r="AA3248" s="284" t="e">
        <v>#N/A</v>
      </c>
    </row>
    <row r="3249" spans="23:27" x14ac:dyDescent="0.2">
      <c r="W3249" s="203" t="str">
        <f t="shared" si="60"/>
        <v>1w</v>
      </c>
      <c r="X3249" s="287">
        <f>_xll.qlCalendarAdvance(Calendar,X3248,W3249,"f",FALSE)</f>
        <v>61974</v>
      </c>
      <c r="Y3249" s="281">
        <f>_xll.qlCalendarAdvance(Calendar,X3249,NDays&amp;"D")</f>
        <v>61976</v>
      </c>
      <c r="Z3249" s="282" t="e">
        <v>#N/A</v>
      </c>
      <c r="AA3249" s="284" t="e">
        <v>#N/A</v>
      </c>
    </row>
    <row r="3250" spans="23:27" x14ac:dyDescent="0.2">
      <c r="W3250" s="203" t="str">
        <f t="shared" si="60"/>
        <v>1w</v>
      </c>
      <c r="X3250" s="287">
        <f>_xll.qlCalendarAdvance(Calendar,X3249,W3250,"f",FALSE)</f>
        <v>61981</v>
      </c>
      <c r="Y3250" s="281">
        <f>_xll.qlCalendarAdvance(Calendar,X3250,NDays&amp;"D")</f>
        <v>61983</v>
      </c>
      <c r="Z3250" s="282" t="e">
        <v>#N/A</v>
      </c>
      <c r="AA3250" s="284" t="e">
        <v>#N/A</v>
      </c>
    </row>
    <row r="3251" spans="23:27" x14ac:dyDescent="0.2">
      <c r="W3251" s="203" t="str">
        <f t="shared" si="60"/>
        <v>1w</v>
      </c>
      <c r="X3251" s="287">
        <f>_xll.qlCalendarAdvance(Calendar,X3250,W3251,"f",FALSE)</f>
        <v>61988</v>
      </c>
      <c r="Y3251" s="281">
        <f>_xll.qlCalendarAdvance(Calendar,X3251,NDays&amp;"D")</f>
        <v>61990</v>
      </c>
      <c r="Z3251" s="282" t="e">
        <v>#N/A</v>
      </c>
      <c r="AA3251" s="284" t="e">
        <v>#N/A</v>
      </c>
    </row>
    <row r="3252" spans="23:27" x14ac:dyDescent="0.2">
      <c r="W3252" s="203" t="str">
        <f t="shared" si="60"/>
        <v>1w</v>
      </c>
      <c r="X3252" s="287">
        <f>_xll.qlCalendarAdvance(Calendar,X3251,W3252,"f",FALSE)</f>
        <v>61995</v>
      </c>
      <c r="Y3252" s="281">
        <f>_xll.qlCalendarAdvance(Calendar,X3252,NDays&amp;"D")</f>
        <v>61997</v>
      </c>
      <c r="Z3252" s="282" t="e">
        <v>#N/A</v>
      </c>
      <c r="AA3252" s="284" t="e">
        <v>#N/A</v>
      </c>
    </row>
    <row r="3253" spans="23:27" x14ac:dyDescent="0.2">
      <c r="W3253" s="203" t="str">
        <f t="shared" si="60"/>
        <v>1w</v>
      </c>
      <c r="X3253" s="287">
        <f>_xll.qlCalendarAdvance(Calendar,X3252,W3253,"f",FALSE)</f>
        <v>62002</v>
      </c>
      <c r="Y3253" s="281">
        <f>_xll.qlCalendarAdvance(Calendar,X3253,NDays&amp;"D")</f>
        <v>62004</v>
      </c>
      <c r="Z3253" s="282" t="e">
        <v>#N/A</v>
      </c>
      <c r="AA3253" s="284" t="e">
        <v>#N/A</v>
      </c>
    </row>
    <row r="3254" spans="23:27" x14ac:dyDescent="0.2">
      <c r="W3254" s="203" t="str">
        <f t="shared" si="60"/>
        <v>1w</v>
      </c>
      <c r="X3254" s="287">
        <f>_xll.qlCalendarAdvance(Calendar,X3253,W3254,"f",FALSE)</f>
        <v>62009</v>
      </c>
      <c r="Y3254" s="281">
        <f>_xll.qlCalendarAdvance(Calendar,X3254,NDays&amp;"D")</f>
        <v>62011</v>
      </c>
      <c r="Z3254" s="282" t="e">
        <v>#N/A</v>
      </c>
      <c r="AA3254" s="284" t="e">
        <v>#N/A</v>
      </c>
    </row>
    <row r="3255" spans="23:27" x14ac:dyDescent="0.2">
      <c r="W3255" s="203" t="str">
        <f t="shared" si="60"/>
        <v>1w</v>
      </c>
      <c r="X3255" s="287">
        <f>_xll.qlCalendarAdvance(Calendar,X3254,W3255,"f",FALSE)</f>
        <v>62016</v>
      </c>
      <c r="Y3255" s="281">
        <f>_xll.qlCalendarAdvance(Calendar,X3255,NDays&amp;"D")</f>
        <v>62018</v>
      </c>
      <c r="Z3255" s="282" t="e">
        <v>#N/A</v>
      </c>
      <c r="AA3255" s="284" t="e">
        <v>#N/A</v>
      </c>
    </row>
    <row r="3256" spans="23:27" x14ac:dyDescent="0.2">
      <c r="W3256" s="203" t="str">
        <f t="shared" si="60"/>
        <v>1w</v>
      </c>
      <c r="X3256" s="287">
        <f>_xll.qlCalendarAdvance(Calendar,X3255,W3256,"f",FALSE)</f>
        <v>62023</v>
      </c>
      <c r="Y3256" s="281">
        <f>_xll.qlCalendarAdvance(Calendar,X3256,NDays&amp;"D")</f>
        <v>62025</v>
      </c>
      <c r="Z3256" s="282" t="e">
        <v>#N/A</v>
      </c>
      <c r="AA3256" s="284" t="e">
        <v>#N/A</v>
      </c>
    </row>
    <row r="3257" spans="23:27" x14ac:dyDescent="0.2">
      <c r="W3257" s="203" t="str">
        <f t="shared" si="60"/>
        <v>1w</v>
      </c>
      <c r="X3257" s="287">
        <f>_xll.qlCalendarAdvance(Calendar,X3256,W3257,"f",FALSE)</f>
        <v>62030</v>
      </c>
      <c r="Y3257" s="281">
        <f>_xll.qlCalendarAdvance(Calendar,X3257,NDays&amp;"D")</f>
        <v>62032</v>
      </c>
      <c r="Z3257" s="282" t="e">
        <v>#N/A</v>
      </c>
      <c r="AA3257" s="284" t="e">
        <v>#N/A</v>
      </c>
    </row>
    <row r="3258" spans="23:27" x14ac:dyDescent="0.2">
      <c r="W3258" s="203" t="str">
        <f t="shared" si="60"/>
        <v>1w</v>
      </c>
      <c r="X3258" s="287">
        <f>_xll.qlCalendarAdvance(Calendar,X3257,W3258,"f",FALSE)</f>
        <v>62037</v>
      </c>
      <c r="Y3258" s="281">
        <f>_xll.qlCalendarAdvance(Calendar,X3258,NDays&amp;"D")</f>
        <v>62039</v>
      </c>
      <c r="Z3258" s="282" t="e">
        <v>#N/A</v>
      </c>
      <c r="AA3258" s="284" t="e">
        <v>#N/A</v>
      </c>
    </row>
    <row r="3259" spans="23:27" x14ac:dyDescent="0.2">
      <c r="W3259" s="203" t="str">
        <f t="shared" si="60"/>
        <v>1w</v>
      </c>
      <c r="X3259" s="287">
        <f>_xll.qlCalendarAdvance(Calendar,X3258,W3259,"f",FALSE)</f>
        <v>62044</v>
      </c>
      <c r="Y3259" s="281">
        <f>_xll.qlCalendarAdvance(Calendar,X3259,NDays&amp;"D")</f>
        <v>62046</v>
      </c>
      <c r="Z3259" s="282" t="e">
        <v>#N/A</v>
      </c>
      <c r="AA3259" s="284" t="e">
        <v>#N/A</v>
      </c>
    </row>
    <row r="3260" spans="23:27" x14ac:dyDescent="0.2">
      <c r="W3260" s="203" t="str">
        <f t="shared" si="60"/>
        <v>1w</v>
      </c>
      <c r="X3260" s="287">
        <f>_xll.qlCalendarAdvance(Calendar,X3259,W3260,"f",FALSE)</f>
        <v>62051</v>
      </c>
      <c r="Y3260" s="281">
        <f>_xll.qlCalendarAdvance(Calendar,X3260,NDays&amp;"D")</f>
        <v>62053</v>
      </c>
      <c r="Z3260" s="282" t="e">
        <v>#N/A</v>
      </c>
      <c r="AA3260" s="284" t="e">
        <v>#N/A</v>
      </c>
    </row>
    <row r="3261" spans="23:27" x14ac:dyDescent="0.2">
      <c r="W3261" s="203" t="str">
        <f t="shared" si="60"/>
        <v>1w</v>
      </c>
      <c r="X3261" s="287">
        <f>_xll.qlCalendarAdvance(Calendar,X3260,W3261,"f",FALSE)</f>
        <v>62058</v>
      </c>
      <c r="Y3261" s="281">
        <f>_xll.qlCalendarAdvance(Calendar,X3261,NDays&amp;"D")</f>
        <v>62060</v>
      </c>
      <c r="Z3261" s="282" t="e">
        <v>#N/A</v>
      </c>
      <c r="AA3261" s="284" t="e">
        <v>#N/A</v>
      </c>
    </row>
    <row r="3262" spans="23:27" x14ac:dyDescent="0.2">
      <c r="W3262" s="203" t="str">
        <f t="shared" si="60"/>
        <v>1w</v>
      </c>
      <c r="X3262" s="287">
        <f>_xll.qlCalendarAdvance(Calendar,X3261,W3262,"f",FALSE)</f>
        <v>62065</v>
      </c>
      <c r="Y3262" s="281">
        <f>_xll.qlCalendarAdvance(Calendar,X3262,NDays&amp;"D")</f>
        <v>62067</v>
      </c>
      <c r="Z3262" s="282" t="e">
        <v>#N/A</v>
      </c>
      <c r="AA3262" s="284" t="e">
        <v>#N/A</v>
      </c>
    </row>
    <row r="3263" spans="23:27" x14ac:dyDescent="0.2">
      <c r="W3263" s="203" t="str">
        <f t="shared" si="60"/>
        <v>1w</v>
      </c>
      <c r="X3263" s="287">
        <f>_xll.qlCalendarAdvance(Calendar,X3262,W3263,"f",FALSE)</f>
        <v>62072</v>
      </c>
      <c r="Y3263" s="281">
        <f>_xll.qlCalendarAdvance(Calendar,X3263,NDays&amp;"D")</f>
        <v>62074</v>
      </c>
      <c r="Z3263" s="282" t="e">
        <v>#N/A</v>
      </c>
      <c r="AA3263" s="284" t="e">
        <v>#N/A</v>
      </c>
    </row>
    <row r="3264" spans="23:27" x14ac:dyDescent="0.2">
      <c r="W3264" s="203" t="str">
        <f t="shared" si="60"/>
        <v>1w</v>
      </c>
      <c r="X3264" s="287">
        <f>_xll.qlCalendarAdvance(Calendar,X3263,W3264,"f",FALSE)</f>
        <v>62079</v>
      </c>
      <c r="Y3264" s="281">
        <f>_xll.qlCalendarAdvance(Calendar,X3264,NDays&amp;"D")</f>
        <v>62081</v>
      </c>
      <c r="Z3264" s="282" t="e">
        <v>#N/A</v>
      </c>
      <c r="AA3264" s="284" t="e">
        <v>#N/A</v>
      </c>
    </row>
    <row r="3265" spans="23:27" x14ac:dyDescent="0.2">
      <c r="W3265" s="203" t="str">
        <f t="shared" si="60"/>
        <v>1w</v>
      </c>
      <c r="X3265" s="287">
        <f>_xll.qlCalendarAdvance(Calendar,X3264,W3265,"f",FALSE)</f>
        <v>62086</v>
      </c>
      <c r="Y3265" s="281">
        <f>_xll.qlCalendarAdvance(Calendar,X3265,NDays&amp;"D")</f>
        <v>62092</v>
      </c>
      <c r="Z3265" s="282" t="e">
        <v>#N/A</v>
      </c>
      <c r="AA3265" s="284" t="e">
        <v>#N/A</v>
      </c>
    </row>
    <row r="3266" spans="23:27" x14ac:dyDescent="0.2">
      <c r="W3266" s="203" t="str">
        <f t="shared" si="60"/>
        <v>1w</v>
      </c>
      <c r="X3266" s="287">
        <f>_xll.qlCalendarAdvance(Calendar,X3265,W3266,"f",FALSE)</f>
        <v>62099</v>
      </c>
      <c r="Y3266" s="281">
        <f>_xll.qlCalendarAdvance(Calendar,X3266,NDays&amp;"D")</f>
        <v>62101</v>
      </c>
      <c r="Z3266" s="282" t="e">
        <v>#N/A</v>
      </c>
      <c r="AA3266" s="284" t="e">
        <v>#N/A</v>
      </c>
    </row>
    <row r="3267" spans="23:27" x14ac:dyDescent="0.2">
      <c r="W3267" s="203" t="str">
        <f t="shared" si="60"/>
        <v>1w</v>
      </c>
      <c r="X3267" s="287">
        <f>_xll.qlCalendarAdvance(Calendar,X3266,W3267,"f",FALSE)</f>
        <v>62107</v>
      </c>
      <c r="Y3267" s="281">
        <f>_xll.qlCalendarAdvance(Calendar,X3267,NDays&amp;"D")</f>
        <v>62109</v>
      </c>
      <c r="Z3267" s="282" t="e">
        <v>#N/A</v>
      </c>
      <c r="AA3267" s="284" t="e">
        <v>#N/A</v>
      </c>
    </row>
    <row r="3268" spans="23:27" x14ac:dyDescent="0.2">
      <c r="W3268" s="203" t="str">
        <f t="shared" si="60"/>
        <v>1w</v>
      </c>
      <c r="X3268" s="287">
        <f>_xll.qlCalendarAdvance(Calendar,X3267,W3268,"f",FALSE)</f>
        <v>62114</v>
      </c>
      <c r="Y3268" s="281">
        <f>_xll.qlCalendarAdvance(Calendar,X3268,NDays&amp;"D")</f>
        <v>62116</v>
      </c>
      <c r="Z3268" s="282" t="e">
        <v>#N/A</v>
      </c>
      <c r="AA3268" s="284" t="e">
        <v>#N/A</v>
      </c>
    </row>
    <row r="3269" spans="23:27" x14ac:dyDescent="0.2">
      <c r="W3269" s="203" t="str">
        <f t="shared" si="60"/>
        <v>1w</v>
      </c>
      <c r="X3269" s="287">
        <f>_xll.qlCalendarAdvance(Calendar,X3268,W3269,"f",FALSE)</f>
        <v>62121</v>
      </c>
      <c r="Y3269" s="281">
        <f>_xll.qlCalendarAdvance(Calendar,X3269,NDays&amp;"D")</f>
        <v>62123</v>
      </c>
      <c r="Z3269" s="282" t="e">
        <v>#N/A</v>
      </c>
      <c r="AA3269" s="284" t="e">
        <v>#N/A</v>
      </c>
    </row>
    <row r="3270" spans="23:27" x14ac:dyDescent="0.2">
      <c r="W3270" s="203" t="str">
        <f t="shared" si="60"/>
        <v>1w</v>
      </c>
      <c r="X3270" s="287">
        <f>_xll.qlCalendarAdvance(Calendar,X3269,W3270,"f",FALSE)</f>
        <v>62128</v>
      </c>
      <c r="Y3270" s="281">
        <f>_xll.qlCalendarAdvance(Calendar,X3270,NDays&amp;"D")</f>
        <v>62130</v>
      </c>
      <c r="Z3270" s="282" t="e">
        <v>#N/A</v>
      </c>
      <c r="AA3270" s="284" t="e">
        <v>#N/A</v>
      </c>
    </row>
    <row r="3271" spans="23:27" x14ac:dyDescent="0.2">
      <c r="W3271" s="203" t="str">
        <f t="shared" si="60"/>
        <v>1w</v>
      </c>
      <c r="X3271" s="287">
        <f>_xll.qlCalendarAdvance(Calendar,X3270,W3271,"f",FALSE)</f>
        <v>62136</v>
      </c>
      <c r="Y3271" s="281">
        <f>_xll.qlCalendarAdvance(Calendar,X3271,NDays&amp;"D")</f>
        <v>62138</v>
      </c>
      <c r="Z3271" s="282" t="e">
        <v>#N/A</v>
      </c>
      <c r="AA3271" s="284" t="e">
        <v>#N/A</v>
      </c>
    </row>
    <row r="3272" spans="23:27" x14ac:dyDescent="0.2">
      <c r="W3272" s="203" t="str">
        <f t="shared" si="60"/>
        <v>1w</v>
      </c>
      <c r="X3272" s="287">
        <f>_xll.qlCalendarAdvance(Calendar,X3271,W3272,"f",FALSE)</f>
        <v>62143</v>
      </c>
      <c r="Y3272" s="281">
        <f>_xll.qlCalendarAdvance(Calendar,X3272,NDays&amp;"D")</f>
        <v>62145</v>
      </c>
      <c r="Z3272" s="282" t="e">
        <v>#N/A</v>
      </c>
      <c r="AA3272" s="284" t="e">
        <v>#N/A</v>
      </c>
    </row>
    <row r="3273" spans="23:27" x14ac:dyDescent="0.2">
      <c r="W3273" s="203" t="str">
        <f t="shared" si="60"/>
        <v>1w</v>
      </c>
      <c r="X3273" s="287">
        <f>_xll.qlCalendarAdvance(Calendar,X3272,W3273,"f",FALSE)</f>
        <v>62150</v>
      </c>
      <c r="Y3273" s="281">
        <f>_xll.qlCalendarAdvance(Calendar,X3273,NDays&amp;"D")</f>
        <v>62152</v>
      </c>
      <c r="Z3273" s="282" t="e">
        <v>#N/A</v>
      </c>
      <c r="AA3273" s="284" t="e">
        <v>#N/A</v>
      </c>
    </row>
    <row r="3274" spans="23:27" x14ac:dyDescent="0.2">
      <c r="W3274" s="203" t="str">
        <f t="shared" si="60"/>
        <v>1w</v>
      </c>
      <c r="X3274" s="287">
        <f>_xll.qlCalendarAdvance(Calendar,X3273,W3274,"f",FALSE)</f>
        <v>62157</v>
      </c>
      <c r="Y3274" s="281">
        <f>_xll.qlCalendarAdvance(Calendar,X3274,NDays&amp;"D")</f>
        <v>62159</v>
      </c>
      <c r="Z3274" s="282" t="e">
        <v>#N/A</v>
      </c>
      <c r="AA3274" s="284" t="e">
        <v>#N/A</v>
      </c>
    </row>
    <row r="3275" spans="23:27" x14ac:dyDescent="0.2">
      <c r="W3275" s="203" t="str">
        <f t="shared" si="60"/>
        <v>1w</v>
      </c>
      <c r="X3275" s="287">
        <f>_xll.qlCalendarAdvance(Calendar,X3274,W3275,"f",FALSE)</f>
        <v>62164</v>
      </c>
      <c r="Y3275" s="281">
        <f>_xll.qlCalendarAdvance(Calendar,X3275,NDays&amp;"D")</f>
        <v>62166</v>
      </c>
      <c r="Z3275" s="282" t="e">
        <v>#N/A</v>
      </c>
      <c r="AA3275" s="284" t="e">
        <v>#N/A</v>
      </c>
    </row>
    <row r="3276" spans="23:27" x14ac:dyDescent="0.2">
      <c r="W3276" s="203" t="str">
        <f t="shared" si="60"/>
        <v>1w</v>
      </c>
      <c r="X3276" s="287">
        <f>_xll.qlCalendarAdvance(Calendar,X3275,W3276,"f",FALSE)</f>
        <v>62171</v>
      </c>
      <c r="Y3276" s="281">
        <f>_xll.qlCalendarAdvance(Calendar,X3276,NDays&amp;"D")</f>
        <v>62176</v>
      </c>
      <c r="Z3276" s="282" t="e">
        <v>#N/A</v>
      </c>
      <c r="AA3276" s="284" t="e">
        <v>#N/A</v>
      </c>
    </row>
    <row r="3277" spans="23:27" x14ac:dyDescent="0.2">
      <c r="W3277" s="203" t="str">
        <f t="shared" si="60"/>
        <v>1w</v>
      </c>
      <c r="X3277" s="287">
        <f>_xll.qlCalendarAdvance(Calendar,X3276,W3277,"f",FALSE)</f>
        <v>62178</v>
      </c>
      <c r="Y3277" s="281">
        <f>_xll.qlCalendarAdvance(Calendar,X3277,NDays&amp;"D")</f>
        <v>62184</v>
      </c>
      <c r="Z3277" s="282" t="e">
        <v>#N/A</v>
      </c>
      <c r="AA3277" s="284" t="e">
        <v>#N/A</v>
      </c>
    </row>
    <row r="3278" spans="23:27" x14ac:dyDescent="0.2">
      <c r="W3278" s="203" t="str">
        <f t="shared" si="60"/>
        <v>1w</v>
      </c>
      <c r="X3278" s="287">
        <f>_xll.qlCalendarAdvance(Calendar,X3277,W3278,"f",FALSE)</f>
        <v>62185</v>
      </c>
      <c r="Y3278" s="281">
        <f>_xll.qlCalendarAdvance(Calendar,X3278,NDays&amp;"D")</f>
        <v>62187</v>
      </c>
      <c r="Z3278" s="282" t="e">
        <v>#N/A</v>
      </c>
      <c r="AA3278" s="284" t="e">
        <v>#N/A</v>
      </c>
    </row>
    <row r="3279" spans="23:27" x14ac:dyDescent="0.2">
      <c r="W3279" s="203" t="str">
        <f t="shared" si="60"/>
        <v>1w</v>
      </c>
      <c r="X3279" s="287">
        <f>_xll.qlCalendarAdvance(Calendar,X3278,W3279,"f",FALSE)</f>
        <v>62192</v>
      </c>
      <c r="Y3279" s="281">
        <f>_xll.qlCalendarAdvance(Calendar,X3279,NDays&amp;"D")</f>
        <v>62194</v>
      </c>
      <c r="Z3279" s="282" t="e">
        <v>#N/A</v>
      </c>
      <c r="AA3279" s="284" t="e">
        <v>#N/A</v>
      </c>
    </row>
    <row r="3280" spans="23:27" x14ac:dyDescent="0.2">
      <c r="W3280" s="203" t="str">
        <f t="shared" si="60"/>
        <v>1w</v>
      </c>
      <c r="X3280" s="287">
        <f>_xll.qlCalendarAdvance(Calendar,X3279,W3280,"f",FALSE)</f>
        <v>62199</v>
      </c>
      <c r="Y3280" s="281">
        <f>_xll.qlCalendarAdvance(Calendar,X3280,NDays&amp;"D")</f>
        <v>62201</v>
      </c>
      <c r="Z3280" s="282" t="e">
        <v>#N/A</v>
      </c>
      <c r="AA3280" s="284" t="e">
        <v>#N/A</v>
      </c>
    </row>
    <row r="3281" spans="23:27" x14ac:dyDescent="0.2">
      <c r="W3281" s="203" t="str">
        <f t="shared" si="60"/>
        <v>1w</v>
      </c>
      <c r="X3281" s="287">
        <f>_xll.qlCalendarAdvance(Calendar,X3280,W3281,"f",FALSE)</f>
        <v>62206</v>
      </c>
      <c r="Y3281" s="281">
        <f>_xll.qlCalendarAdvance(Calendar,X3281,NDays&amp;"D")</f>
        <v>62208</v>
      </c>
      <c r="Z3281" s="282" t="e">
        <v>#N/A</v>
      </c>
      <c r="AA3281" s="284" t="e">
        <v>#N/A</v>
      </c>
    </row>
    <row r="3282" spans="23:27" x14ac:dyDescent="0.2">
      <c r="W3282" s="203" t="str">
        <f t="shared" si="60"/>
        <v>1w</v>
      </c>
      <c r="X3282" s="287">
        <f>_xll.qlCalendarAdvance(Calendar,X3281,W3282,"f",FALSE)</f>
        <v>62213</v>
      </c>
      <c r="Y3282" s="281">
        <f>_xll.qlCalendarAdvance(Calendar,X3282,NDays&amp;"D")</f>
        <v>62215</v>
      </c>
      <c r="Z3282" s="282" t="e">
        <v>#N/A</v>
      </c>
      <c r="AA3282" s="284" t="e">
        <v>#N/A</v>
      </c>
    </row>
    <row r="3283" spans="23:27" x14ac:dyDescent="0.2">
      <c r="W3283" s="203" t="str">
        <f t="shared" si="60"/>
        <v>1w</v>
      </c>
      <c r="X3283" s="287">
        <f>_xll.qlCalendarAdvance(Calendar,X3282,W3283,"f",FALSE)</f>
        <v>62220</v>
      </c>
      <c r="Y3283" s="281">
        <f>_xll.qlCalendarAdvance(Calendar,X3283,NDays&amp;"D")</f>
        <v>62222</v>
      </c>
      <c r="Z3283" s="282" t="e">
        <v>#N/A</v>
      </c>
      <c r="AA3283" s="284" t="e">
        <v>#N/A</v>
      </c>
    </row>
    <row r="3284" spans="23:27" x14ac:dyDescent="0.2">
      <c r="W3284" s="203" t="str">
        <f t="shared" si="60"/>
        <v>1w</v>
      </c>
      <c r="X3284" s="287">
        <f>_xll.qlCalendarAdvance(Calendar,X3283,W3284,"f",FALSE)</f>
        <v>62227</v>
      </c>
      <c r="Y3284" s="281">
        <f>_xll.qlCalendarAdvance(Calendar,X3284,NDays&amp;"D")</f>
        <v>62229</v>
      </c>
      <c r="Z3284" s="282" t="e">
        <v>#N/A</v>
      </c>
      <c r="AA3284" s="284" t="e">
        <v>#N/A</v>
      </c>
    </row>
    <row r="3285" spans="23:27" x14ac:dyDescent="0.2">
      <c r="W3285" s="203" t="str">
        <f t="shared" ref="W3285:W3348" si="61">W3284</f>
        <v>1w</v>
      </c>
      <c r="X3285" s="287">
        <f>_xll.qlCalendarAdvance(Calendar,X3284,W3285,"f",FALSE)</f>
        <v>62234</v>
      </c>
      <c r="Y3285" s="281">
        <f>_xll.qlCalendarAdvance(Calendar,X3285,NDays&amp;"D")</f>
        <v>62236</v>
      </c>
      <c r="Z3285" s="282" t="e">
        <v>#N/A</v>
      </c>
      <c r="AA3285" s="284" t="e">
        <v>#N/A</v>
      </c>
    </row>
    <row r="3286" spans="23:27" x14ac:dyDescent="0.2">
      <c r="W3286" s="203" t="str">
        <f t="shared" si="61"/>
        <v>1w</v>
      </c>
      <c r="X3286" s="287">
        <f>_xll.qlCalendarAdvance(Calendar,X3285,W3286,"f",FALSE)</f>
        <v>62241</v>
      </c>
      <c r="Y3286" s="281">
        <f>_xll.qlCalendarAdvance(Calendar,X3286,NDays&amp;"D")</f>
        <v>62243</v>
      </c>
      <c r="Z3286" s="282" t="e">
        <v>#N/A</v>
      </c>
      <c r="AA3286" s="284" t="e">
        <v>#N/A</v>
      </c>
    </row>
    <row r="3287" spans="23:27" x14ac:dyDescent="0.2">
      <c r="W3287" s="203" t="str">
        <f t="shared" si="61"/>
        <v>1w</v>
      </c>
      <c r="X3287" s="287">
        <f>_xll.qlCalendarAdvance(Calendar,X3286,W3287,"f",FALSE)</f>
        <v>62248</v>
      </c>
      <c r="Y3287" s="281">
        <f>_xll.qlCalendarAdvance(Calendar,X3287,NDays&amp;"D")</f>
        <v>62250</v>
      </c>
      <c r="Z3287" s="282" t="e">
        <v>#N/A</v>
      </c>
      <c r="AA3287" s="284" t="e">
        <v>#N/A</v>
      </c>
    </row>
    <row r="3288" spans="23:27" x14ac:dyDescent="0.2">
      <c r="W3288" s="203" t="str">
        <f t="shared" si="61"/>
        <v>1w</v>
      </c>
      <c r="X3288" s="287">
        <f>_xll.qlCalendarAdvance(Calendar,X3287,W3288,"f",FALSE)</f>
        <v>62255</v>
      </c>
      <c r="Y3288" s="281">
        <f>_xll.qlCalendarAdvance(Calendar,X3288,NDays&amp;"D")</f>
        <v>62257</v>
      </c>
      <c r="Z3288" s="282" t="e">
        <v>#N/A</v>
      </c>
      <c r="AA3288" s="284" t="e">
        <v>#N/A</v>
      </c>
    </row>
    <row r="3289" spans="23:27" x14ac:dyDescent="0.2">
      <c r="W3289" s="203" t="str">
        <f t="shared" si="61"/>
        <v>1w</v>
      </c>
      <c r="X3289" s="287">
        <f>_xll.qlCalendarAdvance(Calendar,X3288,W3289,"f",FALSE)</f>
        <v>62262</v>
      </c>
      <c r="Y3289" s="281">
        <f>_xll.qlCalendarAdvance(Calendar,X3289,NDays&amp;"D")</f>
        <v>62264</v>
      </c>
      <c r="Z3289" s="282" t="e">
        <v>#N/A</v>
      </c>
      <c r="AA3289" s="284" t="e">
        <v>#N/A</v>
      </c>
    </row>
    <row r="3290" spans="23:27" x14ac:dyDescent="0.2">
      <c r="W3290" s="203" t="str">
        <f t="shared" si="61"/>
        <v>1w</v>
      </c>
      <c r="X3290" s="287">
        <f>_xll.qlCalendarAdvance(Calendar,X3289,W3290,"f",FALSE)</f>
        <v>62269</v>
      </c>
      <c r="Y3290" s="281">
        <f>_xll.qlCalendarAdvance(Calendar,X3290,NDays&amp;"D")</f>
        <v>62271</v>
      </c>
      <c r="Z3290" s="282" t="e">
        <v>#N/A</v>
      </c>
      <c r="AA3290" s="284" t="e">
        <v>#N/A</v>
      </c>
    </row>
    <row r="3291" spans="23:27" x14ac:dyDescent="0.2">
      <c r="W3291" s="203" t="str">
        <f t="shared" si="61"/>
        <v>1w</v>
      </c>
      <c r="X3291" s="287">
        <f>_xll.qlCalendarAdvance(Calendar,X3290,W3291,"f",FALSE)</f>
        <v>62276</v>
      </c>
      <c r="Y3291" s="281">
        <f>_xll.qlCalendarAdvance(Calendar,X3291,NDays&amp;"D")</f>
        <v>62278</v>
      </c>
      <c r="Z3291" s="282" t="e">
        <v>#N/A</v>
      </c>
      <c r="AA3291" s="284" t="e">
        <v>#N/A</v>
      </c>
    </row>
    <row r="3292" spans="23:27" x14ac:dyDescent="0.2">
      <c r="W3292" s="203" t="str">
        <f t="shared" si="61"/>
        <v>1w</v>
      </c>
      <c r="X3292" s="287">
        <f>_xll.qlCalendarAdvance(Calendar,X3291,W3292,"f",FALSE)</f>
        <v>62283</v>
      </c>
      <c r="Y3292" s="281">
        <f>_xll.qlCalendarAdvance(Calendar,X3292,NDays&amp;"D")</f>
        <v>62285</v>
      </c>
      <c r="Z3292" s="282" t="e">
        <v>#N/A</v>
      </c>
      <c r="AA3292" s="284" t="e">
        <v>#N/A</v>
      </c>
    </row>
    <row r="3293" spans="23:27" x14ac:dyDescent="0.2">
      <c r="W3293" s="203" t="str">
        <f t="shared" si="61"/>
        <v>1w</v>
      </c>
      <c r="X3293" s="287">
        <f>_xll.qlCalendarAdvance(Calendar,X3292,W3293,"f",FALSE)</f>
        <v>62290</v>
      </c>
      <c r="Y3293" s="281">
        <f>_xll.qlCalendarAdvance(Calendar,X3293,NDays&amp;"D")</f>
        <v>62292</v>
      </c>
      <c r="Z3293" s="282" t="e">
        <v>#N/A</v>
      </c>
      <c r="AA3293" s="284" t="e">
        <v>#N/A</v>
      </c>
    </row>
    <row r="3294" spans="23:27" x14ac:dyDescent="0.2">
      <c r="W3294" s="203" t="str">
        <f t="shared" si="61"/>
        <v>1w</v>
      </c>
      <c r="X3294" s="287">
        <f>_xll.qlCalendarAdvance(Calendar,X3293,W3294,"f",FALSE)</f>
        <v>62297</v>
      </c>
      <c r="Y3294" s="281">
        <f>_xll.qlCalendarAdvance(Calendar,X3294,NDays&amp;"D")</f>
        <v>62299</v>
      </c>
      <c r="Z3294" s="282" t="e">
        <v>#N/A</v>
      </c>
      <c r="AA3294" s="284" t="e">
        <v>#N/A</v>
      </c>
    </row>
    <row r="3295" spans="23:27" x14ac:dyDescent="0.2">
      <c r="W3295" s="203" t="str">
        <f t="shared" si="61"/>
        <v>1w</v>
      </c>
      <c r="X3295" s="287">
        <f>_xll.qlCalendarAdvance(Calendar,X3294,W3295,"f",FALSE)</f>
        <v>62304</v>
      </c>
      <c r="Y3295" s="281">
        <f>_xll.qlCalendarAdvance(Calendar,X3295,NDays&amp;"D")</f>
        <v>62306</v>
      </c>
      <c r="Z3295" s="282" t="e">
        <v>#N/A</v>
      </c>
      <c r="AA3295" s="284" t="e">
        <v>#N/A</v>
      </c>
    </row>
    <row r="3296" spans="23:27" x14ac:dyDescent="0.2">
      <c r="W3296" s="203" t="str">
        <f t="shared" si="61"/>
        <v>1w</v>
      </c>
      <c r="X3296" s="287">
        <f>_xll.qlCalendarAdvance(Calendar,X3295,W3296,"f",FALSE)</f>
        <v>62311</v>
      </c>
      <c r="Y3296" s="281">
        <f>_xll.qlCalendarAdvance(Calendar,X3296,NDays&amp;"D")</f>
        <v>62313</v>
      </c>
      <c r="Z3296" s="282" t="e">
        <v>#N/A</v>
      </c>
      <c r="AA3296" s="284" t="e">
        <v>#N/A</v>
      </c>
    </row>
    <row r="3297" spans="23:27" x14ac:dyDescent="0.2">
      <c r="W3297" s="203" t="str">
        <f t="shared" si="61"/>
        <v>1w</v>
      </c>
      <c r="X3297" s="287">
        <f>_xll.qlCalendarAdvance(Calendar,X3296,W3297,"f",FALSE)</f>
        <v>62318</v>
      </c>
      <c r="Y3297" s="281">
        <f>_xll.qlCalendarAdvance(Calendar,X3297,NDays&amp;"D")</f>
        <v>62320</v>
      </c>
      <c r="Z3297" s="282" t="e">
        <v>#N/A</v>
      </c>
      <c r="AA3297" s="284" t="e">
        <v>#N/A</v>
      </c>
    </row>
    <row r="3298" spans="23:27" x14ac:dyDescent="0.2">
      <c r="W3298" s="203" t="str">
        <f t="shared" si="61"/>
        <v>1w</v>
      </c>
      <c r="X3298" s="287">
        <f>_xll.qlCalendarAdvance(Calendar,X3297,W3298,"f",FALSE)</f>
        <v>62325</v>
      </c>
      <c r="Y3298" s="281">
        <f>_xll.qlCalendarAdvance(Calendar,X3298,NDays&amp;"D")</f>
        <v>62327</v>
      </c>
      <c r="Z3298" s="282" t="e">
        <v>#N/A</v>
      </c>
      <c r="AA3298" s="284" t="e">
        <v>#N/A</v>
      </c>
    </row>
    <row r="3299" spans="23:27" x14ac:dyDescent="0.2">
      <c r="W3299" s="203" t="str">
        <f t="shared" si="61"/>
        <v>1w</v>
      </c>
      <c r="X3299" s="287">
        <f>_xll.qlCalendarAdvance(Calendar,X3298,W3299,"f",FALSE)</f>
        <v>62332</v>
      </c>
      <c r="Y3299" s="281">
        <f>_xll.qlCalendarAdvance(Calendar,X3299,NDays&amp;"D")</f>
        <v>62334</v>
      </c>
      <c r="Z3299" s="282" t="e">
        <v>#N/A</v>
      </c>
      <c r="AA3299" s="284" t="e">
        <v>#N/A</v>
      </c>
    </row>
    <row r="3300" spans="23:27" x14ac:dyDescent="0.2">
      <c r="W3300" s="203" t="str">
        <f t="shared" si="61"/>
        <v>1w</v>
      </c>
      <c r="X3300" s="287">
        <f>_xll.qlCalendarAdvance(Calendar,X3299,W3300,"f",FALSE)</f>
        <v>62339</v>
      </c>
      <c r="Y3300" s="281">
        <f>_xll.qlCalendarAdvance(Calendar,X3300,NDays&amp;"D")</f>
        <v>62341</v>
      </c>
      <c r="Z3300" s="282" t="e">
        <v>#N/A</v>
      </c>
      <c r="AA3300" s="284" t="e">
        <v>#N/A</v>
      </c>
    </row>
    <row r="3301" spans="23:27" x14ac:dyDescent="0.2">
      <c r="W3301" s="203" t="str">
        <f t="shared" si="61"/>
        <v>1w</v>
      </c>
      <c r="X3301" s="287">
        <f>_xll.qlCalendarAdvance(Calendar,X3300,W3301,"f",FALSE)</f>
        <v>62346</v>
      </c>
      <c r="Y3301" s="281">
        <f>_xll.qlCalendarAdvance(Calendar,X3301,NDays&amp;"D")</f>
        <v>62348</v>
      </c>
      <c r="Z3301" s="282" t="e">
        <v>#N/A</v>
      </c>
      <c r="AA3301" s="284" t="e">
        <v>#N/A</v>
      </c>
    </row>
    <row r="3302" spans="23:27" x14ac:dyDescent="0.2">
      <c r="W3302" s="203" t="str">
        <f t="shared" si="61"/>
        <v>1w</v>
      </c>
      <c r="X3302" s="287">
        <f>_xll.qlCalendarAdvance(Calendar,X3301,W3302,"f",FALSE)</f>
        <v>62353</v>
      </c>
      <c r="Y3302" s="281">
        <f>_xll.qlCalendarAdvance(Calendar,X3302,NDays&amp;"D")</f>
        <v>62355</v>
      </c>
      <c r="Z3302" s="282" t="e">
        <v>#N/A</v>
      </c>
      <c r="AA3302" s="284" t="e">
        <v>#N/A</v>
      </c>
    </row>
    <row r="3303" spans="23:27" x14ac:dyDescent="0.2">
      <c r="W3303" s="203" t="str">
        <f t="shared" si="61"/>
        <v>1w</v>
      </c>
      <c r="X3303" s="287">
        <f>_xll.qlCalendarAdvance(Calendar,X3302,W3303,"f",FALSE)</f>
        <v>62360</v>
      </c>
      <c r="Y3303" s="281">
        <f>_xll.qlCalendarAdvance(Calendar,X3303,NDays&amp;"D")</f>
        <v>62362</v>
      </c>
      <c r="Z3303" s="282" t="e">
        <v>#N/A</v>
      </c>
      <c r="AA3303" s="284" t="e">
        <v>#N/A</v>
      </c>
    </row>
    <row r="3304" spans="23:27" x14ac:dyDescent="0.2">
      <c r="W3304" s="203" t="str">
        <f t="shared" si="61"/>
        <v>1w</v>
      </c>
      <c r="X3304" s="287">
        <f>_xll.qlCalendarAdvance(Calendar,X3303,W3304,"f",FALSE)</f>
        <v>62367</v>
      </c>
      <c r="Y3304" s="281">
        <f>_xll.qlCalendarAdvance(Calendar,X3304,NDays&amp;"D")</f>
        <v>62369</v>
      </c>
      <c r="Z3304" s="282" t="e">
        <v>#N/A</v>
      </c>
      <c r="AA3304" s="284" t="e">
        <v>#N/A</v>
      </c>
    </row>
    <row r="3305" spans="23:27" x14ac:dyDescent="0.2">
      <c r="W3305" s="203" t="str">
        <f t="shared" si="61"/>
        <v>1w</v>
      </c>
      <c r="X3305" s="287">
        <f>_xll.qlCalendarAdvance(Calendar,X3304,W3305,"f",FALSE)</f>
        <v>62374</v>
      </c>
      <c r="Y3305" s="281">
        <f>_xll.qlCalendarAdvance(Calendar,X3305,NDays&amp;"D")</f>
        <v>62376</v>
      </c>
      <c r="Z3305" s="282" t="e">
        <v>#N/A</v>
      </c>
      <c r="AA3305" s="284" t="e">
        <v>#N/A</v>
      </c>
    </row>
    <row r="3306" spans="23:27" x14ac:dyDescent="0.2">
      <c r="W3306" s="203" t="str">
        <f t="shared" si="61"/>
        <v>1w</v>
      </c>
      <c r="X3306" s="287">
        <f>_xll.qlCalendarAdvance(Calendar,X3305,W3306,"f",FALSE)</f>
        <v>62381</v>
      </c>
      <c r="Y3306" s="281">
        <f>_xll.qlCalendarAdvance(Calendar,X3306,NDays&amp;"D")</f>
        <v>62383</v>
      </c>
      <c r="Z3306" s="282" t="e">
        <v>#N/A</v>
      </c>
      <c r="AA3306" s="284" t="e">
        <v>#N/A</v>
      </c>
    </row>
    <row r="3307" spans="23:27" x14ac:dyDescent="0.2">
      <c r="W3307" s="203" t="str">
        <f t="shared" si="61"/>
        <v>1w</v>
      </c>
      <c r="X3307" s="287">
        <f>_xll.qlCalendarAdvance(Calendar,X3306,W3307,"f",FALSE)</f>
        <v>62388</v>
      </c>
      <c r="Y3307" s="281">
        <f>_xll.qlCalendarAdvance(Calendar,X3307,NDays&amp;"D")</f>
        <v>62390</v>
      </c>
      <c r="Z3307" s="282" t="e">
        <v>#N/A</v>
      </c>
      <c r="AA3307" s="284" t="e">
        <v>#N/A</v>
      </c>
    </row>
    <row r="3308" spans="23:27" x14ac:dyDescent="0.2">
      <c r="W3308" s="203" t="str">
        <f t="shared" si="61"/>
        <v>1w</v>
      </c>
      <c r="X3308" s="287">
        <f>_xll.qlCalendarAdvance(Calendar,X3307,W3308,"f",FALSE)</f>
        <v>62395</v>
      </c>
      <c r="Y3308" s="281">
        <f>_xll.qlCalendarAdvance(Calendar,X3308,NDays&amp;"D")</f>
        <v>62397</v>
      </c>
      <c r="Z3308" s="282" t="e">
        <v>#N/A</v>
      </c>
      <c r="AA3308" s="284" t="e">
        <v>#N/A</v>
      </c>
    </row>
    <row r="3309" spans="23:27" x14ac:dyDescent="0.2">
      <c r="W3309" s="203" t="str">
        <f t="shared" si="61"/>
        <v>1w</v>
      </c>
      <c r="X3309" s="287">
        <f>_xll.qlCalendarAdvance(Calendar,X3308,W3309,"f",FALSE)</f>
        <v>62402</v>
      </c>
      <c r="Y3309" s="281">
        <f>_xll.qlCalendarAdvance(Calendar,X3309,NDays&amp;"D")</f>
        <v>62404</v>
      </c>
      <c r="Z3309" s="282" t="e">
        <v>#N/A</v>
      </c>
      <c r="AA3309" s="284" t="e">
        <v>#N/A</v>
      </c>
    </row>
    <row r="3310" spans="23:27" x14ac:dyDescent="0.2">
      <c r="W3310" s="203" t="str">
        <f t="shared" si="61"/>
        <v>1w</v>
      </c>
      <c r="X3310" s="287">
        <f>_xll.qlCalendarAdvance(Calendar,X3309,W3310,"f",FALSE)</f>
        <v>62409</v>
      </c>
      <c r="Y3310" s="281">
        <f>_xll.qlCalendarAdvance(Calendar,X3310,NDays&amp;"D")</f>
        <v>62411</v>
      </c>
      <c r="Z3310" s="282" t="e">
        <v>#N/A</v>
      </c>
      <c r="AA3310" s="284" t="e">
        <v>#N/A</v>
      </c>
    </row>
    <row r="3311" spans="23:27" x14ac:dyDescent="0.2">
      <c r="W3311" s="203" t="str">
        <f t="shared" si="61"/>
        <v>1w</v>
      </c>
      <c r="X3311" s="287">
        <f>_xll.qlCalendarAdvance(Calendar,X3310,W3311,"f",FALSE)</f>
        <v>62416</v>
      </c>
      <c r="Y3311" s="281">
        <f>_xll.qlCalendarAdvance(Calendar,X3311,NDays&amp;"D")</f>
        <v>62418</v>
      </c>
      <c r="Z3311" s="282" t="e">
        <v>#N/A</v>
      </c>
      <c r="AA3311" s="284" t="e">
        <v>#N/A</v>
      </c>
    </row>
    <row r="3312" spans="23:27" x14ac:dyDescent="0.2">
      <c r="W3312" s="203" t="str">
        <f t="shared" si="61"/>
        <v>1w</v>
      </c>
      <c r="X3312" s="287">
        <f>_xll.qlCalendarAdvance(Calendar,X3311,W3312,"f",FALSE)</f>
        <v>62423</v>
      </c>
      <c r="Y3312" s="281">
        <f>_xll.qlCalendarAdvance(Calendar,X3312,NDays&amp;"D")</f>
        <v>62425</v>
      </c>
      <c r="Z3312" s="282" t="e">
        <v>#N/A</v>
      </c>
      <c r="AA3312" s="284" t="e">
        <v>#N/A</v>
      </c>
    </row>
    <row r="3313" spans="23:27" x14ac:dyDescent="0.2">
      <c r="W3313" s="203" t="str">
        <f t="shared" si="61"/>
        <v>1w</v>
      </c>
      <c r="X3313" s="287">
        <f>_xll.qlCalendarAdvance(Calendar,X3312,W3313,"f",FALSE)</f>
        <v>62430</v>
      </c>
      <c r="Y3313" s="281">
        <f>_xll.qlCalendarAdvance(Calendar,X3313,NDays&amp;"D")</f>
        <v>62432</v>
      </c>
      <c r="Z3313" s="282" t="e">
        <v>#N/A</v>
      </c>
      <c r="AA3313" s="284" t="e">
        <v>#N/A</v>
      </c>
    </row>
    <row r="3314" spans="23:27" x14ac:dyDescent="0.2">
      <c r="W3314" s="203" t="str">
        <f t="shared" si="61"/>
        <v>1w</v>
      </c>
      <c r="X3314" s="287">
        <f>_xll.qlCalendarAdvance(Calendar,X3313,W3314,"f",FALSE)</f>
        <v>62437</v>
      </c>
      <c r="Y3314" s="281">
        <f>_xll.qlCalendarAdvance(Calendar,X3314,NDays&amp;"D")</f>
        <v>62439</v>
      </c>
      <c r="Z3314" s="282" t="e">
        <v>#N/A</v>
      </c>
      <c r="AA3314" s="284" t="e">
        <v>#N/A</v>
      </c>
    </row>
    <row r="3315" spans="23:27" x14ac:dyDescent="0.2">
      <c r="W3315" s="203" t="str">
        <f t="shared" si="61"/>
        <v>1w</v>
      </c>
      <c r="X3315" s="287">
        <f>_xll.qlCalendarAdvance(Calendar,X3314,W3315,"f",FALSE)</f>
        <v>62444</v>
      </c>
      <c r="Y3315" s="281">
        <f>_xll.qlCalendarAdvance(Calendar,X3315,NDays&amp;"D")</f>
        <v>62446</v>
      </c>
      <c r="Z3315" s="282" t="e">
        <v>#N/A</v>
      </c>
      <c r="AA3315" s="284" t="e">
        <v>#N/A</v>
      </c>
    </row>
    <row r="3316" spans="23:27" x14ac:dyDescent="0.2">
      <c r="W3316" s="203" t="str">
        <f t="shared" si="61"/>
        <v>1w</v>
      </c>
      <c r="X3316" s="287">
        <f>_xll.qlCalendarAdvance(Calendar,X3315,W3316,"f",FALSE)</f>
        <v>62451</v>
      </c>
      <c r="Y3316" s="281">
        <f>_xll.qlCalendarAdvance(Calendar,X3316,NDays&amp;"D")</f>
        <v>62457</v>
      </c>
      <c r="Z3316" s="282" t="e">
        <v>#N/A</v>
      </c>
      <c r="AA3316" s="284" t="e">
        <v>#N/A</v>
      </c>
    </row>
    <row r="3317" spans="23:27" x14ac:dyDescent="0.2">
      <c r="W3317" s="203" t="str">
        <f t="shared" si="61"/>
        <v>1w</v>
      </c>
      <c r="X3317" s="287">
        <f>_xll.qlCalendarAdvance(Calendar,X3316,W3317,"f",FALSE)</f>
        <v>62463</v>
      </c>
      <c r="Y3317" s="281">
        <f>_xll.qlCalendarAdvance(Calendar,X3317,NDays&amp;"D")</f>
        <v>62465</v>
      </c>
      <c r="Z3317" s="282" t="e">
        <v>#N/A</v>
      </c>
      <c r="AA3317" s="284" t="e">
        <v>#N/A</v>
      </c>
    </row>
    <row r="3318" spans="23:27" x14ac:dyDescent="0.2">
      <c r="W3318" s="203" t="str">
        <f t="shared" si="61"/>
        <v>1w</v>
      </c>
      <c r="X3318" s="287">
        <f>_xll.qlCalendarAdvance(Calendar,X3317,W3318,"f",FALSE)</f>
        <v>62471</v>
      </c>
      <c r="Y3318" s="281">
        <f>_xll.qlCalendarAdvance(Calendar,X3318,NDays&amp;"D")</f>
        <v>62473</v>
      </c>
      <c r="Z3318" s="282" t="e">
        <v>#N/A</v>
      </c>
      <c r="AA3318" s="284" t="e">
        <v>#N/A</v>
      </c>
    </row>
    <row r="3319" spans="23:27" x14ac:dyDescent="0.2">
      <c r="W3319" s="203" t="str">
        <f t="shared" si="61"/>
        <v>1w</v>
      </c>
      <c r="X3319" s="287">
        <f>_xll.qlCalendarAdvance(Calendar,X3318,W3319,"f",FALSE)</f>
        <v>62478</v>
      </c>
      <c r="Y3319" s="281">
        <f>_xll.qlCalendarAdvance(Calendar,X3319,NDays&amp;"D")</f>
        <v>62480</v>
      </c>
      <c r="Z3319" s="282" t="e">
        <v>#N/A</v>
      </c>
      <c r="AA3319" s="284" t="e">
        <v>#N/A</v>
      </c>
    </row>
    <row r="3320" spans="23:27" x14ac:dyDescent="0.2">
      <c r="W3320" s="203" t="str">
        <f t="shared" si="61"/>
        <v>1w</v>
      </c>
      <c r="X3320" s="287">
        <f>_xll.qlCalendarAdvance(Calendar,X3319,W3320,"f",FALSE)</f>
        <v>62485</v>
      </c>
      <c r="Y3320" s="281">
        <f>_xll.qlCalendarAdvance(Calendar,X3320,NDays&amp;"D")</f>
        <v>62487</v>
      </c>
      <c r="Z3320" s="282" t="e">
        <v>#N/A</v>
      </c>
      <c r="AA3320" s="284" t="e">
        <v>#N/A</v>
      </c>
    </row>
    <row r="3321" spans="23:27" x14ac:dyDescent="0.2">
      <c r="W3321" s="203" t="str">
        <f t="shared" si="61"/>
        <v>1w</v>
      </c>
      <c r="X3321" s="287">
        <f>_xll.qlCalendarAdvance(Calendar,X3320,W3321,"f",FALSE)</f>
        <v>62492</v>
      </c>
      <c r="Y3321" s="281">
        <f>_xll.qlCalendarAdvance(Calendar,X3321,NDays&amp;"D")</f>
        <v>62494</v>
      </c>
      <c r="Z3321" s="282" t="e">
        <v>#N/A</v>
      </c>
      <c r="AA3321" s="284" t="e">
        <v>#N/A</v>
      </c>
    </row>
    <row r="3322" spans="23:27" x14ac:dyDescent="0.2">
      <c r="W3322" s="203" t="str">
        <f t="shared" si="61"/>
        <v>1w</v>
      </c>
      <c r="X3322" s="287">
        <f>_xll.qlCalendarAdvance(Calendar,X3321,W3322,"f",FALSE)</f>
        <v>62499</v>
      </c>
      <c r="Y3322" s="281">
        <f>_xll.qlCalendarAdvance(Calendar,X3322,NDays&amp;"D")</f>
        <v>62502</v>
      </c>
      <c r="Z3322" s="282" t="e">
        <v>#N/A</v>
      </c>
      <c r="AA3322" s="284" t="e">
        <v>#N/A</v>
      </c>
    </row>
    <row r="3323" spans="23:27" x14ac:dyDescent="0.2">
      <c r="W3323" s="203" t="str">
        <f t="shared" si="61"/>
        <v>1w</v>
      </c>
      <c r="X3323" s="287">
        <f>_xll.qlCalendarAdvance(Calendar,X3322,W3323,"f",FALSE)</f>
        <v>62506</v>
      </c>
      <c r="Y3323" s="281">
        <f>_xll.qlCalendarAdvance(Calendar,X3323,NDays&amp;"D")</f>
        <v>62508</v>
      </c>
      <c r="Z3323" s="282" t="e">
        <v>#N/A</v>
      </c>
      <c r="AA3323" s="284" t="e">
        <v>#N/A</v>
      </c>
    </row>
    <row r="3324" spans="23:27" x14ac:dyDescent="0.2">
      <c r="W3324" s="203" t="str">
        <f t="shared" si="61"/>
        <v>1w</v>
      </c>
      <c r="X3324" s="287">
        <f>_xll.qlCalendarAdvance(Calendar,X3323,W3324,"f",FALSE)</f>
        <v>62513</v>
      </c>
      <c r="Y3324" s="281">
        <f>_xll.qlCalendarAdvance(Calendar,X3324,NDays&amp;"D")</f>
        <v>62515</v>
      </c>
      <c r="Z3324" s="282" t="e">
        <v>#N/A</v>
      </c>
      <c r="AA3324" s="284" t="e">
        <v>#N/A</v>
      </c>
    </row>
    <row r="3325" spans="23:27" x14ac:dyDescent="0.2">
      <c r="W3325" s="203" t="str">
        <f t="shared" si="61"/>
        <v>1w</v>
      </c>
      <c r="X3325" s="287">
        <f>_xll.qlCalendarAdvance(Calendar,X3324,W3325,"f",FALSE)</f>
        <v>62520</v>
      </c>
      <c r="Y3325" s="281">
        <f>_xll.qlCalendarAdvance(Calendar,X3325,NDays&amp;"D")</f>
        <v>62522</v>
      </c>
      <c r="Z3325" s="282" t="e">
        <v>#N/A</v>
      </c>
      <c r="AA3325" s="284" t="e">
        <v>#N/A</v>
      </c>
    </row>
    <row r="3326" spans="23:27" x14ac:dyDescent="0.2">
      <c r="W3326" s="203" t="str">
        <f t="shared" si="61"/>
        <v>1w</v>
      </c>
      <c r="X3326" s="287">
        <f>_xll.qlCalendarAdvance(Calendar,X3325,W3326,"f",FALSE)</f>
        <v>62527</v>
      </c>
      <c r="Y3326" s="281">
        <f>_xll.qlCalendarAdvance(Calendar,X3326,NDays&amp;"D")</f>
        <v>62529</v>
      </c>
      <c r="Z3326" s="282" t="e">
        <v>#N/A</v>
      </c>
      <c r="AA3326" s="284" t="e">
        <v>#N/A</v>
      </c>
    </row>
    <row r="3327" spans="23:27" x14ac:dyDescent="0.2">
      <c r="W3327" s="203" t="str">
        <f t="shared" si="61"/>
        <v>1w</v>
      </c>
      <c r="X3327" s="287">
        <f>_xll.qlCalendarAdvance(Calendar,X3326,W3327,"f",FALSE)</f>
        <v>62534</v>
      </c>
      <c r="Y3327" s="281">
        <f>_xll.qlCalendarAdvance(Calendar,X3327,NDays&amp;"D")</f>
        <v>62536</v>
      </c>
      <c r="Z3327" s="282" t="e">
        <v>#N/A</v>
      </c>
      <c r="AA3327" s="284" t="e">
        <v>#N/A</v>
      </c>
    </row>
    <row r="3328" spans="23:27" x14ac:dyDescent="0.2">
      <c r="W3328" s="203" t="str">
        <f t="shared" si="61"/>
        <v>1w</v>
      </c>
      <c r="X3328" s="287">
        <f>_xll.qlCalendarAdvance(Calendar,X3327,W3328,"f",FALSE)</f>
        <v>62541</v>
      </c>
      <c r="Y3328" s="281">
        <f>_xll.qlCalendarAdvance(Calendar,X3328,NDays&amp;"D")</f>
        <v>62543</v>
      </c>
      <c r="Z3328" s="282" t="e">
        <v>#N/A</v>
      </c>
      <c r="AA3328" s="284" t="e">
        <v>#N/A</v>
      </c>
    </row>
    <row r="3329" spans="23:27" x14ac:dyDescent="0.2">
      <c r="W3329" s="203" t="str">
        <f t="shared" si="61"/>
        <v>1w</v>
      </c>
      <c r="X3329" s="287">
        <f>_xll.qlCalendarAdvance(Calendar,X3328,W3329,"f",FALSE)</f>
        <v>62548</v>
      </c>
      <c r="Y3329" s="281">
        <f>_xll.qlCalendarAdvance(Calendar,X3329,NDays&amp;"D")</f>
        <v>62550</v>
      </c>
      <c r="Z3329" s="282" t="e">
        <v>#N/A</v>
      </c>
      <c r="AA3329" s="284" t="e">
        <v>#N/A</v>
      </c>
    </row>
    <row r="3330" spans="23:27" x14ac:dyDescent="0.2">
      <c r="W3330" s="203" t="str">
        <f t="shared" si="61"/>
        <v>1w</v>
      </c>
      <c r="X3330" s="287">
        <f>_xll.qlCalendarAdvance(Calendar,X3329,W3330,"f",FALSE)</f>
        <v>62555</v>
      </c>
      <c r="Y3330" s="281">
        <f>_xll.qlCalendarAdvance(Calendar,X3330,NDays&amp;"D")</f>
        <v>62557</v>
      </c>
      <c r="Z3330" s="282" t="e">
        <v>#N/A</v>
      </c>
      <c r="AA3330" s="284" t="e">
        <v>#N/A</v>
      </c>
    </row>
    <row r="3331" spans="23:27" x14ac:dyDescent="0.2">
      <c r="W3331" s="203" t="str">
        <f t="shared" si="61"/>
        <v>1w</v>
      </c>
      <c r="X3331" s="287">
        <f>_xll.qlCalendarAdvance(Calendar,X3330,W3331,"f",FALSE)</f>
        <v>62562</v>
      </c>
      <c r="Y3331" s="281">
        <f>_xll.qlCalendarAdvance(Calendar,X3331,NDays&amp;"D")</f>
        <v>62564</v>
      </c>
      <c r="Z3331" s="282" t="e">
        <v>#N/A</v>
      </c>
      <c r="AA3331" s="284" t="e">
        <v>#N/A</v>
      </c>
    </row>
    <row r="3332" spans="23:27" x14ac:dyDescent="0.2">
      <c r="W3332" s="203" t="str">
        <f t="shared" si="61"/>
        <v>1w</v>
      </c>
      <c r="X3332" s="287">
        <f>_xll.qlCalendarAdvance(Calendar,X3331,W3332,"f",FALSE)</f>
        <v>62569</v>
      </c>
      <c r="Y3332" s="281">
        <f>_xll.qlCalendarAdvance(Calendar,X3332,NDays&amp;"D")</f>
        <v>62571</v>
      </c>
      <c r="Z3332" s="282" t="e">
        <v>#N/A</v>
      </c>
      <c r="AA3332" s="284" t="e">
        <v>#N/A</v>
      </c>
    </row>
    <row r="3333" spans="23:27" x14ac:dyDescent="0.2">
      <c r="W3333" s="203" t="str">
        <f t="shared" si="61"/>
        <v>1w</v>
      </c>
      <c r="X3333" s="287">
        <f>_xll.qlCalendarAdvance(Calendar,X3332,W3333,"f",FALSE)</f>
        <v>62576</v>
      </c>
      <c r="Y3333" s="281">
        <f>_xll.qlCalendarAdvance(Calendar,X3333,NDays&amp;"D")</f>
        <v>62579</v>
      </c>
      <c r="Z3333" s="282" t="e">
        <v>#N/A</v>
      </c>
      <c r="AA3333" s="284" t="e">
        <v>#N/A</v>
      </c>
    </row>
    <row r="3334" spans="23:27" x14ac:dyDescent="0.2">
      <c r="W3334" s="203" t="str">
        <f t="shared" si="61"/>
        <v>1w</v>
      </c>
      <c r="X3334" s="287">
        <f>_xll.qlCalendarAdvance(Calendar,X3333,W3334,"f",FALSE)</f>
        <v>62585</v>
      </c>
      <c r="Y3334" s="281">
        <f>_xll.qlCalendarAdvance(Calendar,X3334,NDays&amp;"D")</f>
        <v>62589</v>
      </c>
      <c r="Z3334" s="282" t="e">
        <v>#N/A</v>
      </c>
      <c r="AA3334" s="284" t="e">
        <v>#N/A</v>
      </c>
    </row>
    <row r="3335" spans="23:27" x14ac:dyDescent="0.2">
      <c r="W3335" s="203" t="str">
        <f t="shared" si="61"/>
        <v>1w</v>
      </c>
      <c r="X3335" s="287">
        <f>_xll.qlCalendarAdvance(Calendar,X3334,W3335,"f",FALSE)</f>
        <v>62592</v>
      </c>
      <c r="Y3335" s="281">
        <f>_xll.qlCalendarAdvance(Calendar,X3335,NDays&amp;"D")</f>
        <v>62596</v>
      </c>
      <c r="Z3335" s="282" t="e">
        <v>#N/A</v>
      </c>
      <c r="AA3335" s="284" t="e">
        <v>#N/A</v>
      </c>
    </row>
    <row r="3336" spans="23:27" x14ac:dyDescent="0.2">
      <c r="W3336" s="203" t="str">
        <f t="shared" si="61"/>
        <v>1w</v>
      </c>
      <c r="X3336" s="287">
        <f>_xll.qlCalendarAdvance(Calendar,X3335,W3336,"f",FALSE)</f>
        <v>62599</v>
      </c>
      <c r="Y3336" s="281">
        <f>_xll.qlCalendarAdvance(Calendar,X3336,NDays&amp;"D")</f>
        <v>62604</v>
      </c>
      <c r="Z3336" s="282" t="e">
        <v>#N/A</v>
      </c>
      <c r="AA3336" s="284" t="e">
        <v>#N/A</v>
      </c>
    </row>
    <row r="3337" spans="23:27" x14ac:dyDescent="0.2">
      <c r="W3337" s="203" t="str">
        <f t="shared" si="61"/>
        <v>1w</v>
      </c>
      <c r="X3337" s="287">
        <f>_xll.qlCalendarAdvance(Calendar,X3336,W3337,"f",FALSE)</f>
        <v>62606</v>
      </c>
      <c r="Y3337" s="281">
        <f>_xll.qlCalendarAdvance(Calendar,X3337,NDays&amp;"D")</f>
        <v>62610</v>
      </c>
      <c r="Z3337" s="282" t="e">
        <v>#N/A</v>
      </c>
      <c r="AA3337" s="284" t="e">
        <v>#N/A</v>
      </c>
    </row>
    <row r="3338" spans="23:27" x14ac:dyDescent="0.2">
      <c r="W3338" s="203" t="str">
        <f t="shared" si="61"/>
        <v>1w</v>
      </c>
      <c r="X3338" s="287">
        <f>_xll.qlCalendarAdvance(Calendar,X3337,W3338,"f",FALSE)</f>
        <v>62613</v>
      </c>
      <c r="Y3338" s="281">
        <f>_xll.qlCalendarAdvance(Calendar,X3338,NDays&amp;"D")</f>
        <v>62617</v>
      </c>
      <c r="Z3338" s="282" t="e">
        <v>#N/A</v>
      </c>
      <c r="AA3338" s="284" t="e">
        <v>#N/A</v>
      </c>
    </row>
    <row r="3339" spans="23:27" x14ac:dyDescent="0.2">
      <c r="W3339" s="203" t="str">
        <f t="shared" si="61"/>
        <v>1w</v>
      </c>
      <c r="X3339" s="287">
        <f>_xll.qlCalendarAdvance(Calendar,X3338,W3339,"f",FALSE)</f>
        <v>62620</v>
      </c>
      <c r="Y3339" s="281">
        <f>_xll.qlCalendarAdvance(Calendar,X3339,NDays&amp;"D")</f>
        <v>62624</v>
      </c>
      <c r="Z3339" s="282" t="e">
        <v>#N/A</v>
      </c>
      <c r="AA3339" s="284" t="e">
        <v>#N/A</v>
      </c>
    </row>
    <row r="3340" spans="23:27" x14ac:dyDescent="0.2">
      <c r="W3340" s="203" t="str">
        <f t="shared" si="61"/>
        <v>1w</v>
      </c>
      <c r="X3340" s="287">
        <f>_xll.qlCalendarAdvance(Calendar,X3339,W3340,"f",FALSE)</f>
        <v>62627</v>
      </c>
      <c r="Y3340" s="281">
        <f>_xll.qlCalendarAdvance(Calendar,X3340,NDays&amp;"D")</f>
        <v>62631</v>
      </c>
      <c r="Z3340" s="282" t="e">
        <v>#N/A</v>
      </c>
      <c r="AA3340" s="284" t="e">
        <v>#N/A</v>
      </c>
    </row>
    <row r="3341" spans="23:27" x14ac:dyDescent="0.2">
      <c r="W3341" s="203" t="str">
        <f t="shared" si="61"/>
        <v>1w</v>
      </c>
      <c r="X3341" s="287">
        <f>_xll.qlCalendarAdvance(Calendar,X3340,W3341,"f",FALSE)</f>
        <v>62634</v>
      </c>
      <c r="Y3341" s="281">
        <f>_xll.qlCalendarAdvance(Calendar,X3341,NDays&amp;"D")</f>
        <v>62638</v>
      </c>
      <c r="Z3341" s="282" t="e">
        <v>#N/A</v>
      </c>
      <c r="AA3341" s="284" t="e">
        <v>#N/A</v>
      </c>
    </row>
    <row r="3342" spans="23:27" x14ac:dyDescent="0.2">
      <c r="W3342" s="203" t="str">
        <f t="shared" si="61"/>
        <v>1w</v>
      </c>
      <c r="X3342" s="287">
        <f>_xll.qlCalendarAdvance(Calendar,X3341,W3342,"f",FALSE)</f>
        <v>62641</v>
      </c>
      <c r="Y3342" s="281">
        <f>_xll.qlCalendarAdvance(Calendar,X3342,NDays&amp;"D")</f>
        <v>62645</v>
      </c>
      <c r="Z3342" s="282" t="e">
        <v>#N/A</v>
      </c>
      <c r="AA3342" s="284" t="e">
        <v>#N/A</v>
      </c>
    </row>
    <row r="3343" spans="23:27" x14ac:dyDescent="0.2">
      <c r="W3343" s="203" t="str">
        <f t="shared" si="61"/>
        <v>1w</v>
      </c>
      <c r="X3343" s="287">
        <f>_xll.qlCalendarAdvance(Calendar,X3342,W3343,"f",FALSE)</f>
        <v>62648</v>
      </c>
      <c r="Y3343" s="281">
        <f>_xll.qlCalendarAdvance(Calendar,X3343,NDays&amp;"D")</f>
        <v>62652</v>
      </c>
      <c r="Z3343" s="282" t="e">
        <v>#N/A</v>
      </c>
      <c r="AA3343" s="284" t="e">
        <v>#N/A</v>
      </c>
    </row>
    <row r="3344" spans="23:27" x14ac:dyDescent="0.2">
      <c r="W3344" s="203" t="str">
        <f t="shared" si="61"/>
        <v>1w</v>
      </c>
      <c r="X3344" s="287">
        <f>_xll.qlCalendarAdvance(Calendar,X3343,W3344,"f",FALSE)</f>
        <v>62655</v>
      </c>
      <c r="Y3344" s="281">
        <f>_xll.qlCalendarAdvance(Calendar,X3344,NDays&amp;"D")</f>
        <v>62660</v>
      </c>
      <c r="Z3344" s="282" t="e">
        <v>#N/A</v>
      </c>
      <c r="AA3344" s="284" t="e">
        <v>#N/A</v>
      </c>
    </row>
    <row r="3345" spans="23:27" x14ac:dyDescent="0.2">
      <c r="W3345" s="203" t="str">
        <f t="shared" si="61"/>
        <v>1w</v>
      </c>
      <c r="X3345" s="287">
        <f>_xll.qlCalendarAdvance(Calendar,X3344,W3345,"f",FALSE)</f>
        <v>62662</v>
      </c>
      <c r="Y3345" s="281">
        <f>_xll.qlCalendarAdvance(Calendar,X3345,NDays&amp;"D")</f>
        <v>62666</v>
      </c>
      <c r="Z3345" s="282" t="e">
        <v>#N/A</v>
      </c>
      <c r="AA3345" s="284" t="e">
        <v>#N/A</v>
      </c>
    </row>
    <row r="3346" spans="23:27" x14ac:dyDescent="0.2">
      <c r="W3346" s="203" t="str">
        <f t="shared" si="61"/>
        <v>1w</v>
      </c>
      <c r="X3346" s="287">
        <f>_xll.qlCalendarAdvance(Calendar,X3345,W3346,"f",FALSE)</f>
        <v>62669</v>
      </c>
      <c r="Y3346" s="281">
        <f>_xll.qlCalendarAdvance(Calendar,X3346,NDays&amp;"D")</f>
        <v>62673</v>
      </c>
      <c r="Z3346" s="282" t="e">
        <v>#N/A</v>
      </c>
      <c r="AA3346" s="284" t="e">
        <v>#N/A</v>
      </c>
    </row>
    <row r="3347" spans="23:27" x14ac:dyDescent="0.2">
      <c r="W3347" s="203" t="str">
        <f t="shared" si="61"/>
        <v>1w</v>
      </c>
      <c r="X3347" s="287">
        <f>_xll.qlCalendarAdvance(Calendar,X3346,W3347,"f",FALSE)</f>
        <v>62676</v>
      </c>
      <c r="Y3347" s="281">
        <f>_xll.qlCalendarAdvance(Calendar,X3347,NDays&amp;"D")</f>
        <v>62680</v>
      </c>
      <c r="Z3347" s="282" t="e">
        <v>#N/A</v>
      </c>
      <c r="AA3347" s="284" t="e">
        <v>#N/A</v>
      </c>
    </row>
    <row r="3348" spans="23:27" x14ac:dyDescent="0.2">
      <c r="W3348" s="203" t="str">
        <f t="shared" si="61"/>
        <v>1w</v>
      </c>
      <c r="X3348" s="287">
        <f>_xll.qlCalendarAdvance(Calendar,X3347,W3348,"f",FALSE)</f>
        <v>62683</v>
      </c>
      <c r="Y3348" s="281">
        <f>_xll.qlCalendarAdvance(Calendar,X3348,NDays&amp;"D")</f>
        <v>62687</v>
      </c>
      <c r="Z3348" s="282" t="e">
        <v>#N/A</v>
      </c>
      <c r="AA3348" s="284" t="e">
        <v>#N/A</v>
      </c>
    </row>
    <row r="3349" spans="23:27" x14ac:dyDescent="0.2">
      <c r="W3349" s="203" t="str">
        <f t="shared" ref="W3349:W3412" si="62">W3348</f>
        <v>1w</v>
      </c>
      <c r="X3349" s="287">
        <f>_xll.qlCalendarAdvance(Calendar,X3348,W3349,"f",FALSE)</f>
        <v>62690</v>
      </c>
      <c r="Y3349" s="281">
        <f>_xll.qlCalendarAdvance(Calendar,X3349,NDays&amp;"D")</f>
        <v>62694</v>
      </c>
      <c r="Z3349" s="282" t="e">
        <v>#N/A</v>
      </c>
      <c r="AA3349" s="284" t="e">
        <v>#N/A</v>
      </c>
    </row>
    <row r="3350" spans="23:27" x14ac:dyDescent="0.2">
      <c r="W3350" s="203" t="str">
        <f t="shared" si="62"/>
        <v>1w</v>
      </c>
      <c r="X3350" s="287">
        <f>_xll.qlCalendarAdvance(Calendar,X3349,W3350,"f",FALSE)</f>
        <v>62697</v>
      </c>
      <c r="Y3350" s="281">
        <f>_xll.qlCalendarAdvance(Calendar,X3350,NDays&amp;"D")</f>
        <v>62702</v>
      </c>
      <c r="Z3350" s="282" t="e">
        <v>#N/A</v>
      </c>
      <c r="AA3350" s="284" t="e">
        <v>#N/A</v>
      </c>
    </row>
    <row r="3351" spans="23:27" x14ac:dyDescent="0.2">
      <c r="W3351" s="203" t="str">
        <f t="shared" si="62"/>
        <v>1w</v>
      </c>
      <c r="X3351" s="287">
        <f>_xll.qlCalendarAdvance(Calendar,X3350,W3351,"f",FALSE)</f>
        <v>62704</v>
      </c>
      <c r="Y3351" s="281">
        <f>_xll.qlCalendarAdvance(Calendar,X3351,NDays&amp;"D")</f>
        <v>62708</v>
      </c>
      <c r="Z3351" s="282" t="e">
        <v>#N/A</v>
      </c>
      <c r="AA3351" s="284" t="e">
        <v>#N/A</v>
      </c>
    </row>
    <row r="3352" spans="23:27" x14ac:dyDescent="0.2">
      <c r="W3352" s="203" t="str">
        <f t="shared" si="62"/>
        <v>1w</v>
      </c>
      <c r="X3352" s="287">
        <f>_xll.qlCalendarAdvance(Calendar,X3351,W3352,"f",FALSE)</f>
        <v>62711</v>
      </c>
      <c r="Y3352" s="281">
        <f>_xll.qlCalendarAdvance(Calendar,X3352,NDays&amp;"D")</f>
        <v>62715</v>
      </c>
      <c r="Z3352" s="282" t="e">
        <v>#N/A</v>
      </c>
      <c r="AA3352" s="284" t="e">
        <v>#N/A</v>
      </c>
    </row>
    <row r="3353" spans="23:27" x14ac:dyDescent="0.2">
      <c r="W3353" s="203" t="str">
        <f t="shared" si="62"/>
        <v>1w</v>
      </c>
      <c r="X3353" s="287">
        <f>_xll.qlCalendarAdvance(Calendar,X3352,W3353,"f",FALSE)</f>
        <v>62718</v>
      </c>
      <c r="Y3353" s="281">
        <f>_xll.qlCalendarAdvance(Calendar,X3353,NDays&amp;"D")</f>
        <v>62725</v>
      </c>
      <c r="Z3353" s="282" t="e">
        <v>#N/A</v>
      </c>
      <c r="AA3353" s="284" t="e">
        <v>#N/A</v>
      </c>
    </row>
    <row r="3354" spans="23:27" x14ac:dyDescent="0.2">
      <c r="W3354" s="203" t="str">
        <f t="shared" si="62"/>
        <v>1w</v>
      </c>
      <c r="X3354" s="287">
        <f>_xll.qlCalendarAdvance(Calendar,X3353,W3354,"f",FALSE)</f>
        <v>62725</v>
      </c>
      <c r="Y3354" s="281">
        <f>_xll.qlCalendarAdvance(Calendar,X3354,NDays&amp;"D")</f>
        <v>62729</v>
      </c>
      <c r="Z3354" s="282" t="e">
        <v>#N/A</v>
      </c>
      <c r="AA3354" s="284" t="e">
        <v>#N/A</v>
      </c>
    </row>
    <row r="3355" spans="23:27" x14ac:dyDescent="0.2">
      <c r="W3355" s="203" t="str">
        <f t="shared" si="62"/>
        <v>1w</v>
      </c>
      <c r="X3355" s="287">
        <f>_xll.qlCalendarAdvance(Calendar,X3354,W3355,"f",FALSE)</f>
        <v>62732</v>
      </c>
      <c r="Y3355" s="281">
        <f>_xll.qlCalendarAdvance(Calendar,X3355,NDays&amp;"D")</f>
        <v>62736</v>
      </c>
      <c r="Z3355" s="282" t="e">
        <v>#N/A</v>
      </c>
      <c r="AA3355" s="284" t="e">
        <v>#N/A</v>
      </c>
    </row>
    <row r="3356" spans="23:27" x14ac:dyDescent="0.2">
      <c r="W3356" s="203" t="str">
        <f t="shared" si="62"/>
        <v>1w</v>
      </c>
      <c r="X3356" s="287">
        <f>_xll.qlCalendarAdvance(Calendar,X3355,W3356,"f",FALSE)</f>
        <v>62739</v>
      </c>
      <c r="Y3356" s="281">
        <f>_xll.qlCalendarAdvance(Calendar,X3356,NDays&amp;"D")</f>
        <v>62744</v>
      </c>
      <c r="Z3356" s="282" t="e">
        <v>#N/A</v>
      </c>
      <c r="AA3356" s="284" t="e">
        <v>#N/A</v>
      </c>
    </row>
    <row r="3357" spans="23:27" x14ac:dyDescent="0.2">
      <c r="W3357" s="203" t="str">
        <f t="shared" si="62"/>
        <v>1w</v>
      </c>
      <c r="X3357" s="287">
        <f>_xll.qlCalendarAdvance(Calendar,X3356,W3357,"f",FALSE)</f>
        <v>62746</v>
      </c>
      <c r="Y3357" s="281">
        <f>_xll.qlCalendarAdvance(Calendar,X3357,NDays&amp;"D")</f>
        <v>62750</v>
      </c>
      <c r="Z3357" s="282" t="e">
        <v>#N/A</v>
      </c>
      <c r="AA3357" s="284" t="e">
        <v>#N/A</v>
      </c>
    </row>
    <row r="3358" spans="23:27" x14ac:dyDescent="0.2">
      <c r="W3358" s="203" t="str">
        <f t="shared" si="62"/>
        <v>1w</v>
      </c>
      <c r="X3358" s="287">
        <f>_xll.qlCalendarAdvance(Calendar,X3357,W3358,"f",FALSE)</f>
        <v>62753</v>
      </c>
      <c r="Y3358" s="281">
        <f>_xll.qlCalendarAdvance(Calendar,X3358,NDays&amp;"D")</f>
        <v>62757</v>
      </c>
      <c r="Z3358" s="282" t="e">
        <v>#N/A</v>
      </c>
      <c r="AA3358" s="284" t="e">
        <v>#N/A</v>
      </c>
    </row>
    <row r="3359" spans="23:27" x14ac:dyDescent="0.2">
      <c r="W3359" s="203" t="str">
        <f t="shared" si="62"/>
        <v>1w</v>
      </c>
      <c r="X3359" s="287">
        <f>_xll.qlCalendarAdvance(Calendar,X3358,W3359,"f",FALSE)</f>
        <v>62760</v>
      </c>
      <c r="Y3359" s="281">
        <f>_xll.qlCalendarAdvance(Calendar,X3359,NDays&amp;"D")</f>
        <v>62764</v>
      </c>
      <c r="Z3359" s="282" t="e">
        <v>#N/A</v>
      </c>
      <c r="AA3359" s="284" t="e">
        <v>#N/A</v>
      </c>
    </row>
    <row r="3360" spans="23:27" x14ac:dyDescent="0.2">
      <c r="W3360" s="203" t="str">
        <f t="shared" si="62"/>
        <v>1w</v>
      </c>
      <c r="X3360" s="287">
        <f>_xll.qlCalendarAdvance(Calendar,X3359,W3360,"f",FALSE)</f>
        <v>62767</v>
      </c>
      <c r="Y3360" s="281">
        <f>_xll.qlCalendarAdvance(Calendar,X3360,NDays&amp;"D")</f>
        <v>62771</v>
      </c>
      <c r="Z3360" s="282" t="e">
        <v>#N/A</v>
      </c>
      <c r="AA3360" s="284" t="e">
        <v>#N/A</v>
      </c>
    </row>
    <row r="3361" spans="23:27" x14ac:dyDescent="0.2">
      <c r="W3361" s="203" t="str">
        <f t="shared" si="62"/>
        <v>1w</v>
      </c>
      <c r="X3361" s="287">
        <f>_xll.qlCalendarAdvance(Calendar,X3360,W3361,"f",FALSE)</f>
        <v>62774</v>
      </c>
      <c r="Y3361" s="281">
        <f>_xll.qlCalendarAdvance(Calendar,X3361,NDays&amp;"D")</f>
        <v>62778</v>
      </c>
      <c r="Z3361" s="282" t="e">
        <v>#N/A</v>
      </c>
      <c r="AA3361" s="284" t="e">
        <v>#N/A</v>
      </c>
    </row>
    <row r="3362" spans="23:27" x14ac:dyDescent="0.2">
      <c r="W3362" s="203" t="str">
        <f t="shared" si="62"/>
        <v>1w</v>
      </c>
      <c r="X3362" s="287">
        <f>_xll.qlCalendarAdvance(Calendar,X3361,W3362,"f",FALSE)</f>
        <v>62781</v>
      </c>
      <c r="Y3362" s="281">
        <f>_xll.qlCalendarAdvance(Calendar,X3362,NDays&amp;"D")</f>
        <v>62786</v>
      </c>
      <c r="Z3362" s="282" t="e">
        <v>#N/A</v>
      </c>
      <c r="AA3362" s="284" t="e">
        <v>#N/A</v>
      </c>
    </row>
    <row r="3363" spans="23:27" x14ac:dyDescent="0.2">
      <c r="W3363" s="203" t="str">
        <f t="shared" si="62"/>
        <v>1w</v>
      </c>
      <c r="X3363" s="287">
        <f>_xll.qlCalendarAdvance(Calendar,X3362,W3363,"f",FALSE)</f>
        <v>62788</v>
      </c>
      <c r="Y3363" s="281">
        <f>_xll.qlCalendarAdvance(Calendar,X3363,NDays&amp;"D")</f>
        <v>62792</v>
      </c>
      <c r="Z3363" s="282" t="e">
        <v>#N/A</v>
      </c>
      <c r="AA3363" s="284" t="e">
        <v>#N/A</v>
      </c>
    </row>
    <row r="3364" spans="23:27" x14ac:dyDescent="0.2">
      <c r="W3364" s="203" t="str">
        <f t="shared" si="62"/>
        <v>1w</v>
      </c>
      <c r="X3364" s="287">
        <f>_xll.qlCalendarAdvance(Calendar,X3363,W3364,"f",FALSE)</f>
        <v>62795</v>
      </c>
      <c r="Y3364" s="281">
        <f>_xll.qlCalendarAdvance(Calendar,X3364,NDays&amp;"D")</f>
        <v>62799</v>
      </c>
      <c r="Z3364" s="282" t="e">
        <v>#N/A</v>
      </c>
      <c r="AA3364" s="284" t="e">
        <v>#N/A</v>
      </c>
    </row>
    <row r="3365" spans="23:27" x14ac:dyDescent="0.2">
      <c r="W3365" s="203" t="str">
        <f t="shared" si="62"/>
        <v>1w</v>
      </c>
      <c r="X3365" s="287">
        <f>_xll.qlCalendarAdvance(Calendar,X3364,W3365,"f",FALSE)</f>
        <v>62802</v>
      </c>
      <c r="Y3365" s="281">
        <f>_xll.qlCalendarAdvance(Calendar,X3365,NDays&amp;"D")</f>
        <v>62806</v>
      </c>
      <c r="Z3365" s="282" t="e">
        <v>#N/A</v>
      </c>
      <c r="AA3365" s="284" t="e">
        <v>#N/A</v>
      </c>
    </row>
    <row r="3366" spans="23:27" x14ac:dyDescent="0.2">
      <c r="W3366" s="203" t="str">
        <f t="shared" si="62"/>
        <v>1w</v>
      </c>
      <c r="X3366" s="287">
        <f>_xll.qlCalendarAdvance(Calendar,X3365,W3366,"f",FALSE)</f>
        <v>62809</v>
      </c>
      <c r="Y3366" s="281">
        <f>_xll.qlCalendarAdvance(Calendar,X3366,NDays&amp;"D")</f>
        <v>62813</v>
      </c>
      <c r="Z3366" s="282" t="e">
        <v>#N/A</v>
      </c>
      <c r="AA3366" s="284" t="e">
        <v>#N/A</v>
      </c>
    </row>
    <row r="3367" spans="23:27" x14ac:dyDescent="0.2">
      <c r="W3367" s="203" t="str">
        <f t="shared" si="62"/>
        <v>1w</v>
      </c>
      <c r="X3367" s="287">
        <f>_xll.qlCalendarAdvance(Calendar,X3366,W3367,"f",FALSE)</f>
        <v>62816</v>
      </c>
      <c r="Y3367" s="281">
        <f>_xll.qlCalendarAdvance(Calendar,X3367,NDays&amp;"D")</f>
        <v>62822</v>
      </c>
      <c r="Z3367" s="282" t="e">
        <v>#N/A</v>
      </c>
      <c r="AA3367" s="284" t="e">
        <v>#N/A</v>
      </c>
    </row>
    <row r="3368" spans="23:27" x14ac:dyDescent="0.2">
      <c r="W3368" s="203" t="str">
        <f t="shared" si="62"/>
        <v>1w</v>
      </c>
      <c r="X3368" s="287">
        <f>_xll.qlCalendarAdvance(Calendar,X3367,W3368,"f",FALSE)</f>
        <v>62827</v>
      </c>
      <c r="Y3368" s="281">
        <f>_xll.qlCalendarAdvance(Calendar,X3368,NDays&amp;"D")</f>
        <v>62829</v>
      </c>
      <c r="Z3368" s="282" t="e">
        <v>#N/A</v>
      </c>
      <c r="AA3368" s="284" t="e">
        <v>#N/A</v>
      </c>
    </row>
    <row r="3369" spans="23:27" x14ac:dyDescent="0.2">
      <c r="W3369" s="203" t="str">
        <f t="shared" si="62"/>
        <v>1w</v>
      </c>
      <c r="X3369" s="287">
        <f>_xll.qlCalendarAdvance(Calendar,X3368,W3369,"f",FALSE)</f>
        <v>62835</v>
      </c>
      <c r="Y3369" s="281">
        <f>_xll.qlCalendarAdvance(Calendar,X3369,NDays&amp;"D")</f>
        <v>62837</v>
      </c>
      <c r="Z3369" s="282" t="e">
        <v>#N/A</v>
      </c>
      <c r="AA3369" s="284" t="e">
        <v>#N/A</v>
      </c>
    </row>
    <row r="3370" spans="23:27" x14ac:dyDescent="0.2">
      <c r="W3370" s="203" t="str">
        <f t="shared" si="62"/>
        <v>1w</v>
      </c>
      <c r="X3370" s="287">
        <f>_xll.qlCalendarAdvance(Calendar,X3369,W3370,"f",FALSE)</f>
        <v>62842</v>
      </c>
      <c r="Y3370" s="281">
        <f>_xll.qlCalendarAdvance(Calendar,X3370,NDays&amp;"D")</f>
        <v>62844</v>
      </c>
      <c r="Z3370" s="282" t="e">
        <v>#N/A</v>
      </c>
      <c r="AA3370" s="284" t="e">
        <v>#N/A</v>
      </c>
    </row>
    <row r="3371" spans="23:27" x14ac:dyDescent="0.2">
      <c r="W3371" s="203" t="str">
        <f t="shared" si="62"/>
        <v>1w</v>
      </c>
      <c r="X3371" s="287">
        <f>_xll.qlCalendarAdvance(Calendar,X3370,W3371,"f",FALSE)</f>
        <v>62849</v>
      </c>
      <c r="Y3371" s="281">
        <f>_xll.qlCalendarAdvance(Calendar,X3371,NDays&amp;"D")</f>
        <v>62851</v>
      </c>
      <c r="Z3371" s="282" t="e">
        <v>#N/A</v>
      </c>
      <c r="AA3371" s="284" t="e">
        <v>#N/A</v>
      </c>
    </row>
    <row r="3372" spans="23:27" x14ac:dyDescent="0.2">
      <c r="W3372" s="203" t="str">
        <f t="shared" si="62"/>
        <v>1w</v>
      </c>
      <c r="X3372" s="287">
        <f>_xll.qlCalendarAdvance(Calendar,X3371,W3372,"f",FALSE)</f>
        <v>62856</v>
      </c>
      <c r="Y3372" s="281">
        <f>_xll.qlCalendarAdvance(Calendar,X3372,NDays&amp;"D")</f>
        <v>62858</v>
      </c>
      <c r="Z3372" s="282" t="e">
        <v>#N/A</v>
      </c>
      <c r="AA3372" s="284" t="e">
        <v>#N/A</v>
      </c>
    </row>
    <row r="3373" spans="23:27" x14ac:dyDescent="0.2">
      <c r="W3373" s="203" t="str">
        <f t="shared" si="62"/>
        <v>1w</v>
      </c>
      <c r="X3373" s="287">
        <f>_xll.qlCalendarAdvance(Calendar,X3372,W3373,"f",FALSE)</f>
        <v>62863</v>
      </c>
      <c r="Y3373" s="281">
        <f>_xll.qlCalendarAdvance(Calendar,X3373,NDays&amp;"D")</f>
        <v>62866</v>
      </c>
      <c r="Z3373" s="282" t="e">
        <v>#N/A</v>
      </c>
      <c r="AA3373" s="284" t="e">
        <v>#N/A</v>
      </c>
    </row>
    <row r="3374" spans="23:27" x14ac:dyDescent="0.2">
      <c r="W3374" s="203" t="str">
        <f t="shared" si="62"/>
        <v>1w</v>
      </c>
      <c r="X3374" s="287">
        <f>_xll.qlCalendarAdvance(Calendar,X3373,W3374,"f",FALSE)</f>
        <v>62870</v>
      </c>
      <c r="Y3374" s="281">
        <f>_xll.qlCalendarAdvance(Calendar,X3374,NDays&amp;"D")</f>
        <v>62872</v>
      </c>
      <c r="Z3374" s="282" t="e">
        <v>#N/A</v>
      </c>
      <c r="AA3374" s="284" t="e">
        <v>#N/A</v>
      </c>
    </row>
    <row r="3375" spans="23:27" x14ac:dyDescent="0.2">
      <c r="W3375" s="203" t="str">
        <f t="shared" si="62"/>
        <v>1w</v>
      </c>
      <c r="X3375" s="287">
        <f>_xll.qlCalendarAdvance(Calendar,X3374,W3375,"f",FALSE)</f>
        <v>62877</v>
      </c>
      <c r="Y3375" s="281">
        <f>_xll.qlCalendarAdvance(Calendar,X3375,NDays&amp;"D")</f>
        <v>62879</v>
      </c>
      <c r="Z3375" s="282" t="e">
        <v>#N/A</v>
      </c>
      <c r="AA3375" s="284" t="e">
        <v>#N/A</v>
      </c>
    </row>
    <row r="3376" spans="23:27" x14ac:dyDescent="0.2">
      <c r="W3376" s="203" t="str">
        <f t="shared" si="62"/>
        <v>1w</v>
      </c>
      <c r="X3376" s="287">
        <f>_xll.qlCalendarAdvance(Calendar,X3375,W3376,"f",FALSE)</f>
        <v>62884</v>
      </c>
      <c r="Y3376" s="281">
        <f>_xll.qlCalendarAdvance(Calendar,X3376,NDays&amp;"D")</f>
        <v>62886</v>
      </c>
      <c r="Z3376" s="282" t="e">
        <v>#N/A</v>
      </c>
      <c r="AA3376" s="284" t="e">
        <v>#N/A</v>
      </c>
    </row>
    <row r="3377" spans="23:27" x14ac:dyDescent="0.2">
      <c r="W3377" s="203" t="str">
        <f t="shared" si="62"/>
        <v>1w</v>
      </c>
      <c r="X3377" s="287">
        <f>_xll.qlCalendarAdvance(Calendar,X3376,W3377,"f",FALSE)</f>
        <v>62891</v>
      </c>
      <c r="Y3377" s="281">
        <f>_xll.qlCalendarAdvance(Calendar,X3377,NDays&amp;"D")</f>
        <v>62893</v>
      </c>
      <c r="Z3377" s="282" t="e">
        <v>#N/A</v>
      </c>
      <c r="AA3377" s="284" t="e">
        <v>#N/A</v>
      </c>
    </row>
    <row r="3378" spans="23:27" x14ac:dyDescent="0.2">
      <c r="W3378" s="203" t="str">
        <f t="shared" si="62"/>
        <v>1w</v>
      </c>
      <c r="X3378" s="287">
        <f>_xll.qlCalendarAdvance(Calendar,X3377,W3378,"f",FALSE)</f>
        <v>62898</v>
      </c>
      <c r="Y3378" s="281">
        <f>_xll.qlCalendarAdvance(Calendar,X3378,NDays&amp;"D")</f>
        <v>62900</v>
      </c>
      <c r="Z3378" s="282" t="e">
        <v>#N/A</v>
      </c>
      <c r="AA3378" s="284" t="e">
        <v>#N/A</v>
      </c>
    </row>
    <row r="3379" spans="23:27" x14ac:dyDescent="0.2">
      <c r="W3379" s="203" t="str">
        <f t="shared" si="62"/>
        <v>1w</v>
      </c>
      <c r="X3379" s="287">
        <f>_xll.qlCalendarAdvance(Calendar,X3378,W3379,"f",FALSE)</f>
        <v>62905</v>
      </c>
      <c r="Y3379" s="281">
        <f>_xll.qlCalendarAdvance(Calendar,X3379,NDays&amp;"D")</f>
        <v>62907</v>
      </c>
      <c r="Z3379" s="282" t="e">
        <v>#N/A</v>
      </c>
      <c r="AA3379" s="284" t="e">
        <v>#N/A</v>
      </c>
    </row>
    <row r="3380" spans="23:27" x14ac:dyDescent="0.2">
      <c r="W3380" s="203" t="str">
        <f t="shared" si="62"/>
        <v>1w</v>
      </c>
      <c r="X3380" s="287">
        <f>_xll.qlCalendarAdvance(Calendar,X3379,W3380,"f",FALSE)</f>
        <v>62912</v>
      </c>
      <c r="Y3380" s="281">
        <f>_xll.qlCalendarAdvance(Calendar,X3380,NDays&amp;"D")</f>
        <v>62914</v>
      </c>
      <c r="Z3380" s="282" t="e">
        <v>#N/A</v>
      </c>
      <c r="AA3380" s="284" t="e">
        <v>#N/A</v>
      </c>
    </row>
    <row r="3381" spans="23:27" x14ac:dyDescent="0.2">
      <c r="W3381" s="203" t="str">
        <f t="shared" si="62"/>
        <v>1w</v>
      </c>
      <c r="X3381" s="287">
        <f>_xll.qlCalendarAdvance(Calendar,X3380,W3381,"f",FALSE)</f>
        <v>62919</v>
      </c>
      <c r="Y3381" s="281">
        <f>_xll.qlCalendarAdvance(Calendar,X3381,NDays&amp;"D")</f>
        <v>62921</v>
      </c>
      <c r="Z3381" s="282" t="e">
        <v>#N/A</v>
      </c>
      <c r="AA3381" s="284" t="e">
        <v>#N/A</v>
      </c>
    </row>
    <row r="3382" spans="23:27" x14ac:dyDescent="0.2">
      <c r="W3382" s="203" t="str">
        <f t="shared" si="62"/>
        <v>1w</v>
      </c>
      <c r="X3382" s="287">
        <f>_xll.qlCalendarAdvance(Calendar,X3381,W3382,"f",FALSE)</f>
        <v>62926</v>
      </c>
      <c r="Y3382" s="281">
        <f>_xll.qlCalendarAdvance(Calendar,X3382,NDays&amp;"D")</f>
        <v>62928</v>
      </c>
      <c r="Z3382" s="282" t="e">
        <v>#N/A</v>
      </c>
      <c r="AA3382" s="284" t="e">
        <v>#N/A</v>
      </c>
    </row>
    <row r="3383" spans="23:27" x14ac:dyDescent="0.2">
      <c r="W3383" s="203" t="str">
        <f t="shared" si="62"/>
        <v>1w</v>
      </c>
      <c r="X3383" s="287">
        <f>_xll.qlCalendarAdvance(Calendar,X3382,W3383,"f",FALSE)</f>
        <v>62933</v>
      </c>
      <c r="Y3383" s="281">
        <f>_xll.qlCalendarAdvance(Calendar,X3383,NDays&amp;"D")</f>
        <v>62935</v>
      </c>
      <c r="Z3383" s="282" t="e">
        <v>#N/A</v>
      </c>
      <c r="AA3383" s="284" t="e">
        <v>#N/A</v>
      </c>
    </row>
    <row r="3384" spans="23:27" x14ac:dyDescent="0.2">
      <c r="W3384" s="203" t="str">
        <f t="shared" si="62"/>
        <v>1w</v>
      </c>
      <c r="X3384" s="287">
        <f>_xll.qlCalendarAdvance(Calendar,X3383,W3384,"f",FALSE)</f>
        <v>62940</v>
      </c>
      <c r="Y3384" s="281">
        <f>_xll.qlCalendarAdvance(Calendar,X3384,NDays&amp;"D")</f>
        <v>62942</v>
      </c>
      <c r="Z3384" s="282" t="e">
        <v>#N/A</v>
      </c>
      <c r="AA3384" s="284" t="e">
        <v>#N/A</v>
      </c>
    </row>
    <row r="3385" spans="23:27" x14ac:dyDescent="0.2">
      <c r="W3385" s="203" t="str">
        <f t="shared" si="62"/>
        <v>1w</v>
      </c>
      <c r="X3385" s="287">
        <f>_xll.qlCalendarAdvance(Calendar,X3384,W3385,"f",FALSE)</f>
        <v>62950</v>
      </c>
      <c r="Y3385" s="281">
        <f>_xll.qlCalendarAdvance(Calendar,X3385,NDays&amp;"D")</f>
        <v>62954</v>
      </c>
      <c r="Z3385" s="282" t="e">
        <v>#N/A</v>
      </c>
      <c r="AA3385" s="284" t="e">
        <v>#N/A</v>
      </c>
    </row>
    <row r="3386" spans="23:27" x14ac:dyDescent="0.2">
      <c r="W3386" s="203" t="str">
        <f t="shared" si="62"/>
        <v>1w</v>
      </c>
      <c r="X3386" s="287">
        <f>_xll.qlCalendarAdvance(Calendar,X3385,W3386,"f",FALSE)</f>
        <v>62957</v>
      </c>
      <c r="Y3386" s="281">
        <f>_xll.qlCalendarAdvance(Calendar,X3386,NDays&amp;"D")</f>
        <v>62961</v>
      </c>
      <c r="Z3386" s="282" t="e">
        <v>#N/A</v>
      </c>
      <c r="AA3386" s="284" t="e">
        <v>#N/A</v>
      </c>
    </row>
    <row r="3387" spans="23:27" x14ac:dyDescent="0.2">
      <c r="W3387" s="203" t="str">
        <f t="shared" si="62"/>
        <v>1w</v>
      </c>
      <c r="X3387" s="287">
        <f>_xll.qlCalendarAdvance(Calendar,X3386,W3387,"f",FALSE)</f>
        <v>62964</v>
      </c>
      <c r="Y3387" s="281">
        <f>_xll.qlCalendarAdvance(Calendar,X3387,NDays&amp;"D")</f>
        <v>62968</v>
      </c>
      <c r="Z3387" s="282" t="e">
        <v>#N/A</v>
      </c>
      <c r="AA3387" s="284" t="e">
        <v>#N/A</v>
      </c>
    </row>
    <row r="3388" spans="23:27" x14ac:dyDescent="0.2">
      <c r="W3388" s="203" t="str">
        <f t="shared" si="62"/>
        <v>1w</v>
      </c>
      <c r="X3388" s="287">
        <f>_xll.qlCalendarAdvance(Calendar,X3387,W3388,"f",FALSE)</f>
        <v>62971</v>
      </c>
      <c r="Y3388" s="281">
        <f>_xll.qlCalendarAdvance(Calendar,X3388,NDays&amp;"D")</f>
        <v>62976</v>
      </c>
      <c r="Z3388" s="282" t="e">
        <v>#N/A</v>
      </c>
      <c r="AA3388" s="284" t="e">
        <v>#N/A</v>
      </c>
    </row>
    <row r="3389" spans="23:27" x14ac:dyDescent="0.2">
      <c r="W3389" s="203" t="str">
        <f t="shared" si="62"/>
        <v>1w</v>
      </c>
      <c r="X3389" s="287">
        <f>_xll.qlCalendarAdvance(Calendar,X3388,W3389,"f",FALSE)</f>
        <v>62978</v>
      </c>
      <c r="Y3389" s="281">
        <f>_xll.qlCalendarAdvance(Calendar,X3389,NDays&amp;"D")</f>
        <v>62982</v>
      </c>
      <c r="Z3389" s="282" t="e">
        <v>#N/A</v>
      </c>
      <c r="AA3389" s="284" t="e">
        <v>#N/A</v>
      </c>
    </row>
    <row r="3390" spans="23:27" x14ac:dyDescent="0.2">
      <c r="W3390" s="203" t="str">
        <f t="shared" si="62"/>
        <v>1w</v>
      </c>
      <c r="X3390" s="287">
        <f>_xll.qlCalendarAdvance(Calendar,X3389,W3390,"f",FALSE)</f>
        <v>62985</v>
      </c>
      <c r="Y3390" s="281">
        <f>_xll.qlCalendarAdvance(Calendar,X3390,NDays&amp;"D")</f>
        <v>62989</v>
      </c>
      <c r="Z3390" s="282" t="e">
        <v>#N/A</v>
      </c>
      <c r="AA3390" s="284" t="e">
        <v>#N/A</v>
      </c>
    </row>
    <row r="3391" spans="23:27" x14ac:dyDescent="0.2">
      <c r="W3391" s="203" t="str">
        <f t="shared" si="62"/>
        <v>1w</v>
      </c>
      <c r="X3391" s="287">
        <f>_xll.qlCalendarAdvance(Calendar,X3390,W3391,"f",FALSE)</f>
        <v>62992</v>
      </c>
      <c r="Y3391" s="281">
        <f>_xll.qlCalendarAdvance(Calendar,X3391,NDays&amp;"D")</f>
        <v>62996</v>
      </c>
      <c r="Z3391" s="282" t="e">
        <v>#N/A</v>
      </c>
      <c r="AA3391" s="284" t="e">
        <v>#N/A</v>
      </c>
    </row>
    <row r="3392" spans="23:27" x14ac:dyDescent="0.2">
      <c r="W3392" s="203" t="str">
        <f t="shared" si="62"/>
        <v>1w</v>
      </c>
      <c r="X3392" s="287">
        <f>_xll.qlCalendarAdvance(Calendar,X3391,W3392,"f",FALSE)</f>
        <v>62999</v>
      </c>
      <c r="Y3392" s="281">
        <f>_xll.qlCalendarAdvance(Calendar,X3392,NDays&amp;"D")</f>
        <v>63003</v>
      </c>
      <c r="Z3392" s="282" t="e">
        <v>#N/A</v>
      </c>
      <c r="AA3392" s="284" t="e">
        <v>#N/A</v>
      </c>
    </row>
    <row r="3393" spans="23:27" x14ac:dyDescent="0.2">
      <c r="W3393" s="203" t="str">
        <f t="shared" si="62"/>
        <v>1w</v>
      </c>
      <c r="X3393" s="287">
        <f>_xll.qlCalendarAdvance(Calendar,X3392,W3393,"f",FALSE)</f>
        <v>63006</v>
      </c>
      <c r="Y3393" s="281">
        <f>_xll.qlCalendarAdvance(Calendar,X3393,NDays&amp;"D")</f>
        <v>63010</v>
      </c>
      <c r="Z3393" s="282" t="e">
        <v>#N/A</v>
      </c>
      <c r="AA3393" s="284" t="e">
        <v>#N/A</v>
      </c>
    </row>
    <row r="3394" spans="23:27" x14ac:dyDescent="0.2">
      <c r="W3394" s="203" t="str">
        <f t="shared" si="62"/>
        <v>1w</v>
      </c>
      <c r="X3394" s="287">
        <f>_xll.qlCalendarAdvance(Calendar,X3393,W3394,"f",FALSE)</f>
        <v>63013</v>
      </c>
      <c r="Y3394" s="281">
        <f>_xll.qlCalendarAdvance(Calendar,X3394,NDays&amp;"D")</f>
        <v>63017</v>
      </c>
      <c r="Z3394" s="282" t="e">
        <v>#N/A</v>
      </c>
      <c r="AA3394" s="284" t="e">
        <v>#N/A</v>
      </c>
    </row>
    <row r="3395" spans="23:27" x14ac:dyDescent="0.2">
      <c r="W3395" s="203" t="str">
        <f t="shared" si="62"/>
        <v>1w</v>
      </c>
      <c r="X3395" s="287">
        <f>_xll.qlCalendarAdvance(Calendar,X3394,W3395,"f",FALSE)</f>
        <v>63020</v>
      </c>
      <c r="Y3395" s="281">
        <f>_xll.qlCalendarAdvance(Calendar,X3395,NDays&amp;"D")</f>
        <v>63025</v>
      </c>
      <c r="Z3395" s="282" t="e">
        <v>#N/A</v>
      </c>
      <c r="AA3395" s="284" t="e">
        <v>#N/A</v>
      </c>
    </row>
    <row r="3396" spans="23:27" x14ac:dyDescent="0.2">
      <c r="W3396" s="203" t="str">
        <f t="shared" si="62"/>
        <v>1w</v>
      </c>
      <c r="X3396" s="287">
        <f>_xll.qlCalendarAdvance(Calendar,X3395,W3396,"f",FALSE)</f>
        <v>63027</v>
      </c>
      <c r="Y3396" s="281">
        <f>_xll.qlCalendarAdvance(Calendar,X3396,NDays&amp;"D")</f>
        <v>63031</v>
      </c>
      <c r="Z3396" s="282" t="e">
        <v>#N/A</v>
      </c>
      <c r="AA3396" s="284" t="e">
        <v>#N/A</v>
      </c>
    </row>
    <row r="3397" spans="23:27" x14ac:dyDescent="0.2">
      <c r="W3397" s="203" t="str">
        <f t="shared" si="62"/>
        <v>1w</v>
      </c>
      <c r="X3397" s="287">
        <f>_xll.qlCalendarAdvance(Calendar,X3396,W3397,"f",FALSE)</f>
        <v>63034</v>
      </c>
      <c r="Y3397" s="281">
        <f>_xll.qlCalendarAdvance(Calendar,X3397,NDays&amp;"D")</f>
        <v>63038</v>
      </c>
      <c r="Z3397" s="282" t="e">
        <v>#N/A</v>
      </c>
      <c r="AA3397" s="284" t="e">
        <v>#N/A</v>
      </c>
    </row>
    <row r="3398" spans="23:27" x14ac:dyDescent="0.2">
      <c r="W3398" s="203" t="str">
        <f t="shared" si="62"/>
        <v>1w</v>
      </c>
      <c r="X3398" s="287">
        <f>_xll.qlCalendarAdvance(Calendar,X3397,W3398,"f",FALSE)</f>
        <v>63041</v>
      </c>
      <c r="Y3398" s="281">
        <f>_xll.qlCalendarAdvance(Calendar,X3398,NDays&amp;"D")</f>
        <v>63045</v>
      </c>
      <c r="Z3398" s="282" t="e">
        <v>#N/A</v>
      </c>
      <c r="AA3398" s="284" t="e">
        <v>#N/A</v>
      </c>
    </row>
    <row r="3399" spans="23:27" x14ac:dyDescent="0.2">
      <c r="W3399" s="203" t="str">
        <f t="shared" si="62"/>
        <v>1w</v>
      </c>
      <c r="X3399" s="287">
        <f>_xll.qlCalendarAdvance(Calendar,X3398,W3399,"f",FALSE)</f>
        <v>63048</v>
      </c>
      <c r="Y3399" s="281">
        <f>_xll.qlCalendarAdvance(Calendar,X3399,NDays&amp;"D")</f>
        <v>63052</v>
      </c>
      <c r="Z3399" s="282" t="e">
        <v>#N/A</v>
      </c>
      <c r="AA3399" s="284" t="e">
        <v>#N/A</v>
      </c>
    </row>
    <row r="3400" spans="23:27" x14ac:dyDescent="0.2">
      <c r="W3400" s="203" t="str">
        <f t="shared" si="62"/>
        <v>1w</v>
      </c>
      <c r="X3400" s="287">
        <f>_xll.qlCalendarAdvance(Calendar,X3399,W3400,"f",FALSE)</f>
        <v>63055</v>
      </c>
      <c r="Y3400" s="281">
        <f>_xll.qlCalendarAdvance(Calendar,X3400,NDays&amp;"D")</f>
        <v>63059</v>
      </c>
      <c r="Z3400" s="282" t="e">
        <v>#N/A</v>
      </c>
      <c r="AA3400" s="284" t="e">
        <v>#N/A</v>
      </c>
    </row>
    <row r="3401" spans="23:27" x14ac:dyDescent="0.2">
      <c r="W3401" s="203" t="str">
        <f t="shared" si="62"/>
        <v>1w</v>
      </c>
      <c r="X3401" s="287">
        <f>_xll.qlCalendarAdvance(Calendar,X3400,W3401,"f",FALSE)</f>
        <v>63062</v>
      </c>
      <c r="Y3401" s="281">
        <f>_xll.qlCalendarAdvance(Calendar,X3401,NDays&amp;"D")</f>
        <v>63067</v>
      </c>
      <c r="Z3401" s="282" t="e">
        <v>#N/A</v>
      </c>
      <c r="AA3401" s="284" t="e">
        <v>#N/A</v>
      </c>
    </row>
    <row r="3402" spans="23:27" x14ac:dyDescent="0.2">
      <c r="W3402" s="203" t="str">
        <f t="shared" si="62"/>
        <v>1w</v>
      </c>
      <c r="X3402" s="287">
        <f>_xll.qlCalendarAdvance(Calendar,X3401,W3402,"f",FALSE)</f>
        <v>63069</v>
      </c>
      <c r="Y3402" s="281">
        <f>_xll.qlCalendarAdvance(Calendar,X3402,NDays&amp;"D")</f>
        <v>63073</v>
      </c>
      <c r="Z3402" s="282" t="e">
        <v>#N/A</v>
      </c>
      <c r="AA3402" s="284" t="e">
        <v>#N/A</v>
      </c>
    </row>
    <row r="3403" spans="23:27" x14ac:dyDescent="0.2">
      <c r="W3403" s="203" t="str">
        <f t="shared" si="62"/>
        <v>1w</v>
      </c>
      <c r="X3403" s="287">
        <f>_xll.qlCalendarAdvance(Calendar,X3402,W3403,"f",FALSE)</f>
        <v>63076</v>
      </c>
      <c r="Y3403" s="281">
        <f>_xll.qlCalendarAdvance(Calendar,X3403,NDays&amp;"D")</f>
        <v>63080</v>
      </c>
      <c r="Z3403" s="282" t="e">
        <v>#N/A</v>
      </c>
      <c r="AA3403" s="284" t="e">
        <v>#N/A</v>
      </c>
    </row>
    <row r="3404" spans="23:27" x14ac:dyDescent="0.2">
      <c r="W3404" s="203" t="str">
        <f t="shared" si="62"/>
        <v>1w</v>
      </c>
      <c r="X3404" s="287">
        <f>_xll.qlCalendarAdvance(Calendar,X3403,W3404,"f",FALSE)</f>
        <v>63083</v>
      </c>
      <c r="Y3404" s="281">
        <f>_xll.qlCalendarAdvance(Calendar,X3404,NDays&amp;"D")</f>
        <v>63088</v>
      </c>
      <c r="Z3404" s="282" t="e">
        <v>#N/A</v>
      </c>
      <c r="AA3404" s="284" t="e">
        <v>#N/A</v>
      </c>
    </row>
    <row r="3405" spans="23:27" x14ac:dyDescent="0.2">
      <c r="W3405" s="203" t="str">
        <f t="shared" si="62"/>
        <v>1w</v>
      </c>
      <c r="X3405" s="287">
        <f>_xll.qlCalendarAdvance(Calendar,X3404,W3405,"f",FALSE)</f>
        <v>63090</v>
      </c>
      <c r="Y3405" s="281">
        <f>_xll.qlCalendarAdvance(Calendar,X3405,NDays&amp;"D")</f>
        <v>63094</v>
      </c>
      <c r="Z3405" s="282" t="e">
        <v>#N/A</v>
      </c>
      <c r="AA3405" s="284" t="e">
        <v>#N/A</v>
      </c>
    </row>
    <row r="3406" spans="23:27" x14ac:dyDescent="0.2">
      <c r="W3406" s="203" t="str">
        <f t="shared" si="62"/>
        <v>1w</v>
      </c>
      <c r="X3406" s="287">
        <f>_xll.qlCalendarAdvance(Calendar,X3405,W3406,"f",FALSE)</f>
        <v>63097</v>
      </c>
      <c r="Y3406" s="281">
        <f>_xll.qlCalendarAdvance(Calendar,X3406,NDays&amp;"D")</f>
        <v>63101</v>
      </c>
      <c r="Z3406" s="282" t="e">
        <v>#N/A</v>
      </c>
      <c r="AA3406" s="284" t="e">
        <v>#N/A</v>
      </c>
    </row>
    <row r="3407" spans="23:27" x14ac:dyDescent="0.2">
      <c r="W3407" s="203" t="str">
        <f t="shared" si="62"/>
        <v>1w</v>
      </c>
      <c r="X3407" s="287">
        <f>_xll.qlCalendarAdvance(Calendar,X3406,W3407,"f",FALSE)</f>
        <v>63104</v>
      </c>
      <c r="Y3407" s="281">
        <f>_xll.qlCalendarAdvance(Calendar,X3407,NDays&amp;"D")</f>
        <v>63109</v>
      </c>
      <c r="Z3407" s="282" t="e">
        <v>#N/A</v>
      </c>
      <c r="AA3407" s="284" t="e">
        <v>#N/A</v>
      </c>
    </row>
    <row r="3408" spans="23:27" x14ac:dyDescent="0.2">
      <c r="W3408" s="203" t="str">
        <f t="shared" si="62"/>
        <v>1w</v>
      </c>
      <c r="X3408" s="287">
        <f>_xll.qlCalendarAdvance(Calendar,X3407,W3408,"f",FALSE)</f>
        <v>63111</v>
      </c>
      <c r="Y3408" s="281">
        <f>_xll.qlCalendarAdvance(Calendar,X3408,NDays&amp;"D")</f>
        <v>63115</v>
      </c>
      <c r="Z3408" s="282" t="e">
        <v>#N/A</v>
      </c>
      <c r="AA3408" s="284" t="e">
        <v>#N/A</v>
      </c>
    </row>
    <row r="3409" spans="23:27" x14ac:dyDescent="0.2">
      <c r="W3409" s="203" t="str">
        <f t="shared" si="62"/>
        <v>1w</v>
      </c>
      <c r="X3409" s="287">
        <f>_xll.qlCalendarAdvance(Calendar,X3408,W3409,"f",FALSE)</f>
        <v>63118</v>
      </c>
      <c r="Y3409" s="281">
        <f>_xll.qlCalendarAdvance(Calendar,X3409,NDays&amp;"D")</f>
        <v>63122</v>
      </c>
      <c r="Z3409" s="282" t="e">
        <v>#N/A</v>
      </c>
      <c r="AA3409" s="284" t="e">
        <v>#N/A</v>
      </c>
    </row>
    <row r="3410" spans="23:27" x14ac:dyDescent="0.2">
      <c r="W3410" s="203" t="str">
        <f t="shared" si="62"/>
        <v>1w</v>
      </c>
      <c r="X3410" s="287">
        <f>_xll.qlCalendarAdvance(Calendar,X3409,W3410,"f",FALSE)</f>
        <v>63125</v>
      </c>
      <c r="Y3410" s="281">
        <f>_xll.qlCalendarAdvance(Calendar,X3410,NDays&amp;"D")</f>
        <v>63129</v>
      </c>
      <c r="Z3410" s="282" t="e">
        <v>#N/A</v>
      </c>
      <c r="AA3410" s="284" t="e">
        <v>#N/A</v>
      </c>
    </row>
    <row r="3411" spans="23:27" x14ac:dyDescent="0.2">
      <c r="W3411" s="203" t="str">
        <f t="shared" si="62"/>
        <v>1w</v>
      </c>
      <c r="X3411" s="287">
        <f>_xll.qlCalendarAdvance(Calendar,X3410,W3411,"f",FALSE)</f>
        <v>63132</v>
      </c>
      <c r="Y3411" s="281">
        <f>_xll.qlCalendarAdvance(Calendar,X3411,NDays&amp;"D")</f>
        <v>63136</v>
      </c>
      <c r="Z3411" s="282" t="e">
        <v>#N/A</v>
      </c>
      <c r="AA3411" s="284" t="e">
        <v>#N/A</v>
      </c>
    </row>
    <row r="3412" spans="23:27" x14ac:dyDescent="0.2">
      <c r="W3412" s="203" t="str">
        <f t="shared" si="62"/>
        <v>1w</v>
      </c>
      <c r="X3412" s="287">
        <f>_xll.qlCalendarAdvance(Calendar,X3411,W3412,"f",FALSE)</f>
        <v>63139</v>
      </c>
      <c r="Y3412" s="281">
        <f>_xll.qlCalendarAdvance(Calendar,X3412,NDays&amp;"D")</f>
        <v>63143</v>
      </c>
      <c r="Z3412" s="282" t="e">
        <v>#N/A</v>
      </c>
      <c r="AA3412" s="284" t="e">
        <v>#N/A</v>
      </c>
    </row>
    <row r="3413" spans="23:27" x14ac:dyDescent="0.2">
      <c r="W3413" s="203" t="str">
        <f t="shared" ref="W3413:W3476" si="63">W3412</f>
        <v>1w</v>
      </c>
      <c r="X3413" s="287">
        <f>_xll.qlCalendarAdvance(Calendar,X3412,W3413,"f",FALSE)</f>
        <v>63146</v>
      </c>
      <c r="Y3413" s="281">
        <f>_xll.qlCalendarAdvance(Calendar,X3413,NDays&amp;"D")</f>
        <v>63150</v>
      </c>
      <c r="Z3413" s="282" t="e">
        <v>#N/A</v>
      </c>
      <c r="AA3413" s="284" t="e">
        <v>#N/A</v>
      </c>
    </row>
    <row r="3414" spans="23:27" x14ac:dyDescent="0.2">
      <c r="W3414" s="203" t="str">
        <f t="shared" si="63"/>
        <v>1w</v>
      </c>
      <c r="X3414" s="287">
        <f>_xll.qlCalendarAdvance(Calendar,X3413,W3414,"f",FALSE)</f>
        <v>63153</v>
      </c>
      <c r="Y3414" s="281">
        <f>_xll.qlCalendarAdvance(Calendar,X3414,NDays&amp;"D")</f>
        <v>63157</v>
      </c>
      <c r="Z3414" s="282" t="e">
        <v>#N/A</v>
      </c>
      <c r="AA3414" s="284" t="e">
        <v>#N/A</v>
      </c>
    </row>
    <row r="3415" spans="23:27" x14ac:dyDescent="0.2">
      <c r="W3415" s="203" t="str">
        <f t="shared" si="63"/>
        <v>1w</v>
      </c>
      <c r="X3415" s="287">
        <f>_xll.qlCalendarAdvance(Calendar,X3414,W3415,"f",FALSE)</f>
        <v>63160</v>
      </c>
      <c r="Y3415" s="281">
        <f>_xll.qlCalendarAdvance(Calendar,X3415,NDays&amp;"D")</f>
        <v>63164</v>
      </c>
      <c r="Z3415" s="282" t="e">
        <v>#N/A</v>
      </c>
      <c r="AA3415" s="284" t="e">
        <v>#N/A</v>
      </c>
    </row>
    <row r="3416" spans="23:27" x14ac:dyDescent="0.2">
      <c r="W3416" s="203" t="str">
        <f t="shared" si="63"/>
        <v>1w</v>
      </c>
      <c r="X3416" s="287">
        <f>_xll.qlCalendarAdvance(Calendar,X3415,W3416,"f",FALSE)</f>
        <v>63167</v>
      </c>
      <c r="Y3416" s="281">
        <f>_xll.qlCalendarAdvance(Calendar,X3416,NDays&amp;"D")</f>
        <v>63171</v>
      </c>
      <c r="Z3416" s="282" t="e">
        <v>#N/A</v>
      </c>
      <c r="AA3416" s="284" t="e">
        <v>#N/A</v>
      </c>
    </row>
    <row r="3417" spans="23:27" x14ac:dyDescent="0.2">
      <c r="W3417" s="203" t="str">
        <f t="shared" si="63"/>
        <v>1w</v>
      </c>
      <c r="X3417" s="287">
        <f>_xll.qlCalendarAdvance(Calendar,X3416,W3417,"f",FALSE)</f>
        <v>63174</v>
      </c>
      <c r="Y3417" s="281">
        <f>_xll.qlCalendarAdvance(Calendar,X3417,NDays&amp;"D")</f>
        <v>63178</v>
      </c>
      <c r="Z3417" s="282" t="e">
        <v>#N/A</v>
      </c>
      <c r="AA3417" s="284" t="e">
        <v>#N/A</v>
      </c>
    </row>
    <row r="3418" spans="23:27" x14ac:dyDescent="0.2">
      <c r="W3418" s="203" t="str">
        <f t="shared" si="63"/>
        <v>1w</v>
      </c>
      <c r="X3418" s="287">
        <f>_xll.qlCalendarAdvance(Calendar,X3417,W3418,"f",FALSE)</f>
        <v>63186</v>
      </c>
      <c r="Y3418" s="281">
        <f>_xll.qlCalendarAdvance(Calendar,X3418,NDays&amp;"D")</f>
        <v>63188</v>
      </c>
      <c r="Z3418" s="282" t="e">
        <v>#N/A</v>
      </c>
      <c r="AA3418" s="284" t="e">
        <v>#N/A</v>
      </c>
    </row>
    <row r="3419" spans="23:27" x14ac:dyDescent="0.2">
      <c r="W3419" s="203" t="str">
        <f t="shared" si="63"/>
        <v>1w</v>
      </c>
      <c r="X3419" s="287">
        <f>_xll.qlCalendarAdvance(Calendar,X3418,W3419,"f",FALSE)</f>
        <v>63193</v>
      </c>
      <c r="Y3419" s="281">
        <f>_xll.qlCalendarAdvance(Calendar,X3419,NDays&amp;"D")</f>
        <v>63195</v>
      </c>
      <c r="Z3419" s="282" t="e">
        <v>#N/A</v>
      </c>
      <c r="AA3419" s="284" t="e">
        <v>#N/A</v>
      </c>
    </row>
    <row r="3420" spans="23:27" x14ac:dyDescent="0.2">
      <c r="W3420" s="203" t="str">
        <f t="shared" si="63"/>
        <v>1w</v>
      </c>
      <c r="X3420" s="287">
        <f>_xll.qlCalendarAdvance(Calendar,X3419,W3420,"f",FALSE)</f>
        <v>63200</v>
      </c>
      <c r="Y3420" s="281">
        <f>_xll.qlCalendarAdvance(Calendar,X3420,NDays&amp;"D")</f>
        <v>63202</v>
      </c>
      <c r="Z3420" s="282" t="e">
        <v>#N/A</v>
      </c>
      <c r="AA3420" s="284" t="e">
        <v>#N/A</v>
      </c>
    </row>
    <row r="3421" spans="23:27" x14ac:dyDescent="0.2">
      <c r="W3421" s="203" t="str">
        <f t="shared" si="63"/>
        <v>1w</v>
      </c>
      <c r="X3421" s="287">
        <f>_xll.qlCalendarAdvance(Calendar,X3420,W3421,"f",FALSE)</f>
        <v>63207</v>
      </c>
      <c r="Y3421" s="281">
        <f>_xll.qlCalendarAdvance(Calendar,X3421,NDays&amp;"D")</f>
        <v>63209</v>
      </c>
      <c r="Z3421" s="282" t="e">
        <v>#N/A</v>
      </c>
      <c r="AA3421" s="284" t="e">
        <v>#N/A</v>
      </c>
    </row>
    <row r="3422" spans="23:27" x14ac:dyDescent="0.2">
      <c r="W3422" s="203" t="str">
        <f t="shared" si="63"/>
        <v>1w</v>
      </c>
      <c r="X3422" s="287">
        <f>_xll.qlCalendarAdvance(Calendar,X3421,W3422,"f",FALSE)</f>
        <v>63214</v>
      </c>
      <c r="Y3422" s="281">
        <f>_xll.qlCalendarAdvance(Calendar,X3422,NDays&amp;"D")</f>
        <v>63216</v>
      </c>
      <c r="Z3422" s="282" t="e">
        <v>#N/A</v>
      </c>
      <c r="AA3422" s="284" t="e">
        <v>#N/A</v>
      </c>
    </row>
    <row r="3423" spans="23:27" x14ac:dyDescent="0.2">
      <c r="W3423" s="203" t="str">
        <f t="shared" si="63"/>
        <v>1w</v>
      </c>
      <c r="X3423" s="287">
        <f>_xll.qlCalendarAdvance(Calendar,X3422,W3423,"f",FALSE)</f>
        <v>63221</v>
      </c>
      <c r="Y3423" s="281">
        <f>_xll.qlCalendarAdvance(Calendar,X3423,NDays&amp;"D")</f>
        <v>63223</v>
      </c>
      <c r="Z3423" s="282" t="e">
        <v>#N/A</v>
      </c>
      <c r="AA3423" s="284" t="e">
        <v>#N/A</v>
      </c>
    </row>
    <row r="3424" spans="23:27" x14ac:dyDescent="0.2">
      <c r="W3424" s="203" t="str">
        <f t="shared" si="63"/>
        <v>1w</v>
      </c>
      <c r="X3424" s="287">
        <f>_xll.qlCalendarAdvance(Calendar,X3423,W3424,"f",FALSE)</f>
        <v>63228</v>
      </c>
      <c r="Y3424" s="281">
        <f>_xll.qlCalendarAdvance(Calendar,X3424,NDays&amp;"D")</f>
        <v>63230</v>
      </c>
      <c r="Z3424" s="282" t="e">
        <v>#N/A</v>
      </c>
      <c r="AA3424" s="284" t="e">
        <v>#N/A</v>
      </c>
    </row>
    <row r="3425" spans="23:27" x14ac:dyDescent="0.2">
      <c r="W3425" s="203" t="str">
        <f t="shared" si="63"/>
        <v>1w</v>
      </c>
      <c r="X3425" s="287">
        <f>_xll.qlCalendarAdvance(Calendar,X3424,W3425,"f",FALSE)</f>
        <v>63235</v>
      </c>
      <c r="Y3425" s="281">
        <f>_xll.qlCalendarAdvance(Calendar,X3425,NDays&amp;"D")</f>
        <v>63237</v>
      </c>
      <c r="Z3425" s="282" t="e">
        <v>#N/A</v>
      </c>
      <c r="AA3425" s="284" t="e">
        <v>#N/A</v>
      </c>
    </row>
    <row r="3426" spans="23:27" x14ac:dyDescent="0.2">
      <c r="W3426" s="203" t="str">
        <f t="shared" si="63"/>
        <v>1w</v>
      </c>
      <c r="X3426" s="287">
        <f>_xll.qlCalendarAdvance(Calendar,X3425,W3426,"f",FALSE)</f>
        <v>63242</v>
      </c>
      <c r="Y3426" s="281">
        <f>_xll.qlCalendarAdvance(Calendar,X3426,NDays&amp;"D")</f>
        <v>63244</v>
      </c>
      <c r="Z3426" s="282" t="e">
        <v>#N/A</v>
      </c>
      <c r="AA3426" s="284" t="e">
        <v>#N/A</v>
      </c>
    </row>
    <row r="3427" spans="23:27" x14ac:dyDescent="0.2">
      <c r="W3427" s="203" t="str">
        <f t="shared" si="63"/>
        <v>1w</v>
      </c>
      <c r="X3427" s="287">
        <f>_xll.qlCalendarAdvance(Calendar,X3426,W3427,"f",FALSE)</f>
        <v>63249</v>
      </c>
      <c r="Y3427" s="281">
        <f>_xll.qlCalendarAdvance(Calendar,X3427,NDays&amp;"D")</f>
        <v>63251</v>
      </c>
      <c r="Z3427" s="282" t="e">
        <v>#N/A</v>
      </c>
      <c r="AA3427" s="284" t="e">
        <v>#N/A</v>
      </c>
    </row>
    <row r="3428" spans="23:27" x14ac:dyDescent="0.2">
      <c r="W3428" s="203" t="str">
        <f t="shared" si="63"/>
        <v>1w</v>
      </c>
      <c r="X3428" s="287">
        <f>_xll.qlCalendarAdvance(Calendar,X3427,W3428,"f",FALSE)</f>
        <v>63256</v>
      </c>
      <c r="Y3428" s="281">
        <f>_xll.qlCalendarAdvance(Calendar,X3428,NDays&amp;"D")</f>
        <v>63258</v>
      </c>
      <c r="Z3428" s="282" t="e">
        <v>#N/A</v>
      </c>
      <c r="AA3428" s="284" t="e">
        <v>#N/A</v>
      </c>
    </row>
    <row r="3429" spans="23:27" x14ac:dyDescent="0.2">
      <c r="W3429" s="203" t="str">
        <f t="shared" si="63"/>
        <v>1w</v>
      </c>
      <c r="X3429" s="287">
        <f>_xll.qlCalendarAdvance(Calendar,X3428,W3429,"f",FALSE)</f>
        <v>63263</v>
      </c>
      <c r="Y3429" s="281">
        <f>_xll.qlCalendarAdvance(Calendar,X3429,NDays&amp;"D")</f>
        <v>63265</v>
      </c>
      <c r="Z3429" s="282" t="e">
        <v>#N/A</v>
      </c>
      <c r="AA3429" s="284" t="e">
        <v>#N/A</v>
      </c>
    </row>
    <row r="3430" spans="23:27" x14ac:dyDescent="0.2">
      <c r="W3430" s="203" t="str">
        <f t="shared" si="63"/>
        <v>1w</v>
      </c>
      <c r="X3430" s="287">
        <f>_xll.qlCalendarAdvance(Calendar,X3429,W3430,"f",FALSE)</f>
        <v>63270</v>
      </c>
      <c r="Y3430" s="281">
        <f>_xll.qlCalendarAdvance(Calendar,X3430,NDays&amp;"D")</f>
        <v>63276</v>
      </c>
      <c r="Z3430" s="282" t="e">
        <v>#N/A</v>
      </c>
      <c r="AA3430" s="284" t="e">
        <v>#N/A</v>
      </c>
    </row>
    <row r="3431" spans="23:27" x14ac:dyDescent="0.2">
      <c r="W3431" s="203" t="str">
        <f t="shared" si="63"/>
        <v>1w</v>
      </c>
      <c r="X3431" s="287">
        <f>_xll.qlCalendarAdvance(Calendar,X3430,W3431,"f",FALSE)</f>
        <v>63277</v>
      </c>
      <c r="Y3431" s="281">
        <f>_xll.qlCalendarAdvance(Calendar,X3431,NDays&amp;"D")</f>
        <v>63279</v>
      </c>
      <c r="Z3431" s="282" t="e">
        <v>#N/A</v>
      </c>
      <c r="AA3431" s="284" t="e">
        <v>#N/A</v>
      </c>
    </row>
    <row r="3432" spans="23:27" x14ac:dyDescent="0.2">
      <c r="W3432" s="203" t="str">
        <f t="shared" si="63"/>
        <v>1w</v>
      </c>
      <c r="X3432" s="287">
        <f>_xll.qlCalendarAdvance(Calendar,X3431,W3432,"f",FALSE)</f>
        <v>63284</v>
      </c>
      <c r="Y3432" s="281">
        <f>_xll.qlCalendarAdvance(Calendar,X3432,NDays&amp;"D")</f>
        <v>63286</v>
      </c>
      <c r="Z3432" s="282" t="e">
        <v>#N/A</v>
      </c>
      <c r="AA3432" s="284" t="e">
        <v>#N/A</v>
      </c>
    </row>
    <row r="3433" spans="23:27" x14ac:dyDescent="0.2">
      <c r="W3433" s="203" t="str">
        <f t="shared" si="63"/>
        <v>1w</v>
      </c>
      <c r="X3433" s="287">
        <f>_xll.qlCalendarAdvance(Calendar,X3432,W3433,"f",FALSE)</f>
        <v>63291</v>
      </c>
      <c r="Y3433" s="281">
        <f>_xll.qlCalendarAdvance(Calendar,X3433,NDays&amp;"D")</f>
        <v>63293</v>
      </c>
      <c r="Z3433" s="282" t="e">
        <v>#N/A</v>
      </c>
      <c r="AA3433" s="284" t="e">
        <v>#N/A</v>
      </c>
    </row>
    <row r="3434" spans="23:27" x14ac:dyDescent="0.2">
      <c r="W3434" s="203" t="str">
        <f t="shared" si="63"/>
        <v>1w</v>
      </c>
      <c r="X3434" s="287">
        <f>_xll.qlCalendarAdvance(Calendar,X3433,W3434,"f",FALSE)</f>
        <v>63298</v>
      </c>
      <c r="Y3434" s="281">
        <f>_xll.qlCalendarAdvance(Calendar,X3434,NDays&amp;"D")</f>
        <v>63300</v>
      </c>
      <c r="Z3434" s="282" t="e">
        <v>#N/A</v>
      </c>
      <c r="AA3434" s="284" t="e">
        <v>#N/A</v>
      </c>
    </row>
    <row r="3435" spans="23:27" x14ac:dyDescent="0.2">
      <c r="W3435" s="203" t="str">
        <f t="shared" si="63"/>
        <v>1w</v>
      </c>
      <c r="X3435" s="287">
        <f>_xll.qlCalendarAdvance(Calendar,X3434,W3435,"f",FALSE)</f>
        <v>63305</v>
      </c>
      <c r="Y3435" s="281">
        <f>_xll.qlCalendarAdvance(Calendar,X3435,NDays&amp;"D")</f>
        <v>63307</v>
      </c>
      <c r="Z3435" s="282" t="e">
        <v>#N/A</v>
      </c>
      <c r="AA3435" s="284" t="e">
        <v>#N/A</v>
      </c>
    </row>
    <row r="3436" spans="23:27" x14ac:dyDescent="0.2">
      <c r="W3436" s="203" t="str">
        <f t="shared" si="63"/>
        <v>1w</v>
      </c>
      <c r="X3436" s="287">
        <f>_xll.qlCalendarAdvance(Calendar,X3435,W3436,"f",FALSE)</f>
        <v>63317</v>
      </c>
      <c r="Y3436" s="281">
        <f>_xll.qlCalendarAdvance(Calendar,X3436,NDays&amp;"D")</f>
        <v>63319</v>
      </c>
      <c r="Z3436" s="282" t="e">
        <v>#N/A</v>
      </c>
      <c r="AA3436" s="284" t="e">
        <v>#N/A</v>
      </c>
    </row>
    <row r="3437" spans="23:27" x14ac:dyDescent="0.2">
      <c r="W3437" s="203" t="str">
        <f t="shared" si="63"/>
        <v>1w</v>
      </c>
      <c r="X3437" s="287">
        <f>_xll.qlCalendarAdvance(Calendar,X3436,W3437,"f",FALSE)</f>
        <v>63324</v>
      </c>
      <c r="Y3437" s="281">
        <f>_xll.qlCalendarAdvance(Calendar,X3437,NDays&amp;"D")</f>
        <v>63326</v>
      </c>
      <c r="Z3437" s="282" t="e">
        <v>#N/A</v>
      </c>
      <c r="AA3437" s="284" t="e">
        <v>#N/A</v>
      </c>
    </row>
    <row r="3438" spans="23:27" x14ac:dyDescent="0.2">
      <c r="W3438" s="203" t="str">
        <f t="shared" si="63"/>
        <v>1w</v>
      </c>
      <c r="X3438" s="287">
        <f>_xll.qlCalendarAdvance(Calendar,X3437,W3438,"f",FALSE)</f>
        <v>63331</v>
      </c>
      <c r="Y3438" s="281">
        <f>_xll.qlCalendarAdvance(Calendar,X3438,NDays&amp;"D")</f>
        <v>63333</v>
      </c>
      <c r="Z3438" s="282" t="e">
        <v>#N/A</v>
      </c>
      <c r="AA3438" s="284" t="e">
        <v>#N/A</v>
      </c>
    </row>
    <row r="3439" spans="23:27" x14ac:dyDescent="0.2">
      <c r="W3439" s="203" t="str">
        <f t="shared" si="63"/>
        <v>1w</v>
      </c>
      <c r="X3439" s="287">
        <f>_xll.qlCalendarAdvance(Calendar,X3438,W3439,"f",FALSE)</f>
        <v>63339</v>
      </c>
      <c r="Y3439" s="281">
        <f>_xll.qlCalendarAdvance(Calendar,X3439,NDays&amp;"D")</f>
        <v>63341</v>
      </c>
      <c r="Z3439" s="282" t="e">
        <v>#N/A</v>
      </c>
      <c r="AA3439" s="284" t="e">
        <v>#N/A</v>
      </c>
    </row>
    <row r="3440" spans="23:27" x14ac:dyDescent="0.2">
      <c r="W3440" s="203" t="str">
        <f t="shared" si="63"/>
        <v>1w</v>
      </c>
      <c r="X3440" s="287">
        <f>_xll.qlCalendarAdvance(Calendar,X3439,W3440,"f",FALSE)</f>
        <v>63346</v>
      </c>
      <c r="Y3440" s="281">
        <f>_xll.qlCalendarAdvance(Calendar,X3440,NDays&amp;"D")</f>
        <v>63348</v>
      </c>
      <c r="Z3440" s="282" t="e">
        <v>#N/A</v>
      </c>
      <c r="AA3440" s="284" t="e">
        <v>#N/A</v>
      </c>
    </row>
    <row r="3441" spans="23:27" x14ac:dyDescent="0.2">
      <c r="W3441" s="203" t="str">
        <f t="shared" si="63"/>
        <v>1w</v>
      </c>
      <c r="X3441" s="287">
        <f>_xll.qlCalendarAdvance(Calendar,X3440,W3441,"f",FALSE)</f>
        <v>63353</v>
      </c>
      <c r="Y3441" s="281">
        <f>_xll.qlCalendarAdvance(Calendar,X3441,NDays&amp;"D")</f>
        <v>63355</v>
      </c>
      <c r="Z3441" s="282" t="e">
        <v>#N/A</v>
      </c>
      <c r="AA3441" s="284" t="e">
        <v>#N/A</v>
      </c>
    </row>
    <row r="3442" spans="23:27" x14ac:dyDescent="0.2">
      <c r="W3442" s="203" t="str">
        <f t="shared" si="63"/>
        <v>1w</v>
      </c>
      <c r="X3442" s="287">
        <f>_xll.qlCalendarAdvance(Calendar,X3441,W3442,"f",FALSE)</f>
        <v>63360</v>
      </c>
      <c r="Y3442" s="281">
        <f>_xll.qlCalendarAdvance(Calendar,X3442,NDays&amp;"D")</f>
        <v>63362</v>
      </c>
      <c r="Z3442" s="282" t="e">
        <v>#N/A</v>
      </c>
      <c r="AA3442" s="284" t="e">
        <v>#N/A</v>
      </c>
    </row>
    <row r="3443" spans="23:27" x14ac:dyDescent="0.2">
      <c r="W3443" s="203" t="str">
        <f t="shared" si="63"/>
        <v>1w</v>
      </c>
      <c r="X3443" s="287">
        <f>_xll.qlCalendarAdvance(Calendar,X3442,W3443,"f",FALSE)</f>
        <v>63367</v>
      </c>
      <c r="Y3443" s="281">
        <f>_xll.qlCalendarAdvance(Calendar,X3443,NDays&amp;"D")</f>
        <v>63369</v>
      </c>
      <c r="Z3443" s="282" t="e">
        <v>#N/A</v>
      </c>
      <c r="AA3443" s="284" t="e">
        <v>#N/A</v>
      </c>
    </row>
    <row r="3444" spans="23:27" x14ac:dyDescent="0.2">
      <c r="W3444" s="203" t="str">
        <f t="shared" si="63"/>
        <v>1w</v>
      </c>
      <c r="X3444" s="287">
        <f>_xll.qlCalendarAdvance(Calendar,X3443,W3444,"f",FALSE)</f>
        <v>63374</v>
      </c>
      <c r="Y3444" s="281">
        <f>_xll.qlCalendarAdvance(Calendar,X3444,NDays&amp;"D")</f>
        <v>63376</v>
      </c>
      <c r="Z3444" s="282" t="e">
        <v>#N/A</v>
      </c>
      <c r="AA3444" s="284" t="e">
        <v>#N/A</v>
      </c>
    </row>
    <row r="3445" spans="23:27" x14ac:dyDescent="0.2">
      <c r="W3445" s="203" t="str">
        <f t="shared" si="63"/>
        <v>1w</v>
      </c>
      <c r="X3445" s="287">
        <f>_xll.qlCalendarAdvance(Calendar,X3444,W3445,"f",FALSE)</f>
        <v>63381</v>
      </c>
      <c r="Y3445" s="281">
        <f>_xll.qlCalendarAdvance(Calendar,X3445,NDays&amp;"D")</f>
        <v>63383</v>
      </c>
      <c r="Z3445" s="282" t="e">
        <v>#N/A</v>
      </c>
      <c r="AA3445" s="284" t="e">
        <v>#N/A</v>
      </c>
    </row>
    <row r="3446" spans="23:27" x14ac:dyDescent="0.2">
      <c r="W3446" s="203" t="str">
        <f t="shared" si="63"/>
        <v>1w</v>
      </c>
      <c r="X3446" s="287">
        <f>_xll.qlCalendarAdvance(Calendar,X3445,W3446,"f",FALSE)</f>
        <v>63388</v>
      </c>
      <c r="Y3446" s="281">
        <f>_xll.qlCalendarAdvance(Calendar,X3446,NDays&amp;"D")</f>
        <v>63390</v>
      </c>
      <c r="Z3446" s="282" t="e">
        <v>#N/A</v>
      </c>
      <c r="AA3446" s="284" t="e">
        <v>#N/A</v>
      </c>
    </row>
    <row r="3447" spans="23:27" x14ac:dyDescent="0.2">
      <c r="W3447" s="203" t="str">
        <f t="shared" si="63"/>
        <v>1w</v>
      </c>
      <c r="X3447" s="287">
        <f>_xll.qlCalendarAdvance(Calendar,X3446,W3447,"f",FALSE)</f>
        <v>63395</v>
      </c>
      <c r="Y3447" s="281">
        <f>_xll.qlCalendarAdvance(Calendar,X3447,NDays&amp;"D")</f>
        <v>63397</v>
      </c>
      <c r="Z3447" s="282" t="e">
        <v>#N/A</v>
      </c>
      <c r="AA3447" s="284" t="e">
        <v>#N/A</v>
      </c>
    </row>
    <row r="3448" spans="23:27" x14ac:dyDescent="0.2">
      <c r="W3448" s="203" t="str">
        <f t="shared" si="63"/>
        <v>1w</v>
      </c>
      <c r="X3448" s="287">
        <f>_xll.qlCalendarAdvance(Calendar,X3447,W3448,"f",FALSE)</f>
        <v>63402</v>
      </c>
      <c r="Y3448" s="281">
        <f>_xll.qlCalendarAdvance(Calendar,X3448,NDays&amp;"D")</f>
        <v>63404</v>
      </c>
      <c r="Z3448" s="282" t="e">
        <v>#N/A</v>
      </c>
      <c r="AA3448" s="284" t="e">
        <v>#N/A</v>
      </c>
    </row>
    <row r="3449" spans="23:27" x14ac:dyDescent="0.2">
      <c r="W3449" s="203" t="str">
        <f t="shared" si="63"/>
        <v>1w</v>
      </c>
      <c r="X3449" s="287">
        <f>_xll.qlCalendarAdvance(Calendar,X3448,W3449,"f",FALSE)</f>
        <v>63409</v>
      </c>
      <c r="Y3449" s="281">
        <f>_xll.qlCalendarAdvance(Calendar,X3449,NDays&amp;"D")</f>
        <v>63411</v>
      </c>
      <c r="Z3449" s="282" t="e">
        <v>#N/A</v>
      </c>
      <c r="AA3449" s="284" t="e">
        <v>#N/A</v>
      </c>
    </row>
    <row r="3450" spans="23:27" x14ac:dyDescent="0.2">
      <c r="W3450" s="203" t="str">
        <f t="shared" si="63"/>
        <v>1w</v>
      </c>
      <c r="X3450" s="287">
        <f>_xll.qlCalendarAdvance(Calendar,X3449,W3450,"f",FALSE)</f>
        <v>63416</v>
      </c>
      <c r="Y3450" s="281">
        <f>_xll.qlCalendarAdvance(Calendar,X3450,NDays&amp;"D")</f>
        <v>63418</v>
      </c>
      <c r="Z3450" s="282" t="e">
        <v>#N/A</v>
      </c>
      <c r="AA3450" s="284" t="e">
        <v>#N/A</v>
      </c>
    </row>
    <row r="3451" spans="23:27" x14ac:dyDescent="0.2">
      <c r="W3451" s="203" t="str">
        <f t="shared" si="63"/>
        <v>1w</v>
      </c>
      <c r="X3451" s="287">
        <f>_xll.qlCalendarAdvance(Calendar,X3450,W3451,"f",FALSE)</f>
        <v>63423</v>
      </c>
      <c r="Y3451" s="281">
        <f>_xll.qlCalendarAdvance(Calendar,X3451,NDays&amp;"D")</f>
        <v>63425</v>
      </c>
      <c r="Z3451" s="282" t="e">
        <v>#N/A</v>
      </c>
      <c r="AA3451" s="284" t="e">
        <v>#N/A</v>
      </c>
    </row>
    <row r="3452" spans="23:27" x14ac:dyDescent="0.2">
      <c r="W3452" s="203" t="str">
        <f t="shared" si="63"/>
        <v>1w</v>
      </c>
      <c r="X3452" s="287">
        <f>_xll.qlCalendarAdvance(Calendar,X3451,W3452,"f",FALSE)</f>
        <v>63430</v>
      </c>
      <c r="Y3452" s="281">
        <f>_xll.qlCalendarAdvance(Calendar,X3452,NDays&amp;"D")</f>
        <v>63432</v>
      </c>
      <c r="Z3452" s="282" t="e">
        <v>#N/A</v>
      </c>
      <c r="AA3452" s="284" t="e">
        <v>#N/A</v>
      </c>
    </row>
    <row r="3453" spans="23:27" x14ac:dyDescent="0.2">
      <c r="W3453" s="203" t="str">
        <f t="shared" si="63"/>
        <v>1w</v>
      </c>
      <c r="X3453" s="287">
        <f>_xll.qlCalendarAdvance(Calendar,X3452,W3453,"f",FALSE)</f>
        <v>63437</v>
      </c>
      <c r="Y3453" s="281">
        <f>_xll.qlCalendarAdvance(Calendar,X3453,NDays&amp;"D")</f>
        <v>63439</v>
      </c>
      <c r="Z3453" s="282" t="e">
        <v>#N/A</v>
      </c>
      <c r="AA3453" s="284" t="e">
        <v>#N/A</v>
      </c>
    </row>
    <row r="3454" spans="23:27" x14ac:dyDescent="0.2">
      <c r="W3454" s="203" t="str">
        <f t="shared" si="63"/>
        <v>1w</v>
      </c>
      <c r="X3454" s="287">
        <f>_xll.qlCalendarAdvance(Calendar,X3453,W3454,"f",FALSE)</f>
        <v>63444</v>
      </c>
      <c r="Y3454" s="281">
        <f>_xll.qlCalendarAdvance(Calendar,X3454,NDays&amp;"D")</f>
        <v>63446</v>
      </c>
      <c r="Z3454" s="282" t="e">
        <v>#N/A</v>
      </c>
      <c r="AA3454" s="284" t="e">
        <v>#N/A</v>
      </c>
    </row>
    <row r="3455" spans="23:27" x14ac:dyDescent="0.2">
      <c r="W3455" s="203" t="str">
        <f t="shared" si="63"/>
        <v>1w</v>
      </c>
      <c r="X3455" s="287">
        <f>_xll.qlCalendarAdvance(Calendar,X3454,W3455,"f",FALSE)</f>
        <v>63451</v>
      </c>
      <c r="Y3455" s="281">
        <f>_xll.qlCalendarAdvance(Calendar,X3455,NDays&amp;"D")</f>
        <v>63453</v>
      </c>
      <c r="Z3455" s="282" t="e">
        <v>#N/A</v>
      </c>
      <c r="AA3455" s="284" t="e">
        <v>#N/A</v>
      </c>
    </row>
    <row r="3456" spans="23:27" x14ac:dyDescent="0.2">
      <c r="W3456" s="203" t="str">
        <f t="shared" si="63"/>
        <v>1w</v>
      </c>
      <c r="X3456" s="287">
        <f>_xll.qlCalendarAdvance(Calendar,X3455,W3456,"f",FALSE)</f>
        <v>63458</v>
      </c>
      <c r="Y3456" s="281">
        <f>_xll.qlCalendarAdvance(Calendar,X3456,NDays&amp;"D")</f>
        <v>63460</v>
      </c>
      <c r="Z3456" s="282" t="e">
        <v>#N/A</v>
      </c>
      <c r="AA3456" s="284" t="e">
        <v>#N/A</v>
      </c>
    </row>
    <row r="3457" spans="23:27" x14ac:dyDescent="0.2">
      <c r="W3457" s="203" t="str">
        <f t="shared" si="63"/>
        <v>1w</v>
      </c>
      <c r="X3457" s="287">
        <f>_xll.qlCalendarAdvance(Calendar,X3456,W3457,"f",FALSE)</f>
        <v>63465</v>
      </c>
      <c r="Y3457" s="281">
        <f>_xll.qlCalendarAdvance(Calendar,X3457,NDays&amp;"D")</f>
        <v>63467</v>
      </c>
      <c r="Z3457" s="282" t="e">
        <v>#N/A</v>
      </c>
      <c r="AA3457" s="284" t="e">
        <v>#N/A</v>
      </c>
    </row>
    <row r="3458" spans="23:27" x14ac:dyDescent="0.2">
      <c r="W3458" s="203" t="str">
        <f t="shared" si="63"/>
        <v>1w</v>
      </c>
      <c r="X3458" s="287">
        <f>_xll.qlCalendarAdvance(Calendar,X3457,W3458,"f",FALSE)</f>
        <v>63472</v>
      </c>
      <c r="Y3458" s="281">
        <f>_xll.qlCalendarAdvance(Calendar,X3458,NDays&amp;"D")</f>
        <v>63474</v>
      </c>
      <c r="Z3458" s="282" t="e">
        <v>#N/A</v>
      </c>
      <c r="AA3458" s="284" t="e">
        <v>#N/A</v>
      </c>
    </row>
    <row r="3459" spans="23:27" x14ac:dyDescent="0.2">
      <c r="W3459" s="203" t="str">
        <f t="shared" si="63"/>
        <v>1w</v>
      </c>
      <c r="X3459" s="287">
        <f>_xll.qlCalendarAdvance(Calendar,X3458,W3459,"f",FALSE)</f>
        <v>63479</v>
      </c>
      <c r="Y3459" s="281">
        <f>_xll.qlCalendarAdvance(Calendar,X3459,NDays&amp;"D")</f>
        <v>63481</v>
      </c>
      <c r="Z3459" s="282" t="e">
        <v>#N/A</v>
      </c>
      <c r="AA3459" s="284" t="e">
        <v>#N/A</v>
      </c>
    </row>
    <row r="3460" spans="23:27" x14ac:dyDescent="0.2">
      <c r="W3460" s="203" t="str">
        <f t="shared" si="63"/>
        <v>1w</v>
      </c>
      <c r="X3460" s="287">
        <f>_xll.qlCalendarAdvance(Calendar,X3459,W3460,"f",FALSE)</f>
        <v>63486</v>
      </c>
      <c r="Y3460" s="281">
        <f>_xll.qlCalendarAdvance(Calendar,X3460,NDays&amp;"D")</f>
        <v>63488</v>
      </c>
      <c r="Z3460" s="282" t="e">
        <v>#N/A</v>
      </c>
      <c r="AA3460" s="284" t="e">
        <v>#N/A</v>
      </c>
    </row>
    <row r="3461" spans="23:27" x14ac:dyDescent="0.2">
      <c r="W3461" s="203" t="str">
        <f t="shared" si="63"/>
        <v>1w</v>
      </c>
      <c r="X3461" s="287">
        <f>_xll.qlCalendarAdvance(Calendar,X3460,W3461,"f",FALSE)</f>
        <v>63493</v>
      </c>
      <c r="Y3461" s="281">
        <f>_xll.qlCalendarAdvance(Calendar,X3461,NDays&amp;"D")</f>
        <v>63495</v>
      </c>
      <c r="Z3461" s="282" t="e">
        <v>#N/A</v>
      </c>
      <c r="AA3461" s="284" t="e">
        <v>#N/A</v>
      </c>
    </row>
    <row r="3462" spans="23:27" x14ac:dyDescent="0.2">
      <c r="W3462" s="203" t="str">
        <f t="shared" si="63"/>
        <v>1w</v>
      </c>
      <c r="X3462" s="287">
        <f>_xll.qlCalendarAdvance(Calendar,X3461,W3462,"f",FALSE)</f>
        <v>63500</v>
      </c>
      <c r="Y3462" s="281">
        <f>_xll.qlCalendarAdvance(Calendar,X3462,NDays&amp;"D")</f>
        <v>63502</v>
      </c>
      <c r="Z3462" s="282" t="e">
        <v>#N/A</v>
      </c>
      <c r="AA3462" s="284" t="e">
        <v>#N/A</v>
      </c>
    </row>
    <row r="3463" spans="23:27" x14ac:dyDescent="0.2">
      <c r="W3463" s="203" t="str">
        <f t="shared" si="63"/>
        <v>1w</v>
      </c>
      <c r="X3463" s="287">
        <f>_xll.qlCalendarAdvance(Calendar,X3462,W3463,"f",FALSE)</f>
        <v>63507</v>
      </c>
      <c r="Y3463" s="281">
        <f>_xll.qlCalendarAdvance(Calendar,X3463,NDays&amp;"D")</f>
        <v>63509</v>
      </c>
      <c r="Z3463" s="282" t="e">
        <v>#N/A</v>
      </c>
      <c r="AA3463" s="284" t="e">
        <v>#N/A</v>
      </c>
    </row>
    <row r="3464" spans="23:27" x14ac:dyDescent="0.2">
      <c r="W3464" s="203" t="str">
        <f t="shared" si="63"/>
        <v>1w</v>
      </c>
      <c r="X3464" s="287">
        <f>_xll.qlCalendarAdvance(Calendar,X3463,W3464,"f",FALSE)</f>
        <v>63514</v>
      </c>
      <c r="Y3464" s="281">
        <f>_xll.qlCalendarAdvance(Calendar,X3464,NDays&amp;"D")</f>
        <v>63517</v>
      </c>
      <c r="Z3464" s="282" t="e">
        <v>#N/A</v>
      </c>
      <c r="AA3464" s="284" t="e">
        <v>#N/A</v>
      </c>
    </row>
    <row r="3465" spans="23:27" x14ac:dyDescent="0.2">
      <c r="W3465" s="203" t="str">
        <f t="shared" si="63"/>
        <v>1w</v>
      </c>
      <c r="X3465" s="287">
        <f>_xll.qlCalendarAdvance(Calendar,X3464,W3465,"f",FALSE)</f>
        <v>63521</v>
      </c>
      <c r="Y3465" s="281">
        <f>_xll.qlCalendarAdvance(Calendar,X3465,NDays&amp;"D")</f>
        <v>63523</v>
      </c>
      <c r="Z3465" s="282" t="e">
        <v>#N/A</v>
      </c>
      <c r="AA3465" s="284" t="e">
        <v>#N/A</v>
      </c>
    </row>
    <row r="3466" spans="23:27" x14ac:dyDescent="0.2">
      <c r="W3466" s="203" t="str">
        <f t="shared" si="63"/>
        <v>1w</v>
      </c>
      <c r="X3466" s="287">
        <f>_xll.qlCalendarAdvance(Calendar,X3465,W3466,"f",FALSE)</f>
        <v>63528</v>
      </c>
      <c r="Y3466" s="281">
        <f>_xll.qlCalendarAdvance(Calendar,X3466,NDays&amp;"D")</f>
        <v>63530</v>
      </c>
      <c r="Z3466" s="282" t="e">
        <v>#N/A</v>
      </c>
      <c r="AA3466" s="284" t="e">
        <v>#N/A</v>
      </c>
    </row>
    <row r="3467" spans="23:27" x14ac:dyDescent="0.2">
      <c r="W3467" s="203" t="str">
        <f t="shared" si="63"/>
        <v>1w</v>
      </c>
      <c r="X3467" s="287">
        <f>_xll.qlCalendarAdvance(Calendar,X3466,W3467,"f",FALSE)</f>
        <v>63535</v>
      </c>
      <c r="Y3467" s="281">
        <f>_xll.qlCalendarAdvance(Calendar,X3467,NDays&amp;"D")</f>
        <v>63537</v>
      </c>
      <c r="Z3467" s="282" t="e">
        <v>#N/A</v>
      </c>
      <c r="AA3467" s="284" t="e">
        <v>#N/A</v>
      </c>
    </row>
    <row r="3468" spans="23:27" x14ac:dyDescent="0.2">
      <c r="W3468" s="203" t="str">
        <f t="shared" si="63"/>
        <v>1w</v>
      </c>
      <c r="X3468" s="287">
        <f>_xll.qlCalendarAdvance(Calendar,X3467,W3468,"f",FALSE)</f>
        <v>63542</v>
      </c>
      <c r="Y3468" s="281">
        <f>_xll.qlCalendarAdvance(Calendar,X3468,NDays&amp;"D")</f>
        <v>63544</v>
      </c>
      <c r="Z3468" s="282" t="e">
        <v>#N/A</v>
      </c>
      <c r="AA3468" s="284" t="e">
        <v>#N/A</v>
      </c>
    </row>
    <row r="3469" spans="23:27" x14ac:dyDescent="0.2">
      <c r="W3469" s="203" t="str">
        <f t="shared" si="63"/>
        <v>1w</v>
      </c>
      <c r="X3469" s="287">
        <f>_xll.qlCalendarAdvance(Calendar,X3468,W3469,"f",FALSE)</f>
        <v>63550</v>
      </c>
      <c r="Y3469" s="281">
        <f>_xll.qlCalendarAdvance(Calendar,X3469,NDays&amp;"D")</f>
        <v>63552</v>
      </c>
      <c r="Z3469" s="282" t="e">
        <v>#N/A</v>
      </c>
      <c r="AA3469" s="284" t="e">
        <v>#N/A</v>
      </c>
    </row>
    <row r="3470" spans="23:27" x14ac:dyDescent="0.2">
      <c r="W3470" s="203" t="str">
        <f t="shared" si="63"/>
        <v>1w</v>
      </c>
      <c r="X3470" s="287">
        <f>_xll.qlCalendarAdvance(Calendar,X3469,W3470,"f",FALSE)</f>
        <v>63558</v>
      </c>
      <c r="Y3470" s="281">
        <f>_xll.qlCalendarAdvance(Calendar,X3470,NDays&amp;"D")</f>
        <v>63563</v>
      </c>
      <c r="Z3470" s="282" t="e">
        <v>#N/A</v>
      </c>
      <c r="AA3470" s="284" t="e">
        <v>#N/A</v>
      </c>
    </row>
    <row r="3471" spans="23:27" x14ac:dyDescent="0.2">
      <c r="W3471" s="203" t="str">
        <f t="shared" si="63"/>
        <v>1w</v>
      </c>
      <c r="X3471" s="287">
        <f>_xll.qlCalendarAdvance(Calendar,X3470,W3471,"f",FALSE)</f>
        <v>63565</v>
      </c>
      <c r="Y3471" s="281">
        <f>_xll.qlCalendarAdvance(Calendar,X3471,NDays&amp;"D")</f>
        <v>63569</v>
      </c>
      <c r="Z3471" s="282" t="e">
        <v>#N/A</v>
      </c>
      <c r="AA3471" s="284" t="e">
        <v>#N/A</v>
      </c>
    </row>
    <row r="3472" spans="23:27" x14ac:dyDescent="0.2">
      <c r="W3472" s="203" t="str">
        <f t="shared" si="63"/>
        <v>1w</v>
      </c>
      <c r="X3472" s="287">
        <f>_xll.qlCalendarAdvance(Calendar,X3471,W3472,"f",FALSE)</f>
        <v>63572</v>
      </c>
      <c r="Y3472" s="281">
        <f>_xll.qlCalendarAdvance(Calendar,X3472,NDays&amp;"D")</f>
        <v>63576</v>
      </c>
      <c r="Z3472" s="282" t="e">
        <v>#N/A</v>
      </c>
      <c r="AA3472" s="284" t="e">
        <v>#N/A</v>
      </c>
    </row>
    <row r="3473" spans="23:27" x14ac:dyDescent="0.2">
      <c r="W3473" s="203" t="str">
        <f t="shared" si="63"/>
        <v>1w</v>
      </c>
      <c r="X3473" s="287">
        <f>_xll.qlCalendarAdvance(Calendar,X3472,W3473,"f",FALSE)</f>
        <v>63579</v>
      </c>
      <c r="Y3473" s="281">
        <f>_xll.qlCalendarAdvance(Calendar,X3473,NDays&amp;"D")</f>
        <v>63583</v>
      </c>
      <c r="Z3473" s="282" t="e">
        <v>#N/A</v>
      </c>
      <c r="AA3473" s="284" t="e">
        <v>#N/A</v>
      </c>
    </row>
    <row r="3474" spans="23:27" x14ac:dyDescent="0.2">
      <c r="W3474" s="203" t="str">
        <f t="shared" si="63"/>
        <v>1w</v>
      </c>
      <c r="X3474" s="287">
        <f>_xll.qlCalendarAdvance(Calendar,X3473,W3474,"f",FALSE)</f>
        <v>63586</v>
      </c>
      <c r="Y3474" s="281">
        <f>_xll.qlCalendarAdvance(Calendar,X3474,NDays&amp;"D")</f>
        <v>63590</v>
      </c>
      <c r="Z3474" s="282" t="e">
        <v>#N/A</v>
      </c>
      <c r="AA3474" s="284" t="e">
        <v>#N/A</v>
      </c>
    </row>
    <row r="3475" spans="23:27" x14ac:dyDescent="0.2">
      <c r="W3475" s="203" t="str">
        <f t="shared" si="63"/>
        <v>1w</v>
      </c>
      <c r="X3475" s="287">
        <f>_xll.qlCalendarAdvance(Calendar,X3474,W3475,"f",FALSE)</f>
        <v>63593</v>
      </c>
      <c r="Y3475" s="281">
        <f>_xll.qlCalendarAdvance(Calendar,X3475,NDays&amp;"D")</f>
        <v>63598</v>
      </c>
      <c r="Z3475" s="282" t="e">
        <v>#N/A</v>
      </c>
      <c r="AA3475" s="284" t="e">
        <v>#N/A</v>
      </c>
    </row>
    <row r="3476" spans="23:27" x14ac:dyDescent="0.2">
      <c r="W3476" s="203" t="str">
        <f t="shared" si="63"/>
        <v>1w</v>
      </c>
      <c r="X3476" s="287">
        <f>_xll.qlCalendarAdvance(Calendar,X3475,W3476,"f",FALSE)</f>
        <v>63600</v>
      </c>
      <c r="Y3476" s="281">
        <f>_xll.qlCalendarAdvance(Calendar,X3476,NDays&amp;"D")</f>
        <v>63604</v>
      </c>
      <c r="Z3476" s="282" t="e">
        <v>#N/A</v>
      </c>
      <c r="AA3476" s="284" t="e">
        <v>#N/A</v>
      </c>
    </row>
    <row r="3477" spans="23:27" x14ac:dyDescent="0.2">
      <c r="W3477" s="203" t="str">
        <f t="shared" ref="W3477:W3540" si="64">W3476</f>
        <v>1w</v>
      </c>
      <c r="X3477" s="287">
        <f>_xll.qlCalendarAdvance(Calendar,X3476,W3477,"f",FALSE)</f>
        <v>63607</v>
      </c>
      <c r="Y3477" s="281">
        <f>_xll.qlCalendarAdvance(Calendar,X3477,NDays&amp;"D")</f>
        <v>63611</v>
      </c>
      <c r="Z3477" s="282" t="e">
        <v>#N/A</v>
      </c>
      <c r="AA3477" s="284" t="e">
        <v>#N/A</v>
      </c>
    </row>
    <row r="3478" spans="23:27" x14ac:dyDescent="0.2">
      <c r="W3478" s="203" t="str">
        <f t="shared" si="64"/>
        <v>1w</v>
      </c>
      <c r="X3478" s="287">
        <f>_xll.qlCalendarAdvance(Calendar,X3477,W3478,"f",FALSE)</f>
        <v>63614</v>
      </c>
      <c r="Y3478" s="281">
        <f>_xll.qlCalendarAdvance(Calendar,X3478,NDays&amp;"D")</f>
        <v>63618</v>
      </c>
      <c r="Z3478" s="282" t="e">
        <v>#N/A</v>
      </c>
      <c r="AA3478" s="284" t="e">
        <v>#N/A</v>
      </c>
    </row>
    <row r="3479" spans="23:27" x14ac:dyDescent="0.2">
      <c r="W3479" s="203" t="str">
        <f t="shared" si="64"/>
        <v>1w</v>
      </c>
      <c r="X3479" s="287">
        <f>_xll.qlCalendarAdvance(Calendar,X3478,W3479,"f",FALSE)</f>
        <v>63621</v>
      </c>
      <c r="Y3479" s="281">
        <f>_xll.qlCalendarAdvance(Calendar,X3479,NDays&amp;"D")</f>
        <v>63625</v>
      </c>
      <c r="Z3479" s="282" t="e">
        <v>#N/A</v>
      </c>
      <c r="AA3479" s="284" t="e">
        <v>#N/A</v>
      </c>
    </row>
    <row r="3480" spans="23:27" x14ac:dyDescent="0.2">
      <c r="W3480" s="203" t="str">
        <f t="shared" si="64"/>
        <v>1w</v>
      </c>
      <c r="X3480" s="287">
        <f>_xll.qlCalendarAdvance(Calendar,X3479,W3480,"f",FALSE)</f>
        <v>63628</v>
      </c>
      <c r="Y3480" s="281">
        <f>_xll.qlCalendarAdvance(Calendar,X3480,NDays&amp;"D")</f>
        <v>63632</v>
      </c>
      <c r="Z3480" s="282" t="e">
        <v>#N/A</v>
      </c>
      <c r="AA3480" s="284" t="e">
        <v>#N/A</v>
      </c>
    </row>
    <row r="3481" spans="23:27" x14ac:dyDescent="0.2">
      <c r="W3481" s="203" t="str">
        <f t="shared" si="64"/>
        <v>1w</v>
      </c>
      <c r="X3481" s="287">
        <f>_xll.qlCalendarAdvance(Calendar,X3480,W3481,"f",FALSE)</f>
        <v>63635</v>
      </c>
      <c r="Y3481" s="281">
        <f>_xll.qlCalendarAdvance(Calendar,X3481,NDays&amp;"D")</f>
        <v>63639</v>
      </c>
      <c r="Z3481" s="282" t="e">
        <v>#N/A</v>
      </c>
      <c r="AA3481" s="284" t="e">
        <v>#N/A</v>
      </c>
    </row>
    <row r="3482" spans="23:27" x14ac:dyDescent="0.2">
      <c r="W3482" s="203" t="str">
        <f t="shared" si="64"/>
        <v>1w</v>
      </c>
      <c r="X3482" s="287">
        <f>_xll.qlCalendarAdvance(Calendar,X3481,W3482,"f",FALSE)</f>
        <v>63642</v>
      </c>
      <c r="Y3482" s="281">
        <f>_xll.qlCalendarAdvance(Calendar,X3482,NDays&amp;"D")</f>
        <v>63646</v>
      </c>
      <c r="Z3482" s="282" t="e">
        <v>#N/A</v>
      </c>
      <c r="AA3482" s="284" t="e">
        <v>#N/A</v>
      </c>
    </row>
    <row r="3483" spans="23:27" x14ac:dyDescent="0.2">
      <c r="W3483" s="203" t="str">
        <f t="shared" si="64"/>
        <v>1w</v>
      </c>
      <c r="X3483" s="287">
        <f>_xll.qlCalendarAdvance(Calendar,X3482,W3483,"f",FALSE)</f>
        <v>63649</v>
      </c>
      <c r="Y3483" s="281">
        <f>_xll.qlCalendarAdvance(Calendar,X3483,NDays&amp;"D")</f>
        <v>63653</v>
      </c>
      <c r="Z3483" s="282" t="e">
        <v>#N/A</v>
      </c>
      <c r="AA3483" s="284" t="e">
        <v>#N/A</v>
      </c>
    </row>
    <row r="3484" spans="23:27" x14ac:dyDescent="0.2">
      <c r="W3484" s="203" t="str">
        <f t="shared" si="64"/>
        <v>1w</v>
      </c>
      <c r="X3484" s="287">
        <f>_xll.qlCalendarAdvance(Calendar,X3483,W3484,"f",FALSE)</f>
        <v>63656</v>
      </c>
      <c r="Y3484" s="281">
        <f>_xll.qlCalendarAdvance(Calendar,X3484,NDays&amp;"D")</f>
        <v>63662</v>
      </c>
      <c r="Z3484" s="282" t="e">
        <v>#N/A</v>
      </c>
      <c r="AA3484" s="284" t="e">
        <v>#N/A</v>
      </c>
    </row>
    <row r="3485" spans="23:27" x14ac:dyDescent="0.2">
      <c r="W3485" s="203" t="str">
        <f t="shared" si="64"/>
        <v>1w</v>
      </c>
      <c r="X3485" s="287">
        <f>_xll.qlCalendarAdvance(Calendar,X3484,W3485,"f",FALSE)</f>
        <v>63663</v>
      </c>
      <c r="Y3485" s="281">
        <f>_xll.qlCalendarAdvance(Calendar,X3485,NDays&amp;"D")</f>
        <v>63667</v>
      </c>
      <c r="Z3485" s="282" t="e">
        <v>#N/A</v>
      </c>
      <c r="AA3485" s="284" t="e">
        <v>#N/A</v>
      </c>
    </row>
    <row r="3486" spans="23:27" x14ac:dyDescent="0.2">
      <c r="W3486" s="203" t="str">
        <f t="shared" si="64"/>
        <v>1w</v>
      </c>
      <c r="X3486" s="287">
        <f>_xll.qlCalendarAdvance(Calendar,X3485,W3486,"f",FALSE)</f>
        <v>63670</v>
      </c>
      <c r="Y3486" s="281">
        <f>_xll.qlCalendarAdvance(Calendar,X3486,NDays&amp;"D")</f>
        <v>63675</v>
      </c>
      <c r="Z3486" s="282" t="e">
        <v>#N/A</v>
      </c>
      <c r="AA3486" s="284" t="e">
        <v>#N/A</v>
      </c>
    </row>
    <row r="3487" spans="23:27" x14ac:dyDescent="0.2">
      <c r="W3487" s="203" t="str">
        <f t="shared" si="64"/>
        <v>1w</v>
      </c>
      <c r="X3487" s="287">
        <f>_xll.qlCalendarAdvance(Calendar,X3486,W3487,"f",FALSE)</f>
        <v>63682</v>
      </c>
      <c r="Y3487" s="281">
        <f>_xll.qlCalendarAdvance(Calendar,X3487,NDays&amp;"D")</f>
        <v>63684</v>
      </c>
      <c r="Z3487" s="282" t="e">
        <v>#N/A</v>
      </c>
      <c r="AA3487" s="284" t="e">
        <v>#N/A</v>
      </c>
    </row>
    <row r="3488" spans="23:27" x14ac:dyDescent="0.2">
      <c r="W3488" s="203" t="str">
        <f t="shared" si="64"/>
        <v>1w</v>
      </c>
      <c r="X3488" s="287">
        <f>_xll.qlCalendarAdvance(Calendar,X3487,W3488,"f",FALSE)</f>
        <v>63689</v>
      </c>
      <c r="Y3488" s="281">
        <f>_xll.qlCalendarAdvance(Calendar,X3488,NDays&amp;"D")</f>
        <v>63691</v>
      </c>
      <c r="Z3488" s="282" t="e">
        <v>#N/A</v>
      </c>
      <c r="AA3488" s="284" t="e">
        <v>#N/A</v>
      </c>
    </row>
    <row r="3489" spans="23:27" x14ac:dyDescent="0.2">
      <c r="W3489" s="203" t="str">
        <f t="shared" si="64"/>
        <v>1w</v>
      </c>
      <c r="X3489" s="287">
        <f>_xll.qlCalendarAdvance(Calendar,X3488,W3489,"f",FALSE)</f>
        <v>63696</v>
      </c>
      <c r="Y3489" s="281">
        <f>_xll.qlCalendarAdvance(Calendar,X3489,NDays&amp;"D")</f>
        <v>63698</v>
      </c>
      <c r="Z3489" s="282" t="e">
        <v>#N/A</v>
      </c>
      <c r="AA3489" s="284" t="e">
        <v>#N/A</v>
      </c>
    </row>
    <row r="3490" spans="23:27" x14ac:dyDescent="0.2">
      <c r="W3490" s="203" t="str">
        <f t="shared" si="64"/>
        <v>1w</v>
      </c>
      <c r="X3490" s="287">
        <f>_xll.qlCalendarAdvance(Calendar,X3489,W3490,"f",FALSE)</f>
        <v>63703</v>
      </c>
      <c r="Y3490" s="281">
        <f>_xll.qlCalendarAdvance(Calendar,X3490,NDays&amp;"D")</f>
        <v>63705</v>
      </c>
      <c r="Z3490" s="282" t="e">
        <v>#N/A</v>
      </c>
      <c r="AA3490" s="284" t="e">
        <v>#N/A</v>
      </c>
    </row>
    <row r="3491" spans="23:27" x14ac:dyDescent="0.2">
      <c r="W3491" s="203" t="str">
        <f t="shared" si="64"/>
        <v>1w</v>
      </c>
      <c r="X3491" s="287">
        <f>_xll.qlCalendarAdvance(Calendar,X3490,W3491,"f",FALSE)</f>
        <v>63710</v>
      </c>
      <c r="Y3491" s="281">
        <f>_xll.qlCalendarAdvance(Calendar,X3491,NDays&amp;"D")</f>
        <v>63712</v>
      </c>
      <c r="Z3491" s="282" t="e">
        <v>#N/A</v>
      </c>
      <c r="AA3491" s="284" t="e">
        <v>#N/A</v>
      </c>
    </row>
    <row r="3492" spans="23:27" x14ac:dyDescent="0.2">
      <c r="W3492" s="203" t="str">
        <f t="shared" si="64"/>
        <v>1w</v>
      </c>
      <c r="X3492" s="287">
        <f>_xll.qlCalendarAdvance(Calendar,X3491,W3492,"f",FALSE)</f>
        <v>63717</v>
      </c>
      <c r="Y3492" s="281">
        <f>_xll.qlCalendarAdvance(Calendar,X3492,NDays&amp;"D")</f>
        <v>63719</v>
      </c>
      <c r="Z3492" s="282" t="e">
        <v>#N/A</v>
      </c>
      <c r="AA3492" s="284" t="e">
        <v>#N/A</v>
      </c>
    </row>
    <row r="3493" spans="23:27" x14ac:dyDescent="0.2">
      <c r="W3493" s="203" t="str">
        <f t="shared" si="64"/>
        <v>1w</v>
      </c>
      <c r="X3493" s="287">
        <f>_xll.qlCalendarAdvance(Calendar,X3492,W3493,"f",FALSE)</f>
        <v>63724</v>
      </c>
      <c r="Y3493" s="281">
        <f>_xll.qlCalendarAdvance(Calendar,X3493,NDays&amp;"D")</f>
        <v>63726</v>
      </c>
      <c r="Z3493" s="282" t="e">
        <v>#N/A</v>
      </c>
      <c r="AA3493" s="284" t="e">
        <v>#N/A</v>
      </c>
    </row>
    <row r="3494" spans="23:27" x14ac:dyDescent="0.2">
      <c r="W3494" s="203" t="str">
        <f t="shared" si="64"/>
        <v>1w</v>
      </c>
      <c r="X3494" s="287">
        <f>_xll.qlCalendarAdvance(Calendar,X3493,W3494,"f",FALSE)</f>
        <v>63731</v>
      </c>
      <c r="Y3494" s="281">
        <f>_xll.qlCalendarAdvance(Calendar,X3494,NDays&amp;"D")</f>
        <v>63733</v>
      </c>
      <c r="Z3494" s="282" t="e">
        <v>#N/A</v>
      </c>
      <c r="AA3494" s="284" t="e">
        <v>#N/A</v>
      </c>
    </row>
    <row r="3495" spans="23:27" x14ac:dyDescent="0.2">
      <c r="W3495" s="203" t="str">
        <f t="shared" si="64"/>
        <v>1w</v>
      </c>
      <c r="X3495" s="287">
        <f>_xll.qlCalendarAdvance(Calendar,X3494,W3495,"f",FALSE)</f>
        <v>63738</v>
      </c>
      <c r="Y3495" s="281">
        <f>_xll.qlCalendarAdvance(Calendar,X3495,NDays&amp;"D")</f>
        <v>63740</v>
      </c>
      <c r="Z3495" s="282" t="e">
        <v>#N/A</v>
      </c>
      <c r="AA3495" s="284" t="e">
        <v>#N/A</v>
      </c>
    </row>
    <row r="3496" spans="23:27" x14ac:dyDescent="0.2">
      <c r="W3496" s="203" t="str">
        <f t="shared" si="64"/>
        <v>1w</v>
      </c>
      <c r="X3496" s="287">
        <f>_xll.qlCalendarAdvance(Calendar,X3495,W3496,"f",FALSE)</f>
        <v>63745</v>
      </c>
      <c r="Y3496" s="281">
        <f>_xll.qlCalendarAdvance(Calendar,X3496,NDays&amp;"D")</f>
        <v>63747</v>
      </c>
      <c r="Z3496" s="282" t="e">
        <v>#N/A</v>
      </c>
      <c r="AA3496" s="284" t="e">
        <v>#N/A</v>
      </c>
    </row>
    <row r="3497" spans="23:27" x14ac:dyDescent="0.2">
      <c r="W3497" s="203" t="str">
        <f t="shared" si="64"/>
        <v>1w</v>
      </c>
      <c r="X3497" s="287">
        <f>_xll.qlCalendarAdvance(Calendar,X3496,W3497,"f",FALSE)</f>
        <v>63752</v>
      </c>
      <c r="Y3497" s="281">
        <f>_xll.qlCalendarAdvance(Calendar,X3497,NDays&amp;"D")</f>
        <v>63754</v>
      </c>
      <c r="Z3497" s="282" t="e">
        <v>#N/A</v>
      </c>
      <c r="AA3497" s="284" t="e">
        <v>#N/A</v>
      </c>
    </row>
    <row r="3498" spans="23:27" x14ac:dyDescent="0.2">
      <c r="W3498" s="203" t="str">
        <f t="shared" si="64"/>
        <v>1w</v>
      </c>
      <c r="X3498" s="287">
        <f>_xll.qlCalendarAdvance(Calendar,X3497,W3498,"f",FALSE)</f>
        <v>63759</v>
      </c>
      <c r="Y3498" s="281">
        <f>_xll.qlCalendarAdvance(Calendar,X3498,NDays&amp;"D")</f>
        <v>63761</v>
      </c>
      <c r="Z3498" s="282" t="e">
        <v>#N/A</v>
      </c>
      <c r="AA3498" s="284" t="e">
        <v>#N/A</v>
      </c>
    </row>
    <row r="3499" spans="23:27" x14ac:dyDescent="0.2">
      <c r="W3499" s="203" t="str">
        <f t="shared" si="64"/>
        <v>1w</v>
      </c>
      <c r="X3499" s="287">
        <f>_xll.qlCalendarAdvance(Calendar,X3498,W3499,"f",FALSE)</f>
        <v>63766</v>
      </c>
      <c r="Y3499" s="281">
        <f>_xll.qlCalendarAdvance(Calendar,X3499,NDays&amp;"D")</f>
        <v>63768</v>
      </c>
      <c r="Z3499" s="282" t="e">
        <v>#N/A</v>
      </c>
      <c r="AA3499" s="284" t="e">
        <v>#N/A</v>
      </c>
    </row>
    <row r="3500" spans="23:27" x14ac:dyDescent="0.2">
      <c r="W3500" s="203" t="str">
        <f t="shared" si="64"/>
        <v>1w</v>
      </c>
      <c r="X3500" s="287">
        <f>_xll.qlCalendarAdvance(Calendar,X3499,W3500,"f",FALSE)</f>
        <v>63773</v>
      </c>
      <c r="Y3500" s="281">
        <f>_xll.qlCalendarAdvance(Calendar,X3500,NDays&amp;"D")</f>
        <v>63775</v>
      </c>
      <c r="Z3500" s="282" t="e">
        <v>#N/A</v>
      </c>
      <c r="AA3500" s="284" t="e">
        <v>#N/A</v>
      </c>
    </row>
    <row r="3501" spans="23:27" x14ac:dyDescent="0.2">
      <c r="W3501" s="203" t="str">
        <f t="shared" si="64"/>
        <v>1w</v>
      </c>
      <c r="X3501" s="287">
        <f>_xll.qlCalendarAdvance(Calendar,X3500,W3501,"f",FALSE)</f>
        <v>63780</v>
      </c>
      <c r="Y3501" s="281">
        <f>_xll.qlCalendarAdvance(Calendar,X3501,NDays&amp;"D")</f>
        <v>63782</v>
      </c>
      <c r="Z3501" s="282" t="e">
        <v>#N/A</v>
      </c>
      <c r="AA3501" s="284" t="e">
        <v>#N/A</v>
      </c>
    </row>
    <row r="3502" spans="23:27" x14ac:dyDescent="0.2">
      <c r="W3502" s="203" t="str">
        <f t="shared" si="64"/>
        <v>1w</v>
      </c>
      <c r="X3502" s="287">
        <f>_xll.qlCalendarAdvance(Calendar,X3501,W3502,"f",FALSE)</f>
        <v>63787</v>
      </c>
      <c r="Y3502" s="281">
        <f>_xll.qlCalendarAdvance(Calendar,X3502,NDays&amp;"D")</f>
        <v>63789</v>
      </c>
      <c r="Z3502" s="282" t="e">
        <v>#N/A</v>
      </c>
      <c r="AA3502" s="284" t="e">
        <v>#N/A</v>
      </c>
    </row>
    <row r="3503" spans="23:27" x14ac:dyDescent="0.2">
      <c r="W3503" s="203" t="str">
        <f t="shared" si="64"/>
        <v>1w</v>
      </c>
      <c r="X3503" s="287">
        <f>_xll.qlCalendarAdvance(Calendar,X3502,W3503,"f",FALSE)</f>
        <v>63794</v>
      </c>
      <c r="Y3503" s="281">
        <f>_xll.qlCalendarAdvance(Calendar,X3503,NDays&amp;"D")</f>
        <v>63796</v>
      </c>
      <c r="Z3503" s="282" t="e">
        <v>#N/A</v>
      </c>
      <c r="AA3503" s="284" t="e">
        <v>#N/A</v>
      </c>
    </row>
    <row r="3504" spans="23:27" x14ac:dyDescent="0.2">
      <c r="W3504" s="203" t="str">
        <f t="shared" si="64"/>
        <v>1w</v>
      </c>
      <c r="X3504" s="287">
        <f>_xll.qlCalendarAdvance(Calendar,X3503,W3504,"f",FALSE)</f>
        <v>63801</v>
      </c>
      <c r="Y3504" s="281">
        <f>_xll.qlCalendarAdvance(Calendar,X3504,NDays&amp;"D")</f>
        <v>63803</v>
      </c>
      <c r="Z3504" s="282" t="e">
        <v>#N/A</v>
      </c>
      <c r="AA3504" s="284" t="e">
        <v>#N/A</v>
      </c>
    </row>
    <row r="3505" spans="23:27" x14ac:dyDescent="0.2">
      <c r="W3505" s="203" t="str">
        <f t="shared" si="64"/>
        <v>1w</v>
      </c>
      <c r="X3505" s="287">
        <f>_xll.qlCalendarAdvance(Calendar,X3504,W3505,"f",FALSE)</f>
        <v>63808</v>
      </c>
      <c r="Y3505" s="281">
        <f>_xll.qlCalendarAdvance(Calendar,X3505,NDays&amp;"D")</f>
        <v>63810</v>
      </c>
      <c r="Z3505" s="282" t="e">
        <v>#N/A</v>
      </c>
      <c r="AA3505" s="284" t="e">
        <v>#N/A</v>
      </c>
    </row>
    <row r="3506" spans="23:27" x14ac:dyDescent="0.2">
      <c r="W3506" s="203" t="str">
        <f t="shared" si="64"/>
        <v>1w</v>
      </c>
      <c r="X3506" s="287">
        <f>_xll.qlCalendarAdvance(Calendar,X3505,W3506,"f",FALSE)</f>
        <v>63815</v>
      </c>
      <c r="Y3506" s="281">
        <f>_xll.qlCalendarAdvance(Calendar,X3506,NDays&amp;"D")</f>
        <v>63817</v>
      </c>
      <c r="Z3506" s="282" t="e">
        <v>#N/A</v>
      </c>
      <c r="AA3506" s="284" t="e">
        <v>#N/A</v>
      </c>
    </row>
    <row r="3507" spans="23:27" x14ac:dyDescent="0.2">
      <c r="W3507" s="203" t="str">
        <f t="shared" si="64"/>
        <v>1w</v>
      </c>
      <c r="X3507" s="287">
        <f>_xll.qlCalendarAdvance(Calendar,X3506,W3507,"f",FALSE)</f>
        <v>63822</v>
      </c>
      <c r="Y3507" s="281">
        <f>_xll.qlCalendarAdvance(Calendar,X3507,NDays&amp;"D")</f>
        <v>63824</v>
      </c>
      <c r="Z3507" s="282" t="e">
        <v>#N/A</v>
      </c>
      <c r="AA3507" s="284" t="e">
        <v>#N/A</v>
      </c>
    </row>
    <row r="3508" spans="23:27" x14ac:dyDescent="0.2">
      <c r="W3508" s="203" t="str">
        <f t="shared" si="64"/>
        <v>1w</v>
      </c>
      <c r="X3508" s="287">
        <f>_xll.qlCalendarAdvance(Calendar,X3507,W3508,"f",FALSE)</f>
        <v>63829</v>
      </c>
      <c r="Y3508" s="281">
        <f>_xll.qlCalendarAdvance(Calendar,X3508,NDays&amp;"D")</f>
        <v>63831</v>
      </c>
      <c r="Z3508" s="282" t="e">
        <v>#N/A</v>
      </c>
      <c r="AA3508" s="284" t="e">
        <v>#N/A</v>
      </c>
    </row>
    <row r="3509" spans="23:27" x14ac:dyDescent="0.2">
      <c r="W3509" s="203" t="str">
        <f t="shared" si="64"/>
        <v>1w</v>
      </c>
      <c r="X3509" s="287">
        <f>_xll.qlCalendarAdvance(Calendar,X3508,W3509,"f",FALSE)</f>
        <v>63836</v>
      </c>
      <c r="Y3509" s="281">
        <f>_xll.qlCalendarAdvance(Calendar,X3509,NDays&amp;"D")</f>
        <v>63838</v>
      </c>
      <c r="Z3509" s="282" t="e">
        <v>#N/A</v>
      </c>
      <c r="AA3509" s="284" t="e">
        <v>#N/A</v>
      </c>
    </row>
    <row r="3510" spans="23:27" x14ac:dyDescent="0.2">
      <c r="W3510" s="203" t="str">
        <f t="shared" si="64"/>
        <v>1w</v>
      </c>
      <c r="X3510" s="287">
        <f>_xll.qlCalendarAdvance(Calendar,X3509,W3510,"f",FALSE)</f>
        <v>63843</v>
      </c>
      <c r="Y3510" s="281">
        <f>_xll.qlCalendarAdvance(Calendar,X3510,NDays&amp;"D")</f>
        <v>63845</v>
      </c>
      <c r="Z3510" s="282" t="e">
        <v>#N/A</v>
      </c>
      <c r="AA3510" s="284" t="e">
        <v>#N/A</v>
      </c>
    </row>
    <row r="3511" spans="23:27" x14ac:dyDescent="0.2">
      <c r="W3511" s="203" t="str">
        <f t="shared" si="64"/>
        <v>1w</v>
      </c>
      <c r="X3511" s="287">
        <f>_xll.qlCalendarAdvance(Calendar,X3510,W3511,"f",FALSE)</f>
        <v>63850</v>
      </c>
      <c r="Y3511" s="281">
        <f>_xll.qlCalendarAdvance(Calendar,X3511,NDays&amp;"D")</f>
        <v>63852</v>
      </c>
      <c r="Z3511" s="282" t="e">
        <v>#N/A</v>
      </c>
      <c r="AA3511" s="284" t="e">
        <v>#N/A</v>
      </c>
    </row>
    <row r="3512" spans="23:27" x14ac:dyDescent="0.2">
      <c r="W3512" s="203" t="str">
        <f t="shared" si="64"/>
        <v>1w</v>
      </c>
      <c r="X3512" s="287">
        <f>_xll.qlCalendarAdvance(Calendar,X3511,W3512,"f",FALSE)</f>
        <v>63857</v>
      </c>
      <c r="Y3512" s="281">
        <f>_xll.qlCalendarAdvance(Calendar,X3512,NDays&amp;"D")</f>
        <v>63859</v>
      </c>
      <c r="Z3512" s="282" t="e">
        <v>#N/A</v>
      </c>
      <c r="AA3512" s="284" t="e">
        <v>#N/A</v>
      </c>
    </row>
    <row r="3513" spans="23:27" x14ac:dyDescent="0.2">
      <c r="W3513" s="203" t="str">
        <f t="shared" si="64"/>
        <v>1w</v>
      </c>
      <c r="X3513" s="287">
        <f>_xll.qlCalendarAdvance(Calendar,X3512,W3513,"f",FALSE)</f>
        <v>63864</v>
      </c>
      <c r="Y3513" s="281">
        <f>_xll.qlCalendarAdvance(Calendar,X3513,NDays&amp;"D")</f>
        <v>63866</v>
      </c>
      <c r="Z3513" s="282" t="e">
        <v>#N/A</v>
      </c>
      <c r="AA3513" s="284" t="e">
        <v>#N/A</v>
      </c>
    </row>
    <row r="3514" spans="23:27" x14ac:dyDescent="0.2">
      <c r="W3514" s="203" t="str">
        <f t="shared" si="64"/>
        <v>1w</v>
      </c>
      <c r="X3514" s="287">
        <f>_xll.qlCalendarAdvance(Calendar,X3513,W3514,"f",FALSE)</f>
        <v>63871</v>
      </c>
      <c r="Y3514" s="281">
        <f>_xll.qlCalendarAdvance(Calendar,X3514,NDays&amp;"D")</f>
        <v>63873</v>
      </c>
      <c r="Z3514" s="282" t="e">
        <v>#N/A</v>
      </c>
      <c r="AA3514" s="284" t="e">
        <v>#N/A</v>
      </c>
    </row>
    <row r="3515" spans="23:27" x14ac:dyDescent="0.2">
      <c r="W3515" s="203" t="str">
        <f t="shared" si="64"/>
        <v>1w</v>
      </c>
      <c r="X3515" s="287">
        <f>_xll.qlCalendarAdvance(Calendar,X3514,W3515,"f",FALSE)</f>
        <v>63878</v>
      </c>
      <c r="Y3515" s="281">
        <f>_xll.qlCalendarAdvance(Calendar,X3515,NDays&amp;"D")</f>
        <v>63880</v>
      </c>
      <c r="Z3515" s="282" t="e">
        <v>#N/A</v>
      </c>
      <c r="AA3515" s="284" t="e">
        <v>#N/A</v>
      </c>
    </row>
    <row r="3516" spans="23:27" x14ac:dyDescent="0.2">
      <c r="W3516" s="203" t="str">
        <f t="shared" si="64"/>
        <v>1w</v>
      </c>
      <c r="X3516" s="287">
        <f>_xll.qlCalendarAdvance(Calendar,X3515,W3516,"f",FALSE)</f>
        <v>63885</v>
      </c>
      <c r="Y3516" s="281">
        <f>_xll.qlCalendarAdvance(Calendar,X3516,NDays&amp;"D")</f>
        <v>63887</v>
      </c>
      <c r="Z3516" s="282" t="e">
        <v>#N/A</v>
      </c>
      <c r="AA3516" s="284" t="e">
        <v>#N/A</v>
      </c>
    </row>
    <row r="3517" spans="23:27" x14ac:dyDescent="0.2">
      <c r="W3517" s="203" t="str">
        <f t="shared" si="64"/>
        <v>1w</v>
      </c>
      <c r="X3517" s="287">
        <f>_xll.qlCalendarAdvance(Calendar,X3516,W3517,"f",FALSE)</f>
        <v>63892</v>
      </c>
      <c r="Y3517" s="281">
        <f>_xll.qlCalendarAdvance(Calendar,X3517,NDays&amp;"D")</f>
        <v>63894</v>
      </c>
      <c r="Z3517" s="282" t="e">
        <v>#N/A</v>
      </c>
      <c r="AA3517" s="284" t="e">
        <v>#N/A</v>
      </c>
    </row>
    <row r="3518" spans="23:27" x14ac:dyDescent="0.2">
      <c r="W3518" s="203" t="str">
        <f t="shared" si="64"/>
        <v>1w</v>
      </c>
      <c r="X3518" s="287">
        <f>_xll.qlCalendarAdvance(Calendar,X3517,W3518,"f",FALSE)</f>
        <v>63899</v>
      </c>
      <c r="Y3518" s="281">
        <f>_xll.qlCalendarAdvance(Calendar,X3518,NDays&amp;"D")</f>
        <v>63901</v>
      </c>
      <c r="Z3518" s="282" t="e">
        <v>#N/A</v>
      </c>
      <c r="AA3518" s="284" t="e">
        <v>#N/A</v>
      </c>
    </row>
    <row r="3519" spans="23:27" x14ac:dyDescent="0.2">
      <c r="W3519" s="203" t="str">
        <f t="shared" si="64"/>
        <v>1w</v>
      </c>
      <c r="X3519" s="287">
        <f>_xll.qlCalendarAdvance(Calendar,X3518,W3519,"f",FALSE)</f>
        <v>63906</v>
      </c>
      <c r="Y3519" s="281">
        <f>_xll.qlCalendarAdvance(Calendar,X3519,NDays&amp;"D")</f>
        <v>63908</v>
      </c>
      <c r="Z3519" s="282" t="e">
        <v>#N/A</v>
      </c>
      <c r="AA3519" s="284" t="e">
        <v>#N/A</v>
      </c>
    </row>
    <row r="3520" spans="23:27" x14ac:dyDescent="0.2">
      <c r="W3520" s="203" t="str">
        <f t="shared" si="64"/>
        <v>1w</v>
      </c>
      <c r="X3520" s="287">
        <f>_xll.qlCalendarAdvance(Calendar,X3519,W3520,"f",FALSE)</f>
        <v>63915</v>
      </c>
      <c r="Y3520" s="281">
        <f>_xll.qlCalendarAdvance(Calendar,X3520,NDays&amp;"D")</f>
        <v>63923</v>
      </c>
      <c r="Z3520" s="282" t="e">
        <v>#N/A</v>
      </c>
      <c r="AA3520" s="284" t="e">
        <v>#N/A</v>
      </c>
    </row>
    <row r="3521" spans="23:27" x14ac:dyDescent="0.2">
      <c r="W3521" s="203" t="str">
        <f t="shared" si="64"/>
        <v>1w</v>
      </c>
      <c r="X3521" s="287">
        <f>_xll.qlCalendarAdvance(Calendar,X3520,W3521,"f",FALSE)</f>
        <v>63923</v>
      </c>
      <c r="Y3521" s="281">
        <f>_xll.qlCalendarAdvance(Calendar,X3521,NDays&amp;"D")</f>
        <v>63927</v>
      </c>
      <c r="Z3521" s="282" t="e">
        <v>#N/A</v>
      </c>
      <c r="AA3521" s="284" t="e">
        <v>#N/A</v>
      </c>
    </row>
    <row r="3522" spans="23:27" x14ac:dyDescent="0.2">
      <c r="W3522" s="203" t="str">
        <f t="shared" si="64"/>
        <v>1w</v>
      </c>
      <c r="X3522" s="287">
        <f>_xll.qlCalendarAdvance(Calendar,X3521,W3522,"f",FALSE)</f>
        <v>63930</v>
      </c>
      <c r="Y3522" s="281">
        <f>_xll.qlCalendarAdvance(Calendar,X3522,NDays&amp;"D")</f>
        <v>63935</v>
      </c>
      <c r="Z3522" s="282" t="e">
        <v>#N/A</v>
      </c>
      <c r="AA3522" s="284" t="e">
        <v>#N/A</v>
      </c>
    </row>
    <row r="3523" spans="23:27" x14ac:dyDescent="0.2">
      <c r="W3523" s="203" t="str">
        <f t="shared" si="64"/>
        <v>1w</v>
      </c>
      <c r="X3523" s="287">
        <f>_xll.qlCalendarAdvance(Calendar,X3522,W3523,"f",FALSE)</f>
        <v>63937</v>
      </c>
      <c r="Y3523" s="281">
        <f>_xll.qlCalendarAdvance(Calendar,X3523,NDays&amp;"D")</f>
        <v>63941</v>
      </c>
      <c r="Z3523" s="282" t="e">
        <v>#N/A</v>
      </c>
      <c r="AA3523" s="284" t="e">
        <v>#N/A</v>
      </c>
    </row>
    <row r="3524" spans="23:27" x14ac:dyDescent="0.2">
      <c r="W3524" s="203" t="str">
        <f t="shared" si="64"/>
        <v>1w</v>
      </c>
      <c r="X3524" s="287">
        <f>_xll.qlCalendarAdvance(Calendar,X3523,W3524,"f",FALSE)</f>
        <v>63944</v>
      </c>
      <c r="Y3524" s="281">
        <f>_xll.qlCalendarAdvance(Calendar,X3524,NDays&amp;"D")</f>
        <v>63948</v>
      </c>
      <c r="Z3524" s="282" t="e">
        <v>#N/A</v>
      </c>
      <c r="AA3524" s="284" t="e">
        <v>#N/A</v>
      </c>
    </row>
    <row r="3525" spans="23:27" x14ac:dyDescent="0.2">
      <c r="W3525" s="203" t="str">
        <f t="shared" si="64"/>
        <v>1w</v>
      </c>
      <c r="X3525" s="287">
        <f>_xll.qlCalendarAdvance(Calendar,X3524,W3525,"f",FALSE)</f>
        <v>63951</v>
      </c>
      <c r="Y3525" s="281">
        <f>_xll.qlCalendarAdvance(Calendar,X3525,NDays&amp;"D")</f>
        <v>63955</v>
      </c>
      <c r="Z3525" s="282" t="e">
        <v>#N/A</v>
      </c>
      <c r="AA3525" s="284" t="e">
        <v>#N/A</v>
      </c>
    </row>
    <row r="3526" spans="23:27" x14ac:dyDescent="0.2">
      <c r="W3526" s="203" t="str">
        <f t="shared" si="64"/>
        <v>1w</v>
      </c>
      <c r="X3526" s="287">
        <f>_xll.qlCalendarAdvance(Calendar,X3525,W3526,"f",FALSE)</f>
        <v>63958</v>
      </c>
      <c r="Y3526" s="281">
        <f>_xll.qlCalendarAdvance(Calendar,X3526,NDays&amp;"D")</f>
        <v>63963</v>
      </c>
      <c r="Z3526" s="282" t="e">
        <v>#N/A</v>
      </c>
      <c r="AA3526" s="284" t="e">
        <v>#N/A</v>
      </c>
    </row>
    <row r="3527" spans="23:27" x14ac:dyDescent="0.2">
      <c r="W3527" s="203" t="str">
        <f t="shared" si="64"/>
        <v>1w</v>
      </c>
      <c r="X3527" s="287">
        <f>_xll.qlCalendarAdvance(Calendar,X3526,W3527,"f",FALSE)</f>
        <v>63965</v>
      </c>
      <c r="Y3527" s="281">
        <f>_xll.qlCalendarAdvance(Calendar,X3527,NDays&amp;"D")</f>
        <v>63969</v>
      </c>
      <c r="Z3527" s="282" t="e">
        <v>#N/A</v>
      </c>
      <c r="AA3527" s="284" t="e">
        <v>#N/A</v>
      </c>
    </row>
    <row r="3528" spans="23:27" x14ac:dyDescent="0.2">
      <c r="W3528" s="203" t="str">
        <f t="shared" si="64"/>
        <v>1w</v>
      </c>
      <c r="X3528" s="287">
        <f>_xll.qlCalendarAdvance(Calendar,X3527,W3528,"f",FALSE)</f>
        <v>63972</v>
      </c>
      <c r="Y3528" s="281">
        <f>_xll.qlCalendarAdvance(Calendar,X3528,NDays&amp;"D")</f>
        <v>63976</v>
      </c>
      <c r="Z3528" s="282" t="e">
        <v>#N/A</v>
      </c>
      <c r="AA3528" s="284" t="e">
        <v>#N/A</v>
      </c>
    </row>
    <row r="3529" spans="23:27" x14ac:dyDescent="0.2">
      <c r="W3529" s="203" t="str">
        <f t="shared" si="64"/>
        <v>1w</v>
      </c>
      <c r="X3529" s="287">
        <f>_xll.qlCalendarAdvance(Calendar,X3528,W3529,"f",FALSE)</f>
        <v>63979</v>
      </c>
      <c r="Y3529" s="281">
        <f>_xll.qlCalendarAdvance(Calendar,X3529,NDays&amp;"D")</f>
        <v>63983</v>
      </c>
      <c r="Z3529" s="282" t="e">
        <v>#N/A</v>
      </c>
      <c r="AA3529" s="284" t="e">
        <v>#N/A</v>
      </c>
    </row>
    <row r="3530" spans="23:27" x14ac:dyDescent="0.2">
      <c r="W3530" s="203" t="str">
        <f t="shared" si="64"/>
        <v>1w</v>
      </c>
      <c r="X3530" s="287">
        <f>_xll.qlCalendarAdvance(Calendar,X3529,W3530,"f",FALSE)</f>
        <v>63986</v>
      </c>
      <c r="Y3530" s="281">
        <f>_xll.qlCalendarAdvance(Calendar,X3530,NDays&amp;"D")</f>
        <v>63990</v>
      </c>
      <c r="Z3530" s="282" t="e">
        <v>#N/A</v>
      </c>
      <c r="AA3530" s="284" t="e">
        <v>#N/A</v>
      </c>
    </row>
    <row r="3531" spans="23:27" x14ac:dyDescent="0.2">
      <c r="W3531" s="203" t="str">
        <f t="shared" si="64"/>
        <v>1w</v>
      </c>
      <c r="X3531" s="287">
        <f>_xll.qlCalendarAdvance(Calendar,X3530,W3531,"f",FALSE)</f>
        <v>63993</v>
      </c>
      <c r="Y3531" s="281">
        <f>_xll.qlCalendarAdvance(Calendar,X3531,NDays&amp;"D")</f>
        <v>63997</v>
      </c>
      <c r="Z3531" s="282" t="e">
        <v>#N/A</v>
      </c>
      <c r="AA3531" s="284" t="e">
        <v>#N/A</v>
      </c>
    </row>
    <row r="3532" spans="23:27" x14ac:dyDescent="0.2">
      <c r="W3532" s="203" t="str">
        <f t="shared" si="64"/>
        <v>1w</v>
      </c>
      <c r="X3532" s="287">
        <f>_xll.qlCalendarAdvance(Calendar,X3531,W3532,"f",FALSE)</f>
        <v>64000</v>
      </c>
      <c r="Y3532" s="281">
        <f>_xll.qlCalendarAdvance(Calendar,X3532,NDays&amp;"D")</f>
        <v>64004</v>
      </c>
      <c r="Z3532" s="282" t="e">
        <v>#N/A</v>
      </c>
      <c r="AA3532" s="284" t="e">
        <v>#N/A</v>
      </c>
    </row>
    <row r="3533" spans="23:27" x14ac:dyDescent="0.2">
      <c r="W3533" s="203" t="str">
        <f t="shared" si="64"/>
        <v>1w</v>
      </c>
      <c r="X3533" s="287">
        <f>_xll.qlCalendarAdvance(Calendar,X3532,W3533,"f",FALSE)</f>
        <v>64007</v>
      </c>
      <c r="Y3533" s="281">
        <f>_xll.qlCalendarAdvance(Calendar,X3533,NDays&amp;"D")</f>
        <v>64011</v>
      </c>
      <c r="Z3533" s="282" t="e">
        <v>#N/A</v>
      </c>
      <c r="AA3533" s="284" t="e">
        <v>#N/A</v>
      </c>
    </row>
    <row r="3534" spans="23:27" x14ac:dyDescent="0.2">
      <c r="W3534" s="203" t="str">
        <f t="shared" si="64"/>
        <v>1w</v>
      </c>
      <c r="X3534" s="287">
        <f>_xll.qlCalendarAdvance(Calendar,X3533,W3534,"f",FALSE)</f>
        <v>64018</v>
      </c>
      <c r="Y3534" s="281">
        <f>_xll.qlCalendarAdvance(Calendar,X3534,NDays&amp;"D")</f>
        <v>64020</v>
      </c>
      <c r="Z3534" s="282" t="e">
        <v>#N/A</v>
      </c>
      <c r="AA3534" s="284" t="e">
        <v>#N/A</v>
      </c>
    </row>
    <row r="3535" spans="23:27" x14ac:dyDescent="0.2">
      <c r="W3535" s="203" t="str">
        <f t="shared" si="64"/>
        <v>1w</v>
      </c>
      <c r="X3535" s="287">
        <f>_xll.qlCalendarAdvance(Calendar,X3534,W3535,"f",FALSE)</f>
        <v>64025</v>
      </c>
      <c r="Y3535" s="281">
        <f>_xll.qlCalendarAdvance(Calendar,X3535,NDays&amp;"D")</f>
        <v>64027</v>
      </c>
      <c r="Z3535" s="282" t="e">
        <v>#N/A</v>
      </c>
      <c r="AA3535" s="284" t="e">
        <v>#N/A</v>
      </c>
    </row>
    <row r="3536" spans="23:27" x14ac:dyDescent="0.2">
      <c r="W3536" s="203" t="str">
        <f t="shared" si="64"/>
        <v>1w</v>
      </c>
      <c r="X3536" s="287">
        <f>_xll.qlCalendarAdvance(Calendar,X3535,W3536,"f",FALSE)</f>
        <v>64032</v>
      </c>
      <c r="Y3536" s="281">
        <f>_xll.qlCalendarAdvance(Calendar,X3536,NDays&amp;"D")</f>
        <v>64034</v>
      </c>
      <c r="Z3536" s="282" t="e">
        <v>#N/A</v>
      </c>
      <c r="AA3536" s="284" t="e">
        <v>#N/A</v>
      </c>
    </row>
    <row r="3537" spans="2:27" x14ac:dyDescent="0.2">
      <c r="W3537" s="203" t="str">
        <f t="shared" si="64"/>
        <v>1w</v>
      </c>
      <c r="X3537" s="287">
        <f>_xll.qlCalendarAdvance(Calendar,X3536,W3537,"f",FALSE)</f>
        <v>64039</v>
      </c>
      <c r="Y3537" s="281">
        <f>_xll.qlCalendarAdvance(Calendar,X3537,NDays&amp;"D")</f>
        <v>64041</v>
      </c>
      <c r="Z3537" s="282" t="e">
        <v>#N/A</v>
      </c>
      <c r="AA3537" s="284" t="e">
        <v>#N/A</v>
      </c>
    </row>
    <row r="3538" spans="2:27" x14ac:dyDescent="0.2">
      <c r="W3538" s="203" t="str">
        <f t="shared" si="64"/>
        <v>1w</v>
      </c>
      <c r="X3538" s="287">
        <f>_xll.qlCalendarAdvance(Calendar,X3537,W3538,"f",FALSE)</f>
        <v>64046</v>
      </c>
      <c r="Y3538" s="281">
        <f>_xll.qlCalendarAdvance(Calendar,X3538,NDays&amp;"D")</f>
        <v>64048</v>
      </c>
      <c r="Z3538" s="282" t="e">
        <v>#N/A</v>
      </c>
      <c r="AA3538" s="284" t="e">
        <v>#N/A</v>
      </c>
    </row>
    <row r="3539" spans="2:27" x14ac:dyDescent="0.2">
      <c r="W3539" s="203" t="str">
        <f t="shared" si="64"/>
        <v>1w</v>
      </c>
      <c r="X3539" s="287">
        <f>_xll.qlCalendarAdvance(Calendar,X3538,W3539,"f",FALSE)</f>
        <v>64053</v>
      </c>
      <c r="Y3539" s="281">
        <f>_xll.qlCalendarAdvance(Calendar,X3539,NDays&amp;"D")</f>
        <v>64055</v>
      </c>
      <c r="Z3539" s="282" t="e">
        <v>#N/A</v>
      </c>
      <c r="AA3539" s="284" t="e">
        <v>#N/A</v>
      </c>
    </row>
    <row r="3540" spans="2:27" x14ac:dyDescent="0.2">
      <c r="B3540" s="287"/>
      <c r="C3540" s="281"/>
      <c r="D3540" s="282"/>
      <c r="E3540" s="282"/>
      <c r="W3540" s="203" t="str">
        <f t="shared" si="64"/>
        <v>1w</v>
      </c>
      <c r="X3540" s="287">
        <f>_xll.qlCalendarAdvance(Calendar,X3539,W3540,"f",FALSE)</f>
        <v>64060</v>
      </c>
      <c r="Y3540" s="281">
        <f>_xll.qlCalendarAdvance(Calendar,X3540,NDays&amp;"D")</f>
        <v>64062</v>
      </c>
      <c r="Z3540" s="282" t="e">
        <v>#N/A</v>
      </c>
      <c r="AA3540" s="284" t="e">
        <v>#N/A</v>
      </c>
    </row>
    <row r="3541" spans="2:27" x14ac:dyDescent="0.2">
      <c r="B3541" s="287"/>
      <c r="C3541" s="281"/>
      <c r="D3541" s="282"/>
      <c r="E3541" s="282"/>
      <c r="W3541" s="203" t="str">
        <f t="shared" ref="W3541:W3552" si="65">W3540</f>
        <v>1w</v>
      </c>
      <c r="X3541" s="287">
        <f>_xll.qlCalendarAdvance(Calendar,X3540,W3541,"f",FALSE)</f>
        <v>64067</v>
      </c>
      <c r="Y3541" s="281">
        <f>_xll.qlCalendarAdvance(Calendar,X3541,NDays&amp;"D")</f>
        <v>64069</v>
      </c>
      <c r="Z3541" s="282" t="e">
        <v>#N/A</v>
      </c>
      <c r="AA3541" s="284" t="e">
        <v>#N/A</v>
      </c>
    </row>
    <row r="3542" spans="2:27" x14ac:dyDescent="0.2">
      <c r="B3542" s="287"/>
      <c r="C3542" s="281"/>
      <c r="D3542" s="282"/>
      <c r="E3542" s="282"/>
      <c r="W3542" s="203" t="str">
        <f t="shared" si="65"/>
        <v>1w</v>
      </c>
      <c r="X3542" s="287">
        <f>_xll.qlCalendarAdvance(Calendar,X3541,W3542,"f",FALSE)</f>
        <v>64074</v>
      </c>
      <c r="Y3542" s="281">
        <f>_xll.qlCalendarAdvance(Calendar,X3542,NDays&amp;"D")</f>
        <v>64076</v>
      </c>
      <c r="Z3542" s="282" t="e">
        <v>#N/A</v>
      </c>
      <c r="AA3542" s="284" t="e">
        <v>#N/A</v>
      </c>
    </row>
    <row r="3543" spans="2:27" x14ac:dyDescent="0.2">
      <c r="B3543" s="287"/>
      <c r="C3543" s="281"/>
      <c r="D3543" s="282"/>
      <c r="E3543" s="282"/>
      <c r="W3543" s="203" t="str">
        <f t="shared" si="65"/>
        <v>1w</v>
      </c>
      <c r="X3543" s="287">
        <f>_xll.qlCalendarAdvance(Calendar,X3542,W3543,"f",FALSE)</f>
        <v>64081</v>
      </c>
      <c r="Y3543" s="281">
        <f>_xll.qlCalendarAdvance(Calendar,X3543,NDays&amp;"D")</f>
        <v>64083</v>
      </c>
      <c r="Z3543" s="282" t="e">
        <v>#N/A</v>
      </c>
      <c r="AA3543" s="284" t="e">
        <v>#N/A</v>
      </c>
    </row>
    <row r="3544" spans="2:27" x14ac:dyDescent="0.2">
      <c r="B3544" s="287"/>
      <c r="C3544" s="281"/>
      <c r="D3544" s="282"/>
      <c r="E3544" s="282"/>
      <c r="W3544" s="203" t="str">
        <f t="shared" si="65"/>
        <v>1w</v>
      </c>
      <c r="X3544" s="287">
        <f>_xll.qlCalendarAdvance(Calendar,X3543,W3544,"f",FALSE)</f>
        <v>64088</v>
      </c>
      <c r="Y3544" s="281">
        <f>_xll.qlCalendarAdvance(Calendar,X3544,NDays&amp;"D")</f>
        <v>64090</v>
      </c>
      <c r="Z3544" s="282" t="e">
        <v>#N/A</v>
      </c>
      <c r="AA3544" s="284" t="e">
        <v>#N/A</v>
      </c>
    </row>
    <row r="3545" spans="2:27" x14ac:dyDescent="0.2">
      <c r="B3545" s="287"/>
      <c r="C3545" s="281"/>
      <c r="D3545" s="282"/>
      <c r="E3545" s="282"/>
      <c r="W3545" s="203" t="str">
        <f t="shared" si="65"/>
        <v>1w</v>
      </c>
      <c r="X3545" s="287">
        <f>_xll.qlCalendarAdvance(Calendar,X3544,W3545,"f",FALSE)</f>
        <v>64095</v>
      </c>
      <c r="Y3545" s="281">
        <f>_xll.qlCalendarAdvance(Calendar,X3545,NDays&amp;"D")</f>
        <v>64097</v>
      </c>
      <c r="Z3545" s="282" t="e">
        <v>#N/A</v>
      </c>
      <c r="AA3545" s="284" t="e">
        <v>#N/A</v>
      </c>
    </row>
    <row r="3546" spans="2:27" x14ac:dyDescent="0.2">
      <c r="B3546" s="287"/>
      <c r="C3546" s="281"/>
      <c r="D3546" s="282"/>
      <c r="E3546" s="282"/>
      <c r="W3546" s="203" t="str">
        <f t="shared" si="65"/>
        <v>1w</v>
      </c>
      <c r="X3546" s="287">
        <f>_xll.qlCalendarAdvance(Calendar,X3545,W3546,"f",FALSE)</f>
        <v>64102</v>
      </c>
      <c r="Y3546" s="281">
        <f>_xll.qlCalendarAdvance(Calendar,X3546,NDays&amp;"D")</f>
        <v>64104</v>
      </c>
      <c r="Z3546" s="282" t="e">
        <v>#N/A</v>
      </c>
      <c r="AA3546" s="284" t="e">
        <v>#N/A</v>
      </c>
    </row>
    <row r="3547" spans="2:27" x14ac:dyDescent="0.2">
      <c r="B3547" s="287"/>
      <c r="C3547" s="281"/>
      <c r="D3547" s="282"/>
      <c r="E3547" s="282"/>
      <c r="W3547" s="203" t="str">
        <f t="shared" si="65"/>
        <v>1w</v>
      </c>
      <c r="X3547" s="287">
        <f>_xll.qlCalendarAdvance(Calendar,X3546,W3547,"f",FALSE)</f>
        <v>64109</v>
      </c>
      <c r="Y3547" s="281">
        <f>_xll.qlCalendarAdvance(Calendar,X3547,NDays&amp;"D")</f>
        <v>64111</v>
      </c>
      <c r="Z3547" s="282" t="e">
        <v>#N/A</v>
      </c>
      <c r="AA3547" s="284" t="e">
        <v>#N/A</v>
      </c>
    </row>
    <row r="3548" spans="2:27" x14ac:dyDescent="0.2">
      <c r="B3548" s="287"/>
      <c r="C3548" s="281"/>
      <c r="D3548" s="282"/>
      <c r="E3548" s="282"/>
      <c r="W3548" s="203" t="str">
        <f t="shared" si="65"/>
        <v>1w</v>
      </c>
      <c r="X3548" s="287">
        <f>_xll.qlCalendarAdvance(Calendar,X3547,W3548,"f",FALSE)</f>
        <v>64116</v>
      </c>
      <c r="Y3548" s="281">
        <f>_xll.qlCalendarAdvance(Calendar,X3548,NDays&amp;"D")</f>
        <v>64118</v>
      </c>
      <c r="Z3548" s="282" t="e">
        <v>#N/A</v>
      </c>
      <c r="AA3548" s="284" t="e">
        <v>#N/A</v>
      </c>
    </row>
    <row r="3549" spans="2:27" x14ac:dyDescent="0.2">
      <c r="B3549" s="287"/>
      <c r="C3549" s="281"/>
      <c r="D3549" s="282"/>
      <c r="E3549" s="282"/>
      <c r="W3549" s="203" t="str">
        <f t="shared" si="65"/>
        <v>1w</v>
      </c>
      <c r="X3549" s="287">
        <f>_xll.qlCalendarAdvance(Calendar,X3548,W3549,"f",FALSE)</f>
        <v>64123</v>
      </c>
      <c r="Y3549" s="281">
        <f>_xll.qlCalendarAdvance(Calendar,X3549,NDays&amp;"D")</f>
        <v>64125</v>
      </c>
      <c r="Z3549" s="282" t="e">
        <v>#N/A</v>
      </c>
      <c r="AA3549" s="284" t="e">
        <v>#N/A</v>
      </c>
    </row>
    <row r="3550" spans="2:27" x14ac:dyDescent="0.2">
      <c r="B3550" s="287"/>
      <c r="C3550" s="281"/>
      <c r="D3550" s="282"/>
      <c r="E3550" s="282"/>
      <c r="W3550" s="203" t="str">
        <f t="shared" si="65"/>
        <v>1w</v>
      </c>
      <c r="X3550" s="287">
        <f>_xll.qlCalendarAdvance(Calendar,X3549,W3550,"f",FALSE)</f>
        <v>64130</v>
      </c>
      <c r="Y3550" s="281">
        <f>_xll.qlCalendarAdvance(Calendar,X3550,NDays&amp;"D")</f>
        <v>64132</v>
      </c>
      <c r="Z3550" s="282" t="e">
        <v>#N/A</v>
      </c>
      <c r="AA3550" s="284" t="e">
        <v>#N/A</v>
      </c>
    </row>
    <row r="3551" spans="2:27" x14ac:dyDescent="0.2">
      <c r="B3551" s="287"/>
      <c r="C3551" s="281"/>
      <c r="D3551" s="282"/>
      <c r="E3551" s="282"/>
      <c r="W3551" s="203" t="str">
        <f t="shared" si="65"/>
        <v>1w</v>
      </c>
      <c r="X3551" s="287">
        <f>_xll.qlCalendarAdvance(Calendar,X3550,W3551,"f",FALSE)</f>
        <v>64137</v>
      </c>
      <c r="Y3551" s="281">
        <f>_xll.qlCalendarAdvance(Calendar,X3551,NDays&amp;"D")</f>
        <v>64139</v>
      </c>
      <c r="Z3551" s="282" t="e">
        <v>#N/A</v>
      </c>
      <c r="AA3551" s="284" t="e">
        <v>#N/A</v>
      </c>
    </row>
    <row r="3552" spans="2:27" ht="12" thickBot="1" x14ac:dyDescent="0.25">
      <c r="B3552" s="287"/>
      <c r="C3552" s="281"/>
      <c r="D3552" s="282"/>
      <c r="E3552" s="282"/>
      <c r="W3552" s="206" t="str">
        <f t="shared" si="65"/>
        <v>1w</v>
      </c>
      <c r="X3552" s="289">
        <f>_xll.qlCalendarAdvance(Calendar,X3551,W3552,"f",FALSE)</f>
        <v>64144</v>
      </c>
      <c r="Y3552" s="302">
        <f>_xll.qlCalendarAdvance(Calendar,X3552,NDays&amp;"D")</f>
        <v>64146</v>
      </c>
      <c r="Z3552" s="283" t="e">
        <v>#N/A</v>
      </c>
      <c r="AA3552" s="285" t="e">
        <v>#N/A</v>
      </c>
    </row>
    <row r="3553" spans="2:23" x14ac:dyDescent="0.2">
      <c r="B3553" s="287"/>
      <c r="C3553" s="281"/>
      <c r="D3553" s="282"/>
      <c r="E3553" s="282"/>
      <c r="W3553" s="29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2014-06-06T14:59:19Z</dcterms:modified>
</cp:coreProperties>
</file>